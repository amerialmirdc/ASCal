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X127" i="6" l="1"/>
  <c r="AC127" i="6"/>
  <c r="AH127" i="6"/>
  <c r="X128" i="6"/>
  <c r="AC128" i="6"/>
  <c r="AH128" i="6"/>
  <c r="X129" i="6"/>
  <c r="AC129" i="6"/>
  <c r="AH129" i="6"/>
  <c r="X130" i="6"/>
  <c r="AC130" i="6"/>
  <c r="AH130" i="6"/>
  <c r="X131" i="6"/>
  <c r="AC131" i="6"/>
  <c r="AH131" i="6"/>
  <c r="X132" i="6"/>
  <c r="AC132" i="6"/>
  <c r="AH132" i="6"/>
  <c r="X133" i="6"/>
  <c r="AC133" i="6"/>
  <c r="AH133" i="6"/>
  <c r="X134" i="6"/>
  <c r="AC134" i="6"/>
  <c r="AH134" i="6"/>
  <c r="X135" i="6"/>
  <c r="AC135" i="6"/>
  <c r="AH135" i="6"/>
  <c r="X136" i="6"/>
  <c r="AC136" i="6"/>
  <c r="AH136" i="6"/>
  <c r="X137" i="6"/>
  <c r="AC137" i="6"/>
  <c r="AH137" i="6"/>
  <c r="AH126" i="6"/>
  <c r="AC126" i="6"/>
  <c r="X126" i="6"/>
  <c r="X114" i="6"/>
  <c r="AC114" i="6"/>
  <c r="AH114" i="6"/>
  <c r="X115" i="6"/>
  <c r="AC115" i="6"/>
  <c r="AH115" i="6"/>
  <c r="X116" i="6"/>
  <c r="AC116" i="6"/>
  <c r="AH116" i="6"/>
  <c r="X117" i="6"/>
  <c r="AC117" i="6"/>
  <c r="AH117" i="6"/>
  <c r="X118" i="6"/>
  <c r="AC118" i="6"/>
  <c r="AH118" i="6"/>
  <c r="X119" i="6"/>
  <c r="AC119" i="6"/>
  <c r="AH119" i="6"/>
  <c r="X120" i="6"/>
  <c r="AC120" i="6"/>
  <c r="AH120" i="6"/>
  <c r="X121" i="6"/>
  <c r="AC121" i="6"/>
  <c r="AH121" i="6"/>
  <c r="AH113" i="6"/>
  <c r="AC113" i="6"/>
  <c r="X113" i="6"/>
  <c r="X103" i="6"/>
  <c r="AC103" i="6"/>
  <c r="AH103" i="6"/>
  <c r="X104" i="6"/>
  <c r="AC104" i="6"/>
  <c r="AH104" i="6"/>
  <c r="X105" i="6"/>
  <c r="AC105" i="6"/>
  <c r="AH105" i="6"/>
  <c r="X106" i="6"/>
  <c r="AC106" i="6"/>
  <c r="AH106" i="6"/>
  <c r="X107" i="6"/>
  <c r="AC107" i="6"/>
  <c r="AH107" i="6"/>
  <c r="X108" i="6"/>
  <c r="AC108" i="6"/>
  <c r="AH108" i="6"/>
  <c r="AH102" i="6"/>
  <c r="AC102" i="6"/>
  <c r="X102" i="6"/>
  <c r="X77" i="6"/>
  <c r="AC77" i="6"/>
  <c r="AH77" i="6"/>
  <c r="X78" i="6"/>
  <c r="AC78" i="6"/>
  <c r="AH78" i="6"/>
  <c r="X79" i="6"/>
  <c r="AC79" i="6"/>
  <c r="AH79" i="6"/>
  <c r="X80" i="6"/>
  <c r="AC80" i="6"/>
  <c r="AH80" i="6"/>
  <c r="X81" i="6"/>
  <c r="AC81" i="6"/>
  <c r="AH81" i="6"/>
  <c r="X82" i="6"/>
  <c r="AC82" i="6"/>
  <c r="AH82" i="6"/>
  <c r="X83" i="6"/>
  <c r="AC83" i="6"/>
  <c r="AH83" i="6"/>
  <c r="X84" i="6"/>
  <c r="AC84" i="6"/>
  <c r="AH84" i="6"/>
  <c r="X85" i="6"/>
  <c r="AC85" i="6"/>
  <c r="AH85" i="6"/>
  <c r="X86" i="6"/>
  <c r="AC86" i="6"/>
  <c r="AH86" i="6"/>
  <c r="X87" i="6"/>
  <c r="AC87" i="6"/>
  <c r="AH87" i="6"/>
  <c r="X88" i="6"/>
  <c r="AC88" i="6"/>
  <c r="AH88" i="6"/>
  <c r="X89" i="6"/>
  <c r="AC89" i="6"/>
  <c r="AH89" i="6"/>
  <c r="X90" i="6"/>
  <c r="AC90" i="6"/>
  <c r="AH90" i="6"/>
  <c r="X91" i="6"/>
  <c r="AC91" i="6"/>
  <c r="AH91" i="6"/>
  <c r="X92" i="6"/>
  <c r="AC92" i="6"/>
  <c r="AH92" i="6"/>
  <c r="X93" i="6"/>
  <c r="AC93" i="6"/>
  <c r="AH93" i="6"/>
  <c r="X94" i="6"/>
  <c r="AC94" i="6"/>
  <c r="AH94" i="6"/>
  <c r="X95" i="6"/>
  <c r="AC95" i="6"/>
  <c r="AH95" i="6"/>
  <c r="X96" i="6"/>
  <c r="AC96" i="6"/>
  <c r="AH96" i="6"/>
  <c r="X97" i="6"/>
  <c r="AC97" i="6"/>
  <c r="AH97" i="6"/>
  <c r="AH76" i="6"/>
  <c r="AC76" i="6"/>
  <c r="X76" i="6"/>
  <c r="X56" i="6"/>
  <c r="AC56" i="6"/>
  <c r="AH56" i="6"/>
  <c r="X57" i="6"/>
  <c r="AC57" i="6"/>
  <c r="AH57" i="6"/>
  <c r="X58" i="6"/>
  <c r="AC58" i="6"/>
  <c r="AH58" i="6"/>
  <c r="X59" i="6"/>
  <c r="AC59" i="6"/>
  <c r="AH59" i="6"/>
  <c r="X60" i="6"/>
  <c r="AC60" i="6"/>
  <c r="AH60" i="6"/>
  <c r="X61" i="6"/>
  <c r="AC61" i="6"/>
  <c r="AH61" i="6"/>
  <c r="X62" i="6"/>
  <c r="AC62" i="6"/>
  <c r="AH62" i="6"/>
  <c r="X63" i="6"/>
  <c r="AC63" i="6"/>
  <c r="AH63" i="6"/>
  <c r="X64" i="6"/>
  <c r="AC64" i="6"/>
  <c r="AH64" i="6"/>
  <c r="X65" i="6"/>
  <c r="AC65" i="6"/>
  <c r="AH65" i="6"/>
  <c r="X66" i="6"/>
  <c r="AC66" i="6"/>
  <c r="AH66" i="6"/>
  <c r="X67" i="6"/>
  <c r="AC67" i="6"/>
  <c r="AH67" i="6"/>
  <c r="X68" i="6"/>
  <c r="AC68" i="6"/>
  <c r="AH68" i="6"/>
  <c r="X69" i="6"/>
  <c r="AC69" i="6"/>
  <c r="AH69" i="6"/>
  <c r="X70" i="6"/>
  <c r="AC70" i="6"/>
  <c r="AH70" i="6"/>
  <c r="X71" i="6"/>
  <c r="AC71" i="6"/>
  <c r="AH7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AM129" i="6"/>
  <c r="CZ128" i="6"/>
  <c r="DC128" i="6" s="1"/>
  <c r="DE128" i="6" s="1"/>
  <c r="CS128" i="6"/>
  <c r="CR128" i="6"/>
  <c r="CQ128" i="6"/>
  <c r="CM128" i="6"/>
  <c r="CN128" i="6" s="1"/>
  <c r="CL128" i="6"/>
  <c r="CG128" i="6"/>
  <c r="CH128" i="6" s="1"/>
  <c r="CB128" i="6"/>
  <c r="BZ128" i="6"/>
  <c r="CF128" i="6" s="1"/>
  <c r="AM128" i="6"/>
  <c r="CZ127" i="6"/>
  <c r="DC127" i="6" s="1"/>
  <c r="DE127" i="6" s="1"/>
  <c r="CS127" i="6"/>
  <c r="CR127" i="6"/>
  <c r="CQ127" i="6"/>
  <c r="CM127" i="6"/>
  <c r="CN127" i="6" s="1"/>
  <c r="CL127" i="6"/>
  <c r="CG127" i="6"/>
  <c r="CH127" i="6" s="1"/>
  <c r="CB127" i="6"/>
  <c r="BZ127" i="6"/>
  <c r="CF127" i="6" s="1"/>
  <c r="AM127" i="6"/>
  <c r="CZ126" i="6"/>
  <c r="DC126" i="6" s="1"/>
  <c r="DE126" i="6" s="1"/>
  <c r="CS126" i="6"/>
  <c r="CR126" i="6"/>
  <c r="CQ126" i="6"/>
  <c r="CT126" i="6" s="1"/>
  <c r="CM126" i="6"/>
  <c r="CN126" i="6" s="1"/>
  <c r="CL126" i="6"/>
  <c r="CG126" i="6"/>
  <c r="CH126" i="6" s="1"/>
  <c r="CB126" i="6"/>
  <c r="BZ126" i="6"/>
  <c r="CF126" i="6" s="1"/>
  <c r="AM126" i="6"/>
  <c r="CZ133" i="6"/>
  <c r="DC133" i="6" s="1"/>
  <c r="DE133" i="6" s="1"/>
  <c r="CS133" i="6"/>
  <c r="CR133" i="6"/>
  <c r="CQ133" i="6"/>
  <c r="CM133" i="6"/>
  <c r="CN133" i="6" s="1"/>
  <c r="CL133" i="6"/>
  <c r="CG133" i="6"/>
  <c r="CH133" i="6" s="1"/>
  <c r="CB133" i="6"/>
  <c r="BZ133" i="6"/>
  <c r="CF133" i="6" s="1"/>
  <c r="AM133" i="6"/>
  <c r="CZ132" i="6"/>
  <c r="DC132" i="6" s="1"/>
  <c r="DE132" i="6" s="1"/>
  <c r="CS132" i="6"/>
  <c r="CR132" i="6"/>
  <c r="CQ132" i="6"/>
  <c r="CT132" i="6" s="1"/>
  <c r="CM132" i="6"/>
  <c r="CN132" i="6" s="1"/>
  <c r="CL132" i="6"/>
  <c r="CG132" i="6"/>
  <c r="CH132" i="6" s="1"/>
  <c r="CB132" i="6"/>
  <c r="BZ132" i="6"/>
  <c r="CF132" i="6" s="1"/>
  <c r="AM132" i="6"/>
  <c r="CZ131" i="6"/>
  <c r="DC131" i="6" s="1"/>
  <c r="DE131" i="6" s="1"/>
  <c r="CS131" i="6"/>
  <c r="CR131" i="6"/>
  <c r="CQ131" i="6"/>
  <c r="CM131" i="6"/>
  <c r="CN131" i="6" s="1"/>
  <c r="CL131" i="6"/>
  <c r="CG131" i="6"/>
  <c r="CH131" i="6" s="1"/>
  <c r="CB131" i="6"/>
  <c r="BZ131" i="6"/>
  <c r="CF131" i="6" s="1"/>
  <c r="AM131" i="6"/>
  <c r="CZ130" i="6"/>
  <c r="DC130" i="6" s="1"/>
  <c r="DE130" i="6" s="1"/>
  <c r="CS130" i="6"/>
  <c r="CR130" i="6"/>
  <c r="CQ130" i="6"/>
  <c r="CM130" i="6"/>
  <c r="CN130" i="6" s="1"/>
  <c r="CL130" i="6"/>
  <c r="CG130" i="6"/>
  <c r="CH130" i="6" s="1"/>
  <c r="CB130" i="6"/>
  <c r="BZ130" i="6"/>
  <c r="CF130" i="6" s="1"/>
  <c r="AM130" i="6"/>
  <c r="CZ114" i="6"/>
  <c r="DC114" i="6" s="1"/>
  <c r="DE114" i="6" s="1"/>
  <c r="CS114" i="6"/>
  <c r="CR114" i="6"/>
  <c r="CQ114" i="6"/>
  <c r="CM114" i="6"/>
  <c r="CN114" i="6" s="1"/>
  <c r="CL114" i="6"/>
  <c r="CG114" i="6"/>
  <c r="CH114" i="6" s="1"/>
  <c r="CB114" i="6"/>
  <c r="BZ114" i="6"/>
  <c r="CF114" i="6" s="1"/>
  <c r="AM114" i="6"/>
  <c r="CZ113" i="6"/>
  <c r="DC113" i="6" s="1"/>
  <c r="DE113" i="6" s="1"/>
  <c r="CS113" i="6"/>
  <c r="CR113" i="6"/>
  <c r="CQ113" i="6"/>
  <c r="CM113" i="6"/>
  <c r="CN113" i="6" s="1"/>
  <c r="CL113" i="6"/>
  <c r="CG113" i="6"/>
  <c r="CH113" i="6" s="1"/>
  <c r="CB113" i="6"/>
  <c r="BZ113" i="6"/>
  <c r="CF113" i="6" s="1"/>
  <c r="AM113" i="6"/>
  <c r="CZ117" i="6"/>
  <c r="DC117" i="6" s="1"/>
  <c r="DE117" i="6" s="1"/>
  <c r="CS117" i="6"/>
  <c r="CR117" i="6"/>
  <c r="CQ117" i="6"/>
  <c r="CM117" i="6"/>
  <c r="CN117" i="6" s="1"/>
  <c r="CL117" i="6"/>
  <c r="CG117" i="6"/>
  <c r="CH117" i="6" s="1"/>
  <c r="CB117" i="6"/>
  <c r="BZ117" i="6"/>
  <c r="CF117" i="6" s="1"/>
  <c r="AM117" i="6"/>
  <c r="CZ116" i="6"/>
  <c r="DC116" i="6" s="1"/>
  <c r="DE116" i="6" s="1"/>
  <c r="CS116" i="6"/>
  <c r="CR116" i="6"/>
  <c r="CQ116" i="6"/>
  <c r="CM116" i="6"/>
  <c r="CN116" i="6" s="1"/>
  <c r="CL116" i="6"/>
  <c r="CG116" i="6"/>
  <c r="CH116" i="6" s="1"/>
  <c r="CB116" i="6"/>
  <c r="BZ116" i="6"/>
  <c r="CF116" i="6" s="1"/>
  <c r="AM116" i="6"/>
  <c r="CZ115" i="6"/>
  <c r="DC115" i="6" s="1"/>
  <c r="DE115" i="6" s="1"/>
  <c r="CS115" i="6"/>
  <c r="CR115" i="6"/>
  <c r="CQ115" i="6"/>
  <c r="CM115" i="6"/>
  <c r="CN115" i="6" s="1"/>
  <c r="CL115" i="6"/>
  <c r="CG115" i="6"/>
  <c r="CH115" i="6" s="1"/>
  <c r="CB115" i="6"/>
  <c r="BZ115" i="6"/>
  <c r="CF115" i="6" s="1"/>
  <c r="AM115" i="6"/>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AM120" i="6"/>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AM134"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AM137" i="6"/>
  <c r="CZ136" i="6"/>
  <c r="DC136" i="6" s="1"/>
  <c r="DE136" i="6" s="1"/>
  <c r="CL136" i="6"/>
  <c r="BZ136" i="6"/>
  <c r="CF136" i="6" s="1"/>
  <c r="AM136" i="6"/>
  <c r="CZ135" i="6"/>
  <c r="DC135" i="6" s="1"/>
  <c r="DE135" i="6" s="1"/>
  <c r="CL135" i="6"/>
  <c r="CB135" i="6"/>
  <c r="BZ135" i="6"/>
  <c r="CF135" i="6" s="1"/>
  <c r="AM135" i="6"/>
  <c r="CZ134" i="6"/>
  <c r="DC134" i="6" s="1"/>
  <c r="DE134" i="6" s="1"/>
  <c r="CL134" i="6"/>
  <c r="CB134" i="6"/>
  <c r="BZ134" i="6"/>
  <c r="CF134" i="6" s="1"/>
  <c r="CZ121" i="6"/>
  <c r="DC121" i="6" s="1"/>
  <c r="DE121" i="6" s="1"/>
  <c r="CL121" i="6"/>
  <c r="CB121" i="6"/>
  <c r="BZ121" i="6"/>
  <c r="CF121" i="6" s="1"/>
  <c r="AM121" i="6"/>
  <c r="CZ119" i="6"/>
  <c r="DC119" i="6" s="1"/>
  <c r="DE119" i="6" s="1"/>
  <c r="CL119" i="6"/>
  <c r="BZ119" i="6"/>
  <c r="CF119" i="6" s="1"/>
  <c r="AM119" i="6"/>
  <c r="CZ118" i="6"/>
  <c r="DC118" i="6" s="1"/>
  <c r="DE118" i="6" s="1"/>
  <c r="CL118" i="6"/>
  <c r="CB118" i="6"/>
  <c r="BZ118" i="6"/>
  <c r="CF118" i="6" s="1"/>
  <c r="AM118" i="6"/>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<sst xmlns="http://schemas.openxmlformats.org/spreadsheetml/2006/main" count="889" uniqueCount="162">
  <si>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</si>
  <si>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</si>
  <si>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</si>
  <si>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</si>
  <si>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</si>
  <si>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</si>
  <si>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</si>
  <si>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</si>
  <si>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</si>
  <si>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</si>
  <si>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</si>
  <si>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</si>
  <si>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</si>
  <si>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</si>
  <si>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</si>
  <si>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</si>
  <si>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</si>
  <si>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</si>
  <si>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</si>
  <si>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</si>
  <si>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</si>
  <si>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</si>
  <si>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</si>
  <si>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</si>
  <si>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</si>
  <si>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</si>
  <si>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</si>
  <si>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</si>
  <si>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</si>
  <si>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</si>
  <si>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</si>
  <si>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</si>
  <si>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</si>
  <si>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</si>
  <si>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</si>
  <si>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</si>
  <si>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</si>
  <si>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</si>
  <si>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</si>
  <si>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</si>
  <si>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</si>
  <si>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</si>
  <si>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</si>
  <si>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</si>
  <si>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</si>
  <si>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</si>
  <si>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</si>
  <si>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</si>
  <si>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</si>
  <si>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</si>
  <si>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</si>
  <si>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</si>
  <si>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</si>
  <si>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</si>
  <si>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</si>
  <si>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</si>
  <si>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</si>
  <si>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</si>
  <si>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</si>
  <si>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</si>
  <si>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</si>
  <si>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</si>
  <si>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</si>
  <si>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</si>
  <si>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</si>
  <si>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</si>
  <si>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</si>
  <si>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</si>
  <si>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</si>
  <si>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</si>
  <si>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</si>
  <si>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</si>
  <si>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</si>
  <si>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</si>
  <si>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</si>
  <si>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</si>
  <si>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</si>
  <si>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</si>
  <si>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</si>
  <si>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</si>
  <si>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</si>
  <si>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</si>
  <si>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</si>
  <si>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</si>
  <si>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</si>
  <si>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</si>
  <si>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</si>
  <si>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</si>
  <si>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</si>
  <si>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</si>
  <si>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</si>
  <si>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</si>
  <si>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</si>
  <si>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</si>
  <si>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</si>
  <si>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</si>
  <si>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</si>
  <si>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</si>
  <si>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</si>
  <si>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</si>
  <si>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</si>
  <si>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</si>
  <si>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</si>
  <si>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</si>
  <si>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</si>
  <si>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</si>
  <si>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</si>
  <si>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</si>
  <si>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</si>
  <si>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</si>
  <si>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</si>
  <si>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</si>
  <si>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</si>
  <si>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</si>
  <si>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</si>
  <si>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</si>
  <si>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</si>
  <si>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</si>
  <si>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</si>
  <si>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</si>
  <si>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</si>
  <si>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</si>
  <si>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</si>
  <si>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</si>
  <si>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</si>
  <si>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</si>
  <si>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</si>
  <si>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</si>
  <si>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</si>
  <si>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</si>
  <si>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</si>
  <si>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</si>
  <si>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</si>
  <si>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</si>
  <si>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</si>
  <si>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</si>
  <si>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</si>
  <si>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</si>
  <si>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</si>
  <si>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</si>
  <si>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</si>
  <si>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</si>
  <si>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</si>
  <si>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</si>
  <si>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</si>
  <si>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</si>
  <si>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1 000 V</t>
  </si>
  <si>
    <t>50 MΩ</t>
  </si>
  <si>
    <r>
      <t xml:space="preserve">600 </t>
    </r>
    <r>
      <rPr>
        <sz val="10"/>
        <rFont val="Calibri"/>
        <family val="2"/>
      </rPr>
      <t>µ</t>
    </r>
    <r>
      <rPr>
        <sz val="10"/>
        <rFont val="Arial Narrow"/>
        <family val="2"/>
      </rPr>
      <t>A</t>
    </r>
  </si>
  <si>
    <r>
      <t xml:space="preserve">6 000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</si>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</sst>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topLeftCell="B1" zoomScale="120" zoomScaleNormal="120" zoomScaleSheetLayoutView="120" workbookViewId="0">
      <selection activeCell="V7" sqref="V7:Z7"/>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 Rev.00</v>
      </c>
      <c r="W7" s="244"/>
      <c r="X7" s="244"/>
      <c r="Y7" s="244"/>
      <c r="Z7" s="244"/>
    </row>
    <row r="9" spans="3:26" ht="15" customHeight="1">
      <c r="C9" s="21" t="s">
        <v>2</v>
      </c>
      <c r="O9" s="21" t="s">
        <v>3</v>
      </c>
    </row>
    <row r="10" spans="3:26" ht="15" customHeight="1">
      <c r="D10" s="19">
        <f>DataSheet!H25</f>
        <v>0</v>
      </c>
      <c r="E10" s="19"/>
      <c r="F10" s="19"/>
      <c r="G10" s="19"/>
      <c r="H10" s="19"/>
      <c r="I10" s="19"/>
      <c r="J10" s="19"/>
      <c r="K10" s="19"/>
      <c r="L10" s="19"/>
      <c r="M10" s="19"/>
      <c r="N10" s="19"/>
      <c r="P10" s="19">
        <f>IF(DataSheet!AE25="x","SONJU ENGINEERING SERVICES",D10)</f>
        <v>0</v>
      </c>
      <c r="Q10" s="19"/>
      <c r="R10" s="19"/>
      <c r="S10" s="19"/>
      <c r="T10" s="19"/>
      <c r="U10" s="19"/>
      <c r="V10" s="19"/>
      <c r="W10" s="19"/>
      <c r="X10" s="19"/>
      <c r="Y10" s="19"/>
      <c r="Z10" s="19"/>
    </row>
    <row r="11" spans="3:26" ht="12.95" customHeight="1">
      <c r="C11" s="21"/>
      <c r="D11" s="248">
        <f>DataSheet!H27</f>
        <v>0</v>
      </c>
      <c r="E11" s="248"/>
      <c r="F11" s="248"/>
      <c r="G11" s="248"/>
      <c r="H11" s="248"/>
      <c r="I11" s="248"/>
      <c r="J11" s="248"/>
      <c r="K11" s="248"/>
      <c r="L11" s="248"/>
      <c r="M11" s="248"/>
      <c r="N11" s="25"/>
      <c r="O11" s="25"/>
      <c r="P11" s="248">
        <f>IF(DataSheet!AE25="x",DataSheet!AG29,DataSheet!AG29)</f>
        <v>0</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f>DataSheet!K11</f>
        <v>0</v>
      </c>
      <c r="I15" s="245"/>
      <c r="J15" s="245"/>
      <c r="K15" s="245"/>
      <c r="L15" s="245"/>
      <c r="M15" s="245"/>
      <c r="N15" s="26"/>
      <c r="O15" s="21" t="s">
        <v>5</v>
      </c>
      <c r="T15" s="20">
        <f>DataSheet!K9</f>
        <v>0</v>
      </c>
    </row>
    <row r="16" spans="3:26" ht="15" customHeight="1">
      <c r="C16" s="21" t="s">
        <v>6</v>
      </c>
      <c r="H16" s="245">
        <f>DataSheet!K13</f>
        <v>0</v>
      </c>
      <c r="I16" s="245"/>
      <c r="J16" s="245"/>
      <c r="K16" s="245"/>
      <c r="L16" s="245"/>
      <c r="M16" s="245"/>
      <c r="N16" s="26"/>
      <c r="O16" s="21" t="s">
        <v>7</v>
      </c>
      <c r="T16" s="245">
        <f>DataSheet!AL13</f>
        <v>0</v>
      </c>
      <c r="U16" s="245"/>
      <c r="V16" s="245"/>
      <c r="W16" s="245"/>
      <c r="X16" s="245"/>
      <c r="Y16" s="245"/>
      <c r="Z16" s="245"/>
    </row>
    <row r="17" spans="1:26" ht="15" customHeight="1">
      <c r="C17" s="27" t="s">
        <v>8</v>
      </c>
      <c r="H17" s="246">
        <f>DataSheet!K15</f>
        <v>0</v>
      </c>
      <c r="I17" s="245"/>
      <c r="J17" s="245"/>
      <c r="K17" s="245"/>
      <c r="L17" s="245"/>
      <c r="M17" s="245"/>
      <c r="N17" s="26"/>
      <c r="O17" s="21" t="s">
        <v>9</v>
      </c>
      <c r="T17" s="245">
        <f>DataSheet!AL17</f>
        <v>0</v>
      </c>
      <c r="U17" s="245"/>
      <c r="V17" s="245"/>
      <c r="W17" s="245"/>
      <c r="X17" s="245"/>
      <c r="Y17" s="245"/>
      <c r="Z17" s="245"/>
    </row>
    <row r="18" spans="1:26" ht="15" customHeight="1">
      <c r="C18" s="21" t="s">
        <v>10</v>
      </c>
      <c r="H18" s="247">
        <f>DataSheet!AL11</f>
        <v>0</v>
      </c>
      <c r="I18" s="247"/>
      <c r="J18" s="247"/>
      <c r="K18" s="247"/>
      <c r="L18" s="247"/>
      <c r="M18" s="247"/>
      <c r="N18" s="26"/>
      <c r="O18" s="21" t="s">
        <v>11</v>
      </c>
      <c r="T18" s="245">
        <f>DataSheet!L7</f>
        <v>0</v>
      </c>
      <c r="U18" s="245"/>
      <c r="V18" s="245"/>
      <c r="W18" s="245"/>
      <c r="X18" s="245"/>
      <c r="Y18" s="245"/>
      <c r="Z18" s="245"/>
    </row>
    <row r="19" spans="1:26" ht="15" customHeight="1">
      <c r="C19" s="21" t="s">
        <v>134</v>
      </c>
      <c r="H19" s="250">
        <f>DataSheet!AL9</f>
        <v>0</v>
      </c>
      <c r="I19" s="250"/>
      <c r="J19" s="250"/>
      <c r="K19" s="250"/>
      <c r="L19" s="250"/>
      <c r="M19" s="250"/>
      <c r="N19" s="250"/>
      <c r="O19" s="21" t="s">
        <v>12</v>
      </c>
      <c r="T19" s="245">
        <f>DataSheet!AL15</f>
        <v>0</v>
      </c>
      <c r="U19" s="245"/>
      <c r="V19" s="245"/>
      <c r="W19" s="245"/>
      <c r="X19" s="245"/>
      <c r="Y19" s="245"/>
      <c r="Z19" s="245"/>
    </row>
    <row r="20" spans="1:26" ht="15" customHeight="1">
      <c r="C20" s="21" t="s">
        <v>13</v>
      </c>
      <c r="H20" s="245" t="str">
        <f>IF(DataSheet!AE25="x","23 °C ± 5 °C",CONCATENATE(ROUND(AVERAGE(DataSheet!K41:L42),1)," ","°C"))</f>
        <v>27.5 °C</v>
      </c>
      <c r="I20" s="245"/>
      <c r="J20" s="245"/>
      <c r="K20" s="245"/>
      <c r="L20" s="245"/>
      <c r="M20" s="245"/>
      <c r="N20" s="26"/>
      <c r="O20" s="21" t="s">
        <v>14</v>
      </c>
      <c r="T20" s="245" t="str">
        <f>IF(DataSheet!AE25="x","55 %rh ± 15 %rh",CONCATENATE(ROUND(AVERAGE(DataSheet!T41:U42),1)," ","%rh"))</f>
        <v>99 %rh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159</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160</v>
      </c>
    </row>
    <row r="50" spans="1:23" s="26" customFormat="1" ht="15" customHeight="1">
      <c r="A50" s="56"/>
      <c r="C50" s="26" t="s">
        <v>156</v>
      </c>
    </row>
    <row r="51" spans="1:23" s="26" customFormat="1" ht="15" customHeight="1">
      <c r="A51" s="56"/>
      <c r="C51" s="26" t="s">
        <v>157</v>
      </c>
      <c r="O51" s="251">
        <f>EDATE(DataSheet!AL11,12)</f>
        <v>366</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154</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e">
        <f>CONCATENATE(TEXT(DataSheet!AM55,"0.0")," ",DataSheet!P55)</f>
        <v>#DIV/0!</v>
      </c>
      <c r="N70" s="238"/>
      <c r="O70" s="238"/>
      <c r="P70" s="238"/>
      <c r="Q70" s="238" t="e">
        <f>CONCATENATE(TEXT(DataSheet!AR55,"0.0")," ",DataSheet!P55)</f>
        <v>#DIV/0!</v>
      </c>
      <c r="R70" s="238"/>
      <c r="S70" s="238"/>
      <c r="T70" s="238"/>
      <c r="U70" s="238" t="e">
        <f>CONCATENATE(," ",TEXT(DataSheet!DD55,"0.000")," ",DataSheet!CZ55)</f>
        <v>#DIV/0!</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1 000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1 000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6 000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6 000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121" zoomScale="160" zoomScaleNormal="160" workbookViewId="0">
      <selection activeCell="AH134" sqref="AH134:AL134"/>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27</v>
      </c>
      <c r="L41" s="436"/>
      <c r="M41" s="138" t="s">
        <v>132</v>
      </c>
      <c r="N41" s="154"/>
      <c r="O41" s="154"/>
      <c r="P41" s="138"/>
      <c r="Q41" s="154"/>
      <c r="R41" s="154"/>
      <c r="S41" s="155" t="s">
        <v>61</v>
      </c>
      <c r="T41" s="436">
        <v>99</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28</v>
      </c>
      <c r="L42" s="443"/>
      <c r="M42" s="138" t="s">
        <v>132</v>
      </c>
      <c r="N42" s="154"/>
      <c r="O42" s="154"/>
      <c r="P42" s="138"/>
      <c r="Q42" s="154"/>
      <c r="R42" s="154"/>
      <c r="S42" s="155" t="s">
        <v>62</v>
      </c>
      <c r="T42" s="443">
        <v>99</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c r="Y55" s="291"/>
      <c r="Z55" s="291"/>
      <c r="AA55" s="291"/>
      <c r="AB55" s="291"/>
      <c r="AC55" s="291"/>
      <c r="AD55" s="291"/>
      <c r="AE55" s="291"/>
      <c r="AF55" s="291"/>
      <c r="AG55" s="291"/>
      <c r="AH55" s="291"/>
      <c r="AI55" s="291"/>
      <c r="AJ55" s="291"/>
      <c r="AK55" s="291"/>
      <c r="AL55" s="291"/>
      <c r="AM55" s="291" t="e">
        <f t="shared" ref="AM55:AM68" si="0">AVERAGE(X55:AL55)</f>
        <v>#DIV/0!</v>
      </c>
      <c r="AN55" s="291"/>
      <c r="AO55" s="291"/>
      <c r="AP55" s="291"/>
      <c r="AQ55" s="291"/>
      <c r="AR55" s="291" t="e">
        <f>AM55-L55</f>
        <v>#DIV/0!</v>
      </c>
      <c r="AS55" s="291"/>
      <c r="AT55" s="291"/>
      <c r="AU55" s="291"/>
      <c r="AV55" s="291"/>
      <c r="AW55" s="139"/>
      <c r="AX55" s="139"/>
      <c r="AY55" s="139"/>
      <c r="AZ55" s="172"/>
      <c r="BA55" s="173"/>
      <c r="BB55" s="303" t="e">
        <f>ABS(AM55*0.1%)+(1*CK55)</f>
        <v>#DIV/0!</v>
      </c>
      <c r="BC55" s="303"/>
      <c r="BD55" s="303"/>
      <c r="BE55" s="303"/>
      <c r="BF55" s="303"/>
      <c r="BG55" s="303" t="e">
        <f>L55+BB55</f>
        <v>#DIV/0!</v>
      </c>
      <c r="BH55" s="303"/>
      <c r="BI55" s="303"/>
      <c r="BJ55" s="303"/>
      <c r="BK55" s="303"/>
      <c r="BL55" s="303" t="e">
        <f>L55-BB55</f>
        <v>#DIV/0!</v>
      </c>
      <c r="BM55" s="303"/>
      <c r="BN55" s="303"/>
      <c r="BO55" s="303"/>
      <c r="BP55" s="303"/>
      <c r="BQ55" s="292" t="e">
        <f>IF(AND(AM55&lt;=BG55,AM55&gt;=BL55),"PASS","FAIL")</f>
        <v>#DIV/0!</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t="e">
        <f>STDEV(X55:AL55)</f>
        <v>#DIV/0!</v>
      </c>
      <c r="CR55" s="71" t="str">
        <f t="shared" ref="CR55:CR68" si="2">P55</f>
        <v>mV</v>
      </c>
      <c r="CS55" s="80">
        <f>SQRT(3)</f>
        <v>1.7320508075688772</v>
      </c>
      <c r="CT55" s="85" t="e">
        <f>CQ55/CS55</f>
        <v>#DIV/0!</v>
      </c>
      <c r="CU55" s="8"/>
      <c r="CV55" s="92" t="e">
        <f>SQRT(SUMSQ(CT55,CN55,CH55,CB55))</f>
        <v>#DIV/0!</v>
      </c>
      <c r="CW55" s="88" t="e">
        <f>(CV55^4)/(((CT55^4)/2)+((CN55^4)/200)+((CH55^4)/200)+((CB55^4)/200))</f>
        <v>#DIV/0!</v>
      </c>
      <c r="CX55" s="93" t="e">
        <f>ROUND(TINV(0.05,CW55),0)</f>
        <v>#DIV/0!</v>
      </c>
      <c r="CY55" s="103" t="e">
        <f>(CV55*CX55)</f>
        <v>#DIV/0!</v>
      </c>
      <c r="CZ55" s="104" t="str">
        <f t="shared" ref="CZ55:CZ68" si="3">P55</f>
        <v>mV</v>
      </c>
      <c r="DA55" s="8"/>
      <c r="DB55" s="177">
        <v>1.6000000000000001E-3</v>
      </c>
      <c r="DC55" s="178" t="str">
        <f>CZ55</f>
        <v>mV</v>
      </c>
      <c r="DD55" s="220" t="e">
        <f>MAX(DB55,CY55)</f>
        <v>#DIV/0!</v>
      </c>
      <c r="DE55" s="178" t="s">
        <v>161</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f t="shared" ref="X56:X71" si="4">L56</f>
        <v>540</v>
      </c>
      <c r="Y56" s="291"/>
      <c r="Z56" s="291"/>
      <c r="AA56" s="291"/>
      <c r="AB56" s="291"/>
      <c r="AC56" s="291">
        <f t="shared" ref="AC56:AC71" si="5">L56</f>
        <v>540</v>
      </c>
      <c r="AD56" s="291"/>
      <c r="AE56" s="291"/>
      <c r="AF56" s="291"/>
      <c r="AG56" s="291"/>
      <c r="AH56" s="291">
        <f t="shared" ref="AH56:AH71" si="6">L56</f>
        <v>540</v>
      </c>
      <c r="AI56" s="291"/>
      <c r="AJ56" s="291"/>
      <c r="AK56" s="291"/>
      <c r="AL56" s="291"/>
      <c r="AM56" s="325">
        <f t="shared" si="0"/>
        <v>540</v>
      </c>
      <c r="AN56" s="326"/>
      <c r="AO56" s="326"/>
      <c r="AP56" s="326"/>
      <c r="AQ56" s="327"/>
      <c r="AR56" s="325">
        <f t="shared" ref="AR56:AR68" si="7">AM56-L56</f>
        <v>0</v>
      </c>
      <c r="AS56" s="326"/>
      <c r="AT56" s="326"/>
      <c r="AU56" s="326"/>
      <c r="AV56" s="327"/>
      <c r="AW56" s="139"/>
      <c r="AX56" s="139"/>
      <c r="AY56" s="139"/>
      <c r="AZ56" s="172"/>
      <c r="BA56" s="173"/>
      <c r="BB56" s="322">
        <f t="shared" ref="BB56:BB71" si="8">ABS(AM56*0.1%)+(1*CK56)</f>
        <v>0.64</v>
      </c>
      <c r="BC56" s="323"/>
      <c r="BD56" s="323"/>
      <c r="BE56" s="323"/>
      <c r="BF56" s="324"/>
      <c r="BG56" s="322">
        <f t="shared" ref="BG56:BG71" si="9">L56+BB56</f>
        <v>540.64</v>
      </c>
      <c r="BH56" s="323"/>
      <c r="BI56" s="323"/>
      <c r="BJ56" s="323"/>
      <c r="BK56" s="324"/>
      <c r="BL56" s="322">
        <f t="shared" ref="BL56:BL71" si="10">L56-BB56</f>
        <v>539.36</v>
      </c>
      <c r="BM56" s="323"/>
      <c r="BN56" s="323"/>
      <c r="BO56" s="323"/>
      <c r="BP56" s="324"/>
      <c r="BQ56" s="292" t="str">
        <f t="shared" ref="BQ56:BQ68" si="11">IF(AND(AM56&lt;=BG56,AM56&gt;=BL56),"PASS","FAIL")</f>
        <v>PASS</v>
      </c>
      <c r="BR56" s="292"/>
      <c r="BS56" s="292"/>
      <c r="BT56" s="292"/>
      <c r="BU56" s="292"/>
      <c r="BV56" s="173"/>
      <c r="BX56" s="72" t="s">
        <v>129</v>
      </c>
      <c r="BY56" s="179">
        <v>2.0999999999999999E-3</v>
      </c>
      <c r="BZ56" s="1" t="str">
        <f t="shared" ref="BZ56:BZ68" si="12">P56</f>
        <v>mV</v>
      </c>
      <c r="CA56" s="180">
        <v>2</v>
      </c>
      <c r="CB56" s="78">
        <f t="shared" ref="CB56:CB57" si="13">BY56/CA56</f>
        <v>1.0499999999999999E-3</v>
      </c>
      <c r="CC56" s="4"/>
      <c r="CD56" s="72" t="s">
        <v>131</v>
      </c>
      <c r="CE56" s="5">
        <v>0</v>
      </c>
      <c r="CF56" s="1" t="str">
        <f t="shared" ref="CF56:CF68" si="14">BZ56</f>
        <v>mV</v>
      </c>
      <c r="CG56" s="81">
        <f t="shared" ref="CG56:CG97" si="15">SQRT(3)</f>
        <v>1.7320508075688772</v>
      </c>
      <c r="CH56" s="78">
        <f t="shared" ref="CH56:CH68" si="16">CE56/CG56</f>
        <v>0</v>
      </c>
      <c r="CI56" s="4"/>
      <c r="CJ56" s="72" t="s">
        <v>92</v>
      </c>
      <c r="CK56" s="181">
        <v>0.1</v>
      </c>
      <c r="CL56" s="1" t="str">
        <f t="shared" si="1"/>
        <v>mV</v>
      </c>
      <c r="CM56" s="81">
        <f t="shared" ref="CM56:CM71" si="17">SQRT(12)</f>
        <v>3.4641016151377544</v>
      </c>
      <c r="CN56" s="78">
        <f t="shared" ref="CN56:CN68" si="18">CK56/CM56</f>
        <v>2.8867513459481291E-2</v>
      </c>
      <c r="CO56" s="4"/>
      <c r="CP56" s="72" t="s">
        <v>70</v>
      </c>
      <c r="CQ56" s="6">
        <f t="shared" ref="CQ56:CQ68" si="19">STDEV(X56:AL56)</f>
        <v>0</v>
      </c>
      <c r="CR56" s="1" t="str">
        <f t="shared" si="2"/>
        <v>mV</v>
      </c>
      <c r="CS56" s="81">
        <f t="shared" ref="CS56:CS71" si="20">SQRT(3)</f>
        <v>1.7320508075688772</v>
      </c>
      <c r="CT56" s="86">
        <f t="shared" ref="CT56:CT68" si="21">CQ56/CS56</f>
        <v>0</v>
      </c>
      <c r="CU56" s="8"/>
      <c r="CV56" s="94">
        <f t="shared" ref="CV56:CV68" si="22">SQRT(SUMSQ(CT56,CN56,CH56,CB56))</f>
        <v>2.8886603007853544E-2</v>
      </c>
      <c r="CW56" s="5">
        <f t="shared" ref="CW56:CW68" si="23">(CV56^4)/(((CT56^4)/2)+((CN56^4)/200)+((CH56^4)/200)+((CB56^4)/200))</f>
        <v>200.52919907372751</v>
      </c>
      <c r="CX56" s="95">
        <f t="shared" ref="CX56:CX57" si="24">ROUND(TINV(0.05,CW56),0)</f>
        <v>2</v>
      </c>
      <c r="CY56" s="105">
        <f t="shared" ref="CY56:CY58" si="25">(CV56*CX56)</f>
        <v>5.7773206015707089E-2</v>
      </c>
      <c r="CZ56" s="106" t="str">
        <f t="shared" si="3"/>
        <v>mV</v>
      </c>
      <c r="DA56" s="8"/>
      <c r="DB56" s="177">
        <v>1.8E-3</v>
      </c>
      <c r="DC56" s="178" t="str">
        <f t="shared" ref="DC56:DC68" si="26">CZ56</f>
        <v>mV</v>
      </c>
      <c r="DD56" s="220">
        <f t="shared" ref="DD56:DD71" si="27">MAX(DB56,CY56)</f>
        <v>5.7773206015707089E-2</v>
      </c>
      <c r="DE56" s="178" t="str">
        <f t="shared" ref="DE56:DE68" si="28">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f t="shared" si="4"/>
        <v>-540</v>
      </c>
      <c r="Y57" s="291"/>
      <c r="Z57" s="291"/>
      <c r="AA57" s="291"/>
      <c r="AB57" s="291"/>
      <c r="AC57" s="291">
        <f t="shared" si="5"/>
        <v>-540</v>
      </c>
      <c r="AD57" s="291"/>
      <c r="AE57" s="291"/>
      <c r="AF57" s="291"/>
      <c r="AG57" s="291"/>
      <c r="AH57" s="291">
        <f t="shared" si="6"/>
        <v>-540</v>
      </c>
      <c r="AI57" s="291"/>
      <c r="AJ57" s="291"/>
      <c r="AK57" s="291"/>
      <c r="AL57" s="291"/>
      <c r="AM57" s="291">
        <f t="shared" si="0"/>
        <v>-540</v>
      </c>
      <c r="AN57" s="291"/>
      <c r="AO57" s="291"/>
      <c r="AP57" s="291"/>
      <c r="AQ57" s="291"/>
      <c r="AR57" s="291">
        <f t="shared" si="7"/>
        <v>0</v>
      </c>
      <c r="AS57" s="291"/>
      <c r="AT57" s="291"/>
      <c r="AU57" s="291"/>
      <c r="AV57" s="291"/>
      <c r="AW57" s="139"/>
      <c r="AX57" s="139"/>
      <c r="AY57" s="139"/>
      <c r="AZ57" s="172"/>
      <c r="BA57" s="173"/>
      <c r="BB57" s="322">
        <f t="shared" si="8"/>
        <v>0.64</v>
      </c>
      <c r="BC57" s="323"/>
      <c r="BD57" s="323"/>
      <c r="BE57" s="323"/>
      <c r="BF57" s="324"/>
      <c r="BG57" s="322">
        <f t="shared" si="9"/>
        <v>-539.36</v>
      </c>
      <c r="BH57" s="323"/>
      <c r="BI57" s="323"/>
      <c r="BJ57" s="323"/>
      <c r="BK57" s="324"/>
      <c r="BL57" s="322">
        <f t="shared" si="10"/>
        <v>-540.64</v>
      </c>
      <c r="BM57" s="323"/>
      <c r="BN57" s="323"/>
      <c r="BO57" s="323"/>
      <c r="BP57" s="324"/>
      <c r="BQ57" s="292" t="str">
        <f t="shared" si="11"/>
        <v>PASS</v>
      </c>
      <c r="BR57" s="292"/>
      <c r="BS57" s="292"/>
      <c r="BT57" s="292"/>
      <c r="BU57" s="292"/>
      <c r="BV57" s="173"/>
      <c r="BX57" s="72" t="s">
        <v>129</v>
      </c>
      <c r="BY57" s="179">
        <v>2.0999999999999999E-3</v>
      </c>
      <c r="BZ57" s="1" t="str">
        <f t="shared" si="12"/>
        <v>mV</v>
      </c>
      <c r="CA57" s="180">
        <v>2</v>
      </c>
      <c r="CB57" s="78">
        <f t="shared" si="13"/>
        <v>1.0499999999999999E-3</v>
      </c>
      <c r="CC57" s="4"/>
      <c r="CD57" s="72" t="s">
        <v>131</v>
      </c>
      <c r="CE57" s="5">
        <v>0</v>
      </c>
      <c r="CF57" s="1" t="str">
        <f>BZ57</f>
        <v>mV</v>
      </c>
      <c r="CG57" s="81">
        <f t="shared" si="15"/>
        <v>1.7320508075688772</v>
      </c>
      <c r="CH57" s="78">
        <f>CE57/CG57</f>
        <v>0</v>
      </c>
      <c r="CI57" s="4"/>
      <c r="CJ57" s="72" t="s">
        <v>92</v>
      </c>
      <c r="CK57" s="181">
        <v>0.1</v>
      </c>
      <c r="CL57" s="1" t="str">
        <f t="shared" si="1"/>
        <v>mV</v>
      </c>
      <c r="CM57" s="81">
        <f t="shared" si="17"/>
        <v>3.4641016151377544</v>
      </c>
      <c r="CN57" s="78">
        <f t="shared" si="18"/>
        <v>2.8867513459481291E-2</v>
      </c>
      <c r="CO57" s="4"/>
      <c r="CP57" s="72" t="s">
        <v>70</v>
      </c>
      <c r="CQ57" s="6">
        <f t="shared" si="19"/>
        <v>0</v>
      </c>
      <c r="CR57" s="1" t="str">
        <f t="shared" si="2"/>
        <v>mV</v>
      </c>
      <c r="CS57" s="81">
        <f t="shared" si="20"/>
        <v>1.7320508075688772</v>
      </c>
      <c r="CT57" s="86">
        <f t="shared" si="21"/>
        <v>0</v>
      </c>
      <c r="CU57" s="8"/>
      <c r="CV57" s="94">
        <f t="shared" si="22"/>
        <v>2.8886603007853544E-2</v>
      </c>
      <c r="CW57" s="5">
        <f t="shared" si="23"/>
        <v>200.52919907372751</v>
      </c>
      <c r="CX57" s="95">
        <f t="shared" si="24"/>
        <v>2</v>
      </c>
      <c r="CY57" s="105">
        <f t="shared" si="25"/>
        <v>5.7773206015707089E-2</v>
      </c>
      <c r="CZ57" s="106" t="str">
        <f t="shared" si="3"/>
        <v>mV</v>
      </c>
      <c r="DA57" s="8"/>
      <c r="DB57" s="177">
        <v>1.8E-3</v>
      </c>
      <c r="DC57" s="178" t="str">
        <f t="shared" si="26"/>
        <v>mV</v>
      </c>
      <c r="DD57" s="220">
        <f t="shared" si="27"/>
        <v>5.7773206015707089E-2</v>
      </c>
      <c r="DE57" s="178" t="str">
        <f t="shared" si="28"/>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f t="shared" si="4"/>
        <v>0.60000000000000009</v>
      </c>
      <c r="Y58" s="291"/>
      <c r="Z58" s="291"/>
      <c r="AA58" s="291"/>
      <c r="AB58" s="291"/>
      <c r="AC58" s="291">
        <f t="shared" si="5"/>
        <v>0.60000000000000009</v>
      </c>
      <c r="AD58" s="291"/>
      <c r="AE58" s="291"/>
      <c r="AF58" s="291"/>
      <c r="AG58" s="291"/>
      <c r="AH58" s="291">
        <f t="shared" si="6"/>
        <v>0.60000000000000009</v>
      </c>
      <c r="AI58" s="291"/>
      <c r="AJ58" s="291"/>
      <c r="AK58" s="291"/>
      <c r="AL58" s="291"/>
      <c r="AM58" s="320">
        <f t="shared" si="0"/>
        <v>0.60000000000000009</v>
      </c>
      <c r="AN58" s="320"/>
      <c r="AO58" s="320"/>
      <c r="AP58" s="320"/>
      <c r="AQ58" s="320"/>
      <c r="AR58" s="320">
        <f t="shared" si="7"/>
        <v>0</v>
      </c>
      <c r="AS58" s="320"/>
      <c r="AT58" s="320"/>
      <c r="AU58" s="320"/>
      <c r="AV58" s="320"/>
      <c r="AW58" s="139"/>
      <c r="AX58" s="139"/>
      <c r="AY58" s="139"/>
      <c r="AZ58" s="172"/>
      <c r="BA58" s="173"/>
      <c r="BB58" s="322">
        <f t="shared" si="8"/>
        <v>1.6000000000000001E-3</v>
      </c>
      <c r="BC58" s="323"/>
      <c r="BD58" s="323"/>
      <c r="BE58" s="323"/>
      <c r="BF58" s="324"/>
      <c r="BG58" s="322">
        <f t="shared" si="9"/>
        <v>0.60160000000000013</v>
      </c>
      <c r="BH58" s="323"/>
      <c r="BI58" s="323"/>
      <c r="BJ58" s="323"/>
      <c r="BK58" s="324"/>
      <c r="BL58" s="322">
        <f t="shared" si="10"/>
        <v>0.59840000000000004</v>
      </c>
      <c r="BM58" s="323"/>
      <c r="BN58" s="323"/>
      <c r="BO58" s="323"/>
      <c r="BP58" s="324"/>
      <c r="BQ58" s="292" t="str">
        <f t="shared" si="11"/>
        <v>PASS</v>
      </c>
      <c r="BR58" s="292"/>
      <c r="BS58" s="292"/>
      <c r="BT58" s="292"/>
      <c r="BU58" s="292"/>
      <c r="BV58" s="173"/>
      <c r="BX58" s="72" t="s">
        <v>129</v>
      </c>
      <c r="BY58" s="222">
        <v>2.0999999999999998E-6</v>
      </c>
      <c r="BZ58" s="1" t="str">
        <f t="shared" si="12"/>
        <v>V</v>
      </c>
      <c r="CA58" s="180">
        <v>2</v>
      </c>
      <c r="CB58" s="78">
        <f t="shared" ref="CB58:CB60" si="29">BY58/CA58</f>
        <v>1.0499999999999999E-6</v>
      </c>
      <c r="CC58" s="4"/>
      <c r="CD58" s="72" t="s">
        <v>131</v>
      </c>
      <c r="CE58" s="5">
        <v>0</v>
      </c>
      <c r="CF58" s="1" t="str">
        <f t="shared" si="14"/>
        <v>V</v>
      </c>
      <c r="CG58" s="81">
        <f t="shared" si="15"/>
        <v>1.7320508075688772</v>
      </c>
      <c r="CH58" s="78">
        <f t="shared" si="16"/>
        <v>0</v>
      </c>
      <c r="CI58" s="4"/>
      <c r="CJ58" s="72" t="s">
        <v>92</v>
      </c>
      <c r="CK58" s="181">
        <v>1E-3</v>
      </c>
      <c r="CL58" s="1" t="str">
        <f t="shared" si="1"/>
        <v>V</v>
      </c>
      <c r="CM58" s="81">
        <f t="shared" si="17"/>
        <v>3.4641016151377544</v>
      </c>
      <c r="CN58" s="78">
        <f t="shared" si="18"/>
        <v>2.886751345948129E-4</v>
      </c>
      <c r="CO58" s="4"/>
      <c r="CP58" s="72" t="s">
        <v>70</v>
      </c>
      <c r="CQ58" s="6">
        <f t="shared" si="19"/>
        <v>0</v>
      </c>
      <c r="CR58" s="1" t="str">
        <f t="shared" si="2"/>
        <v>V</v>
      </c>
      <c r="CS58" s="81">
        <f t="shared" si="20"/>
        <v>1.7320508075688772</v>
      </c>
      <c r="CT58" s="86">
        <f t="shared" si="21"/>
        <v>0</v>
      </c>
      <c r="CU58" s="8"/>
      <c r="CV58" s="94">
        <f t="shared" si="22"/>
        <v>2.8867704417451234E-4</v>
      </c>
      <c r="CW58" s="5">
        <f t="shared" si="23"/>
        <v>200.00529199999917</v>
      </c>
      <c r="CX58" s="95">
        <f t="shared" ref="CX58:CX60" si="30">ROUND(TINV(0.05,CW58),0)</f>
        <v>2</v>
      </c>
      <c r="CY58" s="110">
        <f t="shared" si="25"/>
        <v>5.7735408834902469E-4</v>
      </c>
      <c r="CZ58" s="106" t="str">
        <f t="shared" si="3"/>
        <v>V</v>
      </c>
      <c r="DA58" s="8"/>
      <c r="DB58" s="203">
        <v>1.7999999999999999E-6</v>
      </c>
      <c r="DC58" s="178" t="str">
        <f>CZ58</f>
        <v>V</v>
      </c>
      <c r="DD58" s="220">
        <f t="shared" si="27"/>
        <v>5.7735408834902469E-4</v>
      </c>
      <c r="DE58" s="178" t="str">
        <f t="shared" si="28"/>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f t="shared" si="4"/>
        <v>5.4</v>
      </c>
      <c r="Y59" s="291"/>
      <c r="Z59" s="291"/>
      <c r="AA59" s="291"/>
      <c r="AB59" s="291"/>
      <c r="AC59" s="291">
        <f t="shared" si="5"/>
        <v>5.4</v>
      </c>
      <c r="AD59" s="291"/>
      <c r="AE59" s="291"/>
      <c r="AF59" s="291"/>
      <c r="AG59" s="291"/>
      <c r="AH59" s="291">
        <f t="shared" si="6"/>
        <v>5.4</v>
      </c>
      <c r="AI59" s="291"/>
      <c r="AJ59" s="291"/>
      <c r="AK59" s="291"/>
      <c r="AL59" s="291"/>
      <c r="AM59" s="320">
        <f t="shared" si="0"/>
        <v>5.4000000000000012</v>
      </c>
      <c r="AN59" s="320"/>
      <c r="AO59" s="320"/>
      <c r="AP59" s="320"/>
      <c r="AQ59" s="320"/>
      <c r="AR59" s="320">
        <f t="shared" si="7"/>
        <v>0</v>
      </c>
      <c r="AS59" s="320"/>
      <c r="AT59" s="320"/>
      <c r="AU59" s="320"/>
      <c r="AV59" s="320"/>
      <c r="AW59" s="139"/>
      <c r="AX59" s="139"/>
      <c r="AY59" s="139"/>
      <c r="AZ59" s="172"/>
      <c r="BA59" s="173"/>
      <c r="BB59" s="322">
        <f t="shared" si="8"/>
        <v>6.4000000000000012E-3</v>
      </c>
      <c r="BC59" s="323"/>
      <c r="BD59" s="323"/>
      <c r="BE59" s="323"/>
      <c r="BF59" s="324"/>
      <c r="BG59" s="322">
        <f t="shared" si="9"/>
        <v>5.4064000000000005</v>
      </c>
      <c r="BH59" s="323"/>
      <c r="BI59" s="323"/>
      <c r="BJ59" s="323"/>
      <c r="BK59" s="324"/>
      <c r="BL59" s="322">
        <f t="shared" si="10"/>
        <v>5.3936000000000002</v>
      </c>
      <c r="BM59" s="323"/>
      <c r="BN59" s="323"/>
      <c r="BO59" s="323"/>
      <c r="BP59" s="324"/>
      <c r="BQ59" s="292" t="str">
        <f t="shared" si="11"/>
        <v>PASS</v>
      </c>
      <c r="BR59" s="292"/>
      <c r="BS59" s="292"/>
      <c r="BT59" s="292"/>
      <c r="BU59" s="292"/>
      <c r="BV59" s="173"/>
      <c r="BX59" s="72" t="s">
        <v>129</v>
      </c>
      <c r="BY59" s="5">
        <v>1.8E-5</v>
      </c>
      <c r="BZ59" s="1" t="str">
        <f t="shared" si="12"/>
        <v>V</v>
      </c>
      <c r="CA59" s="180">
        <v>2</v>
      </c>
      <c r="CB59" s="78">
        <f t="shared" si="29"/>
        <v>9.0000000000000002E-6</v>
      </c>
      <c r="CC59" s="4"/>
      <c r="CD59" s="72" t="s">
        <v>131</v>
      </c>
      <c r="CE59" s="5">
        <v>0</v>
      </c>
      <c r="CF59" s="1" t="str">
        <f t="shared" si="14"/>
        <v>V</v>
      </c>
      <c r="CG59" s="81">
        <f t="shared" si="15"/>
        <v>1.7320508075688772</v>
      </c>
      <c r="CH59" s="78">
        <f t="shared" si="16"/>
        <v>0</v>
      </c>
      <c r="CI59" s="4"/>
      <c r="CJ59" s="72" t="s">
        <v>92</v>
      </c>
      <c r="CK59" s="181">
        <v>1E-3</v>
      </c>
      <c r="CL59" s="1" t="str">
        <f t="shared" si="1"/>
        <v>V</v>
      </c>
      <c r="CM59" s="81">
        <f t="shared" si="17"/>
        <v>3.4641016151377544</v>
      </c>
      <c r="CN59" s="78">
        <f t="shared" si="18"/>
        <v>2.886751345948129E-4</v>
      </c>
      <c r="CO59" s="4"/>
      <c r="CP59" s="72" t="s">
        <v>70</v>
      </c>
      <c r="CQ59" s="6">
        <f t="shared" si="19"/>
        <v>1.0877919644084146E-15</v>
      </c>
      <c r="CR59" s="1" t="str">
        <f t="shared" si="2"/>
        <v>V</v>
      </c>
      <c r="CS59" s="81">
        <f t="shared" si="20"/>
        <v>1.7320508075688772</v>
      </c>
      <c r="CT59" s="86">
        <f t="shared" si="21"/>
        <v>6.2803698347350997E-16</v>
      </c>
      <c r="CU59" s="8"/>
      <c r="CV59" s="94">
        <f t="shared" si="22"/>
        <v>2.8881539663482854E-4</v>
      </c>
      <c r="CW59" s="5">
        <f t="shared" si="23"/>
        <v>200.38879963266828</v>
      </c>
      <c r="CX59" s="95">
        <f t="shared" si="30"/>
        <v>2</v>
      </c>
      <c r="CY59" s="111">
        <f t="shared" ref="CY59:CY61" si="31">(CV59*CX59)</f>
        <v>5.7763079326965709E-4</v>
      </c>
      <c r="CZ59" s="106" t="str">
        <f t="shared" si="3"/>
        <v>V</v>
      </c>
      <c r="DA59" s="8"/>
      <c r="DB59" s="177">
        <v>1.0000000000000001E-5</v>
      </c>
      <c r="DC59" s="178" t="str">
        <f t="shared" si="26"/>
        <v>V</v>
      </c>
      <c r="DD59" s="220">
        <f t="shared" si="27"/>
        <v>5.7763079326965709E-4</v>
      </c>
      <c r="DE59" s="178" t="str">
        <f t="shared" si="28"/>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f t="shared" si="4"/>
        <v>-5.4</v>
      </c>
      <c r="Y60" s="291"/>
      <c r="Z60" s="291"/>
      <c r="AA60" s="291"/>
      <c r="AB60" s="291"/>
      <c r="AC60" s="291">
        <f t="shared" si="5"/>
        <v>-5.4</v>
      </c>
      <c r="AD60" s="291"/>
      <c r="AE60" s="291"/>
      <c r="AF60" s="291"/>
      <c r="AG60" s="291"/>
      <c r="AH60" s="291">
        <f t="shared" si="6"/>
        <v>-5.4</v>
      </c>
      <c r="AI60" s="291"/>
      <c r="AJ60" s="291"/>
      <c r="AK60" s="291"/>
      <c r="AL60" s="291"/>
      <c r="AM60" s="404">
        <f t="shared" si="0"/>
        <v>-5.4000000000000012</v>
      </c>
      <c r="AN60" s="405"/>
      <c r="AO60" s="405"/>
      <c r="AP60" s="405"/>
      <c r="AQ60" s="406"/>
      <c r="AR60" s="320">
        <f t="shared" si="7"/>
        <v>0</v>
      </c>
      <c r="AS60" s="320"/>
      <c r="AT60" s="320"/>
      <c r="AU60" s="320"/>
      <c r="AV60" s="320"/>
      <c r="AW60" s="139"/>
      <c r="AX60" s="139"/>
      <c r="AY60" s="139"/>
      <c r="AZ60" s="172"/>
      <c r="BA60" s="173"/>
      <c r="BB60" s="322">
        <f t="shared" si="8"/>
        <v>6.4000000000000012E-3</v>
      </c>
      <c r="BC60" s="323"/>
      <c r="BD60" s="323"/>
      <c r="BE60" s="323"/>
      <c r="BF60" s="324"/>
      <c r="BG60" s="322">
        <f t="shared" si="9"/>
        <v>-5.3936000000000002</v>
      </c>
      <c r="BH60" s="323"/>
      <c r="BI60" s="323"/>
      <c r="BJ60" s="323"/>
      <c r="BK60" s="324"/>
      <c r="BL60" s="322">
        <f t="shared" si="10"/>
        <v>-5.4064000000000005</v>
      </c>
      <c r="BM60" s="323"/>
      <c r="BN60" s="323"/>
      <c r="BO60" s="323"/>
      <c r="BP60" s="324"/>
      <c r="BQ60" s="292" t="str">
        <f t="shared" si="11"/>
        <v>PASS</v>
      </c>
      <c r="BR60" s="292"/>
      <c r="BS60" s="292"/>
      <c r="BT60" s="292"/>
      <c r="BU60" s="292"/>
      <c r="BV60" s="173"/>
      <c r="BX60" s="72" t="s">
        <v>129</v>
      </c>
      <c r="BY60" s="5">
        <v>1.8E-5</v>
      </c>
      <c r="BZ60" s="1" t="str">
        <f t="shared" si="12"/>
        <v>V</v>
      </c>
      <c r="CA60" s="180">
        <v>2</v>
      </c>
      <c r="CB60" s="78">
        <f t="shared" si="29"/>
        <v>9.0000000000000002E-6</v>
      </c>
      <c r="CC60" s="4"/>
      <c r="CD60" s="72" t="s">
        <v>131</v>
      </c>
      <c r="CE60" s="5">
        <v>0</v>
      </c>
      <c r="CF60" s="1" t="str">
        <f t="shared" si="14"/>
        <v>V</v>
      </c>
      <c r="CG60" s="81">
        <f t="shared" si="15"/>
        <v>1.7320508075688772</v>
      </c>
      <c r="CH60" s="78">
        <f t="shared" si="16"/>
        <v>0</v>
      </c>
      <c r="CI60" s="4"/>
      <c r="CJ60" s="72" t="s">
        <v>92</v>
      </c>
      <c r="CK60" s="181">
        <v>1E-3</v>
      </c>
      <c r="CL60" s="1" t="str">
        <f t="shared" si="1"/>
        <v>V</v>
      </c>
      <c r="CM60" s="81">
        <f t="shared" si="17"/>
        <v>3.4641016151377544</v>
      </c>
      <c r="CN60" s="78">
        <f t="shared" si="18"/>
        <v>2.886751345948129E-4</v>
      </c>
      <c r="CO60" s="4"/>
      <c r="CP60" s="72" t="s">
        <v>70</v>
      </c>
      <c r="CQ60" s="6">
        <f t="shared" si="19"/>
        <v>1.0877919644084146E-15</v>
      </c>
      <c r="CR60" s="1" t="str">
        <f t="shared" si="2"/>
        <v>V</v>
      </c>
      <c r="CS60" s="81">
        <f t="shared" si="20"/>
        <v>1.7320508075688772</v>
      </c>
      <c r="CT60" s="86">
        <f t="shared" si="21"/>
        <v>6.2803698347350997E-16</v>
      </c>
      <c r="CU60" s="8"/>
      <c r="CV60" s="94">
        <f t="shared" si="22"/>
        <v>2.8881539663482854E-4</v>
      </c>
      <c r="CW60" s="5">
        <f t="shared" si="23"/>
        <v>200.38879963266828</v>
      </c>
      <c r="CX60" s="95">
        <f t="shared" si="30"/>
        <v>2</v>
      </c>
      <c r="CY60" s="111">
        <f t="shared" si="31"/>
        <v>5.7763079326965709E-4</v>
      </c>
      <c r="CZ60" s="106" t="str">
        <f t="shared" si="3"/>
        <v>V</v>
      </c>
      <c r="DA60" s="8"/>
      <c r="DB60" s="177">
        <v>1.0000000000000001E-5</v>
      </c>
      <c r="DC60" s="178" t="str">
        <f t="shared" si="26"/>
        <v>V</v>
      </c>
      <c r="DD60" s="220">
        <f t="shared" si="27"/>
        <v>5.7763079326965709E-4</v>
      </c>
      <c r="DE60" s="178" t="str">
        <f t="shared" si="28"/>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f t="shared" si="4"/>
        <v>6</v>
      </c>
      <c r="Y61" s="291"/>
      <c r="Z61" s="291"/>
      <c r="AA61" s="291"/>
      <c r="AB61" s="291"/>
      <c r="AC61" s="291">
        <f t="shared" si="5"/>
        <v>6</v>
      </c>
      <c r="AD61" s="291"/>
      <c r="AE61" s="291"/>
      <c r="AF61" s="291"/>
      <c r="AG61" s="291"/>
      <c r="AH61" s="291">
        <f t="shared" si="6"/>
        <v>6</v>
      </c>
      <c r="AI61" s="291"/>
      <c r="AJ61" s="291"/>
      <c r="AK61" s="291"/>
      <c r="AL61" s="291"/>
      <c r="AM61" s="303">
        <f t="shared" si="0"/>
        <v>6</v>
      </c>
      <c r="AN61" s="303"/>
      <c r="AO61" s="303"/>
      <c r="AP61" s="303"/>
      <c r="AQ61" s="303"/>
      <c r="AR61" s="303">
        <f t="shared" si="7"/>
        <v>0</v>
      </c>
      <c r="AS61" s="303"/>
      <c r="AT61" s="303"/>
      <c r="AU61" s="303"/>
      <c r="AV61" s="303"/>
      <c r="AW61" s="139"/>
      <c r="AX61" s="139"/>
      <c r="AY61" s="139"/>
      <c r="AZ61" s="172"/>
      <c r="BA61" s="173"/>
      <c r="BB61" s="322">
        <f t="shared" si="8"/>
        <v>1.6E-2</v>
      </c>
      <c r="BC61" s="323"/>
      <c r="BD61" s="323"/>
      <c r="BE61" s="323"/>
      <c r="BF61" s="324"/>
      <c r="BG61" s="322">
        <f t="shared" si="9"/>
        <v>6.016</v>
      </c>
      <c r="BH61" s="323"/>
      <c r="BI61" s="323"/>
      <c r="BJ61" s="323"/>
      <c r="BK61" s="324"/>
      <c r="BL61" s="322">
        <f t="shared" si="10"/>
        <v>5.984</v>
      </c>
      <c r="BM61" s="323"/>
      <c r="BN61" s="323"/>
      <c r="BO61" s="323"/>
      <c r="BP61" s="324"/>
      <c r="BQ61" s="292" t="str">
        <f t="shared" si="11"/>
        <v>PASS</v>
      </c>
      <c r="BR61" s="292"/>
      <c r="BS61" s="292"/>
      <c r="BT61" s="292"/>
      <c r="BU61" s="292"/>
      <c r="BV61" s="173"/>
      <c r="BX61" s="72" t="s">
        <v>129</v>
      </c>
      <c r="BY61" s="5">
        <v>1.8E-5</v>
      </c>
      <c r="BZ61" s="1" t="str">
        <f t="shared" si="12"/>
        <v>V</v>
      </c>
      <c r="CA61" s="180">
        <v>2</v>
      </c>
      <c r="CB61" s="78">
        <f t="shared" ref="CB61:CB68" si="32">BY61/CA61</f>
        <v>9.0000000000000002E-6</v>
      </c>
      <c r="CC61" s="4"/>
      <c r="CD61" s="72" t="s">
        <v>131</v>
      </c>
      <c r="CE61" s="5">
        <v>0</v>
      </c>
      <c r="CF61" s="1" t="str">
        <f t="shared" si="14"/>
        <v>V</v>
      </c>
      <c r="CG61" s="81">
        <f t="shared" si="15"/>
        <v>1.7320508075688772</v>
      </c>
      <c r="CH61" s="78">
        <f t="shared" si="16"/>
        <v>0</v>
      </c>
      <c r="CI61" s="4"/>
      <c r="CJ61" s="72" t="s">
        <v>92</v>
      </c>
      <c r="CK61" s="181">
        <v>0.01</v>
      </c>
      <c r="CL61" s="1" t="str">
        <f t="shared" si="1"/>
        <v>V</v>
      </c>
      <c r="CM61" s="81">
        <f t="shared" si="17"/>
        <v>3.4641016151377544</v>
      </c>
      <c r="CN61" s="78">
        <f t="shared" si="18"/>
        <v>2.886751345948129E-3</v>
      </c>
      <c r="CO61" s="4"/>
      <c r="CP61" s="72" t="s">
        <v>70</v>
      </c>
      <c r="CQ61" s="6">
        <f t="shared" si="19"/>
        <v>0</v>
      </c>
      <c r="CR61" s="1" t="str">
        <f t="shared" si="2"/>
        <v>V</v>
      </c>
      <c r="CS61" s="81">
        <f t="shared" si="20"/>
        <v>1.7320508075688772</v>
      </c>
      <c r="CT61" s="86">
        <f t="shared" si="21"/>
        <v>0</v>
      </c>
      <c r="CU61" s="8"/>
      <c r="CV61" s="94">
        <f t="shared" si="22"/>
        <v>2.8867653755255784E-3</v>
      </c>
      <c r="CW61" s="5">
        <f t="shared" si="23"/>
        <v>200.00388799999962</v>
      </c>
      <c r="CX61" s="95">
        <f t="shared" ref="CX61:CX68" si="33">ROUND(TINV(0.05,CW61),0)</f>
        <v>2</v>
      </c>
      <c r="CY61" s="110">
        <f t="shared" si="31"/>
        <v>5.7735307510511568E-3</v>
      </c>
      <c r="CZ61" s="106" t="str">
        <f t="shared" si="3"/>
        <v>V</v>
      </c>
      <c r="DA61" s="8"/>
      <c r="DB61" s="177">
        <v>1.0000000000000001E-5</v>
      </c>
      <c r="DC61" s="178" t="str">
        <f t="shared" si="26"/>
        <v>V</v>
      </c>
      <c r="DD61" s="220">
        <f t="shared" si="27"/>
        <v>5.7735307510511568E-3</v>
      </c>
      <c r="DE61" s="178" t="str">
        <f t="shared" si="28"/>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f t="shared" si="4"/>
        <v>30</v>
      </c>
      <c r="Y62" s="291"/>
      <c r="Z62" s="291"/>
      <c r="AA62" s="291"/>
      <c r="AB62" s="291"/>
      <c r="AC62" s="291">
        <f t="shared" si="5"/>
        <v>30</v>
      </c>
      <c r="AD62" s="291"/>
      <c r="AE62" s="291"/>
      <c r="AF62" s="291"/>
      <c r="AG62" s="291"/>
      <c r="AH62" s="291">
        <f t="shared" si="6"/>
        <v>30</v>
      </c>
      <c r="AI62" s="291"/>
      <c r="AJ62" s="291"/>
      <c r="AK62" s="291"/>
      <c r="AL62" s="291"/>
      <c r="AM62" s="303">
        <f t="shared" si="0"/>
        <v>30</v>
      </c>
      <c r="AN62" s="303"/>
      <c r="AO62" s="303"/>
      <c r="AP62" s="303"/>
      <c r="AQ62" s="303"/>
      <c r="AR62" s="303">
        <f t="shared" si="7"/>
        <v>0</v>
      </c>
      <c r="AS62" s="303"/>
      <c r="AT62" s="303"/>
      <c r="AU62" s="303"/>
      <c r="AV62" s="303"/>
      <c r="AW62" s="139"/>
      <c r="AX62" s="139"/>
      <c r="AY62" s="139"/>
      <c r="AZ62" s="172"/>
      <c r="BA62" s="173"/>
      <c r="BB62" s="322">
        <f t="shared" si="8"/>
        <v>0.04</v>
      </c>
      <c r="BC62" s="323"/>
      <c r="BD62" s="323"/>
      <c r="BE62" s="323"/>
      <c r="BF62" s="324"/>
      <c r="BG62" s="322">
        <f t="shared" si="9"/>
        <v>30.04</v>
      </c>
      <c r="BH62" s="323"/>
      <c r="BI62" s="323"/>
      <c r="BJ62" s="323"/>
      <c r="BK62" s="324"/>
      <c r="BL62" s="322">
        <f t="shared" si="10"/>
        <v>29.96</v>
      </c>
      <c r="BM62" s="323"/>
      <c r="BN62" s="323"/>
      <c r="BO62" s="323"/>
      <c r="BP62" s="324"/>
      <c r="BQ62" s="292" t="str">
        <f t="shared" si="11"/>
        <v>PASS</v>
      </c>
      <c r="BR62" s="292"/>
      <c r="BS62" s="292"/>
      <c r="BT62" s="292"/>
      <c r="BU62" s="292"/>
      <c r="BV62" s="173"/>
      <c r="BX62" s="72" t="s">
        <v>129</v>
      </c>
      <c r="BY62" s="5">
        <v>1E-4</v>
      </c>
      <c r="BZ62" s="1" t="str">
        <f t="shared" si="12"/>
        <v>V</v>
      </c>
      <c r="CA62" s="180">
        <v>2</v>
      </c>
      <c r="CB62" s="78">
        <f t="shared" ref="CB62:CB63" si="34">BY62/CA62</f>
        <v>5.0000000000000002E-5</v>
      </c>
      <c r="CC62" s="4"/>
      <c r="CD62" s="72" t="s">
        <v>131</v>
      </c>
      <c r="CE62" s="5">
        <v>0</v>
      </c>
      <c r="CF62" s="1" t="str">
        <f t="shared" si="14"/>
        <v>V</v>
      </c>
      <c r="CG62" s="81">
        <f t="shared" si="15"/>
        <v>1.7320508075688772</v>
      </c>
      <c r="CH62" s="78">
        <f t="shared" si="16"/>
        <v>0</v>
      </c>
      <c r="CI62" s="4"/>
      <c r="CJ62" s="72" t="s">
        <v>92</v>
      </c>
      <c r="CK62" s="181">
        <v>0.01</v>
      </c>
      <c r="CL62" s="1" t="str">
        <f t="shared" si="1"/>
        <v>V</v>
      </c>
      <c r="CM62" s="81">
        <f t="shared" si="17"/>
        <v>3.4641016151377544</v>
      </c>
      <c r="CN62" s="78">
        <f t="shared" si="18"/>
        <v>2.886751345948129E-3</v>
      </c>
      <c r="CO62" s="4"/>
      <c r="CP62" s="72" t="s">
        <v>70</v>
      </c>
      <c r="CQ62" s="6">
        <f t="shared" si="19"/>
        <v>0</v>
      </c>
      <c r="CR62" s="1" t="str">
        <f t="shared" si="2"/>
        <v>V</v>
      </c>
      <c r="CS62" s="81">
        <f t="shared" si="20"/>
        <v>1.7320508075688772</v>
      </c>
      <c r="CT62" s="86">
        <f t="shared" si="21"/>
        <v>0</v>
      </c>
      <c r="CU62" s="8"/>
      <c r="CV62" s="94">
        <f t="shared" si="22"/>
        <v>2.887184326178939E-3</v>
      </c>
      <c r="CW62" s="5">
        <f t="shared" si="23"/>
        <v>200.11999998920001</v>
      </c>
      <c r="CX62" s="95">
        <f t="shared" ref="CX62:CX63" si="35">ROUND(TINV(0.05,CW62),0)</f>
        <v>2</v>
      </c>
      <c r="CY62" s="110">
        <f t="shared" ref="CY62:CY63" si="36">(CV62*CX62)</f>
        <v>5.774368652357878E-3</v>
      </c>
      <c r="CZ62" s="106" t="str">
        <f t="shared" si="3"/>
        <v>V</v>
      </c>
      <c r="DA62" s="8"/>
      <c r="DB62" s="177">
        <v>1.0000000000000001E-5</v>
      </c>
      <c r="DC62" s="178" t="str">
        <f t="shared" si="26"/>
        <v>V</v>
      </c>
      <c r="DD62" s="220">
        <f t="shared" si="27"/>
        <v>5.774368652357878E-3</v>
      </c>
      <c r="DE62" s="178" t="str">
        <f t="shared" si="28"/>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f t="shared" si="4"/>
        <v>54</v>
      </c>
      <c r="Y63" s="291"/>
      <c r="Z63" s="291"/>
      <c r="AA63" s="291"/>
      <c r="AB63" s="291"/>
      <c r="AC63" s="291">
        <f t="shared" si="5"/>
        <v>54</v>
      </c>
      <c r="AD63" s="291"/>
      <c r="AE63" s="291"/>
      <c r="AF63" s="291"/>
      <c r="AG63" s="291"/>
      <c r="AH63" s="291">
        <f t="shared" si="6"/>
        <v>54</v>
      </c>
      <c r="AI63" s="291"/>
      <c r="AJ63" s="291"/>
      <c r="AK63" s="291"/>
      <c r="AL63" s="291"/>
      <c r="AM63" s="303">
        <f t="shared" si="0"/>
        <v>54</v>
      </c>
      <c r="AN63" s="303"/>
      <c r="AO63" s="303"/>
      <c r="AP63" s="303"/>
      <c r="AQ63" s="303"/>
      <c r="AR63" s="303">
        <f t="shared" si="7"/>
        <v>0</v>
      </c>
      <c r="AS63" s="303"/>
      <c r="AT63" s="303"/>
      <c r="AU63" s="303"/>
      <c r="AV63" s="303"/>
      <c r="AW63" s="139"/>
      <c r="AX63" s="139"/>
      <c r="AY63" s="139"/>
      <c r="AZ63" s="172"/>
      <c r="BA63" s="173"/>
      <c r="BB63" s="322">
        <f t="shared" si="8"/>
        <v>6.4000000000000001E-2</v>
      </c>
      <c r="BC63" s="323"/>
      <c r="BD63" s="323"/>
      <c r="BE63" s="323"/>
      <c r="BF63" s="324"/>
      <c r="BG63" s="322">
        <f t="shared" si="9"/>
        <v>54.064</v>
      </c>
      <c r="BH63" s="323"/>
      <c r="BI63" s="323"/>
      <c r="BJ63" s="323"/>
      <c r="BK63" s="324"/>
      <c r="BL63" s="322">
        <f t="shared" si="10"/>
        <v>53.936</v>
      </c>
      <c r="BM63" s="323"/>
      <c r="BN63" s="323"/>
      <c r="BO63" s="323"/>
      <c r="BP63" s="324"/>
      <c r="BQ63" s="292" t="str">
        <f t="shared" si="11"/>
        <v>PASS</v>
      </c>
      <c r="BR63" s="292"/>
      <c r="BS63" s="292"/>
      <c r="BT63" s="292"/>
      <c r="BU63" s="292"/>
      <c r="BV63" s="173"/>
      <c r="BX63" s="72" t="s">
        <v>129</v>
      </c>
      <c r="BY63" s="5">
        <v>3.1E-4</v>
      </c>
      <c r="BZ63" s="1" t="str">
        <f t="shared" si="12"/>
        <v>V</v>
      </c>
      <c r="CA63" s="180">
        <v>2</v>
      </c>
      <c r="CB63" s="78">
        <f t="shared" si="34"/>
        <v>1.55E-4</v>
      </c>
      <c r="CC63" s="4"/>
      <c r="CD63" s="72" t="s">
        <v>131</v>
      </c>
      <c r="CE63" s="5">
        <v>0</v>
      </c>
      <c r="CF63" s="1" t="str">
        <f t="shared" si="14"/>
        <v>V</v>
      </c>
      <c r="CG63" s="81">
        <f t="shared" si="15"/>
        <v>1.7320508075688772</v>
      </c>
      <c r="CH63" s="78">
        <f t="shared" si="16"/>
        <v>0</v>
      </c>
      <c r="CI63" s="4"/>
      <c r="CJ63" s="72" t="s">
        <v>92</v>
      </c>
      <c r="CK63" s="181">
        <v>0.01</v>
      </c>
      <c r="CL63" s="1" t="str">
        <f t="shared" si="1"/>
        <v>V</v>
      </c>
      <c r="CM63" s="81">
        <f t="shared" si="17"/>
        <v>3.4641016151377544</v>
      </c>
      <c r="CN63" s="78">
        <f t="shared" si="18"/>
        <v>2.886751345948129E-3</v>
      </c>
      <c r="CO63" s="4"/>
      <c r="CP63" s="72" t="s">
        <v>70</v>
      </c>
      <c r="CQ63" s="6">
        <f t="shared" si="19"/>
        <v>0</v>
      </c>
      <c r="CR63" s="1" t="str">
        <f t="shared" si="2"/>
        <v>V</v>
      </c>
      <c r="CS63" s="81">
        <f t="shared" si="20"/>
        <v>1.7320508075688772</v>
      </c>
      <c r="CT63" s="86">
        <f t="shared" si="21"/>
        <v>0</v>
      </c>
      <c r="CU63" s="8"/>
      <c r="CV63" s="94">
        <f t="shared" si="22"/>
        <v>2.8909096031064919E-3</v>
      </c>
      <c r="CW63" s="5">
        <f t="shared" si="23"/>
        <v>201.15319041503992</v>
      </c>
      <c r="CX63" s="95">
        <f t="shared" si="35"/>
        <v>2</v>
      </c>
      <c r="CY63" s="110">
        <f t="shared" si="36"/>
        <v>5.7818192062129839E-3</v>
      </c>
      <c r="CZ63" s="106" t="str">
        <f t="shared" si="3"/>
        <v>V</v>
      </c>
      <c r="DA63" s="8"/>
      <c r="DB63" s="177">
        <v>1.8000000000000001E-4</v>
      </c>
      <c r="DC63" s="178" t="str">
        <f t="shared" si="26"/>
        <v>V</v>
      </c>
      <c r="DD63" s="220">
        <f t="shared" si="27"/>
        <v>5.7818192062129839E-3</v>
      </c>
      <c r="DE63" s="178" t="str">
        <f t="shared" si="28"/>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f t="shared" si="4"/>
        <v>-6</v>
      </c>
      <c r="Y64" s="291"/>
      <c r="Z64" s="291"/>
      <c r="AA64" s="291"/>
      <c r="AB64" s="291"/>
      <c r="AC64" s="291">
        <f t="shared" si="5"/>
        <v>-6</v>
      </c>
      <c r="AD64" s="291"/>
      <c r="AE64" s="291"/>
      <c r="AF64" s="291"/>
      <c r="AG64" s="291"/>
      <c r="AH64" s="291">
        <f t="shared" si="6"/>
        <v>-6</v>
      </c>
      <c r="AI64" s="291"/>
      <c r="AJ64" s="291"/>
      <c r="AK64" s="291"/>
      <c r="AL64" s="291"/>
      <c r="AM64" s="303">
        <f t="shared" si="0"/>
        <v>-6</v>
      </c>
      <c r="AN64" s="303"/>
      <c r="AO64" s="303"/>
      <c r="AP64" s="303"/>
      <c r="AQ64" s="303"/>
      <c r="AR64" s="303">
        <f t="shared" si="7"/>
        <v>0</v>
      </c>
      <c r="AS64" s="303"/>
      <c r="AT64" s="303"/>
      <c r="AU64" s="303"/>
      <c r="AV64" s="303"/>
      <c r="AW64" s="139"/>
      <c r="AX64" s="139"/>
      <c r="AY64" s="139"/>
      <c r="AZ64" s="172"/>
      <c r="BA64" s="173"/>
      <c r="BB64" s="322">
        <f t="shared" si="8"/>
        <v>1.6E-2</v>
      </c>
      <c r="BC64" s="323"/>
      <c r="BD64" s="323"/>
      <c r="BE64" s="323"/>
      <c r="BF64" s="324"/>
      <c r="BG64" s="322">
        <f t="shared" si="9"/>
        <v>-5.984</v>
      </c>
      <c r="BH64" s="323"/>
      <c r="BI64" s="323"/>
      <c r="BJ64" s="323"/>
      <c r="BK64" s="324"/>
      <c r="BL64" s="322">
        <f t="shared" si="10"/>
        <v>-6.016</v>
      </c>
      <c r="BM64" s="323"/>
      <c r="BN64" s="323"/>
      <c r="BO64" s="323"/>
      <c r="BP64" s="324"/>
      <c r="BQ64" s="292" t="str">
        <f t="shared" si="11"/>
        <v>PASS</v>
      </c>
      <c r="BR64" s="292"/>
      <c r="BS64" s="292"/>
      <c r="BT64" s="292"/>
      <c r="BU64" s="292"/>
      <c r="BV64" s="173"/>
      <c r="BX64" s="72" t="s">
        <v>129</v>
      </c>
      <c r="BY64" s="5">
        <v>1.8E-5</v>
      </c>
      <c r="BZ64" s="1" t="str">
        <f t="shared" si="12"/>
        <v>V</v>
      </c>
      <c r="CA64" s="180">
        <v>2</v>
      </c>
      <c r="CB64" s="78">
        <f t="shared" si="32"/>
        <v>9.0000000000000002E-6</v>
      </c>
      <c r="CC64" s="4"/>
      <c r="CD64" s="72" t="s">
        <v>131</v>
      </c>
      <c r="CE64" s="5">
        <v>0</v>
      </c>
      <c r="CF64" s="1" t="str">
        <f t="shared" si="14"/>
        <v>V</v>
      </c>
      <c r="CG64" s="81">
        <f t="shared" si="15"/>
        <v>1.7320508075688772</v>
      </c>
      <c r="CH64" s="78">
        <f t="shared" si="16"/>
        <v>0</v>
      </c>
      <c r="CI64" s="4"/>
      <c r="CJ64" s="72" t="s">
        <v>92</v>
      </c>
      <c r="CK64" s="181">
        <v>0.01</v>
      </c>
      <c r="CL64" s="1" t="str">
        <f t="shared" si="1"/>
        <v>V</v>
      </c>
      <c r="CM64" s="81">
        <f t="shared" si="17"/>
        <v>3.4641016151377544</v>
      </c>
      <c r="CN64" s="78">
        <f t="shared" si="18"/>
        <v>2.886751345948129E-3</v>
      </c>
      <c r="CO64" s="4"/>
      <c r="CP64" s="72" t="s">
        <v>70</v>
      </c>
      <c r="CQ64" s="6">
        <f t="shared" si="19"/>
        <v>0</v>
      </c>
      <c r="CR64" s="1" t="str">
        <f t="shared" si="2"/>
        <v>V</v>
      </c>
      <c r="CS64" s="81">
        <f t="shared" si="20"/>
        <v>1.7320508075688772</v>
      </c>
      <c r="CT64" s="86">
        <f t="shared" si="21"/>
        <v>0</v>
      </c>
      <c r="CU64" s="8"/>
      <c r="CV64" s="94">
        <f t="shared" si="22"/>
        <v>2.8867653755255784E-3</v>
      </c>
      <c r="CW64" s="5">
        <f t="shared" si="23"/>
        <v>200.00388799999962</v>
      </c>
      <c r="CX64" s="95">
        <f t="shared" si="33"/>
        <v>2</v>
      </c>
      <c r="CY64" s="110">
        <f t="shared" ref="CY64:CY65" si="37">(CV64*CX64)</f>
        <v>5.7735307510511568E-3</v>
      </c>
      <c r="CZ64" s="106" t="str">
        <f t="shared" si="3"/>
        <v>V</v>
      </c>
      <c r="DA64" s="8"/>
      <c r="DB64" s="177">
        <v>1.0000000000000001E-5</v>
      </c>
      <c r="DC64" s="178" t="str">
        <f t="shared" si="26"/>
        <v>V</v>
      </c>
      <c r="DD64" s="220">
        <f t="shared" si="27"/>
        <v>5.7735307510511568E-3</v>
      </c>
      <c r="DE64" s="178" t="str">
        <f t="shared" si="28"/>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f t="shared" si="4"/>
        <v>-54</v>
      </c>
      <c r="Y65" s="291"/>
      <c r="Z65" s="291"/>
      <c r="AA65" s="291"/>
      <c r="AB65" s="291"/>
      <c r="AC65" s="291">
        <f t="shared" si="5"/>
        <v>-54</v>
      </c>
      <c r="AD65" s="291"/>
      <c r="AE65" s="291"/>
      <c r="AF65" s="291"/>
      <c r="AG65" s="291"/>
      <c r="AH65" s="291">
        <f t="shared" si="6"/>
        <v>-54</v>
      </c>
      <c r="AI65" s="291"/>
      <c r="AJ65" s="291"/>
      <c r="AK65" s="291"/>
      <c r="AL65" s="291"/>
      <c r="AM65" s="303">
        <f t="shared" si="0"/>
        <v>-54</v>
      </c>
      <c r="AN65" s="303"/>
      <c r="AO65" s="303"/>
      <c r="AP65" s="303"/>
      <c r="AQ65" s="303"/>
      <c r="AR65" s="303">
        <f t="shared" si="7"/>
        <v>0</v>
      </c>
      <c r="AS65" s="303"/>
      <c r="AT65" s="303"/>
      <c r="AU65" s="303"/>
      <c r="AV65" s="303"/>
      <c r="AW65" s="139"/>
      <c r="AX65" s="139"/>
      <c r="AY65" s="139"/>
      <c r="AZ65" s="172"/>
      <c r="BA65" s="173"/>
      <c r="BB65" s="322">
        <f t="shared" si="8"/>
        <v>6.4000000000000001E-2</v>
      </c>
      <c r="BC65" s="323"/>
      <c r="BD65" s="323"/>
      <c r="BE65" s="323"/>
      <c r="BF65" s="324"/>
      <c r="BG65" s="322">
        <f t="shared" si="9"/>
        <v>-53.936</v>
      </c>
      <c r="BH65" s="323"/>
      <c r="BI65" s="323"/>
      <c r="BJ65" s="323"/>
      <c r="BK65" s="324"/>
      <c r="BL65" s="322">
        <f t="shared" si="10"/>
        <v>-54.064</v>
      </c>
      <c r="BM65" s="323"/>
      <c r="BN65" s="323"/>
      <c r="BO65" s="323"/>
      <c r="BP65" s="324"/>
      <c r="BQ65" s="292" t="str">
        <f t="shared" si="11"/>
        <v>PASS</v>
      </c>
      <c r="BR65" s="292"/>
      <c r="BS65" s="292"/>
      <c r="BT65" s="292"/>
      <c r="BU65" s="292"/>
      <c r="BV65" s="173"/>
      <c r="BX65" s="72" t="s">
        <v>129</v>
      </c>
      <c r="BY65" s="5">
        <v>3.1E-4</v>
      </c>
      <c r="BZ65" s="1" t="str">
        <f t="shared" si="12"/>
        <v>V</v>
      </c>
      <c r="CA65" s="180">
        <v>2</v>
      </c>
      <c r="CB65" s="78">
        <f t="shared" si="32"/>
        <v>1.55E-4</v>
      </c>
      <c r="CC65" s="4"/>
      <c r="CD65" s="72" t="s">
        <v>131</v>
      </c>
      <c r="CE65" s="5">
        <v>0</v>
      </c>
      <c r="CF65" s="1" t="str">
        <f t="shared" si="14"/>
        <v>V</v>
      </c>
      <c r="CG65" s="81">
        <f t="shared" si="15"/>
        <v>1.7320508075688772</v>
      </c>
      <c r="CH65" s="78">
        <f t="shared" si="16"/>
        <v>0</v>
      </c>
      <c r="CI65" s="4"/>
      <c r="CJ65" s="72" t="s">
        <v>92</v>
      </c>
      <c r="CK65" s="181">
        <v>0.01</v>
      </c>
      <c r="CL65" s="1" t="str">
        <f t="shared" si="1"/>
        <v>V</v>
      </c>
      <c r="CM65" s="81">
        <f t="shared" si="17"/>
        <v>3.4641016151377544</v>
      </c>
      <c r="CN65" s="78">
        <f t="shared" si="18"/>
        <v>2.886751345948129E-3</v>
      </c>
      <c r="CO65" s="4"/>
      <c r="CP65" s="72" t="s">
        <v>70</v>
      </c>
      <c r="CQ65" s="6">
        <f t="shared" si="19"/>
        <v>0</v>
      </c>
      <c r="CR65" s="1" t="str">
        <f t="shared" si="2"/>
        <v>V</v>
      </c>
      <c r="CS65" s="81">
        <f t="shared" si="20"/>
        <v>1.7320508075688772</v>
      </c>
      <c r="CT65" s="86">
        <f t="shared" si="21"/>
        <v>0</v>
      </c>
      <c r="CU65" s="8"/>
      <c r="CV65" s="94">
        <f t="shared" si="22"/>
        <v>2.8909096031064919E-3</v>
      </c>
      <c r="CW65" s="5">
        <f t="shared" si="23"/>
        <v>201.15319041503992</v>
      </c>
      <c r="CX65" s="95">
        <f t="shared" si="33"/>
        <v>2</v>
      </c>
      <c r="CY65" s="110">
        <f t="shared" si="37"/>
        <v>5.7818192062129839E-3</v>
      </c>
      <c r="CZ65" s="106" t="str">
        <f t="shared" si="3"/>
        <v>V</v>
      </c>
      <c r="DA65" s="8"/>
      <c r="DB65" s="177">
        <v>1.8000000000000001E-4</v>
      </c>
      <c r="DC65" s="178" t="str">
        <f t="shared" si="26"/>
        <v>V</v>
      </c>
      <c r="DD65" s="220">
        <f t="shared" si="27"/>
        <v>5.7818192062129839E-3</v>
      </c>
      <c r="DE65" s="178" t="str">
        <f t="shared" si="28"/>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f t="shared" si="4"/>
        <v>60</v>
      </c>
      <c r="Y66" s="291"/>
      <c r="Z66" s="291"/>
      <c r="AA66" s="291"/>
      <c r="AB66" s="291"/>
      <c r="AC66" s="291">
        <f t="shared" si="5"/>
        <v>60</v>
      </c>
      <c r="AD66" s="291"/>
      <c r="AE66" s="291"/>
      <c r="AF66" s="291"/>
      <c r="AG66" s="291"/>
      <c r="AH66" s="291">
        <f t="shared" si="6"/>
        <v>60</v>
      </c>
      <c r="AI66" s="291"/>
      <c r="AJ66" s="291"/>
      <c r="AK66" s="291"/>
      <c r="AL66" s="291"/>
      <c r="AM66" s="291">
        <f t="shared" si="0"/>
        <v>60</v>
      </c>
      <c r="AN66" s="291"/>
      <c r="AO66" s="291"/>
      <c r="AP66" s="291"/>
      <c r="AQ66" s="291"/>
      <c r="AR66" s="291">
        <f t="shared" si="7"/>
        <v>0</v>
      </c>
      <c r="AS66" s="291"/>
      <c r="AT66" s="291"/>
      <c r="AU66" s="291"/>
      <c r="AV66" s="291"/>
      <c r="AW66" s="139"/>
      <c r="AX66" s="139"/>
      <c r="AY66" s="139"/>
      <c r="AZ66" s="172"/>
      <c r="BA66" s="173"/>
      <c r="BB66" s="322">
        <f t="shared" si="8"/>
        <v>0.16</v>
      </c>
      <c r="BC66" s="323"/>
      <c r="BD66" s="323"/>
      <c r="BE66" s="323"/>
      <c r="BF66" s="324"/>
      <c r="BG66" s="322">
        <f t="shared" si="9"/>
        <v>60.16</v>
      </c>
      <c r="BH66" s="323"/>
      <c r="BI66" s="323"/>
      <c r="BJ66" s="323"/>
      <c r="BK66" s="324"/>
      <c r="BL66" s="322">
        <f t="shared" si="10"/>
        <v>59.84</v>
      </c>
      <c r="BM66" s="323"/>
      <c r="BN66" s="323"/>
      <c r="BO66" s="323"/>
      <c r="BP66" s="324"/>
      <c r="BQ66" s="292" t="str">
        <f t="shared" si="11"/>
        <v>PASS</v>
      </c>
      <c r="BR66" s="292"/>
      <c r="BS66" s="292"/>
      <c r="BT66" s="292"/>
      <c r="BU66" s="292"/>
      <c r="BV66" s="173"/>
      <c r="BX66" s="72" t="s">
        <v>129</v>
      </c>
      <c r="BY66" s="5">
        <v>3.1E-4</v>
      </c>
      <c r="BZ66" s="1" t="str">
        <f t="shared" si="12"/>
        <v>V</v>
      </c>
      <c r="CA66" s="180">
        <v>2</v>
      </c>
      <c r="CB66" s="78">
        <f t="shared" si="32"/>
        <v>1.55E-4</v>
      </c>
      <c r="CC66" s="4"/>
      <c r="CD66" s="72" t="s">
        <v>131</v>
      </c>
      <c r="CE66" s="5">
        <v>0</v>
      </c>
      <c r="CF66" s="1" t="str">
        <f t="shared" si="14"/>
        <v>V</v>
      </c>
      <c r="CG66" s="81">
        <f t="shared" si="15"/>
        <v>1.7320508075688772</v>
      </c>
      <c r="CH66" s="78">
        <f t="shared" si="16"/>
        <v>0</v>
      </c>
      <c r="CI66" s="4"/>
      <c r="CJ66" s="72" t="s">
        <v>92</v>
      </c>
      <c r="CK66" s="181">
        <v>0.1</v>
      </c>
      <c r="CL66" s="1" t="str">
        <f t="shared" si="1"/>
        <v>V</v>
      </c>
      <c r="CM66" s="81">
        <f t="shared" si="17"/>
        <v>3.4641016151377544</v>
      </c>
      <c r="CN66" s="78">
        <f t="shared" si="18"/>
        <v>2.8867513459481291E-2</v>
      </c>
      <c r="CO66" s="4"/>
      <c r="CP66" s="72" t="s">
        <v>70</v>
      </c>
      <c r="CQ66" s="6">
        <f t="shared" si="19"/>
        <v>0</v>
      </c>
      <c r="CR66" s="1" t="str">
        <f t="shared" si="2"/>
        <v>V</v>
      </c>
      <c r="CS66" s="81">
        <f t="shared" si="20"/>
        <v>1.7320508075688772</v>
      </c>
      <c r="CT66" s="86">
        <f t="shared" si="21"/>
        <v>0</v>
      </c>
      <c r="CU66" s="8"/>
      <c r="CV66" s="94">
        <f t="shared" si="22"/>
        <v>2.8867929581688628E-2</v>
      </c>
      <c r="CW66" s="5">
        <f t="shared" si="23"/>
        <v>200.01153199999035</v>
      </c>
      <c r="CX66" s="95">
        <f t="shared" si="33"/>
        <v>2</v>
      </c>
      <c r="CY66" s="112">
        <f t="shared" ref="CY66" si="38">(CV66*CX66)</f>
        <v>5.7735859163377257E-2</v>
      </c>
      <c r="CZ66" s="106" t="str">
        <f t="shared" si="3"/>
        <v>V</v>
      </c>
      <c r="DA66" s="8"/>
      <c r="DB66" s="177">
        <v>1.8000000000000001E-4</v>
      </c>
      <c r="DC66" s="178" t="str">
        <f t="shared" si="26"/>
        <v>V</v>
      </c>
      <c r="DD66" s="220">
        <f t="shared" si="27"/>
        <v>5.7735859163377257E-2</v>
      </c>
      <c r="DE66" s="178" t="str">
        <f t="shared" si="28"/>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f t="shared" si="4"/>
        <v>540</v>
      </c>
      <c r="Y67" s="291"/>
      <c r="Z67" s="291"/>
      <c r="AA67" s="291"/>
      <c r="AB67" s="291"/>
      <c r="AC67" s="291">
        <f t="shared" si="5"/>
        <v>540</v>
      </c>
      <c r="AD67" s="291"/>
      <c r="AE67" s="291"/>
      <c r="AF67" s="291"/>
      <c r="AG67" s="291"/>
      <c r="AH67" s="291">
        <f t="shared" si="6"/>
        <v>540</v>
      </c>
      <c r="AI67" s="291"/>
      <c r="AJ67" s="291"/>
      <c r="AK67" s="291"/>
      <c r="AL67" s="291"/>
      <c r="AM67" s="291">
        <f t="shared" si="0"/>
        <v>540</v>
      </c>
      <c r="AN67" s="291"/>
      <c r="AO67" s="291"/>
      <c r="AP67" s="291"/>
      <c r="AQ67" s="291"/>
      <c r="AR67" s="291">
        <f t="shared" si="7"/>
        <v>0</v>
      </c>
      <c r="AS67" s="291"/>
      <c r="AT67" s="291"/>
      <c r="AU67" s="291"/>
      <c r="AV67" s="291"/>
      <c r="AW67" s="139"/>
      <c r="AX67" s="139"/>
      <c r="AY67" s="139"/>
      <c r="AZ67" s="172"/>
      <c r="BA67" s="173"/>
      <c r="BB67" s="322">
        <f t="shared" si="8"/>
        <v>0.64</v>
      </c>
      <c r="BC67" s="323"/>
      <c r="BD67" s="323"/>
      <c r="BE67" s="323"/>
      <c r="BF67" s="324"/>
      <c r="BG67" s="322">
        <f t="shared" si="9"/>
        <v>540.64</v>
      </c>
      <c r="BH67" s="323"/>
      <c r="BI67" s="323"/>
      <c r="BJ67" s="323"/>
      <c r="BK67" s="324"/>
      <c r="BL67" s="322">
        <f t="shared" si="10"/>
        <v>539.36</v>
      </c>
      <c r="BM67" s="323"/>
      <c r="BN67" s="323"/>
      <c r="BO67" s="323"/>
      <c r="BP67" s="324"/>
      <c r="BQ67" s="292" t="str">
        <f t="shared" si="11"/>
        <v>PASS</v>
      </c>
      <c r="BR67" s="292"/>
      <c r="BS67" s="292"/>
      <c r="BT67" s="292"/>
      <c r="BU67" s="292"/>
      <c r="BV67" s="173"/>
      <c r="BX67" s="72" t="s">
        <v>129</v>
      </c>
      <c r="BY67" s="179">
        <v>3.3E-3</v>
      </c>
      <c r="BZ67" s="1" t="str">
        <f t="shared" si="12"/>
        <v>V</v>
      </c>
      <c r="CA67" s="180">
        <v>2</v>
      </c>
      <c r="CB67" s="78">
        <f t="shared" si="32"/>
        <v>1.65E-3</v>
      </c>
      <c r="CC67" s="4"/>
      <c r="CD67" s="72" t="s">
        <v>131</v>
      </c>
      <c r="CE67" s="5">
        <v>0</v>
      </c>
      <c r="CF67" s="1" t="str">
        <f t="shared" si="14"/>
        <v>V</v>
      </c>
      <c r="CG67" s="81">
        <f t="shared" si="15"/>
        <v>1.7320508075688772</v>
      </c>
      <c r="CH67" s="78">
        <f t="shared" si="16"/>
        <v>0</v>
      </c>
      <c r="CI67" s="4"/>
      <c r="CJ67" s="72" t="s">
        <v>92</v>
      </c>
      <c r="CK67" s="181">
        <v>0.1</v>
      </c>
      <c r="CL67" s="1" t="str">
        <f t="shared" si="1"/>
        <v>V</v>
      </c>
      <c r="CM67" s="81">
        <f t="shared" si="17"/>
        <v>3.4641016151377544</v>
      </c>
      <c r="CN67" s="78">
        <f t="shared" si="18"/>
        <v>2.8867513459481291E-2</v>
      </c>
      <c r="CO67" s="4"/>
      <c r="CP67" s="72" t="s">
        <v>70</v>
      </c>
      <c r="CQ67" s="6">
        <f t="shared" si="19"/>
        <v>0</v>
      </c>
      <c r="CR67" s="1" t="str">
        <f t="shared" si="2"/>
        <v>V</v>
      </c>
      <c r="CS67" s="81">
        <f t="shared" si="20"/>
        <v>1.7320508075688772</v>
      </c>
      <c r="CT67" s="86">
        <f t="shared" si="21"/>
        <v>0</v>
      </c>
      <c r="CU67" s="8"/>
      <c r="CV67" s="94">
        <f t="shared" si="22"/>
        <v>2.8914630091587432E-2</v>
      </c>
      <c r="CW67" s="5">
        <f t="shared" si="23"/>
        <v>201.3067860522948</v>
      </c>
      <c r="CX67" s="95">
        <f t="shared" si="33"/>
        <v>2</v>
      </c>
      <c r="CY67" s="112">
        <f t="shared" ref="CY67:CY69" si="39">(CV67*CX67)</f>
        <v>5.7829260183174865E-2</v>
      </c>
      <c r="CZ67" s="106" t="str">
        <f t="shared" si="3"/>
        <v>V</v>
      </c>
      <c r="DA67" s="8"/>
      <c r="DB67" s="177">
        <v>1.4E-3</v>
      </c>
      <c r="DC67" s="178" t="str">
        <f t="shared" si="26"/>
        <v>V</v>
      </c>
      <c r="DD67" s="220">
        <f t="shared" si="27"/>
        <v>5.7829260183174865E-2</v>
      </c>
      <c r="DE67" s="178" t="str">
        <f t="shared" si="28"/>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f t="shared" si="4"/>
        <v>-540</v>
      </c>
      <c r="Y68" s="291"/>
      <c r="Z68" s="291"/>
      <c r="AA68" s="291"/>
      <c r="AB68" s="291"/>
      <c r="AC68" s="291">
        <f t="shared" si="5"/>
        <v>-540</v>
      </c>
      <c r="AD68" s="291"/>
      <c r="AE68" s="291"/>
      <c r="AF68" s="291"/>
      <c r="AG68" s="291"/>
      <c r="AH68" s="291">
        <f t="shared" si="6"/>
        <v>-540</v>
      </c>
      <c r="AI68" s="291"/>
      <c r="AJ68" s="291"/>
      <c r="AK68" s="291"/>
      <c r="AL68" s="291"/>
      <c r="AM68" s="291">
        <f t="shared" si="0"/>
        <v>-540</v>
      </c>
      <c r="AN68" s="291"/>
      <c r="AO68" s="291"/>
      <c r="AP68" s="291"/>
      <c r="AQ68" s="291"/>
      <c r="AR68" s="291">
        <f t="shared" si="7"/>
        <v>0</v>
      </c>
      <c r="AS68" s="291"/>
      <c r="AT68" s="291"/>
      <c r="AU68" s="291"/>
      <c r="AV68" s="291"/>
      <c r="AW68" s="139"/>
      <c r="AX68" s="139"/>
      <c r="AY68" s="139"/>
      <c r="AZ68" s="172"/>
      <c r="BA68" s="173"/>
      <c r="BB68" s="322">
        <f t="shared" si="8"/>
        <v>0.64</v>
      </c>
      <c r="BC68" s="323"/>
      <c r="BD68" s="323"/>
      <c r="BE68" s="323"/>
      <c r="BF68" s="324"/>
      <c r="BG68" s="322">
        <f t="shared" si="9"/>
        <v>-539.36</v>
      </c>
      <c r="BH68" s="323"/>
      <c r="BI68" s="323"/>
      <c r="BJ68" s="323"/>
      <c r="BK68" s="324"/>
      <c r="BL68" s="322">
        <f t="shared" si="10"/>
        <v>-540.64</v>
      </c>
      <c r="BM68" s="323"/>
      <c r="BN68" s="323"/>
      <c r="BO68" s="323"/>
      <c r="BP68" s="324"/>
      <c r="BQ68" s="292" t="str">
        <f t="shared" si="11"/>
        <v>PASS</v>
      </c>
      <c r="BR68" s="292"/>
      <c r="BS68" s="292"/>
      <c r="BT68" s="292"/>
      <c r="BU68" s="292"/>
      <c r="BV68" s="173"/>
      <c r="BX68" s="72" t="s">
        <v>129</v>
      </c>
      <c r="BY68" s="179">
        <v>3.3E-3</v>
      </c>
      <c r="BZ68" s="1" t="str">
        <f t="shared" si="12"/>
        <v>V</v>
      </c>
      <c r="CA68" s="206">
        <v>2</v>
      </c>
      <c r="CB68" s="207">
        <f t="shared" si="32"/>
        <v>1.65E-3</v>
      </c>
      <c r="CC68" s="4"/>
      <c r="CD68" s="73" t="s">
        <v>131</v>
      </c>
      <c r="CE68" s="89">
        <v>0</v>
      </c>
      <c r="CF68" s="74" t="str">
        <f t="shared" si="14"/>
        <v>V</v>
      </c>
      <c r="CG68" s="82">
        <f t="shared" si="15"/>
        <v>1.7320508075688772</v>
      </c>
      <c r="CH68" s="79">
        <f t="shared" si="16"/>
        <v>0</v>
      </c>
      <c r="CI68" s="4"/>
      <c r="CJ68" s="73" t="s">
        <v>92</v>
      </c>
      <c r="CK68" s="183">
        <v>0.1</v>
      </c>
      <c r="CL68" s="74" t="str">
        <f t="shared" si="1"/>
        <v>V</v>
      </c>
      <c r="CM68" s="82">
        <f t="shared" si="17"/>
        <v>3.4641016151377544</v>
      </c>
      <c r="CN68" s="79">
        <f t="shared" si="18"/>
        <v>2.8867513459481291E-2</v>
      </c>
      <c r="CO68" s="4"/>
      <c r="CP68" s="73" t="s">
        <v>70</v>
      </c>
      <c r="CQ68" s="84">
        <f t="shared" si="19"/>
        <v>0</v>
      </c>
      <c r="CR68" s="74" t="str">
        <f t="shared" si="2"/>
        <v>V</v>
      </c>
      <c r="CS68" s="82">
        <f t="shared" si="20"/>
        <v>1.7320508075688772</v>
      </c>
      <c r="CT68" s="87">
        <f t="shared" si="21"/>
        <v>0</v>
      </c>
      <c r="CU68" s="8"/>
      <c r="CV68" s="96">
        <f t="shared" si="22"/>
        <v>2.8914630091587432E-2</v>
      </c>
      <c r="CW68" s="89">
        <f t="shared" si="23"/>
        <v>201.3067860522948</v>
      </c>
      <c r="CX68" s="97">
        <f t="shared" si="33"/>
        <v>2</v>
      </c>
      <c r="CY68" s="113">
        <f t="shared" si="39"/>
        <v>5.7829260183174865E-2</v>
      </c>
      <c r="CZ68" s="108" t="str">
        <f t="shared" si="3"/>
        <v>V</v>
      </c>
      <c r="DA68" s="8"/>
      <c r="DB68" s="177">
        <v>1.4E-3</v>
      </c>
      <c r="DC68" s="178" t="str">
        <f t="shared" si="26"/>
        <v>V</v>
      </c>
      <c r="DD68" s="220">
        <f t="shared" si="27"/>
        <v>5.7829260183174865E-2</v>
      </c>
      <c r="DE68" s="178" t="str">
        <f t="shared" si="28"/>
        <v>V</v>
      </c>
    </row>
    <row r="69" spans="1:109" s="174" customFormat="1" ht="18" customHeight="1">
      <c r="A69" s="173"/>
      <c r="B69" s="170"/>
      <c r="C69" s="139"/>
      <c r="D69" s="139"/>
      <c r="E69" s="139"/>
      <c r="F69" s="310" t="s">
        <v>146</v>
      </c>
      <c r="G69" s="311"/>
      <c r="H69" s="311"/>
      <c r="I69" s="311"/>
      <c r="J69" s="311"/>
      <c r="K69" s="312"/>
      <c r="L69" s="297">
        <f>1000*10%</f>
        <v>100</v>
      </c>
      <c r="M69" s="298"/>
      <c r="N69" s="298"/>
      <c r="O69" s="298"/>
      <c r="P69" s="299" t="s">
        <v>93</v>
      </c>
      <c r="Q69" s="299"/>
      <c r="R69" s="300"/>
      <c r="S69" s="301" t="s">
        <v>56</v>
      </c>
      <c r="T69" s="301"/>
      <c r="U69" s="301"/>
      <c r="V69" s="301"/>
      <c r="W69" s="301"/>
      <c r="X69" s="291">
        <f t="shared" si="4"/>
        <v>100</v>
      </c>
      <c r="Y69" s="291"/>
      <c r="Z69" s="291"/>
      <c r="AA69" s="291"/>
      <c r="AB69" s="291"/>
      <c r="AC69" s="291">
        <f t="shared" si="5"/>
        <v>100</v>
      </c>
      <c r="AD69" s="291"/>
      <c r="AE69" s="291"/>
      <c r="AF69" s="291"/>
      <c r="AG69" s="291"/>
      <c r="AH69" s="291">
        <f t="shared" si="6"/>
        <v>100</v>
      </c>
      <c r="AI69" s="291"/>
      <c r="AJ69" s="291"/>
      <c r="AK69" s="291"/>
      <c r="AL69" s="291"/>
      <c r="AM69" s="302">
        <f t="shared" ref="AM69:AM71" si="40">AVERAGE(X69:AL69)</f>
        <v>100</v>
      </c>
      <c r="AN69" s="302"/>
      <c r="AO69" s="302"/>
      <c r="AP69" s="302"/>
      <c r="AQ69" s="302"/>
      <c r="AR69" s="302">
        <f t="shared" ref="AR69:AR71" si="41">AM69-L69</f>
        <v>0</v>
      </c>
      <c r="AS69" s="302"/>
      <c r="AT69" s="302"/>
      <c r="AU69" s="302"/>
      <c r="AV69" s="302"/>
      <c r="AW69" s="139"/>
      <c r="AX69" s="139"/>
      <c r="AY69" s="139"/>
      <c r="AZ69" s="172"/>
      <c r="BA69" s="173"/>
      <c r="BB69" s="322">
        <f t="shared" si="8"/>
        <v>1.1000000000000001</v>
      </c>
      <c r="BC69" s="323"/>
      <c r="BD69" s="323"/>
      <c r="BE69" s="323"/>
      <c r="BF69" s="324"/>
      <c r="BG69" s="322">
        <f t="shared" si="9"/>
        <v>101.1</v>
      </c>
      <c r="BH69" s="323"/>
      <c r="BI69" s="323"/>
      <c r="BJ69" s="323"/>
      <c r="BK69" s="324"/>
      <c r="BL69" s="322">
        <f t="shared" si="10"/>
        <v>98.9</v>
      </c>
      <c r="BM69" s="323"/>
      <c r="BN69" s="323"/>
      <c r="BO69" s="323"/>
      <c r="BP69" s="324"/>
      <c r="BQ69" s="292" t="str">
        <f t="shared" ref="BQ69:BQ71" si="42">IF(AND(AM69&lt;=BG69,AM69&gt;=BL69),"PASS","FAIL")</f>
        <v>PASS</v>
      </c>
      <c r="BR69" s="292"/>
      <c r="BS69" s="292"/>
      <c r="BT69" s="292"/>
      <c r="BU69" s="292"/>
      <c r="BV69" s="173"/>
      <c r="BX69" s="75" t="s">
        <v>129</v>
      </c>
      <c r="BY69" s="221">
        <v>3.1E-4</v>
      </c>
      <c r="BZ69" s="76" t="str">
        <f t="shared" ref="BZ69:BZ71" si="43">P69</f>
        <v>V</v>
      </c>
      <c r="CA69" s="180">
        <v>2</v>
      </c>
      <c r="CB69" s="78">
        <f t="shared" ref="CB69:CB71" si="44">BY69/CA69</f>
        <v>1.55E-4</v>
      </c>
      <c r="CC69" s="4"/>
      <c r="CD69" s="72" t="s">
        <v>131</v>
      </c>
      <c r="CE69" s="5">
        <v>0</v>
      </c>
      <c r="CF69" s="1" t="str">
        <f t="shared" ref="CF69:CF71" si="45">BZ69</f>
        <v>V</v>
      </c>
      <c r="CG69" s="81">
        <f t="shared" si="15"/>
        <v>1.7320508075688772</v>
      </c>
      <c r="CH69" s="78">
        <f t="shared" ref="CH69:CH71" si="46">CE69/CG69</f>
        <v>0</v>
      </c>
      <c r="CI69" s="4"/>
      <c r="CJ69" s="72" t="s">
        <v>92</v>
      </c>
      <c r="CK69" s="181">
        <v>1</v>
      </c>
      <c r="CL69" s="1" t="str">
        <f t="shared" ref="CL69:CL71" si="47">P69</f>
        <v>V</v>
      </c>
      <c r="CM69" s="81">
        <f t="shared" si="17"/>
        <v>3.4641016151377544</v>
      </c>
      <c r="CN69" s="78">
        <f t="shared" ref="CN69:CN71" si="48">CK69/CM69</f>
        <v>0.28867513459481292</v>
      </c>
      <c r="CO69" s="4"/>
      <c r="CP69" s="72" t="s">
        <v>70</v>
      </c>
      <c r="CQ69" s="6">
        <f t="shared" ref="CQ69:CQ71" si="49">STDEV(X69:AL69)</f>
        <v>0</v>
      </c>
      <c r="CR69" s="1" t="str">
        <f t="shared" ref="CR69:CR71" si="50">P69</f>
        <v>V</v>
      </c>
      <c r="CS69" s="81">
        <f t="shared" si="20"/>
        <v>1.7320508075688772</v>
      </c>
      <c r="CT69" s="86">
        <f t="shared" ref="CT69:CT71" si="51">CQ69/CS69</f>
        <v>0</v>
      </c>
      <c r="CU69" s="8"/>
      <c r="CV69" s="94">
        <f t="shared" ref="CV69:CV71" si="52">SQRT(SUMSQ(CT69,CN69,CH69,CB69))</f>
        <v>0.28867517620733057</v>
      </c>
      <c r="CW69" s="5">
        <f t="shared" ref="CW69:CW71" si="53">(CV69^4)/(((CT69^4)/2)+((CN69^4)/200)+((CH69^4)/200)+((CB69^4)/200))</f>
        <v>200.00011531999999</v>
      </c>
      <c r="CX69" s="95">
        <f t="shared" ref="CX69:CX71" si="54">ROUND(TINV(0.05,CW69),0)</f>
        <v>2</v>
      </c>
      <c r="CY69" s="112">
        <f t="shared" si="39"/>
        <v>0.57735035241466115</v>
      </c>
      <c r="CZ69" s="106" t="str">
        <f t="shared" ref="CZ69:CZ71" si="55">P69</f>
        <v>V</v>
      </c>
      <c r="DA69" s="8"/>
      <c r="DB69" s="177">
        <v>1.8000000000000001E-4</v>
      </c>
      <c r="DC69" s="178" t="str">
        <f t="shared" ref="DC69:DC71" si="56">CZ69</f>
        <v>V</v>
      </c>
      <c r="DD69" s="220">
        <f t="shared" si="27"/>
        <v>0.57735035241466115</v>
      </c>
      <c r="DE69" s="178" t="str">
        <f t="shared" ref="DE69:DE71" si="57">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f t="shared" si="4"/>
        <v>900</v>
      </c>
      <c r="Y70" s="291"/>
      <c r="Z70" s="291"/>
      <c r="AA70" s="291"/>
      <c r="AB70" s="291"/>
      <c r="AC70" s="291">
        <f t="shared" si="5"/>
        <v>900</v>
      </c>
      <c r="AD70" s="291"/>
      <c r="AE70" s="291"/>
      <c r="AF70" s="291"/>
      <c r="AG70" s="291"/>
      <c r="AH70" s="291">
        <f t="shared" si="6"/>
        <v>900</v>
      </c>
      <c r="AI70" s="291"/>
      <c r="AJ70" s="291"/>
      <c r="AK70" s="291"/>
      <c r="AL70" s="291"/>
      <c r="AM70" s="302">
        <f t="shared" si="40"/>
        <v>900</v>
      </c>
      <c r="AN70" s="302"/>
      <c r="AO70" s="302"/>
      <c r="AP70" s="302"/>
      <c r="AQ70" s="302"/>
      <c r="AR70" s="302">
        <f t="shared" si="41"/>
        <v>0</v>
      </c>
      <c r="AS70" s="302"/>
      <c r="AT70" s="302"/>
      <c r="AU70" s="302"/>
      <c r="AV70" s="302"/>
      <c r="AW70" s="139"/>
      <c r="AX70" s="139"/>
      <c r="AY70" s="139"/>
      <c r="AZ70" s="172"/>
      <c r="BA70" s="173"/>
      <c r="BB70" s="322">
        <f t="shared" si="8"/>
        <v>1.9</v>
      </c>
      <c r="BC70" s="323"/>
      <c r="BD70" s="323"/>
      <c r="BE70" s="323"/>
      <c r="BF70" s="324"/>
      <c r="BG70" s="322">
        <f t="shared" si="9"/>
        <v>901.9</v>
      </c>
      <c r="BH70" s="323"/>
      <c r="BI70" s="323"/>
      <c r="BJ70" s="323"/>
      <c r="BK70" s="324"/>
      <c r="BL70" s="322">
        <f t="shared" si="10"/>
        <v>898.1</v>
      </c>
      <c r="BM70" s="323"/>
      <c r="BN70" s="323"/>
      <c r="BO70" s="323"/>
      <c r="BP70" s="324"/>
      <c r="BQ70" s="292" t="str">
        <f t="shared" si="42"/>
        <v>PASS</v>
      </c>
      <c r="BR70" s="292"/>
      <c r="BS70" s="292"/>
      <c r="BT70" s="292"/>
      <c r="BU70" s="292"/>
      <c r="BV70" s="173"/>
      <c r="BX70" s="72" t="s">
        <v>129</v>
      </c>
      <c r="BY70" s="179">
        <v>3.3E-3</v>
      </c>
      <c r="BZ70" s="1" t="str">
        <f t="shared" si="43"/>
        <v>V</v>
      </c>
      <c r="CA70" s="180">
        <v>2</v>
      </c>
      <c r="CB70" s="78">
        <f t="shared" si="44"/>
        <v>1.65E-3</v>
      </c>
      <c r="CC70" s="4"/>
      <c r="CD70" s="72" t="s">
        <v>131</v>
      </c>
      <c r="CE70" s="5">
        <v>0</v>
      </c>
      <c r="CF70" s="1" t="str">
        <f t="shared" si="45"/>
        <v>V</v>
      </c>
      <c r="CG70" s="81">
        <f t="shared" si="15"/>
        <v>1.7320508075688772</v>
      </c>
      <c r="CH70" s="78">
        <f t="shared" si="46"/>
        <v>0</v>
      </c>
      <c r="CI70" s="4"/>
      <c r="CJ70" s="72" t="s">
        <v>92</v>
      </c>
      <c r="CK70" s="181">
        <v>1</v>
      </c>
      <c r="CL70" s="1" t="str">
        <f t="shared" si="47"/>
        <v>V</v>
      </c>
      <c r="CM70" s="81">
        <f t="shared" si="17"/>
        <v>3.4641016151377544</v>
      </c>
      <c r="CN70" s="78">
        <f t="shared" si="48"/>
        <v>0.28867513459481292</v>
      </c>
      <c r="CO70" s="4"/>
      <c r="CP70" s="72" t="s">
        <v>70</v>
      </c>
      <c r="CQ70" s="6">
        <f t="shared" si="49"/>
        <v>0</v>
      </c>
      <c r="CR70" s="1" t="str">
        <f t="shared" si="50"/>
        <v>V</v>
      </c>
      <c r="CS70" s="81">
        <f t="shared" si="20"/>
        <v>1.7320508075688772</v>
      </c>
      <c r="CT70" s="86">
        <f t="shared" si="51"/>
        <v>0</v>
      </c>
      <c r="CU70" s="8"/>
      <c r="CV70" s="94">
        <f t="shared" si="52"/>
        <v>0.28867985006462321</v>
      </c>
      <c r="CW70" s="5">
        <f t="shared" si="53"/>
        <v>200.01306799998596</v>
      </c>
      <c r="CX70" s="95">
        <f t="shared" si="54"/>
        <v>2</v>
      </c>
      <c r="CY70" s="112">
        <f t="shared" ref="CY70:CY71" si="58">(CV70*CX70)</f>
        <v>0.57735970012924642</v>
      </c>
      <c r="CZ70" s="106" t="str">
        <f t="shared" si="55"/>
        <v>V</v>
      </c>
      <c r="DA70" s="8"/>
      <c r="DB70" s="177">
        <v>1.4E-3</v>
      </c>
      <c r="DC70" s="178" t="str">
        <f t="shared" si="56"/>
        <v>V</v>
      </c>
      <c r="DD70" s="220">
        <f t="shared" si="27"/>
        <v>0.57735970012924642</v>
      </c>
      <c r="DE70" s="178" t="str">
        <f t="shared" si="57"/>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f t="shared" si="4"/>
        <v>-900</v>
      </c>
      <c r="Y71" s="291"/>
      <c r="Z71" s="291"/>
      <c r="AA71" s="291"/>
      <c r="AB71" s="291"/>
      <c r="AC71" s="291">
        <f t="shared" si="5"/>
        <v>-900</v>
      </c>
      <c r="AD71" s="291"/>
      <c r="AE71" s="291"/>
      <c r="AF71" s="291"/>
      <c r="AG71" s="291"/>
      <c r="AH71" s="291">
        <f t="shared" si="6"/>
        <v>-900</v>
      </c>
      <c r="AI71" s="291"/>
      <c r="AJ71" s="291"/>
      <c r="AK71" s="291"/>
      <c r="AL71" s="291"/>
      <c r="AM71" s="302">
        <f t="shared" si="40"/>
        <v>-900</v>
      </c>
      <c r="AN71" s="302"/>
      <c r="AO71" s="302"/>
      <c r="AP71" s="302"/>
      <c r="AQ71" s="302"/>
      <c r="AR71" s="302">
        <f t="shared" si="41"/>
        <v>0</v>
      </c>
      <c r="AS71" s="302"/>
      <c r="AT71" s="302"/>
      <c r="AU71" s="302"/>
      <c r="AV71" s="302"/>
      <c r="AW71" s="139"/>
      <c r="AX71" s="139"/>
      <c r="AY71" s="139"/>
      <c r="AZ71" s="172"/>
      <c r="BA71" s="173"/>
      <c r="BB71" s="322">
        <f t="shared" si="8"/>
        <v>1.9</v>
      </c>
      <c r="BC71" s="323"/>
      <c r="BD71" s="323"/>
      <c r="BE71" s="323"/>
      <c r="BF71" s="324"/>
      <c r="BG71" s="322">
        <f t="shared" si="9"/>
        <v>-898.1</v>
      </c>
      <c r="BH71" s="323"/>
      <c r="BI71" s="323"/>
      <c r="BJ71" s="323"/>
      <c r="BK71" s="324"/>
      <c r="BL71" s="322">
        <f t="shared" si="10"/>
        <v>-901.9</v>
      </c>
      <c r="BM71" s="323"/>
      <c r="BN71" s="323"/>
      <c r="BO71" s="323"/>
      <c r="BP71" s="324"/>
      <c r="BQ71" s="292" t="str">
        <f t="shared" si="42"/>
        <v>PASS</v>
      </c>
      <c r="BR71" s="292"/>
      <c r="BS71" s="292"/>
      <c r="BT71" s="292"/>
      <c r="BU71" s="292"/>
      <c r="BV71" s="173"/>
      <c r="BX71" s="73" t="s">
        <v>129</v>
      </c>
      <c r="BY71" s="223">
        <v>3.3E-3</v>
      </c>
      <c r="BZ71" s="74" t="str">
        <f t="shared" si="43"/>
        <v>V</v>
      </c>
      <c r="CA71" s="182">
        <v>2</v>
      </c>
      <c r="CB71" s="79">
        <f t="shared" si="44"/>
        <v>1.65E-3</v>
      </c>
      <c r="CC71" s="4"/>
      <c r="CD71" s="73" t="s">
        <v>131</v>
      </c>
      <c r="CE71" s="89">
        <v>0</v>
      </c>
      <c r="CF71" s="74" t="str">
        <f t="shared" si="45"/>
        <v>V</v>
      </c>
      <c r="CG71" s="82">
        <f t="shared" si="15"/>
        <v>1.7320508075688772</v>
      </c>
      <c r="CH71" s="79">
        <f t="shared" si="46"/>
        <v>0</v>
      </c>
      <c r="CI71" s="4"/>
      <c r="CJ71" s="73" t="s">
        <v>92</v>
      </c>
      <c r="CK71" s="183">
        <v>1</v>
      </c>
      <c r="CL71" s="74" t="str">
        <f t="shared" si="47"/>
        <v>V</v>
      </c>
      <c r="CM71" s="82">
        <f t="shared" si="17"/>
        <v>3.4641016151377544</v>
      </c>
      <c r="CN71" s="79">
        <f t="shared" si="48"/>
        <v>0.28867513459481292</v>
      </c>
      <c r="CO71" s="4"/>
      <c r="CP71" s="73" t="s">
        <v>70</v>
      </c>
      <c r="CQ71" s="84">
        <f t="shared" si="49"/>
        <v>0</v>
      </c>
      <c r="CR71" s="74" t="str">
        <f t="shared" si="50"/>
        <v>V</v>
      </c>
      <c r="CS71" s="82">
        <f t="shared" si="20"/>
        <v>1.7320508075688772</v>
      </c>
      <c r="CT71" s="87">
        <f t="shared" si="51"/>
        <v>0</v>
      </c>
      <c r="CU71" s="8"/>
      <c r="CV71" s="96">
        <f t="shared" si="52"/>
        <v>0.28867985006462321</v>
      </c>
      <c r="CW71" s="89">
        <f t="shared" si="53"/>
        <v>200.01306799998596</v>
      </c>
      <c r="CX71" s="97">
        <f t="shared" si="54"/>
        <v>2</v>
      </c>
      <c r="CY71" s="113">
        <f t="shared" si="58"/>
        <v>0.57735970012924642</v>
      </c>
      <c r="CZ71" s="108" t="str">
        <f t="shared" si="55"/>
        <v>V</v>
      </c>
      <c r="DA71" s="8"/>
      <c r="DB71" s="177">
        <v>1.4E-3</v>
      </c>
      <c r="DC71" s="178" t="str">
        <f t="shared" si="56"/>
        <v>V</v>
      </c>
      <c r="DD71" s="220">
        <f t="shared" si="27"/>
        <v>0.57735970012924642</v>
      </c>
      <c r="DE71" s="178" t="str">
        <f t="shared" si="57"/>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f t="shared" ref="X76" si="59">L76</f>
        <v>60</v>
      </c>
      <c r="Y76" s="291"/>
      <c r="Z76" s="291"/>
      <c r="AA76" s="291"/>
      <c r="AB76" s="291"/>
      <c r="AC76" s="291">
        <f t="shared" ref="AC76" si="60">L76</f>
        <v>60</v>
      </c>
      <c r="AD76" s="291"/>
      <c r="AE76" s="291"/>
      <c r="AF76" s="291"/>
      <c r="AG76" s="291"/>
      <c r="AH76" s="291">
        <f t="shared" ref="AH76" si="61">L76</f>
        <v>60</v>
      </c>
      <c r="AI76" s="291"/>
      <c r="AJ76" s="291"/>
      <c r="AK76" s="291"/>
      <c r="AL76" s="291"/>
      <c r="AM76" s="325">
        <f t="shared" ref="AM76:AM79" si="62">AVERAGE(X76:AL76)</f>
        <v>60</v>
      </c>
      <c r="AN76" s="326"/>
      <c r="AO76" s="326"/>
      <c r="AP76" s="326"/>
      <c r="AQ76" s="327"/>
      <c r="AR76" s="291">
        <f t="shared" ref="AR76:AR79" si="63">AM76-L76</f>
        <v>0</v>
      </c>
      <c r="AS76" s="291"/>
      <c r="AT76" s="291"/>
      <c r="AU76" s="291"/>
      <c r="AV76" s="291"/>
      <c r="AW76" s="139"/>
      <c r="AX76" s="139"/>
      <c r="AY76" s="139"/>
      <c r="AZ76" s="172"/>
      <c r="BA76" s="173"/>
      <c r="BB76" s="320">
        <f>(AM76*0.7%)+(4*CK76)</f>
        <v>0.82</v>
      </c>
      <c r="BC76" s="320"/>
      <c r="BD76" s="320"/>
      <c r="BE76" s="320"/>
      <c r="BF76" s="320"/>
      <c r="BG76" s="320">
        <f t="shared" ref="BG76:BG79" si="64">L76+BB76</f>
        <v>60.82</v>
      </c>
      <c r="BH76" s="320"/>
      <c r="BI76" s="320"/>
      <c r="BJ76" s="320"/>
      <c r="BK76" s="320"/>
      <c r="BL76" s="320">
        <f t="shared" ref="BL76:BL79" si="65">L76-BB76</f>
        <v>59.18</v>
      </c>
      <c r="BM76" s="320"/>
      <c r="BN76" s="320"/>
      <c r="BO76" s="320"/>
      <c r="BP76" s="320"/>
      <c r="BQ76" s="292" t="str">
        <f t="shared" ref="BQ76:BQ79" si="66">IF(AND(AM76&lt;=BG76,AM76&gt;=BL76),"PASS","FAIL")</f>
        <v>PASS</v>
      </c>
      <c r="BR76" s="292"/>
      <c r="BS76" s="292"/>
      <c r="BT76" s="292"/>
      <c r="BU76" s="292"/>
      <c r="BV76" s="173"/>
      <c r="BX76" s="70" t="s">
        <v>129</v>
      </c>
      <c r="BY76" s="83">
        <v>7.0000000000000007E-2</v>
      </c>
      <c r="BZ76" s="71" t="str">
        <f t="shared" ref="BZ76:BZ79" si="67">P76</f>
        <v>mV</v>
      </c>
      <c r="CA76" s="191">
        <v>2</v>
      </c>
      <c r="CB76" s="77">
        <f t="shared" ref="CB76:CB79" si="68">BY76/CA76</f>
        <v>3.5000000000000003E-2</v>
      </c>
      <c r="CC76" s="4"/>
      <c r="CD76" s="70" t="s">
        <v>131</v>
      </c>
      <c r="CE76" s="88">
        <v>0</v>
      </c>
      <c r="CF76" s="71" t="str">
        <f t="shared" ref="CF76:CF79" si="69">BZ76</f>
        <v>mV</v>
      </c>
      <c r="CG76" s="80">
        <f t="shared" si="15"/>
        <v>1.7320508075688772</v>
      </c>
      <c r="CH76" s="77">
        <f>CE76/CG76</f>
        <v>0</v>
      </c>
      <c r="CI76" s="4"/>
      <c r="CJ76" s="70" t="s">
        <v>92</v>
      </c>
      <c r="CK76" s="176">
        <v>0.1</v>
      </c>
      <c r="CL76" s="71" t="str">
        <f t="shared" ref="CL76:CL79" si="70">P76</f>
        <v>mV</v>
      </c>
      <c r="CM76" s="80">
        <f>SQRT(12)</f>
        <v>3.4641016151377544</v>
      </c>
      <c r="CN76" s="77">
        <f>CK76/CM76</f>
        <v>2.8867513459481291E-2</v>
      </c>
      <c r="CO76" s="4"/>
      <c r="CP76" s="70" t="s">
        <v>70</v>
      </c>
      <c r="CQ76" s="83">
        <f t="shared" ref="CQ76:CQ79" si="71">STDEV(X76:AL76)</f>
        <v>0</v>
      </c>
      <c r="CR76" s="71" t="str">
        <f t="shared" ref="CR76:CR79" si="72">P76</f>
        <v>mV</v>
      </c>
      <c r="CS76" s="80">
        <f>SQRT(3)</f>
        <v>1.7320508075688772</v>
      </c>
      <c r="CT76" s="85">
        <f>CQ76/CS76</f>
        <v>0</v>
      </c>
      <c r="CU76" s="8"/>
      <c r="CV76" s="92">
        <f>SQRT(SUMSQ(CT76,CN76,CH76,CB76))</f>
        <v>4.5368858629387339E-2</v>
      </c>
      <c r="CW76" s="88">
        <f>(CV76^4)/(((CT76^4)/2)+((CN76^4)/200)+((CH76^4)/200)+((CB76^4)/200))</f>
        <v>386.02296814198502</v>
      </c>
      <c r="CX76" s="93">
        <f t="shared" ref="CX76:CX79" si="73">ROUND(TINV(0.05,CW76),0)</f>
        <v>2</v>
      </c>
      <c r="CY76" s="118">
        <f>(CV76*CX76)</f>
        <v>9.0737717258774678E-2</v>
      </c>
      <c r="CZ76" s="104" t="str">
        <f t="shared" ref="CZ76:CZ79" si="74">P76</f>
        <v>mV</v>
      </c>
      <c r="DA76" s="8"/>
      <c r="DB76" s="177">
        <v>0.01</v>
      </c>
      <c r="DC76" s="178" t="str">
        <f>CZ76</f>
        <v>mV</v>
      </c>
      <c r="DD76" s="220">
        <f t="shared" ref="DD76:DD97" si="75">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6">600*10%</f>
        <v>60</v>
      </c>
      <c r="M77" s="298"/>
      <c r="N77" s="298"/>
      <c r="O77" s="298"/>
      <c r="P77" s="299" t="s">
        <v>91</v>
      </c>
      <c r="Q77" s="299"/>
      <c r="R77" s="300"/>
      <c r="S77" s="319" t="s">
        <v>144</v>
      </c>
      <c r="T77" s="319"/>
      <c r="U77" s="319"/>
      <c r="V77" s="319"/>
      <c r="W77" s="319"/>
      <c r="X77" s="291">
        <f t="shared" ref="X77:X97" si="77">L77</f>
        <v>60</v>
      </c>
      <c r="Y77" s="291"/>
      <c r="Z77" s="291"/>
      <c r="AA77" s="291"/>
      <c r="AB77" s="291"/>
      <c r="AC77" s="291">
        <f t="shared" ref="AC77:AC97" si="78">L77</f>
        <v>60</v>
      </c>
      <c r="AD77" s="291"/>
      <c r="AE77" s="291"/>
      <c r="AF77" s="291"/>
      <c r="AG77" s="291"/>
      <c r="AH77" s="291">
        <f t="shared" ref="AH77:AH97" si="79">L77</f>
        <v>60</v>
      </c>
      <c r="AI77" s="291"/>
      <c r="AJ77" s="291"/>
      <c r="AK77" s="291"/>
      <c r="AL77" s="291"/>
      <c r="AM77" s="291">
        <f t="shared" si="62"/>
        <v>60</v>
      </c>
      <c r="AN77" s="291"/>
      <c r="AO77" s="291"/>
      <c r="AP77" s="291"/>
      <c r="AQ77" s="291"/>
      <c r="AR77" s="291">
        <f t="shared" si="63"/>
        <v>0</v>
      </c>
      <c r="AS77" s="291"/>
      <c r="AT77" s="291"/>
      <c r="AU77" s="291"/>
      <c r="AV77" s="291"/>
      <c r="AW77" s="139"/>
      <c r="AX77" s="139"/>
      <c r="AY77" s="139"/>
      <c r="AZ77" s="172"/>
      <c r="BA77" s="173"/>
      <c r="BB77" s="320">
        <f>(AM77*1%)+(4*CK77)</f>
        <v>1</v>
      </c>
      <c r="BC77" s="320"/>
      <c r="BD77" s="320"/>
      <c r="BE77" s="320"/>
      <c r="BF77" s="320"/>
      <c r="BG77" s="320">
        <f t="shared" si="64"/>
        <v>61</v>
      </c>
      <c r="BH77" s="320"/>
      <c r="BI77" s="320"/>
      <c r="BJ77" s="320"/>
      <c r="BK77" s="320"/>
      <c r="BL77" s="320">
        <f t="shared" si="65"/>
        <v>59</v>
      </c>
      <c r="BM77" s="320"/>
      <c r="BN77" s="320"/>
      <c r="BO77" s="320"/>
      <c r="BP77" s="320"/>
      <c r="BQ77" s="292" t="str">
        <f t="shared" si="66"/>
        <v>PASS</v>
      </c>
      <c r="BR77" s="292"/>
      <c r="BS77" s="292"/>
      <c r="BT77" s="292"/>
      <c r="BU77" s="292"/>
      <c r="BV77" s="173"/>
      <c r="BX77" s="72" t="s">
        <v>129</v>
      </c>
      <c r="BY77" s="6">
        <v>7.0000000000000007E-2</v>
      </c>
      <c r="BZ77" s="1" t="str">
        <f t="shared" si="67"/>
        <v>mV</v>
      </c>
      <c r="CA77" s="180">
        <v>2</v>
      </c>
      <c r="CB77" s="78">
        <f t="shared" si="68"/>
        <v>3.5000000000000003E-2</v>
      </c>
      <c r="CC77" s="4"/>
      <c r="CD77" s="72" t="s">
        <v>131</v>
      </c>
      <c r="CE77" s="5">
        <v>0</v>
      </c>
      <c r="CF77" s="1" t="str">
        <f t="shared" si="69"/>
        <v>mV</v>
      </c>
      <c r="CG77" s="81">
        <f t="shared" si="15"/>
        <v>1.7320508075688772</v>
      </c>
      <c r="CH77" s="78">
        <f t="shared" ref="CH77:CH79" si="80">CE77/CG77</f>
        <v>0</v>
      </c>
      <c r="CI77" s="4"/>
      <c r="CJ77" s="72" t="s">
        <v>92</v>
      </c>
      <c r="CK77" s="181">
        <v>0.1</v>
      </c>
      <c r="CL77" s="1" t="str">
        <f t="shared" si="70"/>
        <v>mV</v>
      </c>
      <c r="CM77" s="81">
        <f t="shared" ref="CM77:CM79" si="81">SQRT(12)</f>
        <v>3.4641016151377544</v>
      </c>
      <c r="CN77" s="78">
        <f t="shared" ref="CN77:CN79" si="82">CK77/CM77</f>
        <v>2.8867513459481291E-2</v>
      </c>
      <c r="CO77" s="4"/>
      <c r="CP77" s="72" t="s">
        <v>70</v>
      </c>
      <c r="CQ77" s="6">
        <f t="shared" si="71"/>
        <v>0</v>
      </c>
      <c r="CR77" s="1" t="str">
        <f t="shared" si="72"/>
        <v>mV</v>
      </c>
      <c r="CS77" s="81">
        <f t="shared" ref="CS77:CS79" si="83">SQRT(3)</f>
        <v>1.7320508075688772</v>
      </c>
      <c r="CT77" s="86">
        <f t="shared" ref="CT77:CT79" si="84">CQ77/CS77</f>
        <v>0</v>
      </c>
      <c r="CU77" s="8"/>
      <c r="CV77" s="94">
        <f t="shared" ref="CV77:CV79" si="85">SQRT(SUMSQ(CT77,CN77,CH77,CB77))</f>
        <v>4.5368858629387339E-2</v>
      </c>
      <c r="CW77" s="5">
        <f t="shared" ref="CW77:CW79" si="86">(CV77^4)/(((CT77^4)/2)+((CN77^4)/200)+((CH77^4)/200)+((CB77^4)/200))</f>
        <v>386.02296814198502</v>
      </c>
      <c r="CX77" s="95">
        <f t="shared" si="73"/>
        <v>2</v>
      </c>
      <c r="CY77" s="111">
        <f t="shared" ref="CY77:CY79" si="87">(CV77*CX77)</f>
        <v>9.0737717258774678E-2</v>
      </c>
      <c r="CZ77" s="106" t="str">
        <f t="shared" si="74"/>
        <v>mV</v>
      </c>
      <c r="DA77" s="8"/>
      <c r="DB77" s="177">
        <v>0.01</v>
      </c>
      <c r="DC77" s="178" t="str">
        <f t="shared" ref="DC77:DC79" si="88">CZ77</f>
        <v>mV</v>
      </c>
      <c r="DD77" s="220">
        <f t="shared" si="75"/>
        <v>9.0737717258774678E-2</v>
      </c>
      <c r="DE77" s="178" t="str">
        <f t="shared" ref="DE77:DE79" si="89">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f t="shared" si="77"/>
        <v>540</v>
      </c>
      <c r="Y78" s="291"/>
      <c r="Z78" s="291"/>
      <c r="AA78" s="291"/>
      <c r="AB78" s="291"/>
      <c r="AC78" s="291">
        <f t="shared" si="78"/>
        <v>540</v>
      </c>
      <c r="AD78" s="291"/>
      <c r="AE78" s="291"/>
      <c r="AF78" s="291"/>
      <c r="AG78" s="291"/>
      <c r="AH78" s="291">
        <f t="shared" si="79"/>
        <v>540</v>
      </c>
      <c r="AI78" s="291"/>
      <c r="AJ78" s="291"/>
      <c r="AK78" s="291"/>
      <c r="AL78" s="291"/>
      <c r="AM78" s="291">
        <f t="shared" si="62"/>
        <v>540</v>
      </c>
      <c r="AN78" s="291"/>
      <c r="AO78" s="291"/>
      <c r="AP78" s="291"/>
      <c r="AQ78" s="291"/>
      <c r="AR78" s="291">
        <f t="shared" si="63"/>
        <v>0</v>
      </c>
      <c r="AS78" s="291"/>
      <c r="AT78" s="291"/>
      <c r="AU78" s="291"/>
      <c r="AV78" s="291"/>
      <c r="AW78" s="139"/>
      <c r="AX78" s="139"/>
      <c r="AY78" s="139"/>
      <c r="AZ78" s="172"/>
      <c r="BA78" s="173"/>
      <c r="BB78" s="320">
        <f>(AM78*0.7%)+(4*CK78)</f>
        <v>4.18</v>
      </c>
      <c r="BC78" s="320"/>
      <c r="BD78" s="320"/>
      <c r="BE78" s="320"/>
      <c r="BF78" s="320"/>
      <c r="BG78" s="320">
        <f t="shared" si="64"/>
        <v>544.17999999999995</v>
      </c>
      <c r="BH78" s="320"/>
      <c r="BI78" s="320"/>
      <c r="BJ78" s="320"/>
      <c r="BK78" s="320"/>
      <c r="BL78" s="320">
        <f t="shared" si="65"/>
        <v>535.82000000000005</v>
      </c>
      <c r="BM78" s="320"/>
      <c r="BN78" s="320"/>
      <c r="BO78" s="320"/>
      <c r="BP78" s="320"/>
      <c r="BQ78" s="292" t="str">
        <f t="shared" si="66"/>
        <v>PASS</v>
      </c>
      <c r="BR78" s="292"/>
      <c r="BS78" s="292"/>
      <c r="BT78" s="292"/>
      <c r="BU78" s="292"/>
      <c r="BV78" s="173"/>
      <c r="BX78" s="72" t="s">
        <v>129</v>
      </c>
      <c r="BY78" s="179">
        <v>0.91</v>
      </c>
      <c r="BZ78" s="1" t="str">
        <f t="shared" si="67"/>
        <v>mV</v>
      </c>
      <c r="CA78" s="180">
        <v>2</v>
      </c>
      <c r="CB78" s="78">
        <f t="shared" si="68"/>
        <v>0.45500000000000002</v>
      </c>
      <c r="CC78" s="4"/>
      <c r="CD78" s="72" t="s">
        <v>131</v>
      </c>
      <c r="CE78" s="5">
        <v>0</v>
      </c>
      <c r="CF78" s="1" t="str">
        <f t="shared" si="69"/>
        <v>mV</v>
      </c>
      <c r="CG78" s="81">
        <f t="shared" si="15"/>
        <v>1.7320508075688772</v>
      </c>
      <c r="CH78" s="78">
        <f t="shared" si="80"/>
        <v>0</v>
      </c>
      <c r="CI78" s="4"/>
      <c r="CJ78" s="72" t="s">
        <v>92</v>
      </c>
      <c r="CK78" s="181">
        <v>0.1</v>
      </c>
      <c r="CL78" s="1" t="str">
        <f t="shared" si="70"/>
        <v>mV</v>
      </c>
      <c r="CM78" s="81">
        <f t="shared" si="81"/>
        <v>3.4641016151377544</v>
      </c>
      <c r="CN78" s="78">
        <f t="shared" si="82"/>
        <v>2.8867513459481291E-2</v>
      </c>
      <c r="CO78" s="4"/>
      <c r="CP78" s="72" t="s">
        <v>70</v>
      </c>
      <c r="CQ78" s="6">
        <f t="shared" si="71"/>
        <v>0</v>
      </c>
      <c r="CR78" s="1" t="str">
        <f t="shared" si="72"/>
        <v>mV</v>
      </c>
      <c r="CS78" s="81">
        <f t="shared" si="83"/>
        <v>1.7320508075688772</v>
      </c>
      <c r="CT78" s="86">
        <f t="shared" si="84"/>
        <v>0</v>
      </c>
      <c r="CU78" s="8"/>
      <c r="CV78" s="94">
        <f t="shared" si="85"/>
        <v>0.45591483122764642</v>
      </c>
      <c r="CW78" s="5">
        <f t="shared" si="86"/>
        <v>201.61008541221824</v>
      </c>
      <c r="CX78" s="95">
        <f t="shared" si="73"/>
        <v>2</v>
      </c>
      <c r="CY78" s="111">
        <f t="shared" si="87"/>
        <v>0.91182966245529284</v>
      </c>
      <c r="CZ78" s="106" t="str">
        <f t="shared" si="74"/>
        <v>mV</v>
      </c>
      <c r="DA78" s="8"/>
      <c r="DB78" s="177">
        <v>8.5000000000000006E-2</v>
      </c>
      <c r="DC78" s="178" t="str">
        <f t="shared" si="88"/>
        <v>mV</v>
      </c>
      <c r="DD78" s="220">
        <f t="shared" si="75"/>
        <v>0.91182966245529284</v>
      </c>
      <c r="DE78" s="178" t="str">
        <f t="shared" si="89"/>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f t="shared" si="77"/>
        <v>540</v>
      </c>
      <c r="Y79" s="291"/>
      <c r="Z79" s="291"/>
      <c r="AA79" s="291"/>
      <c r="AB79" s="291"/>
      <c r="AC79" s="291">
        <f t="shared" si="78"/>
        <v>540</v>
      </c>
      <c r="AD79" s="291"/>
      <c r="AE79" s="291"/>
      <c r="AF79" s="291"/>
      <c r="AG79" s="291"/>
      <c r="AH79" s="291">
        <f t="shared" si="79"/>
        <v>540</v>
      </c>
      <c r="AI79" s="291"/>
      <c r="AJ79" s="291"/>
      <c r="AK79" s="291"/>
      <c r="AL79" s="291"/>
      <c r="AM79" s="291">
        <f t="shared" si="62"/>
        <v>540</v>
      </c>
      <c r="AN79" s="291"/>
      <c r="AO79" s="291"/>
      <c r="AP79" s="291"/>
      <c r="AQ79" s="291"/>
      <c r="AR79" s="291">
        <f t="shared" si="63"/>
        <v>0</v>
      </c>
      <c r="AS79" s="291"/>
      <c r="AT79" s="291"/>
      <c r="AU79" s="291"/>
      <c r="AV79" s="291"/>
      <c r="AW79" s="139"/>
      <c r="AX79" s="139"/>
      <c r="AY79" s="139"/>
      <c r="AZ79" s="172"/>
      <c r="BA79" s="173"/>
      <c r="BB79" s="320">
        <f>(AM79*1%)+(4*CK79)</f>
        <v>5.8000000000000007</v>
      </c>
      <c r="BC79" s="320"/>
      <c r="BD79" s="320"/>
      <c r="BE79" s="320"/>
      <c r="BF79" s="320"/>
      <c r="BG79" s="320">
        <f t="shared" si="64"/>
        <v>545.79999999999995</v>
      </c>
      <c r="BH79" s="320"/>
      <c r="BI79" s="320"/>
      <c r="BJ79" s="320"/>
      <c r="BK79" s="320"/>
      <c r="BL79" s="320">
        <f t="shared" si="65"/>
        <v>534.20000000000005</v>
      </c>
      <c r="BM79" s="320"/>
      <c r="BN79" s="320"/>
      <c r="BO79" s="320"/>
      <c r="BP79" s="320"/>
      <c r="BQ79" s="292" t="str">
        <f t="shared" si="66"/>
        <v>PASS</v>
      </c>
      <c r="BR79" s="292"/>
      <c r="BS79" s="292"/>
      <c r="BT79" s="292"/>
      <c r="BU79" s="292"/>
      <c r="BV79" s="173"/>
      <c r="BX79" s="72" t="s">
        <v>129</v>
      </c>
      <c r="BY79" s="179">
        <v>0.91</v>
      </c>
      <c r="BZ79" s="208" t="str">
        <f t="shared" si="67"/>
        <v>mV</v>
      </c>
      <c r="CA79" s="180">
        <v>2</v>
      </c>
      <c r="CB79" s="78">
        <f t="shared" si="68"/>
        <v>0.45500000000000002</v>
      </c>
      <c r="CC79" s="4"/>
      <c r="CD79" s="72" t="s">
        <v>131</v>
      </c>
      <c r="CE79" s="5">
        <v>0</v>
      </c>
      <c r="CF79" s="1" t="str">
        <f t="shared" si="69"/>
        <v>mV</v>
      </c>
      <c r="CG79" s="81">
        <f t="shared" si="15"/>
        <v>1.7320508075688772</v>
      </c>
      <c r="CH79" s="78">
        <f t="shared" si="80"/>
        <v>0</v>
      </c>
      <c r="CI79" s="4"/>
      <c r="CJ79" s="72" t="s">
        <v>92</v>
      </c>
      <c r="CK79" s="181">
        <v>0.1</v>
      </c>
      <c r="CL79" s="1" t="str">
        <f t="shared" si="70"/>
        <v>mV</v>
      </c>
      <c r="CM79" s="81">
        <f t="shared" si="81"/>
        <v>3.4641016151377544</v>
      </c>
      <c r="CN79" s="78">
        <f t="shared" si="82"/>
        <v>2.8867513459481291E-2</v>
      </c>
      <c r="CO79" s="4"/>
      <c r="CP79" s="72" t="s">
        <v>70</v>
      </c>
      <c r="CQ79" s="6">
        <f t="shared" si="71"/>
        <v>0</v>
      </c>
      <c r="CR79" s="1" t="str">
        <f t="shared" si="72"/>
        <v>mV</v>
      </c>
      <c r="CS79" s="81">
        <f t="shared" si="83"/>
        <v>1.7320508075688772</v>
      </c>
      <c r="CT79" s="86">
        <f t="shared" si="84"/>
        <v>0</v>
      </c>
      <c r="CU79" s="8"/>
      <c r="CV79" s="94">
        <f t="shared" si="85"/>
        <v>0.45591483122764642</v>
      </c>
      <c r="CW79" s="5">
        <f t="shared" si="86"/>
        <v>201.61008541221824</v>
      </c>
      <c r="CX79" s="95">
        <f t="shared" si="73"/>
        <v>2</v>
      </c>
      <c r="CY79" s="111">
        <f t="shared" si="87"/>
        <v>0.91182966245529284</v>
      </c>
      <c r="CZ79" s="106" t="str">
        <f t="shared" si="74"/>
        <v>mV</v>
      </c>
      <c r="DA79" s="8"/>
      <c r="DB79" s="177">
        <v>8.5000000000000006E-2</v>
      </c>
      <c r="DC79" s="178" t="str">
        <f t="shared" si="88"/>
        <v>mV</v>
      </c>
      <c r="DD79" s="220">
        <f t="shared" si="75"/>
        <v>0.91182966245529284</v>
      </c>
      <c r="DE79" s="178" t="str">
        <f t="shared" si="89"/>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f t="shared" si="77"/>
        <v>0.60000000000000009</v>
      </c>
      <c r="Y80" s="291"/>
      <c r="Z80" s="291"/>
      <c r="AA80" s="291"/>
      <c r="AB80" s="291"/>
      <c r="AC80" s="291">
        <f t="shared" si="78"/>
        <v>0.60000000000000009</v>
      </c>
      <c r="AD80" s="291"/>
      <c r="AE80" s="291"/>
      <c r="AF80" s="291"/>
      <c r="AG80" s="291"/>
      <c r="AH80" s="291">
        <f t="shared" si="79"/>
        <v>0.60000000000000009</v>
      </c>
      <c r="AI80" s="291"/>
      <c r="AJ80" s="291"/>
      <c r="AK80" s="291"/>
      <c r="AL80" s="291"/>
      <c r="AM80" s="320">
        <f t="shared" ref="AM80:AM93" si="90">AVERAGE(X80:AL80)</f>
        <v>0.60000000000000009</v>
      </c>
      <c r="AN80" s="320"/>
      <c r="AO80" s="320"/>
      <c r="AP80" s="320"/>
      <c r="AQ80" s="320"/>
      <c r="AR80" s="320">
        <f t="shared" ref="AR80:AR93" si="91">AM80-L80</f>
        <v>0</v>
      </c>
      <c r="AS80" s="320"/>
      <c r="AT80" s="320"/>
      <c r="AU80" s="320"/>
      <c r="AV80" s="320"/>
      <c r="AW80" s="139"/>
      <c r="AX80" s="139"/>
      <c r="AY80" s="139"/>
      <c r="AZ80" s="172"/>
      <c r="BA80" s="173"/>
      <c r="BB80" s="320">
        <f>(AM80*0.7%)+(2*CK80)</f>
        <v>6.2000000000000006E-3</v>
      </c>
      <c r="BC80" s="320"/>
      <c r="BD80" s="320"/>
      <c r="BE80" s="320"/>
      <c r="BF80" s="320"/>
      <c r="BG80" s="320">
        <f t="shared" ref="BG80:BG93" si="92">L80+BB80</f>
        <v>0.60620000000000007</v>
      </c>
      <c r="BH80" s="320"/>
      <c r="BI80" s="320"/>
      <c r="BJ80" s="320"/>
      <c r="BK80" s="320"/>
      <c r="BL80" s="320">
        <f t="shared" ref="BL80:BL93" si="93">L80-BB80</f>
        <v>0.59380000000000011</v>
      </c>
      <c r="BM80" s="320"/>
      <c r="BN80" s="320"/>
      <c r="BO80" s="320"/>
      <c r="BP80" s="320"/>
      <c r="BQ80" s="292" t="str">
        <f t="shared" ref="BQ80:BQ93" si="94">IF(AND(AM80&lt;=BG80,AM80&gt;=BL80),"PASS","FAIL")</f>
        <v>PASS</v>
      </c>
      <c r="BR80" s="292"/>
      <c r="BS80" s="292"/>
      <c r="BT80" s="292"/>
      <c r="BU80" s="292"/>
      <c r="BV80" s="173"/>
      <c r="BX80" s="75" t="s">
        <v>129</v>
      </c>
      <c r="BY80" s="6">
        <v>9.1E-4</v>
      </c>
      <c r="BZ80" s="1" t="str">
        <f t="shared" ref="BZ80:BZ93" si="95">P80</f>
        <v>V</v>
      </c>
      <c r="CA80" s="175">
        <v>2</v>
      </c>
      <c r="CB80" s="209">
        <f t="shared" ref="CB80:CB93" si="96">BY80/CA80</f>
        <v>4.55E-4</v>
      </c>
      <c r="CC80" s="4"/>
      <c r="CD80" s="70" t="s">
        <v>131</v>
      </c>
      <c r="CE80" s="88">
        <v>0</v>
      </c>
      <c r="CF80" s="71" t="str">
        <f t="shared" ref="CF80:CF93" si="97">BZ80</f>
        <v>V</v>
      </c>
      <c r="CG80" s="80">
        <f t="shared" si="15"/>
        <v>1.7320508075688772</v>
      </c>
      <c r="CH80" s="77">
        <f>CE80/CG80</f>
        <v>0</v>
      </c>
      <c r="CI80" s="4"/>
      <c r="CJ80" s="70" t="s">
        <v>92</v>
      </c>
      <c r="CK80" s="176">
        <v>1E-3</v>
      </c>
      <c r="CL80" s="71" t="str">
        <f t="shared" ref="CL80:CL93" si="98">P80</f>
        <v>V</v>
      </c>
      <c r="CM80" s="80">
        <f>SQRT(12)</f>
        <v>3.4641016151377544</v>
      </c>
      <c r="CN80" s="77">
        <f>CK80/CM80</f>
        <v>2.886751345948129E-4</v>
      </c>
      <c r="CO80" s="4"/>
      <c r="CP80" s="70" t="s">
        <v>70</v>
      </c>
      <c r="CQ80" s="83">
        <f t="shared" ref="CQ80:CQ93" si="99">STDEV(X80:AL80)</f>
        <v>0</v>
      </c>
      <c r="CR80" s="71" t="str">
        <f t="shared" ref="CR80:CR93" si="100">P80</f>
        <v>V</v>
      </c>
      <c r="CS80" s="80">
        <f>SQRT(3)</f>
        <v>1.7320508075688772</v>
      </c>
      <c r="CT80" s="85">
        <f>CQ80/CS80</f>
        <v>0</v>
      </c>
      <c r="CU80" s="8"/>
      <c r="CV80" s="92">
        <f>SQRT(SUMSQ(CT80,CN80,CH80,CB80))</f>
        <v>5.3884908214947656E-4</v>
      </c>
      <c r="CW80" s="88">
        <f>(CV80^4)/(((CT80^4)/2)+((CN80^4)/200)+((CH80^4)/200)+((CB80^4)/200))</f>
        <v>338.56039130574459</v>
      </c>
      <c r="CX80" s="93">
        <f t="shared" ref="CX80:CX93" si="101">ROUND(TINV(0.05,CW80),0)</f>
        <v>2</v>
      </c>
      <c r="CY80" s="118">
        <f>(CV80*CX80)</f>
        <v>1.0776981642989531E-3</v>
      </c>
      <c r="CZ80" s="104" t="str">
        <f t="shared" ref="CZ80:CZ93" si="102">P80</f>
        <v>V</v>
      </c>
      <c r="DA80" s="8"/>
      <c r="DB80" s="177">
        <v>8.5000000000000006E-5</v>
      </c>
      <c r="DC80" s="178" t="str">
        <f>CZ80</f>
        <v>V</v>
      </c>
      <c r="DD80" s="220">
        <f t="shared" si="75"/>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f t="shared" si="77"/>
        <v>0.60000000000000009</v>
      </c>
      <c r="Y81" s="291"/>
      <c r="Z81" s="291"/>
      <c r="AA81" s="291"/>
      <c r="AB81" s="291"/>
      <c r="AC81" s="291">
        <f t="shared" si="78"/>
        <v>0.60000000000000009</v>
      </c>
      <c r="AD81" s="291"/>
      <c r="AE81" s="291"/>
      <c r="AF81" s="291"/>
      <c r="AG81" s="291"/>
      <c r="AH81" s="291">
        <f t="shared" si="79"/>
        <v>0.60000000000000009</v>
      </c>
      <c r="AI81" s="291"/>
      <c r="AJ81" s="291"/>
      <c r="AK81" s="291"/>
      <c r="AL81" s="291"/>
      <c r="AM81" s="320">
        <f t="shared" si="90"/>
        <v>0.60000000000000009</v>
      </c>
      <c r="AN81" s="320"/>
      <c r="AO81" s="320"/>
      <c r="AP81" s="320"/>
      <c r="AQ81" s="320"/>
      <c r="AR81" s="320">
        <f t="shared" si="91"/>
        <v>0</v>
      </c>
      <c r="AS81" s="320"/>
      <c r="AT81" s="320"/>
      <c r="AU81" s="320"/>
      <c r="AV81" s="320"/>
      <c r="AW81" s="139"/>
      <c r="AX81" s="139"/>
      <c r="AY81" s="139"/>
      <c r="AZ81" s="172"/>
      <c r="BA81" s="173"/>
      <c r="BB81" s="320">
        <f>(AM81*1%)+(4*CK81)</f>
        <v>1.0000000000000002E-2</v>
      </c>
      <c r="BC81" s="320"/>
      <c r="BD81" s="320"/>
      <c r="BE81" s="320"/>
      <c r="BF81" s="320"/>
      <c r="BG81" s="320">
        <f t="shared" si="92"/>
        <v>0.6100000000000001</v>
      </c>
      <c r="BH81" s="320"/>
      <c r="BI81" s="320"/>
      <c r="BJ81" s="320"/>
      <c r="BK81" s="320"/>
      <c r="BL81" s="320">
        <f t="shared" si="93"/>
        <v>0.59000000000000008</v>
      </c>
      <c r="BM81" s="320"/>
      <c r="BN81" s="320"/>
      <c r="BO81" s="320"/>
      <c r="BP81" s="320"/>
      <c r="BQ81" s="292" t="str">
        <f t="shared" si="94"/>
        <v>PASS</v>
      </c>
      <c r="BR81" s="292"/>
      <c r="BS81" s="292"/>
      <c r="BT81" s="292"/>
      <c r="BU81" s="292"/>
      <c r="BV81" s="173"/>
      <c r="BX81" s="72" t="s">
        <v>129</v>
      </c>
      <c r="BY81" s="6">
        <v>9.1E-4</v>
      </c>
      <c r="BZ81" s="1" t="str">
        <f t="shared" si="95"/>
        <v>V</v>
      </c>
      <c r="CA81" s="180">
        <v>2</v>
      </c>
      <c r="CB81" s="78">
        <f t="shared" si="96"/>
        <v>4.55E-4</v>
      </c>
      <c r="CC81" s="4"/>
      <c r="CD81" s="72" t="s">
        <v>131</v>
      </c>
      <c r="CE81" s="5">
        <v>0</v>
      </c>
      <c r="CF81" s="1" t="str">
        <f t="shared" si="97"/>
        <v>V</v>
      </c>
      <c r="CG81" s="81">
        <f t="shared" si="15"/>
        <v>1.7320508075688772</v>
      </c>
      <c r="CH81" s="78">
        <f t="shared" ref="CH81:CH93" si="103">CE81/CG81</f>
        <v>0</v>
      </c>
      <c r="CI81" s="4"/>
      <c r="CJ81" s="72" t="s">
        <v>92</v>
      </c>
      <c r="CK81" s="181">
        <v>1E-3</v>
      </c>
      <c r="CL81" s="1" t="str">
        <f t="shared" si="98"/>
        <v>V</v>
      </c>
      <c r="CM81" s="81">
        <f t="shared" ref="CM81:CM97" si="104">SQRT(12)</f>
        <v>3.4641016151377544</v>
      </c>
      <c r="CN81" s="78">
        <f t="shared" ref="CN81:CN93" si="105">CK81/CM81</f>
        <v>2.886751345948129E-4</v>
      </c>
      <c r="CO81" s="4"/>
      <c r="CP81" s="72" t="s">
        <v>70</v>
      </c>
      <c r="CQ81" s="6">
        <f t="shared" si="99"/>
        <v>0</v>
      </c>
      <c r="CR81" s="1" t="str">
        <f t="shared" si="100"/>
        <v>V</v>
      </c>
      <c r="CS81" s="81">
        <f t="shared" ref="CS81:CS97" si="106">SQRT(3)</f>
        <v>1.7320508075688772</v>
      </c>
      <c r="CT81" s="86">
        <f t="shared" ref="CT81:CT93" si="107">CQ81/CS81</f>
        <v>0</v>
      </c>
      <c r="CU81" s="8"/>
      <c r="CV81" s="94">
        <f t="shared" ref="CV81:CV93" si="108">SQRT(SUMSQ(CT81,CN81,CH81,CB81))</f>
        <v>5.3884908214947656E-4</v>
      </c>
      <c r="CW81" s="5">
        <f t="shared" ref="CW81:CW93" si="109">(CV81^4)/(((CT81^4)/2)+((CN81^4)/200)+((CH81^4)/200)+((CB81^4)/200))</f>
        <v>338.56039130574459</v>
      </c>
      <c r="CX81" s="95">
        <f t="shared" si="101"/>
        <v>2</v>
      </c>
      <c r="CY81" s="111">
        <f t="shared" ref="CY81:CY85" si="110">(CV81*CX81)</f>
        <v>1.0776981642989531E-3</v>
      </c>
      <c r="CZ81" s="106" t="str">
        <f t="shared" si="102"/>
        <v>V</v>
      </c>
      <c r="DA81" s="8"/>
      <c r="DB81" s="177">
        <v>8.5000000000000006E-5</v>
      </c>
      <c r="DC81" s="178" t="str">
        <f t="shared" ref="DC81:DC93" si="111">CZ81</f>
        <v>V</v>
      </c>
      <c r="DD81" s="220">
        <f t="shared" si="75"/>
        <v>1.0776981642989531E-3</v>
      </c>
      <c r="DE81" s="178" t="str">
        <f t="shared" ref="DE81:DE93" si="112">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f t="shared" si="77"/>
        <v>5.4</v>
      </c>
      <c r="Y82" s="291"/>
      <c r="Z82" s="291"/>
      <c r="AA82" s="291"/>
      <c r="AB82" s="291"/>
      <c r="AC82" s="291">
        <f t="shared" si="78"/>
        <v>5.4</v>
      </c>
      <c r="AD82" s="291"/>
      <c r="AE82" s="291"/>
      <c r="AF82" s="291"/>
      <c r="AG82" s="291"/>
      <c r="AH82" s="291">
        <f t="shared" si="79"/>
        <v>5.4</v>
      </c>
      <c r="AI82" s="291"/>
      <c r="AJ82" s="291"/>
      <c r="AK82" s="291"/>
      <c r="AL82" s="291"/>
      <c r="AM82" s="320">
        <f t="shared" si="90"/>
        <v>5.4000000000000012</v>
      </c>
      <c r="AN82" s="320"/>
      <c r="AO82" s="320"/>
      <c r="AP82" s="320"/>
      <c r="AQ82" s="320"/>
      <c r="AR82" s="320">
        <f t="shared" si="91"/>
        <v>0</v>
      </c>
      <c r="AS82" s="320"/>
      <c r="AT82" s="320"/>
      <c r="AU82" s="320"/>
      <c r="AV82" s="320"/>
      <c r="AW82" s="139"/>
      <c r="AX82" s="139"/>
      <c r="AY82" s="139"/>
      <c r="AZ82" s="172"/>
      <c r="BA82" s="173"/>
      <c r="BB82" s="320">
        <f>(AM82*0.7%)+(2*CK82)</f>
        <v>3.9800000000000009E-2</v>
      </c>
      <c r="BC82" s="320"/>
      <c r="BD82" s="320"/>
      <c r="BE82" s="320"/>
      <c r="BF82" s="320"/>
      <c r="BG82" s="320">
        <f t="shared" si="92"/>
        <v>5.4398</v>
      </c>
      <c r="BH82" s="320"/>
      <c r="BI82" s="320"/>
      <c r="BJ82" s="320"/>
      <c r="BK82" s="320"/>
      <c r="BL82" s="320">
        <f t="shared" si="93"/>
        <v>5.3602000000000007</v>
      </c>
      <c r="BM82" s="320"/>
      <c r="BN82" s="320"/>
      <c r="BO82" s="320"/>
      <c r="BP82" s="320"/>
      <c r="BQ82" s="292" t="str">
        <f t="shared" si="94"/>
        <v>PASS</v>
      </c>
      <c r="BR82" s="292"/>
      <c r="BS82" s="292"/>
      <c r="BT82" s="292"/>
      <c r="BU82" s="292"/>
      <c r="BV82" s="173"/>
      <c r="BX82" s="72" t="s">
        <v>129</v>
      </c>
      <c r="BY82" s="179">
        <v>7.3000000000000001E-3</v>
      </c>
      <c r="BZ82" s="1" t="str">
        <f t="shared" si="95"/>
        <v>V</v>
      </c>
      <c r="CA82" s="180">
        <v>2</v>
      </c>
      <c r="CB82" s="78">
        <f t="shared" ref="CB82" si="113">BY82/CA82</f>
        <v>3.65E-3</v>
      </c>
      <c r="CC82" s="4"/>
      <c r="CD82" s="72" t="s">
        <v>131</v>
      </c>
      <c r="CE82" s="5">
        <v>0</v>
      </c>
      <c r="CF82" s="1" t="str">
        <f t="shared" si="97"/>
        <v>V</v>
      </c>
      <c r="CG82" s="81">
        <f t="shared" si="15"/>
        <v>1.7320508075688772</v>
      </c>
      <c r="CH82" s="78">
        <f t="shared" si="103"/>
        <v>0</v>
      </c>
      <c r="CI82" s="4"/>
      <c r="CJ82" s="72" t="s">
        <v>92</v>
      </c>
      <c r="CK82" s="181">
        <v>1E-3</v>
      </c>
      <c r="CL82" s="1" t="str">
        <f t="shared" si="98"/>
        <v>V</v>
      </c>
      <c r="CM82" s="81">
        <f t="shared" si="104"/>
        <v>3.4641016151377544</v>
      </c>
      <c r="CN82" s="78">
        <f t="shared" si="105"/>
        <v>2.886751345948129E-4</v>
      </c>
      <c r="CO82" s="4"/>
      <c r="CP82" s="72" t="s">
        <v>70</v>
      </c>
      <c r="CQ82" s="6">
        <f t="shared" si="99"/>
        <v>1.0877919644084146E-15</v>
      </c>
      <c r="CR82" s="1" t="str">
        <f t="shared" si="100"/>
        <v>V</v>
      </c>
      <c r="CS82" s="81">
        <f t="shared" si="106"/>
        <v>1.7320508075688772</v>
      </c>
      <c r="CT82" s="86">
        <f t="shared" si="107"/>
        <v>6.2803698347350997E-16</v>
      </c>
      <c r="CU82" s="8"/>
      <c r="CV82" s="94">
        <f t="shared" si="108"/>
        <v>3.6613977294652563E-3</v>
      </c>
      <c r="CW82" s="5">
        <f t="shared" si="109"/>
        <v>202.50193501088827</v>
      </c>
      <c r="CX82" s="95">
        <f t="shared" ref="CX82" si="114">ROUND(TINV(0.05,CW82),0)</f>
        <v>2</v>
      </c>
      <c r="CY82" s="111">
        <f t="shared" ref="CY82" si="115">(CV82*CX82)</f>
        <v>7.3227954589305125E-3</v>
      </c>
      <c r="CZ82" s="106" t="str">
        <f t="shared" si="102"/>
        <v>V</v>
      </c>
      <c r="DA82" s="8"/>
      <c r="DB82" s="177">
        <v>8.4999999999999995E-4</v>
      </c>
      <c r="DC82" s="178" t="str">
        <f t="shared" si="111"/>
        <v>V</v>
      </c>
      <c r="DD82" s="220">
        <f t="shared" si="75"/>
        <v>7.3227954589305125E-3</v>
      </c>
      <c r="DE82" s="178" t="str">
        <f t="shared" si="112"/>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f t="shared" si="77"/>
        <v>5.4</v>
      </c>
      <c r="Y83" s="291"/>
      <c r="Z83" s="291"/>
      <c r="AA83" s="291"/>
      <c r="AB83" s="291"/>
      <c r="AC83" s="291">
        <f t="shared" si="78"/>
        <v>5.4</v>
      </c>
      <c r="AD83" s="291"/>
      <c r="AE83" s="291"/>
      <c r="AF83" s="291"/>
      <c r="AG83" s="291"/>
      <c r="AH83" s="291">
        <f t="shared" si="79"/>
        <v>5.4</v>
      </c>
      <c r="AI83" s="291"/>
      <c r="AJ83" s="291"/>
      <c r="AK83" s="291"/>
      <c r="AL83" s="291"/>
      <c r="AM83" s="320">
        <f t="shared" si="90"/>
        <v>5.4000000000000012</v>
      </c>
      <c r="AN83" s="320"/>
      <c r="AO83" s="320"/>
      <c r="AP83" s="320"/>
      <c r="AQ83" s="320"/>
      <c r="AR83" s="320">
        <f t="shared" si="91"/>
        <v>0</v>
      </c>
      <c r="AS83" s="320"/>
      <c r="AT83" s="320"/>
      <c r="AU83" s="320"/>
      <c r="AV83" s="320"/>
      <c r="AW83" s="139"/>
      <c r="AX83" s="139"/>
      <c r="AY83" s="139"/>
      <c r="AZ83" s="172"/>
      <c r="BA83" s="173"/>
      <c r="BB83" s="320">
        <f>(AM83*1%)+(4*CK83)</f>
        <v>5.800000000000001E-2</v>
      </c>
      <c r="BC83" s="320"/>
      <c r="BD83" s="320"/>
      <c r="BE83" s="320"/>
      <c r="BF83" s="320"/>
      <c r="BG83" s="320">
        <f t="shared" si="92"/>
        <v>5.4580000000000002</v>
      </c>
      <c r="BH83" s="320"/>
      <c r="BI83" s="320"/>
      <c r="BJ83" s="320"/>
      <c r="BK83" s="320"/>
      <c r="BL83" s="320">
        <f t="shared" si="93"/>
        <v>5.3420000000000005</v>
      </c>
      <c r="BM83" s="320"/>
      <c r="BN83" s="320"/>
      <c r="BO83" s="320"/>
      <c r="BP83" s="320"/>
      <c r="BQ83" s="292" t="str">
        <f t="shared" si="94"/>
        <v>PASS</v>
      </c>
      <c r="BR83" s="292"/>
      <c r="BS83" s="292"/>
      <c r="BT83" s="292"/>
      <c r="BU83" s="292"/>
      <c r="BV83" s="173"/>
      <c r="BX83" s="72" t="s">
        <v>129</v>
      </c>
      <c r="BY83" s="179">
        <v>7.3000000000000001E-3</v>
      </c>
      <c r="BZ83" s="1" t="str">
        <f t="shared" si="95"/>
        <v>V</v>
      </c>
      <c r="CA83" s="180">
        <v>2</v>
      </c>
      <c r="CB83" s="78">
        <f t="shared" si="96"/>
        <v>3.65E-3</v>
      </c>
      <c r="CC83" s="4"/>
      <c r="CD83" s="72" t="s">
        <v>131</v>
      </c>
      <c r="CE83" s="5">
        <v>0</v>
      </c>
      <c r="CF83" s="1" t="str">
        <f t="shared" si="97"/>
        <v>V</v>
      </c>
      <c r="CG83" s="81">
        <f t="shared" si="15"/>
        <v>1.7320508075688772</v>
      </c>
      <c r="CH83" s="78">
        <f t="shared" si="103"/>
        <v>0</v>
      </c>
      <c r="CI83" s="4"/>
      <c r="CJ83" s="72" t="s">
        <v>92</v>
      </c>
      <c r="CK83" s="181">
        <v>1E-3</v>
      </c>
      <c r="CL83" s="1" t="str">
        <f t="shared" si="98"/>
        <v>V</v>
      </c>
      <c r="CM83" s="81">
        <f t="shared" si="104"/>
        <v>3.4641016151377544</v>
      </c>
      <c r="CN83" s="78">
        <f t="shared" si="105"/>
        <v>2.886751345948129E-4</v>
      </c>
      <c r="CO83" s="4"/>
      <c r="CP83" s="72" t="s">
        <v>70</v>
      </c>
      <c r="CQ83" s="6">
        <f t="shared" si="99"/>
        <v>1.0877919644084146E-15</v>
      </c>
      <c r="CR83" s="1" t="str">
        <f t="shared" si="100"/>
        <v>V</v>
      </c>
      <c r="CS83" s="81">
        <f t="shared" si="106"/>
        <v>1.7320508075688772</v>
      </c>
      <c r="CT83" s="86">
        <f t="shared" si="107"/>
        <v>6.2803698347350997E-16</v>
      </c>
      <c r="CU83" s="8"/>
      <c r="CV83" s="94">
        <f t="shared" si="108"/>
        <v>3.6613977294652563E-3</v>
      </c>
      <c r="CW83" s="5">
        <f t="shared" si="109"/>
        <v>202.50193501088827</v>
      </c>
      <c r="CX83" s="95">
        <f t="shared" si="101"/>
        <v>2</v>
      </c>
      <c r="CY83" s="111">
        <f t="shared" si="110"/>
        <v>7.3227954589305125E-3</v>
      </c>
      <c r="CZ83" s="106" t="str">
        <f t="shared" si="102"/>
        <v>V</v>
      </c>
      <c r="DA83" s="8"/>
      <c r="DB83" s="177">
        <v>8.4999999999999995E-4</v>
      </c>
      <c r="DC83" s="178" t="str">
        <f t="shared" si="111"/>
        <v>V</v>
      </c>
      <c r="DD83" s="220">
        <f t="shared" si="75"/>
        <v>7.3227954589305125E-3</v>
      </c>
      <c r="DE83" s="178" t="str">
        <f t="shared" si="112"/>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f t="shared" si="77"/>
        <v>6</v>
      </c>
      <c r="Y84" s="291"/>
      <c r="Z84" s="291"/>
      <c r="AA84" s="291"/>
      <c r="AB84" s="291"/>
      <c r="AC84" s="291">
        <f t="shared" si="78"/>
        <v>6</v>
      </c>
      <c r="AD84" s="291"/>
      <c r="AE84" s="291"/>
      <c r="AF84" s="291"/>
      <c r="AG84" s="291"/>
      <c r="AH84" s="291">
        <f t="shared" si="79"/>
        <v>6</v>
      </c>
      <c r="AI84" s="291"/>
      <c r="AJ84" s="291"/>
      <c r="AK84" s="291"/>
      <c r="AL84" s="291"/>
      <c r="AM84" s="303">
        <f t="shared" si="90"/>
        <v>6</v>
      </c>
      <c r="AN84" s="303"/>
      <c r="AO84" s="303"/>
      <c r="AP84" s="303"/>
      <c r="AQ84" s="303"/>
      <c r="AR84" s="303">
        <f t="shared" si="91"/>
        <v>0</v>
      </c>
      <c r="AS84" s="303"/>
      <c r="AT84" s="303"/>
      <c r="AU84" s="303"/>
      <c r="AV84" s="303"/>
      <c r="AW84" s="139"/>
      <c r="AX84" s="139"/>
      <c r="AY84" s="139"/>
      <c r="AZ84" s="172"/>
      <c r="BA84" s="173"/>
      <c r="BB84" s="320">
        <f>(AM84*0.7%)+(2*CK84)</f>
        <v>6.2E-2</v>
      </c>
      <c r="BC84" s="320"/>
      <c r="BD84" s="320"/>
      <c r="BE84" s="320"/>
      <c r="BF84" s="320"/>
      <c r="BG84" s="303">
        <f t="shared" si="92"/>
        <v>6.0620000000000003</v>
      </c>
      <c r="BH84" s="303"/>
      <c r="BI84" s="303"/>
      <c r="BJ84" s="303"/>
      <c r="BK84" s="303"/>
      <c r="BL84" s="303">
        <f t="shared" si="93"/>
        <v>5.9379999999999997</v>
      </c>
      <c r="BM84" s="303"/>
      <c r="BN84" s="303"/>
      <c r="BO84" s="303"/>
      <c r="BP84" s="303"/>
      <c r="BQ84" s="292" t="str">
        <f t="shared" si="94"/>
        <v>PASS</v>
      </c>
      <c r="BR84" s="292"/>
      <c r="BS84" s="292"/>
      <c r="BT84" s="292"/>
      <c r="BU84" s="292"/>
      <c r="BV84" s="173"/>
      <c r="BX84" s="72" t="s">
        <v>129</v>
      </c>
      <c r="BY84" s="179">
        <v>7.3000000000000001E-3</v>
      </c>
      <c r="BZ84" s="1" t="str">
        <f t="shared" si="95"/>
        <v>V</v>
      </c>
      <c r="CA84" s="180">
        <v>2</v>
      </c>
      <c r="CB84" s="78">
        <f t="shared" si="96"/>
        <v>3.65E-3</v>
      </c>
      <c r="CC84" s="4"/>
      <c r="CD84" s="72" t="s">
        <v>131</v>
      </c>
      <c r="CE84" s="5">
        <v>0</v>
      </c>
      <c r="CF84" s="1" t="str">
        <f t="shared" si="97"/>
        <v>V</v>
      </c>
      <c r="CG84" s="81">
        <f t="shared" si="15"/>
        <v>1.7320508075688772</v>
      </c>
      <c r="CH84" s="78">
        <f t="shared" si="103"/>
        <v>0</v>
      </c>
      <c r="CI84" s="4"/>
      <c r="CJ84" s="72" t="s">
        <v>92</v>
      </c>
      <c r="CK84" s="181">
        <v>0.01</v>
      </c>
      <c r="CL84" s="1" t="str">
        <f t="shared" si="98"/>
        <v>V</v>
      </c>
      <c r="CM84" s="81">
        <f t="shared" si="104"/>
        <v>3.4641016151377544</v>
      </c>
      <c r="CN84" s="78">
        <f t="shared" si="105"/>
        <v>2.886751345948129E-3</v>
      </c>
      <c r="CO84" s="4"/>
      <c r="CP84" s="72" t="s">
        <v>70</v>
      </c>
      <c r="CQ84" s="6">
        <f t="shared" si="99"/>
        <v>0</v>
      </c>
      <c r="CR84" s="1" t="str">
        <f t="shared" si="100"/>
        <v>V</v>
      </c>
      <c r="CS84" s="81">
        <f t="shared" si="106"/>
        <v>1.7320508075688772</v>
      </c>
      <c r="CT84" s="86">
        <f t="shared" si="107"/>
        <v>0</v>
      </c>
      <c r="CU84" s="8"/>
      <c r="CV84" s="94">
        <f t="shared" si="108"/>
        <v>4.6535828490887896E-3</v>
      </c>
      <c r="CW84" s="5">
        <f t="shared" si="109"/>
        <v>379.83927737795335</v>
      </c>
      <c r="CX84" s="95">
        <f t="shared" si="101"/>
        <v>2</v>
      </c>
      <c r="CY84" s="110">
        <f t="shared" si="110"/>
        <v>9.3071656981775792E-3</v>
      </c>
      <c r="CZ84" s="106" t="str">
        <f t="shared" si="102"/>
        <v>V</v>
      </c>
      <c r="DA84" s="8"/>
      <c r="DB84" s="177">
        <v>8.4999999999999995E-4</v>
      </c>
      <c r="DC84" s="178" t="str">
        <f t="shared" si="111"/>
        <v>V</v>
      </c>
      <c r="DD84" s="220">
        <f t="shared" si="75"/>
        <v>9.3071656981775792E-3</v>
      </c>
      <c r="DE84" s="178" t="str">
        <f t="shared" si="112"/>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f t="shared" si="77"/>
        <v>6</v>
      </c>
      <c r="Y85" s="291"/>
      <c r="Z85" s="291"/>
      <c r="AA85" s="291"/>
      <c r="AB85" s="291"/>
      <c r="AC85" s="291">
        <f t="shared" si="78"/>
        <v>6</v>
      </c>
      <c r="AD85" s="291"/>
      <c r="AE85" s="291"/>
      <c r="AF85" s="291"/>
      <c r="AG85" s="291"/>
      <c r="AH85" s="291">
        <f t="shared" si="79"/>
        <v>6</v>
      </c>
      <c r="AI85" s="291"/>
      <c r="AJ85" s="291"/>
      <c r="AK85" s="291"/>
      <c r="AL85" s="291"/>
      <c r="AM85" s="303">
        <f t="shared" si="90"/>
        <v>6</v>
      </c>
      <c r="AN85" s="303"/>
      <c r="AO85" s="303"/>
      <c r="AP85" s="303"/>
      <c r="AQ85" s="303"/>
      <c r="AR85" s="303">
        <f t="shared" si="91"/>
        <v>0</v>
      </c>
      <c r="AS85" s="303"/>
      <c r="AT85" s="303"/>
      <c r="AU85" s="303"/>
      <c r="AV85" s="303"/>
      <c r="AW85" s="139"/>
      <c r="AX85" s="139"/>
      <c r="AY85" s="139"/>
      <c r="AZ85" s="172"/>
      <c r="BA85" s="173"/>
      <c r="BB85" s="320">
        <f>(AM85*1%)+(4*CK85)</f>
        <v>0.1</v>
      </c>
      <c r="BC85" s="320"/>
      <c r="BD85" s="320"/>
      <c r="BE85" s="320"/>
      <c r="BF85" s="320"/>
      <c r="BG85" s="303">
        <f t="shared" si="92"/>
        <v>6.1</v>
      </c>
      <c r="BH85" s="303"/>
      <c r="BI85" s="303"/>
      <c r="BJ85" s="303"/>
      <c r="BK85" s="303"/>
      <c r="BL85" s="303">
        <f t="shared" si="93"/>
        <v>5.9</v>
      </c>
      <c r="BM85" s="303"/>
      <c r="BN85" s="303"/>
      <c r="BO85" s="303"/>
      <c r="BP85" s="303"/>
      <c r="BQ85" s="292" t="str">
        <f t="shared" si="94"/>
        <v>PASS</v>
      </c>
      <c r="BR85" s="292"/>
      <c r="BS85" s="292"/>
      <c r="BT85" s="292"/>
      <c r="BU85" s="292"/>
      <c r="BV85" s="173"/>
      <c r="BX85" s="72" t="s">
        <v>129</v>
      </c>
      <c r="BY85" s="179">
        <v>7.3000000000000001E-3</v>
      </c>
      <c r="BZ85" s="1" t="str">
        <f t="shared" si="95"/>
        <v>V</v>
      </c>
      <c r="CA85" s="180">
        <v>2</v>
      </c>
      <c r="CB85" s="78">
        <f t="shared" ref="CB85" si="116">BY85/CA85</f>
        <v>3.65E-3</v>
      </c>
      <c r="CC85" s="4"/>
      <c r="CD85" s="72" t="s">
        <v>131</v>
      </c>
      <c r="CE85" s="5">
        <v>0</v>
      </c>
      <c r="CF85" s="1" t="str">
        <f t="shared" si="97"/>
        <v>V</v>
      </c>
      <c r="CG85" s="81">
        <f t="shared" si="15"/>
        <v>1.7320508075688772</v>
      </c>
      <c r="CH85" s="78">
        <f t="shared" si="103"/>
        <v>0</v>
      </c>
      <c r="CI85" s="4"/>
      <c r="CJ85" s="72" t="s">
        <v>92</v>
      </c>
      <c r="CK85" s="181">
        <v>0.01</v>
      </c>
      <c r="CL85" s="1" t="str">
        <f t="shared" si="98"/>
        <v>V</v>
      </c>
      <c r="CM85" s="81">
        <f t="shared" si="104"/>
        <v>3.4641016151377544</v>
      </c>
      <c r="CN85" s="78">
        <f t="shared" si="105"/>
        <v>2.886751345948129E-3</v>
      </c>
      <c r="CO85" s="4"/>
      <c r="CP85" s="72" t="s">
        <v>70</v>
      </c>
      <c r="CQ85" s="6">
        <f t="shared" si="99"/>
        <v>0</v>
      </c>
      <c r="CR85" s="1" t="str">
        <f t="shared" si="100"/>
        <v>V</v>
      </c>
      <c r="CS85" s="81">
        <f t="shared" si="106"/>
        <v>1.7320508075688772</v>
      </c>
      <c r="CT85" s="86">
        <f t="shared" si="107"/>
        <v>0</v>
      </c>
      <c r="CU85" s="8"/>
      <c r="CV85" s="94">
        <f t="shared" si="108"/>
        <v>4.6535828490887896E-3</v>
      </c>
      <c r="CW85" s="5">
        <f t="shared" si="109"/>
        <v>379.83927737795335</v>
      </c>
      <c r="CX85" s="95">
        <f t="shared" ref="CX85" si="117">ROUND(TINV(0.05,CW85),0)</f>
        <v>2</v>
      </c>
      <c r="CY85" s="110">
        <f t="shared" si="110"/>
        <v>9.3071656981775792E-3</v>
      </c>
      <c r="CZ85" s="106" t="str">
        <f t="shared" si="102"/>
        <v>V</v>
      </c>
      <c r="DA85" s="8"/>
      <c r="DB85" s="177">
        <v>8.4999999999999995E-4</v>
      </c>
      <c r="DC85" s="178" t="str">
        <f t="shared" si="111"/>
        <v>V</v>
      </c>
      <c r="DD85" s="220">
        <f t="shared" si="75"/>
        <v>9.3071656981775792E-3</v>
      </c>
      <c r="DE85" s="178" t="str">
        <f t="shared" si="112"/>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f t="shared" si="77"/>
        <v>30</v>
      </c>
      <c r="Y86" s="291"/>
      <c r="Z86" s="291"/>
      <c r="AA86" s="291"/>
      <c r="AB86" s="291"/>
      <c r="AC86" s="291">
        <f t="shared" si="78"/>
        <v>30</v>
      </c>
      <c r="AD86" s="291"/>
      <c r="AE86" s="291"/>
      <c r="AF86" s="291"/>
      <c r="AG86" s="291"/>
      <c r="AH86" s="291">
        <f t="shared" si="79"/>
        <v>30</v>
      </c>
      <c r="AI86" s="291"/>
      <c r="AJ86" s="291"/>
      <c r="AK86" s="291"/>
      <c r="AL86" s="291"/>
      <c r="AM86" s="303">
        <f t="shared" si="90"/>
        <v>30</v>
      </c>
      <c r="AN86" s="303"/>
      <c r="AO86" s="303"/>
      <c r="AP86" s="303"/>
      <c r="AQ86" s="303"/>
      <c r="AR86" s="303">
        <f t="shared" si="91"/>
        <v>0</v>
      </c>
      <c r="AS86" s="303"/>
      <c r="AT86" s="303"/>
      <c r="AU86" s="303"/>
      <c r="AV86" s="303"/>
      <c r="AW86" s="139"/>
      <c r="AX86" s="139"/>
      <c r="AY86" s="139"/>
      <c r="AZ86" s="172"/>
      <c r="BA86" s="173"/>
      <c r="BB86" s="320">
        <f>(AM86*0.7%)+(2*CK86)</f>
        <v>0.22999999999999995</v>
      </c>
      <c r="BC86" s="320"/>
      <c r="BD86" s="320"/>
      <c r="BE86" s="320"/>
      <c r="BF86" s="320"/>
      <c r="BG86" s="303">
        <f t="shared" si="92"/>
        <v>30.23</v>
      </c>
      <c r="BH86" s="303"/>
      <c r="BI86" s="303"/>
      <c r="BJ86" s="303"/>
      <c r="BK86" s="303"/>
      <c r="BL86" s="303">
        <f t="shared" si="93"/>
        <v>29.77</v>
      </c>
      <c r="BM86" s="303"/>
      <c r="BN86" s="303"/>
      <c r="BO86" s="303"/>
      <c r="BP86" s="303"/>
      <c r="BQ86" s="292" t="str">
        <f t="shared" si="94"/>
        <v>PASS</v>
      </c>
      <c r="BR86" s="292"/>
      <c r="BS86" s="292"/>
      <c r="BT86" s="292"/>
      <c r="BU86" s="292"/>
      <c r="BV86" s="173"/>
      <c r="BX86" s="72" t="s">
        <v>129</v>
      </c>
      <c r="BY86" s="179">
        <v>7.3000000000000001E-3</v>
      </c>
      <c r="BZ86" s="1" t="str">
        <f t="shared" si="95"/>
        <v>V</v>
      </c>
      <c r="CA86" s="180">
        <v>2</v>
      </c>
      <c r="CB86" s="78">
        <f t="shared" si="96"/>
        <v>3.65E-3</v>
      </c>
      <c r="CC86" s="4"/>
      <c r="CD86" s="72" t="s">
        <v>131</v>
      </c>
      <c r="CE86" s="5">
        <v>0</v>
      </c>
      <c r="CF86" s="1" t="str">
        <f t="shared" si="97"/>
        <v>V</v>
      </c>
      <c r="CG86" s="81">
        <f t="shared" si="15"/>
        <v>1.7320508075688772</v>
      </c>
      <c r="CH86" s="78">
        <f t="shared" si="103"/>
        <v>0</v>
      </c>
      <c r="CI86" s="4"/>
      <c r="CJ86" s="72" t="s">
        <v>92</v>
      </c>
      <c r="CK86" s="181">
        <v>0.01</v>
      </c>
      <c r="CL86" s="1" t="str">
        <f t="shared" si="98"/>
        <v>V</v>
      </c>
      <c r="CM86" s="81">
        <f t="shared" si="104"/>
        <v>3.4641016151377544</v>
      </c>
      <c r="CN86" s="78">
        <f t="shared" si="105"/>
        <v>2.886751345948129E-3</v>
      </c>
      <c r="CO86" s="4"/>
      <c r="CP86" s="72" t="s">
        <v>70</v>
      </c>
      <c r="CQ86" s="6">
        <f t="shared" si="99"/>
        <v>0</v>
      </c>
      <c r="CR86" s="1" t="str">
        <f t="shared" si="100"/>
        <v>V</v>
      </c>
      <c r="CS86" s="81">
        <f t="shared" si="106"/>
        <v>1.7320508075688772</v>
      </c>
      <c r="CT86" s="86">
        <f t="shared" si="107"/>
        <v>0</v>
      </c>
      <c r="CU86" s="8"/>
      <c r="CV86" s="94">
        <f t="shared" si="108"/>
        <v>4.6535828490887896E-3</v>
      </c>
      <c r="CW86" s="5">
        <f t="shared" si="109"/>
        <v>379.83927737795335</v>
      </c>
      <c r="CX86" s="95">
        <f t="shared" si="101"/>
        <v>2</v>
      </c>
      <c r="CY86" s="110">
        <f t="shared" ref="CY86:CY89" si="118">(CV86*CX86)</f>
        <v>9.3071656981775792E-3</v>
      </c>
      <c r="CZ86" s="106" t="str">
        <f t="shared" si="102"/>
        <v>V</v>
      </c>
      <c r="DA86" s="8"/>
      <c r="DB86" s="177">
        <v>8.4999999999999995E-4</v>
      </c>
      <c r="DC86" s="178" t="str">
        <f t="shared" si="111"/>
        <v>V</v>
      </c>
      <c r="DD86" s="220">
        <f t="shared" si="75"/>
        <v>9.3071656981775792E-3</v>
      </c>
      <c r="DE86" s="178" t="str">
        <f t="shared" si="112"/>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f t="shared" si="77"/>
        <v>30</v>
      </c>
      <c r="Y87" s="291"/>
      <c r="Z87" s="291"/>
      <c r="AA87" s="291"/>
      <c r="AB87" s="291"/>
      <c r="AC87" s="291">
        <f t="shared" si="78"/>
        <v>30</v>
      </c>
      <c r="AD87" s="291"/>
      <c r="AE87" s="291"/>
      <c r="AF87" s="291"/>
      <c r="AG87" s="291"/>
      <c r="AH87" s="291">
        <f t="shared" si="79"/>
        <v>30</v>
      </c>
      <c r="AI87" s="291"/>
      <c r="AJ87" s="291"/>
      <c r="AK87" s="291"/>
      <c r="AL87" s="291"/>
      <c r="AM87" s="303">
        <f t="shared" si="90"/>
        <v>30</v>
      </c>
      <c r="AN87" s="303"/>
      <c r="AO87" s="303"/>
      <c r="AP87" s="303"/>
      <c r="AQ87" s="303"/>
      <c r="AR87" s="303">
        <f t="shared" si="91"/>
        <v>0</v>
      </c>
      <c r="AS87" s="303"/>
      <c r="AT87" s="303"/>
      <c r="AU87" s="303"/>
      <c r="AV87" s="303"/>
      <c r="AW87" s="139"/>
      <c r="AX87" s="139"/>
      <c r="AY87" s="139"/>
      <c r="AZ87" s="172"/>
      <c r="BA87" s="173"/>
      <c r="BB87" s="320">
        <f>(AM87*1%)+(4*CK87)</f>
        <v>0.33999999999999997</v>
      </c>
      <c r="BC87" s="320"/>
      <c r="BD87" s="320"/>
      <c r="BE87" s="320"/>
      <c r="BF87" s="320"/>
      <c r="BG87" s="303">
        <f t="shared" si="92"/>
        <v>30.34</v>
      </c>
      <c r="BH87" s="303"/>
      <c r="BI87" s="303"/>
      <c r="BJ87" s="303"/>
      <c r="BK87" s="303"/>
      <c r="BL87" s="303">
        <f t="shared" si="93"/>
        <v>29.66</v>
      </c>
      <c r="BM87" s="303"/>
      <c r="BN87" s="303"/>
      <c r="BO87" s="303"/>
      <c r="BP87" s="303"/>
      <c r="BQ87" s="292" t="str">
        <f t="shared" si="94"/>
        <v>PASS</v>
      </c>
      <c r="BR87" s="292"/>
      <c r="BS87" s="292"/>
      <c r="BT87" s="292"/>
      <c r="BU87" s="292"/>
      <c r="BV87" s="173"/>
      <c r="BX87" s="72" t="s">
        <v>129</v>
      </c>
      <c r="BY87" s="179">
        <v>7.3000000000000001E-3</v>
      </c>
      <c r="BZ87" s="1" t="str">
        <f t="shared" si="95"/>
        <v>V</v>
      </c>
      <c r="CA87" s="180">
        <v>2</v>
      </c>
      <c r="CB87" s="78">
        <f t="shared" si="96"/>
        <v>3.65E-3</v>
      </c>
      <c r="CC87" s="4"/>
      <c r="CD87" s="72" t="s">
        <v>131</v>
      </c>
      <c r="CE87" s="5">
        <v>0</v>
      </c>
      <c r="CF87" s="1" t="str">
        <f t="shared" si="97"/>
        <v>V</v>
      </c>
      <c r="CG87" s="81">
        <f t="shared" si="15"/>
        <v>1.7320508075688772</v>
      </c>
      <c r="CH87" s="78">
        <f t="shared" si="103"/>
        <v>0</v>
      </c>
      <c r="CI87" s="4"/>
      <c r="CJ87" s="72" t="s">
        <v>92</v>
      </c>
      <c r="CK87" s="181">
        <v>0.01</v>
      </c>
      <c r="CL87" s="1" t="str">
        <f t="shared" si="98"/>
        <v>V</v>
      </c>
      <c r="CM87" s="81">
        <f t="shared" si="104"/>
        <v>3.4641016151377544</v>
      </c>
      <c r="CN87" s="78">
        <f t="shared" si="105"/>
        <v>2.886751345948129E-3</v>
      </c>
      <c r="CO87" s="4"/>
      <c r="CP87" s="72" t="s">
        <v>70</v>
      </c>
      <c r="CQ87" s="6">
        <f t="shared" si="99"/>
        <v>0</v>
      </c>
      <c r="CR87" s="1" t="str">
        <f t="shared" si="100"/>
        <v>V</v>
      </c>
      <c r="CS87" s="81">
        <f t="shared" si="106"/>
        <v>1.7320508075688772</v>
      </c>
      <c r="CT87" s="86">
        <f t="shared" si="107"/>
        <v>0</v>
      </c>
      <c r="CU87" s="8"/>
      <c r="CV87" s="94">
        <f t="shared" si="108"/>
        <v>4.6535828490887896E-3</v>
      </c>
      <c r="CW87" s="5">
        <f t="shared" si="109"/>
        <v>379.83927737795335</v>
      </c>
      <c r="CX87" s="95">
        <f t="shared" si="101"/>
        <v>2</v>
      </c>
      <c r="CY87" s="110">
        <f t="shared" si="118"/>
        <v>9.3071656981775792E-3</v>
      </c>
      <c r="CZ87" s="106" t="str">
        <f t="shared" si="102"/>
        <v>V</v>
      </c>
      <c r="DA87" s="8"/>
      <c r="DB87" s="177">
        <v>8.4999999999999995E-4</v>
      </c>
      <c r="DC87" s="178" t="str">
        <f t="shared" si="111"/>
        <v>V</v>
      </c>
      <c r="DD87" s="220">
        <f t="shared" si="75"/>
        <v>9.3071656981775792E-3</v>
      </c>
      <c r="DE87" s="178" t="str">
        <f t="shared" si="112"/>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f t="shared" si="77"/>
        <v>54</v>
      </c>
      <c r="Y88" s="291"/>
      <c r="Z88" s="291"/>
      <c r="AA88" s="291"/>
      <c r="AB88" s="291"/>
      <c r="AC88" s="291">
        <f t="shared" si="78"/>
        <v>54</v>
      </c>
      <c r="AD88" s="291"/>
      <c r="AE88" s="291"/>
      <c r="AF88" s="291"/>
      <c r="AG88" s="291"/>
      <c r="AH88" s="291">
        <f t="shared" si="79"/>
        <v>54</v>
      </c>
      <c r="AI88" s="291"/>
      <c r="AJ88" s="291"/>
      <c r="AK88" s="291"/>
      <c r="AL88" s="291"/>
      <c r="AM88" s="303">
        <f t="shared" si="90"/>
        <v>54</v>
      </c>
      <c r="AN88" s="303"/>
      <c r="AO88" s="303"/>
      <c r="AP88" s="303"/>
      <c r="AQ88" s="303"/>
      <c r="AR88" s="303">
        <f t="shared" si="91"/>
        <v>0</v>
      </c>
      <c r="AS88" s="303"/>
      <c r="AT88" s="303"/>
      <c r="AU88" s="303"/>
      <c r="AV88" s="303"/>
      <c r="AW88" s="139"/>
      <c r="AX88" s="139"/>
      <c r="AY88" s="139"/>
      <c r="AZ88" s="172"/>
      <c r="BA88" s="173"/>
      <c r="BB88" s="320">
        <f>(AM88*0.7%)+(2*CK88)</f>
        <v>0.39799999999999996</v>
      </c>
      <c r="BC88" s="320"/>
      <c r="BD88" s="320"/>
      <c r="BE88" s="320"/>
      <c r="BF88" s="320"/>
      <c r="BG88" s="291">
        <f t="shared" si="92"/>
        <v>54.398000000000003</v>
      </c>
      <c r="BH88" s="291"/>
      <c r="BI88" s="291"/>
      <c r="BJ88" s="291"/>
      <c r="BK88" s="291"/>
      <c r="BL88" s="291">
        <f t="shared" si="93"/>
        <v>53.601999999999997</v>
      </c>
      <c r="BM88" s="291"/>
      <c r="BN88" s="291"/>
      <c r="BO88" s="291"/>
      <c r="BP88" s="291"/>
      <c r="BQ88" s="292" t="str">
        <f t="shared" si="94"/>
        <v>PASS</v>
      </c>
      <c r="BR88" s="292"/>
      <c r="BS88" s="292"/>
      <c r="BT88" s="292"/>
      <c r="BU88" s="292"/>
      <c r="BV88" s="173"/>
      <c r="BX88" s="72" t="s">
        <v>129</v>
      </c>
      <c r="BY88" s="179">
        <v>7.0999999999999994E-2</v>
      </c>
      <c r="BZ88" s="1" t="str">
        <f t="shared" si="95"/>
        <v>V</v>
      </c>
      <c r="CA88" s="180">
        <v>2</v>
      </c>
      <c r="CB88" s="78">
        <f t="shared" si="96"/>
        <v>3.5499999999999997E-2</v>
      </c>
      <c r="CC88" s="4"/>
      <c r="CD88" s="72" t="s">
        <v>131</v>
      </c>
      <c r="CE88" s="5">
        <v>0</v>
      </c>
      <c r="CF88" s="1" t="str">
        <f t="shared" si="97"/>
        <v>V</v>
      </c>
      <c r="CG88" s="81">
        <f t="shared" si="15"/>
        <v>1.7320508075688772</v>
      </c>
      <c r="CH88" s="78">
        <f t="shared" si="103"/>
        <v>0</v>
      </c>
      <c r="CI88" s="4"/>
      <c r="CJ88" s="72" t="s">
        <v>92</v>
      </c>
      <c r="CK88" s="181">
        <v>0.01</v>
      </c>
      <c r="CL88" s="1" t="str">
        <f t="shared" si="98"/>
        <v>V</v>
      </c>
      <c r="CM88" s="81">
        <f t="shared" si="104"/>
        <v>3.4641016151377544</v>
      </c>
      <c r="CN88" s="78">
        <f t="shared" si="105"/>
        <v>2.886751345948129E-3</v>
      </c>
      <c r="CO88" s="4"/>
      <c r="CP88" s="72" t="s">
        <v>70</v>
      </c>
      <c r="CQ88" s="6">
        <f t="shared" si="99"/>
        <v>0</v>
      </c>
      <c r="CR88" s="1" t="str">
        <f t="shared" si="100"/>
        <v>V</v>
      </c>
      <c r="CS88" s="81">
        <f t="shared" si="106"/>
        <v>1.7320508075688772</v>
      </c>
      <c r="CT88" s="86">
        <f t="shared" si="107"/>
        <v>0</v>
      </c>
      <c r="CU88" s="8"/>
      <c r="CV88" s="94">
        <f t="shared" si="108"/>
        <v>3.561717750374576E-2</v>
      </c>
      <c r="CW88" s="5">
        <f t="shared" si="109"/>
        <v>202.64486220323451</v>
      </c>
      <c r="CX88" s="95">
        <f t="shared" si="101"/>
        <v>2</v>
      </c>
      <c r="CY88" s="110">
        <f t="shared" si="118"/>
        <v>7.123435500749152E-2</v>
      </c>
      <c r="CZ88" s="106" t="str">
        <f t="shared" si="102"/>
        <v>V</v>
      </c>
      <c r="DA88" s="8"/>
      <c r="DB88" s="177">
        <v>6.4000000000000003E-3</v>
      </c>
      <c r="DC88" s="178" t="str">
        <f t="shared" si="111"/>
        <v>V</v>
      </c>
      <c r="DD88" s="220">
        <f t="shared" si="75"/>
        <v>7.123435500749152E-2</v>
      </c>
      <c r="DE88" s="178" t="str">
        <f t="shared" si="112"/>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f t="shared" si="77"/>
        <v>54</v>
      </c>
      <c r="Y89" s="291"/>
      <c r="Z89" s="291"/>
      <c r="AA89" s="291"/>
      <c r="AB89" s="291"/>
      <c r="AC89" s="291">
        <f t="shared" si="78"/>
        <v>54</v>
      </c>
      <c r="AD89" s="291"/>
      <c r="AE89" s="291"/>
      <c r="AF89" s="291"/>
      <c r="AG89" s="291"/>
      <c r="AH89" s="291">
        <f t="shared" si="79"/>
        <v>54</v>
      </c>
      <c r="AI89" s="291"/>
      <c r="AJ89" s="291"/>
      <c r="AK89" s="291"/>
      <c r="AL89" s="291"/>
      <c r="AM89" s="303">
        <f t="shared" si="90"/>
        <v>54</v>
      </c>
      <c r="AN89" s="303"/>
      <c r="AO89" s="303"/>
      <c r="AP89" s="303"/>
      <c r="AQ89" s="303"/>
      <c r="AR89" s="303">
        <f t="shared" si="91"/>
        <v>0</v>
      </c>
      <c r="AS89" s="303"/>
      <c r="AT89" s="303"/>
      <c r="AU89" s="303"/>
      <c r="AV89" s="303"/>
      <c r="AW89" s="139"/>
      <c r="AX89" s="139"/>
      <c r="AY89" s="139"/>
      <c r="AZ89" s="172"/>
      <c r="BA89" s="173"/>
      <c r="BB89" s="320">
        <f>(AM89*1%)+(4*CK89)</f>
        <v>0.58000000000000007</v>
      </c>
      <c r="BC89" s="320"/>
      <c r="BD89" s="320"/>
      <c r="BE89" s="320"/>
      <c r="BF89" s="320"/>
      <c r="BG89" s="291">
        <f t="shared" si="92"/>
        <v>54.58</v>
      </c>
      <c r="BH89" s="291"/>
      <c r="BI89" s="291"/>
      <c r="BJ89" s="291"/>
      <c r="BK89" s="291"/>
      <c r="BL89" s="291">
        <f t="shared" si="93"/>
        <v>53.42</v>
      </c>
      <c r="BM89" s="291"/>
      <c r="BN89" s="291"/>
      <c r="BO89" s="291"/>
      <c r="BP89" s="291"/>
      <c r="BQ89" s="292" t="str">
        <f t="shared" si="94"/>
        <v>PASS</v>
      </c>
      <c r="BR89" s="292"/>
      <c r="BS89" s="292"/>
      <c r="BT89" s="292"/>
      <c r="BU89" s="292"/>
      <c r="BV89" s="173"/>
      <c r="BX89" s="72" t="s">
        <v>129</v>
      </c>
      <c r="BY89" s="179">
        <v>7.0999999999999994E-2</v>
      </c>
      <c r="BZ89" s="1" t="str">
        <f t="shared" si="95"/>
        <v>V</v>
      </c>
      <c r="CA89" s="180">
        <v>2</v>
      </c>
      <c r="CB89" s="78">
        <f t="shared" si="96"/>
        <v>3.5499999999999997E-2</v>
      </c>
      <c r="CC89" s="4"/>
      <c r="CD89" s="72" t="s">
        <v>131</v>
      </c>
      <c r="CE89" s="5">
        <v>0</v>
      </c>
      <c r="CF89" s="1" t="str">
        <f t="shared" si="97"/>
        <v>V</v>
      </c>
      <c r="CG89" s="81">
        <f t="shared" si="15"/>
        <v>1.7320508075688772</v>
      </c>
      <c r="CH89" s="78">
        <f t="shared" si="103"/>
        <v>0</v>
      </c>
      <c r="CI89" s="4"/>
      <c r="CJ89" s="72" t="s">
        <v>92</v>
      </c>
      <c r="CK89" s="181">
        <v>0.01</v>
      </c>
      <c r="CL89" s="1" t="str">
        <f t="shared" si="98"/>
        <v>V</v>
      </c>
      <c r="CM89" s="81">
        <f t="shared" si="104"/>
        <v>3.4641016151377544</v>
      </c>
      <c r="CN89" s="78">
        <f t="shared" si="105"/>
        <v>2.886751345948129E-3</v>
      </c>
      <c r="CO89" s="4"/>
      <c r="CP89" s="72" t="s">
        <v>70</v>
      </c>
      <c r="CQ89" s="6">
        <f t="shared" si="99"/>
        <v>0</v>
      </c>
      <c r="CR89" s="1" t="str">
        <f t="shared" si="100"/>
        <v>V</v>
      </c>
      <c r="CS89" s="81">
        <f t="shared" si="106"/>
        <v>1.7320508075688772</v>
      </c>
      <c r="CT89" s="86">
        <f t="shared" si="107"/>
        <v>0</v>
      </c>
      <c r="CU89" s="8"/>
      <c r="CV89" s="94">
        <f t="shared" si="108"/>
        <v>3.561717750374576E-2</v>
      </c>
      <c r="CW89" s="5">
        <f t="shared" si="109"/>
        <v>202.64486220323451</v>
      </c>
      <c r="CX89" s="95">
        <f t="shared" si="101"/>
        <v>2</v>
      </c>
      <c r="CY89" s="110">
        <f t="shared" si="118"/>
        <v>7.123435500749152E-2</v>
      </c>
      <c r="CZ89" s="106" t="str">
        <f t="shared" si="102"/>
        <v>V</v>
      </c>
      <c r="DA89" s="8"/>
      <c r="DB89" s="177">
        <v>6.4000000000000003E-3</v>
      </c>
      <c r="DC89" s="178" t="str">
        <f t="shared" si="111"/>
        <v>V</v>
      </c>
      <c r="DD89" s="220">
        <f t="shared" si="75"/>
        <v>7.123435500749152E-2</v>
      </c>
      <c r="DE89" s="178" t="str">
        <f t="shared" si="112"/>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f t="shared" si="77"/>
        <v>60</v>
      </c>
      <c r="Y90" s="291"/>
      <c r="Z90" s="291"/>
      <c r="AA90" s="291"/>
      <c r="AB90" s="291"/>
      <c r="AC90" s="291">
        <f t="shared" si="78"/>
        <v>60</v>
      </c>
      <c r="AD90" s="291"/>
      <c r="AE90" s="291"/>
      <c r="AF90" s="291"/>
      <c r="AG90" s="291"/>
      <c r="AH90" s="291">
        <f t="shared" si="79"/>
        <v>60</v>
      </c>
      <c r="AI90" s="291"/>
      <c r="AJ90" s="291"/>
      <c r="AK90" s="291"/>
      <c r="AL90" s="291"/>
      <c r="AM90" s="291">
        <f t="shared" si="90"/>
        <v>60</v>
      </c>
      <c r="AN90" s="291"/>
      <c r="AO90" s="291"/>
      <c r="AP90" s="291"/>
      <c r="AQ90" s="291"/>
      <c r="AR90" s="291">
        <f t="shared" si="91"/>
        <v>0</v>
      </c>
      <c r="AS90" s="291"/>
      <c r="AT90" s="291"/>
      <c r="AU90" s="291"/>
      <c r="AV90" s="291"/>
      <c r="AW90" s="139"/>
      <c r="AX90" s="139"/>
      <c r="AY90" s="139"/>
      <c r="AZ90" s="172"/>
      <c r="BA90" s="173"/>
      <c r="BB90" s="320">
        <f>(AM90*0.7%)+(2*CK90)</f>
        <v>0.61999999999999988</v>
      </c>
      <c r="BC90" s="320"/>
      <c r="BD90" s="320"/>
      <c r="BE90" s="320"/>
      <c r="BF90" s="320"/>
      <c r="BG90" s="302">
        <f t="shared" si="92"/>
        <v>60.62</v>
      </c>
      <c r="BH90" s="302"/>
      <c r="BI90" s="302"/>
      <c r="BJ90" s="302"/>
      <c r="BK90" s="302"/>
      <c r="BL90" s="302">
        <f t="shared" si="93"/>
        <v>59.38</v>
      </c>
      <c r="BM90" s="302"/>
      <c r="BN90" s="302"/>
      <c r="BO90" s="302"/>
      <c r="BP90" s="302"/>
      <c r="BQ90" s="292" t="str">
        <f t="shared" si="94"/>
        <v>PASS</v>
      </c>
      <c r="BR90" s="292"/>
      <c r="BS90" s="292"/>
      <c r="BT90" s="292"/>
      <c r="BU90" s="292"/>
      <c r="BV90" s="173"/>
      <c r="BX90" s="72" t="s">
        <v>129</v>
      </c>
      <c r="BY90" s="179">
        <v>7.0999999999999994E-2</v>
      </c>
      <c r="BZ90" s="1" t="str">
        <f t="shared" si="95"/>
        <v>V</v>
      </c>
      <c r="CA90" s="180">
        <v>2</v>
      </c>
      <c r="CB90" s="78">
        <f t="shared" si="96"/>
        <v>3.5499999999999997E-2</v>
      </c>
      <c r="CC90" s="4"/>
      <c r="CD90" s="72" t="s">
        <v>131</v>
      </c>
      <c r="CE90" s="5">
        <v>0</v>
      </c>
      <c r="CF90" s="1" t="str">
        <f t="shared" si="97"/>
        <v>V</v>
      </c>
      <c r="CG90" s="81">
        <f t="shared" si="15"/>
        <v>1.7320508075688772</v>
      </c>
      <c r="CH90" s="78">
        <f t="shared" si="103"/>
        <v>0</v>
      </c>
      <c r="CI90" s="4"/>
      <c r="CJ90" s="72" t="s">
        <v>92</v>
      </c>
      <c r="CK90" s="181">
        <v>0.1</v>
      </c>
      <c r="CL90" s="1" t="str">
        <f t="shared" si="98"/>
        <v>V</v>
      </c>
      <c r="CM90" s="81">
        <f t="shared" si="104"/>
        <v>3.4641016151377544</v>
      </c>
      <c r="CN90" s="78">
        <f t="shared" si="105"/>
        <v>2.8867513459481291E-2</v>
      </c>
      <c r="CO90" s="4"/>
      <c r="CP90" s="72" t="s">
        <v>70</v>
      </c>
      <c r="CQ90" s="6">
        <f t="shared" si="99"/>
        <v>0</v>
      </c>
      <c r="CR90" s="1" t="str">
        <f t="shared" si="100"/>
        <v>V</v>
      </c>
      <c r="CS90" s="81">
        <f t="shared" si="106"/>
        <v>1.7320508075688772</v>
      </c>
      <c r="CT90" s="86">
        <f t="shared" si="107"/>
        <v>0</v>
      </c>
      <c r="CU90" s="8"/>
      <c r="CV90" s="94">
        <f t="shared" si="108"/>
        <v>4.5755691813514673E-2</v>
      </c>
      <c r="CW90" s="5">
        <f t="shared" si="109"/>
        <v>384.03120201997228</v>
      </c>
      <c r="CX90" s="95">
        <f t="shared" si="101"/>
        <v>2</v>
      </c>
      <c r="CY90" s="112">
        <f t="shared" ref="CY90:CY91" si="119">(CV90*CX90)</f>
        <v>9.1511383627029347E-2</v>
      </c>
      <c r="CZ90" s="106" t="str">
        <f t="shared" si="102"/>
        <v>V</v>
      </c>
      <c r="DA90" s="8"/>
      <c r="DB90" s="177">
        <v>6.4000000000000003E-3</v>
      </c>
      <c r="DC90" s="178" t="str">
        <f t="shared" si="111"/>
        <v>V</v>
      </c>
      <c r="DD90" s="220">
        <f t="shared" si="75"/>
        <v>9.1511383627029347E-2</v>
      </c>
      <c r="DE90" s="178" t="str">
        <f t="shared" si="112"/>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f t="shared" si="77"/>
        <v>60</v>
      </c>
      <c r="Y91" s="291"/>
      <c r="Z91" s="291"/>
      <c r="AA91" s="291"/>
      <c r="AB91" s="291"/>
      <c r="AC91" s="291">
        <f t="shared" si="78"/>
        <v>60</v>
      </c>
      <c r="AD91" s="291"/>
      <c r="AE91" s="291"/>
      <c r="AF91" s="291"/>
      <c r="AG91" s="291"/>
      <c r="AH91" s="291">
        <f t="shared" si="79"/>
        <v>60</v>
      </c>
      <c r="AI91" s="291"/>
      <c r="AJ91" s="291"/>
      <c r="AK91" s="291"/>
      <c r="AL91" s="291"/>
      <c r="AM91" s="291">
        <f t="shared" si="90"/>
        <v>60</v>
      </c>
      <c r="AN91" s="291"/>
      <c r="AO91" s="291"/>
      <c r="AP91" s="291"/>
      <c r="AQ91" s="291"/>
      <c r="AR91" s="291">
        <f t="shared" si="91"/>
        <v>0</v>
      </c>
      <c r="AS91" s="291"/>
      <c r="AT91" s="291"/>
      <c r="AU91" s="291"/>
      <c r="AV91" s="291"/>
      <c r="AW91" s="139"/>
      <c r="AX91" s="139"/>
      <c r="AY91" s="139"/>
      <c r="AZ91" s="172"/>
      <c r="BA91" s="173"/>
      <c r="BB91" s="320">
        <f>(AM91*1%)+(4*CK91)</f>
        <v>1</v>
      </c>
      <c r="BC91" s="320"/>
      <c r="BD91" s="320"/>
      <c r="BE91" s="320"/>
      <c r="BF91" s="320"/>
      <c r="BG91" s="302">
        <f t="shared" si="92"/>
        <v>61</v>
      </c>
      <c r="BH91" s="302"/>
      <c r="BI91" s="302"/>
      <c r="BJ91" s="302"/>
      <c r="BK91" s="302"/>
      <c r="BL91" s="302">
        <f t="shared" si="93"/>
        <v>59</v>
      </c>
      <c r="BM91" s="302"/>
      <c r="BN91" s="302"/>
      <c r="BO91" s="302"/>
      <c r="BP91" s="302"/>
      <c r="BQ91" s="292" t="str">
        <f t="shared" si="94"/>
        <v>PASS</v>
      </c>
      <c r="BR91" s="292"/>
      <c r="BS91" s="292"/>
      <c r="BT91" s="292"/>
      <c r="BU91" s="292"/>
      <c r="BV91" s="173"/>
      <c r="BX91" s="72" t="s">
        <v>129</v>
      </c>
      <c r="BY91" s="179">
        <v>7.0999999999999994E-2</v>
      </c>
      <c r="BZ91" s="1" t="str">
        <f t="shared" si="95"/>
        <v>V</v>
      </c>
      <c r="CA91" s="180">
        <v>2</v>
      </c>
      <c r="CB91" s="78">
        <f t="shared" ref="CB91" si="120">BY91/CA91</f>
        <v>3.5499999999999997E-2</v>
      </c>
      <c r="CC91" s="4"/>
      <c r="CD91" s="72" t="s">
        <v>131</v>
      </c>
      <c r="CE91" s="5">
        <v>0</v>
      </c>
      <c r="CF91" s="1" t="str">
        <f t="shared" si="97"/>
        <v>V</v>
      </c>
      <c r="CG91" s="81">
        <f t="shared" si="15"/>
        <v>1.7320508075688772</v>
      </c>
      <c r="CH91" s="78">
        <f t="shared" si="103"/>
        <v>0</v>
      </c>
      <c r="CI91" s="4"/>
      <c r="CJ91" s="72" t="s">
        <v>92</v>
      </c>
      <c r="CK91" s="181">
        <v>0.1</v>
      </c>
      <c r="CL91" s="1" t="str">
        <f t="shared" si="98"/>
        <v>V</v>
      </c>
      <c r="CM91" s="81">
        <f t="shared" si="104"/>
        <v>3.4641016151377544</v>
      </c>
      <c r="CN91" s="78">
        <f t="shared" si="105"/>
        <v>2.8867513459481291E-2</v>
      </c>
      <c r="CO91" s="4"/>
      <c r="CP91" s="72" t="s">
        <v>70</v>
      </c>
      <c r="CQ91" s="6">
        <f t="shared" si="99"/>
        <v>0</v>
      </c>
      <c r="CR91" s="1" t="str">
        <f t="shared" si="100"/>
        <v>V</v>
      </c>
      <c r="CS91" s="81">
        <f t="shared" si="106"/>
        <v>1.7320508075688772</v>
      </c>
      <c r="CT91" s="86">
        <f t="shared" si="107"/>
        <v>0</v>
      </c>
      <c r="CU91" s="8"/>
      <c r="CV91" s="94">
        <f t="shared" si="108"/>
        <v>4.5755691813514673E-2</v>
      </c>
      <c r="CW91" s="5">
        <f t="shared" si="109"/>
        <v>384.03120201997228</v>
      </c>
      <c r="CX91" s="95">
        <f t="shared" ref="CX91" si="121">ROUND(TINV(0.05,CW91),0)</f>
        <v>2</v>
      </c>
      <c r="CY91" s="112">
        <f t="shared" si="119"/>
        <v>9.1511383627029347E-2</v>
      </c>
      <c r="CZ91" s="106" t="str">
        <f t="shared" si="102"/>
        <v>V</v>
      </c>
      <c r="DA91" s="8"/>
      <c r="DB91" s="177">
        <v>6.4000000000000003E-3</v>
      </c>
      <c r="DC91" s="178" t="str">
        <f t="shared" si="111"/>
        <v>V</v>
      </c>
      <c r="DD91" s="220">
        <f t="shared" si="75"/>
        <v>9.1511383627029347E-2</v>
      </c>
      <c r="DE91" s="178" t="str">
        <f t="shared" si="112"/>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f t="shared" si="77"/>
        <v>540</v>
      </c>
      <c r="Y92" s="291"/>
      <c r="Z92" s="291"/>
      <c r="AA92" s="291"/>
      <c r="AB92" s="291"/>
      <c r="AC92" s="291">
        <f t="shared" si="78"/>
        <v>540</v>
      </c>
      <c r="AD92" s="291"/>
      <c r="AE92" s="291"/>
      <c r="AF92" s="291"/>
      <c r="AG92" s="291"/>
      <c r="AH92" s="291">
        <f t="shared" si="79"/>
        <v>540</v>
      </c>
      <c r="AI92" s="291"/>
      <c r="AJ92" s="291"/>
      <c r="AK92" s="291"/>
      <c r="AL92" s="291"/>
      <c r="AM92" s="291">
        <f t="shared" si="90"/>
        <v>540</v>
      </c>
      <c r="AN92" s="291"/>
      <c r="AO92" s="291"/>
      <c r="AP92" s="291"/>
      <c r="AQ92" s="291"/>
      <c r="AR92" s="291">
        <f t="shared" si="91"/>
        <v>0</v>
      </c>
      <c r="AS92" s="291"/>
      <c r="AT92" s="291"/>
      <c r="AU92" s="291"/>
      <c r="AV92" s="291"/>
      <c r="AW92" s="139"/>
      <c r="AX92" s="139"/>
      <c r="AY92" s="139"/>
      <c r="AZ92" s="172"/>
      <c r="BA92" s="173"/>
      <c r="BB92" s="320">
        <f>(AM92*0.7%)+(2*CK92)</f>
        <v>3.98</v>
      </c>
      <c r="BC92" s="320"/>
      <c r="BD92" s="320"/>
      <c r="BE92" s="320"/>
      <c r="BF92" s="320"/>
      <c r="BG92" s="302">
        <f t="shared" si="92"/>
        <v>543.98</v>
      </c>
      <c r="BH92" s="302"/>
      <c r="BI92" s="302"/>
      <c r="BJ92" s="302"/>
      <c r="BK92" s="302"/>
      <c r="BL92" s="302">
        <f t="shared" si="93"/>
        <v>536.02</v>
      </c>
      <c r="BM92" s="302"/>
      <c r="BN92" s="302"/>
      <c r="BO92" s="302"/>
      <c r="BP92" s="302"/>
      <c r="BQ92" s="292" t="str">
        <f t="shared" si="94"/>
        <v>PASS</v>
      </c>
      <c r="BR92" s="292"/>
      <c r="BS92" s="292"/>
      <c r="BT92" s="292"/>
      <c r="BU92" s="292"/>
      <c r="BV92" s="173"/>
      <c r="BX92" s="72" t="s">
        <v>129</v>
      </c>
      <c r="BY92" s="224">
        <v>7.0999999999999994E-2</v>
      </c>
      <c r="BZ92" s="1" t="str">
        <f t="shared" si="95"/>
        <v>V</v>
      </c>
      <c r="CA92" s="180">
        <v>2</v>
      </c>
      <c r="CB92" s="78">
        <f t="shared" si="96"/>
        <v>3.5499999999999997E-2</v>
      </c>
      <c r="CC92" s="4"/>
      <c r="CD92" s="72" t="s">
        <v>131</v>
      </c>
      <c r="CE92" s="5">
        <v>0</v>
      </c>
      <c r="CF92" s="1" t="str">
        <f t="shared" si="97"/>
        <v>V</v>
      </c>
      <c r="CG92" s="81">
        <f t="shared" si="15"/>
        <v>1.7320508075688772</v>
      </c>
      <c r="CH92" s="78">
        <f t="shared" si="103"/>
        <v>0</v>
      </c>
      <c r="CI92" s="4"/>
      <c r="CJ92" s="72" t="s">
        <v>92</v>
      </c>
      <c r="CK92" s="181">
        <v>0.1</v>
      </c>
      <c r="CL92" s="1" t="str">
        <f t="shared" si="98"/>
        <v>V</v>
      </c>
      <c r="CM92" s="81">
        <f t="shared" si="104"/>
        <v>3.4641016151377544</v>
      </c>
      <c r="CN92" s="78">
        <f t="shared" si="105"/>
        <v>2.8867513459481291E-2</v>
      </c>
      <c r="CO92" s="4"/>
      <c r="CP92" s="72" t="s">
        <v>70</v>
      </c>
      <c r="CQ92" s="6">
        <f t="shared" si="99"/>
        <v>0</v>
      </c>
      <c r="CR92" s="1" t="str">
        <f t="shared" si="100"/>
        <v>V</v>
      </c>
      <c r="CS92" s="81">
        <f t="shared" si="106"/>
        <v>1.7320508075688772</v>
      </c>
      <c r="CT92" s="86">
        <f t="shared" si="107"/>
        <v>0</v>
      </c>
      <c r="CU92" s="8"/>
      <c r="CV92" s="94">
        <f t="shared" si="108"/>
        <v>4.5755691813514673E-2</v>
      </c>
      <c r="CW92" s="5">
        <f t="shared" si="109"/>
        <v>384.03120201997228</v>
      </c>
      <c r="CX92" s="95">
        <f t="shared" si="101"/>
        <v>2</v>
      </c>
      <c r="CY92" s="112">
        <f t="shared" ref="CY92:CY95" si="122">(CV92*CX92)</f>
        <v>9.1511383627029347E-2</v>
      </c>
      <c r="CZ92" s="106" t="str">
        <f t="shared" si="102"/>
        <v>V</v>
      </c>
      <c r="DA92" s="8"/>
      <c r="DB92" s="177">
        <v>8.4000000000000005E-2</v>
      </c>
      <c r="DC92" s="178" t="str">
        <f t="shared" si="111"/>
        <v>V</v>
      </c>
      <c r="DD92" s="220">
        <f t="shared" si="75"/>
        <v>9.1511383627029347E-2</v>
      </c>
      <c r="DE92" s="178" t="str">
        <f t="shared" si="112"/>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f t="shared" si="77"/>
        <v>540</v>
      </c>
      <c r="Y93" s="291"/>
      <c r="Z93" s="291"/>
      <c r="AA93" s="291"/>
      <c r="AB93" s="291"/>
      <c r="AC93" s="291">
        <f t="shared" si="78"/>
        <v>540</v>
      </c>
      <c r="AD93" s="291"/>
      <c r="AE93" s="291"/>
      <c r="AF93" s="291"/>
      <c r="AG93" s="291"/>
      <c r="AH93" s="291">
        <f t="shared" si="79"/>
        <v>540</v>
      </c>
      <c r="AI93" s="291"/>
      <c r="AJ93" s="291"/>
      <c r="AK93" s="291"/>
      <c r="AL93" s="291"/>
      <c r="AM93" s="291">
        <f t="shared" si="90"/>
        <v>540</v>
      </c>
      <c r="AN93" s="291"/>
      <c r="AO93" s="291"/>
      <c r="AP93" s="291"/>
      <c r="AQ93" s="291"/>
      <c r="AR93" s="291">
        <f t="shared" si="91"/>
        <v>0</v>
      </c>
      <c r="AS93" s="291"/>
      <c r="AT93" s="291"/>
      <c r="AU93" s="291"/>
      <c r="AV93" s="291"/>
      <c r="AW93" s="139"/>
      <c r="AX93" s="139"/>
      <c r="AY93" s="139"/>
      <c r="AZ93" s="172"/>
      <c r="BA93" s="173"/>
      <c r="BB93" s="320">
        <f>(AM93*1%)+(4*CK93)</f>
        <v>5.8000000000000007</v>
      </c>
      <c r="BC93" s="320"/>
      <c r="BD93" s="320"/>
      <c r="BE93" s="320"/>
      <c r="BF93" s="320"/>
      <c r="BG93" s="302">
        <f t="shared" si="92"/>
        <v>545.79999999999995</v>
      </c>
      <c r="BH93" s="302"/>
      <c r="BI93" s="302"/>
      <c r="BJ93" s="302"/>
      <c r="BK93" s="302"/>
      <c r="BL93" s="302">
        <f t="shared" si="93"/>
        <v>534.20000000000005</v>
      </c>
      <c r="BM93" s="302"/>
      <c r="BN93" s="302"/>
      <c r="BO93" s="302"/>
      <c r="BP93" s="302"/>
      <c r="BQ93" s="292" t="str">
        <f t="shared" si="94"/>
        <v>PASS</v>
      </c>
      <c r="BR93" s="292"/>
      <c r="BS93" s="292"/>
      <c r="BT93" s="292"/>
      <c r="BU93" s="292"/>
      <c r="BV93" s="173"/>
      <c r="BX93" s="210" t="s">
        <v>129</v>
      </c>
      <c r="BY93" s="224">
        <v>7.0999999999999994E-2</v>
      </c>
      <c r="BZ93" s="1" t="str">
        <f t="shared" si="95"/>
        <v>V</v>
      </c>
      <c r="CA93" s="180">
        <v>2</v>
      </c>
      <c r="CB93" s="78">
        <f t="shared" si="96"/>
        <v>3.5499999999999997E-2</v>
      </c>
      <c r="CC93" s="4"/>
      <c r="CD93" s="73" t="s">
        <v>131</v>
      </c>
      <c r="CE93" s="89">
        <v>0</v>
      </c>
      <c r="CF93" s="74" t="str">
        <f t="shared" si="97"/>
        <v>V</v>
      </c>
      <c r="CG93" s="82">
        <f t="shared" si="15"/>
        <v>1.7320508075688772</v>
      </c>
      <c r="CH93" s="79">
        <f t="shared" si="103"/>
        <v>0</v>
      </c>
      <c r="CI93" s="4"/>
      <c r="CJ93" s="73" t="s">
        <v>92</v>
      </c>
      <c r="CK93" s="183">
        <v>0.1</v>
      </c>
      <c r="CL93" s="74" t="str">
        <f t="shared" si="98"/>
        <v>V</v>
      </c>
      <c r="CM93" s="82">
        <f t="shared" si="104"/>
        <v>3.4641016151377544</v>
      </c>
      <c r="CN93" s="79">
        <f t="shared" si="105"/>
        <v>2.8867513459481291E-2</v>
      </c>
      <c r="CO93" s="4"/>
      <c r="CP93" s="73" t="s">
        <v>70</v>
      </c>
      <c r="CQ93" s="84">
        <f t="shared" si="99"/>
        <v>0</v>
      </c>
      <c r="CR93" s="74" t="str">
        <f t="shared" si="100"/>
        <v>V</v>
      </c>
      <c r="CS93" s="82">
        <f t="shared" si="106"/>
        <v>1.7320508075688772</v>
      </c>
      <c r="CT93" s="87">
        <f t="shared" si="107"/>
        <v>0</v>
      </c>
      <c r="CU93" s="8"/>
      <c r="CV93" s="96">
        <f t="shared" si="108"/>
        <v>4.5755691813514673E-2</v>
      </c>
      <c r="CW93" s="89">
        <f t="shared" si="109"/>
        <v>384.03120201997228</v>
      </c>
      <c r="CX93" s="97">
        <f t="shared" si="101"/>
        <v>2</v>
      </c>
      <c r="CY93" s="113">
        <f t="shared" si="122"/>
        <v>9.1511383627029347E-2</v>
      </c>
      <c r="CZ93" s="108" t="str">
        <f t="shared" si="102"/>
        <v>V</v>
      </c>
      <c r="DA93" s="8"/>
      <c r="DB93" s="177">
        <v>8.4000000000000005E-2</v>
      </c>
      <c r="DC93" s="178" t="str">
        <f t="shared" si="111"/>
        <v>V</v>
      </c>
      <c r="DD93" s="220">
        <f t="shared" si="75"/>
        <v>9.1511383627029347E-2</v>
      </c>
      <c r="DE93" s="178" t="str">
        <f t="shared" si="112"/>
        <v>V</v>
      </c>
    </row>
    <row r="94" spans="1:109" s="174" customFormat="1" ht="18" customHeight="1">
      <c r="A94" s="173"/>
      <c r="B94" s="170"/>
      <c r="C94" s="139"/>
      <c r="D94" s="139"/>
      <c r="E94" s="139"/>
      <c r="F94" s="310" t="s">
        <v>146</v>
      </c>
      <c r="G94" s="311"/>
      <c r="H94" s="311"/>
      <c r="I94" s="311"/>
      <c r="J94" s="311"/>
      <c r="K94" s="312"/>
      <c r="L94" s="297">
        <f>1000*10%</f>
        <v>100</v>
      </c>
      <c r="M94" s="298"/>
      <c r="N94" s="298"/>
      <c r="O94" s="298"/>
      <c r="P94" s="299" t="s">
        <v>93</v>
      </c>
      <c r="Q94" s="299"/>
      <c r="R94" s="300"/>
      <c r="S94" s="319" t="s">
        <v>96</v>
      </c>
      <c r="T94" s="319"/>
      <c r="U94" s="319"/>
      <c r="V94" s="319"/>
      <c r="W94" s="319"/>
      <c r="X94" s="291">
        <f t="shared" si="77"/>
        <v>100</v>
      </c>
      <c r="Y94" s="291"/>
      <c r="Z94" s="291"/>
      <c r="AA94" s="291"/>
      <c r="AB94" s="291"/>
      <c r="AC94" s="291">
        <f t="shared" si="78"/>
        <v>100</v>
      </c>
      <c r="AD94" s="291"/>
      <c r="AE94" s="291"/>
      <c r="AF94" s="291"/>
      <c r="AG94" s="291"/>
      <c r="AH94" s="291">
        <f t="shared" si="79"/>
        <v>100</v>
      </c>
      <c r="AI94" s="291"/>
      <c r="AJ94" s="291"/>
      <c r="AK94" s="291"/>
      <c r="AL94" s="291"/>
      <c r="AM94" s="302">
        <f t="shared" ref="AM94:AM97" si="123">AVERAGE(X94:AL94)</f>
        <v>100</v>
      </c>
      <c r="AN94" s="302"/>
      <c r="AO94" s="302"/>
      <c r="AP94" s="302"/>
      <c r="AQ94" s="302"/>
      <c r="AR94" s="302">
        <f t="shared" ref="AR94:AR97" si="124">AM94-L94</f>
        <v>0</v>
      </c>
      <c r="AS94" s="302"/>
      <c r="AT94" s="302"/>
      <c r="AU94" s="302"/>
      <c r="AV94" s="302"/>
      <c r="AW94" s="139"/>
      <c r="AX94" s="139"/>
      <c r="AY94" s="139"/>
      <c r="AZ94" s="172"/>
      <c r="BA94" s="173"/>
      <c r="BB94" s="320">
        <f>(AM94*0.7%)+(2*CK94)</f>
        <v>2.7</v>
      </c>
      <c r="BC94" s="320"/>
      <c r="BD94" s="320"/>
      <c r="BE94" s="320"/>
      <c r="BF94" s="320"/>
      <c r="BG94" s="302">
        <f t="shared" ref="BG94:BG97" si="125">L94+BB94</f>
        <v>102.7</v>
      </c>
      <c r="BH94" s="302"/>
      <c r="BI94" s="302"/>
      <c r="BJ94" s="302"/>
      <c r="BK94" s="302"/>
      <c r="BL94" s="302">
        <f t="shared" ref="BL94:BL97" si="126">L94-BB94</f>
        <v>97.3</v>
      </c>
      <c r="BM94" s="302"/>
      <c r="BN94" s="302"/>
      <c r="BO94" s="302"/>
      <c r="BP94" s="302"/>
      <c r="BQ94" s="292" t="str">
        <f t="shared" ref="BQ94:BQ97" si="127">IF(AND(AM94&lt;=BG94,AM94&gt;=BL94),"PASS","FAIL")</f>
        <v>PASS</v>
      </c>
      <c r="BR94" s="292"/>
      <c r="BS94" s="292"/>
      <c r="BT94" s="292"/>
      <c r="BU94" s="292"/>
      <c r="BV94" s="173"/>
      <c r="BX94" s="72" t="s">
        <v>129</v>
      </c>
      <c r="BY94" s="224">
        <v>7.0999999999999994E-2</v>
      </c>
      <c r="BZ94" s="76" t="str">
        <f t="shared" ref="BZ94:BZ97" si="128">P94</f>
        <v>V</v>
      </c>
      <c r="CA94" s="175">
        <v>2</v>
      </c>
      <c r="CB94" s="209">
        <f t="shared" ref="CB94:CB97" si="129">BY94/CA94</f>
        <v>3.5499999999999997E-2</v>
      </c>
      <c r="CC94" s="4"/>
      <c r="CD94" s="72" t="s">
        <v>131</v>
      </c>
      <c r="CE94" s="5">
        <v>0</v>
      </c>
      <c r="CF94" s="1" t="str">
        <f t="shared" ref="CF94:CF97" si="130">BZ94</f>
        <v>V</v>
      </c>
      <c r="CG94" s="81">
        <f t="shared" si="15"/>
        <v>1.7320508075688772</v>
      </c>
      <c r="CH94" s="78">
        <f t="shared" ref="CH94:CH97" si="131">CE94/CG94</f>
        <v>0</v>
      </c>
      <c r="CI94" s="4"/>
      <c r="CJ94" s="72" t="s">
        <v>92</v>
      </c>
      <c r="CK94" s="181">
        <v>1</v>
      </c>
      <c r="CL94" s="1" t="str">
        <f t="shared" ref="CL94:CL97" si="132">P94</f>
        <v>V</v>
      </c>
      <c r="CM94" s="81">
        <f t="shared" si="104"/>
        <v>3.4641016151377544</v>
      </c>
      <c r="CN94" s="78">
        <f t="shared" ref="CN94:CN97" si="133">CK94/CM94</f>
        <v>0.28867513459481292</v>
      </c>
      <c r="CO94" s="4"/>
      <c r="CP94" s="72" t="s">
        <v>70</v>
      </c>
      <c r="CQ94" s="6">
        <f t="shared" ref="CQ94:CQ97" si="134">STDEV(X94:AL94)</f>
        <v>0</v>
      </c>
      <c r="CR94" s="1" t="str">
        <f t="shared" ref="CR94:CR97" si="135">P94</f>
        <v>V</v>
      </c>
      <c r="CS94" s="81">
        <f t="shared" si="106"/>
        <v>1.7320508075688772</v>
      </c>
      <c r="CT94" s="86">
        <f t="shared" ref="CT94:CT97" si="136">CQ94/CS94</f>
        <v>0</v>
      </c>
      <c r="CU94" s="8"/>
      <c r="CV94" s="94">
        <f t="shared" ref="CV94:CV97" si="137">SQRT(SUMSQ(CT94,CN94,CH94,CB94))</f>
        <v>0.29084976075859742</v>
      </c>
      <c r="CW94" s="5">
        <f t="shared" ref="CW94:CW97" si="138">(CV94^4)/(((CT94^4)/2)+((CN94^4)/200)+((CH94^4)/200)+((CB94^4)/200))</f>
        <v>206.04781683327099</v>
      </c>
      <c r="CX94" s="95">
        <f t="shared" ref="CX94:CX97" si="139">ROUND(TINV(0.05,CW94),0)</f>
        <v>2</v>
      </c>
      <c r="CY94" s="112">
        <f t="shared" si="122"/>
        <v>0.58169952151719484</v>
      </c>
      <c r="CZ94" s="106" t="str">
        <f t="shared" ref="CZ94:CZ97" si="140">P94</f>
        <v>V</v>
      </c>
      <c r="DA94" s="8"/>
      <c r="DB94" s="177">
        <v>6.4000000000000003E-3</v>
      </c>
      <c r="DC94" s="178" t="str">
        <f t="shared" ref="DC94:DC97" si="141">CZ94</f>
        <v>V</v>
      </c>
      <c r="DD94" s="220">
        <f t="shared" si="75"/>
        <v>0.58169952151719484</v>
      </c>
      <c r="DE94" s="178" t="str">
        <f t="shared" ref="DE94:DE97" si="142">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f t="shared" si="77"/>
        <v>100</v>
      </c>
      <c r="Y95" s="291"/>
      <c r="Z95" s="291"/>
      <c r="AA95" s="291"/>
      <c r="AB95" s="291"/>
      <c r="AC95" s="291">
        <f t="shared" si="78"/>
        <v>100</v>
      </c>
      <c r="AD95" s="291"/>
      <c r="AE95" s="291"/>
      <c r="AF95" s="291"/>
      <c r="AG95" s="291"/>
      <c r="AH95" s="291">
        <f t="shared" si="79"/>
        <v>100</v>
      </c>
      <c r="AI95" s="291"/>
      <c r="AJ95" s="291"/>
      <c r="AK95" s="291"/>
      <c r="AL95" s="291"/>
      <c r="AM95" s="302">
        <f t="shared" si="123"/>
        <v>100</v>
      </c>
      <c r="AN95" s="302"/>
      <c r="AO95" s="302"/>
      <c r="AP95" s="302"/>
      <c r="AQ95" s="302"/>
      <c r="AR95" s="302">
        <f t="shared" si="124"/>
        <v>0</v>
      </c>
      <c r="AS95" s="302"/>
      <c r="AT95" s="302"/>
      <c r="AU95" s="302"/>
      <c r="AV95" s="302"/>
      <c r="AW95" s="139"/>
      <c r="AX95" s="139"/>
      <c r="AY95" s="139"/>
      <c r="AZ95" s="172"/>
      <c r="BA95" s="173"/>
      <c r="BB95" s="320">
        <f>(AM95*1%)+(4*CK95)</f>
        <v>5</v>
      </c>
      <c r="BC95" s="320"/>
      <c r="BD95" s="320"/>
      <c r="BE95" s="320"/>
      <c r="BF95" s="320"/>
      <c r="BG95" s="302">
        <f t="shared" si="125"/>
        <v>105</v>
      </c>
      <c r="BH95" s="302"/>
      <c r="BI95" s="302"/>
      <c r="BJ95" s="302"/>
      <c r="BK95" s="302"/>
      <c r="BL95" s="302">
        <f t="shared" si="126"/>
        <v>95</v>
      </c>
      <c r="BM95" s="302"/>
      <c r="BN95" s="302"/>
      <c r="BO95" s="302"/>
      <c r="BP95" s="302"/>
      <c r="BQ95" s="292" t="str">
        <f t="shared" si="127"/>
        <v>PASS</v>
      </c>
      <c r="BR95" s="292"/>
      <c r="BS95" s="292"/>
      <c r="BT95" s="292"/>
      <c r="BU95" s="292"/>
      <c r="BV95" s="173"/>
      <c r="BX95" s="72" t="s">
        <v>129</v>
      </c>
      <c r="BY95" s="224">
        <v>7.0999999999999994E-2</v>
      </c>
      <c r="BZ95" s="1" t="str">
        <f t="shared" si="128"/>
        <v>V</v>
      </c>
      <c r="CA95" s="180">
        <v>2</v>
      </c>
      <c r="CB95" s="78">
        <f t="shared" si="129"/>
        <v>3.5499999999999997E-2</v>
      </c>
      <c r="CC95" s="4"/>
      <c r="CD95" s="72" t="s">
        <v>131</v>
      </c>
      <c r="CE95" s="5">
        <v>0</v>
      </c>
      <c r="CF95" s="1" t="str">
        <f t="shared" si="130"/>
        <v>V</v>
      </c>
      <c r="CG95" s="81">
        <f t="shared" si="15"/>
        <v>1.7320508075688772</v>
      </c>
      <c r="CH95" s="78">
        <f t="shared" si="131"/>
        <v>0</v>
      </c>
      <c r="CI95" s="4"/>
      <c r="CJ95" s="72" t="s">
        <v>92</v>
      </c>
      <c r="CK95" s="181">
        <v>1</v>
      </c>
      <c r="CL95" s="1" t="str">
        <f t="shared" si="132"/>
        <v>V</v>
      </c>
      <c r="CM95" s="81">
        <f t="shared" si="104"/>
        <v>3.4641016151377544</v>
      </c>
      <c r="CN95" s="78">
        <f t="shared" si="133"/>
        <v>0.28867513459481292</v>
      </c>
      <c r="CO95" s="4"/>
      <c r="CP95" s="72" t="s">
        <v>70</v>
      </c>
      <c r="CQ95" s="6">
        <f t="shared" si="134"/>
        <v>0</v>
      </c>
      <c r="CR95" s="1" t="str">
        <f t="shared" si="135"/>
        <v>V</v>
      </c>
      <c r="CS95" s="81">
        <f t="shared" si="106"/>
        <v>1.7320508075688772</v>
      </c>
      <c r="CT95" s="86">
        <f t="shared" si="136"/>
        <v>0</v>
      </c>
      <c r="CU95" s="8"/>
      <c r="CV95" s="94">
        <f t="shared" si="137"/>
        <v>0.29084976075859742</v>
      </c>
      <c r="CW95" s="5">
        <f t="shared" si="138"/>
        <v>206.04781683327099</v>
      </c>
      <c r="CX95" s="95">
        <f t="shared" si="139"/>
        <v>2</v>
      </c>
      <c r="CY95" s="112">
        <f t="shared" si="122"/>
        <v>0.58169952151719484</v>
      </c>
      <c r="CZ95" s="106" t="str">
        <f t="shared" si="140"/>
        <v>V</v>
      </c>
      <c r="DA95" s="8"/>
      <c r="DB95" s="177">
        <v>6.4000000000000003E-3</v>
      </c>
      <c r="DC95" s="178" t="str">
        <f t="shared" si="141"/>
        <v>V</v>
      </c>
      <c r="DD95" s="220">
        <f t="shared" si="75"/>
        <v>0.58169952151719484</v>
      </c>
      <c r="DE95" s="178" t="str">
        <f t="shared" si="142"/>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f t="shared" si="77"/>
        <v>900</v>
      </c>
      <c r="Y96" s="291"/>
      <c r="Z96" s="291"/>
      <c r="AA96" s="291"/>
      <c r="AB96" s="291"/>
      <c r="AC96" s="291">
        <f t="shared" si="78"/>
        <v>900</v>
      </c>
      <c r="AD96" s="291"/>
      <c r="AE96" s="291"/>
      <c r="AF96" s="291"/>
      <c r="AG96" s="291"/>
      <c r="AH96" s="291">
        <f t="shared" si="79"/>
        <v>900</v>
      </c>
      <c r="AI96" s="291"/>
      <c r="AJ96" s="291"/>
      <c r="AK96" s="291"/>
      <c r="AL96" s="291"/>
      <c r="AM96" s="302">
        <f t="shared" si="123"/>
        <v>900</v>
      </c>
      <c r="AN96" s="302"/>
      <c r="AO96" s="302"/>
      <c r="AP96" s="302"/>
      <c r="AQ96" s="302"/>
      <c r="AR96" s="302">
        <f t="shared" si="124"/>
        <v>0</v>
      </c>
      <c r="AS96" s="302"/>
      <c r="AT96" s="302"/>
      <c r="AU96" s="302"/>
      <c r="AV96" s="302"/>
      <c r="AW96" s="139"/>
      <c r="AX96" s="139"/>
      <c r="AY96" s="139"/>
      <c r="AZ96" s="172"/>
      <c r="BA96" s="173"/>
      <c r="BB96" s="320">
        <f>(AM96*0.7%)+(2*CK96)</f>
        <v>8.2999999999999989</v>
      </c>
      <c r="BC96" s="320"/>
      <c r="BD96" s="320"/>
      <c r="BE96" s="320"/>
      <c r="BF96" s="320"/>
      <c r="BG96" s="302">
        <f t="shared" si="125"/>
        <v>908.3</v>
      </c>
      <c r="BH96" s="302"/>
      <c r="BI96" s="302"/>
      <c r="BJ96" s="302"/>
      <c r="BK96" s="302"/>
      <c r="BL96" s="302">
        <f t="shared" si="126"/>
        <v>891.7</v>
      </c>
      <c r="BM96" s="302"/>
      <c r="BN96" s="302"/>
      <c r="BO96" s="302"/>
      <c r="BP96" s="302"/>
      <c r="BQ96" s="292" t="str">
        <f t="shared" si="127"/>
        <v>PASS</v>
      </c>
      <c r="BR96" s="292"/>
      <c r="BS96" s="292"/>
      <c r="BT96" s="292"/>
      <c r="BU96" s="292"/>
      <c r="BV96" s="173"/>
      <c r="BX96" s="72" t="s">
        <v>129</v>
      </c>
      <c r="BY96" s="224">
        <v>7.0999999999999994E-2</v>
      </c>
      <c r="BZ96" s="1" t="str">
        <f t="shared" si="128"/>
        <v>V</v>
      </c>
      <c r="CA96" s="180">
        <v>2</v>
      </c>
      <c r="CB96" s="78">
        <f t="shared" si="129"/>
        <v>3.5499999999999997E-2</v>
      </c>
      <c r="CC96" s="4"/>
      <c r="CD96" s="72" t="s">
        <v>131</v>
      </c>
      <c r="CE96" s="5">
        <v>0</v>
      </c>
      <c r="CF96" s="1" t="str">
        <f t="shared" si="130"/>
        <v>V</v>
      </c>
      <c r="CG96" s="81">
        <f t="shared" si="15"/>
        <v>1.7320508075688772</v>
      </c>
      <c r="CH96" s="78">
        <f t="shared" si="131"/>
        <v>0</v>
      </c>
      <c r="CI96" s="4"/>
      <c r="CJ96" s="72" t="s">
        <v>92</v>
      </c>
      <c r="CK96" s="181">
        <v>1</v>
      </c>
      <c r="CL96" s="1" t="str">
        <f t="shared" si="132"/>
        <v>V</v>
      </c>
      <c r="CM96" s="81">
        <f t="shared" si="104"/>
        <v>3.4641016151377544</v>
      </c>
      <c r="CN96" s="78">
        <f t="shared" si="133"/>
        <v>0.28867513459481292</v>
      </c>
      <c r="CO96" s="4"/>
      <c r="CP96" s="72" t="s">
        <v>70</v>
      </c>
      <c r="CQ96" s="6">
        <f t="shared" si="134"/>
        <v>0</v>
      </c>
      <c r="CR96" s="1" t="str">
        <f t="shared" si="135"/>
        <v>V</v>
      </c>
      <c r="CS96" s="81">
        <f t="shared" si="106"/>
        <v>1.7320508075688772</v>
      </c>
      <c r="CT96" s="86">
        <f t="shared" si="136"/>
        <v>0</v>
      </c>
      <c r="CU96" s="8"/>
      <c r="CV96" s="94">
        <f t="shared" si="137"/>
        <v>0.29084976075859742</v>
      </c>
      <c r="CW96" s="5">
        <f t="shared" si="138"/>
        <v>206.04781683327099</v>
      </c>
      <c r="CX96" s="95">
        <f t="shared" si="139"/>
        <v>2</v>
      </c>
      <c r="CY96" s="112">
        <f t="shared" ref="CY96:CY97" si="143">(CV96*CX96)</f>
        <v>0.58169952151719484</v>
      </c>
      <c r="CZ96" s="106" t="str">
        <f t="shared" si="140"/>
        <v>V</v>
      </c>
      <c r="DA96" s="8"/>
      <c r="DB96" s="177">
        <v>8.4000000000000005E-2</v>
      </c>
      <c r="DC96" s="178" t="str">
        <f t="shared" si="141"/>
        <v>V</v>
      </c>
      <c r="DD96" s="220">
        <f t="shared" si="75"/>
        <v>0.58169952151719484</v>
      </c>
      <c r="DE96" s="178" t="str">
        <f t="shared" si="142"/>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f t="shared" si="77"/>
        <v>900</v>
      </c>
      <c r="Y97" s="291"/>
      <c r="Z97" s="291"/>
      <c r="AA97" s="291"/>
      <c r="AB97" s="291"/>
      <c r="AC97" s="291">
        <f t="shared" si="78"/>
        <v>900</v>
      </c>
      <c r="AD97" s="291"/>
      <c r="AE97" s="291"/>
      <c r="AF97" s="291"/>
      <c r="AG97" s="291"/>
      <c r="AH97" s="291">
        <f t="shared" si="79"/>
        <v>900</v>
      </c>
      <c r="AI97" s="291"/>
      <c r="AJ97" s="291"/>
      <c r="AK97" s="291"/>
      <c r="AL97" s="291"/>
      <c r="AM97" s="302">
        <f t="shared" si="123"/>
        <v>900</v>
      </c>
      <c r="AN97" s="302"/>
      <c r="AO97" s="302"/>
      <c r="AP97" s="302"/>
      <c r="AQ97" s="302"/>
      <c r="AR97" s="302">
        <f t="shared" si="124"/>
        <v>0</v>
      </c>
      <c r="AS97" s="302"/>
      <c r="AT97" s="302"/>
      <c r="AU97" s="302"/>
      <c r="AV97" s="302"/>
      <c r="AW97" s="139"/>
      <c r="AX97" s="139"/>
      <c r="AY97" s="139"/>
      <c r="AZ97" s="172"/>
      <c r="BA97" s="173"/>
      <c r="BB97" s="320">
        <f>(AM97*1%)+(4*CK97)</f>
        <v>13</v>
      </c>
      <c r="BC97" s="320"/>
      <c r="BD97" s="320"/>
      <c r="BE97" s="320"/>
      <c r="BF97" s="320"/>
      <c r="BG97" s="302">
        <f t="shared" si="125"/>
        <v>913</v>
      </c>
      <c r="BH97" s="302"/>
      <c r="BI97" s="302"/>
      <c r="BJ97" s="302"/>
      <c r="BK97" s="302"/>
      <c r="BL97" s="302">
        <f t="shared" si="126"/>
        <v>887</v>
      </c>
      <c r="BM97" s="302"/>
      <c r="BN97" s="302"/>
      <c r="BO97" s="302"/>
      <c r="BP97" s="302"/>
      <c r="BQ97" s="292" t="str">
        <f t="shared" si="127"/>
        <v>PASS</v>
      </c>
      <c r="BR97" s="292"/>
      <c r="BS97" s="292"/>
      <c r="BT97" s="292"/>
      <c r="BU97" s="292"/>
      <c r="BV97" s="173"/>
      <c r="BX97" s="73" t="s">
        <v>129</v>
      </c>
      <c r="BY97" s="225">
        <v>7.0999999999999994E-2</v>
      </c>
      <c r="BZ97" s="74" t="str">
        <f t="shared" si="128"/>
        <v>V</v>
      </c>
      <c r="CA97" s="182">
        <v>2</v>
      </c>
      <c r="CB97" s="79">
        <f t="shared" si="129"/>
        <v>3.5499999999999997E-2</v>
      </c>
      <c r="CC97" s="4"/>
      <c r="CD97" s="73" t="s">
        <v>131</v>
      </c>
      <c r="CE97" s="89">
        <v>0</v>
      </c>
      <c r="CF97" s="74" t="str">
        <f t="shared" si="130"/>
        <v>V</v>
      </c>
      <c r="CG97" s="82">
        <f t="shared" si="15"/>
        <v>1.7320508075688772</v>
      </c>
      <c r="CH97" s="79">
        <f t="shared" si="131"/>
        <v>0</v>
      </c>
      <c r="CI97" s="4"/>
      <c r="CJ97" s="73" t="s">
        <v>92</v>
      </c>
      <c r="CK97" s="183">
        <v>1</v>
      </c>
      <c r="CL97" s="74" t="str">
        <f t="shared" si="132"/>
        <v>V</v>
      </c>
      <c r="CM97" s="82">
        <f t="shared" si="104"/>
        <v>3.4641016151377544</v>
      </c>
      <c r="CN97" s="79">
        <f t="shared" si="133"/>
        <v>0.28867513459481292</v>
      </c>
      <c r="CO97" s="4"/>
      <c r="CP97" s="73" t="s">
        <v>70</v>
      </c>
      <c r="CQ97" s="84">
        <f t="shared" si="134"/>
        <v>0</v>
      </c>
      <c r="CR97" s="74" t="str">
        <f t="shared" si="135"/>
        <v>V</v>
      </c>
      <c r="CS97" s="82">
        <f t="shared" si="106"/>
        <v>1.7320508075688772</v>
      </c>
      <c r="CT97" s="87">
        <f t="shared" si="136"/>
        <v>0</v>
      </c>
      <c r="CU97" s="8"/>
      <c r="CV97" s="96">
        <f t="shared" si="137"/>
        <v>0.29084976075859742</v>
      </c>
      <c r="CW97" s="89">
        <f t="shared" si="138"/>
        <v>206.04781683327099</v>
      </c>
      <c r="CX97" s="97">
        <f t="shared" si="139"/>
        <v>2</v>
      </c>
      <c r="CY97" s="113">
        <f t="shared" si="143"/>
        <v>0.58169952151719484</v>
      </c>
      <c r="CZ97" s="108" t="str">
        <f t="shared" si="140"/>
        <v>V</v>
      </c>
      <c r="DA97" s="8"/>
      <c r="DB97" s="177">
        <v>8.4000000000000005E-2</v>
      </c>
      <c r="DC97" s="178" t="str">
        <f t="shared" si="141"/>
        <v>V</v>
      </c>
      <c r="DD97" s="220">
        <f t="shared" si="75"/>
        <v>0.58169952151719484</v>
      </c>
      <c r="DE97" s="178" t="str">
        <f t="shared" si="142"/>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f t="shared" ref="X102" si="144">L102</f>
        <v>0</v>
      </c>
      <c r="Y102" s="291"/>
      <c r="Z102" s="291"/>
      <c r="AA102" s="291"/>
      <c r="AB102" s="291"/>
      <c r="AC102" s="291">
        <f t="shared" ref="AC102" si="145">L102</f>
        <v>0</v>
      </c>
      <c r="AD102" s="291"/>
      <c r="AE102" s="291"/>
      <c r="AF102" s="291"/>
      <c r="AG102" s="291"/>
      <c r="AH102" s="291">
        <f t="shared" ref="AH102" si="146">L102</f>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47">L102+BB102</f>
        <v>0.2</v>
      </c>
      <c r="BH102" s="291"/>
      <c r="BI102" s="291"/>
      <c r="BJ102" s="291"/>
      <c r="BK102" s="291"/>
      <c r="BL102" s="291">
        <f t="shared" ref="BL102:BL108" si="148">L102-BB102</f>
        <v>-0.2</v>
      </c>
      <c r="BM102" s="291"/>
      <c r="BN102" s="291"/>
      <c r="BO102" s="291"/>
      <c r="BP102" s="291"/>
      <c r="BQ102" s="292" t="str">
        <f t="shared" ref="BQ102:BQ108" si="149">IF(AND(AM102&lt;=BG102,AM102&gt;=BL102),"PASS","FAIL")</f>
        <v>PASS</v>
      </c>
      <c r="BR102" s="292"/>
      <c r="BS102" s="292"/>
      <c r="BT102" s="292"/>
      <c r="BU102" s="292"/>
      <c r="BV102" s="173"/>
      <c r="BX102" s="70" t="s">
        <v>129</v>
      </c>
      <c r="BY102" s="88">
        <v>7.7000000000000001E-5</v>
      </c>
      <c r="BZ102" s="71" t="str">
        <f t="shared" ref="BZ102:BZ108" si="150">P102</f>
        <v>Ω</v>
      </c>
      <c r="CA102" s="191">
        <v>2</v>
      </c>
      <c r="CB102" s="77">
        <f t="shared" ref="CB102:CB103" si="151">BY102/CA102</f>
        <v>3.8500000000000001E-5</v>
      </c>
      <c r="CC102" s="4"/>
      <c r="CD102" s="70" t="s">
        <v>131</v>
      </c>
      <c r="CE102" s="88">
        <v>0</v>
      </c>
      <c r="CF102" s="71" t="str">
        <f t="shared" ref="CF102:CF108" si="152">BZ102</f>
        <v>Ω</v>
      </c>
      <c r="CG102" s="80">
        <f t="shared" ref="CG102:CG108" si="153">SQRT(3)</f>
        <v>1.7320508075688772</v>
      </c>
      <c r="CH102" s="77">
        <f t="shared" ref="CH102:CH108" si="154">CE102/CG102</f>
        <v>0</v>
      </c>
      <c r="CI102" s="4"/>
      <c r="CJ102" s="70" t="s">
        <v>92</v>
      </c>
      <c r="CK102" s="176">
        <v>0.1</v>
      </c>
      <c r="CL102" s="71" t="str">
        <f t="shared" ref="CL102:CL108" si="155">P102</f>
        <v>Ω</v>
      </c>
      <c r="CM102" s="80">
        <f>SQRT(12)</f>
        <v>3.4641016151377544</v>
      </c>
      <c r="CN102" s="77">
        <f>CK102/CM102</f>
        <v>2.8867513459481291E-2</v>
      </c>
      <c r="CO102" s="4"/>
      <c r="CP102" s="70" t="s">
        <v>70</v>
      </c>
      <c r="CQ102" s="83">
        <f t="shared" ref="CQ102:CQ108" si="156">STDEV(X102:AL102)</f>
        <v>0</v>
      </c>
      <c r="CR102" s="71" t="str">
        <f t="shared" ref="CR102:CR108" si="157">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58">ROUND(TINV(0.05,CW102),0)</f>
        <v>2</v>
      </c>
      <c r="CY102" s="103">
        <f>(CV102*CX102)</f>
        <v>5.7735078265585944E-2</v>
      </c>
      <c r="CZ102" s="104" t="str">
        <f t="shared" ref="CZ102:CZ108" si="159">P102</f>
        <v>Ω</v>
      </c>
      <c r="DA102" s="8"/>
      <c r="DB102" s="177">
        <v>7.7999999999999996E-3</v>
      </c>
      <c r="DC102" s="178" t="str">
        <f>CZ102</f>
        <v>Ω</v>
      </c>
      <c r="DD102" s="220">
        <f t="shared" ref="DD102:DD108" si="160">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f t="shared" ref="X103:X108" si="161">L103</f>
        <v>540</v>
      </c>
      <c r="Y103" s="291"/>
      <c r="Z103" s="291"/>
      <c r="AA103" s="291"/>
      <c r="AB103" s="291"/>
      <c r="AC103" s="291">
        <f t="shared" ref="AC103:AC108" si="162">L103</f>
        <v>540</v>
      </c>
      <c r="AD103" s="291"/>
      <c r="AE103" s="291"/>
      <c r="AF103" s="291"/>
      <c r="AG103" s="291"/>
      <c r="AH103" s="291">
        <f t="shared" ref="AH103:AH108" si="163">L103</f>
        <v>540</v>
      </c>
      <c r="AI103" s="291"/>
      <c r="AJ103" s="291"/>
      <c r="AK103" s="291"/>
      <c r="AL103" s="291"/>
      <c r="AM103" s="291">
        <f t="shared" ref="AM103:AM108" si="164">AVERAGE(X103:AL103)</f>
        <v>540</v>
      </c>
      <c r="AN103" s="291"/>
      <c r="AO103" s="291"/>
      <c r="AP103" s="291"/>
      <c r="AQ103" s="291"/>
      <c r="AR103" s="291">
        <f t="shared" ref="AR103:AR108" si="165">AM103-L103</f>
        <v>0</v>
      </c>
      <c r="AS103" s="291"/>
      <c r="AT103" s="291"/>
      <c r="AU103" s="291"/>
      <c r="AV103" s="291"/>
      <c r="AW103" s="139"/>
      <c r="AX103" s="139"/>
      <c r="AY103" s="139"/>
      <c r="AZ103" s="172"/>
      <c r="BA103" s="173"/>
      <c r="BB103" s="291">
        <f>(AM103*0.2%)+(2*CK103)</f>
        <v>1.28</v>
      </c>
      <c r="BC103" s="291"/>
      <c r="BD103" s="291"/>
      <c r="BE103" s="291"/>
      <c r="BF103" s="291"/>
      <c r="BG103" s="291">
        <f t="shared" si="147"/>
        <v>541.28</v>
      </c>
      <c r="BH103" s="291"/>
      <c r="BI103" s="291"/>
      <c r="BJ103" s="291"/>
      <c r="BK103" s="291"/>
      <c r="BL103" s="291">
        <f t="shared" si="148"/>
        <v>538.72</v>
      </c>
      <c r="BM103" s="291"/>
      <c r="BN103" s="291"/>
      <c r="BO103" s="291"/>
      <c r="BP103" s="291"/>
      <c r="BQ103" s="292" t="str">
        <f t="shared" si="149"/>
        <v>PASS</v>
      </c>
      <c r="BR103" s="292"/>
      <c r="BS103" s="292"/>
      <c r="BT103" s="292"/>
      <c r="BU103" s="292"/>
      <c r="BV103" s="173"/>
      <c r="BX103" s="72" t="s">
        <v>129</v>
      </c>
      <c r="BY103" s="179">
        <v>3.0000000000000001E-3</v>
      </c>
      <c r="BZ103" s="1" t="str">
        <f t="shared" si="150"/>
        <v>Ω</v>
      </c>
      <c r="CA103" s="180">
        <v>2</v>
      </c>
      <c r="CB103" s="78">
        <f t="shared" si="151"/>
        <v>1.5E-3</v>
      </c>
      <c r="CC103" s="4"/>
      <c r="CD103" s="72" t="s">
        <v>131</v>
      </c>
      <c r="CE103" s="5">
        <v>0</v>
      </c>
      <c r="CF103" s="1" t="str">
        <f t="shared" si="152"/>
        <v>Ω</v>
      </c>
      <c r="CG103" s="81">
        <f t="shared" si="153"/>
        <v>1.7320508075688772</v>
      </c>
      <c r="CH103" s="78">
        <f t="shared" si="154"/>
        <v>0</v>
      </c>
      <c r="CI103" s="4"/>
      <c r="CJ103" s="72" t="s">
        <v>92</v>
      </c>
      <c r="CK103" s="181">
        <v>0.1</v>
      </c>
      <c r="CL103" s="1" t="str">
        <f t="shared" si="155"/>
        <v>Ω</v>
      </c>
      <c r="CM103" s="81">
        <f t="shared" ref="CM103:CM108" si="166">SQRT(12)</f>
        <v>3.4641016151377544</v>
      </c>
      <c r="CN103" s="78">
        <f t="shared" ref="CN103:CN108" si="167">CK103/CM103</f>
        <v>2.8867513459481291E-2</v>
      </c>
      <c r="CO103" s="4"/>
      <c r="CP103" s="72" t="s">
        <v>70</v>
      </c>
      <c r="CQ103" s="6">
        <f t="shared" si="156"/>
        <v>0</v>
      </c>
      <c r="CR103" s="1" t="str">
        <f t="shared" si="157"/>
        <v>Ω</v>
      </c>
      <c r="CS103" s="81">
        <f t="shared" ref="CS103:CS108" si="168">SQRT(3)</f>
        <v>1.7320508075688772</v>
      </c>
      <c r="CT103" s="86">
        <f t="shared" ref="CT103:CT108" si="169">CQ103/CS103</f>
        <v>0</v>
      </c>
      <c r="CU103" s="8"/>
      <c r="CV103" s="94">
        <f t="shared" ref="CV103:CV108" si="170">SQRT(SUMSQ(CT103,CN103,CH103,CB103))</f>
        <v>2.8906458332582589E-2</v>
      </c>
      <c r="CW103" s="5">
        <f t="shared" ref="CW103:CW108" si="171">(CV103^4)/(((CT103^4)/2)+((CN103^4)/200)+((CH103^4)/200)+((CB103^4)/200))</f>
        <v>201.07999212685738</v>
      </c>
      <c r="CX103" s="109">
        <f t="shared" si="158"/>
        <v>2</v>
      </c>
      <c r="CY103" s="105">
        <f t="shared" ref="CY103" si="172">(CV103*CX103)</f>
        <v>5.7812916665165179E-2</v>
      </c>
      <c r="CZ103" s="106" t="str">
        <f t="shared" si="159"/>
        <v>Ω</v>
      </c>
      <c r="DA103" s="8"/>
      <c r="DB103" s="177">
        <v>2.3E-2</v>
      </c>
      <c r="DC103" s="178" t="str">
        <f t="shared" ref="DC103:DC106" si="173">CZ103</f>
        <v>Ω</v>
      </c>
      <c r="DD103" s="220">
        <f t="shared" si="160"/>
        <v>5.7812916665165179E-2</v>
      </c>
      <c r="DE103" s="178" t="str">
        <f t="shared" ref="DE103:DE106" si="174">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f t="shared" si="161"/>
        <v>5.4</v>
      </c>
      <c r="Y104" s="291"/>
      <c r="Z104" s="291"/>
      <c r="AA104" s="291"/>
      <c r="AB104" s="291"/>
      <c r="AC104" s="291">
        <f t="shared" si="162"/>
        <v>5.4</v>
      </c>
      <c r="AD104" s="291"/>
      <c r="AE104" s="291"/>
      <c r="AF104" s="291"/>
      <c r="AG104" s="291"/>
      <c r="AH104" s="291">
        <f t="shared" si="163"/>
        <v>5.4</v>
      </c>
      <c r="AI104" s="291"/>
      <c r="AJ104" s="291"/>
      <c r="AK104" s="291"/>
      <c r="AL104" s="291"/>
      <c r="AM104" s="320">
        <f t="shared" si="164"/>
        <v>5.4000000000000012</v>
      </c>
      <c r="AN104" s="320"/>
      <c r="AO104" s="320"/>
      <c r="AP104" s="320"/>
      <c r="AQ104" s="320"/>
      <c r="AR104" s="320">
        <f t="shared" si="165"/>
        <v>0</v>
      </c>
      <c r="AS104" s="320"/>
      <c r="AT104" s="320"/>
      <c r="AU104" s="320"/>
      <c r="AV104" s="320"/>
      <c r="AW104" s="139"/>
      <c r="AX104" s="139"/>
      <c r="AY104" s="139"/>
      <c r="AZ104" s="172"/>
      <c r="BA104" s="173"/>
      <c r="BB104" s="291">
        <f>(AM104*0.2%)+(1*CK104)</f>
        <v>1.1800000000000001E-2</v>
      </c>
      <c r="BC104" s="291"/>
      <c r="BD104" s="291"/>
      <c r="BE104" s="291"/>
      <c r="BF104" s="291"/>
      <c r="BG104" s="320">
        <f t="shared" si="147"/>
        <v>5.4118000000000004</v>
      </c>
      <c r="BH104" s="320"/>
      <c r="BI104" s="320"/>
      <c r="BJ104" s="320"/>
      <c r="BK104" s="320"/>
      <c r="BL104" s="320">
        <f t="shared" si="148"/>
        <v>5.3882000000000003</v>
      </c>
      <c r="BM104" s="320"/>
      <c r="BN104" s="320"/>
      <c r="BO104" s="320"/>
      <c r="BP104" s="320"/>
      <c r="BQ104" s="292" t="str">
        <f t="shared" si="149"/>
        <v>PASS</v>
      </c>
      <c r="BR104" s="292"/>
      <c r="BS104" s="292"/>
      <c r="BT104" s="292"/>
      <c r="BU104" s="292"/>
      <c r="BV104" s="173"/>
      <c r="BX104" s="72" t="s">
        <v>129</v>
      </c>
      <c r="BY104" s="222">
        <v>5.5000000000000002E-5</v>
      </c>
      <c r="BZ104" s="1" t="str">
        <f t="shared" si="150"/>
        <v>kΩ</v>
      </c>
      <c r="CA104" s="180">
        <v>2</v>
      </c>
      <c r="CB104" s="78">
        <f t="shared" ref="CB104" si="175">BY104/CA104</f>
        <v>2.7500000000000001E-5</v>
      </c>
      <c r="CC104" s="4"/>
      <c r="CD104" s="72" t="s">
        <v>131</v>
      </c>
      <c r="CE104" s="5">
        <v>0</v>
      </c>
      <c r="CF104" s="1" t="str">
        <f t="shared" si="152"/>
        <v>kΩ</v>
      </c>
      <c r="CG104" s="81">
        <f t="shared" si="153"/>
        <v>1.7320508075688772</v>
      </c>
      <c r="CH104" s="78">
        <f t="shared" si="154"/>
        <v>0</v>
      </c>
      <c r="CI104" s="4"/>
      <c r="CJ104" s="72" t="s">
        <v>92</v>
      </c>
      <c r="CK104" s="181">
        <v>1E-3</v>
      </c>
      <c r="CL104" s="1" t="str">
        <f t="shared" si="155"/>
        <v>kΩ</v>
      </c>
      <c r="CM104" s="81">
        <f t="shared" si="166"/>
        <v>3.4641016151377544</v>
      </c>
      <c r="CN104" s="78">
        <f t="shared" si="167"/>
        <v>2.886751345948129E-4</v>
      </c>
      <c r="CO104" s="4"/>
      <c r="CP104" s="72" t="s">
        <v>70</v>
      </c>
      <c r="CQ104" s="6">
        <f t="shared" si="156"/>
        <v>1.0877919644084146E-15</v>
      </c>
      <c r="CR104" s="1" t="str">
        <f t="shared" si="157"/>
        <v>kΩ</v>
      </c>
      <c r="CS104" s="81">
        <f t="shared" si="168"/>
        <v>1.7320508075688772</v>
      </c>
      <c r="CT104" s="86">
        <f t="shared" si="169"/>
        <v>6.2803698347350997E-16</v>
      </c>
      <c r="CU104" s="8"/>
      <c r="CV104" s="94">
        <f t="shared" si="170"/>
        <v>2.899820396737242E-4</v>
      </c>
      <c r="CW104" s="5">
        <f t="shared" si="171"/>
        <v>203.62970107369958</v>
      </c>
      <c r="CX104" s="109">
        <f t="shared" ref="CX104" si="176">ROUND(TINV(0.05,CW104),0)</f>
        <v>2</v>
      </c>
      <c r="CY104" s="111">
        <f t="shared" ref="CY104" si="177">(CV104*CX104)</f>
        <v>5.799640793474484E-4</v>
      </c>
      <c r="CZ104" s="106" t="str">
        <f t="shared" si="159"/>
        <v>kΩ</v>
      </c>
      <c r="DA104" s="8"/>
      <c r="DB104" s="177">
        <v>2.3000000000000001E-4</v>
      </c>
      <c r="DC104" s="178" t="str">
        <f t="shared" si="173"/>
        <v>kΩ</v>
      </c>
      <c r="DD104" s="220">
        <f t="shared" si="160"/>
        <v>5.799640793474484E-4</v>
      </c>
      <c r="DE104" s="178" t="str">
        <f t="shared" si="174"/>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f t="shared" si="161"/>
        <v>54</v>
      </c>
      <c r="Y105" s="291"/>
      <c r="Z105" s="291"/>
      <c r="AA105" s="291"/>
      <c r="AB105" s="291"/>
      <c r="AC105" s="291">
        <f t="shared" si="162"/>
        <v>54</v>
      </c>
      <c r="AD105" s="291"/>
      <c r="AE105" s="291"/>
      <c r="AF105" s="291"/>
      <c r="AG105" s="291"/>
      <c r="AH105" s="291">
        <f t="shared" si="163"/>
        <v>54</v>
      </c>
      <c r="AI105" s="291"/>
      <c r="AJ105" s="291"/>
      <c r="AK105" s="291"/>
      <c r="AL105" s="291"/>
      <c r="AM105" s="303">
        <f t="shared" si="164"/>
        <v>54</v>
      </c>
      <c r="AN105" s="303"/>
      <c r="AO105" s="303"/>
      <c r="AP105" s="303"/>
      <c r="AQ105" s="303"/>
      <c r="AR105" s="303">
        <f t="shared" si="165"/>
        <v>0</v>
      </c>
      <c r="AS105" s="303"/>
      <c r="AT105" s="303"/>
      <c r="AU105" s="303"/>
      <c r="AV105" s="303"/>
      <c r="AW105" s="139"/>
      <c r="AX105" s="139"/>
      <c r="AY105" s="139"/>
      <c r="AZ105" s="172"/>
      <c r="BA105" s="173"/>
      <c r="BB105" s="291">
        <f>(AM105*0.2%)+(1*CK105)</f>
        <v>0.11799999999999999</v>
      </c>
      <c r="BC105" s="291"/>
      <c r="BD105" s="291"/>
      <c r="BE105" s="291"/>
      <c r="BF105" s="291"/>
      <c r="BG105" s="303">
        <f t="shared" si="147"/>
        <v>54.118000000000002</v>
      </c>
      <c r="BH105" s="303"/>
      <c r="BI105" s="303"/>
      <c r="BJ105" s="303"/>
      <c r="BK105" s="303"/>
      <c r="BL105" s="303">
        <f t="shared" si="148"/>
        <v>53.881999999999998</v>
      </c>
      <c r="BM105" s="303"/>
      <c r="BN105" s="303"/>
      <c r="BO105" s="303"/>
      <c r="BP105" s="303"/>
      <c r="BQ105" s="292" t="str">
        <f t="shared" si="149"/>
        <v>PASS</v>
      </c>
      <c r="BR105" s="292"/>
      <c r="BS105" s="292"/>
      <c r="BT105" s="292"/>
      <c r="BU105" s="292"/>
      <c r="BV105" s="173"/>
      <c r="BX105" s="72" t="s">
        <v>129</v>
      </c>
      <c r="BY105" s="6">
        <v>8.0999999999999996E-4</v>
      </c>
      <c r="BZ105" s="1" t="str">
        <f t="shared" si="150"/>
        <v>kΩ</v>
      </c>
      <c r="CA105" s="180">
        <v>2</v>
      </c>
      <c r="CB105" s="78">
        <f t="shared" ref="CB105:CB108" si="178">BY105/CA105</f>
        <v>4.0499999999999998E-4</v>
      </c>
      <c r="CC105" s="4"/>
      <c r="CD105" s="72" t="s">
        <v>131</v>
      </c>
      <c r="CE105" s="5">
        <v>0</v>
      </c>
      <c r="CF105" s="1" t="str">
        <f t="shared" si="152"/>
        <v>kΩ</v>
      </c>
      <c r="CG105" s="81">
        <f t="shared" si="153"/>
        <v>1.7320508075688772</v>
      </c>
      <c r="CH105" s="78">
        <f t="shared" si="154"/>
        <v>0</v>
      </c>
      <c r="CI105" s="4"/>
      <c r="CJ105" s="72" t="s">
        <v>92</v>
      </c>
      <c r="CK105" s="181">
        <v>0.01</v>
      </c>
      <c r="CL105" s="1" t="str">
        <f t="shared" si="155"/>
        <v>kΩ</v>
      </c>
      <c r="CM105" s="81">
        <f t="shared" si="166"/>
        <v>3.4641016151377544</v>
      </c>
      <c r="CN105" s="78">
        <f t="shared" si="167"/>
        <v>2.886751345948129E-3</v>
      </c>
      <c r="CO105" s="4"/>
      <c r="CP105" s="72" t="s">
        <v>70</v>
      </c>
      <c r="CQ105" s="6">
        <f t="shared" si="156"/>
        <v>0</v>
      </c>
      <c r="CR105" s="1" t="str">
        <f t="shared" si="157"/>
        <v>kΩ</v>
      </c>
      <c r="CS105" s="81">
        <f t="shared" si="168"/>
        <v>1.7320508075688772</v>
      </c>
      <c r="CT105" s="86">
        <f t="shared" si="169"/>
        <v>0</v>
      </c>
      <c r="CU105" s="8"/>
      <c r="CV105" s="94">
        <f t="shared" si="170"/>
        <v>2.9150228701218337E-3</v>
      </c>
      <c r="CW105" s="5">
        <f t="shared" si="171"/>
        <v>207.8701509422734</v>
      </c>
      <c r="CX105" s="109">
        <f t="shared" ref="CX105:CX108" si="179">ROUND(TINV(0.05,CW105),0)</f>
        <v>2</v>
      </c>
      <c r="CY105" s="110">
        <f t="shared" ref="CY105:CY106" si="180">(CV105*CX105)</f>
        <v>5.8300457402436674E-3</v>
      </c>
      <c r="CZ105" s="106" t="str">
        <f t="shared" si="159"/>
        <v>kΩ</v>
      </c>
      <c r="DA105" s="8"/>
      <c r="DB105" s="177">
        <v>1.5E-3</v>
      </c>
      <c r="DC105" s="178" t="str">
        <f t="shared" si="173"/>
        <v>kΩ</v>
      </c>
      <c r="DD105" s="220">
        <f t="shared" si="160"/>
        <v>5.8300457402436674E-3</v>
      </c>
      <c r="DE105" s="178" t="str">
        <f t="shared" si="174"/>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f t="shared" si="161"/>
        <v>540</v>
      </c>
      <c r="Y106" s="291"/>
      <c r="Z106" s="291"/>
      <c r="AA106" s="291"/>
      <c r="AB106" s="291"/>
      <c r="AC106" s="291">
        <f t="shared" si="162"/>
        <v>540</v>
      </c>
      <c r="AD106" s="291"/>
      <c r="AE106" s="291"/>
      <c r="AF106" s="291"/>
      <c r="AG106" s="291"/>
      <c r="AH106" s="291">
        <f t="shared" si="163"/>
        <v>540</v>
      </c>
      <c r="AI106" s="291"/>
      <c r="AJ106" s="291"/>
      <c r="AK106" s="291"/>
      <c r="AL106" s="291"/>
      <c r="AM106" s="291">
        <f t="shared" si="164"/>
        <v>540</v>
      </c>
      <c r="AN106" s="291"/>
      <c r="AO106" s="291"/>
      <c r="AP106" s="291"/>
      <c r="AQ106" s="291"/>
      <c r="AR106" s="291">
        <f t="shared" si="165"/>
        <v>0</v>
      </c>
      <c r="AS106" s="291"/>
      <c r="AT106" s="291"/>
      <c r="AU106" s="291"/>
      <c r="AV106" s="291"/>
      <c r="AW106" s="139"/>
      <c r="AX106" s="139"/>
      <c r="AY106" s="139"/>
      <c r="AZ106" s="172"/>
      <c r="BA106" s="173"/>
      <c r="BB106" s="291">
        <f>(AM106*0.6%)+(1*CK106)</f>
        <v>3.3400000000000003</v>
      </c>
      <c r="BC106" s="291"/>
      <c r="BD106" s="291"/>
      <c r="BE106" s="291"/>
      <c r="BF106" s="291"/>
      <c r="BG106" s="291">
        <f t="shared" si="147"/>
        <v>543.34</v>
      </c>
      <c r="BH106" s="291"/>
      <c r="BI106" s="291"/>
      <c r="BJ106" s="291"/>
      <c r="BK106" s="291"/>
      <c r="BL106" s="291">
        <f t="shared" si="148"/>
        <v>536.66</v>
      </c>
      <c r="BM106" s="291"/>
      <c r="BN106" s="291"/>
      <c r="BO106" s="291"/>
      <c r="BP106" s="291"/>
      <c r="BQ106" s="292" t="str">
        <f t="shared" si="149"/>
        <v>PASS</v>
      </c>
      <c r="BR106" s="292"/>
      <c r="BS106" s="292"/>
      <c r="BT106" s="292"/>
      <c r="BU106" s="292"/>
      <c r="BV106" s="173"/>
      <c r="BX106" s="72" t="s">
        <v>129</v>
      </c>
      <c r="BY106" s="179">
        <v>6.6E-3</v>
      </c>
      <c r="BZ106" s="1" t="str">
        <f t="shared" si="150"/>
        <v>kΩ</v>
      </c>
      <c r="CA106" s="180">
        <v>2</v>
      </c>
      <c r="CB106" s="78">
        <f t="shared" si="178"/>
        <v>3.3E-3</v>
      </c>
      <c r="CC106" s="4"/>
      <c r="CD106" s="72" t="s">
        <v>131</v>
      </c>
      <c r="CE106" s="5">
        <v>0</v>
      </c>
      <c r="CF106" s="1" t="str">
        <f t="shared" si="152"/>
        <v>kΩ</v>
      </c>
      <c r="CG106" s="81">
        <f t="shared" si="153"/>
        <v>1.7320508075688772</v>
      </c>
      <c r="CH106" s="78">
        <f t="shared" si="154"/>
        <v>0</v>
      </c>
      <c r="CI106" s="4"/>
      <c r="CJ106" s="72" t="s">
        <v>92</v>
      </c>
      <c r="CK106" s="181">
        <v>0.1</v>
      </c>
      <c r="CL106" s="1" t="str">
        <f t="shared" si="155"/>
        <v>kΩ</v>
      </c>
      <c r="CM106" s="81">
        <f t="shared" si="166"/>
        <v>3.4641016151377544</v>
      </c>
      <c r="CN106" s="78">
        <f t="shared" si="167"/>
        <v>2.8867513459481291E-2</v>
      </c>
      <c r="CO106" s="4"/>
      <c r="CP106" s="72" t="s">
        <v>70</v>
      </c>
      <c r="CQ106" s="6">
        <f t="shared" si="156"/>
        <v>0</v>
      </c>
      <c r="CR106" s="1" t="str">
        <f t="shared" si="157"/>
        <v>kΩ</v>
      </c>
      <c r="CS106" s="81">
        <f t="shared" si="168"/>
        <v>1.7320508075688772</v>
      </c>
      <c r="CT106" s="86">
        <f t="shared" si="169"/>
        <v>0</v>
      </c>
      <c r="CU106" s="8"/>
      <c r="CV106" s="94">
        <f t="shared" si="170"/>
        <v>2.9055521563608758E-2</v>
      </c>
      <c r="CW106" s="5">
        <f t="shared" si="171"/>
        <v>205.22630748975618</v>
      </c>
      <c r="CX106" s="109">
        <f t="shared" si="179"/>
        <v>2</v>
      </c>
      <c r="CY106" s="105">
        <f t="shared" si="180"/>
        <v>5.8111043127217515E-2</v>
      </c>
      <c r="CZ106" s="106" t="str">
        <f t="shared" si="159"/>
        <v>kΩ</v>
      </c>
      <c r="DA106" s="8"/>
      <c r="DB106" s="177">
        <v>1.6E-2</v>
      </c>
      <c r="DC106" s="178" t="str">
        <f t="shared" si="173"/>
        <v>kΩ</v>
      </c>
      <c r="DD106" s="220">
        <f t="shared" si="160"/>
        <v>5.8111043127217515E-2</v>
      </c>
      <c r="DE106" s="178" t="str">
        <f t="shared" si="174"/>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f t="shared" si="161"/>
        <v>5.4</v>
      </c>
      <c r="Y107" s="291"/>
      <c r="Z107" s="291"/>
      <c r="AA107" s="291"/>
      <c r="AB107" s="291"/>
      <c r="AC107" s="291">
        <f t="shared" si="162"/>
        <v>5.4</v>
      </c>
      <c r="AD107" s="291"/>
      <c r="AE107" s="291"/>
      <c r="AF107" s="291"/>
      <c r="AG107" s="291"/>
      <c r="AH107" s="291">
        <f t="shared" si="163"/>
        <v>5.4</v>
      </c>
      <c r="AI107" s="291"/>
      <c r="AJ107" s="291"/>
      <c r="AK107" s="291"/>
      <c r="AL107" s="291"/>
      <c r="AM107" s="320">
        <f t="shared" ref="AM107" si="181">AVERAGE(X107:AL107)</f>
        <v>5.4000000000000012</v>
      </c>
      <c r="AN107" s="320"/>
      <c r="AO107" s="320"/>
      <c r="AP107" s="320"/>
      <c r="AQ107" s="320"/>
      <c r="AR107" s="320">
        <f t="shared" ref="AR107" si="182">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83">L107+BB107</f>
        <v>5.4334000000000007</v>
      </c>
      <c r="BH107" s="291"/>
      <c r="BI107" s="291"/>
      <c r="BJ107" s="291"/>
      <c r="BK107" s="291"/>
      <c r="BL107" s="291">
        <f t="shared" ref="BL107" si="184">L107-BB107</f>
        <v>5.3666</v>
      </c>
      <c r="BM107" s="291"/>
      <c r="BN107" s="291"/>
      <c r="BO107" s="291"/>
      <c r="BP107" s="291"/>
      <c r="BQ107" s="292" t="str">
        <f t="shared" ref="BQ107" si="185">IF(AND(AM107&lt;=BG107,AM107&gt;=BL107),"PASS","FAIL")</f>
        <v>PASS</v>
      </c>
      <c r="BR107" s="292"/>
      <c r="BS107" s="292"/>
      <c r="BT107" s="292"/>
      <c r="BU107" s="292"/>
      <c r="BV107" s="173"/>
      <c r="BX107" s="72" t="s">
        <v>129</v>
      </c>
      <c r="BY107" s="6">
        <v>4.8000000000000001E-4</v>
      </c>
      <c r="BZ107" s="1" t="str">
        <f t="shared" ref="BZ107" si="186">P107</f>
        <v>MΩ</v>
      </c>
      <c r="CA107" s="180">
        <v>2</v>
      </c>
      <c r="CB107" s="78">
        <f t="shared" ref="CB107" si="187">BY107/CA107</f>
        <v>2.4000000000000001E-4</v>
      </c>
      <c r="CC107" s="4"/>
      <c r="CD107" s="72" t="s">
        <v>131</v>
      </c>
      <c r="CE107" s="5">
        <v>0</v>
      </c>
      <c r="CF107" s="1" t="str">
        <f t="shared" ref="CF107" si="188">BZ107</f>
        <v>MΩ</v>
      </c>
      <c r="CG107" s="81">
        <f t="shared" si="153"/>
        <v>1.7320508075688772</v>
      </c>
      <c r="CH107" s="78">
        <f t="shared" ref="CH107" si="189">CE107/CG107</f>
        <v>0</v>
      </c>
      <c r="CI107" s="4"/>
      <c r="CJ107" s="72" t="s">
        <v>92</v>
      </c>
      <c r="CK107" s="181">
        <v>1E-3</v>
      </c>
      <c r="CL107" s="1" t="str">
        <f t="shared" ref="CL107" si="190">P107</f>
        <v>MΩ</v>
      </c>
      <c r="CM107" s="81">
        <f t="shared" si="166"/>
        <v>3.4641016151377544</v>
      </c>
      <c r="CN107" s="78">
        <f t="shared" ref="CN107" si="191">CK107/CM107</f>
        <v>2.886751345948129E-4</v>
      </c>
      <c r="CO107" s="4"/>
      <c r="CP107" s="72" t="s">
        <v>70</v>
      </c>
      <c r="CQ107" s="6">
        <f t="shared" ref="CQ107" si="192">STDEV(X107:AL107)</f>
        <v>1.0877919644084146E-15</v>
      </c>
      <c r="CR107" s="1" t="str">
        <f t="shared" ref="CR107" si="193">P107</f>
        <v>MΩ</v>
      </c>
      <c r="CS107" s="81">
        <f t="shared" si="168"/>
        <v>1.7320508075688772</v>
      </c>
      <c r="CT107" s="86">
        <f t="shared" ref="CT107" si="194">CQ107/CS107</f>
        <v>6.2803698347350997E-16</v>
      </c>
      <c r="CU107" s="8"/>
      <c r="CV107" s="94">
        <f t="shared" ref="CV107" si="195">SQRT(SUMSQ(CT107,CN107,CH107,CB107))</f>
        <v>3.75410886008029E-4</v>
      </c>
      <c r="CW107" s="5">
        <f t="shared" ref="CW107" si="196">(CV107^4)/(((CT107^4)/2)+((CN107^4)/200)+((CH107^4)/200)+((CB107^4)/200))</f>
        <v>387.09430419108577</v>
      </c>
      <c r="CX107" s="109">
        <f t="shared" ref="CX107" si="197">ROUND(TINV(0.05,CW107),0)</f>
        <v>2</v>
      </c>
      <c r="CY107" s="105">
        <f t="shared" ref="CY107" si="198">(CV107*CX107)</f>
        <v>7.50821772016058E-4</v>
      </c>
      <c r="CZ107" s="106" t="str">
        <f t="shared" ref="CZ107" si="199">P107</f>
        <v>MΩ</v>
      </c>
      <c r="DA107" s="8"/>
      <c r="DB107" s="177">
        <v>5.2999999999999998E-4</v>
      </c>
      <c r="DC107" s="178" t="str">
        <f t="shared" ref="DC107" si="200">CZ107</f>
        <v>MΩ</v>
      </c>
      <c r="DD107" s="220">
        <f t="shared" si="160"/>
        <v>7.50821772016058E-4</v>
      </c>
      <c r="DE107" s="178" t="str">
        <f t="shared" ref="DE107" si="201">DC107</f>
        <v>MΩ</v>
      </c>
    </row>
    <row r="108" spans="1:109" s="174" customFormat="1" ht="18" customHeight="1" thickBot="1">
      <c r="A108" s="173"/>
      <c r="B108" s="170"/>
      <c r="C108" s="139"/>
      <c r="D108" s="139"/>
      <c r="E108" s="139"/>
      <c r="F108" s="296" t="s">
        <v>147</v>
      </c>
      <c r="G108" s="294"/>
      <c r="H108" s="294"/>
      <c r="I108" s="294"/>
      <c r="J108" s="294"/>
      <c r="K108" s="295"/>
      <c r="L108" s="297">
        <f>50*90%</f>
        <v>45</v>
      </c>
      <c r="M108" s="298"/>
      <c r="N108" s="298"/>
      <c r="O108" s="298"/>
      <c r="P108" s="299" t="s">
        <v>100</v>
      </c>
      <c r="Q108" s="299"/>
      <c r="R108" s="300"/>
      <c r="S108" s="301" t="s">
        <v>56</v>
      </c>
      <c r="T108" s="301"/>
      <c r="U108" s="301"/>
      <c r="V108" s="301"/>
      <c r="W108" s="301"/>
      <c r="X108" s="291">
        <f t="shared" si="161"/>
        <v>45</v>
      </c>
      <c r="Y108" s="291"/>
      <c r="Z108" s="291"/>
      <c r="AA108" s="291"/>
      <c r="AB108" s="291"/>
      <c r="AC108" s="291">
        <f t="shared" si="162"/>
        <v>45</v>
      </c>
      <c r="AD108" s="291"/>
      <c r="AE108" s="291"/>
      <c r="AF108" s="291"/>
      <c r="AG108" s="291"/>
      <c r="AH108" s="291">
        <f t="shared" si="163"/>
        <v>45</v>
      </c>
      <c r="AI108" s="291"/>
      <c r="AJ108" s="291"/>
      <c r="AK108" s="291"/>
      <c r="AL108" s="291"/>
      <c r="AM108" s="303">
        <f t="shared" si="164"/>
        <v>45</v>
      </c>
      <c r="AN108" s="303"/>
      <c r="AO108" s="303"/>
      <c r="AP108" s="303"/>
      <c r="AQ108" s="303"/>
      <c r="AR108" s="303">
        <f t="shared" si="165"/>
        <v>0</v>
      </c>
      <c r="AS108" s="303"/>
      <c r="AT108" s="303"/>
      <c r="AU108" s="303"/>
      <c r="AV108" s="303"/>
      <c r="AW108" s="139"/>
      <c r="AX108" s="139"/>
      <c r="AY108" s="139"/>
      <c r="AZ108" s="172"/>
      <c r="BA108" s="173"/>
      <c r="BB108" s="303">
        <f>(AM108*1%)+(10*CK108)</f>
        <v>0.55000000000000004</v>
      </c>
      <c r="BC108" s="303"/>
      <c r="BD108" s="303"/>
      <c r="BE108" s="303"/>
      <c r="BF108" s="303"/>
      <c r="BG108" s="291">
        <f t="shared" si="147"/>
        <v>45.55</v>
      </c>
      <c r="BH108" s="291"/>
      <c r="BI108" s="291"/>
      <c r="BJ108" s="291"/>
      <c r="BK108" s="291"/>
      <c r="BL108" s="291">
        <f t="shared" si="148"/>
        <v>44.45</v>
      </c>
      <c r="BM108" s="291"/>
      <c r="BN108" s="291"/>
      <c r="BO108" s="291"/>
      <c r="BP108" s="291"/>
      <c r="BQ108" s="292" t="str">
        <f t="shared" si="149"/>
        <v>PASS</v>
      </c>
      <c r="BR108" s="292"/>
      <c r="BS108" s="292"/>
      <c r="BT108" s="292"/>
      <c r="BU108" s="292"/>
      <c r="BV108" s="173"/>
      <c r="BX108" s="73" t="s">
        <v>129</v>
      </c>
      <c r="BY108" s="223">
        <v>4.7000000000000002E-3</v>
      </c>
      <c r="BZ108" s="74" t="str">
        <f t="shared" si="150"/>
        <v>MΩ</v>
      </c>
      <c r="CA108" s="182">
        <v>2</v>
      </c>
      <c r="CB108" s="79">
        <f t="shared" si="178"/>
        <v>2.3500000000000001E-3</v>
      </c>
      <c r="CC108" s="4"/>
      <c r="CD108" s="73" t="s">
        <v>131</v>
      </c>
      <c r="CE108" s="89">
        <v>0</v>
      </c>
      <c r="CF108" s="74" t="str">
        <f t="shared" si="152"/>
        <v>MΩ</v>
      </c>
      <c r="CG108" s="82">
        <f t="shared" si="153"/>
        <v>1.7320508075688772</v>
      </c>
      <c r="CH108" s="79">
        <f t="shared" si="154"/>
        <v>0</v>
      </c>
      <c r="CI108" s="4"/>
      <c r="CJ108" s="73" t="s">
        <v>92</v>
      </c>
      <c r="CK108" s="183">
        <v>0.01</v>
      </c>
      <c r="CL108" s="74" t="str">
        <f t="shared" si="155"/>
        <v>MΩ</v>
      </c>
      <c r="CM108" s="82">
        <f t="shared" si="166"/>
        <v>3.4641016151377544</v>
      </c>
      <c r="CN108" s="79">
        <f t="shared" si="167"/>
        <v>2.886751345948129E-3</v>
      </c>
      <c r="CO108" s="4"/>
      <c r="CP108" s="73" t="s">
        <v>70</v>
      </c>
      <c r="CQ108" s="84">
        <f t="shared" si="156"/>
        <v>0</v>
      </c>
      <c r="CR108" s="74" t="str">
        <f t="shared" si="157"/>
        <v>MΩ</v>
      </c>
      <c r="CS108" s="82">
        <f t="shared" si="168"/>
        <v>1.7320508075688772</v>
      </c>
      <c r="CT108" s="87">
        <f t="shared" si="169"/>
        <v>0</v>
      </c>
      <c r="CU108" s="8"/>
      <c r="CV108" s="96">
        <f t="shared" si="170"/>
        <v>3.7223424524529354E-3</v>
      </c>
      <c r="CW108" s="89">
        <f t="shared" si="171"/>
        <v>384.18933301539113</v>
      </c>
      <c r="CX108" s="115">
        <f t="shared" si="179"/>
        <v>2</v>
      </c>
      <c r="CY108" s="116">
        <f>(CV108*CX108)</f>
        <v>7.4446849049058707E-3</v>
      </c>
      <c r="CZ108" s="108" t="str">
        <f t="shared" si="159"/>
        <v>MΩ</v>
      </c>
      <c r="DA108" s="8"/>
      <c r="DB108" s="177">
        <v>1.4999999999999999E-2</v>
      </c>
      <c r="DC108" s="178" t="str">
        <f t="shared" ref="DC108" si="202">CZ108</f>
        <v>MΩ</v>
      </c>
      <c r="DD108" s="220">
        <f t="shared" si="160"/>
        <v>1.4999999999999999E-2</v>
      </c>
      <c r="DE108" s="178" t="str">
        <f t="shared" ref="DE108" si="203">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148</v>
      </c>
      <c r="G113" s="294"/>
      <c r="H113" s="294"/>
      <c r="I113" s="294"/>
      <c r="J113" s="294"/>
      <c r="K113" s="295"/>
      <c r="L113" s="297">
        <f>600*90%</f>
        <v>540</v>
      </c>
      <c r="M113" s="298"/>
      <c r="N113" s="298"/>
      <c r="O113" s="298"/>
      <c r="P113" s="299" t="s">
        <v>151</v>
      </c>
      <c r="Q113" s="299"/>
      <c r="R113" s="300"/>
      <c r="S113" s="301" t="s">
        <v>56</v>
      </c>
      <c r="T113" s="301"/>
      <c r="U113" s="301"/>
      <c r="V113" s="301"/>
      <c r="W113" s="301"/>
      <c r="X113" s="291">
        <f t="shared" ref="X113" si="204">L113</f>
        <v>540</v>
      </c>
      <c r="Y113" s="291"/>
      <c r="Z113" s="291"/>
      <c r="AA113" s="291"/>
      <c r="AB113" s="291"/>
      <c r="AC113" s="291">
        <f t="shared" ref="AC113" si="205">L113</f>
        <v>540</v>
      </c>
      <c r="AD113" s="291"/>
      <c r="AE113" s="291"/>
      <c r="AF113" s="291"/>
      <c r="AG113" s="291"/>
      <c r="AH113" s="291">
        <f t="shared" ref="AH113" si="206">L113</f>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207">L113+BB113</f>
        <v>541.48</v>
      </c>
      <c r="BH113" s="303"/>
      <c r="BI113" s="303"/>
      <c r="BJ113" s="303"/>
      <c r="BK113" s="303"/>
      <c r="BL113" s="303">
        <f t="shared" ref="BL113:BL121" si="208">L113-BB113</f>
        <v>538.52</v>
      </c>
      <c r="BM113" s="303"/>
      <c r="BN113" s="303"/>
      <c r="BO113" s="303"/>
      <c r="BP113" s="303"/>
      <c r="BQ113" s="292" t="str">
        <f t="shared" ref="BQ113:BQ121" si="209">IF(AND(AM113&lt;=BG113,AM113&gt;=BL113),"PASS","FAIL")</f>
        <v>PASS</v>
      </c>
      <c r="BR113" s="292"/>
      <c r="BS113" s="292"/>
      <c r="BT113" s="292"/>
      <c r="BU113" s="292"/>
      <c r="BV113" s="173"/>
      <c r="BX113" s="70" t="s">
        <v>129</v>
      </c>
      <c r="BY113" s="202">
        <v>0.09</v>
      </c>
      <c r="BZ113" s="71" t="str">
        <f t="shared" ref="BZ113:BZ121" si="210">P113</f>
        <v>µA</v>
      </c>
      <c r="CA113" s="191">
        <v>2</v>
      </c>
      <c r="CB113" s="77">
        <f t="shared" ref="CB113:CB114" si="211">BY113/CA113</f>
        <v>4.4999999999999998E-2</v>
      </c>
      <c r="CC113" s="4"/>
      <c r="CD113" s="70" t="s">
        <v>131</v>
      </c>
      <c r="CE113" s="88">
        <v>0</v>
      </c>
      <c r="CF113" s="71" t="str">
        <f t="shared" ref="CF113:CF114" si="212">BZ113</f>
        <v>µA</v>
      </c>
      <c r="CG113" s="80">
        <f t="shared" ref="CG113:CG114" si="213">SQRT(3)</f>
        <v>1.7320508075688772</v>
      </c>
      <c r="CH113" s="77">
        <f t="shared" ref="CH113:CH114" si="214">CE113/CG113</f>
        <v>0</v>
      </c>
      <c r="CI113" s="4"/>
      <c r="CJ113" s="70" t="s">
        <v>92</v>
      </c>
      <c r="CK113" s="176">
        <v>0.1</v>
      </c>
      <c r="CL113" s="71" t="str">
        <f t="shared" ref="CL113:CL121" si="215">P113</f>
        <v>µA</v>
      </c>
      <c r="CM113" s="80">
        <f t="shared" ref="CM113:CM114" si="216">SQRT(12)</f>
        <v>3.4641016151377544</v>
      </c>
      <c r="CN113" s="77">
        <f t="shared" ref="CN113:CN114" si="217">CK113/CM113</f>
        <v>2.8867513459481291E-2</v>
      </c>
      <c r="CO113" s="4"/>
      <c r="CP113" s="70" t="s">
        <v>70</v>
      </c>
      <c r="CQ113" s="83">
        <f t="shared" ref="CQ113:CQ121" si="218">STDEV(X113:AL113)</f>
        <v>0</v>
      </c>
      <c r="CR113" s="71" t="str">
        <f t="shared" ref="CR113:CR121" si="219">P113</f>
        <v>µA</v>
      </c>
      <c r="CS113" s="80">
        <f t="shared" ref="CS113:CS114" si="220">SQRT(3)</f>
        <v>1.7320508075688772</v>
      </c>
      <c r="CT113" s="85">
        <f t="shared" ref="CT113:CT114" si="221">CQ113/CS113</f>
        <v>0</v>
      </c>
      <c r="CU113" s="8"/>
      <c r="CV113" s="92">
        <f t="shared" ref="CV113:CV114" si="222">SQRT(SUMSQ(CT113,CN113,CH113,CB113))</f>
        <v>5.3463383107818133E-2</v>
      </c>
      <c r="CW113" s="88">
        <f t="shared" ref="CW113:CW114" si="223">(CV113^4)/(((CT113^4)/2)+((CN113^4)/200)+((CH113^4)/200)+((CB113^4)/200))</f>
        <v>340.76959840113545</v>
      </c>
      <c r="CX113" s="93">
        <f t="shared" ref="CX113:CX114" si="224">ROUND(TINV(0.05,CW113),0)</f>
        <v>2</v>
      </c>
      <c r="CY113" s="117">
        <f>(CV113*CX113)</f>
        <v>0.10692676621563627</v>
      </c>
      <c r="CZ113" s="104" t="str">
        <f t="shared" ref="CZ113:CZ121" si="225">P113</f>
        <v>µA</v>
      </c>
      <c r="DA113" s="8"/>
      <c r="DB113" s="177">
        <v>6.4000000000000001E-2</v>
      </c>
      <c r="DC113" s="178" t="str">
        <f>CZ113</f>
        <v>µA</v>
      </c>
      <c r="DD113" s="220">
        <f t="shared" ref="DD113:DD121" si="226">MAX(DB113,CY113)</f>
        <v>0.10692676621563627</v>
      </c>
      <c r="DE113" s="178" t="str">
        <f>DC113</f>
        <v>µA</v>
      </c>
    </row>
    <row r="114" spans="1:109" s="174" customFormat="1" ht="18" customHeight="1" thickBot="1">
      <c r="A114" s="173"/>
      <c r="B114" s="170"/>
      <c r="C114" s="139"/>
      <c r="D114" s="139"/>
      <c r="E114" s="139"/>
      <c r="F114" s="293" t="s">
        <v>149</v>
      </c>
      <c r="G114" s="294"/>
      <c r="H114" s="294"/>
      <c r="I114" s="294"/>
      <c r="J114" s="294"/>
      <c r="K114" s="295"/>
      <c r="L114" s="297">
        <f>6000*90%</f>
        <v>5400</v>
      </c>
      <c r="M114" s="298"/>
      <c r="N114" s="298"/>
      <c r="O114" s="298"/>
      <c r="P114" s="299" t="s">
        <v>151</v>
      </c>
      <c r="Q114" s="299"/>
      <c r="R114" s="300"/>
      <c r="S114" s="301" t="s">
        <v>56</v>
      </c>
      <c r="T114" s="301"/>
      <c r="U114" s="301"/>
      <c r="V114" s="301"/>
      <c r="W114" s="301"/>
      <c r="X114" s="291">
        <f t="shared" ref="X114:X121" si="227">L114</f>
        <v>5400</v>
      </c>
      <c r="Y114" s="291"/>
      <c r="Z114" s="291"/>
      <c r="AA114" s="291"/>
      <c r="AB114" s="291"/>
      <c r="AC114" s="291">
        <f t="shared" ref="AC114:AC121" si="228">L114</f>
        <v>5400</v>
      </c>
      <c r="AD114" s="291"/>
      <c r="AE114" s="291"/>
      <c r="AF114" s="291"/>
      <c r="AG114" s="291"/>
      <c r="AH114" s="291">
        <f t="shared" ref="AH114:AH121" si="229">L114</f>
        <v>5400</v>
      </c>
      <c r="AI114" s="291"/>
      <c r="AJ114" s="291"/>
      <c r="AK114" s="291"/>
      <c r="AL114" s="291"/>
      <c r="AM114" s="302">
        <f t="shared" ref="AM114" si="230">AVERAGE(X114:AL114)</f>
        <v>5400</v>
      </c>
      <c r="AN114" s="302"/>
      <c r="AO114" s="302"/>
      <c r="AP114" s="302"/>
      <c r="AQ114" s="302"/>
      <c r="AR114" s="302">
        <f t="shared" ref="AR114" si="231">AM114-L114</f>
        <v>0</v>
      </c>
      <c r="AS114" s="302"/>
      <c r="AT114" s="302"/>
      <c r="AU114" s="302"/>
      <c r="AV114" s="302"/>
      <c r="AW114" s="139"/>
      <c r="AX114" s="139"/>
      <c r="AY114" s="139"/>
      <c r="AZ114" s="172"/>
      <c r="BA114" s="173"/>
      <c r="BB114" s="303">
        <f>(AM114*0.2%)+(2*CK114)</f>
        <v>12.8</v>
      </c>
      <c r="BC114" s="303"/>
      <c r="BD114" s="303"/>
      <c r="BE114" s="303"/>
      <c r="BF114" s="303"/>
      <c r="BG114" s="291">
        <f t="shared" si="207"/>
        <v>5412.8</v>
      </c>
      <c r="BH114" s="291"/>
      <c r="BI114" s="291"/>
      <c r="BJ114" s="291"/>
      <c r="BK114" s="291"/>
      <c r="BL114" s="291">
        <f t="shared" si="208"/>
        <v>5387.2</v>
      </c>
      <c r="BM114" s="291"/>
      <c r="BN114" s="291"/>
      <c r="BO114" s="291"/>
      <c r="BP114" s="291"/>
      <c r="BQ114" s="292" t="str">
        <f t="shared" si="209"/>
        <v>PASS</v>
      </c>
      <c r="BR114" s="292"/>
      <c r="BS114" s="292"/>
      <c r="BT114" s="292"/>
      <c r="BU114" s="292"/>
      <c r="BV114" s="173"/>
      <c r="BX114" s="72" t="s">
        <v>129</v>
      </c>
      <c r="BY114" s="211">
        <v>0.38</v>
      </c>
      <c r="BZ114" s="208" t="str">
        <f t="shared" si="210"/>
        <v>µA</v>
      </c>
      <c r="CA114" s="206">
        <v>2</v>
      </c>
      <c r="CB114" s="78">
        <f t="shared" si="211"/>
        <v>0.19</v>
      </c>
      <c r="CC114" s="4"/>
      <c r="CD114" s="73" t="s">
        <v>131</v>
      </c>
      <c r="CE114" s="89">
        <v>0</v>
      </c>
      <c r="CF114" s="74" t="str">
        <f t="shared" si="212"/>
        <v>µA</v>
      </c>
      <c r="CG114" s="82">
        <f t="shared" si="213"/>
        <v>1.7320508075688772</v>
      </c>
      <c r="CH114" s="79">
        <f t="shared" si="214"/>
        <v>0</v>
      </c>
      <c r="CI114" s="4"/>
      <c r="CJ114" s="73" t="s">
        <v>92</v>
      </c>
      <c r="CK114" s="183">
        <v>1</v>
      </c>
      <c r="CL114" s="74" t="str">
        <f t="shared" si="215"/>
        <v>µA</v>
      </c>
      <c r="CM114" s="82">
        <f t="shared" si="216"/>
        <v>3.4641016151377544</v>
      </c>
      <c r="CN114" s="79">
        <f t="shared" si="217"/>
        <v>0.28867513459481292</v>
      </c>
      <c r="CO114" s="4"/>
      <c r="CP114" s="73" t="s">
        <v>70</v>
      </c>
      <c r="CQ114" s="84">
        <f t="shared" si="218"/>
        <v>0</v>
      </c>
      <c r="CR114" s="74" t="str">
        <f t="shared" si="219"/>
        <v>µA</v>
      </c>
      <c r="CS114" s="82">
        <f t="shared" si="220"/>
        <v>1.7320508075688772</v>
      </c>
      <c r="CT114" s="87">
        <f t="shared" si="221"/>
        <v>0</v>
      </c>
      <c r="CU114" s="8"/>
      <c r="CV114" s="96">
        <f t="shared" si="222"/>
        <v>0.34559128075420736</v>
      </c>
      <c r="CW114" s="89">
        <f t="shared" si="223"/>
        <v>345.90006667215431</v>
      </c>
      <c r="CX114" s="97">
        <f t="shared" si="224"/>
        <v>2</v>
      </c>
      <c r="CY114" s="107">
        <f t="shared" ref="CY114" si="232">(CV114*CX114)</f>
        <v>0.69118256150841473</v>
      </c>
      <c r="CZ114" s="108" t="str">
        <f t="shared" si="225"/>
        <v>µA</v>
      </c>
      <c r="DA114" s="8"/>
      <c r="DB114" s="177">
        <v>0.45</v>
      </c>
      <c r="DC114" s="178" t="str">
        <f t="shared" ref="DC114" si="233">CZ114</f>
        <v>µA</v>
      </c>
      <c r="DD114" s="220">
        <f t="shared" si="226"/>
        <v>0.69118256150841473</v>
      </c>
      <c r="DE114" s="178" t="str">
        <f t="shared" ref="DE114" si="234">DC114</f>
        <v>µA</v>
      </c>
    </row>
    <row r="115" spans="1:109" s="174" customFormat="1" ht="18" customHeight="1">
      <c r="A115" s="173"/>
      <c r="B115" s="170"/>
      <c r="C115" s="139"/>
      <c r="D115" s="139"/>
      <c r="E115" s="139"/>
      <c r="F115" s="293" t="s">
        <v>150</v>
      </c>
      <c r="G115" s="294"/>
      <c r="H115" s="294"/>
      <c r="I115" s="294"/>
      <c r="J115" s="294"/>
      <c r="K115" s="295"/>
      <c r="L115" s="297">
        <f>60*90%</f>
        <v>54</v>
      </c>
      <c r="M115" s="298"/>
      <c r="N115" s="298"/>
      <c r="O115" s="298"/>
      <c r="P115" s="299" t="s">
        <v>102</v>
      </c>
      <c r="Q115" s="299"/>
      <c r="R115" s="300"/>
      <c r="S115" s="301" t="s">
        <v>56</v>
      </c>
      <c r="T115" s="301"/>
      <c r="U115" s="301"/>
      <c r="V115" s="301"/>
      <c r="W115" s="301"/>
      <c r="X115" s="291">
        <f t="shared" si="227"/>
        <v>54</v>
      </c>
      <c r="Y115" s="291"/>
      <c r="Z115" s="291"/>
      <c r="AA115" s="291"/>
      <c r="AB115" s="291"/>
      <c r="AC115" s="291">
        <f t="shared" si="228"/>
        <v>54</v>
      </c>
      <c r="AD115" s="291"/>
      <c r="AE115" s="291"/>
      <c r="AF115" s="291"/>
      <c r="AG115" s="291"/>
      <c r="AH115" s="291">
        <f t="shared" si="229"/>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207"/>
        <v>54.148000000000003</v>
      </c>
      <c r="BH115" s="303"/>
      <c r="BI115" s="303"/>
      <c r="BJ115" s="303"/>
      <c r="BK115" s="303"/>
      <c r="BL115" s="303">
        <f t="shared" si="208"/>
        <v>53.851999999999997</v>
      </c>
      <c r="BM115" s="303"/>
      <c r="BN115" s="303"/>
      <c r="BO115" s="303"/>
      <c r="BP115" s="303"/>
      <c r="BQ115" s="292" t="str">
        <f t="shared" si="209"/>
        <v>PASS</v>
      </c>
      <c r="BR115" s="292"/>
      <c r="BS115" s="292"/>
      <c r="BT115" s="292"/>
      <c r="BU115" s="292"/>
      <c r="BV115" s="173"/>
      <c r="BX115" s="75" t="s">
        <v>129</v>
      </c>
      <c r="BY115" s="214">
        <v>1.4E-3</v>
      </c>
      <c r="BZ115" s="1" t="str">
        <f t="shared" si="210"/>
        <v>mA</v>
      </c>
      <c r="CA115" s="180">
        <v>2</v>
      </c>
      <c r="CB115" s="209">
        <f t="shared" ref="CB115:CB117" si="235">BY115/CA115</f>
        <v>6.9999999999999999E-4</v>
      </c>
      <c r="CC115" s="4"/>
      <c r="CD115" s="70" t="s">
        <v>131</v>
      </c>
      <c r="CE115" s="88">
        <v>0</v>
      </c>
      <c r="CF115" s="71" t="str">
        <f t="shared" ref="CF115:CF117" si="236">BZ115</f>
        <v>mA</v>
      </c>
      <c r="CG115" s="80">
        <f t="shared" ref="CG115:CG117" si="237">SQRT(3)</f>
        <v>1.7320508075688772</v>
      </c>
      <c r="CH115" s="77">
        <f t="shared" ref="CH115:CH117" si="238">CE115/CG115</f>
        <v>0</v>
      </c>
      <c r="CI115" s="4"/>
      <c r="CJ115" s="70" t="s">
        <v>92</v>
      </c>
      <c r="CK115" s="176">
        <v>0.01</v>
      </c>
      <c r="CL115" s="71" t="str">
        <f t="shared" si="215"/>
        <v>mA</v>
      </c>
      <c r="CM115" s="80">
        <f t="shared" ref="CM115:CM117" si="239">SQRT(12)</f>
        <v>3.4641016151377544</v>
      </c>
      <c r="CN115" s="77">
        <f t="shared" ref="CN115:CN117" si="240">CK115/CM115</f>
        <v>2.886751345948129E-3</v>
      </c>
      <c r="CO115" s="4"/>
      <c r="CP115" s="70" t="s">
        <v>70</v>
      </c>
      <c r="CQ115" s="83">
        <f t="shared" si="218"/>
        <v>0</v>
      </c>
      <c r="CR115" s="71" t="str">
        <f t="shared" si="219"/>
        <v>mA</v>
      </c>
      <c r="CS115" s="80">
        <f t="shared" ref="CS115:CS117" si="241">SQRT(3)</f>
        <v>1.7320508075688772</v>
      </c>
      <c r="CT115" s="85">
        <f t="shared" ref="CT115:CT117" si="242">CQ115/CS115</f>
        <v>0</v>
      </c>
      <c r="CU115" s="8"/>
      <c r="CV115" s="92">
        <f t="shared" ref="CV115:CV117" si="243">SQRT(SUMSQ(CT115,CN115,CH115,CB115))</f>
        <v>2.9704096238285611E-3</v>
      </c>
      <c r="CW115" s="88">
        <f t="shared" ref="CW115:CW117" si="244">(CV115^4)/(((CT115^4)/2)+((CN115^4)/200)+((CH115^4)/200)+((CB115^4)/200))</f>
        <v>223.43896119799561</v>
      </c>
      <c r="CX115" s="93">
        <f t="shared" ref="CX115:CX117" si="245">ROUND(TINV(0.05,CW115),0)</f>
        <v>2</v>
      </c>
      <c r="CY115" s="117">
        <f>(CV115*CX115)</f>
        <v>5.9408192476571222E-3</v>
      </c>
      <c r="CZ115" s="104" t="str">
        <f t="shared" si="225"/>
        <v>mA</v>
      </c>
      <c r="DA115" s="8"/>
      <c r="DB115" s="177">
        <v>4.3E-3</v>
      </c>
      <c r="DC115" s="178" t="str">
        <f>CZ115</f>
        <v>mA</v>
      </c>
      <c r="DD115" s="220">
        <f t="shared" si="226"/>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f t="shared" si="227"/>
        <v>-54</v>
      </c>
      <c r="Y116" s="291"/>
      <c r="Z116" s="291"/>
      <c r="AA116" s="291"/>
      <c r="AB116" s="291"/>
      <c r="AC116" s="291">
        <f t="shared" si="228"/>
        <v>-54</v>
      </c>
      <c r="AD116" s="291"/>
      <c r="AE116" s="291"/>
      <c r="AF116" s="291"/>
      <c r="AG116" s="291"/>
      <c r="AH116" s="291">
        <f t="shared" si="229"/>
        <v>-54</v>
      </c>
      <c r="AI116" s="291"/>
      <c r="AJ116" s="291"/>
      <c r="AK116" s="291"/>
      <c r="AL116" s="291"/>
      <c r="AM116" s="303">
        <f t="shared" ref="AM116:AM117" si="246">AVERAGE(X116:AL116)</f>
        <v>-54</v>
      </c>
      <c r="AN116" s="303"/>
      <c r="AO116" s="303"/>
      <c r="AP116" s="303"/>
      <c r="AQ116" s="303"/>
      <c r="AR116" s="303">
        <f t="shared" ref="AR116:AR117" si="247">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207"/>
        <v>-53.851999999999997</v>
      </c>
      <c r="BH116" s="303"/>
      <c r="BI116" s="303"/>
      <c r="BJ116" s="303"/>
      <c r="BK116" s="303"/>
      <c r="BL116" s="303">
        <f t="shared" si="208"/>
        <v>-54.148000000000003</v>
      </c>
      <c r="BM116" s="303"/>
      <c r="BN116" s="303"/>
      <c r="BO116" s="303"/>
      <c r="BP116" s="303"/>
      <c r="BQ116" s="292" t="str">
        <f t="shared" si="209"/>
        <v>PASS</v>
      </c>
      <c r="BR116" s="292"/>
      <c r="BS116" s="292"/>
      <c r="BT116" s="292"/>
      <c r="BU116" s="292"/>
      <c r="BV116" s="173"/>
      <c r="BX116" s="72" t="s">
        <v>129</v>
      </c>
      <c r="BY116" s="214">
        <v>1.4E-3</v>
      </c>
      <c r="BZ116" s="1" t="str">
        <f t="shared" si="210"/>
        <v>mA</v>
      </c>
      <c r="CA116" s="180">
        <v>2</v>
      </c>
      <c r="CB116" s="78">
        <f t="shared" si="235"/>
        <v>6.9999999999999999E-4</v>
      </c>
      <c r="CC116" s="4"/>
      <c r="CD116" s="72" t="s">
        <v>131</v>
      </c>
      <c r="CE116" s="5">
        <v>0</v>
      </c>
      <c r="CF116" s="1" t="str">
        <f t="shared" si="236"/>
        <v>mA</v>
      </c>
      <c r="CG116" s="81">
        <f t="shared" si="237"/>
        <v>1.7320508075688772</v>
      </c>
      <c r="CH116" s="78">
        <f t="shared" si="238"/>
        <v>0</v>
      </c>
      <c r="CI116" s="4"/>
      <c r="CJ116" s="72" t="s">
        <v>92</v>
      </c>
      <c r="CK116" s="181">
        <v>0.01</v>
      </c>
      <c r="CL116" s="1" t="str">
        <f t="shared" si="215"/>
        <v>mA</v>
      </c>
      <c r="CM116" s="81">
        <f t="shared" si="239"/>
        <v>3.4641016151377544</v>
      </c>
      <c r="CN116" s="78">
        <f t="shared" si="240"/>
        <v>2.886751345948129E-3</v>
      </c>
      <c r="CO116" s="4"/>
      <c r="CP116" s="72" t="s">
        <v>70</v>
      </c>
      <c r="CQ116" s="6">
        <f t="shared" si="218"/>
        <v>0</v>
      </c>
      <c r="CR116" s="1" t="str">
        <f t="shared" si="219"/>
        <v>mA</v>
      </c>
      <c r="CS116" s="81">
        <f t="shared" si="241"/>
        <v>1.7320508075688772</v>
      </c>
      <c r="CT116" s="86">
        <f t="shared" si="242"/>
        <v>0</v>
      </c>
      <c r="CU116" s="8"/>
      <c r="CV116" s="94">
        <f t="shared" si="243"/>
        <v>2.9704096238285611E-3</v>
      </c>
      <c r="CW116" s="5">
        <f t="shared" si="244"/>
        <v>223.43896119799561</v>
      </c>
      <c r="CX116" s="95">
        <f t="shared" si="245"/>
        <v>2</v>
      </c>
      <c r="CY116" s="110">
        <f t="shared" ref="CY116:CY117" si="248">(CV116*CX116)</f>
        <v>5.9408192476571222E-3</v>
      </c>
      <c r="CZ116" s="106" t="str">
        <f t="shared" si="225"/>
        <v>mA</v>
      </c>
      <c r="DA116" s="8"/>
      <c r="DB116" s="177">
        <v>4.3E-3</v>
      </c>
      <c r="DC116" s="178" t="str">
        <f t="shared" ref="DC116:DC117" si="249">CZ116</f>
        <v>mA</v>
      </c>
      <c r="DD116" s="220">
        <f t="shared" si="226"/>
        <v>5.9408192476571222E-3</v>
      </c>
      <c r="DE116" s="178" t="str">
        <f t="shared" ref="DE116:DE117" si="250">DC116</f>
        <v>mA</v>
      </c>
    </row>
    <row r="117" spans="1:109" s="174" customFormat="1" ht="18" customHeight="1" thickBot="1">
      <c r="A117" s="173"/>
      <c r="B117" s="170"/>
      <c r="C117" s="139"/>
      <c r="D117" s="139"/>
      <c r="E117" s="139"/>
      <c r="F117" s="304" t="s">
        <v>153</v>
      </c>
      <c r="G117" s="305"/>
      <c r="H117" s="305"/>
      <c r="I117" s="305"/>
      <c r="J117" s="305"/>
      <c r="K117" s="306"/>
      <c r="L117" s="297">
        <f>400*90%</f>
        <v>360</v>
      </c>
      <c r="M117" s="298"/>
      <c r="N117" s="298"/>
      <c r="O117" s="298"/>
      <c r="P117" s="299" t="s">
        <v>102</v>
      </c>
      <c r="Q117" s="299"/>
      <c r="R117" s="300"/>
      <c r="S117" s="301" t="s">
        <v>56</v>
      </c>
      <c r="T117" s="301"/>
      <c r="U117" s="301"/>
      <c r="V117" s="301"/>
      <c r="W117" s="301"/>
      <c r="X117" s="291">
        <f t="shared" si="227"/>
        <v>360</v>
      </c>
      <c r="Y117" s="291"/>
      <c r="Z117" s="291"/>
      <c r="AA117" s="291"/>
      <c r="AB117" s="291"/>
      <c r="AC117" s="291">
        <f t="shared" si="228"/>
        <v>360</v>
      </c>
      <c r="AD117" s="291"/>
      <c r="AE117" s="291"/>
      <c r="AF117" s="291"/>
      <c r="AG117" s="291"/>
      <c r="AH117" s="291">
        <f t="shared" si="229"/>
        <v>360</v>
      </c>
      <c r="AI117" s="291"/>
      <c r="AJ117" s="291"/>
      <c r="AK117" s="291"/>
      <c r="AL117" s="291"/>
      <c r="AM117" s="291">
        <f t="shared" si="246"/>
        <v>360</v>
      </c>
      <c r="AN117" s="291"/>
      <c r="AO117" s="291"/>
      <c r="AP117" s="291"/>
      <c r="AQ117" s="291"/>
      <c r="AR117" s="291">
        <f t="shared" si="247"/>
        <v>0</v>
      </c>
      <c r="AS117" s="291"/>
      <c r="AT117" s="291"/>
      <c r="AU117" s="291"/>
      <c r="AV117" s="291"/>
      <c r="AW117" s="139"/>
      <c r="AX117" s="139"/>
      <c r="AY117" s="139"/>
      <c r="AZ117" s="172"/>
      <c r="BA117" s="173"/>
      <c r="BB117" s="303">
        <f>(AM117*0.2%)+(2*CK117)</f>
        <v>0.91999999999999993</v>
      </c>
      <c r="BC117" s="303"/>
      <c r="BD117" s="303"/>
      <c r="BE117" s="303"/>
      <c r="BF117" s="303"/>
      <c r="BG117" s="291">
        <f t="shared" si="207"/>
        <v>360.92</v>
      </c>
      <c r="BH117" s="291"/>
      <c r="BI117" s="291"/>
      <c r="BJ117" s="291"/>
      <c r="BK117" s="291"/>
      <c r="BL117" s="291">
        <f t="shared" si="208"/>
        <v>359.08</v>
      </c>
      <c r="BM117" s="291"/>
      <c r="BN117" s="291"/>
      <c r="BO117" s="291"/>
      <c r="BP117" s="291"/>
      <c r="BQ117" s="292" t="str">
        <f t="shared" si="209"/>
        <v>PASS</v>
      </c>
      <c r="BR117" s="292"/>
      <c r="BS117" s="292"/>
      <c r="BT117" s="292"/>
      <c r="BU117" s="292"/>
      <c r="BV117" s="173"/>
      <c r="BX117" s="72" t="s">
        <v>129</v>
      </c>
      <c r="BY117" s="211">
        <v>2.7E-2</v>
      </c>
      <c r="BZ117" s="1" t="str">
        <f t="shared" si="210"/>
        <v>mA</v>
      </c>
      <c r="CA117" s="180">
        <v>2</v>
      </c>
      <c r="CB117" s="78">
        <f t="shared" si="235"/>
        <v>1.35E-2</v>
      </c>
      <c r="CC117" s="4"/>
      <c r="CD117" s="73" t="s">
        <v>131</v>
      </c>
      <c r="CE117" s="89">
        <v>0</v>
      </c>
      <c r="CF117" s="74" t="str">
        <f t="shared" si="236"/>
        <v>mA</v>
      </c>
      <c r="CG117" s="82">
        <f t="shared" si="237"/>
        <v>1.7320508075688772</v>
      </c>
      <c r="CH117" s="79">
        <f t="shared" si="238"/>
        <v>0</v>
      </c>
      <c r="CI117" s="4"/>
      <c r="CJ117" s="73" t="s">
        <v>92</v>
      </c>
      <c r="CK117" s="183">
        <v>0.1</v>
      </c>
      <c r="CL117" s="74" t="str">
        <f t="shared" si="215"/>
        <v>mA</v>
      </c>
      <c r="CM117" s="82">
        <f t="shared" si="239"/>
        <v>3.4641016151377544</v>
      </c>
      <c r="CN117" s="79">
        <f t="shared" si="240"/>
        <v>2.8867513459481291E-2</v>
      </c>
      <c r="CO117" s="4"/>
      <c r="CP117" s="73" t="s">
        <v>70</v>
      </c>
      <c r="CQ117" s="84">
        <f t="shared" si="218"/>
        <v>0</v>
      </c>
      <c r="CR117" s="74" t="str">
        <f t="shared" si="219"/>
        <v>mA</v>
      </c>
      <c r="CS117" s="82">
        <f t="shared" si="241"/>
        <v>1.7320508075688772</v>
      </c>
      <c r="CT117" s="87">
        <f t="shared" si="242"/>
        <v>0</v>
      </c>
      <c r="CU117" s="8"/>
      <c r="CV117" s="96">
        <f t="shared" si="243"/>
        <v>3.1868218232799485E-2</v>
      </c>
      <c r="CW117" s="89">
        <f t="shared" si="244"/>
        <v>283.48684985247945</v>
      </c>
      <c r="CX117" s="97">
        <f t="shared" si="245"/>
        <v>2</v>
      </c>
      <c r="CY117" s="107">
        <f t="shared" si="248"/>
        <v>6.373643646559897E-2</v>
      </c>
      <c r="CZ117" s="108" t="str">
        <f t="shared" si="225"/>
        <v>mA</v>
      </c>
      <c r="DA117" s="8"/>
      <c r="DB117" s="177">
        <v>8.2000000000000003E-2</v>
      </c>
      <c r="DC117" s="178" t="str">
        <f t="shared" si="249"/>
        <v>mA</v>
      </c>
      <c r="DD117" s="220">
        <f t="shared" si="226"/>
        <v>8.2000000000000003E-2</v>
      </c>
      <c r="DE117" s="178" t="str">
        <f t="shared" si="250"/>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152</v>
      </c>
      <c r="Q118" s="299"/>
      <c r="R118" s="300"/>
      <c r="S118" s="301" t="s">
        <v>56</v>
      </c>
      <c r="T118" s="301"/>
      <c r="U118" s="301"/>
      <c r="V118" s="301"/>
      <c r="W118" s="301"/>
      <c r="X118" s="291">
        <f t="shared" si="227"/>
        <v>3</v>
      </c>
      <c r="Y118" s="291"/>
      <c r="Z118" s="291"/>
      <c r="AA118" s="291"/>
      <c r="AB118" s="291"/>
      <c r="AC118" s="291">
        <f t="shared" si="228"/>
        <v>3</v>
      </c>
      <c r="AD118" s="291"/>
      <c r="AE118" s="291"/>
      <c r="AF118" s="291"/>
      <c r="AG118" s="291"/>
      <c r="AH118" s="291">
        <f t="shared" si="229"/>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207"/>
        <v>3.01</v>
      </c>
      <c r="BH118" s="303"/>
      <c r="BI118" s="303"/>
      <c r="BJ118" s="303"/>
      <c r="BK118" s="303"/>
      <c r="BL118" s="303">
        <f t="shared" si="208"/>
        <v>2.99</v>
      </c>
      <c r="BM118" s="303"/>
      <c r="BN118" s="303"/>
      <c r="BO118" s="303"/>
      <c r="BP118" s="303"/>
      <c r="BQ118" s="292" t="str">
        <f t="shared" si="209"/>
        <v>PASS</v>
      </c>
      <c r="BR118" s="292"/>
      <c r="BS118" s="292"/>
      <c r="BT118" s="292"/>
      <c r="BU118" s="292"/>
      <c r="BV118" s="173"/>
      <c r="BX118" s="75" t="s">
        <v>129</v>
      </c>
      <c r="BY118" s="6">
        <v>1.4E-3</v>
      </c>
      <c r="BZ118" s="76" t="str">
        <f t="shared" si="210"/>
        <v>A</v>
      </c>
      <c r="CA118" s="175">
        <v>2</v>
      </c>
      <c r="CB118" s="209">
        <f t="shared" ref="CB118:CB120" si="251">BY118/CA118</f>
        <v>6.9999999999999999E-4</v>
      </c>
      <c r="CC118" s="4"/>
      <c r="CD118" s="70" t="s">
        <v>131</v>
      </c>
      <c r="CE118" s="88">
        <v>0</v>
      </c>
      <c r="CF118" s="71" t="str">
        <f t="shared" ref="CF118:CF121" si="252">BZ118</f>
        <v>A</v>
      </c>
      <c r="CG118" s="80">
        <f t="shared" ref="CG118:CG121" si="253">SQRT(3)</f>
        <v>1.7320508075688772</v>
      </c>
      <c r="CH118" s="77">
        <f t="shared" ref="CH118:CH121" si="254">CE118/CG118</f>
        <v>0</v>
      </c>
      <c r="CI118" s="4"/>
      <c r="CJ118" s="70" t="s">
        <v>92</v>
      </c>
      <c r="CK118" s="176">
        <v>1E-3</v>
      </c>
      <c r="CL118" s="71" t="str">
        <f t="shared" si="215"/>
        <v>A</v>
      </c>
      <c r="CM118" s="80">
        <f t="shared" ref="CM118:CM121" si="255">SQRT(12)</f>
        <v>3.4641016151377544</v>
      </c>
      <c r="CN118" s="77">
        <f t="shared" ref="CN118:CN121" si="256">CK118/CM118</f>
        <v>2.886751345948129E-4</v>
      </c>
      <c r="CO118" s="4"/>
      <c r="CP118" s="70" t="s">
        <v>70</v>
      </c>
      <c r="CQ118" s="83">
        <f t="shared" si="218"/>
        <v>0</v>
      </c>
      <c r="CR118" s="71" t="str">
        <f t="shared" si="219"/>
        <v>A</v>
      </c>
      <c r="CS118" s="80">
        <f t="shared" ref="CS118:CS121" si="257">SQRT(3)</f>
        <v>1.7320508075688772</v>
      </c>
      <c r="CT118" s="85">
        <f t="shared" ref="CT118:CT121" si="258">CQ118/CS118</f>
        <v>0</v>
      </c>
      <c r="CU118" s="8"/>
      <c r="CV118" s="92">
        <f t="shared" ref="CV118:CV121" si="259">SQRT(SUMSQ(CT118,CN118,CH118,CB118))</f>
        <v>7.5718777944003648E-4</v>
      </c>
      <c r="CW118" s="88">
        <f t="shared" ref="CW118:CW121" si="260">(CV118^4)/(((CT118^4)/2)+((CN118^4)/200)+((CH118^4)/200)+((CB118^4)/200))</f>
        <v>266.114959071692</v>
      </c>
      <c r="CX118" s="93">
        <f t="shared" ref="CX118:CX120" si="261">ROUND(TINV(0.05,CW118),0)</f>
        <v>2</v>
      </c>
      <c r="CY118" s="117">
        <f>(CV118*CX118)</f>
        <v>1.514375558880073E-3</v>
      </c>
      <c r="CZ118" s="104" t="str">
        <f t="shared" si="225"/>
        <v>A</v>
      </c>
      <c r="DA118" s="8"/>
      <c r="DB118" s="177">
        <v>1.6000000000000001E-3</v>
      </c>
      <c r="DC118" s="178" t="str">
        <f>CZ118</f>
        <v>A</v>
      </c>
      <c r="DD118" s="220">
        <f t="shared" si="226"/>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152</v>
      </c>
      <c r="Q119" s="299"/>
      <c r="R119" s="300"/>
      <c r="S119" s="301" t="s">
        <v>56</v>
      </c>
      <c r="T119" s="301"/>
      <c r="U119" s="301"/>
      <c r="V119" s="301"/>
      <c r="W119" s="301"/>
      <c r="X119" s="291">
        <f t="shared" si="227"/>
        <v>5.4</v>
      </c>
      <c r="Y119" s="291"/>
      <c r="Z119" s="291"/>
      <c r="AA119" s="291"/>
      <c r="AB119" s="291"/>
      <c r="AC119" s="291">
        <f t="shared" si="228"/>
        <v>5.4</v>
      </c>
      <c r="AD119" s="291"/>
      <c r="AE119" s="291"/>
      <c r="AF119" s="291"/>
      <c r="AG119" s="291"/>
      <c r="AH119" s="291">
        <f t="shared" si="229"/>
        <v>5.4</v>
      </c>
      <c r="AI119" s="291"/>
      <c r="AJ119" s="291"/>
      <c r="AK119" s="291"/>
      <c r="AL119" s="291"/>
      <c r="AM119" s="320">
        <f t="shared" ref="AM119:AM120" si="262">AVERAGE(X119:AL119)</f>
        <v>5.4000000000000012</v>
      </c>
      <c r="AN119" s="320"/>
      <c r="AO119" s="320"/>
      <c r="AP119" s="320"/>
      <c r="AQ119" s="320"/>
      <c r="AR119" s="320">
        <f t="shared" ref="AR119:AR120" si="263">AM119-L119</f>
        <v>0</v>
      </c>
      <c r="AS119" s="320"/>
      <c r="AT119" s="320"/>
      <c r="AU119" s="320"/>
      <c r="AV119" s="320"/>
      <c r="AW119" s="139"/>
      <c r="AX119" s="139"/>
      <c r="AY119" s="139"/>
      <c r="AZ119" s="172"/>
      <c r="BA119" s="173"/>
      <c r="BB119" s="303">
        <f>(AM119*0.2%)+(4*CK119)</f>
        <v>1.4800000000000002E-2</v>
      </c>
      <c r="BC119" s="303"/>
      <c r="BD119" s="303"/>
      <c r="BE119" s="303"/>
      <c r="BF119" s="303"/>
      <c r="BG119" s="303">
        <f t="shared" si="207"/>
        <v>5.4148000000000005</v>
      </c>
      <c r="BH119" s="303"/>
      <c r="BI119" s="303"/>
      <c r="BJ119" s="303"/>
      <c r="BK119" s="303"/>
      <c r="BL119" s="303">
        <f t="shared" si="208"/>
        <v>5.3852000000000002</v>
      </c>
      <c r="BM119" s="303"/>
      <c r="BN119" s="303"/>
      <c r="BO119" s="303"/>
      <c r="BP119" s="303"/>
      <c r="BQ119" s="292" t="str">
        <f t="shared" si="209"/>
        <v>PASS</v>
      </c>
      <c r="BR119" s="292"/>
      <c r="BS119" s="292"/>
      <c r="BT119" s="292"/>
      <c r="BU119" s="292"/>
      <c r="BV119" s="173"/>
      <c r="BX119" s="72" t="s">
        <v>129</v>
      </c>
      <c r="BY119" s="6">
        <v>1.4E-3</v>
      </c>
      <c r="BZ119" s="1" t="str">
        <f t="shared" si="210"/>
        <v>A</v>
      </c>
      <c r="CA119" s="180">
        <v>2</v>
      </c>
      <c r="CB119" s="78">
        <f t="shared" si="251"/>
        <v>6.9999999999999999E-4</v>
      </c>
      <c r="CC119" s="4"/>
      <c r="CD119" s="72" t="s">
        <v>131</v>
      </c>
      <c r="CE119" s="5">
        <v>0</v>
      </c>
      <c r="CF119" s="1" t="str">
        <f t="shared" si="252"/>
        <v>A</v>
      </c>
      <c r="CG119" s="81">
        <f t="shared" si="253"/>
        <v>1.7320508075688772</v>
      </c>
      <c r="CH119" s="78">
        <f t="shared" si="254"/>
        <v>0</v>
      </c>
      <c r="CI119" s="4"/>
      <c r="CJ119" s="72" t="s">
        <v>92</v>
      </c>
      <c r="CK119" s="181">
        <v>1E-3</v>
      </c>
      <c r="CL119" s="1" t="str">
        <f t="shared" si="215"/>
        <v>A</v>
      </c>
      <c r="CM119" s="81">
        <f t="shared" si="255"/>
        <v>3.4641016151377544</v>
      </c>
      <c r="CN119" s="78">
        <f t="shared" si="256"/>
        <v>2.886751345948129E-4</v>
      </c>
      <c r="CO119" s="4"/>
      <c r="CP119" s="72" t="s">
        <v>70</v>
      </c>
      <c r="CQ119" s="6">
        <f t="shared" si="218"/>
        <v>1.0877919644084146E-15</v>
      </c>
      <c r="CR119" s="1" t="str">
        <f t="shared" si="219"/>
        <v>A</v>
      </c>
      <c r="CS119" s="81">
        <f t="shared" si="257"/>
        <v>1.7320508075688772</v>
      </c>
      <c r="CT119" s="86">
        <f t="shared" si="258"/>
        <v>6.2803698347350997E-16</v>
      </c>
      <c r="CU119" s="8"/>
      <c r="CV119" s="94">
        <f t="shared" si="259"/>
        <v>7.5718777944003648E-4</v>
      </c>
      <c r="CW119" s="5">
        <f t="shared" si="260"/>
        <v>266.114959071692</v>
      </c>
      <c r="CX119" s="95">
        <f t="shared" si="261"/>
        <v>2</v>
      </c>
      <c r="CY119" s="110">
        <f t="shared" ref="CY119:CY120" si="264">(CV119*CX119)</f>
        <v>1.514375558880073E-3</v>
      </c>
      <c r="CZ119" s="106" t="str">
        <f t="shared" si="225"/>
        <v>A</v>
      </c>
      <c r="DA119" s="8"/>
      <c r="DB119" s="177">
        <v>1.6000000000000001E-3</v>
      </c>
      <c r="DC119" s="178" t="str">
        <f t="shared" ref="DC119:DC121" si="265">CZ119</f>
        <v>A</v>
      </c>
      <c r="DD119" s="220">
        <f t="shared" si="226"/>
        <v>1.6000000000000001E-3</v>
      </c>
      <c r="DE119" s="178" t="str">
        <f t="shared" ref="DE119:DE121" si="266">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152</v>
      </c>
      <c r="Q120" s="299"/>
      <c r="R120" s="300"/>
      <c r="S120" s="301" t="s">
        <v>56</v>
      </c>
      <c r="T120" s="301"/>
      <c r="U120" s="301"/>
      <c r="V120" s="301"/>
      <c r="W120" s="301"/>
      <c r="X120" s="291">
        <f t="shared" si="227"/>
        <v>5</v>
      </c>
      <c r="Y120" s="291"/>
      <c r="Z120" s="291"/>
      <c r="AA120" s="291"/>
      <c r="AB120" s="291"/>
      <c r="AC120" s="291">
        <f t="shared" si="228"/>
        <v>5</v>
      </c>
      <c r="AD120" s="291"/>
      <c r="AE120" s="291"/>
      <c r="AF120" s="291"/>
      <c r="AG120" s="291"/>
      <c r="AH120" s="291">
        <f t="shared" si="229"/>
        <v>5</v>
      </c>
      <c r="AI120" s="291"/>
      <c r="AJ120" s="291"/>
      <c r="AK120" s="291"/>
      <c r="AL120" s="291"/>
      <c r="AM120" s="303">
        <f t="shared" si="262"/>
        <v>5</v>
      </c>
      <c r="AN120" s="303"/>
      <c r="AO120" s="303"/>
      <c r="AP120" s="303"/>
      <c r="AQ120" s="303"/>
      <c r="AR120" s="303">
        <f t="shared" si="263"/>
        <v>0</v>
      </c>
      <c r="AS120" s="303"/>
      <c r="AT120" s="303"/>
      <c r="AU120" s="303"/>
      <c r="AV120" s="303"/>
      <c r="AW120" s="139"/>
      <c r="AX120" s="139"/>
      <c r="AY120" s="139"/>
      <c r="AZ120" s="172"/>
      <c r="BA120" s="173"/>
      <c r="BB120" s="303">
        <f>(AM120*0.2%)+(2*CK120)</f>
        <v>0.03</v>
      </c>
      <c r="BC120" s="303"/>
      <c r="BD120" s="303"/>
      <c r="BE120" s="303"/>
      <c r="BF120" s="303"/>
      <c r="BG120" s="291">
        <f t="shared" si="207"/>
        <v>5.03</v>
      </c>
      <c r="BH120" s="291"/>
      <c r="BI120" s="291"/>
      <c r="BJ120" s="291"/>
      <c r="BK120" s="291"/>
      <c r="BL120" s="291">
        <f t="shared" si="208"/>
        <v>4.97</v>
      </c>
      <c r="BM120" s="291"/>
      <c r="BN120" s="291"/>
      <c r="BO120" s="291"/>
      <c r="BP120" s="291"/>
      <c r="BQ120" s="292" t="str">
        <f t="shared" si="209"/>
        <v>PASS</v>
      </c>
      <c r="BR120" s="292"/>
      <c r="BS120" s="292"/>
      <c r="BT120" s="292"/>
      <c r="BU120" s="292"/>
      <c r="BV120" s="173"/>
      <c r="BX120" s="72" t="s">
        <v>129</v>
      </c>
      <c r="BY120" s="6">
        <v>1.4E-3</v>
      </c>
      <c r="BZ120" s="208" t="str">
        <f t="shared" si="210"/>
        <v>A</v>
      </c>
      <c r="CA120" s="180">
        <v>2</v>
      </c>
      <c r="CB120" s="78">
        <f t="shared" si="251"/>
        <v>6.9999999999999999E-4</v>
      </c>
      <c r="CC120" s="4"/>
      <c r="CD120" s="73" t="s">
        <v>131</v>
      </c>
      <c r="CE120" s="89">
        <v>0</v>
      </c>
      <c r="CF120" s="74" t="str">
        <f t="shared" ref="CF120" si="267">BZ120</f>
        <v>A</v>
      </c>
      <c r="CG120" s="82">
        <f t="shared" si="253"/>
        <v>1.7320508075688772</v>
      </c>
      <c r="CH120" s="79">
        <f t="shared" ref="CH120" si="268">CE120/CG120</f>
        <v>0</v>
      </c>
      <c r="CI120" s="4"/>
      <c r="CJ120" s="73" t="s">
        <v>92</v>
      </c>
      <c r="CK120" s="183">
        <v>0.01</v>
      </c>
      <c r="CL120" s="74" t="str">
        <f t="shared" si="215"/>
        <v>A</v>
      </c>
      <c r="CM120" s="82">
        <f t="shared" si="255"/>
        <v>3.4641016151377544</v>
      </c>
      <c r="CN120" s="79">
        <f t="shared" ref="CN120" si="269">CK120/CM120</f>
        <v>2.886751345948129E-3</v>
      </c>
      <c r="CO120" s="4"/>
      <c r="CP120" s="73" t="s">
        <v>70</v>
      </c>
      <c r="CQ120" s="84">
        <f t="shared" si="218"/>
        <v>0</v>
      </c>
      <c r="CR120" s="74" t="str">
        <f t="shared" si="219"/>
        <v>A</v>
      </c>
      <c r="CS120" s="82">
        <f t="shared" si="257"/>
        <v>1.7320508075688772</v>
      </c>
      <c r="CT120" s="87">
        <f t="shared" ref="CT120" si="270">CQ120/CS120</f>
        <v>0</v>
      </c>
      <c r="CU120" s="8"/>
      <c r="CV120" s="96">
        <f t="shared" ref="CV120" si="271">SQRT(SUMSQ(CT120,CN120,CH120,CB120))</f>
        <v>2.9704096238285611E-3</v>
      </c>
      <c r="CW120" s="89">
        <f t="shared" ref="CW120" si="272">(CV120^4)/(((CT120^4)/2)+((CN120^4)/200)+((CH120^4)/200)+((CB120^4)/200))</f>
        <v>223.43896119799561</v>
      </c>
      <c r="CX120" s="97">
        <f t="shared" si="261"/>
        <v>2</v>
      </c>
      <c r="CY120" s="107">
        <f t="shared" si="264"/>
        <v>5.9408192476571222E-3</v>
      </c>
      <c r="CZ120" s="108" t="str">
        <f t="shared" si="225"/>
        <v>A</v>
      </c>
      <c r="DA120" s="8"/>
      <c r="DB120" s="177">
        <v>1.6000000000000001E-3</v>
      </c>
      <c r="DC120" s="178" t="str">
        <f t="shared" ref="DC120" si="273">CZ120</f>
        <v>A</v>
      </c>
      <c r="DD120" s="220">
        <f t="shared" si="226"/>
        <v>5.9408192476571222E-3</v>
      </c>
      <c r="DE120" s="178" t="str">
        <f t="shared" ref="DE120" si="274">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152</v>
      </c>
      <c r="Q121" s="299"/>
      <c r="R121" s="300"/>
      <c r="S121" s="301" t="s">
        <v>56</v>
      </c>
      <c r="T121" s="301"/>
      <c r="U121" s="301"/>
      <c r="V121" s="301"/>
      <c r="W121" s="301"/>
      <c r="X121" s="291">
        <f t="shared" si="227"/>
        <v>9</v>
      </c>
      <c r="Y121" s="291"/>
      <c r="Z121" s="291"/>
      <c r="AA121" s="291"/>
      <c r="AB121" s="291"/>
      <c r="AC121" s="291">
        <f t="shared" si="228"/>
        <v>9</v>
      </c>
      <c r="AD121" s="291"/>
      <c r="AE121" s="291"/>
      <c r="AF121" s="291"/>
      <c r="AG121" s="291"/>
      <c r="AH121" s="291">
        <f t="shared" si="229"/>
        <v>9</v>
      </c>
      <c r="AI121" s="291"/>
      <c r="AJ121" s="291"/>
      <c r="AK121" s="291"/>
      <c r="AL121" s="291"/>
      <c r="AM121" s="303">
        <f t="shared" ref="AM121" si="275">AVERAGE(X121:AL121)</f>
        <v>9</v>
      </c>
      <c r="AN121" s="303"/>
      <c r="AO121" s="303"/>
      <c r="AP121" s="303"/>
      <c r="AQ121" s="303"/>
      <c r="AR121" s="303">
        <f t="shared" ref="AR121" si="276">AM121-L121</f>
        <v>0</v>
      </c>
      <c r="AS121" s="303"/>
      <c r="AT121" s="303"/>
      <c r="AU121" s="303"/>
      <c r="AV121" s="303"/>
      <c r="AW121" s="139"/>
      <c r="AX121" s="139"/>
      <c r="AY121" s="139"/>
      <c r="AZ121" s="172"/>
      <c r="BA121" s="173"/>
      <c r="BB121" s="303">
        <f>(AM121*0.2%)+(2*CK121)</f>
        <v>3.8000000000000006E-2</v>
      </c>
      <c r="BC121" s="303"/>
      <c r="BD121" s="303"/>
      <c r="BE121" s="303"/>
      <c r="BF121" s="303"/>
      <c r="BG121" s="291">
        <f t="shared" si="207"/>
        <v>9.0380000000000003</v>
      </c>
      <c r="BH121" s="291"/>
      <c r="BI121" s="291"/>
      <c r="BJ121" s="291"/>
      <c r="BK121" s="291"/>
      <c r="BL121" s="291">
        <f t="shared" si="208"/>
        <v>8.9619999999999997</v>
      </c>
      <c r="BM121" s="291"/>
      <c r="BN121" s="291"/>
      <c r="BO121" s="291"/>
      <c r="BP121" s="291"/>
      <c r="BQ121" s="292" t="str">
        <f t="shared" si="209"/>
        <v>PASS</v>
      </c>
      <c r="BR121" s="292"/>
      <c r="BS121" s="292"/>
      <c r="BT121" s="292"/>
      <c r="BU121" s="292"/>
      <c r="BV121" s="173"/>
      <c r="BX121" s="216" t="s">
        <v>129</v>
      </c>
      <c r="BY121" s="215">
        <v>1.4E-3</v>
      </c>
      <c r="BZ121" s="74" t="str">
        <f t="shared" si="210"/>
        <v>A</v>
      </c>
      <c r="CA121" s="212">
        <v>2</v>
      </c>
      <c r="CB121" s="213">
        <f t="shared" ref="CB121" si="277">BY121/CA121</f>
        <v>6.9999999999999999E-4</v>
      </c>
      <c r="CC121" s="4"/>
      <c r="CD121" s="73" t="s">
        <v>131</v>
      </c>
      <c r="CE121" s="89">
        <v>0</v>
      </c>
      <c r="CF121" s="74" t="str">
        <f t="shared" si="252"/>
        <v>A</v>
      </c>
      <c r="CG121" s="82">
        <f t="shared" si="253"/>
        <v>1.7320508075688772</v>
      </c>
      <c r="CH121" s="79">
        <f t="shared" si="254"/>
        <v>0</v>
      </c>
      <c r="CI121" s="4"/>
      <c r="CJ121" s="73" t="s">
        <v>92</v>
      </c>
      <c r="CK121" s="183">
        <v>0.01</v>
      </c>
      <c r="CL121" s="74" t="str">
        <f t="shared" si="215"/>
        <v>A</v>
      </c>
      <c r="CM121" s="82">
        <f t="shared" si="255"/>
        <v>3.4641016151377544</v>
      </c>
      <c r="CN121" s="79">
        <f t="shared" si="256"/>
        <v>2.886751345948129E-3</v>
      </c>
      <c r="CO121" s="4"/>
      <c r="CP121" s="73" t="s">
        <v>70</v>
      </c>
      <c r="CQ121" s="84">
        <f t="shared" si="218"/>
        <v>0</v>
      </c>
      <c r="CR121" s="74" t="str">
        <f t="shared" si="219"/>
        <v>A</v>
      </c>
      <c r="CS121" s="82">
        <f t="shared" si="257"/>
        <v>1.7320508075688772</v>
      </c>
      <c r="CT121" s="87">
        <f t="shared" si="258"/>
        <v>0</v>
      </c>
      <c r="CU121" s="8"/>
      <c r="CV121" s="96">
        <f t="shared" si="259"/>
        <v>2.9704096238285611E-3</v>
      </c>
      <c r="CW121" s="89">
        <f t="shared" si="260"/>
        <v>223.43896119799561</v>
      </c>
      <c r="CX121" s="97">
        <f t="shared" ref="CX121" si="278">ROUND(TINV(0.05,CW121),0)</f>
        <v>2</v>
      </c>
      <c r="CY121" s="107">
        <f t="shared" ref="CY121" si="279">(CV121*CX121)</f>
        <v>5.9408192476571222E-3</v>
      </c>
      <c r="CZ121" s="108" t="str">
        <f t="shared" si="225"/>
        <v>A</v>
      </c>
      <c r="DA121" s="8"/>
      <c r="DB121" s="177">
        <v>1.6000000000000001E-3</v>
      </c>
      <c r="DC121" s="178" t="str">
        <f t="shared" si="265"/>
        <v>A</v>
      </c>
      <c r="DD121" s="220">
        <f t="shared" si="226"/>
        <v>5.9408192476571222E-3</v>
      </c>
      <c r="DE121" s="178" t="str">
        <f t="shared" si="266"/>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148</v>
      </c>
      <c r="G126" s="294"/>
      <c r="H126" s="294"/>
      <c r="I126" s="294"/>
      <c r="J126" s="294"/>
      <c r="K126" s="295"/>
      <c r="L126" s="297">
        <f>600*90%</f>
        <v>540</v>
      </c>
      <c r="M126" s="298"/>
      <c r="N126" s="298"/>
      <c r="O126" s="298"/>
      <c r="P126" s="299" t="s">
        <v>151</v>
      </c>
      <c r="Q126" s="299"/>
      <c r="R126" s="300"/>
      <c r="S126" s="301" t="s">
        <v>96</v>
      </c>
      <c r="T126" s="301"/>
      <c r="U126" s="301"/>
      <c r="V126" s="301"/>
      <c r="W126" s="301"/>
      <c r="X126" s="291">
        <f t="shared" ref="X126" si="280">L126</f>
        <v>540</v>
      </c>
      <c r="Y126" s="291"/>
      <c r="Z126" s="291"/>
      <c r="AA126" s="291"/>
      <c r="AB126" s="291"/>
      <c r="AC126" s="291">
        <f t="shared" ref="AC126" si="281">L126</f>
        <v>540</v>
      </c>
      <c r="AD126" s="291"/>
      <c r="AE126" s="291"/>
      <c r="AF126" s="291"/>
      <c r="AG126" s="291"/>
      <c r="AH126" s="291">
        <f t="shared" ref="AH126" si="282">L126</f>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83">L126+BB126</f>
        <v>545.6</v>
      </c>
      <c r="BH126" s="303"/>
      <c r="BI126" s="303"/>
      <c r="BJ126" s="303"/>
      <c r="BK126" s="303"/>
      <c r="BL126" s="303">
        <f t="shared" ref="BL126:BL137" si="284">L126-BB126</f>
        <v>534.4</v>
      </c>
      <c r="BM126" s="303"/>
      <c r="BN126" s="303"/>
      <c r="BO126" s="303"/>
      <c r="BP126" s="303"/>
      <c r="BQ126" s="292" t="str">
        <f t="shared" ref="BQ126:BQ137" si="285">IF(AND(AM126&lt;=BG126,AM126&gt;=BL126),"PASS","FAIL")</f>
        <v>PASS</v>
      </c>
      <c r="BR126" s="292"/>
      <c r="BS126" s="292"/>
      <c r="BT126" s="292"/>
      <c r="BU126" s="292"/>
      <c r="BV126" s="173"/>
      <c r="BX126" s="70" t="s">
        <v>129</v>
      </c>
      <c r="BY126" s="205">
        <v>1.7</v>
      </c>
      <c r="BZ126" s="71" t="str">
        <f t="shared" ref="BZ126:BZ137" si="286">P126</f>
        <v>µA</v>
      </c>
      <c r="CA126" s="191">
        <v>2</v>
      </c>
      <c r="CB126" s="77">
        <f t="shared" ref="CB126:CB129" si="287">BY126/CA126</f>
        <v>0.85</v>
      </c>
      <c r="CC126" s="4"/>
      <c r="CD126" s="70" t="s">
        <v>131</v>
      </c>
      <c r="CE126" s="88">
        <v>0</v>
      </c>
      <c r="CF126" s="71" t="str">
        <f t="shared" ref="CF126:CF129" si="288">BZ126</f>
        <v>µA</v>
      </c>
      <c r="CG126" s="80">
        <f t="shared" ref="CG126:CG129" si="289">SQRT(3)</f>
        <v>1.7320508075688772</v>
      </c>
      <c r="CH126" s="77">
        <f t="shared" ref="CH126:CH129" si="290">CE126/CG126</f>
        <v>0</v>
      </c>
      <c r="CI126" s="4"/>
      <c r="CJ126" s="70" t="s">
        <v>92</v>
      </c>
      <c r="CK126" s="176">
        <v>0.1</v>
      </c>
      <c r="CL126" s="71" t="str">
        <f>P126</f>
        <v>µA</v>
      </c>
      <c r="CM126" s="80">
        <f t="shared" ref="CM126:CM129" si="291">SQRT(12)</f>
        <v>3.4641016151377544</v>
      </c>
      <c r="CN126" s="77">
        <f t="shared" ref="CN126:CN129" si="292">CK126/CM126</f>
        <v>2.8867513459481291E-2</v>
      </c>
      <c r="CO126" s="4"/>
      <c r="CP126" s="70" t="s">
        <v>70</v>
      </c>
      <c r="CQ126" s="83">
        <f t="shared" ref="CQ126:CQ137" si="293">STDEV(X126:AL126)</f>
        <v>0</v>
      </c>
      <c r="CR126" s="71" t="str">
        <f t="shared" ref="CR126:CR137" si="294">P126</f>
        <v>µA</v>
      </c>
      <c r="CS126" s="80">
        <f t="shared" ref="CS126:CS129" si="295">SQRT(3)</f>
        <v>1.7320508075688772</v>
      </c>
      <c r="CT126" s="85">
        <f t="shared" ref="CT126:CT129" si="296">CQ126/CS126</f>
        <v>0</v>
      </c>
      <c r="CU126" s="8"/>
      <c r="CV126" s="98">
        <f t="shared" ref="CV126:CV129" si="297">SQRT(SUMSQ(CT126,CN126,CH126,CB126))</f>
        <v>0.85049005481153817</v>
      </c>
      <c r="CW126" s="99">
        <f t="shared" ref="CW126:CW129" si="298">(CV126^4)/(((CT126^4)/2)+((CN126^4)/200)+((CH126^4)/200)+((CB126^4)/200))</f>
        <v>200.46136040122914</v>
      </c>
      <c r="CX126" s="100">
        <f t="shared" ref="CX126:CX129" si="299">ROUND(TINV(0.05,CW126),0)</f>
        <v>2</v>
      </c>
      <c r="CY126" s="103">
        <f>(CV126*CX126)</f>
        <v>1.7009801096230763</v>
      </c>
      <c r="CZ126" s="104" t="str">
        <f>P126</f>
        <v>µA</v>
      </c>
      <c r="DA126" s="8"/>
      <c r="DB126" s="177">
        <v>3.6999999999999999E-4</v>
      </c>
      <c r="DC126" s="178" t="str">
        <f>CZ126</f>
        <v>µA</v>
      </c>
      <c r="DD126" s="220">
        <f t="shared" ref="DD126:DD137" si="300">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151</v>
      </c>
      <c r="Q127" s="299"/>
      <c r="R127" s="300"/>
      <c r="S127" s="301" t="s">
        <v>144</v>
      </c>
      <c r="T127" s="301"/>
      <c r="U127" s="301"/>
      <c r="V127" s="301"/>
      <c r="W127" s="301"/>
      <c r="X127" s="291">
        <f t="shared" ref="X127:X137" si="301">L127</f>
        <v>540</v>
      </c>
      <c r="Y127" s="291"/>
      <c r="Z127" s="291"/>
      <c r="AA127" s="291"/>
      <c r="AB127" s="291"/>
      <c r="AC127" s="291">
        <f t="shared" ref="AC127:AC137" si="302">L127</f>
        <v>540</v>
      </c>
      <c r="AD127" s="291"/>
      <c r="AE127" s="291"/>
      <c r="AF127" s="291"/>
      <c r="AG127" s="291"/>
      <c r="AH127" s="291">
        <f t="shared" ref="AH127:AH137" si="303">L127</f>
        <v>540</v>
      </c>
      <c r="AI127" s="291"/>
      <c r="AJ127" s="291"/>
      <c r="AK127" s="291"/>
      <c r="AL127" s="291"/>
      <c r="AM127" s="291">
        <f t="shared" ref="AM127:AM129" si="304">AVERAGE(X127:AL127)</f>
        <v>540</v>
      </c>
      <c r="AN127" s="291"/>
      <c r="AO127" s="291"/>
      <c r="AP127" s="291"/>
      <c r="AQ127" s="291"/>
      <c r="AR127" s="291">
        <f t="shared" ref="AR127:AR129" si="305">AM127-L127</f>
        <v>0</v>
      </c>
      <c r="AS127" s="291"/>
      <c r="AT127" s="291"/>
      <c r="AU127" s="291"/>
      <c r="AV127" s="291"/>
      <c r="AW127" s="139"/>
      <c r="AX127" s="139"/>
      <c r="AY127" s="139"/>
      <c r="AZ127" s="172"/>
      <c r="BA127" s="173"/>
      <c r="BB127" s="303">
        <f>(AM127*1%)+(2*CK127)</f>
        <v>5.6000000000000005</v>
      </c>
      <c r="BC127" s="303"/>
      <c r="BD127" s="303"/>
      <c r="BE127" s="303"/>
      <c r="BF127" s="303"/>
      <c r="BG127" s="291">
        <f t="shared" si="283"/>
        <v>545.6</v>
      </c>
      <c r="BH127" s="291"/>
      <c r="BI127" s="291"/>
      <c r="BJ127" s="291"/>
      <c r="BK127" s="291"/>
      <c r="BL127" s="291">
        <f t="shared" si="284"/>
        <v>534.4</v>
      </c>
      <c r="BM127" s="291"/>
      <c r="BN127" s="291"/>
      <c r="BO127" s="291"/>
      <c r="BP127" s="291"/>
      <c r="BQ127" s="292" t="str">
        <f t="shared" si="285"/>
        <v>PASS</v>
      </c>
      <c r="BR127" s="292"/>
      <c r="BS127" s="292"/>
      <c r="BT127" s="292"/>
      <c r="BU127" s="292"/>
      <c r="BV127" s="173"/>
      <c r="BX127" s="72" t="s">
        <v>129</v>
      </c>
      <c r="BY127" s="205">
        <v>1.7</v>
      </c>
      <c r="BZ127" s="1" t="str">
        <f t="shared" si="286"/>
        <v>µA</v>
      </c>
      <c r="CA127" s="180">
        <v>2</v>
      </c>
      <c r="CB127" s="78">
        <f t="shared" si="287"/>
        <v>0.85</v>
      </c>
      <c r="CC127" s="4"/>
      <c r="CD127" s="72" t="s">
        <v>131</v>
      </c>
      <c r="CE127" s="5">
        <v>0</v>
      </c>
      <c r="CF127" s="1" t="str">
        <f t="shared" si="288"/>
        <v>µA</v>
      </c>
      <c r="CG127" s="81">
        <f t="shared" si="289"/>
        <v>1.7320508075688772</v>
      </c>
      <c r="CH127" s="78">
        <f t="shared" si="290"/>
        <v>0</v>
      </c>
      <c r="CI127" s="4"/>
      <c r="CJ127" s="72" t="s">
        <v>92</v>
      </c>
      <c r="CK127" s="181">
        <v>0.1</v>
      </c>
      <c r="CL127" s="1" t="str">
        <f>P127</f>
        <v>µA</v>
      </c>
      <c r="CM127" s="81">
        <f t="shared" si="291"/>
        <v>3.4641016151377544</v>
      </c>
      <c r="CN127" s="78">
        <f t="shared" si="292"/>
        <v>2.8867513459481291E-2</v>
      </c>
      <c r="CO127" s="4"/>
      <c r="CP127" s="72" t="s">
        <v>70</v>
      </c>
      <c r="CQ127" s="6">
        <f t="shared" si="293"/>
        <v>0</v>
      </c>
      <c r="CR127" s="1" t="str">
        <f t="shared" si="294"/>
        <v>µA</v>
      </c>
      <c r="CS127" s="81">
        <f t="shared" si="295"/>
        <v>1.7320508075688772</v>
      </c>
      <c r="CT127" s="86">
        <f t="shared" si="296"/>
        <v>0</v>
      </c>
      <c r="CU127" s="8"/>
      <c r="CV127" s="94">
        <f t="shared" si="297"/>
        <v>0.85049005481153817</v>
      </c>
      <c r="CW127" s="5">
        <f t="shared" si="298"/>
        <v>200.46136040122914</v>
      </c>
      <c r="CX127" s="95">
        <f t="shared" si="299"/>
        <v>2</v>
      </c>
      <c r="CY127" s="105">
        <f t="shared" ref="CY127:CY128" si="306">(CV127*CX127)</f>
        <v>1.7009801096230763</v>
      </c>
      <c r="CZ127" s="106" t="str">
        <f>P127</f>
        <v>µA</v>
      </c>
      <c r="DA127" s="8"/>
      <c r="DB127" s="177">
        <v>3.6999999999999999E-4</v>
      </c>
      <c r="DC127" s="178" t="str">
        <f t="shared" ref="DC127:DC129" si="307">CZ127</f>
        <v>µA</v>
      </c>
      <c r="DD127" s="220">
        <f t="shared" si="300"/>
        <v>1.7009801096230763</v>
      </c>
      <c r="DE127" s="178" t="str">
        <f t="shared" ref="DE127:DE129" si="308">DC127</f>
        <v>µA</v>
      </c>
    </row>
    <row r="128" spans="1:109" s="174" customFormat="1" ht="18" customHeight="1">
      <c r="A128" s="173"/>
      <c r="B128" s="170"/>
      <c r="C128" s="139"/>
      <c r="D128" s="139"/>
      <c r="E128" s="139"/>
      <c r="F128" s="293" t="s">
        <v>149</v>
      </c>
      <c r="G128" s="294"/>
      <c r="H128" s="294"/>
      <c r="I128" s="294"/>
      <c r="J128" s="294"/>
      <c r="K128" s="295"/>
      <c r="L128" s="297">
        <f>6000*90%</f>
        <v>5400</v>
      </c>
      <c r="M128" s="298"/>
      <c r="N128" s="298"/>
      <c r="O128" s="298"/>
      <c r="P128" s="299" t="s">
        <v>151</v>
      </c>
      <c r="Q128" s="299"/>
      <c r="R128" s="300"/>
      <c r="S128" s="301" t="s">
        <v>96</v>
      </c>
      <c r="T128" s="301"/>
      <c r="U128" s="301"/>
      <c r="V128" s="301"/>
      <c r="W128" s="301"/>
      <c r="X128" s="291">
        <f t="shared" si="301"/>
        <v>5400</v>
      </c>
      <c r="Y128" s="291"/>
      <c r="Z128" s="291"/>
      <c r="AA128" s="291"/>
      <c r="AB128" s="291"/>
      <c r="AC128" s="291">
        <f t="shared" si="302"/>
        <v>5400</v>
      </c>
      <c r="AD128" s="291"/>
      <c r="AE128" s="291"/>
      <c r="AF128" s="291"/>
      <c r="AG128" s="291"/>
      <c r="AH128" s="291">
        <f t="shared" si="303"/>
        <v>5400</v>
      </c>
      <c r="AI128" s="291"/>
      <c r="AJ128" s="291"/>
      <c r="AK128" s="291"/>
      <c r="AL128" s="291"/>
      <c r="AM128" s="302">
        <f t="shared" si="304"/>
        <v>5400</v>
      </c>
      <c r="AN128" s="302"/>
      <c r="AO128" s="302"/>
      <c r="AP128" s="302"/>
      <c r="AQ128" s="302"/>
      <c r="AR128" s="302">
        <f t="shared" si="305"/>
        <v>0</v>
      </c>
      <c r="AS128" s="302"/>
      <c r="AT128" s="302"/>
      <c r="AU128" s="302"/>
      <c r="AV128" s="302"/>
      <c r="AW128" s="139"/>
      <c r="AX128" s="139"/>
      <c r="AY128" s="139"/>
      <c r="AZ128" s="172"/>
      <c r="BA128" s="173"/>
      <c r="BB128" s="303">
        <f t="shared" ref="BB128:BB129" si="309">(AM128*1%)+(2*CK128)</f>
        <v>56</v>
      </c>
      <c r="BC128" s="303"/>
      <c r="BD128" s="303"/>
      <c r="BE128" s="303"/>
      <c r="BF128" s="303"/>
      <c r="BG128" s="291">
        <f t="shared" si="283"/>
        <v>5456</v>
      </c>
      <c r="BH128" s="291"/>
      <c r="BI128" s="291"/>
      <c r="BJ128" s="291"/>
      <c r="BK128" s="291"/>
      <c r="BL128" s="291">
        <f t="shared" si="284"/>
        <v>5344</v>
      </c>
      <c r="BM128" s="291"/>
      <c r="BN128" s="291"/>
      <c r="BO128" s="291"/>
      <c r="BP128" s="291"/>
      <c r="BQ128" s="292" t="str">
        <f t="shared" si="285"/>
        <v>PASS</v>
      </c>
      <c r="BR128" s="292"/>
      <c r="BS128" s="292"/>
      <c r="BT128" s="292"/>
      <c r="BU128" s="292"/>
      <c r="BV128" s="173"/>
      <c r="BX128" s="72" t="s">
        <v>129</v>
      </c>
      <c r="BY128" s="192">
        <v>13</v>
      </c>
      <c r="BZ128" s="1" t="str">
        <f t="shared" si="286"/>
        <v>µA</v>
      </c>
      <c r="CA128" s="180">
        <v>2</v>
      </c>
      <c r="CB128" s="78">
        <f t="shared" si="287"/>
        <v>6.5</v>
      </c>
      <c r="CC128" s="4"/>
      <c r="CD128" s="72" t="s">
        <v>131</v>
      </c>
      <c r="CE128" s="5">
        <v>0</v>
      </c>
      <c r="CF128" s="1" t="str">
        <f t="shared" si="288"/>
        <v>µA</v>
      </c>
      <c r="CG128" s="81">
        <f t="shared" si="289"/>
        <v>1.7320508075688772</v>
      </c>
      <c r="CH128" s="78">
        <f t="shared" si="290"/>
        <v>0</v>
      </c>
      <c r="CI128" s="4"/>
      <c r="CJ128" s="72" t="s">
        <v>92</v>
      </c>
      <c r="CK128" s="181">
        <v>1</v>
      </c>
      <c r="CL128" s="1" t="str">
        <f>P128</f>
        <v>µA</v>
      </c>
      <c r="CM128" s="81">
        <f t="shared" si="291"/>
        <v>3.4641016151377544</v>
      </c>
      <c r="CN128" s="78">
        <f t="shared" si="292"/>
        <v>0.28867513459481292</v>
      </c>
      <c r="CO128" s="4"/>
      <c r="CP128" s="72" t="s">
        <v>70</v>
      </c>
      <c r="CQ128" s="6">
        <f t="shared" si="293"/>
        <v>0</v>
      </c>
      <c r="CR128" s="1" t="str">
        <f t="shared" si="294"/>
        <v>µA</v>
      </c>
      <c r="CS128" s="81">
        <f t="shared" si="295"/>
        <v>1.7320508075688772</v>
      </c>
      <c r="CT128" s="86">
        <f t="shared" si="296"/>
        <v>0</v>
      </c>
      <c r="CU128" s="8"/>
      <c r="CV128" s="94">
        <f t="shared" si="297"/>
        <v>6.5064070986477116</v>
      </c>
      <c r="CW128" s="5">
        <f t="shared" si="298"/>
        <v>200.78895156584323</v>
      </c>
      <c r="CX128" s="95">
        <f t="shared" si="299"/>
        <v>2</v>
      </c>
      <c r="CY128" s="105">
        <f t="shared" si="306"/>
        <v>13.012814197295423</v>
      </c>
      <c r="CZ128" s="106" t="str">
        <f t="shared" ref="CZ128:CZ129" si="310">P128</f>
        <v>µA</v>
      </c>
      <c r="DA128" s="8"/>
      <c r="DB128" s="177">
        <v>2.6</v>
      </c>
      <c r="DC128" s="178" t="str">
        <f t="shared" si="307"/>
        <v>µA</v>
      </c>
      <c r="DD128" s="220">
        <f t="shared" si="300"/>
        <v>13.012814197295423</v>
      </c>
      <c r="DE128" s="178" t="str">
        <f t="shared" si="308"/>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151</v>
      </c>
      <c r="Q129" s="299"/>
      <c r="R129" s="300"/>
      <c r="S129" s="301" t="s">
        <v>144</v>
      </c>
      <c r="T129" s="301"/>
      <c r="U129" s="301"/>
      <c r="V129" s="301"/>
      <c r="W129" s="301"/>
      <c r="X129" s="291">
        <f t="shared" si="301"/>
        <v>5400</v>
      </c>
      <c r="Y129" s="291"/>
      <c r="Z129" s="291"/>
      <c r="AA129" s="291"/>
      <c r="AB129" s="291"/>
      <c r="AC129" s="291">
        <f t="shared" si="302"/>
        <v>5400</v>
      </c>
      <c r="AD129" s="291"/>
      <c r="AE129" s="291"/>
      <c r="AF129" s="291"/>
      <c r="AG129" s="291"/>
      <c r="AH129" s="291">
        <f t="shared" si="303"/>
        <v>5400</v>
      </c>
      <c r="AI129" s="291"/>
      <c r="AJ129" s="291"/>
      <c r="AK129" s="291"/>
      <c r="AL129" s="291"/>
      <c r="AM129" s="302">
        <f t="shared" si="304"/>
        <v>5400</v>
      </c>
      <c r="AN129" s="302"/>
      <c r="AO129" s="302"/>
      <c r="AP129" s="302"/>
      <c r="AQ129" s="302"/>
      <c r="AR129" s="302">
        <f t="shared" si="305"/>
        <v>0</v>
      </c>
      <c r="AS129" s="302"/>
      <c r="AT129" s="302"/>
      <c r="AU129" s="302"/>
      <c r="AV129" s="302"/>
      <c r="AW129" s="139"/>
      <c r="AX129" s="139"/>
      <c r="AY129" s="139"/>
      <c r="AZ129" s="172"/>
      <c r="BA129" s="173"/>
      <c r="BB129" s="303">
        <f t="shared" si="309"/>
        <v>56</v>
      </c>
      <c r="BC129" s="303"/>
      <c r="BD129" s="303"/>
      <c r="BE129" s="303"/>
      <c r="BF129" s="303"/>
      <c r="BG129" s="291">
        <f t="shared" si="283"/>
        <v>5456</v>
      </c>
      <c r="BH129" s="291"/>
      <c r="BI129" s="291"/>
      <c r="BJ129" s="291"/>
      <c r="BK129" s="291"/>
      <c r="BL129" s="291">
        <f t="shared" si="284"/>
        <v>5344</v>
      </c>
      <c r="BM129" s="291"/>
      <c r="BN129" s="291"/>
      <c r="BO129" s="291"/>
      <c r="BP129" s="291"/>
      <c r="BQ129" s="292" t="str">
        <f t="shared" si="285"/>
        <v>PASS</v>
      </c>
      <c r="BR129" s="292"/>
      <c r="BS129" s="292"/>
      <c r="BT129" s="292"/>
      <c r="BU129" s="292"/>
      <c r="BV129" s="173"/>
      <c r="BX129" s="72" t="s">
        <v>129</v>
      </c>
      <c r="BY129" s="192">
        <v>13</v>
      </c>
      <c r="BZ129" s="208" t="str">
        <f t="shared" si="286"/>
        <v>µA</v>
      </c>
      <c r="CA129" s="206">
        <v>2</v>
      </c>
      <c r="CB129" s="78">
        <f t="shared" si="287"/>
        <v>6.5</v>
      </c>
      <c r="CC129" s="4"/>
      <c r="CD129" s="73" t="s">
        <v>131</v>
      </c>
      <c r="CE129" s="89">
        <v>0</v>
      </c>
      <c r="CF129" s="74" t="str">
        <f t="shared" si="288"/>
        <v>µA</v>
      </c>
      <c r="CG129" s="82">
        <f t="shared" si="289"/>
        <v>1.7320508075688772</v>
      </c>
      <c r="CH129" s="79">
        <f t="shared" si="290"/>
        <v>0</v>
      </c>
      <c r="CI129" s="4"/>
      <c r="CJ129" s="73" t="s">
        <v>92</v>
      </c>
      <c r="CK129" s="183">
        <v>1</v>
      </c>
      <c r="CL129" s="74" t="str">
        <f t="shared" ref="CL129" si="311">P129</f>
        <v>µA</v>
      </c>
      <c r="CM129" s="82">
        <f t="shared" si="291"/>
        <v>3.4641016151377544</v>
      </c>
      <c r="CN129" s="79">
        <f t="shared" si="292"/>
        <v>0.28867513459481292</v>
      </c>
      <c r="CO129" s="4"/>
      <c r="CP129" s="73" t="s">
        <v>70</v>
      </c>
      <c r="CQ129" s="84">
        <f t="shared" si="293"/>
        <v>0</v>
      </c>
      <c r="CR129" s="74" t="str">
        <f t="shared" si="294"/>
        <v>µA</v>
      </c>
      <c r="CS129" s="82">
        <f t="shared" si="295"/>
        <v>1.7320508075688772</v>
      </c>
      <c r="CT129" s="87">
        <f t="shared" si="296"/>
        <v>0</v>
      </c>
      <c r="CU129" s="8"/>
      <c r="CV129" s="96">
        <f t="shared" si="297"/>
        <v>6.5064070986477116</v>
      </c>
      <c r="CW129" s="89">
        <f t="shared" si="298"/>
        <v>200.78895156584323</v>
      </c>
      <c r="CX129" s="97">
        <f t="shared" si="299"/>
        <v>2</v>
      </c>
      <c r="CY129" s="107">
        <f>(CV129*CX129)</f>
        <v>13.012814197295423</v>
      </c>
      <c r="CZ129" s="108" t="str">
        <f t="shared" si="310"/>
        <v>µA</v>
      </c>
      <c r="DA129" s="8"/>
      <c r="DB129" s="177">
        <v>2.6</v>
      </c>
      <c r="DC129" s="178" t="str">
        <f t="shared" si="307"/>
        <v>µA</v>
      </c>
      <c r="DD129" s="220">
        <f t="shared" si="300"/>
        <v>13.012814197295423</v>
      </c>
      <c r="DE129" s="178" t="str">
        <f t="shared" si="308"/>
        <v>µA</v>
      </c>
    </row>
    <row r="130" spans="1:109" s="174" customFormat="1" ht="18" customHeight="1">
      <c r="A130" s="173"/>
      <c r="B130" s="170"/>
      <c r="C130" s="139"/>
      <c r="D130" s="139"/>
      <c r="E130" s="139"/>
      <c r="F130" s="293" t="s">
        <v>150</v>
      </c>
      <c r="G130" s="294"/>
      <c r="H130" s="294"/>
      <c r="I130" s="294"/>
      <c r="J130" s="294"/>
      <c r="K130" s="295"/>
      <c r="L130" s="297">
        <f>60*90%</f>
        <v>54</v>
      </c>
      <c r="M130" s="298"/>
      <c r="N130" s="298"/>
      <c r="O130" s="298"/>
      <c r="P130" s="299" t="s">
        <v>102</v>
      </c>
      <c r="Q130" s="299"/>
      <c r="R130" s="300"/>
      <c r="S130" s="301" t="s">
        <v>96</v>
      </c>
      <c r="T130" s="301"/>
      <c r="U130" s="301"/>
      <c r="V130" s="301"/>
      <c r="W130" s="301"/>
      <c r="X130" s="291">
        <f t="shared" si="301"/>
        <v>54</v>
      </c>
      <c r="Y130" s="291"/>
      <c r="Z130" s="291"/>
      <c r="AA130" s="291"/>
      <c r="AB130" s="291"/>
      <c r="AC130" s="291">
        <f t="shared" si="302"/>
        <v>54</v>
      </c>
      <c r="AD130" s="291"/>
      <c r="AE130" s="291"/>
      <c r="AF130" s="291"/>
      <c r="AG130" s="291"/>
      <c r="AH130" s="291">
        <f t="shared" si="303"/>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312">(AM130*1%)+(2*CK130)</f>
        <v>0.56000000000000005</v>
      </c>
      <c r="BC130" s="303"/>
      <c r="BD130" s="303"/>
      <c r="BE130" s="303"/>
      <c r="BF130" s="303"/>
      <c r="BG130" s="303">
        <f t="shared" si="283"/>
        <v>54.56</v>
      </c>
      <c r="BH130" s="303"/>
      <c r="BI130" s="303"/>
      <c r="BJ130" s="303"/>
      <c r="BK130" s="303"/>
      <c r="BL130" s="303">
        <f t="shared" si="284"/>
        <v>53.44</v>
      </c>
      <c r="BM130" s="303"/>
      <c r="BN130" s="303"/>
      <c r="BO130" s="303"/>
      <c r="BP130" s="303"/>
      <c r="BQ130" s="292" t="str">
        <f t="shared" si="285"/>
        <v>PASS</v>
      </c>
      <c r="BR130" s="292"/>
      <c r="BS130" s="292"/>
      <c r="BT130" s="292"/>
      <c r="BU130" s="292"/>
      <c r="BV130" s="173"/>
      <c r="BX130" s="75" t="s">
        <v>129</v>
      </c>
      <c r="BY130" s="192">
        <v>0.22</v>
      </c>
      <c r="BZ130" s="1" t="str">
        <f t="shared" si="286"/>
        <v>mA</v>
      </c>
      <c r="CA130" s="180">
        <v>2</v>
      </c>
      <c r="CB130" s="209">
        <f t="shared" ref="CB130:CB133" si="313">BY130/CA130</f>
        <v>0.11</v>
      </c>
      <c r="CC130" s="4"/>
      <c r="CD130" s="70" t="s">
        <v>131</v>
      </c>
      <c r="CE130" s="88">
        <v>0</v>
      </c>
      <c r="CF130" s="71" t="str">
        <f t="shared" ref="CF130:CF133" si="314">BZ130</f>
        <v>mA</v>
      </c>
      <c r="CG130" s="80">
        <f t="shared" ref="CG130:CG133" si="315">SQRT(3)</f>
        <v>1.7320508075688772</v>
      </c>
      <c r="CH130" s="77">
        <f t="shared" ref="CH130:CH133" si="316">CE130/CG130</f>
        <v>0</v>
      </c>
      <c r="CI130" s="4"/>
      <c r="CJ130" s="70" t="s">
        <v>92</v>
      </c>
      <c r="CK130" s="176">
        <v>0.01</v>
      </c>
      <c r="CL130" s="71" t="str">
        <f>P130</f>
        <v>mA</v>
      </c>
      <c r="CM130" s="80">
        <f t="shared" ref="CM130:CM133" si="317">SQRT(12)</f>
        <v>3.4641016151377544</v>
      </c>
      <c r="CN130" s="77">
        <f t="shared" ref="CN130:CN133" si="318">CK130/CM130</f>
        <v>2.886751345948129E-3</v>
      </c>
      <c r="CO130" s="4"/>
      <c r="CP130" s="70" t="s">
        <v>70</v>
      </c>
      <c r="CQ130" s="83">
        <f t="shared" si="293"/>
        <v>0</v>
      </c>
      <c r="CR130" s="71" t="str">
        <f t="shared" si="294"/>
        <v>mA</v>
      </c>
      <c r="CS130" s="80">
        <f t="shared" ref="CS130:CS133" si="319">SQRT(3)</f>
        <v>1.7320508075688772</v>
      </c>
      <c r="CT130" s="85">
        <f t="shared" ref="CT130:CT133" si="320">CQ130/CS130</f>
        <v>0</v>
      </c>
      <c r="CU130" s="8"/>
      <c r="CV130" s="98">
        <f t="shared" ref="CV130:CV133" si="321">SQRT(SUMSQ(CT130,CN130,CH130,CB130))</f>
        <v>0.11003787226829376</v>
      </c>
      <c r="CW130" s="99">
        <f t="shared" ref="CW130:CW133" si="322">(CV130^4)/(((CT130^4)/2)+((CN130^4)/200)+((CH130^4)/200)+((CB130^4)/200))</f>
        <v>200.27548196299864</v>
      </c>
      <c r="CX130" s="100">
        <f t="shared" ref="CX130:CX133" si="323">ROUND(TINV(0.05,CW130),0)</f>
        <v>2</v>
      </c>
      <c r="CY130" s="103">
        <f>(CV130*CX130)</f>
        <v>0.22007574453658751</v>
      </c>
      <c r="CZ130" s="104" t="str">
        <f>P130</f>
        <v>mA</v>
      </c>
      <c r="DA130" s="8"/>
      <c r="DB130" s="177">
        <v>2.5999999999999999E-2</v>
      </c>
      <c r="DC130" s="178" t="str">
        <f>CZ130</f>
        <v>mA</v>
      </c>
      <c r="DD130" s="220">
        <f t="shared" si="300"/>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f t="shared" si="301"/>
        <v>54</v>
      </c>
      <c r="Y131" s="291"/>
      <c r="Z131" s="291"/>
      <c r="AA131" s="291"/>
      <c r="AB131" s="291"/>
      <c r="AC131" s="291">
        <f t="shared" si="302"/>
        <v>54</v>
      </c>
      <c r="AD131" s="291"/>
      <c r="AE131" s="291"/>
      <c r="AF131" s="291"/>
      <c r="AG131" s="291"/>
      <c r="AH131" s="291">
        <f t="shared" si="303"/>
        <v>54</v>
      </c>
      <c r="AI131" s="291"/>
      <c r="AJ131" s="291"/>
      <c r="AK131" s="291"/>
      <c r="AL131" s="291"/>
      <c r="AM131" s="303">
        <f t="shared" ref="AM131:AM133" si="324">AVERAGE(X131:AL131)</f>
        <v>54</v>
      </c>
      <c r="AN131" s="303"/>
      <c r="AO131" s="303"/>
      <c r="AP131" s="303"/>
      <c r="AQ131" s="303"/>
      <c r="AR131" s="303">
        <f t="shared" ref="AR131:AR133" si="325">AM131-L131</f>
        <v>0</v>
      </c>
      <c r="AS131" s="303"/>
      <c r="AT131" s="303"/>
      <c r="AU131" s="303"/>
      <c r="AV131" s="303"/>
      <c r="AW131" s="139"/>
      <c r="AX131" s="139"/>
      <c r="AY131" s="139"/>
      <c r="AZ131" s="172"/>
      <c r="BA131" s="173"/>
      <c r="BB131" s="303">
        <f t="shared" si="312"/>
        <v>0.56000000000000005</v>
      </c>
      <c r="BC131" s="303"/>
      <c r="BD131" s="303"/>
      <c r="BE131" s="303"/>
      <c r="BF131" s="303"/>
      <c r="BG131" s="291">
        <f t="shared" si="283"/>
        <v>54.56</v>
      </c>
      <c r="BH131" s="291"/>
      <c r="BI131" s="291"/>
      <c r="BJ131" s="291"/>
      <c r="BK131" s="291"/>
      <c r="BL131" s="291">
        <f t="shared" si="284"/>
        <v>53.44</v>
      </c>
      <c r="BM131" s="291"/>
      <c r="BN131" s="291"/>
      <c r="BO131" s="291"/>
      <c r="BP131" s="291"/>
      <c r="BQ131" s="292" t="str">
        <f t="shared" si="285"/>
        <v>PASS</v>
      </c>
      <c r="BR131" s="292"/>
      <c r="BS131" s="292"/>
      <c r="BT131" s="292"/>
      <c r="BU131" s="292"/>
      <c r="BV131" s="173"/>
      <c r="BX131" s="72" t="s">
        <v>129</v>
      </c>
      <c r="BY131" s="192">
        <v>0.22</v>
      </c>
      <c r="BZ131" s="1" t="str">
        <f t="shared" si="286"/>
        <v>mA</v>
      </c>
      <c r="CA131" s="180">
        <v>2</v>
      </c>
      <c r="CB131" s="78">
        <f t="shared" si="313"/>
        <v>0.11</v>
      </c>
      <c r="CC131" s="4"/>
      <c r="CD131" s="72" t="s">
        <v>131</v>
      </c>
      <c r="CE131" s="5">
        <v>0</v>
      </c>
      <c r="CF131" s="1" t="str">
        <f t="shared" si="314"/>
        <v>mA</v>
      </c>
      <c r="CG131" s="81">
        <f t="shared" si="315"/>
        <v>1.7320508075688772</v>
      </c>
      <c r="CH131" s="78">
        <f t="shared" si="316"/>
        <v>0</v>
      </c>
      <c r="CI131" s="4"/>
      <c r="CJ131" s="72" t="s">
        <v>92</v>
      </c>
      <c r="CK131" s="181">
        <v>0.01</v>
      </c>
      <c r="CL131" s="1" t="str">
        <f>P131</f>
        <v>mA</v>
      </c>
      <c r="CM131" s="81">
        <f t="shared" si="317"/>
        <v>3.4641016151377544</v>
      </c>
      <c r="CN131" s="78">
        <f t="shared" si="318"/>
        <v>2.886751345948129E-3</v>
      </c>
      <c r="CO131" s="4"/>
      <c r="CP131" s="72" t="s">
        <v>70</v>
      </c>
      <c r="CQ131" s="6">
        <f t="shared" si="293"/>
        <v>0</v>
      </c>
      <c r="CR131" s="1" t="str">
        <f t="shared" si="294"/>
        <v>mA</v>
      </c>
      <c r="CS131" s="81">
        <f t="shared" si="319"/>
        <v>1.7320508075688772</v>
      </c>
      <c r="CT131" s="86">
        <f t="shared" si="320"/>
        <v>0</v>
      </c>
      <c r="CU131" s="8"/>
      <c r="CV131" s="94">
        <f t="shared" si="321"/>
        <v>0.11003787226829376</v>
      </c>
      <c r="CW131" s="5">
        <f t="shared" si="322"/>
        <v>200.27548196299864</v>
      </c>
      <c r="CX131" s="95">
        <f t="shared" si="323"/>
        <v>2</v>
      </c>
      <c r="CY131" s="105">
        <f t="shared" ref="CY131:CY132" si="326">(CV131*CX131)</f>
        <v>0.22007574453658751</v>
      </c>
      <c r="CZ131" s="106" t="str">
        <f>P131</f>
        <v>mA</v>
      </c>
      <c r="DA131" s="8"/>
      <c r="DB131" s="177">
        <v>2.5999999999999999E-2</v>
      </c>
      <c r="DC131" s="178" t="str">
        <f t="shared" ref="DC131:DC133" si="327">CZ131</f>
        <v>mA</v>
      </c>
      <c r="DD131" s="220">
        <f t="shared" si="300"/>
        <v>0.22007574453658751</v>
      </c>
      <c r="DE131" s="178" t="str">
        <f t="shared" ref="DE131:DE133" si="328">DC131</f>
        <v>mA</v>
      </c>
    </row>
    <row r="132" spans="1:109" s="174" customFormat="1" ht="18" customHeight="1">
      <c r="A132" s="173"/>
      <c r="B132" s="170"/>
      <c r="C132" s="139"/>
      <c r="D132" s="139"/>
      <c r="E132" s="139"/>
      <c r="F132" s="304" t="s">
        <v>153</v>
      </c>
      <c r="G132" s="305"/>
      <c r="H132" s="305"/>
      <c r="I132" s="305"/>
      <c r="J132" s="305"/>
      <c r="K132" s="306"/>
      <c r="L132" s="297">
        <f>400*90%</f>
        <v>360</v>
      </c>
      <c r="M132" s="298"/>
      <c r="N132" s="298"/>
      <c r="O132" s="298"/>
      <c r="P132" s="299" t="s">
        <v>102</v>
      </c>
      <c r="Q132" s="299"/>
      <c r="R132" s="300"/>
      <c r="S132" s="301" t="s">
        <v>96</v>
      </c>
      <c r="T132" s="301"/>
      <c r="U132" s="301"/>
      <c r="V132" s="301"/>
      <c r="W132" s="301"/>
      <c r="X132" s="291">
        <f t="shared" si="301"/>
        <v>360</v>
      </c>
      <c r="Y132" s="291"/>
      <c r="Z132" s="291"/>
      <c r="AA132" s="291"/>
      <c r="AB132" s="291"/>
      <c r="AC132" s="291">
        <f t="shared" si="302"/>
        <v>360</v>
      </c>
      <c r="AD132" s="291"/>
      <c r="AE132" s="291"/>
      <c r="AF132" s="291"/>
      <c r="AG132" s="291"/>
      <c r="AH132" s="291">
        <f t="shared" si="303"/>
        <v>360</v>
      </c>
      <c r="AI132" s="291"/>
      <c r="AJ132" s="291"/>
      <c r="AK132" s="291"/>
      <c r="AL132" s="291"/>
      <c r="AM132" s="291">
        <f t="shared" si="324"/>
        <v>360</v>
      </c>
      <c r="AN132" s="291"/>
      <c r="AO132" s="291"/>
      <c r="AP132" s="291"/>
      <c r="AQ132" s="291"/>
      <c r="AR132" s="291">
        <f t="shared" si="325"/>
        <v>0</v>
      </c>
      <c r="AS132" s="291"/>
      <c r="AT132" s="291"/>
      <c r="AU132" s="291"/>
      <c r="AV132" s="291"/>
      <c r="AW132" s="139"/>
      <c r="AX132" s="139"/>
      <c r="AY132" s="139"/>
      <c r="AZ132" s="172"/>
      <c r="BA132" s="173"/>
      <c r="BB132" s="303">
        <f t="shared" si="312"/>
        <v>3.8000000000000003</v>
      </c>
      <c r="BC132" s="303"/>
      <c r="BD132" s="303"/>
      <c r="BE132" s="303"/>
      <c r="BF132" s="303"/>
      <c r="BG132" s="291">
        <f t="shared" si="283"/>
        <v>363.8</v>
      </c>
      <c r="BH132" s="291"/>
      <c r="BI132" s="291"/>
      <c r="BJ132" s="291"/>
      <c r="BK132" s="291"/>
      <c r="BL132" s="291">
        <f t="shared" si="284"/>
        <v>356.2</v>
      </c>
      <c r="BM132" s="291"/>
      <c r="BN132" s="291"/>
      <c r="BO132" s="291"/>
      <c r="BP132" s="291"/>
      <c r="BQ132" s="292" t="str">
        <f t="shared" si="285"/>
        <v>PASS</v>
      </c>
      <c r="BR132" s="292"/>
      <c r="BS132" s="292"/>
      <c r="BT132" s="292"/>
      <c r="BU132" s="292"/>
      <c r="BV132" s="173"/>
      <c r="BX132" s="72" t="s">
        <v>129</v>
      </c>
      <c r="BY132" s="192">
        <v>0.72</v>
      </c>
      <c r="BZ132" s="1" t="str">
        <f t="shared" si="286"/>
        <v>mA</v>
      </c>
      <c r="CA132" s="180">
        <v>2</v>
      </c>
      <c r="CB132" s="78">
        <f t="shared" si="313"/>
        <v>0.36</v>
      </c>
      <c r="CC132" s="4"/>
      <c r="CD132" s="72" t="s">
        <v>131</v>
      </c>
      <c r="CE132" s="5">
        <v>0</v>
      </c>
      <c r="CF132" s="1" t="str">
        <f t="shared" si="314"/>
        <v>mA</v>
      </c>
      <c r="CG132" s="81">
        <f t="shared" si="315"/>
        <v>1.7320508075688772</v>
      </c>
      <c r="CH132" s="78">
        <f t="shared" si="316"/>
        <v>0</v>
      </c>
      <c r="CI132" s="4"/>
      <c r="CJ132" s="72" t="s">
        <v>92</v>
      </c>
      <c r="CK132" s="181">
        <v>0.1</v>
      </c>
      <c r="CL132" s="1" t="str">
        <f>P132</f>
        <v>mA</v>
      </c>
      <c r="CM132" s="81">
        <f t="shared" si="317"/>
        <v>3.4641016151377544</v>
      </c>
      <c r="CN132" s="78">
        <f t="shared" si="318"/>
        <v>2.8867513459481291E-2</v>
      </c>
      <c r="CO132" s="4"/>
      <c r="CP132" s="72" t="s">
        <v>70</v>
      </c>
      <c r="CQ132" s="6">
        <f t="shared" si="293"/>
        <v>0</v>
      </c>
      <c r="CR132" s="1" t="str">
        <f t="shared" si="294"/>
        <v>mA</v>
      </c>
      <c r="CS132" s="81">
        <f t="shared" si="319"/>
        <v>1.7320508075688772</v>
      </c>
      <c r="CT132" s="86">
        <f t="shared" si="320"/>
        <v>0</v>
      </c>
      <c r="CU132" s="8"/>
      <c r="CV132" s="94">
        <f t="shared" si="321"/>
        <v>0.36115555282084938</v>
      </c>
      <c r="CW132" s="5">
        <f t="shared" si="322"/>
        <v>202.57191012417729</v>
      </c>
      <c r="CX132" s="95">
        <f t="shared" si="323"/>
        <v>2</v>
      </c>
      <c r="CY132" s="105">
        <f t="shared" si="326"/>
        <v>0.72231110564169876</v>
      </c>
      <c r="CZ132" s="106" t="str">
        <f t="shared" ref="CZ132:CZ133" si="329">P132</f>
        <v>mA</v>
      </c>
      <c r="DA132" s="8"/>
      <c r="DB132" s="177">
        <v>0.21</v>
      </c>
      <c r="DC132" s="178" t="str">
        <f t="shared" si="327"/>
        <v>mA</v>
      </c>
      <c r="DD132" s="220">
        <f t="shared" si="300"/>
        <v>0.72231110564169876</v>
      </c>
      <c r="DE132" s="178" t="str">
        <f t="shared" si="328"/>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f t="shared" si="301"/>
        <v>360</v>
      </c>
      <c r="Y133" s="291"/>
      <c r="Z133" s="291"/>
      <c r="AA133" s="291"/>
      <c r="AB133" s="291"/>
      <c r="AC133" s="291">
        <f t="shared" si="302"/>
        <v>360</v>
      </c>
      <c r="AD133" s="291"/>
      <c r="AE133" s="291"/>
      <c r="AF133" s="291"/>
      <c r="AG133" s="291"/>
      <c r="AH133" s="291">
        <f t="shared" si="303"/>
        <v>360</v>
      </c>
      <c r="AI133" s="291"/>
      <c r="AJ133" s="291"/>
      <c r="AK133" s="291"/>
      <c r="AL133" s="291"/>
      <c r="AM133" s="291">
        <f t="shared" si="324"/>
        <v>360</v>
      </c>
      <c r="AN133" s="291"/>
      <c r="AO133" s="291"/>
      <c r="AP133" s="291"/>
      <c r="AQ133" s="291"/>
      <c r="AR133" s="291">
        <f t="shared" si="325"/>
        <v>0</v>
      </c>
      <c r="AS133" s="291"/>
      <c r="AT133" s="291"/>
      <c r="AU133" s="291"/>
      <c r="AV133" s="291"/>
      <c r="AW133" s="139"/>
      <c r="AX133" s="139"/>
      <c r="AY133" s="139"/>
      <c r="AZ133" s="172"/>
      <c r="BA133" s="173"/>
      <c r="BB133" s="303">
        <f t="shared" si="312"/>
        <v>3.8000000000000003</v>
      </c>
      <c r="BC133" s="303"/>
      <c r="BD133" s="303"/>
      <c r="BE133" s="303"/>
      <c r="BF133" s="303"/>
      <c r="BG133" s="291">
        <f t="shared" si="283"/>
        <v>363.8</v>
      </c>
      <c r="BH133" s="291"/>
      <c r="BI133" s="291"/>
      <c r="BJ133" s="291"/>
      <c r="BK133" s="291"/>
      <c r="BL133" s="291">
        <f t="shared" si="284"/>
        <v>356.2</v>
      </c>
      <c r="BM133" s="291"/>
      <c r="BN133" s="291"/>
      <c r="BO133" s="291"/>
      <c r="BP133" s="291"/>
      <c r="BQ133" s="292" t="str">
        <f t="shared" si="285"/>
        <v>PASS</v>
      </c>
      <c r="BR133" s="292"/>
      <c r="BS133" s="292"/>
      <c r="BT133" s="292"/>
      <c r="BU133" s="292"/>
      <c r="BV133" s="173"/>
      <c r="BX133" s="210" t="s">
        <v>129</v>
      </c>
      <c r="BY133" s="192">
        <v>0.72</v>
      </c>
      <c r="BZ133" s="1" t="str">
        <f t="shared" si="286"/>
        <v>mA</v>
      </c>
      <c r="CA133" s="206">
        <v>2</v>
      </c>
      <c r="CB133" s="207">
        <f t="shared" si="313"/>
        <v>0.36</v>
      </c>
      <c r="CC133" s="4"/>
      <c r="CD133" s="73" t="s">
        <v>131</v>
      </c>
      <c r="CE133" s="89">
        <v>0</v>
      </c>
      <c r="CF133" s="74" t="str">
        <f t="shared" si="314"/>
        <v>mA</v>
      </c>
      <c r="CG133" s="82">
        <f t="shared" si="315"/>
        <v>1.7320508075688772</v>
      </c>
      <c r="CH133" s="79">
        <f t="shared" si="316"/>
        <v>0</v>
      </c>
      <c r="CI133" s="4"/>
      <c r="CJ133" s="73" t="s">
        <v>92</v>
      </c>
      <c r="CK133" s="183">
        <v>0.1</v>
      </c>
      <c r="CL133" s="74" t="str">
        <f t="shared" ref="CL133" si="330">P133</f>
        <v>mA</v>
      </c>
      <c r="CM133" s="82">
        <f t="shared" si="317"/>
        <v>3.4641016151377544</v>
      </c>
      <c r="CN133" s="79">
        <f t="shared" si="318"/>
        <v>2.8867513459481291E-2</v>
      </c>
      <c r="CO133" s="4"/>
      <c r="CP133" s="73" t="s">
        <v>70</v>
      </c>
      <c r="CQ133" s="84">
        <f t="shared" si="293"/>
        <v>0</v>
      </c>
      <c r="CR133" s="74" t="str">
        <f t="shared" si="294"/>
        <v>mA</v>
      </c>
      <c r="CS133" s="82">
        <f t="shared" si="319"/>
        <v>1.7320508075688772</v>
      </c>
      <c r="CT133" s="87">
        <f t="shared" si="320"/>
        <v>0</v>
      </c>
      <c r="CU133" s="8"/>
      <c r="CV133" s="96">
        <f t="shared" si="321"/>
        <v>0.36115555282084938</v>
      </c>
      <c r="CW133" s="89">
        <f t="shared" si="322"/>
        <v>202.57191012417729</v>
      </c>
      <c r="CX133" s="97">
        <f t="shared" si="323"/>
        <v>2</v>
      </c>
      <c r="CY133" s="107">
        <f>(CV133*CX133)</f>
        <v>0.72231110564169876</v>
      </c>
      <c r="CZ133" s="108" t="str">
        <f t="shared" si="329"/>
        <v>mA</v>
      </c>
      <c r="DA133" s="8"/>
      <c r="DB133" s="177">
        <v>0.21</v>
      </c>
      <c r="DC133" s="178" t="str">
        <f t="shared" si="327"/>
        <v>mA</v>
      </c>
      <c r="DD133" s="220">
        <f t="shared" si="300"/>
        <v>0.72231110564169876</v>
      </c>
      <c r="DE133" s="178" t="str">
        <f t="shared" si="328"/>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152</v>
      </c>
      <c r="Q134" s="299"/>
      <c r="R134" s="300"/>
      <c r="S134" s="301" t="s">
        <v>96</v>
      </c>
      <c r="T134" s="301"/>
      <c r="U134" s="301"/>
      <c r="V134" s="301"/>
      <c r="W134" s="301"/>
      <c r="X134" s="291">
        <f t="shared" si="301"/>
        <v>5.4</v>
      </c>
      <c r="Y134" s="291"/>
      <c r="Z134" s="291"/>
      <c r="AA134" s="291"/>
      <c r="AB134" s="291"/>
      <c r="AC134" s="291">
        <f t="shared" si="302"/>
        <v>5.4</v>
      </c>
      <c r="AD134" s="291"/>
      <c r="AE134" s="291"/>
      <c r="AF134" s="291"/>
      <c r="AG134" s="291"/>
      <c r="AH134" s="291">
        <f t="shared" si="303"/>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312"/>
        <v>5.6000000000000015E-2</v>
      </c>
      <c r="BC134" s="303"/>
      <c r="BD134" s="303"/>
      <c r="BE134" s="303"/>
      <c r="BF134" s="303"/>
      <c r="BG134" s="303">
        <f t="shared" si="283"/>
        <v>5.4560000000000004</v>
      </c>
      <c r="BH134" s="303"/>
      <c r="BI134" s="303"/>
      <c r="BJ134" s="303"/>
      <c r="BK134" s="303"/>
      <c r="BL134" s="303">
        <f t="shared" si="284"/>
        <v>5.3440000000000003</v>
      </c>
      <c r="BM134" s="303"/>
      <c r="BN134" s="303"/>
      <c r="BO134" s="303"/>
      <c r="BP134" s="303"/>
      <c r="BQ134" s="292" t="str">
        <f t="shared" si="285"/>
        <v>PASS</v>
      </c>
      <c r="BR134" s="292"/>
      <c r="BS134" s="292"/>
      <c r="BT134" s="292"/>
      <c r="BU134" s="292"/>
      <c r="BV134" s="173"/>
      <c r="BX134" s="72" t="s">
        <v>129</v>
      </c>
      <c r="BY134" s="226">
        <v>0.01</v>
      </c>
      <c r="BZ134" s="76" t="str">
        <f t="shared" si="286"/>
        <v>A</v>
      </c>
      <c r="CA134" s="180">
        <v>2</v>
      </c>
      <c r="CB134" s="78">
        <f t="shared" ref="CB134:CB135" si="331">BY134/CA134</f>
        <v>5.0000000000000001E-3</v>
      </c>
      <c r="CC134" s="4"/>
      <c r="CD134" s="70" t="s">
        <v>131</v>
      </c>
      <c r="CE134" s="88">
        <v>0</v>
      </c>
      <c r="CF134" s="71" t="str">
        <f t="shared" ref="CF134:CF137" si="332">BZ134</f>
        <v>A</v>
      </c>
      <c r="CG134" s="80">
        <f t="shared" ref="CG134:CG137" si="333">SQRT(3)</f>
        <v>1.7320508075688772</v>
      </c>
      <c r="CH134" s="77">
        <f t="shared" ref="CH134:CH137" si="334">CE134/CG134</f>
        <v>0</v>
      </c>
      <c r="CI134" s="4"/>
      <c r="CJ134" s="70" t="s">
        <v>92</v>
      </c>
      <c r="CK134" s="176">
        <v>1E-3</v>
      </c>
      <c r="CL134" s="71" t="str">
        <f>P134</f>
        <v>A</v>
      </c>
      <c r="CM134" s="80">
        <f t="shared" ref="CM134:CM137" si="335">SQRT(12)</f>
        <v>3.4641016151377544</v>
      </c>
      <c r="CN134" s="77">
        <f t="shared" ref="CN134:CN137" si="336">CK134/CM134</f>
        <v>2.886751345948129E-4</v>
      </c>
      <c r="CO134" s="4"/>
      <c r="CP134" s="70" t="s">
        <v>70</v>
      </c>
      <c r="CQ134" s="83">
        <f t="shared" si="293"/>
        <v>1.0877919644084146E-15</v>
      </c>
      <c r="CR134" s="71" t="str">
        <f t="shared" si="294"/>
        <v>A</v>
      </c>
      <c r="CS134" s="80">
        <f t="shared" ref="CS134:CS137" si="337">SQRT(3)</f>
        <v>1.7320508075688772</v>
      </c>
      <c r="CT134" s="85">
        <f t="shared" ref="CT134:CT137" si="338">CQ134/CS134</f>
        <v>6.2803698347350997E-16</v>
      </c>
      <c r="CU134" s="8"/>
      <c r="CV134" s="98">
        <f t="shared" ref="CV134:CV137" si="339">SQRT(SUMSQ(CT134,CN134,CH134,CB134))</f>
        <v>5.0083264004389064E-3</v>
      </c>
      <c r="CW134" s="99">
        <f t="shared" ref="CW134:CW137" si="340">(CV134^4)/(((CT134^4)/2)+((CN134^4)/200)+((CH134^4)/200)+((CB134^4)/200))</f>
        <v>201.33331851868311</v>
      </c>
      <c r="CX134" s="100">
        <f t="shared" ref="CX134:CX135" si="341">ROUND(TINV(0.05,CW134),0)</f>
        <v>2</v>
      </c>
      <c r="CY134" s="103">
        <f>(CV134*CX134)</f>
        <v>1.0016652800877813E-2</v>
      </c>
      <c r="CZ134" s="104" t="str">
        <f>P134</f>
        <v>A</v>
      </c>
      <c r="DA134" s="8"/>
      <c r="DB134" s="177">
        <v>2.8999999999999998E-3</v>
      </c>
      <c r="DC134" s="178" t="str">
        <f>CZ134</f>
        <v>A</v>
      </c>
      <c r="DD134" s="220">
        <f t="shared" si="300"/>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152</v>
      </c>
      <c r="Q135" s="299"/>
      <c r="R135" s="300"/>
      <c r="S135" s="301" t="s">
        <v>144</v>
      </c>
      <c r="T135" s="301"/>
      <c r="U135" s="301"/>
      <c r="V135" s="301"/>
      <c r="W135" s="301"/>
      <c r="X135" s="291">
        <f t="shared" si="301"/>
        <v>5.4</v>
      </c>
      <c r="Y135" s="291"/>
      <c r="Z135" s="291"/>
      <c r="AA135" s="291"/>
      <c r="AB135" s="291"/>
      <c r="AC135" s="291">
        <f t="shared" si="302"/>
        <v>5.4</v>
      </c>
      <c r="AD135" s="291"/>
      <c r="AE135" s="291"/>
      <c r="AF135" s="291"/>
      <c r="AG135" s="291"/>
      <c r="AH135" s="291">
        <f t="shared" si="303"/>
        <v>5.4</v>
      </c>
      <c r="AI135" s="291"/>
      <c r="AJ135" s="291"/>
      <c r="AK135" s="291"/>
      <c r="AL135" s="291"/>
      <c r="AM135" s="320">
        <f t="shared" ref="AM135:AM136" si="342">AVERAGE(X135:AL135)</f>
        <v>5.4000000000000012</v>
      </c>
      <c r="AN135" s="320"/>
      <c r="AO135" s="320"/>
      <c r="AP135" s="320"/>
      <c r="AQ135" s="320"/>
      <c r="AR135" s="320">
        <f t="shared" ref="AR135:AR136" si="343">AM135-L135</f>
        <v>0</v>
      </c>
      <c r="AS135" s="320"/>
      <c r="AT135" s="320"/>
      <c r="AU135" s="320"/>
      <c r="AV135" s="320"/>
      <c r="AW135" s="139"/>
      <c r="AX135" s="139"/>
      <c r="AY135" s="139"/>
      <c r="AZ135" s="172"/>
      <c r="BA135" s="173"/>
      <c r="BB135" s="303">
        <f t="shared" si="312"/>
        <v>5.6000000000000015E-2</v>
      </c>
      <c r="BC135" s="303"/>
      <c r="BD135" s="303"/>
      <c r="BE135" s="303"/>
      <c r="BF135" s="303"/>
      <c r="BG135" s="291">
        <f t="shared" si="283"/>
        <v>5.4560000000000004</v>
      </c>
      <c r="BH135" s="291"/>
      <c r="BI135" s="291"/>
      <c r="BJ135" s="291"/>
      <c r="BK135" s="291"/>
      <c r="BL135" s="291">
        <f t="shared" si="284"/>
        <v>5.3440000000000003</v>
      </c>
      <c r="BM135" s="291"/>
      <c r="BN135" s="291"/>
      <c r="BO135" s="291"/>
      <c r="BP135" s="291"/>
      <c r="BQ135" s="292" t="str">
        <f t="shared" si="285"/>
        <v>PASS</v>
      </c>
      <c r="BR135" s="292"/>
      <c r="BS135" s="292"/>
      <c r="BT135" s="292"/>
      <c r="BU135" s="292"/>
      <c r="BV135" s="173"/>
      <c r="BX135" s="72" t="s">
        <v>129</v>
      </c>
      <c r="BY135" s="224">
        <v>1.0999999999999999E-2</v>
      </c>
      <c r="BZ135" s="1" t="str">
        <f t="shared" si="286"/>
        <v>A</v>
      </c>
      <c r="CA135" s="180">
        <v>2</v>
      </c>
      <c r="CB135" s="78">
        <f t="shared" si="331"/>
        <v>5.4999999999999997E-3</v>
      </c>
      <c r="CC135" s="4"/>
      <c r="CD135" s="72" t="s">
        <v>131</v>
      </c>
      <c r="CE135" s="5">
        <v>0</v>
      </c>
      <c r="CF135" s="1" t="str">
        <f t="shared" si="332"/>
        <v>A</v>
      </c>
      <c r="CG135" s="81">
        <f t="shared" si="333"/>
        <v>1.7320508075688772</v>
      </c>
      <c r="CH135" s="78">
        <f t="shared" si="334"/>
        <v>0</v>
      </c>
      <c r="CI135" s="4"/>
      <c r="CJ135" s="72" t="s">
        <v>92</v>
      </c>
      <c r="CK135" s="181">
        <v>1E-3</v>
      </c>
      <c r="CL135" s="1" t="str">
        <f>P135</f>
        <v>A</v>
      </c>
      <c r="CM135" s="81">
        <f t="shared" si="335"/>
        <v>3.4641016151377544</v>
      </c>
      <c r="CN135" s="78">
        <f t="shared" si="336"/>
        <v>2.886751345948129E-4</v>
      </c>
      <c r="CO135" s="4"/>
      <c r="CP135" s="72" t="s">
        <v>70</v>
      </c>
      <c r="CQ135" s="6">
        <f t="shared" si="293"/>
        <v>1.0877919644084146E-15</v>
      </c>
      <c r="CR135" s="1" t="str">
        <f t="shared" si="294"/>
        <v>A</v>
      </c>
      <c r="CS135" s="81">
        <f t="shared" si="337"/>
        <v>1.7320508075688772</v>
      </c>
      <c r="CT135" s="86">
        <f t="shared" si="338"/>
        <v>6.2803698347350997E-16</v>
      </c>
      <c r="CU135" s="8"/>
      <c r="CV135" s="94">
        <f t="shared" si="339"/>
        <v>5.5075705472861017E-3</v>
      </c>
      <c r="CW135" s="5">
        <f t="shared" si="340"/>
        <v>201.10192001214236</v>
      </c>
      <c r="CX135" s="95">
        <f t="shared" si="341"/>
        <v>2</v>
      </c>
      <c r="CY135" s="105">
        <f t="shared" ref="CY135:CY136" si="344">(CV135*CX135)</f>
        <v>1.1015141094572203E-2</v>
      </c>
      <c r="CZ135" s="106" t="str">
        <f>P135</f>
        <v>A</v>
      </c>
      <c r="DA135" s="8"/>
      <c r="DB135" s="177">
        <v>3.8999999999999998E-3</v>
      </c>
      <c r="DC135" s="178" t="str">
        <f t="shared" ref="DC135:DC137" si="345">CZ135</f>
        <v>A</v>
      </c>
      <c r="DD135" s="220">
        <f t="shared" si="300"/>
        <v>1.1015141094572203E-2</v>
      </c>
      <c r="DE135" s="178" t="str">
        <f t="shared" ref="DE135:DE137" si="346">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152</v>
      </c>
      <c r="Q136" s="299"/>
      <c r="R136" s="300"/>
      <c r="S136" s="301" t="s">
        <v>96</v>
      </c>
      <c r="T136" s="301"/>
      <c r="U136" s="301"/>
      <c r="V136" s="301"/>
      <c r="W136" s="301"/>
      <c r="X136" s="291">
        <f t="shared" si="301"/>
        <v>9</v>
      </c>
      <c r="Y136" s="291"/>
      <c r="Z136" s="291"/>
      <c r="AA136" s="291"/>
      <c r="AB136" s="291"/>
      <c r="AC136" s="291">
        <f t="shared" si="302"/>
        <v>9</v>
      </c>
      <c r="AD136" s="291"/>
      <c r="AE136" s="291"/>
      <c r="AF136" s="291"/>
      <c r="AG136" s="291"/>
      <c r="AH136" s="291">
        <f t="shared" si="303"/>
        <v>9</v>
      </c>
      <c r="AI136" s="291"/>
      <c r="AJ136" s="291"/>
      <c r="AK136" s="291"/>
      <c r="AL136" s="291"/>
      <c r="AM136" s="303">
        <f t="shared" si="342"/>
        <v>9</v>
      </c>
      <c r="AN136" s="303"/>
      <c r="AO136" s="303"/>
      <c r="AP136" s="303"/>
      <c r="AQ136" s="303"/>
      <c r="AR136" s="303">
        <f t="shared" si="343"/>
        <v>0</v>
      </c>
      <c r="AS136" s="303"/>
      <c r="AT136" s="303"/>
      <c r="AU136" s="303"/>
      <c r="AV136" s="303"/>
      <c r="AW136" s="139"/>
      <c r="AX136" s="139"/>
      <c r="AY136" s="139"/>
      <c r="AZ136" s="172"/>
      <c r="BA136" s="173"/>
      <c r="BB136" s="303">
        <f t="shared" si="312"/>
        <v>0.11</v>
      </c>
      <c r="BC136" s="303"/>
      <c r="BD136" s="303"/>
      <c r="BE136" s="303"/>
      <c r="BF136" s="303"/>
      <c r="BG136" s="291">
        <f t="shared" si="283"/>
        <v>9.11</v>
      </c>
      <c r="BH136" s="291"/>
      <c r="BI136" s="291"/>
      <c r="BJ136" s="291"/>
      <c r="BK136" s="291"/>
      <c r="BL136" s="291">
        <f t="shared" si="284"/>
        <v>8.89</v>
      </c>
      <c r="BM136" s="291"/>
      <c r="BN136" s="291"/>
      <c r="BO136" s="291"/>
      <c r="BP136" s="291"/>
      <c r="BQ136" s="292" t="str">
        <f t="shared" si="285"/>
        <v>PASS</v>
      </c>
      <c r="BR136" s="292"/>
      <c r="BS136" s="292"/>
      <c r="BT136" s="292"/>
      <c r="BU136" s="292"/>
      <c r="BV136" s="173"/>
      <c r="BX136" s="72" t="s">
        <v>129</v>
      </c>
      <c r="BY136" s="226">
        <v>0.01</v>
      </c>
      <c r="BZ136" s="1" t="str">
        <f t="shared" si="286"/>
        <v>A</v>
      </c>
      <c r="CA136" s="180">
        <v>2</v>
      </c>
      <c r="CB136" s="78">
        <f t="shared" ref="CB136:CB137" si="347">BY136/CA136</f>
        <v>5.0000000000000001E-3</v>
      </c>
      <c r="CC136" s="4"/>
      <c r="CD136" s="72" t="s">
        <v>131</v>
      </c>
      <c r="CE136" s="5">
        <v>0</v>
      </c>
      <c r="CF136" s="1" t="str">
        <f t="shared" si="332"/>
        <v>A</v>
      </c>
      <c r="CG136" s="81">
        <f t="shared" si="333"/>
        <v>1.7320508075688772</v>
      </c>
      <c r="CH136" s="78">
        <f t="shared" si="334"/>
        <v>0</v>
      </c>
      <c r="CI136" s="4"/>
      <c r="CJ136" s="72" t="s">
        <v>92</v>
      </c>
      <c r="CK136" s="181">
        <v>0.01</v>
      </c>
      <c r="CL136" s="1" t="str">
        <f>P136</f>
        <v>A</v>
      </c>
      <c r="CM136" s="81">
        <f t="shared" si="335"/>
        <v>3.4641016151377544</v>
      </c>
      <c r="CN136" s="78">
        <f t="shared" si="336"/>
        <v>2.886751345948129E-3</v>
      </c>
      <c r="CO136" s="4"/>
      <c r="CP136" s="72" t="s">
        <v>70</v>
      </c>
      <c r="CQ136" s="6">
        <f t="shared" si="293"/>
        <v>0</v>
      </c>
      <c r="CR136" s="1" t="str">
        <f t="shared" si="294"/>
        <v>A</v>
      </c>
      <c r="CS136" s="81">
        <f t="shared" si="337"/>
        <v>1.7320508075688772</v>
      </c>
      <c r="CT136" s="86">
        <f t="shared" si="338"/>
        <v>0</v>
      </c>
      <c r="CU136" s="8"/>
      <c r="CV136" s="94">
        <f t="shared" si="339"/>
        <v>5.773502691896258E-3</v>
      </c>
      <c r="CW136" s="5">
        <f t="shared" si="340"/>
        <v>320</v>
      </c>
      <c r="CX136" s="95">
        <f t="shared" ref="CX136:CX137" si="348">ROUND(TINV(0.05,CW136),0)</f>
        <v>2</v>
      </c>
      <c r="CY136" s="105">
        <f t="shared" si="344"/>
        <v>1.1547005383792516E-2</v>
      </c>
      <c r="CZ136" s="106" t="str">
        <f t="shared" ref="CZ136:CZ137" si="349">P136</f>
        <v>A</v>
      </c>
      <c r="DA136" s="8"/>
      <c r="DB136" s="177">
        <v>2.8999999999999998E-3</v>
      </c>
      <c r="DC136" s="178" t="str">
        <f t="shared" si="345"/>
        <v>A</v>
      </c>
      <c r="DD136" s="220">
        <f t="shared" si="300"/>
        <v>1.1547005383792516E-2</v>
      </c>
      <c r="DE136" s="178" t="str">
        <f t="shared" si="346"/>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152</v>
      </c>
      <c r="Q137" s="299"/>
      <c r="R137" s="300"/>
      <c r="S137" s="301" t="s">
        <v>144</v>
      </c>
      <c r="T137" s="301"/>
      <c r="U137" s="301"/>
      <c r="V137" s="301"/>
      <c r="W137" s="301"/>
      <c r="X137" s="291">
        <f t="shared" si="301"/>
        <v>9</v>
      </c>
      <c r="Y137" s="291"/>
      <c r="Z137" s="291"/>
      <c r="AA137" s="291"/>
      <c r="AB137" s="291"/>
      <c r="AC137" s="291">
        <f t="shared" si="302"/>
        <v>9</v>
      </c>
      <c r="AD137" s="291"/>
      <c r="AE137" s="291"/>
      <c r="AF137" s="291"/>
      <c r="AG137" s="291"/>
      <c r="AH137" s="291">
        <f t="shared" si="303"/>
        <v>9</v>
      </c>
      <c r="AI137" s="291"/>
      <c r="AJ137" s="291"/>
      <c r="AK137" s="291"/>
      <c r="AL137" s="291"/>
      <c r="AM137" s="303">
        <f t="shared" ref="AM137" si="350">AVERAGE(X137:AL137)</f>
        <v>9</v>
      </c>
      <c r="AN137" s="303"/>
      <c r="AO137" s="303"/>
      <c r="AP137" s="303"/>
      <c r="AQ137" s="303"/>
      <c r="AR137" s="303">
        <f t="shared" ref="AR137" si="351">AM137-L137</f>
        <v>0</v>
      </c>
      <c r="AS137" s="303"/>
      <c r="AT137" s="303"/>
      <c r="AU137" s="303"/>
      <c r="AV137" s="303"/>
      <c r="AW137" s="139"/>
      <c r="AX137" s="139"/>
      <c r="AY137" s="139"/>
      <c r="AZ137" s="172"/>
      <c r="BA137" s="173"/>
      <c r="BB137" s="303">
        <f t="shared" si="312"/>
        <v>0.11</v>
      </c>
      <c r="BC137" s="303"/>
      <c r="BD137" s="303"/>
      <c r="BE137" s="303"/>
      <c r="BF137" s="303"/>
      <c r="BG137" s="291">
        <f t="shared" si="283"/>
        <v>9.11</v>
      </c>
      <c r="BH137" s="291"/>
      <c r="BI137" s="291"/>
      <c r="BJ137" s="291"/>
      <c r="BK137" s="291"/>
      <c r="BL137" s="291">
        <f t="shared" si="284"/>
        <v>8.89</v>
      </c>
      <c r="BM137" s="291"/>
      <c r="BN137" s="291"/>
      <c r="BO137" s="291"/>
      <c r="BP137" s="291"/>
      <c r="BQ137" s="292" t="str">
        <f t="shared" si="285"/>
        <v>PASS</v>
      </c>
      <c r="BR137" s="292"/>
      <c r="BS137" s="292"/>
      <c r="BT137" s="292"/>
      <c r="BU137" s="292"/>
      <c r="BV137" s="173"/>
      <c r="BX137" s="73" t="s">
        <v>129</v>
      </c>
      <c r="BY137" s="224">
        <v>1.0999999999999999E-2</v>
      </c>
      <c r="BZ137" s="74" t="str">
        <f t="shared" si="286"/>
        <v>A</v>
      </c>
      <c r="CA137" s="182">
        <v>2</v>
      </c>
      <c r="CB137" s="79">
        <f t="shared" si="347"/>
        <v>5.4999999999999997E-3</v>
      </c>
      <c r="CC137" s="4"/>
      <c r="CD137" s="73" t="s">
        <v>131</v>
      </c>
      <c r="CE137" s="89">
        <v>0</v>
      </c>
      <c r="CF137" s="74" t="str">
        <f t="shared" si="332"/>
        <v>A</v>
      </c>
      <c r="CG137" s="82">
        <f t="shared" si="333"/>
        <v>1.7320508075688772</v>
      </c>
      <c r="CH137" s="79">
        <f t="shared" si="334"/>
        <v>0</v>
      </c>
      <c r="CI137" s="4"/>
      <c r="CJ137" s="73" t="s">
        <v>92</v>
      </c>
      <c r="CK137" s="183">
        <v>0.01</v>
      </c>
      <c r="CL137" s="74" t="str">
        <f t="shared" ref="CL137" si="352">P137</f>
        <v>A</v>
      </c>
      <c r="CM137" s="82">
        <f t="shared" si="335"/>
        <v>3.4641016151377544</v>
      </c>
      <c r="CN137" s="79">
        <f t="shared" si="336"/>
        <v>2.886751345948129E-3</v>
      </c>
      <c r="CO137" s="4"/>
      <c r="CP137" s="73" t="s">
        <v>70</v>
      </c>
      <c r="CQ137" s="84">
        <f t="shared" si="293"/>
        <v>0</v>
      </c>
      <c r="CR137" s="74" t="str">
        <f t="shared" si="294"/>
        <v>A</v>
      </c>
      <c r="CS137" s="82">
        <f t="shared" si="337"/>
        <v>1.7320508075688772</v>
      </c>
      <c r="CT137" s="87">
        <f t="shared" si="338"/>
        <v>0</v>
      </c>
      <c r="CU137" s="8"/>
      <c r="CV137" s="96">
        <f t="shared" si="339"/>
        <v>6.2115483845280742E-3</v>
      </c>
      <c r="CW137" s="89">
        <f t="shared" si="340"/>
        <v>302.42013416191128</v>
      </c>
      <c r="CX137" s="97">
        <f t="shared" si="348"/>
        <v>2</v>
      </c>
      <c r="CY137" s="107">
        <f>(CV137*CX137)</f>
        <v>1.2423096769056148E-2</v>
      </c>
      <c r="CZ137" s="108" t="str">
        <f t="shared" si="349"/>
        <v>A</v>
      </c>
      <c r="DA137" s="8"/>
      <c r="DB137" s="177">
        <v>3.8999999999999998E-3</v>
      </c>
      <c r="DC137" s="178" t="str">
        <f t="shared" si="345"/>
        <v>A</v>
      </c>
      <c r="DD137" s="220">
        <f t="shared" si="300"/>
        <v>1.2423096769056148E-2</v>
      </c>
      <c r="DE137" s="178" t="str">
        <f t="shared" si="346"/>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158</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0</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155</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t="e">
        <f>DataSheet!AM55</f>
        <v>#DIV/0!</v>
      </c>
      <c r="C10" s="44" t="str">
        <f>DataSheet!P55</f>
        <v>mV</v>
      </c>
      <c r="D10" s="51" t="e">
        <f>ABS((B10*0.7%)+(3*DataSheet!CK55))</f>
        <v>#DIV/0!</v>
      </c>
      <c r="E10" s="35" t="str">
        <f>C10</f>
        <v>mV</v>
      </c>
      <c r="F10" s="38" t="e">
        <f>DataSheet!DD55</f>
        <v>#DIV/0!</v>
      </c>
      <c r="G10" s="35" t="str">
        <f>E10</f>
        <v>mV</v>
      </c>
      <c r="H10" s="39" t="e">
        <f>DataSheet!L55+D10</f>
        <v>#DIV/0!</v>
      </c>
      <c r="I10" s="35" t="str">
        <f>G10</f>
        <v>mV</v>
      </c>
      <c r="J10" s="39" t="e">
        <f>DataSheet!L55-D10</f>
        <v>#DIV/0!</v>
      </c>
      <c r="K10" s="35" t="str">
        <f>I10</f>
        <v>mV</v>
      </c>
      <c r="L10" s="473" t="e">
        <f>IF(AND(B10&lt;=H10,B10&gt;=J10),"PASSED","FAILED")</f>
        <v>#DIV/0!</v>
      </c>
      <c r="M10" s="473"/>
      <c r="N10" s="39" t="e">
        <f>F10+B10</f>
        <v>#DIV/0!</v>
      </c>
      <c r="O10" s="40" t="str">
        <f>G10</f>
        <v>mV</v>
      </c>
      <c r="P10" s="39" t="e">
        <f>H10</f>
        <v>#DIV/0!</v>
      </c>
      <c r="Q10" s="35" t="str">
        <f>O10</f>
        <v>mV</v>
      </c>
      <c r="R10" s="467" t="e">
        <f>IF(AND(N10&lt;=H10,N10&gt;=J10),"PASSED","FAILED")</f>
        <v>#DIV/0!</v>
      </c>
      <c r="S10" s="467"/>
      <c r="T10" s="39" t="e">
        <f>-F10+B10</f>
        <v>#DIV/0!</v>
      </c>
      <c r="U10" s="37" t="str">
        <f>O10</f>
        <v>mV</v>
      </c>
      <c r="V10" s="465" t="e">
        <f>IF(AND(T10&lt;=H10,T10&gt;=J10),"PASSED","FAILED")</f>
        <v>#DIV/0!</v>
      </c>
      <c r="W10" s="465"/>
      <c r="X10" s="464" t="e">
        <f t="shared" ref="X10:X26" si="0">IF(AND(L10="PASSED",R10="PASSED",V10="PASSED"),"PASSED",IF(L10="FAILED","FAILED","UNDETERMINED"))</f>
        <v>#DIV/0!</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0.60000000000000009</v>
      </c>
      <c r="C13" s="48" t="str">
        <f>DataSheet!P58</f>
        <v>V</v>
      </c>
      <c r="D13" s="34">
        <f>ABS((B13*0.7%)+(3*DataSheet!CK58))</f>
        <v>7.2000000000000007E-3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0.60057735408834911</v>
      </c>
      <c r="O13" s="35" t="str">
        <f t="shared" si="7"/>
        <v>V</v>
      </c>
      <c r="P13" s="36">
        <f>H13</f>
        <v>0.60720000000000007</v>
      </c>
      <c r="Q13" s="37" t="str">
        <f t="shared" si="9"/>
        <v>V</v>
      </c>
      <c r="R13" s="465" t="str">
        <f t="shared" si="10"/>
        <v>PASSED</v>
      </c>
      <c r="S13" s="465"/>
      <c r="T13" s="36">
        <f>-F13+B13</f>
        <v>0.59942264591165106</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0.60000000000000009</v>
      </c>
      <c r="C31" s="48" t="str">
        <f>DataSheet!P80</f>
        <v>V</v>
      </c>
      <c r="D31" s="36">
        <f>ABS((DataSheet!AM80*1.6%)+(9*DataSheet!CK80))</f>
        <v>1.8600000000000002E-2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0.60107769816429901</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0.59892230183570117</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0.60000000000000009</v>
      </c>
      <c r="C32" s="48" t="str">
        <f>DataSheet!P81</f>
        <v>V</v>
      </c>
      <c r="D32" s="36">
        <f>ABS((DataSheet!AM81*1.6%)+(9*DataSheet!CK81))</f>
        <v>1.8600000000000002E-2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0.60107769816429901</v>
      </c>
      <c r="O32" s="35" t="str">
        <f t="shared" si="25"/>
        <v>V</v>
      </c>
      <c r="P32" s="36">
        <f>H32</f>
        <v>0.61860000000000004</v>
      </c>
      <c r="Q32" s="37" t="str">
        <f t="shared" si="26"/>
        <v>V</v>
      </c>
      <c r="R32" s="465" t="str">
        <f t="shared" si="27"/>
        <v>PASSED</v>
      </c>
      <c r="S32" s="465"/>
      <c r="T32" s="36">
        <f>-DataSheet!DD81+B32</f>
        <v>0.59892230183570117</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2025-05-21T09:14:36Z</cp:lastPrinted>
  <dcterms:created xsi:type="dcterms:W3CDTF">2014-11-03T09:03:00Z</dcterms:created>
  <dcterms:modified xsi:type="dcterms:W3CDTF">2025-08-22T09:30:02Z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