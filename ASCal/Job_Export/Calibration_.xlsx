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5" rupBuild="14420"/>
  <x: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x:bookViews>
    <x:workbookView xWindow="0" yWindow="0" windowWidth="13365" windowHeight="7770" tabRatio="681" firstSheet="0" activeTab="1"/>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62913"/>
  <x:fileRecoveryPr autoRecover="0"/>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<x:sst xmlns:x="http://schemas.openxmlformats.org/spreadsheetml/2006/main">
  <x:si>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</x:si>
  <x:si>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</x:si>
  <x:si>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</x:si>
  <x:si>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</x:si>
  <x:si>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</x:si>
  <x:si>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</x:si>
  <x:si>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</x:si>
  <x:si>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</x:si>
  <x:si>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</x:si>
  <x:si>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</x:si>
  <x:si>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</x:si>
  <x:si>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</x:si>
  <x:si>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</x:si>
  <x:si>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</x:si>
  <x:si>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</x:si>
  <x:si>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</x:si>
  <x:si>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</x:si>
  <x:si>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</x:si>
  <x:si>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</x:si>
  <x:si>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</x:si>
  <x:si>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</x:si>
  <x:si>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</x:si>
  <x:si>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</x:si>
  <x:si>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</x:si>
  <x:si>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</x:si>
  <x:si>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</x:si>
  <x:si>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</x:si>
  <x:si>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</x:si>
  <x:si>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</x:si>
  <x:si>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</x:si>
  <x:si>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</x:si>
  <x:si>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</x:si>
  <x:si>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</x:si>
  <x:si>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</x:si>
  <x:si>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</x:si>
  <x:si>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</x:si>
  <x:si>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</x:si>
  <x:si>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</x:si>
  <x:si>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</x:si>
  <x:si>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</x:si>
  <x:si>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</x:si>
  <x:si>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</x:si>
  <x:si>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</x:si>
  <x:si>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</x:si>
  <x:si>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</x:si>
  <x:si>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</x:si>
  <x:si>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</x:si>
  <x:si>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</x:si>
  <x:si>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</x:si>
  <x:si>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</x:si>
  <x:si>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</x:si>
  <x:si>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</x:si>
  <x:si>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</x:si>
  <x:si>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</x:si>
  <x:si>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</x:si>
  <x:si>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</x:si>
  <x:si>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</x:si>
  <x:si>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</x:si>
  <x:si>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</x:si>
  <x:si>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</x:si>
  <x:si>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</x:si>
  <x:si>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</x:si>
  <x:si>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</x:si>
  <x:si>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</x:si>
  <x:si>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</x:si>
  <x:si>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</x:si>
  <x:si>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Electrical Calibration Area</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</x:si>
  <x:si>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</x:si>
  <x:si>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</x:si>
  <x:si>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</x:si>
  <x:si>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</x:si>
  <x:si>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</x:si>
  <x:si>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</x:si>
  <x:si>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</x:si>
  <x:si>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</x:si>
  <x:si>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</x:si>
  <x:si>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</x:si>
  <x:si>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</x:si>
  <x:si>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</x:si>
  <x:si>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</x:si>
  <x:si>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Busted fused both high and low current</x:t>
  </x:si>
  <x:si>
    <x:t>Adjustment</x:t>
  </x:si>
  <x:si>
    <x: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</x:si>
  <x:si>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</x:si>
  <x:si>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</x:si>
  <x:si>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</x:si>
  <x:si>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</x:si>
  <x:si>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</x:si>
  <x:si>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</x:si>
  <x:si>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</x:si>
  <x:si>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</x:si>
  <x:si>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</x:si>
  <x:si>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</x:si>
  <x:si>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</x:si>
  <x:si>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</x:si>
  <x:si>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</x:si>
  <x:si>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</x:si>
  <x:si>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</x:si>
  <x:si>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</x:si>
  <x:si>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</x:si>
  <x:si>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</x:si>
  <x:si>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</x:si>
  <x:si>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</x:si>
  <x:si>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</x:si>
  <x:si>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</x:si>
  <x:si>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</x:si>
  <x:si>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</x:si>
  <x:si>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</x:si>
  <x:si>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</x:si>
  <x:si>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</x:si>
  <x:si>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</x:si>
  <x:si>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</x:si>
  <x:si>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</x:si>
  <x:si>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</x:si>
  <x:si>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</x:si>
  <x:si>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</x:si>
  <x:si>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</x:si>
  <x:si>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</x:si>
  <x:si>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</x:si>
  <x:si>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</x:si>
  <x:si>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</x:si>
  <x:si>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</x:si>
  <x:si>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</x:si>
  <x:si>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</x:si>
  <x:si>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</x:si>
  <x:si>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</x:si>
  <x:si>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</x:si>
  <x:si>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</x:si>
  <x:si>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</x:si>
  <x:si>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</x:si>
  <x:si>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</x:si>
  <x:si>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</x:si>
  <x:si>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</x:si>
  <x:si>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</x:si>
  <x:si>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</x:si>
  <x:si>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</x:si>
  <x:si>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</x:si>
  <x:si>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</x:si>
  <x:si>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</x:si>
  <x:si>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</x:si>
  <x:si>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</x:si>
  <x:si>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</x:si>
  <x:si>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</x:si>
  <x:si>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</x:si>
  <x:si>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</x:si>
  <x:si>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</x:si>
  <x:si>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</x:si>
  <x:si>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</x:si>
  <x:si>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</x:si>
  <x:si>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</x:si>
  <x:si>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</x:si>
  <x:si>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</x:si>
  <x:si>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</x:si>
  <x:si>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</x:si>
  <x:si>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</x:si>
  <x:si>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</x:si>
  <x:si>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</x:si>
  <x:si>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</x:si>
  <x:si>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</x:si>
  <x:si>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</x:si>
  <x:si>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</x:si>
  <x:si>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</x:si>
  <x:si>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</x:si>
  <x:si>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
  </x:si>
  <x:si>
    <x:t>05/08/2025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</x:si>
</x:sst>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2" fontId="16" fillId="0" borderId="31"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2" fontId="11" fillId="0" borderId="31" xfId="0" applyNumberFormat="1" applyFont="1" applyBorder="1" applyAlignment="1">
      <x:alignment horizontal="center" vertical="center"/>
    </x:xf>
    <x:xf numFmtId="0" fontId="11" fillId="0" borderId="31" xfId="0" applyFont="1" applyBorder="1" applyAlignment="1">
      <x:alignment horizontal="center" vertical="center"/>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0" fontId="10" fillId="0" borderId="31" xfId="0" applyFont="1" applyBorder="1" applyAlignment="1">
      <x:alignment horizontal="center" vertical="center"/>
    </x:xf>
    <x:xf numFmtId="0" fontId="10" fillId="0" borderId="31" xfId="0" applyFont="1" applyBorder="1" applyAlignment="1">
      <x:alignment horizontal="center" vertical="center" wrapText="1"/>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x:alignment horizontal="left" vertical="center"/>
    </x:xf>
    <x:xf numFmtId="0" fontId="11" fillId="0" borderId="0" xfId="0" applyFont="1" applyAlignment="1">
      <x:alignment horizontal="left" vertical="top" wrapText="1"/>
    </x:xf>
    <x:xf numFmtId="0" fontId="11" fillId="0" borderId="0" xfId="0" applyFont="1" applyAlignment="1" applyProtection="1">
      <x:alignment horizontal="left" vertical="top" wrapText="1"/>
      <x:protection locked="0"/>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167" fontId="11" fillId="0" borderId="0" xfId="0" applyNumberFormat="1" applyFont="1" applyAlignment="1">
      <x:alignment horizontal="left"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6" fillId="5" borderId="8" xfId="0" applyFont="1" applyFill="1" applyBorder="1" applyAlignment="1">
      <x:alignment horizontal="center" vertical="center"/>
    </x:xf>
    <x:xf numFmtId="166" fontId="7" fillId="5" borderId="16" xfId="0" quotePrefix="1"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166"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164" fontId="7" fillId="5" borderId="3" xfId="0" applyNumberFormat="1" applyFont="1" applyFill="1" applyBorder="1" applyAlignment="1">
      <x:alignment horizontal="center" vertic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51" xfId="0" quotePrefix="1" applyFont="1" applyFill="1" applyBorder="1" applyAlignment="1">
      <x:alignment horizontal="center"/>
    </x:xf>
    <x:xf numFmtId="0" fontId="7" fillId="5" borderId="2" xfId="0" applyFont="1" applyFill="1" applyBorder="1" applyAlignment="1">
      <x:alignment horizontal="center"/>
    </x:xf>
    <x:xf numFmtId="0" fontId="7" fillId="5" borderId="20" xfId="0" quotePrefix="1" applyFont="1" applyFill="1" applyBorder="1" applyAlignment="1">
      <x:alignment horizontal="center"/>
    </x:xf>
    <x:xf numFmtId="0" fontId="7" fillId="5" borderId="26" xfId="0"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7" fillId="5" borderId="0" xfId="0" applyFont="1" applyFill="1" applyAlignment="1">
      <x:alignment horizontal="center"/>
    </x:xf>
    <x:xf numFmtId="0" fontId="8" fillId="5" borderId="20" xfId="0" applyFont="1" applyFill="1" applyBorder="1" applyAlignment="1">
      <x:alignment horizontal="center"/>
    </x:xf>
    <x:xf numFmtId="0" fontId="8" fillId="5" borderId="2"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166" fontId="7" fillId="5" borderId="16" xfId="0" applyNumberFormat="1" applyFont="1" applyFill="1" applyBorder="1" applyAlignment="1">
      <x:alignment horizontal="center" vertical="center"/>
    </x:xf>
    <x:xf numFmtId="0" fontId="7" fillId="0" borderId="8" xfId="0" applyFont="1" applyBorder="1" applyAlignment="1">
      <x:alignment horizontal="center" vertical="center"/>
    </x:xf>
    <x:xf numFmtId="0" fontId="6" fillId="5" borderId="13" xfId="0" applyFont="1" applyFill="1" applyBorder="1" applyAlignment="1">
      <x:alignment horizontal="center"/>
    </x:xf>
    <x:xf numFmtId="166" fontId="7" fillId="5" borderId="8" xfId="0" quotePrefix="1" applyNumberFormat="1" applyFont="1" applyFill="1" applyBorder="1" applyAlignment="1">
      <x:alignment horizontal="center" vertical="center"/>
    </x:xf>
    <x:xf numFmtId="2" fontId="7" fillId="5" borderId="16" xfId="0" quotePrefix="1"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6" fillId="0" borderId="93" xfId="1" applyFont="1" applyBorder="1" applyAlignment="1">
      <x:alignment horizontal="center" vertical="center"/>
    </x:xf>
    <x:xf numFmtId="2" fontId="7" fillId="5" borderId="16"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0" fontId="7" fillId="5" borderId="4" xfId="0" applyFont="1" applyFill="1" applyBorder="1" applyAlignment="1">
      <x:alignment horizontal="left"/>
    </x:xf>
    <x:xf numFmtId="0" fontId="7" fillId="5" borderId="3" xfId="0" applyFont="1" applyFill="1" applyBorder="1" applyAlignment="1">
      <x:alignment horizontal="left"/>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20" fillId="2" borderId="0" xfId="0" applyFont="1" applyFill="1" applyAlignment="1">
      <x:alignment horizontal="center"/>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20" fillId="0" borderId="31" xfId="0" applyFont="1" applyBorder="1" applyAlignment="1">
      <x:alignment horizontal="center" vertical="center" wrapText="1"/>
    </x:xf>
    <x:xf numFmtId="0" fontId="20" fillId="0" borderId="32" xfId="0" applyFont="1" applyBorder="1" applyAlignment="1">
      <x:alignment horizontal="center" vertical="center" wrapText="1"/>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0" fontId="20" fillId="0" borderId="33" xfId="0" applyFont="1" applyBorder="1" applyAlignment="1">
      <x:alignment horizontal="center" vertical="center" wrapText="1"/>
    </x:xf>
    <x:xf numFmtId="0" fontId="23" fillId="0" borderId="31" xfId="0" applyFont="1" applyBorder="1" applyAlignment="1">
      <x:alignment horizontal="center" vertical="center" wrapText="1"/>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0" fontId="5" fillId="5" borderId="31" xfId="0" applyFont="1" applyFill="1" applyBorder="1" applyAlignment="1">
      <x:alignment horizontal="center" vertical="center"/>
    </x:xf>
    <x:xf numFmtId="166" fontId="4" fillId="5" borderId="31" xfId="0" applyNumberFormat="1" applyFont="1" applyFill="1" applyBorder="1" applyAlignment="1">
      <x:alignment horizontal="center" vertic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2" fontId="4" fillId="5" borderId="31" xfId="0" applyNumberFormat="1" applyFont="1" applyFill="1" applyBorder="1" applyAlignment="1">
      <x:alignment horizontal="center" vertical="center"/>
    </x:xf>
    <x:xf numFmtId="164"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169" fontId="7" fillId="4" borderId="31" xfId="3" applyNumberFormat="1" applyFont="1" applyBorder="1" applyAlignment="1">
      <x:alignment horizontal="center" vertical="center"/>
    </x:xf>
    <x:xf numFmtId="164"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4" fillId="0" borderId="31" xfId="0" applyFont="1" applyBorder="1" applyAlignment="1">
      <x:alignment horizontal="center"/>
    </x:xf>
    <x:xf numFmtId="0" fontId="5" fillId="0" borderId="31" xfId="0" applyFont="1" applyBorder="1" applyAlignment="1">
      <x:alignment horizontal="center" vertic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cellStyle name="Normal 3" xfId="2"/>
    <x:cellStyle name="Normal 4" xfId="4"/>
    <x:cellStyle name="Normal 5" xfId="5"/>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40625" defaultRowHeight="13.5"/>
  <x:cols>
    <x:col min="1" max="1" width="3.855469" style="484" customWidth="1"/>
    <x:col min="2" max="2" width="5.710938" style="20" customWidth="1"/>
    <x:col min="3" max="11" width="3.855469" style="20" customWidth="1"/>
    <x:col min="12" max="12" width="4" style="20" customWidth="1"/>
    <x:col min="13" max="13" width="4.140625" style="20" customWidth="1"/>
    <x:col min="14" max="26" width="3.855469" style="20" customWidth="1"/>
    <x:col min="27" max="27" width="3" style="20" customWidth="1"/>
    <x:col min="28" max="48" width="3.855469" style="20" hidden="1" customWidth="1"/>
    <x:col min="49" max="16384" width="9.140625" style="20" hidden="1" customWidth="1"/>
  </x:cols>
  <x:sheetData>
    <x:row r="1" spans="1:48" ht="12.75" customHeight="1"/>
    <x:row r="5" spans="1:48" ht="21" customHeight="1">
      <x:c r="C5" s="250" t="s">
        <x:v>0</x:v>
      </x:c>
      <x:c r="D5" s="250"/>
      <x:c r="E5" s="250"/>
      <x:c r="F5" s="250"/>
      <x:c r="G5" s="250"/>
      <x:c r="H5" s="250"/>
      <x:c r="I5" s="250"/>
      <x:c r="J5" s="250"/>
      <x:c r="K5" s="250"/>
      <x:c r="L5" s="250"/>
      <x:c r="M5" s="250"/>
      <x:c r="N5" s="250"/>
      <x:c r="O5" s="250"/>
      <x:c r="P5" s="250"/>
      <x:c r="Q5" s="250"/>
      <x:c r="R5" s="250"/>
      <x:c r="S5" s="250"/>
      <x:c r="T5" s="250"/>
      <x:c r="U5" s="250"/>
      <x:c r="V5" s="250"/>
      <x:c r="W5" s="250"/>
      <x:c r="X5" s="250"/>
      <x:c r="Y5" s="250"/>
      <x:c r="Z5" s="250"/>
    </x:row>
    <x:row r="6" spans="1:48" ht="12.75" customHeight="1">
      <x:c r="C6" s="250"/>
      <x:c r="D6" s="250"/>
      <x:c r="E6" s="250"/>
      <x:c r="F6" s="250"/>
      <x:c r="G6" s="250"/>
      <x:c r="H6" s="250"/>
      <x:c r="I6" s="250"/>
      <x:c r="J6" s="250"/>
      <x:c r="K6" s="250"/>
      <x:c r="L6" s="250"/>
      <x:c r="M6" s="250"/>
      <x:c r="N6" s="250"/>
      <x:c r="O6" s="250"/>
      <x:c r="P6" s="250"/>
      <x:c r="Q6" s="250"/>
      <x:c r="R6" s="250"/>
      <x:c r="S6" s="250"/>
      <x:c r="T6" s="250"/>
      <x:c r="U6" s="250"/>
      <x:c r="V6" s="250"/>
      <x:c r="W6" s="250"/>
      <x:c r="X6" s="250"/>
      <x:c r="Y6" s="250"/>
      <x:c r="Z6" s="250"/>
    </x:row>
    <x:row r="7" spans="1:48" ht="12.75" customHeight="1">
      <x:c r="R7" s="285" t="s">
        <x:v>1</x:v>
      </x:c>
      <x:c r="S7" s="285"/>
      <x:c r="T7" s="285"/>
      <x:c r="U7" s="285"/>
      <x:c r="V7" s="286">
        <x:f>CONCATENATE("25-",DataSheet!L7,DataSheet!N7,DataSheet!O7,DataSheet!AN7," ","Rev.00")</x:f>
      </x:c>
      <x:c r="W7" s="286"/>
      <x:c r="X7" s="286"/>
      <x:c r="Y7" s="286"/>
      <x:c r="Z7" s="286"/>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5" customHeight="1">
      <x:c r="C11" s="21"/>
      <x:c r="D11" s="289">
        <x:f>DataSheet!H27</x:f>
      </x:c>
      <x:c r="E11" s="289"/>
      <x:c r="F11" s="289"/>
      <x:c r="G11" s="289"/>
      <x:c r="H11" s="289"/>
      <x:c r="I11" s="289"/>
      <x:c r="J11" s="289"/>
      <x:c r="K11" s="289"/>
      <x:c r="L11" s="289"/>
      <x:c r="M11" s="289"/>
      <x:c r="N11" s="25"/>
      <x:c r="O11" s="25"/>
      <x:c r="P11" s="289">
        <x:f>IF(DataSheet!AE25="x",DataSheet!AG29,DataSheet!AG29)</x:f>
      </x:c>
      <x:c r="Q11" s="289"/>
      <x:c r="R11" s="289"/>
      <x:c r="S11" s="289"/>
      <x:c r="T11" s="289"/>
      <x:c r="U11" s="289"/>
      <x:c r="V11" s="289"/>
      <x:c r="W11" s="289"/>
      <x:c r="X11" s="289"/>
      <x:c r="Y11" s="289"/>
      <x:c r="Z11" s="25"/>
    </x:row>
    <x:row r="12" spans="1:48" ht="12.95" customHeight="1">
      <x:c r="D12" s="289"/>
      <x:c r="E12" s="289"/>
      <x:c r="F12" s="289"/>
      <x:c r="G12" s="289"/>
      <x:c r="H12" s="289"/>
      <x:c r="I12" s="289"/>
      <x:c r="J12" s="289"/>
      <x:c r="K12" s="289"/>
      <x:c r="L12" s="289"/>
      <x:c r="M12" s="289"/>
      <x:c r="N12" s="25"/>
      <x:c r="O12" s="24"/>
      <x:c r="P12" s="289"/>
      <x:c r="Q12" s="289"/>
      <x:c r="R12" s="289"/>
      <x:c r="S12" s="289"/>
      <x:c r="T12" s="289"/>
      <x:c r="U12" s="289"/>
      <x:c r="V12" s="289"/>
      <x:c r="W12" s="289"/>
      <x:c r="X12" s="289"/>
      <x:c r="Y12" s="289"/>
      <x:c r="Z12" s="25"/>
    </x:row>
    <x:row r="13" spans="1:48" ht="12.95" customHeight="1">
      <x:c r="D13" s="289"/>
      <x:c r="E13" s="289"/>
      <x:c r="F13" s="289"/>
      <x:c r="G13" s="289"/>
      <x:c r="H13" s="289"/>
      <x:c r="I13" s="289"/>
      <x:c r="J13" s="289"/>
      <x:c r="K13" s="289"/>
      <x:c r="L13" s="289"/>
      <x:c r="M13" s="289"/>
      <x:c r="N13" s="25"/>
      <x:c r="O13" s="24"/>
      <x:c r="P13" s="55"/>
      <x:c r="Q13" s="55"/>
      <x:c r="R13" s="55"/>
      <x:c r="S13" s="55"/>
      <x:c r="T13" s="55"/>
      <x:c r="U13" s="55"/>
      <x:c r="V13" s="55"/>
      <x:c r="W13" s="55"/>
      <x:c r="X13" s="55"/>
      <x:c r="Y13" s="55"/>
      <x:c r="Z13" s="31"/>
    </x:row>
    <x:row r="14" spans="1:48" ht="12.95" customHeight="1"/>
    <x:row r="15" spans="1:48" ht="15" customHeight="1">
      <x:c r="C15" s="21" t="s">
        <x:v>4</x:v>
      </x:c>
      <x:c r="H15" s="252">
        <x:f>DataSheet!K11</x:f>
      </x:c>
      <x:c r="I15" s="252"/>
      <x:c r="J15" s="252"/>
      <x:c r="K15" s="252"/>
      <x:c r="L15" s="252"/>
      <x:c r="M15" s="252"/>
      <x:c r="N15" s="26"/>
      <x:c r="O15" s="21" t="s">
        <x:v>5</x:v>
      </x:c>
      <x:c r="T15" s="20">
        <x:f>DataSheet!K9</x:f>
      </x:c>
    </x:row>
    <x:row r="16" spans="1:48" ht="15" customHeight="1">
      <x:c r="C16" s="21" t="s">
        <x:v>6</x:v>
      </x:c>
      <x:c r="H16" s="252">
        <x:f>DataSheet!K13</x:f>
      </x:c>
      <x:c r="I16" s="252"/>
      <x:c r="J16" s="252"/>
      <x:c r="K16" s="252"/>
      <x:c r="L16" s="252"/>
      <x:c r="M16" s="252"/>
      <x:c r="N16" s="26"/>
      <x:c r="O16" s="21" t="s">
        <x:v>7</x:v>
      </x:c>
      <x:c r="T16" s="252">
        <x:f>DataSheet!AL13</x:f>
      </x:c>
      <x:c r="U16" s="252"/>
      <x:c r="V16" s="252"/>
      <x:c r="W16" s="252"/>
      <x:c r="X16" s="252"/>
      <x:c r="Y16" s="252"/>
      <x:c r="Z16" s="252"/>
    </x:row>
    <x:row r="17" spans="1:48" ht="15" customHeight="1">
      <x:c r="C17" s="27" t="s">
        <x:v>8</x:v>
      </x:c>
      <x:c r="H17" s="287">
        <x:f>DataSheet!K15</x:f>
      </x:c>
      <x:c r="I17" s="252"/>
      <x:c r="J17" s="252"/>
      <x:c r="K17" s="252"/>
      <x:c r="L17" s="252"/>
      <x:c r="M17" s="252"/>
      <x:c r="N17" s="26"/>
      <x:c r="O17" s="21" t="s">
        <x:v>9</x:v>
      </x:c>
      <x:c r="T17" s="252">
        <x:f>DataSheet!AL17</x:f>
      </x:c>
      <x:c r="U17" s="252"/>
      <x:c r="V17" s="252"/>
      <x:c r="W17" s="252"/>
      <x:c r="X17" s="252"/>
      <x:c r="Y17" s="252"/>
      <x:c r="Z17" s="252"/>
    </x:row>
    <x:row r="18" spans="1:48" ht="15" customHeight="1">
      <x:c r="C18" s="21" t="s">
        <x:v>10</x:v>
      </x:c>
      <x:c r="H18" s="288">
        <x:f>DataSheet!AL11</x:f>
      </x:c>
      <x:c r="I18" s="288"/>
      <x:c r="J18" s="288"/>
      <x:c r="K18" s="288"/>
      <x:c r="L18" s="288"/>
      <x:c r="M18" s="288"/>
      <x:c r="N18" s="26"/>
      <x:c r="O18" s="21" t="s">
        <x:v>11</x:v>
      </x:c>
      <x:c r="T18" s="252">
        <x:f>DataSheet!L7</x:f>
      </x:c>
      <x:c r="U18" s="252"/>
      <x:c r="V18" s="252"/>
      <x:c r="W18" s="252"/>
      <x:c r="X18" s="252"/>
      <x:c r="Y18" s="252"/>
      <x:c r="Z18" s="252"/>
    </x:row>
    <x:row r="19" spans="1:48" ht="15" customHeight="1">
      <x:c r="C19" s="21" t="s">
        <x:v>12</x:v>
      </x:c>
      <x:c r="H19" s="290">
        <x:f>DataSheet!AL9</x:f>
      </x:c>
      <x:c r="I19" s="290"/>
      <x:c r="J19" s="290"/>
      <x:c r="K19" s="290"/>
      <x:c r="L19" s="290"/>
      <x:c r="M19" s="290"/>
      <x:c r="N19" s="290"/>
      <x:c r="O19" s="21" t="s">
        <x:v>13</x:v>
      </x:c>
      <x:c r="T19" s="252">
        <x:f>DataSheet!AL15</x:f>
      </x:c>
      <x:c r="U19" s="252"/>
      <x:c r="V19" s="252"/>
      <x:c r="W19" s="252"/>
      <x:c r="X19" s="252"/>
      <x:c r="Y19" s="252"/>
      <x:c r="Z19" s="252"/>
    </x:row>
    <x:row r="20" spans="1:48" ht="15" customHeight="1">
      <x:c r="C20" s="21" t="s">
        <x:v>14</x:v>
      </x:c>
      <x:c r="H20" s="252">
        <x:f>IF(DataSheet!AE25="x","23 °C ± 5 °C",CONCATENATE(ROUND(AVERAGE(DataSheet!K41:L42),1)," ","°C"))</x:f>
      </x:c>
      <x:c r="I20" s="252"/>
      <x:c r="J20" s="252"/>
      <x:c r="K20" s="252"/>
      <x:c r="L20" s="252"/>
      <x:c r="M20" s="252"/>
      <x:c r="N20" s="26"/>
      <x:c r="O20" s="21" t="s">
        <x:v>15</x:v>
      </x:c>
      <x:c r="T20" s="252">
        <x:f>IF(DataSheet!AE25="x","55 %rh ± 15 %rh",CONCATENATE(ROUND(AVERAGE(DataSheet!T41:U42),1)," ","%rh"))</x:f>
      </x:c>
      <x:c r="U20" s="252"/>
      <x:c r="V20" s="252"/>
      <x:c r="W20" s="252"/>
      <x:c r="X20" s="252"/>
      <x:c r="Y20" s="252"/>
      <x:c r="Z20" s="252"/>
    </x:row>
    <x:row r="21" spans="1:48" ht="12.95" customHeight="1"/>
    <x:row r="22" spans="1:48" ht="12.95"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5"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5"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5"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54" t="s">
        <x:v>21</x:v>
      </x:c>
      <x:c r="D35" s="254"/>
      <x:c r="E35" s="254"/>
      <x:c r="F35" s="254"/>
      <x:c r="G35" s="254"/>
      <x:c r="H35" s="254"/>
      <x:c r="I35" s="254"/>
      <x:c r="J35" s="254"/>
      <x:c r="K35" s="254"/>
      <x:c r="L35" s="254"/>
      <x:c r="M35" s="254"/>
      <x:c r="N35" s="254"/>
      <x:c r="O35" s="254"/>
      <x:c r="P35" s="254"/>
      <x:c r="Q35" s="254"/>
      <x:c r="R35" s="254"/>
      <x:c r="S35" s="254"/>
      <x:c r="T35" s="254"/>
      <x:c r="U35" s="254"/>
      <x:c r="V35" s="254"/>
      <x:c r="W35" s="254"/>
      <x:c r="X35" s="254"/>
      <x:c r="Y35" s="254"/>
      <x:c r="Z35" s="254"/>
    </x:row>
    <x:row r="36" spans="1:48" ht="15" customHeight="1" s="54" customFormat="1">
      <x:c r="A36" s="487"/>
      <x:c r="C36" s="254"/>
      <x:c r="D36" s="254"/>
      <x:c r="E36" s="254"/>
      <x:c r="F36" s="254"/>
      <x:c r="G36" s="254"/>
      <x:c r="H36" s="254"/>
      <x:c r="I36" s="254"/>
      <x:c r="J36" s="254"/>
      <x:c r="K36" s="254"/>
      <x:c r="L36" s="254"/>
      <x:c r="M36" s="254"/>
      <x:c r="N36" s="254"/>
      <x:c r="O36" s="254"/>
      <x:c r="P36" s="254"/>
      <x:c r="Q36" s="254"/>
      <x:c r="R36" s="254"/>
      <x:c r="S36" s="254"/>
      <x:c r="T36" s="254"/>
      <x:c r="U36" s="254"/>
      <x:c r="V36" s="254"/>
      <x:c r="W36" s="254"/>
      <x:c r="X36" s="254"/>
      <x:c r="Y36" s="254"/>
      <x:c r="Z36" s="254"/>
    </x:row>
    <x:row r="37" spans="1:48" ht="9.95" customHeight="1"/>
    <x:row r="38" spans="1:48" ht="15" customHeight="1" s="26" customFormat="1">
      <x:c r="A38" s="485"/>
      <x:c r="C38" s="19" t="s">
        <x:v>22</x:v>
      </x:c>
    </x:row>
    <x:row r="39" spans="1:48" ht="9.95" customHeight="1"/>
    <x:row r="40" spans="1:48" ht="15" customHeight="1" s="26" customFormat="1">
      <x:c r="A40" s="485"/>
      <x:c r="D40" s="248" t="s">
        <x:v>23</x:v>
      </x:c>
      <x:c r="E40" s="248"/>
      <x:c r="F40" s="248"/>
      <x:c r="G40" s="248"/>
      <x:c r="H40" s="248"/>
      <x:c r="I40" s="248"/>
      <x:c r="J40" s="248" t="s">
        <x:v>24</x:v>
      </x:c>
      <x:c r="K40" s="248"/>
      <x:c r="L40" s="248"/>
      <x:c r="M40" s="248"/>
      <x:c r="N40" s="248"/>
      <x:c r="O40" s="248"/>
      <x:c r="P40" s="248" t="s">
        <x:v>25</x:v>
      </x:c>
      <x:c r="Q40" s="248"/>
      <x:c r="R40" s="248"/>
      <x:c r="S40" s="248"/>
      <x:c r="T40" s="248"/>
      <x:c r="U40" s="248"/>
      <x:c r="V40" s="248" t="s">
        <x:v>26</x:v>
      </x:c>
      <x:c r="W40" s="248"/>
      <x:c r="X40" s="248"/>
      <x:c r="Y40" s="248"/>
      <x:c r="Z40" s="248"/>
    </x:row>
    <x:row r="41" spans="1:48" ht="15" customHeight="1" s="26" customFormat="1">
      <x:c r="A41" s="485"/>
      <x:c r="D41" s="248"/>
      <x:c r="E41" s="248"/>
      <x:c r="F41" s="248"/>
      <x:c r="G41" s="248"/>
      <x:c r="H41" s="248"/>
      <x:c r="I41" s="248"/>
      <x:c r="J41" s="248"/>
      <x:c r="K41" s="248"/>
      <x:c r="L41" s="248"/>
      <x:c r="M41" s="248"/>
      <x:c r="N41" s="248"/>
      <x:c r="O41" s="248"/>
      <x:c r="P41" s="248"/>
      <x:c r="Q41" s="248"/>
      <x:c r="R41" s="248"/>
      <x:c r="S41" s="248"/>
      <x:c r="T41" s="248"/>
      <x:c r="U41" s="248"/>
      <x:c r="V41" s="248"/>
      <x:c r="W41" s="248"/>
      <x:c r="X41" s="248"/>
      <x:c r="Y41" s="248"/>
      <x:c r="Z41" s="248"/>
    </x:row>
    <x:row r="42" spans="1:48" ht="15" customHeight="1" s="26" customFormat="1">
      <x:c r="A42" s="485"/>
      <x:c r="D42" s="244">
        <x:f>DataSheet!B33</x:f>
      </x:c>
      <x:c r="E42" s="244"/>
      <x:c r="F42" s="244"/>
      <x:c r="G42" s="244"/>
      <x:c r="H42" s="244"/>
      <x:c r="I42" s="244"/>
      <x:c r="J42" s="244">
        <x:f>DataSheet!Q33</x:f>
      </x:c>
      <x:c r="K42" s="244"/>
      <x:c r="L42" s="244"/>
      <x:c r="M42" s="244"/>
      <x:c r="N42" s="244"/>
      <x:c r="O42" s="244"/>
      <x:c r="P42" s="283">
        <x:f>DataSheet!AB33</x:f>
      </x:c>
      <x:c r="Q42" s="283"/>
      <x:c r="R42" s="283"/>
      <x:c r="S42" s="283"/>
      <x:c r="T42" s="283"/>
      <x:c r="U42" s="283"/>
      <x:c r="V42" s="284">
        <x:f>DataSheet!AO33</x:f>
      </x:c>
      <x:c r="W42" s="284"/>
      <x:c r="X42" s="284"/>
      <x:c r="Y42" s="284"/>
      <x:c r="Z42" s="284"/>
    </x:row>
    <x:row r="43" spans="1:48" ht="9.95" customHeight="1"/>
    <x:row r="44" spans="1:48" ht="15" customHeight="1" s="26" customFormat="1">
      <x:c r="A44" s="485"/>
      <x:c r="C44" s="19" t="s">
        <x:v>27</x:v>
      </x:c>
    </x:row>
    <x:row r="45" spans="1:48" ht="15" customHeight="1" s="26" customFormat="1">
      <x:c r="A45" s="485"/>
      <x:c r="C45" s="251" t="s">
        <x:v>28</x:v>
      </x:c>
      <x:c r="D45" s="251"/>
      <x:c r="E45" s="251"/>
      <x:c r="F45" s="251"/>
      <x:c r="G45" s="251"/>
      <x:c r="H45" s="251"/>
      <x:c r="I45" s="251"/>
      <x:c r="J45" s="251"/>
      <x:c r="K45" s="251"/>
      <x:c r="L45" s="251"/>
      <x:c r="M45" s="251"/>
      <x:c r="N45" s="251"/>
      <x:c r="O45" s="251"/>
      <x:c r="P45" s="251"/>
      <x:c r="Q45" s="251"/>
      <x:c r="R45" s="251"/>
      <x:c r="S45" s="251"/>
      <x:c r="T45" s="251"/>
      <x:c r="U45" s="251"/>
      <x:c r="V45" s="251"/>
      <x:c r="W45" s="251"/>
      <x:c r="X45" s="251"/>
      <x:c r="Y45" s="251"/>
      <x:c r="Z45" s="251"/>
      <x:c r="AA45" s="59"/>
    </x:row>
    <x:row r="46" spans="1:48" ht="15" customHeight="1" s="26" customFormat="1">
      <x:c r="A46" s="485"/>
      <x:c r="C46" s="251"/>
      <x:c r="D46" s="251"/>
      <x:c r="E46" s="251"/>
      <x:c r="F46" s="251"/>
      <x:c r="G46" s="251"/>
      <x:c r="H46" s="251"/>
      <x:c r="I46" s="251"/>
      <x:c r="J46" s="251"/>
      <x:c r="K46" s="251"/>
      <x:c r="L46" s="251"/>
      <x:c r="M46" s="251"/>
      <x:c r="N46" s="251"/>
      <x:c r="O46" s="251"/>
      <x:c r="P46" s="251"/>
      <x:c r="Q46" s="251"/>
      <x:c r="R46" s="251"/>
      <x:c r="S46" s="251"/>
      <x:c r="T46" s="251"/>
      <x:c r="U46" s="251"/>
      <x:c r="V46" s="251"/>
      <x:c r="W46" s="251"/>
      <x:c r="X46" s="251"/>
      <x:c r="Y46" s="251"/>
      <x:c r="Z46" s="251"/>
      <x:c r="AA46" s="59"/>
    </x:row>
    <x:row r="47" spans="1:48" ht="15" customHeight="1" s="26" customFormat="1">
      <x:c r="A47" s="485"/>
      <x:c r="C47" s="251"/>
      <x:c r="D47" s="251"/>
      <x:c r="E47" s="251"/>
      <x:c r="F47" s="251"/>
      <x:c r="G47" s="251"/>
      <x:c r="H47" s="251"/>
      <x:c r="I47" s="251"/>
      <x:c r="J47" s="251"/>
      <x:c r="K47" s="251"/>
      <x:c r="L47" s="251"/>
      <x:c r="M47" s="251"/>
      <x:c r="N47" s="251"/>
      <x:c r="O47" s="251"/>
      <x:c r="P47" s="251"/>
      <x:c r="Q47" s="251"/>
      <x:c r="R47" s="251"/>
      <x:c r="S47" s="251"/>
      <x:c r="T47" s="251"/>
      <x:c r="U47" s="251"/>
      <x:c r="V47" s="251"/>
      <x:c r="W47" s="251"/>
      <x:c r="X47" s="251"/>
      <x:c r="Y47" s="251"/>
      <x:c r="Z47" s="251"/>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81">
        <x:f>DataSheet!B140</x:f>
      </x:c>
      <x:c r="F54" s="281"/>
      <x:c r="G54" s="281"/>
      <x:c r="H54" s="281"/>
      <x:c r="I54" s="281"/>
      <x:c r="J54" s="281"/>
      <x:c r="K54" s="281"/>
      <x:c r="S54" s="281">
        <x:f>DataSheet!B143</x:f>
      </x:c>
      <x:c r="T54" s="281"/>
      <x:c r="U54" s="281"/>
      <x:c r="V54" s="281"/>
      <x:c r="W54" s="281"/>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82"/>
      <x:c r="H57" s="282"/>
      <x:c r="I57" s="282"/>
      <x:c r="J57" s="282"/>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8" t="s">
        <x:v>37</x:v>
      </x:c>
      <x:c r="F68" s="248"/>
      <x:c r="G68" s="248"/>
      <x:c r="H68" s="248"/>
      <x:c r="I68" s="248" t="s">
        <x:v>38</x:v>
      </x:c>
      <x:c r="J68" s="248"/>
      <x:c r="K68" s="248"/>
      <x:c r="L68" s="248"/>
      <x:c r="M68" s="249" t="s">
        <x:v>39</x:v>
      </x:c>
      <x:c r="N68" s="248"/>
      <x:c r="O68" s="248"/>
      <x:c r="P68" s="248"/>
      <x:c r="Q68" s="248" t="s">
        <x:v>40</x:v>
      </x:c>
      <x:c r="R68" s="248"/>
      <x:c r="S68" s="248"/>
      <x:c r="T68" s="248"/>
      <x:c r="U68" s="249" t="s">
        <x:v>41</x:v>
      </x:c>
      <x:c r="V68" s="248"/>
      <x:c r="W68" s="248"/>
      <x:c r="X68" s="248"/>
    </x:row>
    <x:row r="69" spans="1:48" ht="15" customHeight="1">
      <x:c r="C69" s="19"/>
      <x:c r="E69" s="248"/>
      <x:c r="F69" s="248"/>
      <x:c r="G69" s="248"/>
      <x:c r="H69" s="248"/>
      <x:c r="I69" s="248"/>
      <x:c r="J69" s="248"/>
      <x:c r="K69" s="248"/>
      <x:c r="L69" s="248"/>
      <x:c r="M69" s="248"/>
      <x:c r="N69" s="248"/>
      <x:c r="O69" s="248"/>
      <x:c r="P69" s="248"/>
      <x:c r="Q69" s="248"/>
      <x:c r="R69" s="248"/>
      <x:c r="S69" s="248"/>
      <x:c r="T69" s="248"/>
      <x:c r="U69" s="248"/>
      <x:c r="V69" s="248"/>
      <x:c r="W69" s="248"/>
      <x:c r="X69" s="248"/>
    </x:row>
    <x:row r="70" spans="1:48" ht="15" customHeight="1">
      <x:c r="C70" s="19"/>
      <x:c r="E70" s="244">
        <x:f>DataSheet!F55</x:f>
      </x:c>
      <x:c r="F70" s="244"/>
      <x:c r="G70" s="244"/>
      <x:c r="H70" s="244"/>
      <x:c r="I70" s="244">
        <x:f>CONCATENATE(DataSheet!L55," ",DataSheet!P55)</x:f>
      </x:c>
      <x:c r="J70" s="244"/>
      <x:c r="K70" s="244"/>
      <x:c r="L70" s="244"/>
      <x:c r="M70" s="244">
        <x:f>CONCATENATE(TEXT(DataSheet!AM55,"0.0")," ",DataSheet!P55)</x:f>
      </x:c>
      <x:c r="N70" s="244"/>
      <x:c r="O70" s="244"/>
      <x:c r="P70" s="244"/>
      <x:c r="Q70" s="244">
        <x:f>CONCATENATE(TEXT(DataSheet!AR55,"0.0")," ",DataSheet!P55)</x:f>
      </x:c>
      <x:c r="R70" s="244"/>
      <x:c r="S70" s="244"/>
      <x:c r="T70" s="244"/>
      <x:c r="U70" s="244">
        <x:f>CONCATENATE(," ",TEXT(DataSheet!DD55,"0.000")," ",DataSheet!CZ55)</x:f>
      </x:c>
      <x:c r="V70" s="244"/>
      <x:c r="W70" s="244"/>
      <x:c r="X70" s="244"/>
    </x:row>
    <x:row r="71" spans="1:48" ht="15" customHeight="1">
      <x:c r="C71" s="19"/>
      <x:c r="E71" s="244"/>
      <x:c r="F71" s="244"/>
      <x:c r="G71" s="244"/>
      <x:c r="H71" s="244"/>
      <x:c r="I71" s="244">
        <x:f>CONCATENATE(DataSheet!L56," ",DataSheet!P56)</x:f>
      </x:c>
      <x:c r="J71" s="244"/>
      <x:c r="K71" s="244"/>
      <x:c r="L71" s="244"/>
      <x:c r="M71" s="244">
        <x:f>CONCATENATE(TEXT(DataSheet!AM56,"0.0")," ",DataSheet!P56)</x:f>
      </x:c>
      <x:c r="N71" s="244"/>
      <x:c r="O71" s="244"/>
      <x:c r="P71" s="244"/>
      <x:c r="Q71" s="244">
        <x:f>CONCATENATE(TEXT(DataSheet!AR56,"0.0")," ",DataSheet!P56)</x:f>
      </x:c>
      <x:c r="R71" s="244"/>
      <x:c r="S71" s="244"/>
      <x:c r="T71" s="244"/>
      <x:c r="U71" s="244">
        <x:f>CONCATENATE(," ",TEXT(DataSheet!DD56,"0.000")," ",DataSheet!CZ56)</x:f>
      </x:c>
      <x:c r="V71" s="244"/>
      <x:c r="W71" s="244"/>
      <x:c r="X71" s="244"/>
    </x:row>
    <x:row r="72" spans="1:48" ht="15" customHeight="1">
      <x:c r="C72" s="19"/>
      <x:c r="E72" s="244"/>
      <x:c r="F72" s="244"/>
      <x:c r="G72" s="244"/>
      <x:c r="H72" s="244"/>
      <x:c r="I72" s="244">
        <x:f>CONCATENATE(DataSheet!L57," ",DataSheet!P57)</x:f>
      </x:c>
      <x:c r="J72" s="244"/>
      <x:c r="K72" s="244"/>
      <x:c r="L72" s="244"/>
      <x:c r="M72" s="244">
        <x:f>CONCATENATE(TEXT(DataSheet!AM57,"0.0")," ",DataSheet!P57)</x:f>
      </x:c>
      <x:c r="N72" s="244"/>
      <x:c r="O72" s="244"/>
      <x:c r="P72" s="244"/>
      <x:c r="Q72" s="244">
        <x:f>CONCATENATE(TEXT(DataSheet!AR57,"0.0")," ",DataSheet!P57)</x:f>
      </x:c>
      <x:c r="R72" s="244"/>
      <x:c r="S72" s="244"/>
      <x:c r="T72" s="244"/>
      <x:c r="U72" s="244">
        <x:f>CONCATENATE(," ",TEXT(DataSheet!DD57,"0.000")," ",DataSheet!CZ57)</x:f>
      </x:c>
      <x:c r="V72" s="244"/>
      <x:c r="W72" s="244"/>
      <x:c r="X72" s="244"/>
    </x:row>
    <x:row r="73" spans="1:48" ht="15" customHeight="1">
      <x:c r="C73" s="19"/>
      <x:c r="E73" s="244">
        <x:f>DataSheet!F58</x:f>
      </x:c>
      <x:c r="F73" s="244"/>
      <x:c r="G73" s="244"/>
      <x:c r="H73" s="244"/>
      <x:c r="I73" s="244">
        <x:f>CONCATENATE(DataSheet!L58," ",DataSheet!P58)</x:f>
      </x:c>
      <x:c r="J73" s="244"/>
      <x:c r="K73" s="244"/>
      <x:c r="L73" s="244"/>
      <x:c r="M73" s="244">
        <x:f>CONCATENATE(TEXT(DataSheet!AM58,"0.000")," ",DataSheet!P58)</x:f>
      </x:c>
      <x:c r="N73" s="244"/>
      <x:c r="O73" s="244"/>
      <x:c r="P73" s="244"/>
      <x:c r="Q73" s="244">
        <x:f>CONCATENATE(TEXT(DataSheet!AR58,"0.000")," ",DataSheet!P58)</x:f>
      </x:c>
      <x:c r="R73" s="244"/>
      <x:c r="S73" s="244"/>
      <x:c r="T73" s="244"/>
      <x:c r="U73" s="244">
        <x:f>CONCATENATE(" ",TEXT(DataSheet!DD58,"0.000 00")," ",DataSheet!CZ58)</x:f>
      </x:c>
      <x:c r="V73" s="244"/>
      <x:c r="W73" s="244"/>
      <x:c r="X73" s="244"/>
    </x:row>
    <x:row r="74" spans="1:48" ht="15" customHeight="1">
      <x:c r="C74" s="19"/>
      <x:c r="E74" s="244"/>
      <x:c r="F74" s="244"/>
      <x:c r="G74" s="244"/>
      <x:c r="H74" s="244"/>
      <x:c r="I74" s="244">
        <x:f>CONCATENATE(DataSheet!L59," ",DataSheet!P59)</x:f>
      </x:c>
      <x:c r="J74" s="244"/>
      <x:c r="K74" s="244"/>
      <x:c r="L74" s="244"/>
      <x:c r="M74" s="244">
        <x:f>CONCATENATE(TEXT(DataSheet!AM59,"0.000")," ",DataSheet!P59)</x:f>
      </x:c>
      <x:c r="N74" s="244"/>
      <x:c r="O74" s="244"/>
      <x:c r="P74" s="244"/>
      <x:c r="Q74" s="244">
        <x:f>CONCATENATE(TEXT(DataSheet!AR59,"0.000")," ",DataSheet!P59)</x:f>
      </x:c>
      <x:c r="R74" s="244"/>
      <x:c r="S74" s="244"/>
      <x:c r="T74" s="244"/>
      <x:c r="U74" s="244">
        <x:f>CONCATENATE(" ",TEXT(DataSheet!DD59,"0.000 00")," ",DataSheet!CZ59)</x:f>
      </x:c>
      <x:c r="V74" s="244"/>
      <x:c r="W74" s="244"/>
      <x:c r="X74" s="244"/>
    </x:row>
    <x:row r="75" spans="1:48" ht="15" customHeight="1">
      <x:c r="C75" s="19"/>
      <x:c r="E75" s="244"/>
      <x:c r="F75" s="244"/>
      <x:c r="G75" s="244"/>
      <x:c r="H75" s="244"/>
      <x:c r="I75" s="244">
        <x:f>CONCATENATE(DataSheet!L60," ",DataSheet!P60)</x:f>
      </x:c>
      <x:c r="J75" s="244"/>
      <x:c r="K75" s="244"/>
      <x:c r="L75" s="244"/>
      <x:c r="M75" s="244">
        <x:f>CONCATENATE(TEXT(DataSheet!AM60,"0.000")," ",DataSheet!P60)</x:f>
      </x:c>
      <x:c r="N75" s="244"/>
      <x:c r="O75" s="244"/>
      <x:c r="P75" s="244"/>
      <x:c r="Q75" s="244">
        <x:f>CONCATENATE(TEXT(DataSheet!AR60,"0.000")," ",DataSheet!P60)</x:f>
      </x:c>
      <x:c r="R75" s="244"/>
      <x:c r="S75" s="244"/>
      <x:c r="T75" s="244"/>
      <x:c r="U75" s="244">
        <x:f>CONCATENATE(" ",TEXT(DataSheet!DD60,"0.000 00")," ",DataSheet!CZ60)</x:f>
      </x:c>
      <x:c r="V75" s="244"/>
      <x:c r="W75" s="244"/>
      <x:c r="X75" s="244"/>
    </x:row>
    <x:row r="76" spans="1:48" ht="15" customHeight="1">
      <x:c r="C76" s="19"/>
      <x:c r="E76" s="244">
        <x:f>DataSheet!F61</x:f>
      </x:c>
      <x:c r="F76" s="244"/>
      <x:c r="G76" s="244"/>
      <x:c r="H76" s="244"/>
      <x:c r="I76" s="244">
        <x:f>CONCATENATE(DataSheet!L61," ",DataSheet!P61)</x:f>
      </x:c>
      <x:c r="J76" s="244"/>
      <x:c r="K76" s="244"/>
      <x:c r="L76" s="244"/>
      <x:c r="M76" s="244">
        <x:f>CONCATENATE(TEXT(DataSheet!AM61,"0.00")," ",DataSheet!P61)</x:f>
      </x:c>
      <x:c r="N76" s="244"/>
      <x:c r="O76" s="244"/>
      <x:c r="P76" s="244"/>
      <x:c r="Q76" s="244">
        <x:f>CONCATENATE(TEXT(DataSheet!AR61,"0.00")," ",DataSheet!P61)</x:f>
      </x:c>
      <x:c r="R76" s="244"/>
      <x:c r="S76" s="244"/>
      <x:c r="T76" s="244"/>
      <x:c r="U76" s="244">
        <x:f>CONCATENATE(" ",TEXT(DataSheet!DD61,"0.000 0")," ",DataSheet!CZ61)</x:f>
      </x:c>
      <x:c r="V76" s="244"/>
      <x:c r="W76" s="244"/>
      <x:c r="X76" s="244"/>
    </x:row>
    <x:row r="77" spans="1:48" ht="15" customHeight="1">
      <x:c r="C77" s="19"/>
      <x:c r="E77" s="244"/>
      <x:c r="F77" s="244"/>
      <x:c r="G77" s="244"/>
      <x:c r="H77" s="244"/>
      <x:c r="I77" s="244">
        <x:f>CONCATENATE(DataSheet!L62," ",DataSheet!P62)</x:f>
      </x:c>
      <x:c r="J77" s="244"/>
      <x:c r="K77" s="244"/>
      <x:c r="L77" s="244"/>
      <x:c r="M77" s="244">
        <x:f>CONCATENATE(TEXT(DataSheet!AM62,"0.00")," ",DataSheet!P62)</x:f>
      </x:c>
      <x:c r="N77" s="244"/>
      <x:c r="O77" s="244"/>
      <x:c r="P77" s="244"/>
      <x:c r="Q77" s="244">
        <x:f>CONCATENATE(TEXT(DataSheet!AR62,"0.00")," ",DataSheet!P62)</x:f>
      </x:c>
      <x:c r="R77" s="244"/>
      <x:c r="S77" s="244"/>
      <x:c r="T77" s="244"/>
      <x:c r="U77" s="244">
        <x:f>CONCATENATE(" ",TEXT(DataSheet!DD62,"0.000 0")," ",DataSheet!CZ62)</x:f>
      </x:c>
      <x:c r="V77" s="244"/>
      <x:c r="W77" s="244"/>
      <x:c r="X77" s="244"/>
    </x:row>
    <x:row r="78" spans="1:48" ht="15" customHeight="1">
      <x:c r="C78" s="19"/>
      <x:c r="E78" s="244"/>
      <x:c r="F78" s="244"/>
      <x:c r="G78" s="244"/>
      <x:c r="H78" s="244"/>
      <x:c r="I78" s="244">
        <x:f>CONCATENATE(DataSheet!L63," ",DataSheet!P63)</x:f>
      </x:c>
      <x:c r="J78" s="244"/>
      <x:c r="K78" s="244"/>
      <x:c r="L78" s="244"/>
      <x:c r="M78" s="244">
        <x:f>CONCATENATE(TEXT(DataSheet!AM63,"0.00")," ",DataSheet!P63)</x:f>
      </x:c>
      <x:c r="N78" s="244"/>
      <x:c r="O78" s="244"/>
      <x:c r="P78" s="244"/>
      <x:c r="Q78" s="244">
        <x:f>CONCATENATE(TEXT(DataSheet!AR63,"0.00")," ",DataSheet!P63)</x:f>
      </x:c>
      <x:c r="R78" s="244"/>
      <x:c r="S78" s="244"/>
      <x:c r="T78" s="244"/>
      <x:c r="U78" s="244">
        <x:f>CONCATENATE(" ",TEXT(DataSheet!DD63,"0.000 0")," ",DataSheet!CZ63)</x:f>
      </x:c>
      <x:c r="V78" s="244"/>
      <x:c r="W78" s="244"/>
      <x:c r="X78" s="244"/>
    </x:row>
    <x:row r="79" spans="1:48" ht="15" customHeight="1">
      <x:c r="C79" s="19"/>
      <x:c r="E79" s="244"/>
      <x:c r="F79" s="244"/>
      <x:c r="G79" s="244"/>
      <x:c r="H79" s="244"/>
      <x:c r="I79" s="244">
        <x:f>CONCATENATE(DataSheet!L64," ",DataSheet!P64)</x:f>
      </x:c>
      <x:c r="J79" s="244"/>
      <x:c r="K79" s="244"/>
      <x:c r="L79" s="244"/>
      <x:c r="M79" s="244">
        <x:f>CONCATENATE(TEXT(DataSheet!AM64,"0.00")," ",DataSheet!P64)</x:f>
      </x:c>
      <x:c r="N79" s="244"/>
      <x:c r="O79" s="244"/>
      <x:c r="P79" s="244"/>
      <x:c r="Q79" s="244">
        <x:f>CONCATENATE(TEXT(DataSheet!AR64,"0.00")," ",DataSheet!P64)</x:f>
      </x:c>
      <x:c r="R79" s="244"/>
      <x:c r="S79" s="244"/>
      <x:c r="T79" s="244"/>
      <x:c r="U79" s="244">
        <x:f>CONCATENATE(" ",TEXT(DataSheet!DD64,"0.000 0")," ",DataSheet!CZ64)</x:f>
      </x:c>
      <x:c r="V79" s="244"/>
      <x:c r="W79" s="244"/>
      <x:c r="X79" s="244"/>
    </x:row>
    <x:row r="80" spans="1:48" ht="15" customHeight="1">
      <x:c r="C80" s="19"/>
      <x:c r="E80" s="244"/>
      <x:c r="F80" s="244"/>
      <x:c r="G80" s="244"/>
      <x:c r="H80" s="244"/>
      <x:c r="I80" s="244">
        <x:f>CONCATENATE(DataSheet!L65," ",DataSheet!P65)</x:f>
      </x:c>
      <x:c r="J80" s="244"/>
      <x:c r="K80" s="244"/>
      <x:c r="L80" s="244"/>
      <x:c r="M80" s="244">
        <x:f>CONCATENATE(TEXT(DataSheet!AM65,"0.00")," ",DataSheet!P65)</x:f>
      </x:c>
      <x:c r="N80" s="244"/>
      <x:c r="O80" s="244"/>
      <x:c r="P80" s="244"/>
      <x:c r="Q80" s="244">
        <x:f>CONCATENATE(TEXT(DataSheet!AR65,"0.00")," ",DataSheet!P65)</x:f>
      </x:c>
      <x:c r="R80" s="244"/>
      <x:c r="S80" s="244"/>
      <x:c r="T80" s="244"/>
      <x:c r="U80" s="244">
        <x:f>CONCATENATE(" ",TEXT(DataSheet!DD65,"0.000 0")," ",DataSheet!CZ65)</x:f>
      </x:c>
      <x:c r="V80" s="244"/>
      <x:c r="W80" s="244"/>
      <x:c r="X80" s="244"/>
    </x:row>
    <x:row r="81" spans="1:48" ht="15" customHeight="1">
      <x:c r="C81" s="19"/>
      <x:c r="E81" s="244">
        <x:f>DataSheet!F66</x:f>
      </x:c>
      <x:c r="F81" s="244"/>
      <x:c r="G81" s="244"/>
      <x:c r="H81" s="244"/>
      <x:c r="I81" s="244">
        <x:f>CONCATENATE(DataSheet!L66," ",DataSheet!P66)</x:f>
      </x:c>
      <x:c r="J81" s="244"/>
      <x:c r="K81" s="244"/>
      <x:c r="L81" s="244"/>
      <x:c r="M81" s="244">
        <x:f>CONCATENATE(TEXT(DataSheet!AM66,"0.0")," ",DataSheet!P66)</x:f>
      </x:c>
      <x:c r="N81" s="244"/>
      <x:c r="O81" s="244"/>
      <x:c r="P81" s="244"/>
      <x:c r="Q81" s="244">
        <x:f>CONCATENATE(TEXT(DataSheet!AR66,"0.0")," ",DataSheet!P66)</x:f>
      </x:c>
      <x:c r="R81" s="244"/>
      <x:c r="S81" s="244"/>
      <x:c r="T81" s="244"/>
      <x:c r="U81" s="245">
        <x:f>CONCATENATE(" ",TEXT(DataSheet!DD66,"0.000")," ",DataSheet!CZ66)</x:f>
      </x:c>
      <x:c r="V81" s="246"/>
      <x:c r="W81" s="246"/>
      <x:c r="X81" s="247"/>
    </x:row>
    <x:row r="82" spans="1:48" ht="15" customHeight="1">
      <x:c r="C82" s="19"/>
      <x:c r="E82" s="244"/>
      <x:c r="F82" s="244"/>
      <x:c r="G82" s="244"/>
      <x:c r="H82" s="244"/>
      <x:c r="I82" s="244">
        <x:f>CONCATENATE(DataSheet!L67," ",DataSheet!P67)</x:f>
      </x:c>
      <x:c r="J82" s="244"/>
      <x:c r="K82" s="244"/>
      <x:c r="L82" s="244"/>
      <x:c r="M82" s="244">
        <x:f>CONCATENATE(TEXT(DataSheet!AM67,"0.0")," ",DataSheet!P67)</x:f>
      </x:c>
      <x:c r="N82" s="244"/>
      <x:c r="O82" s="244"/>
      <x:c r="P82" s="244"/>
      <x:c r="Q82" s="244">
        <x:f>CONCATENATE(TEXT(DataSheet!AR67,"0.0")," ",DataSheet!P67)</x:f>
      </x:c>
      <x:c r="R82" s="244"/>
      <x:c r="S82" s="244"/>
      <x:c r="T82" s="244"/>
      <x:c r="U82" s="245">
        <x:f>CONCATENATE(" ",TEXT(DataSheet!DD67,"0.000")," ",DataSheet!CZ67)</x:f>
      </x:c>
      <x:c r="V82" s="246"/>
      <x:c r="W82" s="246"/>
      <x:c r="X82" s="247"/>
    </x:row>
    <x:row r="83" spans="1:48" ht="15" customHeight="1">
      <x:c r="C83" s="19"/>
      <x:c r="E83" s="244"/>
      <x:c r="F83" s="244"/>
      <x:c r="G83" s="244"/>
      <x:c r="H83" s="244"/>
      <x:c r="I83" s="244">
        <x:f>CONCATENATE(DataSheet!L68," ",DataSheet!P68)</x:f>
      </x:c>
      <x:c r="J83" s="244"/>
      <x:c r="K83" s="244"/>
      <x:c r="L83" s="244"/>
      <x:c r="M83" s="244">
        <x:f>CONCATENATE(TEXT(DataSheet!AM68,"0.0")," ",DataSheet!P68)</x:f>
      </x:c>
      <x:c r="N83" s="244"/>
      <x:c r="O83" s="244"/>
      <x:c r="P83" s="244"/>
      <x:c r="Q83" s="244">
        <x:f>CONCATENATE(TEXT(DataSheet!AR68,"0.0")," ",DataSheet!P68)</x:f>
      </x:c>
      <x:c r="R83" s="244"/>
      <x:c r="S83" s="244"/>
      <x:c r="T83" s="244"/>
      <x:c r="U83" s="245">
        <x:f>CONCATENATE(" ",TEXT(DataSheet!DD68,"0.000")," ",DataSheet!CZ68)</x:f>
      </x:c>
      <x:c r="V83" s="246"/>
      <x:c r="W83" s="246"/>
      <x:c r="X83" s="247"/>
    </x:row>
    <x:row r="84" spans="1:48" ht="15" customHeight="1">
      <x:c r="C84" s="19"/>
      <x:c r="E84" s="244">
        <x:f>DataSheet!F69</x:f>
      </x:c>
      <x:c r="F84" s="244"/>
      <x:c r="G84" s="244"/>
      <x:c r="H84" s="244"/>
      <x:c r="I84" s="244">
        <x:f>CONCATENATE(DataSheet!L69," ",DataSheet!P69)</x:f>
      </x:c>
      <x:c r="J84" s="244"/>
      <x:c r="K84" s="244"/>
      <x:c r="L84" s="244"/>
      <x:c r="M84" s="244">
        <x:f>CONCATENATE(TEXT(DataSheet!AM69,"0")," ",DataSheet!P69)</x:f>
      </x:c>
      <x:c r="N84" s="244"/>
      <x:c r="O84" s="244"/>
      <x:c r="P84" s="244"/>
      <x:c r="Q84" s="244">
        <x:f>CONCATENATE(TEXT(DataSheet!AR69,"0")," ",DataSheet!P69)</x:f>
      </x:c>
      <x:c r="R84" s="244"/>
      <x:c r="S84" s="244"/>
      <x:c r="T84" s="244"/>
      <x:c r="U84" s="245">
        <x:f>CONCATENATE(" ",TEXT(DataSheet!DD69,"0.00")," ",DataSheet!CZ69)</x:f>
      </x:c>
      <x:c r="V84" s="246"/>
      <x:c r="W84" s="246"/>
      <x:c r="X84" s="247"/>
    </x:row>
    <x:row r="85" spans="1:48" ht="15" customHeight="1">
      <x:c r="C85" s="19"/>
      <x:c r="E85" s="244"/>
      <x:c r="F85" s="244"/>
      <x:c r="G85" s="244"/>
      <x:c r="H85" s="244"/>
      <x:c r="I85" s="244">
        <x:f>CONCATENATE(DataSheet!L70," ",DataSheet!P70)</x:f>
      </x:c>
      <x:c r="J85" s="244"/>
      <x:c r="K85" s="244"/>
      <x:c r="L85" s="244"/>
      <x:c r="M85" s="244">
        <x:f>CONCATENATE(TEXT(DataSheet!AM70,"0")," ",DataSheet!P70)</x:f>
      </x:c>
      <x:c r="N85" s="244"/>
      <x:c r="O85" s="244"/>
      <x:c r="P85" s="244"/>
      <x:c r="Q85" s="244">
        <x:f>CONCATENATE(TEXT(DataSheet!AR70,"0")," ",DataSheet!P70)</x:f>
      </x:c>
      <x:c r="R85" s="244"/>
      <x:c r="S85" s="244"/>
      <x:c r="T85" s="244"/>
      <x:c r="U85" s="245">
        <x:f>CONCATENATE(" ",TEXT(DataSheet!DD70,"0.00")," ",DataSheet!CZ70)</x:f>
      </x:c>
      <x:c r="V85" s="246"/>
      <x:c r="W85" s="246"/>
      <x:c r="X85" s="247"/>
    </x:row>
    <x:row r="86" spans="1:48" ht="15" customHeight="1">
      <x:c r="C86" s="19"/>
      <x:c r="E86" s="244"/>
      <x:c r="F86" s="244"/>
      <x:c r="G86" s="244"/>
      <x:c r="H86" s="244"/>
      <x:c r="I86" s="244">
        <x:f>CONCATENATE(DataSheet!L71," ",DataSheet!P71)</x:f>
      </x:c>
      <x:c r="J86" s="244"/>
      <x:c r="K86" s="244"/>
      <x:c r="L86" s="244"/>
      <x:c r="M86" s="244">
        <x:f>CONCATENATE(TEXT(DataSheet!AM71,"0")," ",DataSheet!P71)</x:f>
      </x:c>
      <x:c r="N86" s="244"/>
      <x:c r="O86" s="244"/>
      <x:c r="P86" s="244"/>
      <x:c r="Q86" s="244">
        <x:f>CONCATENATE(TEXT(DataSheet!AR71,"0")," ",DataSheet!P71)</x:f>
      </x:c>
      <x:c r="R86" s="244"/>
      <x:c r="S86" s="244"/>
      <x:c r="T86" s="244"/>
      <x:c r="U86" s="245">
        <x:f>CONCATENATE(" ",TEXT(DataSheet!DD71,"0.00")," ",DataSheet!CZ71)</x:f>
      </x:c>
      <x:c r="V86" s="246"/>
      <x:c r="W86" s="246"/>
      <x:c r="X86" s="247"/>
    </x:row>
    <x:row r="87" spans="1:48" ht="15" customHeight="1">
      <x:c r="C87" s="19"/>
      <x:c r="G87" s="21"/>
    </x:row>
    <x:row r="88" spans="1:48" ht="15" customHeight="1">
      <x:c r="E88" s="21">
        <x:f>DataSheet!F99</x:f>
      </x:c>
      <x:c r="I88" s="21"/>
    </x:row>
    <x:row r="89" spans="1:48" ht="15" customHeight="1">
      <x:c r="E89" s="248" t="s">
        <x:v>37</x:v>
      </x:c>
      <x:c r="F89" s="248"/>
      <x:c r="G89" s="248"/>
      <x:c r="H89" s="248"/>
      <x:c r="I89" s="248" t="s">
        <x:v>38</x:v>
      </x:c>
      <x:c r="J89" s="248"/>
      <x:c r="K89" s="248"/>
      <x:c r="L89" s="248"/>
      <x:c r="M89" s="249" t="s">
        <x:v>39</x:v>
      </x:c>
      <x:c r="N89" s="248"/>
      <x:c r="O89" s="248"/>
      <x:c r="P89" s="248"/>
      <x:c r="Q89" s="248" t="s">
        <x:v>40</x:v>
      </x:c>
      <x:c r="R89" s="248"/>
      <x:c r="S89" s="248"/>
      <x:c r="T89" s="248"/>
      <x:c r="U89" s="249" t="s">
        <x:v>41</x:v>
      </x:c>
      <x:c r="V89" s="248"/>
      <x:c r="W89" s="248"/>
      <x:c r="X89" s="248"/>
    </x:row>
    <x:row r="90" spans="1:48" ht="15" customHeight="1">
      <x:c r="E90" s="248"/>
      <x:c r="F90" s="248"/>
      <x:c r="G90" s="248"/>
      <x:c r="H90" s="248"/>
      <x:c r="I90" s="248"/>
      <x:c r="J90" s="248"/>
      <x:c r="K90" s="248"/>
      <x:c r="L90" s="248"/>
      <x:c r="M90" s="248"/>
      <x:c r="N90" s="248"/>
      <x:c r="O90" s="248"/>
      <x:c r="P90" s="248"/>
      <x:c r="Q90" s="248"/>
      <x:c r="R90" s="248"/>
      <x:c r="S90" s="248"/>
      <x:c r="T90" s="248"/>
      <x:c r="U90" s="248"/>
      <x:c r="V90" s="248"/>
      <x:c r="W90" s="248"/>
      <x:c r="X90" s="248"/>
    </x:row>
    <x:row r="91" spans="1:48" ht="15" customHeight="1">
      <x:c r="E91" s="237">
        <x:f>DataSheet!F102</x:f>
      </x:c>
      <x:c r="F91" s="238"/>
      <x:c r="G91" s="238"/>
      <x:c r="H91" s="239"/>
      <x:c r="I91" s="243">
        <x:f>CONCATENATE(DataSheet!L102," ",DataSheet!P102)</x:f>
      </x:c>
      <x:c r="J91" s="243"/>
      <x:c r="K91" s="243"/>
      <x:c r="L91" s="243"/>
      <x:c r="M91" s="243">
        <x:f>CONCATENATE(TEXT(DataSheet!AM102,"0.0")," ",DataSheet!P102)</x:f>
      </x:c>
      <x:c r="N91" s="243"/>
      <x:c r="O91" s="243"/>
      <x:c r="P91" s="243"/>
      <x:c r="Q91" s="243">
        <x:f>CONCATENATE(TEXT(DataSheet!AR102,"0.0")," ",DataSheet!P102)</x:f>
      </x:c>
      <x:c r="R91" s="243"/>
      <x:c r="S91" s="243"/>
      <x:c r="T91" s="243"/>
      <x:c r="U91" s="243">
        <x:f>CONCATENATE(" ",TEXT(DataSheet!DD102,"0.000")," ",DataSheet!CZ102)</x:f>
      </x:c>
      <x:c r="V91" s="243"/>
      <x:c r="W91" s="243"/>
      <x:c r="X91" s="243"/>
    </x:row>
    <x:row r="92" spans="1:48" ht="15" customHeight="1">
      <x:c r="E92" s="240"/>
      <x:c r="F92" s="241"/>
      <x:c r="G92" s="241"/>
      <x:c r="H92" s="242"/>
      <x:c r="I92" s="243">
        <x:f>CONCATENATE(DataSheet!L103," ",DataSheet!P103)</x:f>
      </x:c>
      <x:c r="J92" s="243"/>
      <x:c r="K92" s="243"/>
      <x:c r="L92" s="243"/>
      <x:c r="M92" s="243">
        <x:f>CONCATENATE(TEXT(DataSheet!AM103,"0.0")," ",DataSheet!P103)</x:f>
      </x:c>
      <x:c r="N92" s="243"/>
      <x:c r="O92" s="243"/>
      <x:c r="P92" s="243"/>
      <x:c r="Q92" s="243">
        <x:f>CONCATENATE(TEXT(DataSheet!AR103,"0.0")," ",DataSheet!P103)</x:f>
      </x:c>
      <x:c r="R92" s="243"/>
      <x:c r="S92" s="243"/>
      <x:c r="T92" s="243"/>
      <x:c r="U92" s="243">
        <x:f>CONCATENATE(" ",TEXT(DataSheet!DD103,"0.000")," ",DataSheet!CZ103)</x:f>
      </x:c>
      <x:c r="V92" s="243"/>
      <x:c r="W92" s="243"/>
      <x:c r="X92" s="243"/>
    </x:row>
    <x:row r="93" spans="1:48" ht="15" customHeight="1">
      <x:c r="E93" s="243">
        <x:f>DataSheet!F104</x:f>
      </x:c>
      <x:c r="F93" s="243"/>
      <x:c r="G93" s="243"/>
      <x:c r="H93" s="243"/>
      <x:c r="I93" s="243">
        <x:f>CONCATENATE(DataSheet!L104," ",DataSheet!P104)</x:f>
      </x:c>
      <x:c r="J93" s="243"/>
      <x:c r="K93" s="243"/>
      <x:c r="L93" s="243"/>
      <x:c r="M93" s="243">
        <x:f>CONCATENATE(TEXT(DataSheet!AM104,"0.000")," ",DataSheet!P104)</x:f>
      </x:c>
      <x:c r="N93" s="243"/>
      <x:c r="O93" s="243"/>
      <x:c r="P93" s="243"/>
      <x:c r="Q93" s="243">
        <x:f>CONCATENATE(TEXT(DataSheet!AR104,"0.000")," ",DataSheet!P104)</x:f>
      </x:c>
      <x:c r="R93" s="243"/>
      <x:c r="S93" s="243"/>
      <x:c r="T93" s="243"/>
      <x:c r="U93" s="243">
        <x:f>CONCATENATE(" ",TEXT(DataSheet!DD104,"0.000 00")," ",DataSheet!CZ104)</x:f>
      </x:c>
      <x:c r="V93" s="243"/>
      <x:c r="W93" s="243"/>
      <x:c r="X93" s="243"/>
    </x:row>
    <x:row r="94" spans="1:48" ht="15" customHeight="1">
      <x:c r="E94" s="243">
        <x:f>DataSheet!F105</x:f>
      </x:c>
      <x:c r="F94" s="243"/>
      <x:c r="G94" s="243"/>
      <x:c r="H94" s="243"/>
      <x:c r="I94" s="243">
        <x:f>CONCATENATE(DataSheet!L105," ",DataSheet!P105)</x:f>
      </x:c>
      <x:c r="J94" s="243"/>
      <x:c r="K94" s="243"/>
      <x:c r="L94" s="243"/>
      <x:c r="M94" s="243">
        <x:f>CONCATENATE(TEXT(DataSheet!AM105,"0.00")," ",DataSheet!P105)</x:f>
      </x:c>
      <x:c r="N94" s="243"/>
      <x:c r="O94" s="243"/>
      <x:c r="P94" s="243"/>
      <x:c r="Q94" s="243">
        <x:f>CONCATENATE(TEXT(DataSheet!AR105,"0.00")," ",DataSheet!P105)</x:f>
      </x:c>
      <x:c r="R94" s="243"/>
      <x:c r="S94" s="243"/>
      <x:c r="T94" s="243"/>
      <x:c r="U94" s="243">
        <x:f>CONCATENATE(" ",TEXT(DataSheet!DD105,"0.000 0")," ",DataSheet!CZ105)</x:f>
      </x:c>
      <x:c r="V94" s="243"/>
      <x:c r="W94" s="243"/>
      <x:c r="X94" s="243"/>
    </x:row>
    <x:row r="95" spans="1:48" ht="15" customHeight="1">
      <x:c r="E95" s="243">
        <x:f>DataSheet!F106</x:f>
      </x:c>
      <x:c r="F95" s="243"/>
      <x:c r="G95" s="243"/>
      <x:c r="H95" s="243"/>
      <x:c r="I95" s="243">
        <x:f>CONCATENATE(DataSheet!L106," ",DataSheet!P106)</x:f>
      </x:c>
      <x:c r="J95" s="243"/>
      <x:c r="K95" s="243"/>
      <x:c r="L95" s="243"/>
      <x:c r="M95" s="243">
        <x:f>CONCATENATE(TEXT(DataSheet!AM106,"0.0")," ",DataSheet!P106)</x:f>
      </x:c>
      <x:c r="N95" s="243"/>
      <x:c r="O95" s="243"/>
      <x:c r="P95" s="243"/>
      <x:c r="Q95" s="243">
        <x:f>CONCATENATE(TEXT(DataSheet!AR106,"0.0")," ",DataSheet!P106)</x:f>
      </x:c>
      <x:c r="R95" s="243"/>
      <x:c r="S95" s="243"/>
      <x:c r="T95" s="243"/>
      <x:c r="U95" s="243">
        <x:f>CONCATENATE(" ",TEXT(DataSheet!DD106,"0.000")," ",DataSheet!CZ106)</x:f>
      </x:c>
      <x:c r="V95" s="243"/>
      <x:c r="W95" s="243"/>
      <x:c r="X95" s="243"/>
    </x:row>
    <x:row r="96" spans="1:48" ht="15" customHeight="1">
      <x:c r="E96" s="243">
        <x:f>DataSheet!F107</x:f>
      </x:c>
      <x:c r="F96" s="243"/>
      <x:c r="G96" s="243"/>
      <x:c r="H96" s="243"/>
      <x:c r="I96" s="243">
        <x:f>CONCATENATE(DataSheet!L107," ",DataSheet!P107)</x:f>
      </x:c>
      <x:c r="J96" s="243"/>
      <x:c r="K96" s="243"/>
      <x:c r="L96" s="243"/>
      <x:c r="M96" s="243">
        <x:f>CONCATENATE(TEXT(DataSheet!AM107,"0.000")," ",DataSheet!P107)</x:f>
      </x:c>
      <x:c r="N96" s="243"/>
      <x:c r="O96" s="243"/>
      <x:c r="P96" s="243"/>
      <x:c r="Q96" s="243">
        <x:f>CONCATENATE(TEXT(DataSheet!AR107,"0.000")," ",DataSheet!P107)</x:f>
      </x:c>
      <x:c r="R96" s="243"/>
      <x:c r="S96" s="243"/>
      <x:c r="T96" s="243"/>
      <x:c r="U96" s="243">
        <x:f>CONCATENATE(" ",TEXT(DataSheet!DD107,"0.000 00")," ",DataSheet!CZ107)</x:f>
      </x:c>
      <x:c r="V96" s="243"/>
      <x:c r="W96" s="243"/>
      <x:c r="X96" s="243"/>
    </x:row>
    <x:row r="97" spans="1:48" ht="15" customHeight="1">
      <x:c r="E97" s="243">
        <x:f>DataSheet!F108</x:f>
      </x:c>
      <x:c r="F97" s="243"/>
      <x:c r="G97" s="243"/>
      <x:c r="H97" s="243"/>
      <x:c r="I97" s="243">
        <x:f>CONCATENATE(DataSheet!L108," ",DataSheet!P108)</x:f>
      </x:c>
      <x:c r="J97" s="243"/>
      <x:c r="K97" s="243"/>
      <x:c r="L97" s="243"/>
      <x:c r="M97" s="243">
        <x:f>CONCATENATE(TEXT(DataSheet!AM108,"0.00")," ",DataSheet!P108)</x:f>
      </x:c>
      <x:c r="N97" s="243"/>
      <x:c r="O97" s="243"/>
      <x:c r="P97" s="243"/>
      <x:c r="Q97" s="243">
        <x:f>CONCATENATE(TEXT(DataSheet!AR108,"0.00")," ",DataSheet!P108)</x:f>
      </x:c>
      <x:c r="R97" s="243"/>
      <x:c r="S97" s="243"/>
      <x:c r="T97" s="243"/>
      <x:c r="U97" s="243">
        <x:f>CONCATENATE(" ",TEXT(DataSheet!DD108,"0.000")," ",DataSheet!CZ108)</x:f>
      </x:c>
      <x:c r="V97" s="243"/>
      <x:c r="W97" s="243"/>
      <x:c r="X97" s="243"/>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76">
        <x:f>DataSheet!B140</x:f>
      </x:c>
      <x:c r="D106" s="276"/>
      <x:c r="E106" s="276"/>
      <x:c r="F106" s="276"/>
      <x:c r="G106" s="276"/>
      <x:c r="H106" s="276"/>
      <x:c r="I106" s="276"/>
      <x:c r="J106" s="276"/>
      <x:c r="K106" s="276"/>
      <x:c r="L106" s="276"/>
      <x:c r="M106" s="276"/>
      <x:c r="N106" s="276"/>
      <x:c r="O106" s="276"/>
      <x:c r="P106" s="276"/>
      <x:c r="Q106" s="276"/>
      <x:c r="R106" s="276"/>
      <x:c r="S106" s="276"/>
      <x:c r="T106" s="276"/>
      <x:c r="U106" s="276"/>
      <x:c r="V106" s="276"/>
      <x:c r="W106" s="276"/>
      <x:c r="X106" s="276"/>
      <x:c r="Y106" s="276"/>
      <x:c r="Z106" s="276"/>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8" t="s">
        <x:v>37</x:v>
      </x:c>
      <x:c r="F120" s="248"/>
      <x:c r="G120" s="248"/>
      <x:c r="H120" s="248"/>
      <x:c r="I120" s="248" t="s">
        <x:v>38</x:v>
      </x:c>
      <x:c r="J120" s="248"/>
      <x:c r="K120" s="248"/>
      <x:c r="L120" s="248"/>
      <x:c r="M120" s="249" t="s">
        <x:v>39</x:v>
      </x:c>
      <x:c r="N120" s="248"/>
      <x:c r="O120" s="248"/>
      <x:c r="P120" s="248"/>
      <x:c r="Q120" s="248" t="s">
        <x:v>40</x:v>
      </x:c>
      <x:c r="R120" s="248"/>
      <x:c r="S120" s="248"/>
      <x:c r="T120" s="248"/>
      <x:c r="U120" s="249" t="s">
        <x:v>41</x:v>
      </x:c>
      <x:c r="V120" s="248"/>
      <x:c r="W120" s="248"/>
      <x:c r="X120" s="248"/>
    </x:row>
    <x:row r="121" spans="1:48" ht="15" customHeight="1">
      <x:c r="C121" s="19"/>
      <x:c r="E121" s="248"/>
      <x:c r="F121" s="248"/>
      <x:c r="G121" s="248"/>
      <x:c r="H121" s="248"/>
      <x:c r="I121" s="248"/>
      <x:c r="J121" s="248"/>
      <x:c r="K121" s="248"/>
      <x:c r="L121" s="248"/>
      <x:c r="M121" s="248"/>
      <x:c r="N121" s="248"/>
      <x:c r="O121" s="248"/>
      <x:c r="P121" s="248"/>
      <x:c r="Q121" s="248"/>
      <x:c r="R121" s="248"/>
      <x:c r="S121" s="248"/>
      <x:c r="T121" s="248"/>
      <x:c r="U121" s="248"/>
      <x:c r="V121" s="248"/>
      <x:c r="W121" s="248"/>
      <x:c r="X121" s="248"/>
    </x:row>
    <x:row r="122" spans="1:48" ht="15" customHeight="1">
      <x:c r="C122" s="19"/>
      <x:c r="E122" s="244">
        <x:f>DataSheet!F76</x:f>
      </x:c>
      <x:c r="F122" s="244"/>
      <x:c r="G122" s="244"/>
      <x:c r="H122" s="244"/>
      <x:c r="I122" s="244">
        <x:f>CONCATENATE(DataSheet!L76," ",DataSheet!P76," / ",DataSheet!S76)</x:f>
      </x:c>
      <x:c r="J122" s="244"/>
      <x:c r="K122" s="244"/>
      <x:c r="L122" s="244"/>
      <x:c r="M122" s="244">
        <x:f>CONCATENATE(TEXT(DataSheet!AM76,"0.0")," ",DataSheet!P76)</x:f>
      </x:c>
      <x:c r="N122" s="244"/>
      <x:c r="O122" s="244"/>
      <x:c r="P122" s="244"/>
      <x:c r="Q122" s="244">
        <x:f>CONCATENATE(TEXT(DataSheet!AR76,"0.0")," ",DataSheet!P76)</x:f>
      </x:c>
      <x:c r="R122" s="244"/>
      <x:c r="S122" s="244"/>
      <x:c r="T122" s="244"/>
      <x:c r="U122" s="244">
        <x:f>CONCATENATE(" ",TEXT(DataSheet!DD76,"0.000 ")," ",DataSheet!CZ76)</x:f>
      </x:c>
      <x:c r="V122" s="244"/>
      <x:c r="W122" s="244"/>
      <x:c r="X122" s="244"/>
    </x:row>
    <x:row r="123" spans="1:48" ht="15" customHeight="1">
      <x:c r="C123" s="19"/>
      <x:c r="E123" s="244"/>
      <x:c r="F123" s="244"/>
      <x:c r="G123" s="244"/>
      <x:c r="H123" s="244"/>
      <x:c r="I123" s="244">
        <x:f>CONCATENATE(DataSheet!L77," ",DataSheet!P77," / ",DataSheet!S77)</x:f>
      </x:c>
      <x:c r="J123" s="244"/>
      <x:c r="K123" s="244"/>
      <x:c r="L123" s="244"/>
      <x:c r="M123" s="244">
        <x:f>CONCATENATE(TEXT(DataSheet!AM77,"0.0")," ",DataSheet!P77)</x:f>
      </x:c>
      <x:c r="N123" s="244"/>
      <x:c r="O123" s="244"/>
      <x:c r="P123" s="244"/>
      <x:c r="Q123" s="244">
        <x:f>CONCATENATE(TEXT(DataSheet!AR77,"0.0")," ",DataSheet!P77)</x:f>
      </x:c>
      <x:c r="R123" s="244"/>
      <x:c r="S123" s="244"/>
      <x:c r="T123" s="244"/>
      <x:c r="U123" s="244">
        <x:f>CONCATENATE(" ",TEXT(DataSheet!DD77,"0.000 ")," ",DataSheet!CZ77)</x:f>
      </x:c>
      <x:c r="V123" s="244"/>
      <x:c r="W123" s="244"/>
      <x:c r="X123" s="244"/>
    </x:row>
    <x:row r="124" spans="1:48" ht="15" customHeight="1">
      <x:c r="C124" s="19"/>
      <x:c r="E124" s="244"/>
      <x:c r="F124" s="244"/>
      <x:c r="G124" s="244"/>
      <x:c r="H124" s="244"/>
      <x:c r="I124" s="244">
        <x:f>CONCATENATE(DataSheet!L78," ",DataSheet!P78," / ",DataSheet!S78)</x:f>
      </x:c>
      <x:c r="J124" s="244"/>
      <x:c r="K124" s="244"/>
      <x:c r="L124" s="244"/>
      <x:c r="M124" s="244">
        <x:f>CONCATENATE(TEXT(DataSheet!AM78,"0.0")," ",DataSheet!P78)</x:f>
      </x:c>
      <x:c r="N124" s="244"/>
      <x:c r="O124" s="244"/>
      <x:c r="P124" s="244"/>
      <x:c r="Q124" s="244">
        <x:f>CONCATENATE(TEXT(DataSheet!AR78,"0.0")," ",DataSheet!P78)</x:f>
      </x:c>
      <x:c r="R124" s="244"/>
      <x:c r="S124" s="244"/>
      <x:c r="T124" s="244"/>
      <x:c r="U124" s="244">
        <x:f>CONCATENATE(" ",TEXT(DataSheet!DD78,"0.00")," ",DataSheet!CZ78)</x:f>
      </x:c>
      <x:c r="V124" s="244"/>
      <x:c r="W124" s="244"/>
      <x:c r="X124" s="244"/>
    </x:row>
    <x:row r="125" spans="1:48" ht="15" customHeight="1">
      <x:c r="C125" s="19"/>
      <x:c r="E125" s="244"/>
      <x:c r="F125" s="244"/>
      <x:c r="G125" s="244"/>
      <x:c r="H125" s="244"/>
      <x:c r="I125" s="244">
        <x:f>CONCATENATE(DataSheet!L79," ",DataSheet!P79," / ",DataSheet!S79)</x:f>
      </x:c>
      <x:c r="J125" s="244"/>
      <x:c r="K125" s="244"/>
      <x:c r="L125" s="244"/>
      <x:c r="M125" s="244">
        <x:f>CONCATENATE(TEXT(DataSheet!AM79,"0.0")," ",DataSheet!P79)</x:f>
      </x:c>
      <x:c r="N125" s="244"/>
      <x:c r="O125" s="244"/>
      <x:c r="P125" s="244"/>
      <x:c r="Q125" s="244">
        <x:f>CONCATENATE(TEXT(DataSheet!AR79,"0.0")," ",DataSheet!P79)</x:f>
      </x:c>
      <x:c r="R125" s="244"/>
      <x:c r="S125" s="244"/>
      <x:c r="T125" s="244"/>
      <x:c r="U125" s="244">
        <x:f>CONCATENATE(" ",TEXT(DataSheet!DD79,"0.00")," ",DataSheet!CZ79)</x:f>
      </x:c>
      <x:c r="V125" s="244"/>
      <x:c r="W125" s="244"/>
      <x:c r="X125" s="244"/>
    </x:row>
    <x:row r="126" spans="1:48" ht="15" customHeight="1">
      <x:c r="C126" s="19"/>
      <x:c r="E126" s="244">
        <x:f>DataSheet!F80</x:f>
      </x:c>
      <x:c r="F126" s="244"/>
      <x:c r="G126" s="244"/>
      <x:c r="H126" s="244"/>
      <x:c r="I126" s="244">
        <x:f>CONCATENATE(DataSheet!L80," ",DataSheet!P80," / ",DataSheet!S80)</x:f>
      </x:c>
      <x:c r="J126" s="244"/>
      <x:c r="K126" s="244"/>
      <x:c r="L126" s="244"/>
      <x:c r="M126" s="244">
        <x:f>CONCATENATE(TEXT(DataSheet!AM80,"0.000")," ",DataSheet!P80)</x:f>
      </x:c>
      <x:c r="N126" s="244"/>
      <x:c r="O126" s="244"/>
      <x:c r="P126" s="244"/>
      <x:c r="Q126" s="244">
        <x:f>CONCATENATE(TEXT(DataSheet!AR80,"0.000")," ",DataSheet!P80)</x:f>
      </x:c>
      <x:c r="R126" s="244"/>
      <x:c r="S126" s="244"/>
      <x:c r="T126" s="244"/>
      <x:c r="U126" s="244">
        <x:f>CONCATENATE(" ",TEXT(DataSheet!DD80,"0.000 0")," ",DataSheet!CZ80)</x:f>
      </x:c>
      <x:c r="V126" s="244"/>
      <x:c r="W126" s="244"/>
      <x:c r="X126" s="244"/>
    </x:row>
    <x:row r="127" spans="1:48" ht="15" customHeight="1">
      <x:c r="C127" s="19"/>
      <x:c r="E127" s="244"/>
      <x:c r="F127" s="244"/>
      <x:c r="G127" s="244"/>
      <x:c r="H127" s="244"/>
      <x:c r="I127" s="244">
        <x:f>CONCATENATE(DataSheet!L81," ",DataSheet!P81," / ",DataSheet!S81)</x:f>
      </x:c>
      <x:c r="J127" s="244"/>
      <x:c r="K127" s="244"/>
      <x:c r="L127" s="244"/>
      <x:c r="M127" s="244">
        <x:f>CONCATENATE(TEXT(DataSheet!AM81,"0.000")," ",DataSheet!P81)</x:f>
      </x:c>
      <x:c r="N127" s="244"/>
      <x:c r="O127" s="244"/>
      <x:c r="P127" s="244"/>
      <x:c r="Q127" s="244">
        <x:f>CONCATENATE(TEXT(DataSheet!AR81,"0.000")," ",DataSheet!P81)</x:f>
      </x:c>
      <x:c r="R127" s="244"/>
      <x:c r="S127" s="244"/>
      <x:c r="T127" s="244"/>
      <x:c r="U127" s="244">
        <x:f>CONCATENATE(" ",TEXT(DataSheet!DD81,"0.000 0")," ",DataSheet!CZ81)</x:f>
      </x:c>
      <x:c r="V127" s="244"/>
      <x:c r="W127" s="244"/>
      <x:c r="X127" s="244"/>
    </x:row>
    <x:row r="128" spans="1:48" ht="15" customHeight="1">
      <x:c r="C128" s="19"/>
      <x:c r="E128" s="244"/>
      <x:c r="F128" s="244"/>
      <x:c r="G128" s="244"/>
      <x:c r="H128" s="244"/>
      <x:c r="I128" s="244">
        <x:f>CONCATENATE(DataSheet!L82," ",DataSheet!P82," / ",DataSheet!S82)</x:f>
      </x:c>
      <x:c r="J128" s="244"/>
      <x:c r="K128" s="244"/>
      <x:c r="L128" s="244"/>
      <x:c r="M128" s="244">
        <x:f>CONCATENATE(TEXT(DataSheet!AM82,"0.000")," ",DataSheet!P82)</x:f>
      </x:c>
      <x:c r="N128" s="244"/>
      <x:c r="O128" s="244"/>
      <x:c r="P128" s="244"/>
      <x:c r="Q128" s="244">
        <x:f>CONCATENATE(TEXT(DataSheet!AR82,"0.000")," ",DataSheet!P82)</x:f>
      </x:c>
      <x:c r="R128" s="244"/>
      <x:c r="S128" s="244"/>
      <x:c r="T128" s="244"/>
      <x:c r="U128" s="244">
        <x:f>CONCATENATE(" ",TEXT(DataSheet!DD82,"0.000 0")," ",DataSheet!CZ82)</x:f>
      </x:c>
      <x:c r="V128" s="244"/>
      <x:c r="W128" s="244"/>
      <x:c r="X128" s="244"/>
    </x:row>
    <x:row r="129" spans="1:48" ht="15" customHeight="1">
      <x:c r="C129" s="19"/>
      <x:c r="E129" s="244"/>
      <x:c r="F129" s="244"/>
      <x:c r="G129" s="244"/>
      <x:c r="H129" s="244"/>
      <x:c r="I129" s="244">
        <x:f>CONCATENATE(DataSheet!L83," ",DataSheet!P83," / ",DataSheet!S83)</x:f>
      </x:c>
      <x:c r="J129" s="244"/>
      <x:c r="K129" s="244"/>
      <x:c r="L129" s="244"/>
      <x:c r="M129" s="244">
        <x:f>CONCATENATE(TEXT(DataSheet!AM83,"0.000")," ",DataSheet!P83)</x:f>
      </x:c>
      <x:c r="N129" s="244"/>
      <x:c r="O129" s="244"/>
      <x:c r="P129" s="244"/>
      <x:c r="Q129" s="244">
        <x:f>CONCATENATE(TEXT(DataSheet!AR83,"0.000")," ",DataSheet!P83)</x:f>
      </x:c>
      <x:c r="R129" s="244"/>
      <x:c r="S129" s="244"/>
      <x:c r="T129" s="244"/>
      <x:c r="U129" s="244">
        <x:f>CONCATENATE(" ",TEXT(DataSheet!DD83,"0.000 0")," ",DataSheet!CZ83)</x:f>
      </x:c>
      <x:c r="V129" s="244"/>
      <x:c r="W129" s="244"/>
      <x:c r="X129" s="244"/>
    </x:row>
    <x:row r="130" spans="1:48" ht="15" customHeight="1">
      <x:c r="C130" s="19"/>
      <x:c r="E130" s="244">
        <x:f>DataSheet!F84</x:f>
      </x:c>
      <x:c r="F130" s="244"/>
      <x:c r="G130" s="244"/>
      <x:c r="H130" s="244"/>
      <x:c r="I130" s="244">
        <x:f>CONCATENATE(DataSheet!L84," ",DataSheet!P84," / ",DataSheet!S84)</x:f>
      </x:c>
      <x:c r="J130" s="244"/>
      <x:c r="K130" s="244"/>
      <x:c r="L130" s="244"/>
      <x:c r="M130" s="244">
        <x:f>CONCATENATE(TEXT(DataSheet!AM84,"0.00")," ",DataSheet!P84)</x:f>
      </x:c>
      <x:c r="N130" s="244"/>
      <x:c r="O130" s="244"/>
      <x:c r="P130" s="244"/>
      <x:c r="Q130" s="244">
        <x:f>CONCATENATE(TEXT(DataSheet!AR84,"0.00")," ",DataSheet!P84)</x:f>
      </x:c>
      <x:c r="R130" s="244"/>
      <x:c r="S130" s="244"/>
      <x:c r="T130" s="244"/>
      <x:c r="U130" s="244">
        <x:f>CONCATENATE(" ",TEXT(DataSheet!DD84,"0.000 0")," ",DataSheet!CZ84)</x:f>
      </x:c>
      <x:c r="V130" s="244"/>
      <x:c r="W130" s="244"/>
      <x:c r="X130" s="244"/>
    </x:row>
    <x:row r="131" spans="1:48" ht="15" customHeight="1">
      <x:c r="C131" s="19"/>
      <x:c r="E131" s="244"/>
      <x:c r="F131" s="244"/>
      <x:c r="G131" s="244"/>
      <x:c r="H131" s="244"/>
      <x:c r="I131" s="244">
        <x:f>CONCATENATE(DataSheet!L85," ",DataSheet!P85," / ",DataSheet!S85)</x:f>
      </x:c>
      <x:c r="J131" s="244"/>
      <x:c r="K131" s="244"/>
      <x:c r="L131" s="244"/>
      <x:c r="M131" s="244">
        <x:f>CONCATENATE(TEXT(DataSheet!AM85,"0.00")," ",DataSheet!P85)</x:f>
      </x:c>
      <x:c r="N131" s="244"/>
      <x:c r="O131" s="244"/>
      <x:c r="P131" s="244"/>
      <x:c r="Q131" s="244">
        <x:f>CONCATENATE(TEXT(DataSheet!AR85,"0.00")," ",DataSheet!P85)</x:f>
      </x:c>
      <x:c r="R131" s="244"/>
      <x:c r="S131" s="244"/>
      <x:c r="T131" s="244"/>
      <x:c r="U131" s="244">
        <x:f>CONCATENATE(" ",TEXT(DataSheet!DD85,"0.000 0")," ",DataSheet!CZ85)</x:f>
      </x:c>
      <x:c r="V131" s="244"/>
      <x:c r="W131" s="244"/>
      <x:c r="X131" s="244"/>
    </x:row>
    <x:row r="132" spans="1:48" ht="15" customHeight="1">
      <x:c r="C132" s="19"/>
      <x:c r="E132" s="244"/>
      <x:c r="F132" s="244"/>
      <x:c r="G132" s="244"/>
      <x:c r="H132" s="244"/>
      <x:c r="I132" s="244">
        <x:f>CONCATENATE(DataSheet!L86," ",DataSheet!P86," / ",DataSheet!S86)</x:f>
      </x:c>
      <x:c r="J132" s="244"/>
      <x:c r="K132" s="244"/>
      <x:c r="L132" s="244"/>
      <x:c r="M132" s="244">
        <x:f>CONCATENATE(TEXT(DataSheet!AM86,"0.00")," ",DataSheet!P86)</x:f>
      </x:c>
      <x:c r="N132" s="244"/>
      <x:c r="O132" s="244"/>
      <x:c r="P132" s="244"/>
      <x:c r="Q132" s="244">
        <x:f>CONCATENATE(TEXT(DataSheet!AR86,"0.00")," ",DataSheet!P86)</x:f>
      </x:c>
      <x:c r="R132" s="244"/>
      <x:c r="S132" s="244"/>
      <x:c r="T132" s="244"/>
      <x:c r="U132" s="244">
        <x:f>CONCATENATE(" ",TEXT(DataSheet!DD86,"0.000 0")," ",DataSheet!CZ86)</x:f>
      </x:c>
      <x:c r="V132" s="244"/>
      <x:c r="W132" s="244"/>
      <x:c r="X132" s="244"/>
    </x:row>
    <x:row r="133" spans="1:48" ht="15" customHeight="1">
      <x:c r="C133" s="19"/>
      <x:c r="E133" s="244"/>
      <x:c r="F133" s="244"/>
      <x:c r="G133" s="244"/>
      <x:c r="H133" s="244"/>
      <x:c r="I133" s="244">
        <x:f>CONCATENATE(DataSheet!L87," ",DataSheet!P87," / ",DataSheet!S87)</x:f>
      </x:c>
      <x:c r="J133" s="244"/>
      <x:c r="K133" s="244"/>
      <x:c r="L133" s="244"/>
      <x:c r="M133" s="244">
        <x:f>CONCATENATE(TEXT(DataSheet!AM87,"0.00")," ",DataSheet!P87)</x:f>
      </x:c>
      <x:c r="N133" s="244"/>
      <x:c r="O133" s="244"/>
      <x:c r="P133" s="244"/>
      <x:c r="Q133" s="244">
        <x:f>CONCATENATE(TEXT(DataSheet!AR87,"0.00")," ",DataSheet!P87)</x:f>
      </x:c>
      <x:c r="R133" s="244"/>
      <x:c r="S133" s="244"/>
      <x:c r="T133" s="244"/>
      <x:c r="U133" s="244">
        <x:f>CONCATENATE(" ",TEXT(DataSheet!DD87,"0.000 0")," ",DataSheet!CZ87)</x:f>
      </x:c>
      <x:c r="V133" s="244"/>
      <x:c r="W133" s="244"/>
      <x:c r="X133" s="244"/>
    </x:row>
    <x:row r="134" spans="1:48" ht="15" customHeight="1">
      <x:c r="C134" s="19"/>
      <x:c r="E134" s="244"/>
      <x:c r="F134" s="244"/>
      <x:c r="G134" s="244"/>
      <x:c r="H134" s="244"/>
      <x:c r="I134" s="244">
        <x:f>CONCATENATE(DataSheet!L88," ",DataSheet!P88," / ",DataSheet!S88)</x:f>
      </x:c>
      <x:c r="J134" s="244"/>
      <x:c r="K134" s="244"/>
      <x:c r="L134" s="244"/>
      <x:c r="M134" s="244">
        <x:f>CONCATENATE(TEXT(DataSheet!AM88,"0.00")," ",DataSheet!P88)</x:f>
      </x:c>
      <x:c r="N134" s="244"/>
      <x:c r="O134" s="244"/>
      <x:c r="P134" s="244"/>
      <x:c r="Q134" s="244">
        <x:f>CONCATENATE(TEXT(DataSheet!AR88,"0.00")," ",DataSheet!P88)</x:f>
      </x:c>
      <x:c r="R134" s="244"/>
      <x:c r="S134" s="244"/>
      <x:c r="T134" s="244"/>
      <x:c r="U134" s="244">
        <x:f>CONCATENATE(" ",TEXT(DataSheet!DD88,"0.000")," ",DataSheet!CZ88)</x:f>
      </x:c>
      <x:c r="V134" s="244"/>
      <x:c r="W134" s="244"/>
      <x:c r="X134" s="244"/>
    </x:row>
    <x:row r="135" spans="1:48" ht="15" customHeight="1">
      <x:c r="C135" s="19"/>
      <x:c r="E135" s="244"/>
      <x:c r="F135" s="244"/>
      <x:c r="G135" s="244"/>
      <x:c r="H135" s="244"/>
      <x:c r="I135" s="244">
        <x:f>CONCATENATE(DataSheet!L89," ",DataSheet!P89," / ",DataSheet!S89)</x:f>
      </x:c>
      <x:c r="J135" s="244"/>
      <x:c r="K135" s="244"/>
      <x:c r="L135" s="244"/>
      <x:c r="M135" s="244">
        <x:f>CONCATENATE(TEXT(DataSheet!AM89,"0.00")," ",DataSheet!P89)</x:f>
      </x:c>
      <x:c r="N135" s="244"/>
      <x:c r="O135" s="244"/>
      <x:c r="P135" s="244"/>
      <x:c r="Q135" s="244">
        <x:f>CONCATENATE(TEXT(DataSheet!AR89,"0.00")," ",DataSheet!P89)</x:f>
      </x:c>
      <x:c r="R135" s="244"/>
      <x:c r="S135" s="244"/>
      <x:c r="T135" s="244"/>
      <x:c r="U135" s="244">
        <x:f>CONCATENATE(" ",TEXT(DataSheet!DD89,"0.000")," ",DataSheet!CZ89)</x:f>
      </x:c>
      <x:c r="V135" s="244"/>
      <x:c r="W135" s="244"/>
      <x:c r="X135" s="244"/>
    </x:row>
    <x:row r="136" spans="1:48" ht="15" customHeight="1">
      <x:c r="C136" s="19"/>
      <x:c r="E136" s="244">
        <x:f>DataSheet!F90</x:f>
      </x:c>
      <x:c r="F136" s="244"/>
      <x:c r="G136" s="244"/>
      <x:c r="H136" s="244"/>
      <x:c r="I136" s="244">
        <x:f>CONCATENATE(DataSheet!L90," ",DataSheet!P90," / ",DataSheet!S90)</x:f>
      </x:c>
      <x:c r="J136" s="244"/>
      <x:c r="K136" s="244"/>
      <x:c r="L136" s="244"/>
      <x:c r="M136" s="244">
        <x:f>CONCATENATE(TEXT(DataSheet!AM90,"0.0")," ",DataSheet!P90)</x:f>
      </x:c>
      <x:c r="N136" s="244"/>
      <x:c r="O136" s="244"/>
      <x:c r="P136" s="244"/>
      <x:c r="Q136" s="244">
        <x:f>CONCATENATE(TEXT(DataSheet!AR90,"0.0")," ",DataSheet!P90)</x:f>
      </x:c>
      <x:c r="R136" s="244"/>
      <x:c r="S136" s="244"/>
      <x:c r="T136" s="244"/>
      <x:c r="U136" s="244">
        <x:f>CONCATENATE(" ",TEXT(DataSheet!DD90,"0.000")," ",DataSheet!CZ90)</x:f>
      </x:c>
      <x:c r="V136" s="244"/>
      <x:c r="W136" s="244"/>
      <x:c r="X136" s="244"/>
    </x:row>
    <x:row r="137" spans="1:48" ht="15" customHeight="1">
      <x:c r="C137" s="19"/>
      <x:c r="E137" s="244"/>
      <x:c r="F137" s="244"/>
      <x:c r="G137" s="244"/>
      <x:c r="H137" s="244"/>
      <x:c r="I137" s="244">
        <x:f>CONCATENATE(DataSheet!L91," ",DataSheet!P91," / ",DataSheet!S91)</x:f>
      </x:c>
      <x:c r="J137" s="244"/>
      <x:c r="K137" s="244"/>
      <x:c r="L137" s="244"/>
      <x:c r="M137" s="244">
        <x:f>CONCATENATE(TEXT(DataSheet!AM91,"0.0")," ",DataSheet!P91)</x:f>
      </x:c>
      <x:c r="N137" s="244"/>
      <x:c r="O137" s="244"/>
      <x:c r="P137" s="244"/>
      <x:c r="Q137" s="244">
        <x:f>CONCATENATE(TEXT(DataSheet!AR91,"0.0")," ",DataSheet!P91)</x:f>
      </x:c>
      <x:c r="R137" s="244"/>
      <x:c r="S137" s="244"/>
      <x:c r="T137" s="244"/>
      <x:c r="U137" s="244">
        <x:f>CONCATENATE(" ",TEXT(DataSheet!DD91,"0.000")," ",DataSheet!CZ91)</x:f>
      </x:c>
      <x:c r="V137" s="244"/>
      <x:c r="W137" s="244"/>
      <x:c r="X137" s="244"/>
    </x:row>
    <x:row r="138" spans="1:48" ht="15" customHeight="1">
      <x:c r="C138" s="29"/>
      <x:c r="D138" s="29"/>
      <x:c r="E138" s="244"/>
      <x:c r="F138" s="244"/>
      <x:c r="G138" s="244"/>
      <x:c r="H138" s="244"/>
      <x:c r="I138" s="244">
        <x:f>CONCATENATE(DataSheet!L92," ",DataSheet!P92," / ",DataSheet!S92)</x:f>
      </x:c>
      <x:c r="J138" s="244"/>
      <x:c r="K138" s="244"/>
      <x:c r="L138" s="244"/>
      <x:c r="M138" s="244">
        <x:f>CONCATENATE(TEXT(DataSheet!AM92,"0.0")," ",DataSheet!P92)</x:f>
      </x:c>
      <x:c r="N138" s="244"/>
      <x:c r="O138" s="244"/>
      <x:c r="P138" s="244"/>
      <x:c r="Q138" s="244">
        <x:f>CONCATENATE(TEXT(DataSheet!AR92,"0.0")," ",DataSheet!P92)</x:f>
      </x:c>
      <x:c r="R138" s="244"/>
      <x:c r="S138" s="244"/>
      <x:c r="T138" s="244"/>
      <x:c r="U138" s="244">
        <x:f>CONCATENATE(" ",TEXT(DataSheet!DD92,"0.000")," ",DataSheet!CZ92)</x:f>
      </x:c>
      <x:c r="V138" s="244"/>
      <x:c r="W138" s="244"/>
      <x:c r="X138" s="244"/>
      <x:c r="Y138" s="29"/>
      <x:c r="Z138" s="29"/>
    </x:row>
    <x:row r="139" spans="1:48" ht="15" customHeight="1">
      <x:c r="C139" s="29"/>
      <x:c r="D139" s="29"/>
      <x:c r="E139" s="244"/>
      <x:c r="F139" s="244"/>
      <x:c r="G139" s="244"/>
      <x:c r="H139" s="244"/>
      <x:c r="I139" s="244">
        <x:f>CONCATENATE(DataSheet!L93," ",DataSheet!P93," / ",DataSheet!S93)</x:f>
      </x:c>
      <x:c r="J139" s="244"/>
      <x:c r="K139" s="244"/>
      <x:c r="L139" s="244"/>
      <x:c r="M139" s="244">
        <x:f>CONCATENATE(TEXT(DataSheet!AM93,"0.0")," ",DataSheet!P93)</x:f>
      </x:c>
      <x:c r="N139" s="244"/>
      <x:c r="O139" s="244"/>
      <x:c r="P139" s="244"/>
      <x:c r="Q139" s="244">
        <x:f>CONCATENATE(TEXT(DataSheet!AR93,"0.0")," ",DataSheet!P93)</x:f>
      </x:c>
      <x:c r="R139" s="244"/>
      <x:c r="S139" s="244"/>
      <x:c r="T139" s="244"/>
      <x:c r="U139" s="244">
        <x:f>CONCATENATE(" ",TEXT(DataSheet!DD93,"0.000")," ",DataSheet!CZ93)</x:f>
      </x:c>
      <x:c r="V139" s="244"/>
      <x:c r="W139" s="244"/>
      <x:c r="X139" s="244"/>
    </x:row>
    <x:row r="140" spans="1:48" ht="15" customHeight="1">
      <x:c r="C140" s="29"/>
      <x:c r="D140" s="29"/>
      <x:c r="E140" s="244">
        <x:f>DataSheet!F94</x:f>
      </x:c>
      <x:c r="F140" s="244"/>
      <x:c r="G140" s="244"/>
      <x:c r="H140" s="244"/>
      <x:c r="I140" s="244">
        <x:f>CONCATENATE(DataSheet!L94," ",DataSheet!P94," / ",DataSheet!S94)</x:f>
      </x:c>
      <x:c r="J140" s="244"/>
      <x:c r="K140" s="244"/>
      <x:c r="L140" s="244"/>
      <x:c r="M140" s="244">
        <x:f>CONCATENATE(TEXT(DataSheet!AM94,"0")," ",DataSheet!P94)</x:f>
      </x:c>
      <x:c r="N140" s="244"/>
      <x:c r="O140" s="244"/>
      <x:c r="P140" s="244"/>
      <x:c r="Q140" s="244">
        <x:f>CONCATENATE(TEXT(DataSheet!AR94,"0")," ",DataSheet!P94)</x:f>
      </x:c>
      <x:c r="R140" s="244"/>
      <x:c r="S140" s="244"/>
      <x:c r="T140" s="244"/>
      <x:c r="U140" s="244">
        <x:f>CONCATENATE(" ",TEXT(DataSheet!DD94,"0.00")," ",DataSheet!CZ94)</x:f>
      </x:c>
      <x:c r="V140" s="244"/>
      <x:c r="W140" s="244"/>
      <x:c r="X140" s="244"/>
    </x:row>
    <x:row r="141" spans="1:48" ht="15" customHeight="1">
      <x:c r="C141" s="29"/>
      <x:c r="D141" s="29"/>
      <x:c r="E141" s="244"/>
      <x:c r="F141" s="244"/>
      <x:c r="G141" s="244"/>
      <x:c r="H141" s="244"/>
      <x:c r="I141" s="244">
        <x:f>CONCATENATE(DataSheet!L95," ",DataSheet!P95," / ",DataSheet!S95)</x:f>
      </x:c>
      <x:c r="J141" s="244"/>
      <x:c r="K141" s="244"/>
      <x:c r="L141" s="244"/>
      <x:c r="M141" s="244">
        <x:f>CONCATENATE(TEXT(DataSheet!AM95,"0")," ",DataSheet!P95)</x:f>
      </x:c>
      <x:c r="N141" s="244"/>
      <x:c r="O141" s="244"/>
      <x:c r="P141" s="244"/>
      <x:c r="Q141" s="244">
        <x:f>CONCATENATE(TEXT(DataSheet!AR95,"0")," ",DataSheet!P95)</x:f>
      </x:c>
      <x:c r="R141" s="244"/>
      <x:c r="S141" s="244"/>
      <x:c r="T141" s="244"/>
      <x:c r="U141" s="244">
        <x:f>CONCATENATE(" ",TEXT(DataSheet!DD95,"0.00")," ",DataSheet!CZ95)</x:f>
      </x:c>
      <x:c r="V141" s="244"/>
      <x:c r="W141" s="244"/>
      <x:c r="X141" s="244"/>
    </x:row>
    <x:row r="142" spans="1:48" ht="15" customHeight="1">
      <x:c r="C142" s="29"/>
      <x:c r="D142" s="29"/>
      <x:c r="E142" s="244"/>
      <x:c r="F142" s="244"/>
      <x:c r="G142" s="244"/>
      <x:c r="H142" s="244"/>
      <x:c r="I142" s="244">
        <x:f>CONCATENATE(DataSheet!L96," ",DataSheet!P96," / ",DataSheet!S96)</x:f>
      </x:c>
      <x:c r="J142" s="244"/>
      <x:c r="K142" s="244"/>
      <x:c r="L142" s="244"/>
      <x:c r="M142" s="244">
        <x:f>CONCATENATE(TEXT(DataSheet!AM96,"0")," ",DataSheet!P96)</x:f>
      </x:c>
      <x:c r="N142" s="244"/>
      <x:c r="O142" s="244"/>
      <x:c r="P142" s="244"/>
      <x:c r="Q142" s="244">
        <x:f>CONCATENATE(TEXT(DataSheet!AR96,"0")," ",DataSheet!P96)</x:f>
      </x:c>
      <x:c r="R142" s="244"/>
      <x:c r="S142" s="244"/>
      <x:c r="T142" s="244"/>
      <x:c r="U142" s="244">
        <x:f>CONCATENATE(" ",TEXT(DataSheet!DD96,"0.00")," ",DataSheet!CZ96)</x:f>
      </x:c>
      <x:c r="V142" s="244"/>
      <x:c r="W142" s="244"/>
      <x:c r="X142" s="244"/>
    </x:row>
    <x:row r="143" spans="1:48" ht="15" customHeight="1">
      <x:c r="C143" s="29"/>
      <x:c r="D143" s="29"/>
      <x:c r="E143" s="244"/>
      <x:c r="F143" s="244"/>
      <x:c r="G143" s="244"/>
      <x:c r="H143" s="244"/>
      <x:c r="I143" s="244">
        <x:f>CONCATENATE(DataSheet!L97," ",DataSheet!P97," / ",DataSheet!S97)</x:f>
      </x:c>
      <x:c r="J143" s="244"/>
      <x:c r="K143" s="244"/>
      <x:c r="L143" s="244"/>
      <x:c r="M143" s="244">
        <x:f>CONCATENATE(TEXT(DataSheet!AM97,"0")," ",DataSheet!P97)</x:f>
      </x:c>
      <x:c r="N143" s="244"/>
      <x:c r="O143" s="244"/>
      <x:c r="P143" s="244"/>
      <x:c r="Q143" s="244">
        <x:f>CONCATENATE(TEXT(DataSheet!AR97,"0")," ",DataSheet!P97)</x:f>
      </x:c>
      <x:c r="R143" s="244"/>
      <x:c r="S143" s="244"/>
      <x:c r="T143" s="244"/>
      <x:c r="U143" s="244">
        <x:f>CONCATENATE(" ",TEXT(DataSheet!DD97,"0.00")," ",DataSheet!CZ97)</x:f>
      </x:c>
      <x:c r="V143" s="244"/>
      <x:c r="W143" s="244"/>
      <x:c r="X143" s="244"/>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78" t="s">
        <x:v>37</x:v>
      </x:c>
      <x:c r="F146" s="278"/>
      <x:c r="G146" s="278"/>
      <x:c r="H146" s="278"/>
      <x:c r="I146" s="278" t="s">
        <x:v>38</x:v>
      </x:c>
      <x:c r="J146" s="278"/>
      <x:c r="K146" s="278"/>
      <x:c r="L146" s="278"/>
      <x:c r="M146" s="279" t="s">
        <x:v>39</x:v>
      </x:c>
      <x:c r="N146" s="278"/>
      <x:c r="O146" s="278"/>
      <x:c r="P146" s="278"/>
      <x:c r="Q146" s="278" t="s">
        <x:v>40</x:v>
      </x:c>
      <x:c r="R146" s="278"/>
      <x:c r="S146" s="278"/>
      <x:c r="T146" s="278"/>
      <x:c r="U146" s="279" t="s">
        <x:v>41</x:v>
      </x:c>
      <x:c r="V146" s="278"/>
      <x:c r="W146" s="278"/>
      <x:c r="X146" s="278"/>
    </x:row>
    <x:row r="147" spans="1:48" ht="15" customHeight="1" s="61" customFormat="1">
      <x:c r="A147" s="489"/>
      <x:c r="E147" s="278"/>
      <x:c r="F147" s="278"/>
      <x:c r="G147" s="278"/>
      <x:c r="H147" s="278"/>
      <x:c r="I147" s="278"/>
      <x:c r="J147" s="278"/>
      <x:c r="K147" s="278"/>
      <x:c r="L147" s="278"/>
      <x:c r="M147" s="278"/>
      <x:c r="N147" s="278"/>
      <x:c r="O147" s="278"/>
      <x:c r="P147" s="278"/>
      <x:c r="Q147" s="278"/>
      <x:c r="R147" s="278"/>
      <x:c r="S147" s="278"/>
      <x:c r="T147" s="278"/>
      <x:c r="U147" s="278"/>
      <x:c r="V147" s="278"/>
      <x:c r="W147" s="278"/>
      <x:c r="X147" s="278"/>
    </x:row>
    <x:row r="148" spans="1:48" ht="15" customHeight="1" s="61" customFormat="1">
      <x:c r="A148" s="489"/>
      <x:c r="E148" s="228">
        <x:f>DataSheet!F113</x:f>
      </x:c>
      <x:c r="F148" s="229"/>
      <x:c r="G148" s="229"/>
      <x:c r="H148" s="230"/>
      <x:c r="I148" s="227">
        <x:f>CONCATENATE(DataSheet!L113," ",DataSheet!P113)</x:f>
      </x:c>
      <x:c r="J148" s="227"/>
      <x:c r="K148" s="227"/>
      <x:c r="L148" s="227"/>
      <x:c r="M148" s="227">
        <x:f>CONCATENATE(TEXT(DataSheet!AM113,"0.0")," ",DataSheet!P113)</x:f>
      </x:c>
      <x:c r="N148" s="227"/>
      <x:c r="O148" s="227"/>
      <x:c r="P148" s="227"/>
      <x:c r="Q148" s="227">
        <x:f>CONCATENATE(TEXT(DataSheet!AR113,"0.0")," ",DataSheet!P113)</x:f>
      </x:c>
      <x:c r="R148" s="227"/>
      <x:c r="S148" s="227"/>
      <x:c r="T148" s="227"/>
      <x:c r="U148" s="227">
        <x:f>CONCATENATE(" ",TEXT(DataSheet!DD113,"0.00")," ",DataSheet!CZ113)</x:f>
      </x:c>
      <x:c r="V148" s="227"/>
      <x:c r="W148" s="227"/>
      <x:c r="X148" s="227"/>
    </x:row>
    <x:row r="149" spans="1:48" ht="15" customHeight="1" s="61" customFormat="1">
      <x:c r="A149" s="489"/>
      <x:c r="E149" s="228">
        <x:f>DataSheet!F114</x:f>
      </x:c>
      <x:c r="F149" s="229"/>
      <x:c r="G149" s="229"/>
      <x:c r="H149" s="230"/>
      <x:c r="I149" s="227">
        <x:f>CONCATENATE(TEXT(DataSheet!L114,"0 000")," ",DataSheet!P114)</x:f>
      </x:c>
      <x:c r="J149" s="227"/>
      <x:c r="K149" s="227"/>
      <x:c r="L149" s="227"/>
      <x:c r="M149" s="227">
        <x:f>CONCATENATE(TEXT(DataSheet!AM114,"0 000")," ",DataSheet!P114)</x:f>
      </x:c>
      <x:c r="N149" s="227"/>
      <x:c r="O149" s="227"/>
      <x:c r="P149" s="227"/>
      <x:c r="Q149" s="227">
        <x:f>CONCATENATE(TEXT(DataSheet!AR114,"0")," ",DataSheet!P114)</x:f>
      </x:c>
      <x:c r="R149" s="227"/>
      <x:c r="S149" s="227"/>
      <x:c r="T149" s="227"/>
      <x:c r="U149" s="227">
        <x:f>CONCATENATE(" ",TEXT(DataSheet!DD114,"0.00")," ",DataSheet!CZ114)</x:f>
      </x:c>
      <x:c r="V149" s="227"/>
      <x:c r="W149" s="227"/>
      <x:c r="X149" s="227"/>
    </x:row>
    <x:row r="150" spans="1:48" ht="15" customHeight="1" s="61" customFormat="1">
      <x:c r="A150" s="489"/>
      <x:c r="E150" s="231">
        <x:f>DataSheet!F115</x:f>
      </x:c>
      <x:c r="F150" s="232"/>
      <x:c r="G150" s="232"/>
      <x:c r="H150" s="233"/>
      <x:c r="I150" s="227">
        <x:f>CONCATENATE(DataSheet!L115," ",DataSheet!P115)</x:f>
      </x:c>
      <x:c r="J150" s="227"/>
      <x:c r="K150" s="227"/>
      <x:c r="L150" s="227"/>
      <x:c r="M150" s="227">
        <x:f>CONCATENATE(TEXT(DataSheet!AM115,"0.00")," ",DataSheet!P115)</x:f>
      </x:c>
      <x:c r="N150" s="227"/>
      <x:c r="O150" s="227"/>
      <x:c r="P150" s="227"/>
      <x:c r="Q150" s="227">
        <x:f>CONCATENATE(TEXT(DataSheet!AR115,"0.00")," ",DataSheet!P115)</x:f>
      </x:c>
      <x:c r="R150" s="227"/>
      <x:c r="S150" s="227"/>
      <x:c r="T150" s="227"/>
      <x:c r="U150" s="227">
        <x:f>CONCATENATE(" ",TEXT(DataSheet!DD115,"0.000 0")," ",DataSheet!CZ115)</x:f>
      </x:c>
      <x:c r="V150" s="227"/>
      <x:c r="W150" s="227"/>
      <x:c r="X150" s="227"/>
    </x:row>
    <x:row r="151" spans="1:48" ht="15" customHeight="1" s="61" customFormat="1">
      <x:c r="A151" s="489"/>
      <x:c r="E151" s="234"/>
      <x:c r="F151" s="235"/>
      <x:c r="G151" s="235"/>
      <x:c r="H151" s="236"/>
      <x:c r="I151" s="227">
        <x:f>CONCATENATE(DataSheet!L116," ",DataSheet!P116)</x:f>
      </x:c>
      <x:c r="J151" s="227"/>
      <x:c r="K151" s="227"/>
      <x:c r="L151" s="227"/>
      <x:c r="M151" s="227">
        <x:f>CONCATENATE(TEXT(DataSheet!AM116,"0.00")," ",DataSheet!P116)</x:f>
      </x:c>
      <x:c r="N151" s="227"/>
      <x:c r="O151" s="227"/>
      <x:c r="P151" s="227"/>
      <x:c r="Q151" s="227">
        <x:f>CONCATENATE(TEXT(DataSheet!AR116,"0.00")," ",DataSheet!P116)</x:f>
      </x:c>
      <x:c r="R151" s="227"/>
      <x:c r="S151" s="227"/>
      <x:c r="T151" s="227"/>
      <x:c r="U151" s="227">
        <x:f>CONCATENATE(" ",TEXT(DataSheet!DD116,"0.000")," ",DataSheet!CZ116)</x:f>
      </x:c>
      <x:c r="V151" s="227"/>
      <x:c r="W151" s="227"/>
      <x:c r="X151" s="227"/>
    </x:row>
    <x:row r="152" spans="1:48" ht="15" customHeight="1" s="61" customFormat="1">
      <x:c r="A152" s="489"/>
      <x:c r="E152" s="228">
        <x:f>DataSheet!F117</x:f>
      </x:c>
      <x:c r="F152" s="229"/>
      <x:c r="G152" s="229"/>
      <x:c r="H152" s="230"/>
      <x:c r="I152" s="227">
        <x:f>CONCATENATE(DataSheet!L117," ",DataSheet!P117)</x:f>
      </x:c>
      <x:c r="J152" s="227"/>
      <x:c r="K152" s="227"/>
      <x:c r="L152" s="227"/>
      <x:c r="M152" s="227">
        <x:f>CONCATENATE(TEXT(DataSheet!AM117,"0.0")," ",DataSheet!P117)</x:f>
      </x:c>
      <x:c r="N152" s="227"/>
      <x:c r="O152" s="227"/>
      <x:c r="P152" s="227"/>
      <x:c r="Q152" s="227">
        <x:f>CONCATENATE(TEXT(DataSheet!AR117,"0.0")," ",DataSheet!P117)</x:f>
      </x:c>
      <x:c r="R152" s="227"/>
      <x:c r="S152" s="227"/>
      <x:c r="T152" s="227"/>
      <x:c r="U152" s="227">
        <x:f>CONCATENATE(" ",TEXT(DataSheet!DD117,"0.000")," ",DataSheet!CZ117)</x:f>
      </x:c>
      <x:c r="V152" s="227"/>
      <x:c r="W152" s="227"/>
      <x:c r="X152" s="227"/>
    </x:row>
    <x:row r="153" spans="1:48" ht="15" customHeight="1" s="61" customFormat="1">
      <x:c r="A153" s="489"/>
      <x:c r="E153" s="227">
        <x:f>DataSheet!F118</x:f>
      </x:c>
      <x:c r="F153" s="227"/>
      <x:c r="G153" s="227"/>
      <x:c r="H153" s="227"/>
      <x:c r="I153" s="227">
        <x:f>CONCATENATE(DataSheet!L118," ",DataSheet!P118)</x:f>
      </x:c>
      <x:c r="J153" s="227"/>
      <x:c r="K153" s="227"/>
      <x:c r="L153" s="227"/>
      <x:c r="M153" s="227">
        <x:f>CONCATENATE(TEXT(DataSheet!AM118,"0.000")," ",DataSheet!P118)</x:f>
      </x:c>
      <x:c r="N153" s="227"/>
      <x:c r="O153" s="227"/>
      <x:c r="P153" s="227"/>
      <x:c r="Q153" s="227">
        <x:f>CONCATENATE(TEXT(DataSheet!AR118,"0.000")," ",DataSheet!P118)</x:f>
      </x:c>
      <x:c r="R153" s="227"/>
      <x:c r="S153" s="227"/>
      <x:c r="T153" s="227"/>
      <x:c r="U153" s="227">
        <x:f>CONCATENATE(" ",TEXT(DataSheet!DD118,"0.000 0")," ",DataSheet!CZ118)</x:f>
      </x:c>
      <x:c r="V153" s="227"/>
      <x:c r="W153" s="227"/>
      <x:c r="X153" s="227"/>
    </x:row>
    <x:row r="154" spans="1:48" ht="15" customHeight="1" s="61" customFormat="1">
      <x:c r="A154" s="489"/>
      <x:c r="E154" s="227"/>
      <x:c r="F154" s="227"/>
      <x:c r="G154" s="227"/>
      <x:c r="H154" s="227"/>
      <x:c r="I154" s="227">
        <x:f>CONCATENATE(DataSheet!L119," ",DataSheet!P119)</x:f>
      </x:c>
      <x:c r="J154" s="227"/>
      <x:c r="K154" s="227"/>
      <x:c r="L154" s="227"/>
      <x:c r="M154" s="227">
        <x:f>CONCATENATE(TEXT(DataSheet!AM119,"0.000")," ",DataSheet!P119)</x:f>
      </x:c>
      <x:c r="N154" s="227"/>
      <x:c r="O154" s="227"/>
      <x:c r="P154" s="227"/>
      <x:c r="Q154" s="227">
        <x:f>CONCATENATE(TEXT(DataSheet!AR119,"0.000")," ",DataSheet!P119)</x:f>
      </x:c>
      <x:c r="R154" s="227"/>
      <x:c r="S154" s="227"/>
      <x:c r="T154" s="227"/>
      <x:c r="U154" s="227">
        <x:f>CONCATENATE(" ",TEXT(DataSheet!DD119,"0.000 0")," ",DataSheet!CZ119)</x:f>
      </x:c>
      <x:c r="V154" s="227"/>
      <x:c r="W154" s="227"/>
      <x:c r="X154" s="227"/>
    </x:row>
    <x:row r="155" spans="1:48" ht="15" customHeight="1" s="61" customFormat="1">
      <x:c r="A155" s="489"/>
      <x:c r="E155" s="231">
        <x:f>DataSheet!F120</x:f>
      </x:c>
      <x:c r="F155" s="232"/>
      <x:c r="G155" s="232"/>
      <x:c r="H155" s="233"/>
      <x:c r="I155" s="227">
        <x:f>CONCATENATE(DataSheet!L120," ",DataSheet!P120)</x:f>
      </x:c>
      <x:c r="J155" s="227"/>
      <x:c r="K155" s="227"/>
      <x:c r="L155" s="227"/>
      <x:c r="M155" s="227">
        <x:f>CONCATENATE(TEXT(DataSheet!AM120,"0.00")," ",DataSheet!P120)</x:f>
      </x:c>
      <x:c r="N155" s="227"/>
      <x:c r="O155" s="227"/>
      <x:c r="P155" s="227"/>
      <x:c r="Q155" s="227">
        <x:f>CONCATENATE(TEXT(DataSheet!AR120,"0.00")," ",DataSheet!P120)</x:f>
      </x:c>
      <x:c r="R155" s="227"/>
      <x:c r="S155" s="227"/>
      <x:c r="T155" s="227"/>
      <x:c r="U155" s="227">
        <x:f>CONCATENATE(" ",TEXT(DataSheet!DD120,"0.000 0")," ",DataSheet!CZ120)</x:f>
      </x:c>
      <x:c r="V155" s="227"/>
      <x:c r="W155" s="227"/>
      <x:c r="X155" s="227"/>
    </x:row>
    <x:row r="156" spans="1:48" ht="15" customHeight="1" s="61" customFormat="1">
      <x:c r="A156" s="489"/>
      <x:c r="E156" s="234"/>
      <x:c r="F156" s="235"/>
      <x:c r="G156" s="235"/>
      <x:c r="H156" s="236"/>
      <x:c r="I156" s="227">
        <x:f>CONCATENATE(DataSheet!L121," ",DataSheet!P121)</x:f>
      </x:c>
      <x:c r="J156" s="227"/>
      <x:c r="K156" s="227"/>
      <x:c r="L156" s="227"/>
      <x:c r="M156" s="227">
        <x:f>CONCATENATE(TEXT(DataSheet!AM121,"0.00")," ",DataSheet!P121)</x:f>
      </x:c>
      <x:c r="N156" s="227"/>
      <x:c r="O156" s="227"/>
      <x:c r="P156" s="227"/>
      <x:c r="Q156" s="227">
        <x:f>CONCATENATE(TEXT(DataSheet!AR121,"0.00")," ",DataSheet!P121)</x:f>
      </x:c>
      <x:c r="R156" s="227"/>
      <x:c r="S156" s="227"/>
      <x:c r="T156" s="227"/>
      <x:c r="U156" s="227">
        <x:f>CONCATENATE(" ",TEXT(DataSheet!DD121,"0.000 0")," ",DataSheet!CZ121)</x:f>
      </x:c>
      <x:c r="V156" s="227"/>
      <x:c r="W156" s="227"/>
      <x:c r="X156" s="227"/>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76">
        <x:f>DataSheet!B140</x:f>
      </x:c>
      <x:c r="D159" s="276"/>
      <x:c r="E159" s="276"/>
      <x:c r="F159" s="276"/>
      <x:c r="G159" s="276"/>
      <x:c r="H159" s="276"/>
      <x:c r="I159" s="276"/>
      <x:c r="J159" s="276"/>
      <x:c r="K159" s="276"/>
      <x:c r="L159" s="276"/>
      <x:c r="M159" s="276"/>
      <x:c r="N159" s="276"/>
      <x:c r="O159" s="276"/>
      <x:c r="P159" s="276"/>
      <x:c r="Q159" s="276"/>
      <x:c r="R159" s="276"/>
      <x:c r="S159" s="276"/>
      <x:c r="T159" s="276"/>
      <x:c r="U159" s="276"/>
      <x:c r="V159" s="276"/>
      <x:c r="W159" s="276"/>
      <x:c r="X159" s="276"/>
      <x:c r="Y159" s="276"/>
      <x:c r="Z159" s="276"/>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4" t="s">
        <x:v>37</x:v>
      </x:c>
      <x:c r="F173" s="265"/>
      <x:c r="G173" s="265"/>
      <x:c r="H173" s="266"/>
      <x:c r="I173" s="264" t="s">
        <x:v>38</x:v>
      </x:c>
      <x:c r="J173" s="265"/>
      <x:c r="K173" s="265"/>
      <x:c r="L173" s="266"/>
      <x:c r="M173" s="258" t="s">
        <x:v>39</x:v>
      </x:c>
      <x:c r="N173" s="259"/>
      <x:c r="O173" s="259"/>
      <x:c r="P173" s="260"/>
      <x:c r="Q173" s="264" t="s">
        <x:v>40</x:v>
      </x:c>
      <x:c r="R173" s="265"/>
      <x:c r="S173" s="265"/>
      <x:c r="T173" s="266"/>
      <x:c r="U173" s="258" t="s">
        <x:v>41</x:v>
      </x:c>
      <x:c r="V173" s="259"/>
      <x:c r="W173" s="259"/>
      <x:c r="X173" s="260"/>
    </x:row>
    <x:row r="174" spans="1:48" ht="13.5" customHeight="1">
      <x:c r="E174" s="267"/>
      <x:c r="F174" s="268"/>
      <x:c r="G174" s="268"/>
      <x:c r="H174" s="269"/>
      <x:c r="I174" s="267"/>
      <x:c r="J174" s="268"/>
      <x:c r="K174" s="268"/>
      <x:c r="L174" s="269"/>
      <x:c r="M174" s="261"/>
      <x:c r="N174" s="262"/>
      <x:c r="O174" s="262"/>
      <x:c r="P174" s="263"/>
      <x:c r="Q174" s="267"/>
      <x:c r="R174" s="268"/>
      <x:c r="S174" s="268"/>
      <x:c r="T174" s="269"/>
      <x:c r="U174" s="261"/>
      <x:c r="V174" s="262"/>
      <x:c r="W174" s="262"/>
      <x:c r="X174" s="263"/>
    </x:row>
    <x:row r="175" spans="1:48" ht="12.75" customHeight="1">
      <x:c r="E175" s="231">
        <x:f>DataSheet!F126</x:f>
      </x:c>
      <x:c r="F175" s="232"/>
      <x:c r="G175" s="232"/>
      <x:c r="H175" s="233"/>
      <x:c r="I175" s="255">
        <x:f>CONCATENATE(DataSheet!L126," ",DataSheet!P126," / ",DataSheet!S126)</x:f>
      </x:c>
      <x:c r="J175" s="256"/>
      <x:c r="K175" s="256"/>
      <x:c r="L175" s="257"/>
      <x:c r="M175" s="255">
        <x:f>CONCATENATE(TEXT(DataSheet!AM126,"0.0")," ",DataSheet!P126)</x:f>
      </x:c>
      <x:c r="N175" s="256"/>
      <x:c r="O175" s="256"/>
      <x:c r="P175" s="257"/>
      <x:c r="Q175" s="255">
        <x:f>CONCATENATE(TEXT(DataSheet!AR126,"0.0")," ",DataSheet!P126)</x:f>
      </x:c>
      <x:c r="R175" s="256"/>
      <x:c r="S175" s="256"/>
      <x:c r="T175" s="257"/>
      <x:c r="U175" s="255">
        <x:f>CONCATENATE(" ",TEXT(DataSheet!DD126,"0.0")," ",DataSheet!CZ126)</x:f>
      </x:c>
      <x:c r="V175" s="256"/>
      <x:c r="W175" s="256"/>
      <x:c r="X175" s="257"/>
    </x:row>
    <x:row r="176" spans="1:48">
      <x:c r="E176" s="234"/>
      <x:c r="F176" s="235"/>
      <x:c r="G176" s="235"/>
      <x:c r="H176" s="236"/>
      <x:c r="I176" s="255">
        <x:f>CONCATENATE(DataSheet!L127," ",DataSheet!P127," / ",DataSheet!S127)</x:f>
      </x:c>
      <x:c r="J176" s="256"/>
      <x:c r="K176" s="256"/>
      <x:c r="L176" s="257"/>
      <x:c r="M176" s="255">
        <x:f>CONCATENATE(TEXT(DataSheet!AM127,"0.0")," ",DataSheet!P127)</x:f>
      </x:c>
      <x:c r="N176" s="256"/>
      <x:c r="O176" s="256"/>
      <x:c r="P176" s="257"/>
      <x:c r="Q176" s="255">
        <x:f>CONCATENATE(TEXT(DataSheet!AR127,"0.0")," ",DataSheet!P127)</x:f>
      </x:c>
      <x:c r="R176" s="256"/>
      <x:c r="S176" s="256"/>
      <x:c r="T176" s="257"/>
      <x:c r="U176" s="255">
        <x:f>CONCATENATE(" ",TEXT(DataSheet!DD127,"0.0")," ",DataSheet!CZ127)</x:f>
      </x:c>
      <x:c r="V176" s="256"/>
      <x:c r="W176" s="256"/>
      <x:c r="X176" s="257"/>
    </x:row>
    <x:row r="177" spans="1:48" ht="15" customHeight="1">
      <x:c r="E177" s="231">
        <x:f>DataSheet!F128</x:f>
      </x:c>
      <x:c r="F177" s="232"/>
      <x:c r="G177" s="232"/>
      <x:c r="H177" s="233"/>
      <x:c r="I177" s="255">
        <x:f>CONCATENATE(TEXT(DataSheet!L128,"0 000")," ",DataSheet!P128," / ",DataSheet!S128)</x:f>
      </x:c>
      <x:c r="J177" s="256"/>
      <x:c r="K177" s="256"/>
      <x:c r="L177" s="257"/>
      <x:c r="M177" s="255">
        <x:f>CONCATENATE(TEXT(DataSheet!AM128,"0 000")," ",DataSheet!P128)</x:f>
      </x:c>
      <x:c r="N177" s="256"/>
      <x:c r="O177" s="256"/>
      <x:c r="P177" s="257"/>
      <x:c r="Q177" s="255">
        <x:f>CONCATENATE(TEXT(DataSheet!AR128,"0")," ",DataSheet!P128)</x:f>
      </x:c>
      <x:c r="R177" s="256"/>
      <x:c r="S177" s="256"/>
      <x:c r="T177" s="257"/>
      <x:c r="U177" s="255">
        <x:f>CONCATENATE(" ",TEXT(DataSheet!DD128,"0")," ",DataSheet!CZ128)</x:f>
      </x:c>
      <x:c r="V177" s="256"/>
      <x:c r="W177" s="256"/>
      <x:c r="X177" s="257"/>
    </x:row>
    <x:row r="178" spans="1:48">
      <x:c r="E178" s="234"/>
      <x:c r="F178" s="235"/>
      <x:c r="G178" s="235"/>
      <x:c r="H178" s="236"/>
      <x:c r="I178" s="255">
        <x:f>CONCATENATE(TEXT(DataSheet!L129,"0 000")," ",DataSheet!P129," / ",DataSheet!S129)</x:f>
      </x:c>
      <x:c r="J178" s="256"/>
      <x:c r="K178" s="256"/>
      <x:c r="L178" s="257"/>
      <x:c r="M178" s="255">
        <x:f>CONCATENATE(TEXT(DataSheet!AM129,"0 000")," ",DataSheet!P129)</x:f>
      </x:c>
      <x:c r="N178" s="256"/>
      <x:c r="O178" s="256"/>
      <x:c r="P178" s="257"/>
      <x:c r="Q178" s="255">
        <x:f>CONCATENATE(TEXT(DataSheet!AR129,"0")," ",DataSheet!P129)</x:f>
      </x:c>
      <x:c r="R178" s="256"/>
      <x:c r="S178" s="256"/>
      <x:c r="T178" s="257"/>
      <x:c r="U178" s="255">
        <x:f>CONCATENATE(" ",TEXT(DataSheet!DD129,"0")," ",DataSheet!CZ129)</x:f>
      </x:c>
      <x:c r="V178" s="256"/>
      <x:c r="W178" s="256"/>
      <x:c r="X178" s="257"/>
    </x:row>
    <x:row r="179" spans="1:48">
      <x:c r="E179" s="231">
        <x:f>DataSheet!F130</x:f>
      </x:c>
      <x:c r="F179" s="232"/>
      <x:c r="G179" s="232"/>
      <x:c r="H179" s="233"/>
      <x:c r="I179" s="255">
        <x:f>CONCATENATE(DataSheet!L130," ",DataSheet!P130," / ",DataSheet!S130)</x:f>
      </x:c>
      <x:c r="J179" s="256"/>
      <x:c r="K179" s="256"/>
      <x:c r="L179" s="257"/>
      <x:c r="M179" s="255">
        <x:f>CONCATENATE(TEXT(DataSheet!AM130,"0.00")," ",DataSheet!P130)</x:f>
      </x:c>
      <x:c r="N179" s="256"/>
      <x:c r="O179" s="256"/>
      <x:c r="P179" s="257"/>
      <x:c r="Q179" s="255">
        <x:f>CONCATENATE(TEXT(DataSheet!AR130,"0.00")," ",DataSheet!P130)</x:f>
      </x:c>
      <x:c r="R179" s="256"/>
      <x:c r="S179" s="256"/>
      <x:c r="T179" s="257"/>
      <x:c r="U179" s="255">
        <x:f>CONCATENATE(" ",TEXT(DataSheet!DD130,"0.00")," ",DataSheet!CZ130)</x:f>
      </x:c>
      <x:c r="V179" s="256"/>
      <x:c r="W179" s="256"/>
      <x:c r="X179" s="257"/>
    </x:row>
    <x:row r="180" spans="1:48">
      <x:c r="E180" s="234"/>
      <x:c r="F180" s="235"/>
      <x:c r="G180" s="235"/>
      <x:c r="H180" s="236"/>
      <x:c r="I180" s="255">
        <x:f>CONCATENATE(DataSheet!L131," ",DataSheet!P131," / ",DataSheet!S131)</x:f>
      </x:c>
      <x:c r="J180" s="256"/>
      <x:c r="K180" s="256"/>
      <x:c r="L180" s="257"/>
      <x:c r="M180" s="255">
        <x:f>CONCATENATE(TEXT(DataSheet!AM131,"0.00")," ",DataSheet!P131)</x:f>
      </x:c>
      <x:c r="N180" s="256"/>
      <x:c r="O180" s="256"/>
      <x:c r="P180" s="257"/>
      <x:c r="Q180" s="255">
        <x:f>CONCATENATE(TEXT(DataSheet!AR131,"0.00")," ",DataSheet!P131)</x:f>
      </x:c>
      <x:c r="R180" s="256"/>
      <x:c r="S180" s="256"/>
      <x:c r="T180" s="257"/>
      <x:c r="U180" s="255">
        <x:f>CONCATENATE(" ",TEXT(DataSheet!DD131,"0.00")," ",DataSheet!CZ131)</x:f>
      </x:c>
      <x:c r="V180" s="256"/>
      <x:c r="W180" s="256"/>
      <x:c r="X180" s="257"/>
    </x:row>
    <x:row r="181" spans="1:48">
      <x:c r="E181" s="231">
        <x:f>DataSheet!F132</x:f>
      </x:c>
      <x:c r="F181" s="232"/>
      <x:c r="G181" s="232"/>
      <x:c r="H181" s="233"/>
      <x:c r="I181" s="255">
        <x:f>CONCATENATE(DataSheet!L132," ",DataSheet!P132," / ",DataSheet!S132)</x:f>
      </x:c>
      <x:c r="J181" s="256"/>
      <x:c r="K181" s="256"/>
      <x:c r="L181" s="257"/>
      <x:c r="M181" s="255">
        <x:f>CONCATENATE(TEXT(DataSheet!AM132,"0.0")," ",DataSheet!P132)</x:f>
      </x:c>
      <x:c r="N181" s="256"/>
      <x:c r="O181" s="256"/>
      <x:c r="P181" s="257"/>
      <x:c r="Q181" s="255">
        <x:f>CONCATENATE(TEXT(DataSheet!AR132,"0.0")," ",DataSheet!P132)</x:f>
      </x:c>
      <x:c r="R181" s="256"/>
      <x:c r="S181" s="256"/>
      <x:c r="T181" s="257"/>
      <x:c r="U181" s="255">
        <x:f>CONCATENATE(" ",TEXT(DataSheet!DD132,"0.00")," ",DataSheet!CZ132)</x:f>
      </x:c>
      <x:c r="V181" s="256"/>
      <x:c r="W181" s="256"/>
      <x:c r="X181" s="257"/>
    </x:row>
    <x:row r="182" spans="1:48" ht="12.75" customHeight="1">
      <x:c r="E182" s="234"/>
      <x:c r="F182" s="235"/>
      <x:c r="G182" s="235"/>
      <x:c r="H182" s="236"/>
      <x:c r="I182" s="255">
        <x:f>CONCATENATE(DataSheet!L133," ",DataSheet!P133," / ",DataSheet!S133)</x:f>
      </x:c>
      <x:c r="J182" s="256"/>
      <x:c r="K182" s="256"/>
      <x:c r="L182" s="257"/>
      <x:c r="M182" s="255">
        <x:f>CONCATENATE(TEXT(DataSheet!AM133,"0.0")," ",DataSheet!P133)</x:f>
      </x:c>
      <x:c r="N182" s="256"/>
      <x:c r="O182" s="256"/>
      <x:c r="P182" s="257"/>
      <x:c r="Q182" s="255">
        <x:f>CONCATENATE(TEXT(DataSheet!AR133,"0.0")," ",DataSheet!P133)</x:f>
      </x:c>
      <x:c r="R182" s="256"/>
      <x:c r="S182" s="256"/>
      <x:c r="T182" s="257"/>
      <x:c r="U182" s="255">
        <x:f>CONCATENATE(" ",TEXT(DataSheet!DD133,"0.00")," ",DataSheet!CZ133)</x:f>
      </x:c>
      <x:c r="V182" s="256"/>
      <x:c r="W182" s="256"/>
      <x:c r="X182" s="257"/>
    </x:row>
    <x:row r="183" spans="1:48">
      <x:c r="E183" s="270">
        <x:f>DataSheet!F134</x:f>
      </x:c>
      <x:c r="F183" s="271"/>
      <x:c r="G183" s="271"/>
      <x:c r="H183" s="272"/>
      <x:c r="I183" s="255">
        <x:f>CONCATENATE(DataSheet!L134," ",DataSheet!P134," / ",DataSheet!S134)</x:f>
      </x:c>
      <x:c r="J183" s="256"/>
      <x:c r="K183" s="256"/>
      <x:c r="L183" s="257"/>
      <x:c r="M183" s="255">
        <x:f>CONCATENATE(TEXT(DataSheet!AM134,"0.000")," ",DataSheet!P134)</x:f>
      </x:c>
      <x:c r="N183" s="256"/>
      <x:c r="O183" s="256"/>
      <x:c r="P183" s="257"/>
      <x:c r="Q183" s="255">
        <x:f>CONCATENATE(TEXT(DataSheet!AR134,"0.000")," ",DataSheet!P134)</x:f>
      </x:c>
      <x:c r="R183" s="256"/>
      <x:c r="S183" s="256"/>
      <x:c r="T183" s="257"/>
      <x:c r="U183" s="255">
        <x:f>CONCATENATE(" ",TEXT(DataSheet!DD134,"0.000")," ",DataSheet!CZ134)</x:f>
      </x:c>
      <x:c r="V183" s="256"/>
      <x:c r="W183" s="256"/>
      <x:c r="X183" s="257"/>
    </x:row>
    <x:row r="184" spans="1:48" ht="12.95" customHeight="1">
      <x:c r="E184" s="273"/>
      <x:c r="F184" s="274"/>
      <x:c r="G184" s="274"/>
      <x:c r="H184" s="275"/>
      <x:c r="I184" s="255">
        <x:f>CONCATENATE(DataSheet!L135," ",DataSheet!P135," / ",DataSheet!S135)</x:f>
      </x:c>
      <x:c r="J184" s="256"/>
      <x:c r="K184" s="256"/>
      <x:c r="L184" s="257"/>
      <x:c r="M184" s="255">
        <x:f>CONCATENATE(TEXT(DataSheet!AM135,"0.000")," ",DataSheet!P135)</x:f>
      </x:c>
      <x:c r="N184" s="256"/>
      <x:c r="O184" s="256"/>
      <x:c r="P184" s="257"/>
      <x:c r="Q184" s="255">
        <x:f>CONCATENATE(TEXT(DataSheet!AR135,"0.000")," ",DataSheet!P135)</x:f>
      </x:c>
      <x:c r="R184" s="256"/>
      <x:c r="S184" s="256"/>
      <x:c r="T184" s="257"/>
      <x:c r="U184" s="255">
        <x:f>CONCATENATE(" ",TEXT(DataSheet!DD135,"0.000")," ",DataSheet!CZ135)</x:f>
      </x:c>
      <x:c r="V184" s="256"/>
      <x:c r="W184" s="256"/>
      <x:c r="X184" s="257"/>
    </x:row>
    <x:row r="185" spans="1:48" ht="12.95" customHeight="1">
      <x:c r="E185" s="270">
        <x:f>DataSheet!F136</x:f>
      </x:c>
      <x:c r="F185" s="271"/>
      <x:c r="G185" s="271"/>
      <x:c r="H185" s="272"/>
      <x:c r="I185" s="255">
        <x:f>CONCATENATE(DataSheet!L136," ",DataSheet!P136," / ",DataSheet!S136)</x:f>
      </x:c>
      <x:c r="J185" s="256"/>
      <x:c r="K185" s="256"/>
      <x:c r="L185" s="257"/>
      <x:c r="M185" s="255">
        <x:f>CONCATENATE(TEXT(DataSheet!AM136,"0.00")," ",DataSheet!P136)</x:f>
      </x:c>
      <x:c r="N185" s="256"/>
      <x:c r="O185" s="256"/>
      <x:c r="P185" s="257"/>
      <x:c r="Q185" s="255">
        <x:f>CONCATENATE(TEXT(DataSheet!AR136,"0.00")," ",DataSheet!P136)</x:f>
      </x:c>
      <x:c r="R185" s="256"/>
      <x:c r="S185" s="256"/>
      <x:c r="T185" s="257"/>
      <x:c r="U185" s="255">
        <x:f>CONCATENATE(" ",TEXT(DataSheet!DD136,"0.000")," ",DataSheet!CZ136)</x:f>
      </x:c>
      <x:c r="V185" s="256"/>
      <x:c r="W185" s="256"/>
      <x:c r="X185" s="257"/>
    </x:row>
    <x:row r="186" spans="1:48" ht="12.95" customHeight="1">
      <x:c r="E186" s="273"/>
      <x:c r="F186" s="274"/>
      <x:c r="G186" s="274"/>
      <x:c r="H186" s="275"/>
      <x:c r="I186" s="255">
        <x:f>CONCATENATE(DataSheet!L137," ",DataSheet!P137," / ",DataSheet!S137)</x:f>
      </x:c>
      <x:c r="J186" s="256"/>
      <x:c r="K186" s="256"/>
      <x:c r="L186" s="257"/>
      <x:c r="M186" s="255">
        <x:f>CONCATENATE(TEXT(DataSheet!AM137,"0.00")," ",DataSheet!P137)</x:f>
      </x:c>
      <x:c r="N186" s="256"/>
      <x:c r="O186" s="256"/>
      <x:c r="P186" s="257"/>
      <x:c r="Q186" s="255">
        <x:f>CONCATENATE(TEXT(DataSheet!AR137,"0.00")," ",DataSheet!P137)</x:f>
      </x:c>
      <x:c r="R186" s="256"/>
      <x:c r="S186" s="256"/>
      <x:c r="T186" s="257"/>
      <x:c r="U186" s="255">
        <x:f>CONCATENATE(" ",TEXT(DataSheet!DD137,"0.000")," ",DataSheet!CZ137)</x:f>
      </x:c>
      <x:c r="V186" s="256"/>
      <x:c r="W186" s="256"/>
      <x:c r="X186" s="257"/>
    </x:row>
    <x:row r="187" spans="1:48" ht="12.95" customHeight="1"/>
    <x:row r="188" spans="1:48" ht="15" customHeight="1"/>
    <x:row r="189" spans="1:48" ht="15" customHeight="1"/>
    <x:row r="193" spans="1:48" ht="12.95" customHeight="1"/>
    <x:row r="194" spans="1:48" ht="12.95" customHeight="1"/>
    <x:row r="195" spans="1:48" ht="12.95" customHeight="1"/>
    <x:row r="196" spans="1:48" ht="15" customHeight="1"/>
    <x:row r="197" spans="1:48" ht="15" customHeight="1"/>
    <x:row r="198" spans="1:48" ht="15" customHeight="1"/>
    <x:row r="202" spans="1:48" ht="12.95" customHeight="1"/>
    <x:row r="203" spans="1:48" ht="12.95" customHeight="1"/>
    <x:row r="204" spans="1:48" ht="12.95" customHeight="1"/>
    <x:row r="205" spans="1:48" ht="15" customHeight="1"/>
    <x:row r="206" spans="1:48" ht="15" customHeight="1"/>
    <x:row r="211" spans="1:48" ht="12.95" customHeight="1"/>
    <x:row r="212" spans="1:48" ht="12.95" customHeight="1"/>
    <x:row r="213" spans="1:48" ht="15" customHeight="1">
      <x:c r="C213" s="276">
        <x:f>DataSheet!B140</x:f>
      </x:c>
      <x:c r="D213" s="276"/>
      <x:c r="E213" s="276"/>
      <x:c r="F213" s="276"/>
      <x:c r="G213" s="276"/>
      <x:c r="H213" s="276"/>
      <x:c r="I213" s="276"/>
      <x:c r="J213" s="276"/>
      <x:c r="K213" s="276"/>
      <x:c r="L213" s="276"/>
      <x:c r="M213" s="276"/>
      <x:c r="N213" s="276"/>
      <x:c r="O213" s="276"/>
      <x:c r="P213" s="276"/>
      <x:c r="Q213" s="276"/>
      <x:c r="R213" s="276"/>
      <x:c r="S213" s="276"/>
      <x:c r="T213" s="276"/>
      <x:c r="U213" s="276"/>
      <x:c r="V213" s="276"/>
      <x:c r="W213" s="276"/>
      <x:c r="X213" s="276"/>
      <x:c r="Y213" s="276"/>
      <x:c r="Z213" s="276"/>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5"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DE187"/>
  <x:sheetViews>
    <x:sheetView tabSelected="1" topLeftCell="A2" zoomScale="145" zoomScaleNormal="145" workbookViewId="0">
      <x:selection activeCell="B24" sqref="B24 B24:AA24"/>
    </x:sheetView>
  </x:sheetViews>
  <x:sheetFormatPr defaultColWidth="9.140625" defaultRowHeight="0" customHeight="1" zeroHeight="1"/>
  <x:cols>
    <x:col min="1" max="1" width="10.140625" style="490" customWidth="1"/>
    <x:col min="2" max="52" width="2" style="127" customWidth="1"/>
    <x:col min="53" max="74" width="2" style="490" customWidth="1"/>
    <x:col min="75" max="75" width="2" style="127" customWidth="1"/>
    <x:col min="76" max="80" width="10.710938" style="127" customWidth="1"/>
    <x:col min="81" max="81" width="2" style="127" customWidth="1"/>
    <x:col min="82" max="86" width="10.710938" style="127" customWidth="1"/>
    <x:col min="87" max="87" width="2" style="127" customWidth="1"/>
    <x:col min="88" max="92" width="10.710938" style="127" customWidth="1"/>
    <x:col min="93" max="93" width="2" style="127" customWidth="1"/>
    <x:col min="94" max="98" width="10.710938" style="127" customWidth="1"/>
    <x:col min="99" max="99" width="2" style="127" customWidth="1"/>
    <x:col min="100" max="102" width="20.710938" style="127" customWidth="1"/>
    <x:col min="103" max="103" width="15.710938" style="127" customWidth="1"/>
    <x:col min="104" max="104" width="5.710938" style="127" customWidth="1"/>
    <x:col min="105" max="105" width="2" style="127" customWidth="1"/>
    <x:col min="106" max="109" width="10.710938" style="127" customWidth="1"/>
    <x:col min="110" max="16384" width="9.140625" style="127" customWidth="1"/>
  </x:cols>
  <x:sheetData>
    <x:row r="2" spans="1:109" ht="15"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5"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5"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8.75"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163</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163</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t="s">
        <x:v>164</x:v>
      </x:c>
      <x:c r="B9" s="514" t="s">
        <x:v>23</x:v>
      </x:c>
      <x:c r="C9" s="515"/>
      <x:c r="D9" s="515"/>
      <x:c r="E9" s="515"/>
      <x:c r="F9" s="515"/>
      <x:c r="G9" s="515"/>
      <x:c r="H9" s="515"/>
      <x:c r="I9" s="515"/>
      <x:c r="J9" s="516" t="s">
        <x:v>47</x:v>
      </x:c>
      <x:c r="K9" s="517" t="s">
        <x:v>163</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t="s">
        <x:v>164</x:v>
      </x:c>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t="s">
        <x:v>163</x:v>
      </x:c>
      <x:c r="B11" s="514" t="s">
        <x:v>49</x:v>
      </x:c>
      <x:c r="C11" s="515"/>
      <x:c r="D11" s="515"/>
      <x:c r="E11" s="515"/>
      <x:c r="F11" s="515"/>
      <x:c r="G11" s="515"/>
      <x:c r="H11" s="515"/>
      <x:c r="I11" s="515"/>
      <x:c r="J11" s="516" t="s">
        <x:v>47</x:v>
      </x:c>
      <x:c r="K11" s="523" t="s">
        <x:v>163</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t="s">
        <x:v>163</x:v>
      </x:c>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t="s">
        <x:v>163</x:v>
      </x:c>
      <x:c r="B13" s="514" t="s">
        <x:v>51</x:v>
      </x:c>
      <x:c r="C13" s="515"/>
      <x:c r="D13" s="515"/>
      <x:c r="E13" s="515"/>
      <x:c r="F13" s="515"/>
      <x:c r="G13" s="515"/>
      <x:c r="H13" s="515"/>
      <x:c r="I13" s="515"/>
      <x:c r="J13" s="516" t="s">
        <x:v>47</x:v>
      </x:c>
      <x:c r="K13" s="523" t="s">
        <x:v>163</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t="s">
        <x:v>163</x:v>
      </x:c>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t="s">
        <x:v>163</x:v>
      </x:c>
      <x:c r="B15" s="514" t="s">
        <x:v>53</x:v>
      </x:c>
      <x:c r="C15" s="515"/>
      <x:c r="D15" s="515"/>
      <x:c r="E15" s="515"/>
      <x:c r="F15" s="515"/>
      <x:c r="G15" s="515"/>
      <x:c r="H15" s="515"/>
      <x:c r="I15" s="515"/>
      <x:c r="J15" s="516" t="s">
        <x:v>47</x:v>
      </x:c>
      <x:c r="K15" s="529" t="s">
        <x:v>163</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3.5"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163</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163</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66</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3.5" customHeight="1" s="143" customFormat="1">
      <x:c r="A31" s="502"/>
      <x:c r="B31" s="531" t="s">
        <x:v>67</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2.75"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5" customHeight="1" s="143" customFormat="1">
      <x:c r="A33" s="502" t="s">
        <x:v>163</x:v>
      </x:c>
      <x:c r="B33" s="551"/>
      <x:c r="C33" s="552"/>
      <x:c r="D33" s="552"/>
      <x:c r="E33" s="552"/>
      <x:c r="F33" s="552"/>
      <x:c r="G33" s="552"/>
      <x:c r="H33" s="552"/>
      <x:c r="I33" s="552"/>
      <x:c r="J33" s="552"/>
      <x:c r="K33" s="552"/>
      <x:c r="L33" s="552"/>
      <x:c r="M33" s="552"/>
      <x:c r="N33" s="552"/>
      <x:c r="O33" s="552"/>
      <x:c r="P33" s="553"/>
      <x:c r="Q33" s="554" t="s">
        <x:v>163</x:v>
      </x:c>
      <x:c r="R33" s="552"/>
      <x:c r="S33" s="552"/>
      <x:c r="T33" s="552"/>
      <x:c r="U33" s="552"/>
      <x:c r="V33" s="552"/>
      <x:c r="W33" s="552"/>
      <x:c r="X33" s="552"/>
      <x:c r="Y33" s="552"/>
      <x:c r="Z33" s="552"/>
      <x:c r="AA33" s="553"/>
      <x:c r="AB33" s="555" t="s">
        <x:v>163</x:v>
      </x:c>
      <x:c r="AC33" s="556"/>
      <x:c r="AD33" s="556"/>
      <x:c r="AE33" s="556"/>
      <x:c r="AF33" s="556"/>
      <x:c r="AG33" s="556"/>
      <x:c r="AH33" s="556"/>
      <x:c r="AI33" s="556"/>
      <x:c r="AJ33" s="556"/>
      <x:c r="AK33" s="556"/>
      <x:c r="AL33" s="556"/>
      <x:c r="AM33" s="556"/>
      <x:c r="AN33" s="557"/>
      <x:c r="AO33" s="558" t="s">
        <x:v>164</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4.25" customHeight="1" s="143" customFormat="1">
      <x:c r="A34" s="502" t="s">
        <x:v>163</x:v>
      </x:c>
      <x:c r="B34" s="561"/>
      <x:c r="C34" s="562"/>
      <x:c r="D34" s="562"/>
      <x:c r="E34" s="562"/>
      <x:c r="F34" s="562"/>
      <x:c r="G34" s="562"/>
      <x:c r="H34" s="562"/>
      <x:c r="I34" s="562"/>
      <x:c r="J34" s="562"/>
      <x:c r="K34" s="562"/>
      <x:c r="L34" s="562"/>
      <x:c r="M34" s="562"/>
      <x:c r="N34" s="562"/>
      <x:c r="O34" s="562"/>
      <x:c r="P34" s="562"/>
      <x:c r="Q34" s="563" t="s">
        <x:v>163</x:v>
      </x:c>
      <x:c r="R34" s="562"/>
      <x:c r="S34" s="562"/>
      <x:c r="T34" s="562"/>
      <x:c r="U34" s="562"/>
      <x:c r="V34" s="562"/>
      <x:c r="W34" s="562"/>
      <x:c r="X34" s="562"/>
      <x:c r="Y34" s="562"/>
      <x:c r="Z34" s="562"/>
      <x:c r="AA34" s="564"/>
      <x:c r="AB34" s="562" t="s">
        <x:v>163</x:v>
      </x:c>
      <x:c r="AC34" s="562"/>
      <x:c r="AD34" s="562"/>
      <x:c r="AE34" s="562"/>
      <x:c r="AF34" s="562"/>
      <x:c r="AG34" s="562"/>
      <x:c r="AH34" s="562"/>
      <x:c r="AI34" s="562"/>
      <x:c r="AJ34" s="562"/>
      <x:c r="AK34" s="562"/>
      <x:c r="AL34" s="562"/>
      <x:c r="AM34" s="562"/>
      <x:c r="AN34" s="564"/>
      <x:c r="AO34" s="565" t="s">
        <x:v>164</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3.5" customHeight="1" s="143" customFormat="1">
      <x:c r="A35" s="502"/>
      <x:c r="B35" s="511" t="s">
        <x:v>68</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2.75"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69</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2.75" customHeight="1" s="143" customFormat="1">
      <x:c r="A37" s="502" t="s">
        <x:v>163</x:v>
      </x:c>
      <x:c r="B37" s="567"/>
      <x:c r="C37" s="568"/>
      <x:c r="D37" s="568"/>
      <x:c r="E37" s="568"/>
      <x:c r="F37" s="568"/>
      <x:c r="G37" s="568"/>
      <x:c r="H37" s="568"/>
      <x:c r="I37" s="568"/>
      <x:c r="J37" s="568"/>
      <x:c r="K37" s="568"/>
      <x:c r="L37" s="568"/>
      <x:c r="M37" s="568"/>
      <x:c r="N37" s="568"/>
      <x:c r="O37" s="568"/>
      <x:c r="P37" s="568"/>
      <x:c r="Q37" s="569" t="s">
        <x:v>163</x:v>
      </x:c>
      <x:c r="R37" s="568"/>
      <x:c r="S37" s="568"/>
      <x:c r="T37" s="568"/>
      <x:c r="U37" s="568"/>
      <x:c r="V37" s="568"/>
      <x:c r="W37" s="568"/>
      <x:c r="X37" s="568"/>
      <x:c r="Y37" s="568"/>
      <x:c r="Z37" s="568"/>
      <x:c r="AA37" s="570"/>
      <x:c r="AB37" s="571" t="s">
        <x:v>163</x:v>
      </x:c>
      <x:c r="AC37" s="568"/>
      <x:c r="AD37" s="568"/>
      <x:c r="AE37" s="568"/>
      <x:c r="AF37" s="568"/>
      <x:c r="AG37" s="568"/>
      <x:c r="AH37" s="568"/>
      <x:c r="AI37" s="568"/>
      <x:c r="AJ37" s="568"/>
      <x:c r="AK37" s="568"/>
      <x:c r="AL37" s="568"/>
      <x:c r="AM37" s="568"/>
      <x:c r="AN37" s="570"/>
      <x:c r="AO37" s="571" t="s">
        <x:v>163</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3.5" customHeight="1" s="143" customFormat="1">
      <x:c r="A38" s="502" t="s">
        <x:v>163</x:v>
      </x:c>
      <x:c r="B38" s="573"/>
      <x:c r="C38" s="568"/>
      <x:c r="D38" s="568"/>
      <x:c r="E38" s="568"/>
      <x:c r="F38" s="568"/>
      <x:c r="G38" s="568"/>
      <x:c r="H38" s="568"/>
      <x:c r="I38" s="568"/>
      <x:c r="J38" s="568"/>
      <x:c r="K38" s="568"/>
      <x:c r="L38" s="568"/>
      <x:c r="M38" s="568"/>
      <x:c r="N38" s="568"/>
      <x:c r="O38" s="568"/>
      <x:c r="P38" s="568"/>
      <x:c r="Q38" s="574" t="s">
        <x:v>163</x:v>
      </x:c>
      <x:c r="R38" s="568"/>
      <x:c r="S38" s="568"/>
      <x:c r="T38" s="568"/>
      <x:c r="U38" s="568"/>
      <x:c r="V38" s="568"/>
      <x:c r="W38" s="568"/>
      <x:c r="X38" s="568"/>
      <x:c r="Y38" s="568"/>
      <x:c r="Z38" s="568"/>
      <x:c r="AA38" s="570"/>
      <x:c r="AB38" s="568" t="s">
        <x:v>163</x:v>
      </x:c>
      <x:c r="AC38" s="568"/>
      <x:c r="AD38" s="568"/>
      <x:c r="AE38" s="568"/>
      <x:c r="AF38" s="568"/>
      <x:c r="AG38" s="568"/>
      <x:c r="AH38" s="568"/>
      <x:c r="AI38" s="568"/>
      <x:c r="AJ38" s="568"/>
      <x:c r="AK38" s="568"/>
      <x:c r="AL38" s="568"/>
      <x:c r="AM38" s="568"/>
      <x:c r="AN38" s="570"/>
      <x:c r="AO38" s="568" t="s">
        <x:v>163</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70</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71</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72</x:v>
      </x:c>
      <x:c r="J40" s="504"/>
      <x:c r="K40" s="575"/>
      <x:c r="L40" s="504"/>
      <x:c r="M40" s="504"/>
      <x:c r="N40" s="575"/>
      <x:c r="O40" s="575"/>
      <x:c r="P40" s="504"/>
      <x:c r="Q40" s="504" t="s">
        <x:v>73</x:v>
      </x:c>
      <x:c r="R40" s="504"/>
      <x:c r="S40" s="504"/>
      <x:c r="T40" s="504"/>
      <x:c r="U40" s="504"/>
      <x:c r="V40" s="575"/>
      <x:c r="W40" s="504"/>
      <x:c r="X40" s="504"/>
      <x:c r="Y40" s="575"/>
      <x:c r="Z40" s="504"/>
      <x:c r="AA40" s="504"/>
      <x:c r="AB40" s="576" t="s">
        <x:v>74</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 customHeight="1" s="143" customFormat="1">
      <x:c r="A41" s="502"/>
      <x:c r="B41" s="503"/>
      <x:c r="C41" s="575"/>
      <x:c r="D41" s="575"/>
      <x:c r="E41" s="575"/>
      <x:c r="F41" s="575"/>
      <x:c r="G41" s="575"/>
      <x:c r="H41" s="575"/>
      <x:c r="I41" s="504"/>
      <x:c r="J41" s="579" t="s">
        <x:v>75</x:v>
      </x:c>
      <x:c r="K41" s="580" t="s">
        <x:v>163</x:v>
      </x:c>
      <x:c r="L41" s="580"/>
      <x:c r="M41" s="504" t="s">
        <x:v>77</x:v>
      </x:c>
      <x:c r="N41" s="575"/>
      <x:c r="O41" s="575"/>
      <x:c r="P41" s="504"/>
      <x:c r="Q41" s="575"/>
      <x:c r="R41" s="575"/>
      <x:c r="S41" s="579" t="s">
        <x:v>75</x:v>
      </x:c>
      <x:c r="T41" s="580" t="s">
        <x:v>163</x:v>
      </x:c>
      <x:c r="U41" s="580"/>
      <x:c r="V41" s="504" t="s">
        <x:v>76</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78</x:v>
      </x:c>
      <x:c r="K42" s="582" t="s">
        <x:v>163</x:v>
      </x:c>
      <x:c r="L42" s="582"/>
      <x:c r="M42" s="504" t="s">
        <x:v>77</x:v>
      </x:c>
      <x:c r="N42" s="575"/>
      <x:c r="O42" s="575"/>
      <x:c r="P42" s="504"/>
      <x:c r="Q42" s="575"/>
      <x:c r="R42" s="575"/>
      <x:c r="S42" s="579" t="s">
        <x:v>78</x:v>
      </x:c>
      <x:c r="T42" s="582" t="s">
        <x:v>163</x:v>
      </x:c>
      <x:c r="U42" s="582"/>
      <x:c r="V42" s="504" t="s">
        <x:v>76</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79</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80</x:v>
      </x:c>
      <x:c r="D45" s="589"/>
      <x:c r="E45" s="589"/>
      <x:c r="F45" s="589"/>
      <x:c r="G45" s="589"/>
      <x:c r="H45" s="589"/>
      <x:c r="I45" s="589"/>
      <x:c r="J45" s="589"/>
      <x:c r="K45" s="589"/>
      <x:c r="L45" s="589"/>
      <x:c r="M45" s="589"/>
      <x:c r="N45" s="589"/>
      <x:c r="O45" s="589"/>
      <x:c r="P45" s="589"/>
      <x:c r="Q45" s="589"/>
      <x:c r="R45" s="589"/>
      <x:c r="S45" s="589"/>
      <x:c r="T45" s="589"/>
      <x:c r="U45" s="589"/>
      <x:c r="V45" s="589"/>
      <x:c r="W45" s="589"/>
      <x:c r="X45" s="589"/>
      <x:c r="Y45" s="589"/>
      <x:c r="Z45" s="589"/>
      <x:c r="AA45" s="589"/>
      <x:c r="AB45" s="589"/>
      <x:c r="AC45" s="589"/>
      <x:c r="AD45" s="589"/>
      <x:c r="AE45" s="589"/>
      <x:c r="AF45" s="589"/>
      <x:c r="AG45" s="589"/>
      <x:c r="AH45" s="589"/>
      <x:c r="AI45" s="589"/>
      <x:c r="AJ45" s="589"/>
      <x:c r="AK45" s="589"/>
      <x:c r="AL45" s="589"/>
      <x:c r="AM45" s="589"/>
      <x:c r="AN45" s="589"/>
      <x:c r="AO45" s="589"/>
      <x:c r="AP45" s="589"/>
      <x:c r="AQ45" s="589"/>
      <x:c r="AR45" s="589"/>
      <x:c r="AS45" s="589"/>
      <x:c r="AT45" s="504"/>
      <x:c r="AU45" s="504" t="s">
        <x:v>81</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90" t="s">
        <x:v>82</x:v>
      </x:c>
      <x:c r="D46" s="589"/>
      <x:c r="E46" s="589"/>
      <x:c r="F46" s="589"/>
      <x:c r="G46" s="589"/>
      <x:c r="H46" s="589"/>
      <x:c r="I46" s="589"/>
      <x:c r="J46" s="589"/>
      <x:c r="K46" s="589"/>
      <x:c r="L46" s="589"/>
      <x:c r="M46" s="589"/>
      <x:c r="N46" s="589"/>
      <x:c r="O46" s="589"/>
      <x:c r="P46" s="589"/>
      <x:c r="Q46" s="589"/>
      <x:c r="R46" s="589"/>
      <x:c r="S46" s="589"/>
      <x:c r="T46" s="589"/>
      <x:c r="U46" s="589"/>
      <x:c r="V46" s="589"/>
      <x:c r="W46" s="589"/>
      <x:c r="X46" s="589"/>
      <x:c r="Y46" s="589"/>
      <x:c r="Z46" s="589"/>
      <x:c r="AA46" s="589"/>
      <x:c r="AB46" s="589"/>
      <x:c r="AC46" s="589"/>
      <x:c r="AD46" s="589"/>
      <x:c r="AE46" s="589"/>
      <x:c r="AF46" s="589"/>
      <x:c r="AG46" s="589"/>
      <x:c r="AH46" s="589"/>
      <x:c r="AI46" s="589"/>
      <x:c r="AJ46" s="589"/>
      <x:c r="AK46" s="589"/>
      <x:c r="AL46" s="589"/>
      <x:c r="AM46" s="589"/>
      <x:c r="AN46" s="589"/>
      <x:c r="AO46" s="589"/>
      <x:c r="AP46" s="589"/>
      <x:c r="AQ46" s="589"/>
      <x:c r="AR46" s="589"/>
      <x:c r="AS46" s="589"/>
      <x:c r="AT46" s="504"/>
      <x:c r="AU46" s="591" t="s">
        <x:v>83</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2.75" customHeight="1" s="143" customFormat="1">
      <x:c r="A47" s="502"/>
      <x:c r="B47" s="503"/>
      <x:c r="C47" s="589" t="s">
        <x:v>82</x:v>
      </x:c>
      <x:c r="D47" s="589"/>
      <x:c r="E47" s="589"/>
      <x:c r="F47" s="589"/>
      <x:c r="G47" s="589"/>
      <x:c r="H47" s="589"/>
      <x:c r="I47" s="589"/>
      <x:c r="J47" s="589"/>
      <x:c r="K47" s="589"/>
      <x:c r="L47" s="589"/>
      <x:c r="M47" s="589"/>
      <x:c r="N47" s="589"/>
      <x:c r="O47" s="589"/>
      <x:c r="P47" s="589"/>
      <x:c r="Q47" s="589"/>
      <x:c r="R47" s="589"/>
      <x:c r="S47" s="589"/>
      <x:c r="T47" s="589"/>
      <x:c r="U47" s="589"/>
      <x:c r="V47" s="589"/>
      <x:c r="W47" s="589"/>
      <x:c r="X47" s="589"/>
      <x:c r="Y47" s="589"/>
      <x:c r="Z47" s="589"/>
      <x:c r="AA47" s="589"/>
      <x:c r="AB47" s="589"/>
      <x:c r="AC47" s="589"/>
      <x:c r="AD47" s="589"/>
      <x:c r="AE47" s="589"/>
      <x:c r="AF47" s="589"/>
      <x:c r="AG47" s="589"/>
      <x:c r="AH47" s="589"/>
      <x:c r="AI47" s="589"/>
      <x:c r="AJ47" s="589"/>
      <x:c r="AK47" s="589"/>
      <x:c r="AL47" s="589"/>
      <x:c r="AM47" s="589"/>
      <x:c r="AN47" s="589"/>
      <x:c r="AO47" s="589"/>
      <x:c r="AP47" s="589"/>
      <x:c r="AQ47" s="589"/>
      <x:c r="AR47" s="589"/>
      <x:c r="AS47" s="589"/>
      <x:c r="AT47" s="504"/>
      <x:c r="AU47" s="504"/>
      <x:c r="AV47" s="592"/>
      <x:c r="AW47" s="592"/>
      <x:c r="AX47" s="504" t="s">
        <x:v>84</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89" t="s">
        <x:v>82</x:v>
      </x:c>
      <x:c r="D48" s="589"/>
      <x:c r="E48" s="589"/>
      <x:c r="F48" s="589"/>
      <x:c r="G48" s="589"/>
      <x:c r="H48" s="589"/>
      <x:c r="I48" s="589"/>
      <x:c r="J48" s="589"/>
      <x:c r="K48" s="589"/>
      <x:c r="L48" s="589"/>
      <x:c r="M48" s="589"/>
      <x:c r="N48" s="589"/>
      <x:c r="O48" s="589"/>
      <x:c r="P48" s="589"/>
      <x:c r="Q48" s="589"/>
      <x:c r="R48" s="589"/>
      <x:c r="S48" s="589"/>
      <x:c r="T48" s="589"/>
      <x:c r="U48" s="589"/>
      <x:c r="V48" s="589"/>
      <x:c r="W48" s="589"/>
      <x:c r="X48" s="589"/>
      <x:c r="Y48" s="589"/>
      <x:c r="Z48" s="589"/>
      <x:c r="AA48" s="589"/>
      <x:c r="AB48" s="589"/>
      <x:c r="AC48" s="589"/>
      <x:c r="AD48" s="589"/>
      <x:c r="AE48" s="589"/>
      <x:c r="AF48" s="589"/>
      <x:c r="AG48" s="589"/>
      <x:c r="AH48" s="589"/>
      <x:c r="AI48" s="589"/>
      <x:c r="AJ48" s="589"/>
      <x:c r="AK48" s="589"/>
      <x:c r="AL48" s="589"/>
      <x:c r="AM48" s="589"/>
      <x:c r="AN48" s="589"/>
      <x:c r="AO48" s="589"/>
      <x:c r="AP48" s="589"/>
      <x:c r="AQ48" s="589"/>
      <x:c r="AR48" s="589"/>
      <x:c r="AS48" s="589"/>
      <x:c r="AT48" s="504"/>
      <x:c r="AU48" s="504"/>
      <x:c r="AV48" s="504"/>
      <x:c r="AW48" s="592"/>
      <x:c r="AX48" s="504" t="s">
        <x:v>85</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3.5" customHeight="1" s="143" customFormat="1">
      <x:c r="A50" s="502"/>
      <x:c r="B50" s="594" t="s">
        <x:v>86</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75"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419"/>
      <x:c r="DC51" s="420"/>
    </x:row>
    <x:row r="52" spans="1:109" ht="12.75" customHeight="1" s="7" customFormat="1">
      <x:c r="A52" s="600"/>
      <x:c r="B52" s="601"/>
      <x:c r="C52" s="505"/>
      <x:c r="D52" s="504"/>
      <x:c r="E52" s="505"/>
      <x:c r="F52" s="602" t="s">
        <x:v>87</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88</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291" t="s">
        <x:v>89</x:v>
      </x:c>
      <x:c r="BY52" s="292"/>
      <x:c r="BZ52" s="292"/>
      <x:c r="CA52" s="292"/>
      <x:c r="CB52" s="293"/>
      <x:c r="CC52" s="2"/>
      <x:c r="CD52" s="291" t="s">
        <x:v>89</x:v>
      </x:c>
      <x:c r="CE52" s="292"/>
      <x:c r="CF52" s="292"/>
      <x:c r="CG52" s="292"/>
      <x:c r="CH52" s="293"/>
      <x:c r="CI52" s="2"/>
      <x:c r="CJ52" s="291" t="s">
        <x:v>90</x:v>
      </x:c>
      <x:c r="CK52" s="292"/>
      <x:c r="CL52" s="292"/>
      <x:c r="CM52" s="292"/>
      <x:c r="CN52" s="293"/>
      <x:c r="CO52" s="2"/>
      <x:c r="CP52" s="291" t="s">
        <x:v>90</x:v>
      </x:c>
      <x:c r="CQ52" s="292"/>
      <x:c r="CR52" s="292"/>
      <x:c r="CS52" s="292"/>
      <x:c r="CT52" s="293"/>
      <x:c r="CV52" s="291" t="s">
        <x:v>91</x:v>
      </x:c>
      <x:c r="CW52" s="292"/>
      <x:c r="CX52" s="292"/>
      <x:c r="CY52" s="292"/>
      <x:c r="CZ52" s="293"/>
      <x:c r="DB52" s="421" t="s">
        <x:v>92</x:v>
      </x:c>
      <x:c r="DC52" s="422"/>
      <x:c r="DD52" s="435" t="s">
        <x:v>93</x:v>
      </x:c>
      <x:c r="DE52" s="435"/>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94</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95</x:v>
      </x:c>
      <x:c r="AN53" s="606"/>
      <x:c r="AO53" s="606"/>
      <x:c r="AP53" s="606"/>
      <x:c r="AQ53" s="606"/>
      <x:c r="AR53" s="606" t="s">
        <x:v>40</x:v>
      </x:c>
      <x:c r="AS53" s="606"/>
      <x:c r="AT53" s="606"/>
      <x:c r="AU53" s="606"/>
      <x:c r="AV53" s="606"/>
      <x:c r="AW53" s="505"/>
      <x:c r="AX53" s="505"/>
      <x:c r="AY53" s="505"/>
      <x:c r="AZ53" s="603"/>
      <x:c r="BA53" s="605"/>
      <x:c r="BB53" s="606" t="s">
        <x:v>96</x:v>
      </x:c>
      <x:c r="BC53" s="606"/>
      <x:c r="BD53" s="606"/>
      <x:c r="BE53" s="606"/>
      <x:c r="BF53" s="606"/>
      <x:c r="BG53" s="606" t="s">
        <x:v>97</x:v>
      </x:c>
      <x:c r="BH53" s="606"/>
      <x:c r="BI53" s="606"/>
      <x:c r="BJ53" s="606"/>
      <x:c r="BK53" s="606"/>
      <x:c r="BL53" s="606" t="s">
        <x:v>98</x:v>
      </x:c>
      <x:c r="BM53" s="606"/>
      <x:c r="BN53" s="606"/>
      <x:c r="BO53" s="606"/>
      <x:c r="BP53" s="606"/>
      <x:c r="BQ53" s="606" t="s">
        <x:v>99</x:v>
      </x:c>
      <x:c r="BR53" s="606"/>
      <x:c r="BS53" s="606"/>
      <x:c r="BT53" s="606"/>
      <x:c r="BU53" s="606"/>
      <x:c r="BV53" s="605"/>
      <x:c r="BX53" s="119" t="s">
        <x:v>100</x:v>
      </x:c>
      <x:c r="BY53" s="294" t="s">
        <x:v>41</x:v>
      </x:c>
      <x:c r="BZ53" s="294" t="s">
        <x:v>101</x:v>
      </x:c>
      <x:c r="CA53" s="121" t="s">
        <x:v>102</x:v>
      </x:c>
      <x:c r="CB53" s="296" t="s">
        <x:v>103</x:v>
      </x:c>
      <x:c r="CC53" s="2"/>
      <x:c r="CD53" s="119" t="s">
        <x:v>100</x:v>
      </x:c>
      <x:c r="CE53" s="294" t="s">
        <x:v>41</x:v>
      </x:c>
      <x:c r="CF53" s="294" t="s">
        <x:v>101</x:v>
      </x:c>
      <x:c r="CG53" s="121" t="s">
        <x:v>102</x:v>
      </x:c>
      <x:c r="CH53" s="296" t="s">
        <x:v>103</x:v>
      </x:c>
      <x:c r="CI53" s="2"/>
      <x:c r="CJ53" s="119" t="s">
        <x:v>100</x:v>
      </x:c>
      <x:c r="CK53" s="294" t="s">
        <x:v>41</x:v>
      </x:c>
      <x:c r="CL53" s="294" t="s">
        <x:v>101</x:v>
      </x:c>
      <x:c r="CM53" s="121" t="s">
        <x:v>102</x:v>
      </x:c>
      <x:c r="CN53" s="296" t="s">
        <x:v>103</x:v>
      </x:c>
      <x:c r="CO53" s="2"/>
      <x:c r="CP53" s="119" t="s">
        <x:v>100</x:v>
      </x:c>
      <x:c r="CQ53" s="294" t="s">
        <x:v>41</x:v>
      </x:c>
      <x:c r="CR53" s="294" t="s">
        <x:v>101</x:v>
      </x:c>
      <x:c r="CS53" s="121" t="s">
        <x:v>102</x:v>
      </x:c>
      <x:c r="CT53" s="296" t="s">
        <x:v>103</x:v>
      </x:c>
      <x:c r="CV53" s="119" t="s">
        <x:v>104</x:v>
      </x:c>
      <x:c r="CW53" s="101" t="s">
        <x:v>105</x:v>
      </x:c>
      <x:c r="CX53" s="121" t="s">
        <x:v>106</x:v>
      </x:c>
      <x:c r="CY53" s="119" t="s">
        <x:v>107</x:v>
      </x:c>
      <x:c r="CZ53" s="399"/>
      <x:c r="DB53" s="421"/>
      <x:c r="DC53" s="422"/>
      <x:c r="DD53" s="435"/>
      <x:c r="DE53" s="435"/>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295"/>
      <x:c r="BZ54" s="295"/>
      <x:c r="CA54" s="122"/>
      <x:c r="CB54" s="297"/>
      <x:c r="CC54" s="2"/>
      <x:c r="CD54" s="120"/>
      <x:c r="CE54" s="295"/>
      <x:c r="CF54" s="295"/>
      <x:c r="CG54" s="122"/>
      <x:c r="CH54" s="297"/>
      <x:c r="CI54" s="2"/>
      <x:c r="CJ54" s="120"/>
      <x:c r="CK54" s="295"/>
      <x:c r="CL54" s="295"/>
      <x:c r="CM54" s="122"/>
      <x:c r="CN54" s="297"/>
      <x:c r="CO54" s="2"/>
      <x:c r="CP54" s="120"/>
      <x:c r="CQ54" s="295"/>
      <x:c r="CR54" s="295"/>
      <x:c r="CS54" s="122"/>
      <x:c r="CT54" s="297"/>
      <x:c r="CV54" s="120" t="s">
        <x:v>108</x:v>
      </x:c>
      <x:c r="CW54" s="102" t="s">
        <x:v>109</x:v>
      </x:c>
      <x:c r="CX54" s="122" t="s">
        <x:v>110</x:v>
      </x:c>
      <x:c r="CY54" s="120" t="s">
        <x:v>111</x:v>
      </x:c>
      <x:c r="CZ54" s="400"/>
      <x:c r="DB54" s="421"/>
      <x:c r="DC54" s="422"/>
      <x:c r="DD54" s="435"/>
      <x:c r="DE54" s="435"/>
    </x:row>
    <x:row r="55" spans="1:109" ht="18" customHeight="1" s="8" customFormat="1">
      <x:c r="A55" s="605"/>
      <x:c r="B55" s="601"/>
      <x:c r="C55" s="505"/>
      <x:c r="D55" s="505"/>
      <x:c r="E55" s="505"/>
      <x:c r="F55" s="607" t="s">
        <x:v>112</x:v>
      </x:c>
      <x:c r="G55" s="608"/>
      <x:c r="H55" s="608"/>
      <x:c r="I55" s="608"/>
      <x:c r="J55" s="608"/>
      <x:c r="K55" s="609"/>
      <x:c r="L55" s="610">
        <x:f>600*10%</x:f>
      </x:c>
      <x:c r="M55" s="611"/>
      <x:c r="N55" s="611"/>
      <x:c r="O55" s="611"/>
      <x:c r="P55" s="612" t="s">
        <x:v>113</x:v>
      </x:c>
      <x:c r="Q55" s="612"/>
      <x:c r="R55" s="613"/>
      <x:c r="S55" s="614" t="s">
        <x:v>82</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114</x:v>
      </x:c>
      <x:c r="BY55" s="221">
        <x:v>0.00077</x:v>
      </x:c>
      <x:c r="BZ55" s="76">
        <x:f>P55</x:f>
      </x:c>
      <x:c r="CA55" s="175">
        <x:v>2</x:v>
      </x:c>
      <x:c r="CB55" s="77">
        <x:f>BY55/CA55</x:f>
      </x:c>
      <x:c r="CC55" s="4"/>
      <x:c r="CD55" s="70" t="s">
        <x:v>115</x:v>
      </x:c>
      <x:c r="CE55" s="90">
        <x:v>0</x:v>
      </x:c>
      <x:c r="CF55" s="91">
        <x:f>BZ55</x:f>
      </x:c>
      <x:c r="CG55" s="80">
        <x:f>SQRT(3)</x:f>
      </x:c>
      <x:c r="CH55" s="77">
        <x:f>CE55/CG55</x:f>
      </x:c>
      <x:c r="CI55" s="4"/>
      <x:c r="CJ55" s="70" t="s">
        <x:v>116</x:v>
      </x:c>
      <x:c r="CK55" s="176">
        <x:v>0.1</x:v>
      </x:c>
      <x:c r="CL55" s="71">
        <x:f>P55</x:f>
      </x:c>
      <x:c r="CM55" s="80">
        <x:f>SQRT(12)</x:f>
      </x:c>
      <x:c r="CN55" s="77">
        <x:f>CK55/CM55</x:f>
      </x:c>
      <x:c r="CO55" s="4"/>
      <x:c r="CP55" s="70" t="s">
        <x:v>117</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113</x:v>
      </x:c>
      <x:c r="Q56" s="612"/>
      <x:c r="R56" s="613"/>
      <x:c r="S56" s="614" t="s">
        <x:v>82</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114</x:v>
      </x:c>
      <x:c r="BY56" s="179">
        <x:v>0.0021</x:v>
      </x:c>
      <x:c r="BZ56" s="1">
        <x:f>P56</x:f>
      </x:c>
      <x:c r="CA56" s="180">
        <x:v>2</x:v>
      </x:c>
      <x:c r="CB56" s="78">
        <x:f>BY56/CA56</x:f>
      </x:c>
      <x:c r="CC56" s="4"/>
      <x:c r="CD56" s="72" t="s">
        <x:v>115</x:v>
      </x:c>
      <x:c r="CE56" s="5">
        <x:v>0</x:v>
      </x:c>
      <x:c r="CF56" s="1">
        <x:f>BZ56</x:f>
      </x:c>
      <x:c r="CG56" s="81">
        <x:f>SQRT(3)</x:f>
      </x:c>
      <x:c r="CH56" s="78">
        <x:f>CE56/CG56</x:f>
      </x:c>
      <x:c r="CI56" s="4"/>
      <x:c r="CJ56" s="72" t="s">
        <x:v>116</x:v>
      </x:c>
      <x:c r="CK56" s="181">
        <x:v>0.1</x:v>
      </x:c>
      <x:c r="CL56" s="1">
        <x:f>P56</x:f>
      </x:c>
      <x:c r="CM56" s="81">
        <x:f>SQRT(12)</x:f>
      </x:c>
      <x:c r="CN56" s="78">
        <x:f>CK56/CM56</x:f>
      </x:c>
      <x:c r="CO56" s="4"/>
      <x:c r="CP56" s="72" t="s">
        <x:v>117</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113</x:v>
      </x:c>
      <x:c r="Q57" s="612"/>
      <x:c r="R57" s="613"/>
      <x:c r="S57" s="614" t="s">
        <x:v>82</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114</x:v>
      </x:c>
      <x:c r="BY57" s="179">
        <x:v>0.0021</x:v>
      </x:c>
      <x:c r="BZ57" s="1">
        <x:f>P57</x:f>
      </x:c>
      <x:c r="CA57" s="180">
        <x:v>2</x:v>
      </x:c>
      <x:c r="CB57" s="78">
        <x:f>BY57/CA57</x:f>
      </x:c>
      <x:c r="CC57" s="4"/>
      <x:c r="CD57" s="72" t="s">
        <x:v>115</x:v>
      </x:c>
      <x:c r="CE57" s="5">
        <x:v>0</x:v>
      </x:c>
      <x:c r="CF57" s="1">
        <x:f>BZ57</x:f>
      </x:c>
      <x:c r="CG57" s="81">
        <x:f>SQRT(3)</x:f>
      </x:c>
      <x:c r="CH57" s="78">
        <x:f>CE57/CG57</x:f>
      </x:c>
      <x:c r="CI57" s="4"/>
      <x:c r="CJ57" s="72" t="s">
        <x:v>116</x:v>
      </x:c>
      <x:c r="CK57" s="181">
        <x:v>0.1</x:v>
      </x:c>
      <x:c r="CL57" s="1">
        <x:f>P57</x:f>
      </x:c>
      <x:c r="CM57" s="81">
        <x:f>SQRT(12)</x:f>
      </x:c>
      <x:c r="CN57" s="78">
        <x:f>CK57/CM57</x:f>
      </x:c>
      <x:c r="CO57" s="4"/>
      <x:c r="CP57" s="72" t="s">
        <x:v>117</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118</x:v>
      </x:c>
      <x:c r="G58" s="608"/>
      <x:c r="H58" s="608"/>
      <x:c r="I58" s="608"/>
      <x:c r="J58" s="608"/>
      <x:c r="K58" s="609"/>
      <x:c r="L58" s="610">
        <x:f>6*10%</x:f>
      </x:c>
      <x:c r="M58" s="611"/>
      <x:c r="N58" s="611"/>
      <x:c r="O58" s="611"/>
      <x:c r="P58" s="612" t="s">
        <x:v>119</x:v>
      </x:c>
      <x:c r="Q58" s="612"/>
      <x:c r="R58" s="613"/>
      <x:c r="S58" s="614" t="s">
        <x:v>82</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114</x:v>
      </x:c>
      <x:c r="BY58" s="222">
        <x:v>2.1E-06</x:v>
      </x:c>
      <x:c r="BZ58" s="1">
        <x:f>P58</x:f>
      </x:c>
      <x:c r="CA58" s="180">
        <x:v>2</x:v>
      </x:c>
      <x:c r="CB58" s="78">
        <x:f>BY58/CA58</x:f>
      </x:c>
      <x:c r="CC58" s="4"/>
      <x:c r="CD58" s="72" t="s">
        <x:v>115</x:v>
      </x:c>
      <x:c r="CE58" s="5">
        <x:v>0</x:v>
      </x:c>
      <x:c r="CF58" s="1">
        <x:f>BZ58</x:f>
      </x:c>
      <x:c r="CG58" s="81">
        <x:f>SQRT(3)</x:f>
      </x:c>
      <x:c r="CH58" s="78">
        <x:f>CE58/CG58</x:f>
      </x:c>
      <x:c r="CI58" s="4"/>
      <x:c r="CJ58" s="72" t="s">
        <x:v>116</x:v>
      </x:c>
      <x:c r="CK58" s="181">
        <x:v>0.001</x:v>
      </x:c>
      <x:c r="CL58" s="1">
        <x:f>P58</x:f>
      </x:c>
      <x:c r="CM58" s="81">
        <x:f>SQRT(12)</x:f>
      </x:c>
      <x:c r="CN58" s="78">
        <x:f>CK58/CM58</x:f>
      </x:c>
      <x:c r="CO58" s="4"/>
      <x:c r="CP58" s="72" t="s">
        <x:v>117</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119</x:v>
      </x:c>
      <x:c r="Q59" s="612"/>
      <x:c r="R59" s="613"/>
      <x:c r="S59" s="614" t="s">
        <x:v>82</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114</x:v>
      </x:c>
      <x:c r="BY59" s="5">
        <x:v>1.8E-05</x:v>
      </x:c>
      <x:c r="BZ59" s="1">
        <x:f>P59</x:f>
      </x:c>
      <x:c r="CA59" s="180">
        <x:v>2</x:v>
      </x:c>
      <x:c r="CB59" s="78">
        <x:f>BY59/CA59</x:f>
      </x:c>
      <x:c r="CC59" s="4"/>
      <x:c r="CD59" s="72" t="s">
        <x:v>115</x:v>
      </x:c>
      <x:c r="CE59" s="5">
        <x:v>0</x:v>
      </x:c>
      <x:c r="CF59" s="1">
        <x:f>BZ59</x:f>
      </x:c>
      <x:c r="CG59" s="81">
        <x:f>SQRT(3)</x:f>
      </x:c>
      <x:c r="CH59" s="78">
        <x:f>CE59/CG59</x:f>
      </x:c>
      <x:c r="CI59" s="4"/>
      <x:c r="CJ59" s="72" t="s">
        <x:v>116</x:v>
      </x:c>
      <x:c r="CK59" s="181">
        <x:v>0.001</x:v>
      </x:c>
      <x:c r="CL59" s="1">
        <x:f>P59</x:f>
      </x:c>
      <x:c r="CM59" s="81">
        <x:f>SQRT(12)</x:f>
      </x:c>
      <x:c r="CN59" s="78">
        <x:f>CK59/CM59</x:f>
      </x:c>
      <x:c r="CO59" s="4"/>
      <x:c r="CP59" s="72" t="s">
        <x:v>117</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119</x:v>
      </x:c>
      <x:c r="Q60" s="612"/>
      <x:c r="R60" s="613"/>
      <x:c r="S60" s="614" t="s">
        <x:v>82</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114</x:v>
      </x:c>
      <x:c r="BY60" s="5">
        <x:v>1.8E-05</x:v>
      </x:c>
      <x:c r="BZ60" s="1">
        <x:f>P60</x:f>
      </x:c>
      <x:c r="CA60" s="180">
        <x:v>2</x:v>
      </x:c>
      <x:c r="CB60" s="78">
        <x:f>BY60/CA60</x:f>
      </x:c>
      <x:c r="CC60" s="4"/>
      <x:c r="CD60" s="72" t="s">
        <x:v>115</x:v>
      </x:c>
      <x:c r="CE60" s="5">
        <x:v>0</x:v>
      </x:c>
      <x:c r="CF60" s="1">
        <x:f>BZ60</x:f>
      </x:c>
      <x:c r="CG60" s="81">
        <x:f>SQRT(3)</x:f>
      </x:c>
      <x:c r="CH60" s="78">
        <x:f>CE60/CG60</x:f>
      </x:c>
      <x:c r="CI60" s="4"/>
      <x:c r="CJ60" s="72" t="s">
        <x:v>116</x:v>
      </x:c>
      <x:c r="CK60" s="181">
        <x:v>0.001</x:v>
      </x:c>
      <x:c r="CL60" s="1">
        <x:f>P60</x:f>
      </x:c>
      <x:c r="CM60" s="81">
        <x:f>SQRT(12)</x:f>
      </x:c>
      <x:c r="CN60" s="78">
        <x:f>CK60/CM60</x:f>
      </x:c>
      <x:c r="CO60" s="4"/>
      <x:c r="CP60" s="72" t="s">
        <x:v>117</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120</x:v>
      </x:c>
      <x:c r="G61" s="608"/>
      <x:c r="H61" s="608"/>
      <x:c r="I61" s="608"/>
      <x:c r="J61" s="608"/>
      <x:c r="K61" s="609"/>
      <x:c r="L61" s="610">
        <x:f>60*10%</x:f>
      </x:c>
      <x:c r="M61" s="611"/>
      <x:c r="N61" s="611"/>
      <x:c r="O61" s="611"/>
      <x:c r="P61" s="612" t="s">
        <x:v>119</x:v>
      </x:c>
      <x:c r="Q61" s="612"/>
      <x:c r="R61" s="613"/>
      <x:c r="S61" s="614" t="s">
        <x:v>82</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114</x:v>
      </x:c>
      <x:c r="BY61" s="5">
        <x:v>1.8E-05</x:v>
      </x:c>
      <x:c r="BZ61" s="1">
        <x:f>P61</x:f>
      </x:c>
      <x:c r="CA61" s="180">
        <x:v>2</x:v>
      </x:c>
      <x:c r="CB61" s="78">
        <x:f>BY61/CA61</x:f>
      </x:c>
      <x:c r="CC61" s="4"/>
      <x:c r="CD61" s="72" t="s">
        <x:v>115</x:v>
      </x:c>
      <x:c r="CE61" s="5">
        <x:v>0</x:v>
      </x:c>
      <x:c r="CF61" s="1">
        <x:f>BZ61</x:f>
      </x:c>
      <x:c r="CG61" s="81">
        <x:f>SQRT(3)</x:f>
      </x:c>
      <x:c r="CH61" s="78">
        <x:f>CE61/CG61</x:f>
      </x:c>
      <x:c r="CI61" s="4"/>
      <x:c r="CJ61" s="72" t="s">
        <x:v>116</x:v>
      </x:c>
      <x:c r="CK61" s="181">
        <x:v>0.01</x:v>
      </x:c>
      <x:c r="CL61" s="1">
        <x:f>P61</x:f>
      </x:c>
      <x:c r="CM61" s="81">
        <x:f>SQRT(12)</x:f>
      </x:c>
      <x:c r="CN61" s="78">
        <x:f>CK61/CM61</x:f>
      </x:c>
      <x:c r="CO61" s="4"/>
      <x:c r="CP61" s="72" t="s">
        <x:v>117</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119</x:v>
      </x:c>
      <x:c r="Q62" s="612"/>
      <x:c r="R62" s="613"/>
      <x:c r="S62" s="614" t="s">
        <x:v>82</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114</x:v>
      </x:c>
      <x:c r="BY62" s="5">
        <x:v>0.0001</x:v>
      </x:c>
      <x:c r="BZ62" s="1">
        <x:f>P62</x:f>
      </x:c>
      <x:c r="CA62" s="180">
        <x:v>2</x:v>
      </x:c>
      <x:c r="CB62" s="78">
        <x:f>BY62/CA62</x:f>
      </x:c>
      <x:c r="CC62" s="4"/>
      <x:c r="CD62" s="72" t="s">
        <x:v>115</x:v>
      </x:c>
      <x:c r="CE62" s="5">
        <x:v>0</x:v>
      </x:c>
      <x:c r="CF62" s="1">
        <x:f>BZ62</x:f>
      </x:c>
      <x:c r="CG62" s="81">
        <x:f>SQRT(3)</x:f>
      </x:c>
      <x:c r="CH62" s="78">
        <x:f>CE62/CG62</x:f>
      </x:c>
      <x:c r="CI62" s="4"/>
      <x:c r="CJ62" s="72" t="s">
        <x:v>116</x:v>
      </x:c>
      <x:c r="CK62" s="181">
        <x:v>0.01</x:v>
      </x:c>
      <x:c r="CL62" s="1">
        <x:f>P62</x:f>
      </x:c>
      <x:c r="CM62" s="81">
        <x:f>SQRT(12)</x:f>
      </x:c>
      <x:c r="CN62" s="78">
        <x:f>CK62/CM62</x:f>
      </x:c>
      <x:c r="CO62" s="4"/>
      <x:c r="CP62" s="72" t="s">
        <x:v>117</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119</x:v>
      </x:c>
      <x:c r="Q63" s="612"/>
      <x:c r="R63" s="613"/>
      <x:c r="S63" s="614" t="s">
        <x:v>82</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114</x:v>
      </x:c>
      <x:c r="BY63" s="5">
        <x:v>0.00031</x:v>
      </x:c>
      <x:c r="BZ63" s="1">
        <x:f>P63</x:f>
      </x:c>
      <x:c r="CA63" s="180">
        <x:v>2</x:v>
      </x:c>
      <x:c r="CB63" s="78">
        <x:f>BY63/CA63</x:f>
      </x:c>
      <x:c r="CC63" s="4"/>
      <x:c r="CD63" s="72" t="s">
        <x:v>115</x:v>
      </x:c>
      <x:c r="CE63" s="5">
        <x:v>0</x:v>
      </x:c>
      <x:c r="CF63" s="1">
        <x:f>BZ63</x:f>
      </x:c>
      <x:c r="CG63" s="81">
        <x:f>SQRT(3)</x:f>
      </x:c>
      <x:c r="CH63" s="78">
        <x:f>CE63/CG63</x:f>
      </x:c>
      <x:c r="CI63" s="4"/>
      <x:c r="CJ63" s="72" t="s">
        <x:v>116</x:v>
      </x:c>
      <x:c r="CK63" s="181">
        <x:v>0.01</x:v>
      </x:c>
      <x:c r="CL63" s="1">
        <x:f>P63</x:f>
      </x:c>
      <x:c r="CM63" s="81">
        <x:f>SQRT(12)</x:f>
      </x:c>
      <x:c r="CN63" s="78">
        <x:f>CK63/CM63</x:f>
      </x:c>
      <x:c r="CO63" s="4"/>
      <x:c r="CP63" s="72" t="s">
        <x:v>117</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119</x:v>
      </x:c>
      <x:c r="Q64" s="612"/>
      <x:c r="R64" s="613"/>
      <x:c r="S64" s="614" t="s">
        <x:v>82</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114</x:v>
      </x:c>
      <x:c r="BY64" s="5">
        <x:v>1.8E-05</x:v>
      </x:c>
      <x:c r="BZ64" s="1">
        <x:f>P64</x:f>
      </x:c>
      <x:c r="CA64" s="180">
        <x:v>2</x:v>
      </x:c>
      <x:c r="CB64" s="78">
        <x:f>BY64/CA64</x:f>
      </x:c>
      <x:c r="CC64" s="4"/>
      <x:c r="CD64" s="72" t="s">
        <x:v>115</x:v>
      </x:c>
      <x:c r="CE64" s="5">
        <x:v>0</x:v>
      </x:c>
      <x:c r="CF64" s="1">
        <x:f>BZ64</x:f>
      </x:c>
      <x:c r="CG64" s="81">
        <x:f>SQRT(3)</x:f>
      </x:c>
      <x:c r="CH64" s="78">
        <x:f>CE64/CG64</x:f>
      </x:c>
      <x:c r="CI64" s="4"/>
      <x:c r="CJ64" s="72" t="s">
        <x:v>116</x:v>
      </x:c>
      <x:c r="CK64" s="181">
        <x:v>0.01</x:v>
      </x:c>
      <x:c r="CL64" s="1">
        <x:f>P64</x:f>
      </x:c>
      <x:c r="CM64" s="81">
        <x:f>SQRT(12)</x:f>
      </x:c>
      <x:c r="CN64" s="78">
        <x:f>CK64/CM64</x:f>
      </x:c>
      <x:c r="CO64" s="4"/>
      <x:c r="CP64" s="72" t="s">
        <x:v>117</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119</x:v>
      </x:c>
      <x:c r="Q65" s="612"/>
      <x:c r="R65" s="613"/>
      <x:c r="S65" s="614" t="s">
        <x:v>82</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114</x:v>
      </x:c>
      <x:c r="BY65" s="5">
        <x:v>0.00031</x:v>
      </x:c>
      <x:c r="BZ65" s="1">
        <x:f>P65</x:f>
      </x:c>
      <x:c r="CA65" s="180">
        <x:v>2</x:v>
      </x:c>
      <x:c r="CB65" s="78">
        <x:f>BY65/CA65</x:f>
      </x:c>
      <x:c r="CC65" s="4"/>
      <x:c r="CD65" s="72" t="s">
        <x:v>115</x:v>
      </x:c>
      <x:c r="CE65" s="5">
        <x:v>0</x:v>
      </x:c>
      <x:c r="CF65" s="1">
        <x:f>BZ65</x:f>
      </x:c>
      <x:c r="CG65" s="81">
        <x:f>SQRT(3)</x:f>
      </x:c>
      <x:c r="CH65" s="78">
        <x:f>CE65/CG65</x:f>
      </x:c>
      <x:c r="CI65" s="4"/>
      <x:c r="CJ65" s="72" t="s">
        <x:v>116</x:v>
      </x:c>
      <x:c r="CK65" s="181">
        <x:v>0.01</x:v>
      </x:c>
      <x:c r="CL65" s="1">
        <x:f>P65</x:f>
      </x:c>
      <x:c r="CM65" s="81">
        <x:f>SQRT(12)</x:f>
      </x:c>
      <x:c r="CN65" s="78">
        <x:f>CK65/CM65</x:f>
      </x:c>
      <x:c r="CO65" s="4"/>
      <x:c r="CP65" s="72" t="s">
        <x:v>117</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121</x:v>
      </x:c>
      <x:c r="G66" s="608"/>
      <x:c r="H66" s="608"/>
      <x:c r="I66" s="608"/>
      <x:c r="J66" s="608"/>
      <x:c r="K66" s="609"/>
      <x:c r="L66" s="610">
        <x:v>60</x:v>
      </x:c>
      <x:c r="M66" s="611"/>
      <x:c r="N66" s="611"/>
      <x:c r="O66" s="611"/>
      <x:c r="P66" s="612" t="s">
        <x:v>119</x:v>
      </x:c>
      <x:c r="Q66" s="612"/>
      <x:c r="R66" s="613"/>
      <x:c r="S66" s="614" t="s">
        <x:v>82</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114</x:v>
      </x:c>
      <x:c r="BY66" s="5">
        <x:v>0.00031</x:v>
      </x:c>
      <x:c r="BZ66" s="1">
        <x:f>P66</x:f>
      </x:c>
      <x:c r="CA66" s="180">
        <x:v>2</x:v>
      </x:c>
      <x:c r="CB66" s="78">
        <x:f>BY66/CA66</x:f>
      </x:c>
      <x:c r="CC66" s="4"/>
      <x:c r="CD66" s="72" t="s">
        <x:v>115</x:v>
      </x:c>
      <x:c r="CE66" s="5">
        <x:v>0</x:v>
      </x:c>
      <x:c r="CF66" s="1">
        <x:f>BZ66</x:f>
      </x:c>
      <x:c r="CG66" s="81">
        <x:f>SQRT(3)</x:f>
      </x:c>
      <x:c r="CH66" s="78">
        <x:f>CE66/CG66</x:f>
      </x:c>
      <x:c r="CI66" s="4"/>
      <x:c r="CJ66" s="72" t="s">
        <x:v>116</x:v>
      </x:c>
      <x:c r="CK66" s="181">
        <x:v>0.1</x:v>
      </x:c>
      <x:c r="CL66" s="1">
        <x:f>P66</x:f>
      </x:c>
      <x:c r="CM66" s="81">
        <x:f>SQRT(12)</x:f>
      </x:c>
      <x:c r="CN66" s="78">
        <x:f>CK66/CM66</x:f>
      </x:c>
      <x:c r="CO66" s="4"/>
      <x:c r="CP66" s="72" t="s">
        <x:v>117</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119</x:v>
      </x:c>
      <x:c r="Q67" s="612"/>
      <x:c r="R67" s="613"/>
      <x:c r="S67" s="614" t="s">
        <x:v>82</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114</x:v>
      </x:c>
      <x:c r="BY67" s="179">
        <x:v>0.0033</x:v>
      </x:c>
      <x:c r="BZ67" s="1">
        <x:f>P67</x:f>
      </x:c>
      <x:c r="CA67" s="180">
        <x:v>2</x:v>
      </x:c>
      <x:c r="CB67" s="78">
        <x:f>BY67/CA67</x:f>
      </x:c>
      <x:c r="CC67" s="4"/>
      <x:c r="CD67" s="72" t="s">
        <x:v>115</x:v>
      </x:c>
      <x:c r="CE67" s="5">
        <x:v>0</x:v>
      </x:c>
      <x:c r="CF67" s="1">
        <x:f>BZ67</x:f>
      </x:c>
      <x:c r="CG67" s="81">
        <x:f>SQRT(3)</x:f>
      </x:c>
      <x:c r="CH67" s="78">
        <x:f>CE67/CG67</x:f>
      </x:c>
      <x:c r="CI67" s="4"/>
      <x:c r="CJ67" s="72" t="s">
        <x:v>116</x:v>
      </x:c>
      <x:c r="CK67" s="181">
        <x:v>0.1</x:v>
      </x:c>
      <x:c r="CL67" s="1">
        <x:f>P67</x:f>
      </x:c>
      <x:c r="CM67" s="81">
        <x:f>SQRT(12)</x:f>
      </x:c>
      <x:c r="CN67" s="78">
        <x:f>CK67/CM67</x:f>
      </x:c>
      <x:c r="CO67" s="4"/>
      <x:c r="CP67" s="72" t="s">
        <x:v>117</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119</x:v>
      </x:c>
      <x:c r="Q68" s="612"/>
      <x:c r="R68" s="613"/>
      <x:c r="S68" s="614" t="s">
        <x:v>82</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114</x:v>
      </x:c>
      <x:c r="BY68" s="179">
        <x:v>0.0033</x:v>
      </x:c>
      <x:c r="BZ68" s="1">
        <x:f>P68</x:f>
      </x:c>
      <x:c r="CA68" s="206">
        <x:v>2</x:v>
      </x:c>
      <x:c r="CB68" s="207">
        <x:f>BY68/CA68</x:f>
      </x:c>
      <x:c r="CC68" s="4"/>
      <x:c r="CD68" s="73" t="s">
        <x:v>115</x:v>
      </x:c>
      <x:c r="CE68" s="89">
        <x:v>0</x:v>
      </x:c>
      <x:c r="CF68" s="74">
        <x:f>BZ68</x:f>
      </x:c>
      <x:c r="CG68" s="82">
        <x:f>SQRT(3)</x:f>
      </x:c>
      <x:c r="CH68" s="79">
        <x:f>CE68/CG68</x:f>
      </x:c>
      <x:c r="CI68" s="4"/>
      <x:c r="CJ68" s="73" t="s">
        <x:v>116</x:v>
      </x:c>
      <x:c r="CK68" s="183">
        <x:v>0.1</x:v>
      </x:c>
      <x:c r="CL68" s="74">
        <x:f>P68</x:f>
      </x:c>
      <x:c r="CM68" s="82">
        <x:f>SQRT(12)</x:f>
      </x:c>
      <x:c r="CN68" s="79">
        <x:f>CK68/CM68</x:f>
      </x:c>
      <x:c r="CO68" s="4"/>
      <x:c r="CP68" s="73" t="s">
        <x:v>117</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122</x:v>
      </x:c>
      <x:c r="G69" s="608"/>
      <x:c r="H69" s="608"/>
      <x:c r="I69" s="608"/>
      <x:c r="J69" s="608"/>
      <x:c r="K69" s="609"/>
      <x:c r="L69" s="610">
        <x:f>1000*10%</x:f>
      </x:c>
      <x:c r="M69" s="611"/>
      <x:c r="N69" s="611"/>
      <x:c r="O69" s="611"/>
      <x:c r="P69" s="612" t="s">
        <x:v>119</x:v>
      </x:c>
      <x:c r="Q69" s="612"/>
      <x:c r="R69" s="613"/>
      <x:c r="S69" s="614" t="s">
        <x:v>82</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114</x:v>
      </x:c>
      <x:c r="BY69" s="221">
        <x:v>0.00031</x:v>
      </x:c>
      <x:c r="BZ69" s="76">
        <x:f>P69</x:f>
      </x:c>
      <x:c r="CA69" s="180">
        <x:v>2</x:v>
      </x:c>
      <x:c r="CB69" s="78">
        <x:f>BY69/CA69</x:f>
      </x:c>
      <x:c r="CC69" s="4"/>
      <x:c r="CD69" s="72" t="s">
        <x:v>115</x:v>
      </x:c>
      <x:c r="CE69" s="5">
        <x:v>0</x:v>
      </x:c>
      <x:c r="CF69" s="1">
        <x:f>BZ69</x:f>
      </x:c>
      <x:c r="CG69" s="81">
        <x:f>SQRT(3)</x:f>
      </x:c>
      <x:c r="CH69" s="78">
        <x:f>CE69/CG69</x:f>
      </x:c>
      <x:c r="CI69" s="4"/>
      <x:c r="CJ69" s="72" t="s">
        <x:v>116</x:v>
      </x:c>
      <x:c r="CK69" s="181">
        <x:v>1</x:v>
      </x:c>
      <x:c r="CL69" s="1">
        <x:f>P69</x:f>
      </x:c>
      <x:c r="CM69" s="81">
        <x:f>SQRT(12)</x:f>
      </x:c>
      <x:c r="CN69" s="78">
        <x:f>CK69/CM69</x:f>
      </x:c>
      <x:c r="CO69" s="4"/>
      <x:c r="CP69" s="72" t="s">
        <x:v>117</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119</x:v>
      </x:c>
      <x:c r="Q70" s="612"/>
      <x:c r="R70" s="613"/>
      <x:c r="S70" s="614" t="s">
        <x:v>82</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114</x:v>
      </x:c>
      <x:c r="BY70" s="179">
        <x:v>0.0033</x:v>
      </x:c>
      <x:c r="BZ70" s="1">
        <x:f>P70</x:f>
      </x:c>
      <x:c r="CA70" s="180">
        <x:v>2</x:v>
      </x:c>
      <x:c r="CB70" s="78">
        <x:f>BY70/CA70</x:f>
      </x:c>
      <x:c r="CC70" s="4"/>
      <x:c r="CD70" s="72" t="s">
        <x:v>115</x:v>
      </x:c>
      <x:c r="CE70" s="5">
        <x:v>0</x:v>
      </x:c>
      <x:c r="CF70" s="1">
        <x:f>BZ70</x:f>
      </x:c>
      <x:c r="CG70" s="81">
        <x:f>SQRT(3)</x:f>
      </x:c>
      <x:c r="CH70" s="78">
        <x:f>CE70/CG70</x:f>
      </x:c>
      <x:c r="CI70" s="4"/>
      <x:c r="CJ70" s="72" t="s">
        <x:v>116</x:v>
      </x:c>
      <x:c r="CK70" s="181">
        <x:v>1</x:v>
      </x:c>
      <x:c r="CL70" s="1">
        <x:f>P70</x:f>
      </x:c>
      <x:c r="CM70" s="81">
        <x:f>SQRT(12)</x:f>
      </x:c>
      <x:c r="CN70" s="78">
        <x:f>CK70/CM70</x:f>
      </x:c>
      <x:c r="CO70" s="4"/>
      <x:c r="CP70" s="72" t="s">
        <x:v>117</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119</x:v>
      </x:c>
      <x:c r="Q71" s="612"/>
      <x:c r="R71" s="613"/>
      <x:c r="S71" s="614" t="s">
        <x:v>82</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114</x:v>
      </x:c>
      <x:c r="BY71" s="223">
        <x:v>0.0033</x:v>
      </x:c>
      <x:c r="BZ71" s="74">
        <x:f>P71</x:f>
      </x:c>
      <x:c r="CA71" s="182">
        <x:v>2</x:v>
      </x:c>
      <x:c r="CB71" s="79">
        <x:f>BY71/CA71</x:f>
      </x:c>
      <x:c r="CC71" s="4"/>
      <x:c r="CD71" s="73" t="s">
        <x:v>115</x:v>
      </x:c>
      <x:c r="CE71" s="89">
        <x:v>0</x:v>
      </x:c>
      <x:c r="CF71" s="74">
        <x:f>BZ71</x:f>
      </x:c>
      <x:c r="CG71" s="82">
        <x:f>SQRT(3)</x:f>
      </x:c>
      <x:c r="CH71" s="79">
        <x:f>CE71/CG71</x:f>
      </x:c>
      <x:c r="CI71" s="4"/>
      <x:c r="CJ71" s="73" t="s">
        <x:v>116</x:v>
      </x:c>
      <x:c r="CK71" s="183">
        <x:v>1</x:v>
      </x:c>
      <x:c r="CL71" s="74">
        <x:f>P71</x:f>
      </x:c>
      <x:c r="CM71" s="82">
        <x:f>SQRT(12)</x:f>
      </x:c>
      <x:c r="CN71" s="79">
        <x:f>CK71/CM71</x:f>
      </x:c>
      <x:c r="CO71" s="4"/>
      <x:c r="CP71" s="73" t="s">
        <x:v>117</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4.25"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123</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88</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291" t="s">
        <x:v>89</x:v>
      </x:c>
      <x:c r="BY73" s="292"/>
      <x:c r="BZ73" s="292"/>
      <x:c r="CA73" s="292"/>
      <x:c r="CB73" s="293"/>
      <x:c r="CC73" s="2"/>
      <x:c r="CD73" s="291" t="s">
        <x:v>89</x:v>
      </x:c>
      <x:c r="CE73" s="292"/>
      <x:c r="CF73" s="292"/>
      <x:c r="CG73" s="292"/>
      <x:c r="CH73" s="293"/>
      <x:c r="CI73" s="2"/>
      <x:c r="CJ73" s="291" t="s">
        <x:v>90</x:v>
      </x:c>
      <x:c r="CK73" s="292"/>
      <x:c r="CL73" s="292"/>
      <x:c r="CM73" s="292"/>
      <x:c r="CN73" s="293"/>
      <x:c r="CO73" s="2"/>
      <x:c r="CP73" s="291" t="s">
        <x:v>90</x:v>
      </x:c>
      <x:c r="CQ73" s="292"/>
      <x:c r="CR73" s="292"/>
      <x:c r="CS73" s="292"/>
      <x:c r="CT73" s="293"/>
      <x:c r="CV73" s="291" t="s">
        <x:v>91</x:v>
      </x:c>
      <x:c r="CW73" s="292"/>
      <x:c r="CX73" s="292"/>
      <x:c r="CY73" s="292"/>
      <x:c r="CZ73" s="293"/>
      <x:c r="DB73" s="423" t="s">
        <x:v>92</x:v>
      </x:c>
      <x:c r="DC73" s="424"/>
      <x:c r="DD73" s="423" t="s">
        <x:v>93</x:v>
      </x:c>
      <x:c r="DE73" s="423"/>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94</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95</x:v>
      </x:c>
      <x:c r="AN74" s="606"/>
      <x:c r="AO74" s="606"/>
      <x:c r="AP74" s="606"/>
      <x:c r="AQ74" s="606"/>
      <x:c r="AR74" s="606" t="s">
        <x:v>40</x:v>
      </x:c>
      <x:c r="AS74" s="606"/>
      <x:c r="AT74" s="606"/>
      <x:c r="AU74" s="606"/>
      <x:c r="AV74" s="606"/>
      <x:c r="AW74" s="505"/>
      <x:c r="AX74" s="505"/>
      <x:c r="AY74" s="505"/>
      <x:c r="AZ74" s="603"/>
      <x:c r="BA74" s="605"/>
      <x:c r="BB74" s="606" t="s">
        <x:v>96</x:v>
      </x:c>
      <x:c r="BC74" s="606"/>
      <x:c r="BD74" s="606"/>
      <x:c r="BE74" s="606"/>
      <x:c r="BF74" s="606"/>
      <x:c r="BG74" s="606" t="s">
        <x:v>97</x:v>
      </x:c>
      <x:c r="BH74" s="606"/>
      <x:c r="BI74" s="606"/>
      <x:c r="BJ74" s="606"/>
      <x:c r="BK74" s="606"/>
      <x:c r="BL74" s="606" t="s">
        <x:v>98</x:v>
      </x:c>
      <x:c r="BM74" s="606"/>
      <x:c r="BN74" s="606"/>
      <x:c r="BO74" s="606"/>
      <x:c r="BP74" s="606"/>
      <x:c r="BQ74" s="606" t="s">
        <x:v>99</x:v>
      </x:c>
      <x:c r="BR74" s="606"/>
      <x:c r="BS74" s="606"/>
      <x:c r="BT74" s="606"/>
      <x:c r="BU74" s="606"/>
      <x:c r="BV74" s="605"/>
      <x:c r="BX74" s="119" t="s">
        <x:v>100</x:v>
      </x:c>
      <x:c r="BY74" s="294" t="s">
        <x:v>41</x:v>
      </x:c>
      <x:c r="BZ74" s="294" t="s">
        <x:v>101</x:v>
      </x:c>
      <x:c r="CA74" s="121" t="s">
        <x:v>102</x:v>
      </x:c>
      <x:c r="CB74" s="296" t="s">
        <x:v>103</x:v>
      </x:c>
      <x:c r="CC74" s="2"/>
      <x:c r="CD74" s="119" t="s">
        <x:v>100</x:v>
      </x:c>
      <x:c r="CE74" s="294" t="s">
        <x:v>41</x:v>
      </x:c>
      <x:c r="CF74" s="294" t="s">
        <x:v>101</x:v>
      </x:c>
      <x:c r="CG74" s="121" t="s">
        <x:v>102</x:v>
      </x:c>
      <x:c r="CH74" s="296" t="s">
        <x:v>103</x:v>
      </x:c>
      <x:c r="CI74" s="2"/>
      <x:c r="CJ74" s="119" t="s">
        <x:v>100</x:v>
      </x:c>
      <x:c r="CK74" s="294" t="s">
        <x:v>41</x:v>
      </x:c>
      <x:c r="CL74" s="294" t="s">
        <x:v>101</x:v>
      </x:c>
      <x:c r="CM74" s="121" t="s">
        <x:v>102</x:v>
      </x:c>
      <x:c r="CN74" s="296" t="s">
        <x:v>103</x:v>
      </x:c>
      <x:c r="CO74" s="2"/>
      <x:c r="CP74" s="119" t="s">
        <x:v>100</x:v>
      </x:c>
      <x:c r="CQ74" s="294" t="s">
        <x:v>41</x:v>
      </x:c>
      <x:c r="CR74" s="294" t="s">
        <x:v>101</x:v>
      </x:c>
      <x:c r="CS74" s="121" t="s">
        <x:v>102</x:v>
      </x:c>
      <x:c r="CT74" s="296" t="s">
        <x:v>103</x:v>
      </x:c>
      <x:c r="CV74" s="119" t="s">
        <x:v>104</x:v>
      </x:c>
      <x:c r="CW74" s="101" t="s">
        <x:v>105</x:v>
      </x:c>
      <x:c r="CX74" s="121" t="s">
        <x:v>106</x:v>
      </x:c>
      <x:c r="CY74" s="119" t="s">
        <x:v>107</x:v>
      </x:c>
      <x:c r="CZ74" s="399"/>
      <x:c r="DB74" s="423"/>
      <x:c r="DC74" s="424"/>
      <x:c r="DD74" s="423"/>
      <x:c r="DE74" s="423"/>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295"/>
      <x:c r="BZ75" s="295"/>
      <x:c r="CA75" s="122"/>
      <x:c r="CB75" s="297"/>
      <x:c r="CC75" s="2"/>
      <x:c r="CD75" s="120"/>
      <x:c r="CE75" s="295"/>
      <x:c r="CF75" s="295"/>
      <x:c r="CG75" s="122"/>
      <x:c r="CH75" s="297"/>
      <x:c r="CI75" s="2"/>
      <x:c r="CJ75" s="120"/>
      <x:c r="CK75" s="295"/>
      <x:c r="CL75" s="295"/>
      <x:c r="CM75" s="122"/>
      <x:c r="CN75" s="297"/>
      <x:c r="CO75" s="2"/>
      <x:c r="CP75" s="120"/>
      <x:c r="CQ75" s="295"/>
      <x:c r="CR75" s="295"/>
      <x:c r="CS75" s="122"/>
      <x:c r="CT75" s="297"/>
      <x:c r="CV75" s="120" t="s">
        <x:v>108</x:v>
      </x:c>
      <x:c r="CW75" s="102" t="s">
        <x:v>109</x:v>
      </x:c>
      <x:c r="CX75" s="122" t="s">
        <x:v>110</x:v>
      </x:c>
      <x:c r="CY75" s="120" t="s">
        <x:v>111</x:v>
      </x:c>
      <x:c r="CZ75" s="400"/>
      <x:c r="DB75" s="423"/>
      <x:c r="DC75" s="424"/>
      <x:c r="DD75" s="423"/>
      <x:c r="DE75" s="423"/>
    </x:row>
    <x:row r="76" spans="1:109" ht="18" customHeight="1" s="8" customFormat="1">
      <x:c r="A76" s="605"/>
      <x:c r="B76" s="601"/>
      <x:c r="C76" s="505"/>
      <x:c r="D76" s="505"/>
      <x:c r="E76" s="505"/>
      <x:c r="F76" s="607" t="s">
        <x:v>112</x:v>
      </x:c>
      <x:c r="G76" s="608"/>
      <x:c r="H76" s="608"/>
      <x:c r="I76" s="608"/>
      <x:c r="J76" s="608"/>
      <x:c r="K76" s="609"/>
      <x:c r="L76" s="610">
        <x:f>600*10%</x:f>
      </x:c>
      <x:c r="M76" s="611"/>
      <x:c r="N76" s="611"/>
      <x:c r="O76" s="611"/>
      <x:c r="P76" s="612" t="s">
        <x:v>113</x:v>
      </x:c>
      <x:c r="Q76" s="612"/>
      <x:c r="R76" s="613"/>
      <x:c r="S76" s="181" t="s">
        <x:v>124</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114</x:v>
      </x:c>
      <x:c r="BY76" s="83">
        <x:v>0.07</x:v>
      </x:c>
      <x:c r="BZ76" s="71">
        <x:f>P76</x:f>
      </x:c>
      <x:c r="CA76" s="191">
        <x:v>2</x:v>
      </x:c>
      <x:c r="CB76" s="77">
        <x:f>BY76/CA76</x:f>
      </x:c>
      <x:c r="CC76" s="4"/>
      <x:c r="CD76" s="70" t="s">
        <x:v>115</x:v>
      </x:c>
      <x:c r="CE76" s="88">
        <x:v>0</x:v>
      </x:c>
      <x:c r="CF76" s="71">
        <x:f>BZ76</x:f>
      </x:c>
      <x:c r="CG76" s="80">
        <x:f>SQRT(3)</x:f>
      </x:c>
      <x:c r="CH76" s="77">
        <x:f>CE76/CG76</x:f>
      </x:c>
      <x:c r="CI76" s="4"/>
      <x:c r="CJ76" s="70" t="s">
        <x:v>116</x:v>
      </x:c>
      <x:c r="CK76" s="176">
        <x:v>0.1</x:v>
      </x:c>
      <x:c r="CL76" s="71">
        <x:f>P76</x:f>
      </x:c>
      <x:c r="CM76" s="80">
        <x:f>SQRT(12)</x:f>
      </x:c>
      <x:c r="CN76" s="77">
        <x:f>CK76/CM76</x:f>
      </x:c>
      <x:c r="CO76" s="4"/>
      <x:c r="CP76" s="70" t="s">
        <x:v>117</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113</x:v>
      </x:c>
      <x:c r="Q77" s="612"/>
      <x:c r="R77" s="613"/>
      <x:c r="S77" s="181" t="s">
        <x:v>125</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114</x:v>
      </x:c>
      <x:c r="BY77" s="6">
        <x:v>0.07</x:v>
      </x:c>
      <x:c r="BZ77" s="1">
        <x:f>P77</x:f>
      </x:c>
      <x:c r="CA77" s="180">
        <x:v>2</x:v>
      </x:c>
      <x:c r="CB77" s="78">
        <x:f>BY77/CA77</x:f>
      </x:c>
      <x:c r="CC77" s="4"/>
      <x:c r="CD77" s="72" t="s">
        <x:v>115</x:v>
      </x:c>
      <x:c r="CE77" s="5">
        <x:v>0</x:v>
      </x:c>
      <x:c r="CF77" s="1">
        <x:f>BZ77</x:f>
      </x:c>
      <x:c r="CG77" s="81">
        <x:f>SQRT(3)</x:f>
      </x:c>
      <x:c r="CH77" s="78">
        <x:f>CE77/CG77</x:f>
      </x:c>
      <x:c r="CI77" s="4"/>
      <x:c r="CJ77" s="72" t="s">
        <x:v>116</x:v>
      </x:c>
      <x:c r="CK77" s="181">
        <x:v>0.1</x:v>
      </x:c>
      <x:c r="CL77" s="1">
        <x:f>P77</x:f>
      </x:c>
      <x:c r="CM77" s="81">
        <x:f>SQRT(12)</x:f>
      </x:c>
      <x:c r="CN77" s="78">
        <x:f>CK77/CM77</x:f>
      </x:c>
      <x:c r="CO77" s="4"/>
      <x:c r="CP77" s="72" t="s">
        <x:v>117</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113</x:v>
      </x:c>
      <x:c r="Q78" s="612"/>
      <x:c r="R78" s="613"/>
      <x:c r="S78" s="181" t="s">
        <x:v>124</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114</x:v>
      </x:c>
      <x:c r="BY78" s="179">
        <x:v>0.91</x:v>
      </x:c>
      <x:c r="BZ78" s="1">
        <x:f>P78</x:f>
      </x:c>
      <x:c r="CA78" s="180">
        <x:v>2</x:v>
      </x:c>
      <x:c r="CB78" s="78">
        <x:f>BY78/CA78</x:f>
      </x:c>
      <x:c r="CC78" s="4"/>
      <x:c r="CD78" s="72" t="s">
        <x:v>115</x:v>
      </x:c>
      <x:c r="CE78" s="5">
        <x:v>0</x:v>
      </x:c>
      <x:c r="CF78" s="1">
        <x:f>BZ78</x:f>
      </x:c>
      <x:c r="CG78" s="81">
        <x:f>SQRT(3)</x:f>
      </x:c>
      <x:c r="CH78" s="78">
        <x:f>CE78/CG78</x:f>
      </x:c>
      <x:c r="CI78" s="4"/>
      <x:c r="CJ78" s="72" t="s">
        <x:v>116</x:v>
      </x:c>
      <x:c r="CK78" s="181">
        <x:v>0.1</x:v>
      </x:c>
      <x:c r="CL78" s="1">
        <x:f>P78</x:f>
      </x:c>
      <x:c r="CM78" s="81">
        <x:f>SQRT(12)</x:f>
      </x:c>
      <x:c r="CN78" s="78">
        <x:f>CK78/CM78</x:f>
      </x:c>
      <x:c r="CO78" s="4"/>
      <x:c r="CP78" s="72" t="s">
        <x:v>117</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113</x:v>
      </x:c>
      <x:c r="Q79" s="612"/>
      <x:c r="R79" s="613"/>
      <x:c r="S79" s="181" t="s">
        <x:v>125</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114</x:v>
      </x:c>
      <x:c r="BY79" s="179">
        <x:v>0.91</x:v>
      </x:c>
      <x:c r="BZ79" s="208">
        <x:f>P79</x:f>
      </x:c>
      <x:c r="CA79" s="180">
        <x:v>2</x:v>
      </x:c>
      <x:c r="CB79" s="78">
        <x:f>BY79/CA79</x:f>
      </x:c>
      <x:c r="CC79" s="4"/>
      <x:c r="CD79" s="72" t="s">
        <x:v>115</x:v>
      </x:c>
      <x:c r="CE79" s="5">
        <x:v>0</x:v>
      </x:c>
      <x:c r="CF79" s="1">
        <x:f>BZ79</x:f>
      </x:c>
      <x:c r="CG79" s="81">
        <x:f>SQRT(3)</x:f>
      </x:c>
      <x:c r="CH79" s="78">
        <x:f>CE79/CG79</x:f>
      </x:c>
      <x:c r="CI79" s="4"/>
      <x:c r="CJ79" s="72" t="s">
        <x:v>116</x:v>
      </x:c>
      <x:c r="CK79" s="181">
        <x:v>0.1</x:v>
      </x:c>
      <x:c r="CL79" s="1">
        <x:f>P79</x:f>
      </x:c>
      <x:c r="CM79" s="81">
        <x:f>SQRT(12)</x:f>
      </x:c>
      <x:c r="CN79" s="78">
        <x:f>CK79/CM79</x:f>
      </x:c>
      <x:c r="CO79" s="4"/>
      <x:c r="CP79" s="72" t="s">
        <x:v>117</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118</x:v>
      </x:c>
      <x:c r="G80" s="608"/>
      <x:c r="H80" s="608"/>
      <x:c r="I80" s="608"/>
      <x:c r="J80" s="608"/>
      <x:c r="K80" s="609"/>
      <x:c r="L80" s="610">
        <x:f>6*10%</x:f>
      </x:c>
      <x:c r="M80" s="611"/>
      <x:c r="N80" s="611"/>
      <x:c r="O80" s="611"/>
      <x:c r="P80" s="612" t="s">
        <x:v>119</x:v>
      </x:c>
      <x:c r="Q80" s="612"/>
      <x:c r="R80" s="613"/>
      <x:c r="S80" s="181" t="s">
        <x:v>124</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114</x:v>
      </x:c>
      <x:c r="BY80" s="6">
        <x:v>0.00091</x:v>
      </x:c>
      <x:c r="BZ80" s="1">
        <x:f>P80</x:f>
      </x:c>
      <x:c r="CA80" s="175">
        <x:v>2</x:v>
      </x:c>
      <x:c r="CB80" s="209">
        <x:f>BY80/CA80</x:f>
      </x:c>
      <x:c r="CC80" s="4"/>
      <x:c r="CD80" s="70" t="s">
        <x:v>115</x:v>
      </x:c>
      <x:c r="CE80" s="88">
        <x:v>0</x:v>
      </x:c>
      <x:c r="CF80" s="71">
        <x:f>BZ80</x:f>
      </x:c>
      <x:c r="CG80" s="80">
        <x:f>SQRT(3)</x:f>
      </x:c>
      <x:c r="CH80" s="77">
        <x:f>CE80/CG80</x:f>
      </x:c>
      <x:c r="CI80" s="4"/>
      <x:c r="CJ80" s="70" t="s">
        <x:v>116</x:v>
      </x:c>
      <x:c r="CK80" s="176">
        <x:v>0.001</x:v>
      </x:c>
      <x:c r="CL80" s="71">
        <x:f>P80</x:f>
      </x:c>
      <x:c r="CM80" s="80">
        <x:f>SQRT(12)</x:f>
      </x:c>
      <x:c r="CN80" s="77">
        <x:f>CK80/CM80</x:f>
      </x:c>
      <x:c r="CO80" s="4"/>
      <x:c r="CP80" s="70" t="s">
        <x:v>117</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119</x:v>
      </x:c>
      <x:c r="Q81" s="612"/>
      <x:c r="R81" s="613"/>
      <x:c r="S81" s="181" t="s">
        <x:v>125</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114</x:v>
      </x:c>
      <x:c r="BY81" s="6">
        <x:v>0.00091</x:v>
      </x:c>
      <x:c r="BZ81" s="1">
        <x:f>P81</x:f>
      </x:c>
      <x:c r="CA81" s="180">
        <x:v>2</x:v>
      </x:c>
      <x:c r="CB81" s="78">
        <x:f>BY81/CA81</x:f>
      </x:c>
      <x:c r="CC81" s="4"/>
      <x:c r="CD81" s="72" t="s">
        <x:v>115</x:v>
      </x:c>
      <x:c r="CE81" s="5">
        <x:v>0</x:v>
      </x:c>
      <x:c r="CF81" s="1">
        <x:f>BZ81</x:f>
      </x:c>
      <x:c r="CG81" s="81">
        <x:f>SQRT(3)</x:f>
      </x:c>
      <x:c r="CH81" s="78">
        <x:f>CE81/CG81</x:f>
      </x:c>
      <x:c r="CI81" s="4"/>
      <x:c r="CJ81" s="72" t="s">
        <x:v>116</x:v>
      </x:c>
      <x:c r="CK81" s="181">
        <x:v>0.001</x:v>
      </x:c>
      <x:c r="CL81" s="1">
        <x:f>P81</x:f>
      </x:c>
      <x:c r="CM81" s="81">
        <x:f>SQRT(12)</x:f>
      </x:c>
      <x:c r="CN81" s="78">
        <x:f>CK81/CM81</x:f>
      </x:c>
      <x:c r="CO81" s="4"/>
      <x:c r="CP81" s="72" t="s">
        <x:v>117</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119</x:v>
      </x:c>
      <x:c r="Q82" s="612"/>
      <x:c r="R82" s="613"/>
      <x:c r="S82" s="181" t="s">
        <x:v>124</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114</x:v>
      </x:c>
      <x:c r="BY82" s="179">
        <x:v>0.0073</x:v>
      </x:c>
      <x:c r="BZ82" s="1">
        <x:f>P82</x:f>
      </x:c>
      <x:c r="CA82" s="180">
        <x:v>2</x:v>
      </x:c>
      <x:c r="CB82" s="78">
        <x:f>BY82/CA82</x:f>
      </x:c>
      <x:c r="CC82" s="4"/>
      <x:c r="CD82" s="72" t="s">
        <x:v>115</x:v>
      </x:c>
      <x:c r="CE82" s="5">
        <x:v>0</x:v>
      </x:c>
      <x:c r="CF82" s="1">
        <x:f>BZ82</x:f>
      </x:c>
      <x:c r="CG82" s="81">
        <x:f>SQRT(3)</x:f>
      </x:c>
      <x:c r="CH82" s="78">
        <x:f>CE82/CG82</x:f>
      </x:c>
      <x:c r="CI82" s="4"/>
      <x:c r="CJ82" s="72" t="s">
        <x:v>116</x:v>
      </x:c>
      <x:c r="CK82" s="181">
        <x:v>0.001</x:v>
      </x:c>
      <x:c r="CL82" s="1">
        <x:f>P82</x:f>
      </x:c>
      <x:c r="CM82" s="81">
        <x:f>SQRT(12)</x:f>
      </x:c>
      <x:c r="CN82" s="78">
        <x:f>CK82/CM82</x:f>
      </x:c>
      <x:c r="CO82" s="4"/>
      <x:c r="CP82" s="72" t="s">
        <x:v>117</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119</x:v>
      </x:c>
      <x:c r="Q83" s="612"/>
      <x:c r="R83" s="613"/>
      <x:c r="S83" s="181" t="s">
        <x:v>125</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114</x:v>
      </x:c>
      <x:c r="BY83" s="179">
        <x:v>0.0073</x:v>
      </x:c>
      <x:c r="BZ83" s="1">
        <x:f>P83</x:f>
      </x:c>
      <x:c r="CA83" s="180">
        <x:v>2</x:v>
      </x:c>
      <x:c r="CB83" s="78">
        <x:f>BY83/CA83</x:f>
      </x:c>
      <x:c r="CC83" s="4"/>
      <x:c r="CD83" s="72" t="s">
        <x:v>115</x:v>
      </x:c>
      <x:c r="CE83" s="5">
        <x:v>0</x:v>
      </x:c>
      <x:c r="CF83" s="1">
        <x:f>BZ83</x:f>
      </x:c>
      <x:c r="CG83" s="81">
        <x:f>SQRT(3)</x:f>
      </x:c>
      <x:c r="CH83" s="78">
        <x:f>CE83/CG83</x:f>
      </x:c>
      <x:c r="CI83" s="4"/>
      <x:c r="CJ83" s="72" t="s">
        <x:v>116</x:v>
      </x:c>
      <x:c r="CK83" s="181">
        <x:v>0.001</x:v>
      </x:c>
      <x:c r="CL83" s="1">
        <x:f>P83</x:f>
      </x:c>
      <x:c r="CM83" s="81">
        <x:f>SQRT(12)</x:f>
      </x:c>
      <x:c r="CN83" s="78">
        <x:f>CK83/CM83</x:f>
      </x:c>
      <x:c r="CO83" s="4"/>
      <x:c r="CP83" s="72" t="s">
        <x:v>117</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120</x:v>
      </x:c>
      <x:c r="G84" s="608"/>
      <x:c r="H84" s="608"/>
      <x:c r="I84" s="608"/>
      <x:c r="J84" s="608"/>
      <x:c r="K84" s="609"/>
      <x:c r="L84" s="610">
        <x:f>60*10%</x:f>
      </x:c>
      <x:c r="M84" s="611"/>
      <x:c r="N84" s="611"/>
      <x:c r="O84" s="611"/>
      <x:c r="P84" s="612" t="s">
        <x:v>119</x:v>
      </x:c>
      <x:c r="Q84" s="612"/>
      <x:c r="R84" s="613"/>
      <x:c r="S84" s="181" t="s">
        <x:v>124</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114</x:v>
      </x:c>
      <x:c r="BY84" s="179">
        <x:v>0.0073</x:v>
      </x:c>
      <x:c r="BZ84" s="1">
        <x:f>P84</x:f>
      </x:c>
      <x:c r="CA84" s="180">
        <x:v>2</x:v>
      </x:c>
      <x:c r="CB84" s="78">
        <x:f>BY84/CA84</x:f>
      </x:c>
      <x:c r="CC84" s="4"/>
      <x:c r="CD84" s="72" t="s">
        <x:v>115</x:v>
      </x:c>
      <x:c r="CE84" s="5">
        <x:v>0</x:v>
      </x:c>
      <x:c r="CF84" s="1">
        <x:f>BZ84</x:f>
      </x:c>
      <x:c r="CG84" s="81">
        <x:f>SQRT(3)</x:f>
      </x:c>
      <x:c r="CH84" s="78">
        <x:f>CE84/CG84</x:f>
      </x:c>
      <x:c r="CI84" s="4"/>
      <x:c r="CJ84" s="72" t="s">
        <x:v>116</x:v>
      </x:c>
      <x:c r="CK84" s="181">
        <x:v>0.01</x:v>
      </x:c>
      <x:c r="CL84" s="1">
        <x:f>P84</x:f>
      </x:c>
      <x:c r="CM84" s="81">
        <x:f>SQRT(12)</x:f>
      </x:c>
      <x:c r="CN84" s="78">
        <x:f>CK84/CM84</x:f>
      </x:c>
      <x:c r="CO84" s="4"/>
      <x:c r="CP84" s="72" t="s">
        <x:v>117</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119</x:v>
      </x:c>
      <x:c r="Q85" s="612"/>
      <x:c r="R85" s="613"/>
      <x:c r="S85" s="181" t="s">
        <x:v>125</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114</x:v>
      </x:c>
      <x:c r="BY85" s="179">
        <x:v>0.0073</x:v>
      </x:c>
      <x:c r="BZ85" s="1">
        <x:f>P85</x:f>
      </x:c>
      <x:c r="CA85" s="180">
        <x:v>2</x:v>
      </x:c>
      <x:c r="CB85" s="78">
        <x:f>BY85/CA85</x:f>
      </x:c>
      <x:c r="CC85" s="4"/>
      <x:c r="CD85" s="72" t="s">
        <x:v>115</x:v>
      </x:c>
      <x:c r="CE85" s="5">
        <x:v>0</x:v>
      </x:c>
      <x:c r="CF85" s="1">
        <x:f>BZ85</x:f>
      </x:c>
      <x:c r="CG85" s="81">
        <x:f>SQRT(3)</x:f>
      </x:c>
      <x:c r="CH85" s="78">
        <x:f>CE85/CG85</x:f>
      </x:c>
      <x:c r="CI85" s="4"/>
      <x:c r="CJ85" s="72" t="s">
        <x:v>116</x:v>
      </x:c>
      <x:c r="CK85" s="181">
        <x:v>0.01</x:v>
      </x:c>
      <x:c r="CL85" s="1">
        <x:f>P85</x:f>
      </x:c>
      <x:c r="CM85" s="81">
        <x:f>SQRT(12)</x:f>
      </x:c>
      <x:c r="CN85" s="78">
        <x:f>CK85/CM85</x:f>
      </x:c>
      <x:c r="CO85" s="4"/>
      <x:c r="CP85" s="72" t="s">
        <x:v>117</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119</x:v>
      </x:c>
      <x:c r="Q86" s="612"/>
      <x:c r="R86" s="613"/>
      <x:c r="S86" s="181" t="s">
        <x:v>124</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114</x:v>
      </x:c>
      <x:c r="BY86" s="179">
        <x:v>0.0073</x:v>
      </x:c>
      <x:c r="BZ86" s="1">
        <x:f>P86</x:f>
      </x:c>
      <x:c r="CA86" s="180">
        <x:v>2</x:v>
      </x:c>
      <x:c r="CB86" s="78">
        <x:f>BY86/CA86</x:f>
      </x:c>
      <x:c r="CC86" s="4"/>
      <x:c r="CD86" s="72" t="s">
        <x:v>115</x:v>
      </x:c>
      <x:c r="CE86" s="5">
        <x:v>0</x:v>
      </x:c>
      <x:c r="CF86" s="1">
        <x:f>BZ86</x:f>
      </x:c>
      <x:c r="CG86" s="81">
        <x:f>SQRT(3)</x:f>
      </x:c>
      <x:c r="CH86" s="78">
        <x:f>CE86/CG86</x:f>
      </x:c>
      <x:c r="CI86" s="4"/>
      <x:c r="CJ86" s="72" t="s">
        <x:v>116</x:v>
      </x:c>
      <x:c r="CK86" s="181">
        <x:v>0.01</x:v>
      </x:c>
      <x:c r="CL86" s="1">
        <x:f>P86</x:f>
      </x:c>
      <x:c r="CM86" s="81">
        <x:f>SQRT(12)</x:f>
      </x:c>
      <x:c r="CN86" s="78">
        <x:f>CK86/CM86</x:f>
      </x:c>
      <x:c r="CO86" s="4"/>
      <x:c r="CP86" s="72" t="s">
        <x:v>117</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119</x:v>
      </x:c>
      <x:c r="Q87" s="612"/>
      <x:c r="R87" s="613"/>
      <x:c r="S87" s="181" t="s">
        <x:v>125</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114</x:v>
      </x:c>
      <x:c r="BY87" s="179">
        <x:v>0.0073</x:v>
      </x:c>
      <x:c r="BZ87" s="1">
        <x:f>P87</x:f>
      </x:c>
      <x:c r="CA87" s="180">
        <x:v>2</x:v>
      </x:c>
      <x:c r="CB87" s="78">
        <x:f>BY87/CA87</x:f>
      </x:c>
      <x:c r="CC87" s="4"/>
      <x:c r="CD87" s="72" t="s">
        <x:v>115</x:v>
      </x:c>
      <x:c r="CE87" s="5">
        <x:v>0</x:v>
      </x:c>
      <x:c r="CF87" s="1">
        <x:f>BZ87</x:f>
      </x:c>
      <x:c r="CG87" s="81">
        <x:f>SQRT(3)</x:f>
      </x:c>
      <x:c r="CH87" s="78">
        <x:f>CE87/CG87</x:f>
      </x:c>
      <x:c r="CI87" s="4"/>
      <x:c r="CJ87" s="72" t="s">
        <x:v>116</x:v>
      </x:c>
      <x:c r="CK87" s="181">
        <x:v>0.01</x:v>
      </x:c>
      <x:c r="CL87" s="1">
        <x:f>P87</x:f>
      </x:c>
      <x:c r="CM87" s="81">
        <x:f>SQRT(12)</x:f>
      </x:c>
      <x:c r="CN87" s="78">
        <x:f>CK87/CM87</x:f>
      </x:c>
      <x:c r="CO87" s="4"/>
      <x:c r="CP87" s="72" t="s">
        <x:v>117</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119</x:v>
      </x:c>
      <x:c r="Q88" s="612"/>
      <x:c r="R88" s="613"/>
      <x:c r="S88" s="181" t="s">
        <x:v>124</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114</x:v>
      </x:c>
      <x:c r="BY88" s="179">
        <x:v>0.071</x:v>
      </x:c>
      <x:c r="BZ88" s="1">
        <x:f>P88</x:f>
      </x:c>
      <x:c r="CA88" s="180">
        <x:v>2</x:v>
      </x:c>
      <x:c r="CB88" s="78">
        <x:f>BY88/CA88</x:f>
      </x:c>
      <x:c r="CC88" s="4"/>
      <x:c r="CD88" s="72" t="s">
        <x:v>115</x:v>
      </x:c>
      <x:c r="CE88" s="5">
        <x:v>0</x:v>
      </x:c>
      <x:c r="CF88" s="1">
        <x:f>BZ88</x:f>
      </x:c>
      <x:c r="CG88" s="81">
        <x:f>SQRT(3)</x:f>
      </x:c>
      <x:c r="CH88" s="78">
        <x:f>CE88/CG88</x:f>
      </x:c>
      <x:c r="CI88" s="4"/>
      <x:c r="CJ88" s="72" t="s">
        <x:v>116</x:v>
      </x:c>
      <x:c r="CK88" s="181">
        <x:v>0.01</x:v>
      </x:c>
      <x:c r="CL88" s="1">
        <x:f>P88</x:f>
      </x:c>
      <x:c r="CM88" s="81">
        <x:f>SQRT(12)</x:f>
      </x:c>
      <x:c r="CN88" s="78">
        <x:f>CK88/CM88</x:f>
      </x:c>
      <x:c r="CO88" s="4"/>
      <x:c r="CP88" s="72" t="s">
        <x:v>117</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119</x:v>
      </x:c>
      <x:c r="Q89" s="612"/>
      <x:c r="R89" s="613"/>
      <x:c r="S89" s="181" t="s">
        <x:v>125</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114</x:v>
      </x:c>
      <x:c r="BY89" s="179">
        <x:v>0.071</x:v>
      </x:c>
      <x:c r="BZ89" s="1">
        <x:f>P89</x:f>
      </x:c>
      <x:c r="CA89" s="180">
        <x:v>2</x:v>
      </x:c>
      <x:c r="CB89" s="78">
        <x:f>BY89/CA89</x:f>
      </x:c>
      <x:c r="CC89" s="4"/>
      <x:c r="CD89" s="72" t="s">
        <x:v>115</x:v>
      </x:c>
      <x:c r="CE89" s="5">
        <x:v>0</x:v>
      </x:c>
      <x:c r="CF89" s="1">
        <x:f>BZ89</x:f>
      </x:c>
      <x:c r="CG89" s="81">
        <x:f>SQRT(3)</x:f>
      </x:c>
      <x:c r="CH89" s="78">
        <x:f>CE89/CG89</x:f>
      </x:c>
      <x:c r="CI89" s="4"/>
      <x:c r="CJ89" s="72" t="s">
        <x:v>116</x:v>
      </x:c>
      <x:c r="CK89" s="181">
        <x:v>0.01</x:v>
      </x:c>
      <x:c r="CL89" s="1">
        <x:f>P89</x:f>
      </x:c>
      <x:c r="CM89" s="81">
        <x:f>SQRT(12)</x:f>
      </x:c>
      <x:c r="CN89" s="78">
        <x:f>CK89/CM89</x:f>
      </x:c>
      <x:c r="CO89" s="4"/>
      <x:c r="CP89" s="72" t="s">
        <x:v>117</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121</x:v>
      </x:c>
      <x:c r="G90" s="608"/>
      <x:c r="H90" s="608"/>
      <x:c r="I90" s="608"/>
      <x:c r="J90" s="608"/>
      <x:c r="K90" s="609"/>
      <x:c r="L90" s="610">
        <x:v>60</x:v>
      </x:c>
      <x:c r="M90" s="611"/>
      <x:c r="N90" s="611"/>
      <x:c r="O90" s="611"/>
      <x:c r="P90" s="612" t="s">
        <x:v>119</x:v>
      </x:c>
      <x:c r="Q90" s="612"/>
      <x:c r="R90" s="613"/>
      <x:c r="S90" s="181" t="s">
        <x:v>124</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114</x:v>
      </x:c>
      <x:c r="BY90" s="179">
        <x:v>0.071</x:v>
      </x:c>
      <x:c r="BZ90" s="1">
        <x:f>P90</x:f>
      </x:c>
      <x:c r="CA90" s="180">
        <x:v>2</x:v>
      </x:c>
      <x:c r="CB90" s="78">
        <x:f>BY90/CA90</x:f>
      </x:c>
      <x:c r="CC90" s="4"/>
      <x:c r="CD90" s="72" t="s">
        <x:v>115</x:v>
      </x:c>
      <x:c r="CE90" s="5">
        <x:v>0</x:v>
      </x:c>
      <x:c r="CF90" s="1">
        <x:f>BZ90</x:f>
      </x:c>
      <x:c r="CG90" s="81">
        <x:f>SQRT(3)</x:f>
      </x:c>
      <x:c r="CH90" s="78">
        <x:f>CE90/CG90</x:f>
      </x:c>
      <x:c r="CI90" s="4"/>
      <x:c r="CJ90" s="72" t="s">
        <x:v>116</x:v>
      </x:c>
      <x:c r="CK90" s="181">
        <x:v>0.1</x:v>
      </x:c>
      <x:c r="CL90" s="1">
        <x:f>P90</x:f>
      </x:c>
      <x:c r="CM90" s="81">
        <x:f>SQRT(12)</x:f>
      </x:c>
      <x:c r="CN90" s="78">
        <x:f>CK90/CM90</x:f>
      </x:c>
      <x:c r="CO90" s="4"/>
      <x:c r="CP90" s="72" t="s">
        <x:v>117</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119</x:v>
      </x:c>
      <x:c r="Q91" s="612"/>
      <x:c r="R91" s="613"/>
      <x:c r="S91" s="181" t="s">
        <x:v>125</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114</x:v>
      </x:c>
      <x:c r="BY91" s="179">
        <x:v>0.071</x:v>
      </x:c>
      <x:c r="BZ91" s="1">
        <x:f>P91</x:f>
      </x:c>
      <x:c r="CA91" s="180">
        <x:v>2</x:v>
      </x:c>
      <x:c r="CB91" s="78">
        <x:f>BY91/CA91</x:f>
      </x:c>
      <x:c r="CC91" s="4"/>
      <x:c r="CD91" s="72" t="s">
        <x:v>115</x:v>
      </x:c>
      <x:c r="CE91" s="5">
        <x:v>0</x:v>
      </x:c>
      <x:c r="CF91" s="1">
        <x:f>BZ91</x:f>
      </x:c>
      <x:c r="CG91" s="81">
        <x:f>SQRT(3)</x:f>
      </x:c>
      <x:c r="CH91" s="78">
        <x:f>CE91/CG91</x:f>
      </x:c>
      <x:c r="CI91" s="4"/>
      <x:c r="CJ91" s="72" t="s">
        <x:v>116</x:v>
      </x:c>
      <x:c r="CK91" s="181">
        <x:v>0.1</x:v>
      </x:c>
      <x:c r="CL91" s="1">
        <x:f>P91</x:f>
      </x:c>
      <x:c r="CM91" s="81">
        <x:f>SQRT(12)</x:f>
      </x:c>
      <x:c r="CN91" s="78">
        <x:f>CK91/CM91</x:f>
      </x:c>
      <x:c r="CO91" s="4"/>
      <x:c r="CP91" s="72" t="s">
        <x:v>117</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119</x:v>
      </x:c>
      <x:c r="Q92" s="612"/>
      <x:c r="R92" s="613"/>
      <x:c r="S92" s="181" t="s">
        <x:v>124</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114</x:v>
      </x:c>
      <x:c r="BY92" s="224">
        <x:v>0.071</x:v>
      </x:c>
      <x:c r="BZ92" s="1">
        <x:f>P92</x:f>
      </x:c>
      <x:c r="CA92" s="180">
        <x:v>2</x:v>
      </x:c>
      <x:c r="CB92" s="78">
        <x:f>BY92/CA92</x:f>
      </x:c>
      <x:c r="CC92" s="4"/>
      <x:c r="CD92" s="72" t="s">
        <x:v>115</x:v>
      </x:c>
      <x:c r="CE92" s="5">
        <x:v>0</x:v>
      </x:c>
      <x:c r="CF92" s="1">
        <x:f>BZ92</x:f>
      </x:c>
      <x:c r="CG92" s="81">
        <x:f>SQRT(3)</x:f>
      </x:c>
      <x:c r="CH92" s="78">
        <x:f>CE92/CG92</x:f>
      </x:c>
      <x:c r="CI92" s="4"/>
      <x:c r="CJ92" s="72" t="s">
        <x:v>116</x:v>
      </x:c>
      <x:c r="CK92" s="181">
        <x:v>0.1</x:v>
      </x:c>
      <x:c r="CL92" s="1">
        <x:f>P92</x:f>
      </x:c>
      <x:c r="CM92" s="81">
        <x:f>SQRT(12)</x:f>
      </x:c>
      <x:c r="CN92" s="78">
        <x:f>CK92/CM92</x:f>
      </x:c>
      <x:c r="CO92" s="4"/>
      <x:c r="CP92" s="72" t="s">
        <x:v>117</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119</x:v>
      </x:c>
      <x:c r="Q93" s="612"/>
      <x:c r="R93" s="613"/>
      <x:c r="S93" s="181" t="s">
        <x:v>125</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114</x:v>
      </x:c>
      <x:c r="BY93" s="224">
        <x:v>0.071</x:v>
      </x:c>
      <x:c r="BZ93" s="1">
        <x:f>P93</x:f>
      </x:c>
      <x:c r="CA93" s="180">
        <x:v>2</x:v>
      </x:c>
      <x:c r="CB93" s="78">
        <x:f>BY93/CA93</x:f>
      </x:c>
      <x:c r="CC93" s="4"/>
      <x:c r="CD93" s="73" t="s">
        <x:v>115</x:v>
      </x:c>
      <x:c r="CE93" s="89">
        <x:v>0</x:v>
      </x:c>
      <x:c r="CF93" s="74">
        <x:f>BZ93</x:f>
      </x:c>
      <x:c r="CG93" s="82">
        <x:f>SQRT(3)</x:f>
      </x:c>
      <x:c r="CH93" s="79">
        <x:f>CE93/CG93</x:f>
      </x:c>
      <x:c r="CI93" s="4"/>
      <x:c r="CJ93" s="73" t="s">
        <x:v>116</x:v>
      </x:c>
      <x:c r="CK93" s="183">
        <x:v>0.1</x:v>
      </x:c>
      <x:c r="CL93" s="74">
        <x:f>P93</x:f>
      </x:c>
      <x:c r="CM93" s="82">
        <x:f>SQRT(12)</x:f>
      </x:c>
      <x:c r="CN93" s="79">
        <x:f>CK93/CM93</x:f>
      </x:c>
      <x:c r="CO93" s="4"/>
      <x:c r="CP93" s="73" t="s">
        <x:v>117</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122</x:v>
      </x:c>
      <x:c r="G94" s="608"/>
      <x:c r="H94" s="608"/>
      <x:c r="I94" s="608"/>
      <x:c r="J94" s="608"/>
      <x:c r="K94" s="609"/>
      <x:c r="L94" s="610">
        <x:f>1000*10%</x:f>
      </x:c>
      <x:c r="M94" s="611"/>
      <x:c r="N94" s="611"/>
      <x:c r="O94" s="611"/>
      <x:c r="P94" s="612" t="s">
        <x:v>119</x:v>
      </x:c>
      <x:c r="Q94" s="612"/>
      <x:c r="R94" s="613"/>
      <x:c r="S94" s="181" t="s">
        <x:v>124</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114</x:v>
      </x:c>
      <x:c r="BY94" s="224">
        <x:v>0.071</x:v>
      </x:c>
      <x:c r="BZ94" s="76">
        <x:f>P94</x:f>
      </x:c>
      <x:c r="CA94" s="175">
        <x:v>2</x:v>
      </x:c>
      <x:c r="CB94" s="209">
        <x:f>BY94/CA94</x:f>
      </x:c>
      <x:c r="CC94" s="4"/>
      <x:c r="CD94" s="72" t="s">
        <x:v>115</x:v>
      </x:c>
      <x:c r="CE94" s="5">
        <x:v>0</x:v>
      </x:c>
      <x:c r="CF94" s="1">
        <x:f>BZ94</x:f>
      </x:c>
      <x:c r="CG94" s="81">
        <x:f>SQRT(3)</x:f>
      </x:c>
      <x:c r="CH94" s="78">
        <x:f>CE94/CG94</x:f>
      </x:c>
      <x:c r="CI94" s="4"/>
      <x:c r="CJ94" s="72" t="s">
        <x:v>116</x:v>
      </x:c>
      <x:c r="CK94" s="181">
        <x:v>1</x:v>
      </x:c>
      <x:c r="CL94" s="1">
        <x:f>P94</x:f>
      </x:c>
      <x:c r="CM94" s="81">
        <x:f>SQRT(12)</x:f>
      </x:c>
      <x:c r="CN94" s="78">
        <x:f>CK94/CM94</x:f>
      </x:c>
      <x:c r="CO94" s="4"/>
      <x:c r="CP94" s="72" t="s">
        <x:v>117</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119</x:v>
      </x:c>
      <x:c r="Q95" s="612"/>
      <x:c r="R95" s="613"/>
      <x:c r="S95" s="181" t="s">
        <x:v>125</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114</x:v>
      </x:c>
      <x:c r="BY95" s="224">
        <x:v>0.071</x:v>
      </x:c>
      <x:c r="BZ95" s="1">
        <x:f>P95</x:f>
      </x:c>
      <x:c r="CA95" s="180">
        <x:v>2</x:v>
      </x:c>
      <x:c r="CB95" s="78">
        <x:f>BY95/CA95</x:f>
      </x:c>
      <x:c r="CC95" s="4"/>
      <x:c r="CD95" s="72" t="s">
        <x:v>115</x:v>
      </x:c>
      <x:c r="CE95" s="5">
        <x:v>0</x:v>
      </x:c>
      <x:c r="CF95" s="1">
        <x:f>BZ95</x:f>
      </x:c>
      <x:c r="CG95" s="81">
        <x:f>SQRT(3)</x:f>
      </x:c>
      <x:c r="CH95" s="78">
        <x:f>CE95/CG95</x:f>
      </x:c>
      <x:c r="CI95" s="4"/>
      <x:c r="CJ95" s="72" t="s">
        <x:v>116</x:v>
      </x:c>
      <x:c r="CK95" s="181">
        <x:v>1</x:v>
      </x:c>
      <x:c r="CL95" s="1">
        <x:f>P95</x:f>
      </x:c>
      <x:c r="CM95" s="81">
        <x:f>SQRT(12)</x:f>
      </x:c>
      <x:c r="CN95" s="78">
        <x:f>CK95/CM95</x:f>
      </x:c>
      <x:c r="CO95" s="4"/>
      <x:c r="CP95" s="72" t="s">
        <x:v>117</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119</x:v>
      </x:c>
      <x:c r="Q96" s="612"/>
      <x:c r="R96" s="613"/>
      <x:c r="S96" s="181" t="s">
        <x:v>124</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114</x:v>
      </x:c>
      <x:c r="BY96" s="224">
        <x:v>0.071</x:v>
      </x:c>
      <x:c r="BZ96" s="1">
        <x:f>P96</x:f>
      </x:c>
      <x:c r="CA96" s="180">
        <x:v>2</x:v>
      </x:c>
      <x:c r="CB96" s="78">
        <x:f>BY96/CA96</x:f>
      </x:c>
      <x:c r="CC96" s="4"/>
      <x:c r="CD96" s="72" t="s">
        <x:v>115</x:v>
      </x:c>
      <x:c r="CE96" s="5">
        <x:v>0</x:v>
      </x:c>
      <x:c r="CF96" s="1">
        <x:f>BZ96</x:f>
      </x:c>
      <x:c r="CG96" s="81">
        <x:f>SQRT(3)</x:f>
      </x:c>
      <x:c r="CH96" s="78">
        <x:f>CE96/CG96</x:f>
      </x:c>
      <x:c r="CI96" s="4"/>
      <x:c r="CJ96" s="72" t="s">
        <x:v>116</x:v>
      </x:c>
      <x:c r="CK96" s="181">
        <x:v>1</x:v>
      </x:c>
      <x:c r="CL96" s="1">
        <x:f>P96</x:f>
      </x:c>
      <x:c r="CM96" s="81">
        <x:f>SQRT(12)</x:f>
      </x:c>
      <x:c r="CN96" s="78">
        <x:f>CK96/CM96</x:f>
      </x:c>
      <x:c r="CO96" s="4"/>
      <x:c r="CP96" s="72" t="s">
        <x:v>117</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119</x:v>
      </x:c>
      <x:c r="Q97" s="612"/>
      <x:c r="R97" s="613"/>
      <x:c r="S97" s="181" t="s">
        <x:v>125</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114</x:v>
      </x:c>
      <x:c r="BY97" s="225">
        <x:v>0.071</x:v>
      </x:c>
      <x:c r="BZ97" s="74">
        <x:f>P97</x:f>
      </x:c>
      <x:c r="CA97" s="182">
        <x:v>2</x:v>
      </x:c>
      <x:c r="CB97" s="79">
        <x:f>BY97/CA97</x:f>
      </x:c>
      <x:c r="CC97" s="4"/>
      <x:c r="CD97" s="73" t="s">
        <x:v>115</x:v>
      </x:c>
      <x:c r="CE97" s="89">
        <x:v>0</x:v>
      </x:c>
      <x:c r="CF97" s="74">
        <x:f>BZ97</x:f>
      </x:c>
      <x:c r="CG97" s="82">
        <x:f>SQRT(3)</x:f>
      </x:c>
      <x:c r="CH97" s="79">
        <x:f>CE97/CG97</x:f>
      </x:c>
      <x:c r="CI97" s="4"/>
      <x:c r="CJ97" s="73" t="s">
        <x:v>116</x:v>
      </x:c>
      <x:c r="CK97" s="183">
        <x:v>1</x:v>
      </x:c>
      <x:c r="CL97" s="74">
        <x:f>P97</x:f>
      </x:c>
      <x:c r="CM97" s="82">
        <x:f>SQRT(12)</x:f>
      </x:c>
      <x:c r="CN97" s="79">
        <x:f>CK97/CM97</x:f>
      </x:c>
      <x:c r="CO97" s="4"/>
      <x:c r="CP97" s="73" t="s">
        <x:v>117</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4.25"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126</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88</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291" t="s">
        <x:v>89</x:v>
      </x:c>
      <x:c r="BY99" s="292"/>
      <x:c r="BZ99" s="292"/>
      <x:c r="CA99" s="292"/>
      <x:c r="CB99" s="293"/>
      <x:c r="CC99" s="2"/>
      <x:c r="CD99" s="291" t="s">
        <x:v>89</x:v>
      </x:c>
      <x:c r="CE99" s="292"/>
      <x:c r="CF99" s="292"/>
      <x:c r="CG99" s="292"/>
      <x:c r="CH99" s="293"/>
      <x:c r="CI99" s="2"/>
      <x:c r="CJ99" s="291" t="s">
        <x:v>90</x:v>
      </x:c>
      <x:c r="CK99" s="292"/>
      <x:c r="CL99" s="292"/>
      <x:c r="CM99" s="292"/>
      <x:c r="CN99" s="293"/>
      <x:c r="CO99" s="2"/>
      <x:c r="CP99" s="291" t="s">
        <x:v>90</x:v>
      </x:c>
      <x:c r="CQ99" s="292"/>
      <x:c r="CR99" s="292"/>
      <x:c r="CS99" s="292"/>
      <x:c r="CT99" s="293"/>
      <x:c r="CV99" s="291" t="s">
        <x:v>91</x:v>
      </x:c>
      <x:c r="CW99" s="292"/>
      <x:c r="CX99" s="292"/>
      <x:c r="CY99" s="292"/>
      <x:c r="CZ99" s="293"/>
      <x:c r="DB99" s="423" t="s">
        <x:v>92</x:v>
      </x:c>
      <x:c r="DC99" s="424"/>
      <x:c r="DD99" s="423" t="s">
        <x:v>93</x:v>
      </x:c>
      <x:c r="DE99" s="423"/>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94</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95</x:v>
      </x:c>
      <x:c r="AN100" s="606"/>
      <x:c r="AO100" s="606"/>
      <x:c r="AP100" s="606"/>
      <x:c r="AQ100" s="606"/>
      <x:c r="AR100" s="606" t="s">
        <x:v>40</x:v>
      </x:c>
      <x:c r="AS100" s="606"/>
      <x:c r="AT100" s="606"/>
      <x:c r="AU100" s="606"/>
      <x:c r="AV100" s="606"/>
      <x:c r="AW100" s="505"/>
      <x:c r="AX100" s="505"/>
      <x:c r="AY100" s="505"/>
      <x:c r="AZ100" s="603"/>
      <x:c r="BA100" s="605"/>
      <x:c r="BB100" s="606" t="s">
        <x:v>96</x:v>
      </x:c>
      <x:c r="BC100" s="606"/>
      <x:c r="BD100" s="606"/>
      <x:c r="BE100" s="606"/>
      <x:c r="BF100" s="606"/>
      <x:c r="BG100" s="606" t="s">
        <x:v>97</x:v>
      </x:c>
      <x:c r="BH100" s="606"/>
      <x:c r="BI100" s="606"/>
      <x:c r="BJ100" s="606"/>
      <x:c r="BK100" s="606"/>
      <x:c r="BL100" s="606" t="s">
        <x:v>98</x:v>
      </x:c>
      <x:c r="BM100" s="606"/>
      <x:c r="BN100" s="606"/>
      <x:c r="BO100" s="606"/>
      <x:c r="BP100" s="606"/>
      <x:c r="BQ100" s="606" t="s">
        <x:v>99</x:v>
      </x:c>
      <x:c r="BR100" s="606"/>
      <x:c r="BS100" s="606"/>
      <x:c r="BT100" s="606"/>
      <x:c r="BU100" s="606"/>
      <x:c r="BV100" s="605"/>
      <x:c r="BX100" s="119" t="s">
        <x:v>100</x:v>
      </x:c>
      <x:c r="BY100" s="294" t="s">
        <x:v>41</x:v>
      </x:c>
      <x:c r="BZ100" s="294" t="s">
        <x:v>101</x:v>
      </x:c>
      <x:c r="CA100" s="121" t="s">
        <x:v>102</x:v>
      </x:c>
      <x:c r="CB100" s="296" t="s">
        <x:v>103</x:v>
      </x:c>
      <x:c r="CC100" s="2"/>
      <x:c r="CD100" s="119" t="s">
        <x:v>100</x:v>
      </x:c>
      <x:c r="CE100" s="294" t="s">
        <x:v>41</x:v>
      </x:c>
      <x:c r="CF100" s="294" t="s">
        <x:v>101</x:v>
      </x:c>
      <x:c r="CG100" s="121" t="s">
        <x:v>102</x:v>
      </x:c>
      <x:c r="CH100" s="296" t="s">
        <x:v>103</x:v>
      </x:c>
      <x:c r="CI100" s="2"/>
      <x:c r="CJ100" s="119" t="s">
        <x:v>100</x:v>
      </x:c>
      <x:c r="CK100" s="294" t="s">
        <x:v>41</x:v>
      </x:c>
      <x:c r="CL100" s="294" t="s">
        <x:v>101</x:v>
      </x:c>
      <x:c r="CM100" s="121" t="s">
        <x:v>102</x:v>
      </x:c>
      <x:c r="CN100" s="296" t="s">
        <x:v>103</x:v>
      </x:c>
      <x:c r="CO100" s="2"/>
      <x:c r="CP100" s="119" t="s">
        <x:v>100</x:v>
      </x:c>
      <x:c r="CQ100" s="294" t="s">
        <x:v>41</x:v>
      </x:c>
      <x:c r="CR100" s="294" t="s">
        <x:v>101</x:v>
      </x:c>
      <x:c r="CS100" s="121" t="s">
        <x:v>102</x:v>
      </x:c>
      <x:c r="CT100" s="296" t="s">
        <x:v>103</x:v>
      </x:c>
      <x:c r="CV100" s="119" t="s">
        <x:v>104</x:v>
      </x:c>
      <x:c r="CW100" s="101" t="s">
        <x:v>105</x:v>
      </x:c>
      <x:c r="CX100" s="121" t="s">
        <x:v>106</x:v>
      </x:c>
      <x:c r="CY100" s="119" t="s">
        <x:v>107</x:v>
      </x:c>
      <x:c r="CZ100" s="399"/>
      <x:c r="DB100" s="423"/>
      <x:c r="DC100" s="424"/>
      <x:c r="DD100" s="423"/>
      <x:c r="DE100" s="423"/>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295"/>
      <x:c r="BZ101" s="295"/>
      <x:c r="CA101" s="122"/>
      <x:c r="CB101" s="297"/>
      <x:c r="CC101" s="2"/>
      <x:c r="CD101" s="120"/>
      <x:c r="CE101" s="295"/>
      <x:c r="CF101" s="295"/>
      <x:c r="CG101" s="122"/>
      <x:c r="CH101" s="297"/>
      <x:c r="CI101" s="2"/>
      <x:c r="CJ101" s="120"/>
      <x:c r="CK101" s="295"/>
      <x:c r="CL101" s="295"/>
      <x:c r="CM101" s="122"/>
      <x:c r="CN101" s="297"/>
      <x:c r="CO101" s="2"/>
      <x:c r="CP101" s="120"/>
      <x:c r="CQ101" s="295"/>
      <x:c r="CR101" s="295"/>
      <x:c r="CS101" s="122"/>
      <x:c r="CT101" s="297"/>
      <x:c r="CV101" s="120" t="s">
        <x:v>108</x:v>
      </x:c>
      <x:c r="CW101" s="102" t="s">
        <x:v>109</x:v>
      </x:c>
      <x:c r="CX101" s="122" t="s">
        <x:v>110</x:v>
      </x:c>
      <x:c r="CY101" s="120" t="s">
        <x:v>111</x:v>
      </x:c>
      <x:c r="CZ101" s="400"/>
      <x:c r="DB101" s="423"/>
      <x:c r="DC101" s="424"/>
      <x:c r="DD101" s="423"/>
      <x:c r="DE101" s="423"/>
    </x:row>
    <x:row r="102" spans="1:109" ht="18" customHeight="1" s="8" customFormat="1">
      <x:c r="A102" s="605"/>
      <x:c r="B102" s="601"/>
      <x:c r="C102" s="505"/>
      <x:c r="D102" s="505"/>
      <x:c r="E102" s="505"/>
      <x:c r="F102" s="645" t="s">
        <x:v>127</x:v>
      </x:c>
      <x:c r="G102" s="646"/>
      <x:c r="H102" s="646"/>
      <x:c r="I102" s="646"/>
      <x:c r="J102" s="646"/>
      <x:c r="K102" s="647"/>
      <x:c r="L102" s="610">
        <x:v>0</x:v>
      </x:c>
      <x:c r="M102" s="611"/>
      <x:c r="N102" s="611"/>
      <x:c r="O102" s="611"/>
      <x:c r="P102" s="612" t="s">
        <x:v>128</x:v>
      </x:c>
      <x:c r="Q102" s="612"/>
      <x:c r="R102" s="613"/>
      <x:c r="S102" s="614" t="s">
        <x:v>82</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114</x:v>
      </x:c>
      <x:c r="BY102" s="88">
        <x:v>7.7E-05</x:v>
      </x:c>
      <x:c r="BZ102" s="71">
        <x:f>P102</x:f>
      </x:c>
      <x:c r="CA102" s="191">
        <x:v>2</x:v>
      </x:c>
      <x:c r="CB102" s="77">
        <x:f>BY102/CA102</x:f>
      </x:c>
      <x:c r="CC102" s="4"/>
      <x:c r="CD102" s="70" t="s">
        <x:v>115</x:v>
      </x:c>
      <x:c r="CE102" s="88">
        <x:v>0</x:v>
      </x:c>
      <x:c r="CF102" s="71">
        <x:f>BZ102</x:f>
      </x:c>
      <x:c r="CG102" s="80">
        <x:f>SQRT(3)</x:f>
      </x:c>
      <x:c r="CH102" s="77">
        <x:f>CE102/CG102</x:f>
      </x:c>
      <x:c r="CI102" s="4"/>
      <x:c r="CJ102" s="70" t="s">
        <x:v>116</x:v>
      </x:c>
      <x:c r="CK102" s="176">
        <x:v>0.1</x:v>
      </x:c>
      <x:c r="CL102" s="71">
        <x:f>P102</x:f>
      </x:c>
      <x:c r="CM102" s="80">
        <x:f>SQRT(12)</x:f>
      </x:c>
      <x:c r="CN102" s="77">
        <x:f>CK102/CM102</x:f>
      </x:c>
      <x:c r="CO102" s="4"/>
      <x:c r="CP102" s="70" t="s">
        <x:v>117</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128</x:v>
      </x:c>
      <x:c r="Q103" s="612"/>
      <x:c r="R103" s="613"/>
      <x:c r="S103" s="614" t="s">
        <x:v>82</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114</x:v>
      </x:c>
      <x:c r="BY103" s="179">
        <x:v>0.003</x:v>
      </x:c>
      <x:c r="BZ103" s="1">
        <x:f>P103</x:f>
      </x:c>
      <x:c r="CA103" s="180">
        <x:v>2</x:v>
      </x:c>
      <x:c r="CB103" s="78">
        <x:f>BY103/CA103</x:f>
      </x:c>
      <x:c r="CC103" s="4"/>
      <x:c r="CD103" s="72" t="s">
        <x:v>115</x:v>
      </x:c>
      <x:c r="CE103" s="5">
        <x:v>0</x:v>
      </x:c>
      <x:c r="CF103" s="1">
        <x:f>BZ103</x:f>
      </x:c>
      <x:c r="CG103" s="81">
        <x:f>SQRT(3)</x:f>
      </x:c>
      <x:c r="CH103" s="78">
        <x:f>CE103/CG103</x:f>
      </x:c>
      <x:c r="CI103" s="4"/>
      <x:c r="CJ103" s="72" t="s">
        <x:v>116</x:v>
      </x:c>
      <x:c r="CK103" s="181">
        <x:v>0.1</x:v>
      </x:c>
      <x:c r="CL103" s="1">
        <x:f>P103</x:f>
      </x:c>
      <x:c r="CM103" s="81">
        <x:f>SQRT(12)</x:f>
      </x:c>
      <x:c r="CN103" s="78">
        <x:f>CK103/CM103</x:f>
      </x:c>
      <x:c r="CO103" s="4"/>
      <x:c r="CP103" s="72" t="s">
        <x:v>117</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129</x:v>
      </x:c>
      <x:c r="G104" s="646"/>
      <x:c r="H104" s="646"/>
      <x:c r="I104" s="646"/>
      <x:c r="J104" s="646"/>
      <x:c r="K104" s="647"/>
      <x:c r="L104" s="610">
        <x:f>6*90%</x:f>
      </x:c>
      <x:c r="M104" s="611"/>
      <x:c r="N104" s="611"/>
      <x:c r="O104" s="611"/>
      <x:c r="P104" s="612" t="s">
        <x:v>130</x:v>
      </x:c>
      <x:c r="Q104" s="612"/>
      <x:c r="R104" s="613"/>
      <x:c r="S104" s="614" t="s">
        <x:v>82</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114</x:v>
      </x:c>
      <x:c r="BY104" s="222">
        <x:v>5.5E-05</x:v>
      </x:c>
      <x:c r="BZ104" s="1">
        <x:f>P104</x:f>
      </x:c>
      <x:c r="CA104" s="180">
        <x:v>2</x:v>
      </x:c>
      <x:c r="CB104" s="78">
        <x:f>BY104/CA104</x:f>
      </x:c>
      <x:c r="CC104" s="4"/>
      <x:c r="CD104" s="72" t="s">
        <x:v>115</x:v>
      </x:c>
      <x:c r="CE104" s="5">
        <x:v>0</x:v>
      </x:c>
      <x:c r="CF104" s="1">
        <x:f>BZ104</x:f>
      </x:c>
      <x:c r="CG104" s="81">
        <x:f>SQRT(3)</x:f>
      </x:c>
      <x:c r="CH104" s="78">
        <x:f>CE104/CG104</x:f>
      </x:c>
      <x:c r="CI104" s="4"/>
      <x:c r="CJ104" s="72" t="s">
        <x:v>116</x:v>
      </x:c>
      <x:c r="CK104" s="181">
        <x:v>0.001</x:v>
      </x:c>
      <x:c r="CL104" s="1">
        <x:f>P104</x:f>
      </x:c>
      <x:c r="CM104" s="81">
        <x:f>SQRT(12)</x:f>
      </x:c>
      <x:c r="CN104" s="78">
        <x:f>CK104/CM104</x:f>
      </x:c>
      <x:c r="CO104" s="4"/>
      <x:c r="CP104" s="72" t="s">
        <x:v>117</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131</x:v>
      </x:c>
      <x:c r="G105" s="646"/>
      <x:c r="H105" s="646"/>
      <x:c r="I105" s="646"/>
      <x:c r="J105" s="646"/>
      <x:c r="K105" s="647"/>
      <x:c r="L105" s="610">
        <x:f>60*90%</x:f>
      </x:c>
      <x:c r="M105" s="611"/>
      <x:c r="N105" s="611"/>
      <x:c r="O105" s="611"/>
      <x:c r="P105" s="612" t="s">
        <x:v>130</x:v>
      </x:c>
      <x:c r="Q105" s="612"/>
      <x:c r="R105" s="613"/>
      <x:c r="S105" s="614" t="s">
        <x:v>82</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114</x:v>
      </x:c>
      <x:c r="BY105" s="6">
        <x:v>0.00081</x:v>
      </x:c>
      <x:c r="BZ105" s="1">
        <x:f>P105</x:f>
      </x:c>
      <x:c r="CA105" s="180">
        <x:v>2</x:v>
      </x:c>
      <x:c r="CB105" s="78">
        <x:f>BY105/CA105</x:f>
      </x:c>
      <x:c r="CC105" s="4"/>
      <x:c r="CD105" s="72" t="s">
        <x:v>115</x:v>
      </x:c>
      <x:c r="CE105" s="5">
        <x:v>0</x:v>
      </x:c>
      <x:c r="CF105" s="1">
        <x:f>BZ105</x:f>
      </x:c>
      <x:c r="CG105" s="81">
        <x:f>SQRT(3)</x:f>
      </x:c>
      <x:c r="CH105" s="78">
        <x:f>CE105/CG105</x:f>
      </x:c>
      <x:c r="CI105" s="4"/>
      <x:c r="CJ105" s="72" t="s">
        <x:v>116</x:v>
      </x:c>
      <x:c r="CK105" s="181">
        <x:v>0.01</x:v>
      </x:c>
      <x:c r="CL105" s="1">
        <x:f>P105</x:f>
      </x:c>
      <x:c r="CM105" s="81">
        <x:f>SQRT(12)</x:f>
      </x:c>
      <x:c r="CN105" s="78">
        <x:f>CK105/CM105</x:f>
      </x:c>
      <x:c r="CO105" s="4"/>
      <x:c r="CP105" s="72" t="s">
        <x:v>117</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132</x:v>
      </x:c>
      <x:c r="G106" s="646"/>
      <x:c r="H106" s="646"/>
      <x:c r="I106" s="646"/>
      <x:c r="J106" s="646"/>
      <x:c r="K106" s="647"/>
      <x:c r="L106" s="610">
        <x:f>600*90%</x:f>
      </x:c>
      <x:c r="M106" s="611"/>
      <x:c r="N106" s="611"/>
      <x:c r="O106" s="611"/>
      <x:c r="P106" s="612" t="s">
        <x:v>130</x:v>
      </x:c>
      <x:c r="Q106" s="612"/>
      <x:c r="R106" s="613"/>
      <x:c r="S106" s="614" t="s">
        <x:v>82</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114</x:v>
      </x:c>
      <x:c r="BY106" s="179">
        <x:v>0.0066</x:v>
      </x:c>
      <x:c r="BZ106" s="1">
        <x:f>P106</x:f>
      </x:c>
      <x:c r="CA106" s="180">
        <x:v>2</x:v>
      </x:c>
      <x:c r="CB106" s="78">
        <x:f>BY106/CA106</x:f>
      </x:c>
      <x:c r="CC106" s="4"/>
      <x:c r="CD106" s="72" t="s">
        <x:v>115</x:v>
      </x:c>
      <x:c r="CE106" s="5">
        <x:v>0</x:v>
      </x:c>
      <x:c r="CF106" s="1">
        <x:f>BZ106</x:f>
      </x:c>
      <x:c r="CG106" s="81">
        <x:f>SQRT(3)</x:f>
      </x:c>
      <x:c r="CH106" s="78">
        <x:f>CE106/CG106</x:f>
      </x:c>
      <x:c r="CI106" s="4"/>
      <x:c r="CJ106" s="72" t="s">
        <x:v>116</x:v>
      </x:c>
      <x:c r="CK106" s="181">
        <x:v>0.1</x:v>
      </x:c>
      <x:c r="CL106" s="1">
        <x:f>P106</x:f>
      </x:c>
      <x:c r="CM106" s="81">
        <x:f>SQRT(12)</x:f>
      </x:c>
      <x:c r="CN106" s="78">
        <x:f>CK106/CM106</x:f>
      </x:c>
      <x:c r="CO106" s="4"/>
      <x:c r="CP106" s="72" t="s">
        <x:v>117</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133</x:v>
      </x:c>
      <x:c r="G107" s="646"/>
      <x:c r="H107" s="646"/>
      <x:c r="I107" s="646"/>
      <x:c r="J107" s="646"/>
      <x:c r="K107" s="647"/>
      <x:c r="L107" s="610">
        <x:f>6*90%</x:f>
      </x:c>
      <x:c r="M107" s="611"/>
      <x:c r="N107" s="611"/>
      <x:c r="O107" s="611"/>
      <x:c r="P107" s="612" t="s">
        <x:v>134</x:v>
      </x:c>
      <x:c r="Q107" s="612"/>
      <x:c r="R107" s="613"/>
      <x:c r="S107" s="614" t="s">
        <x:v>82</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114</x:v>
      </x:c>
      <x:c r="BY107" s="6">
        <x:v>0.00048</x:v>
      </x:c>
      <x:c r="BZ107" s="1">
        <x:f>P107</x:f>
      </x:c>
      <x:c r="CA107" s="180">
        <x:v>2</x:v>
      </x:c>
      <x:c r="CB107" s="78">
        <x:f>BY107/CA107</x:f>
      </x:c>
      <x:c r="CC107" s="4"/>
      <x:c r="CD107" s="72" t="s">
        <x:v>115</x:v>
      </x:c>
      <x:c r="CE107" s="5">
        <x:v>0</x:v>
      </x:c>
      <x:c r="CF107" s="1">
        <x:f>BZ107</x:f>
      </x:c>
      <x:c r="CG107" s="81">
        <x:f>SQRT(3)</x:f>
      </x:c>
      <x:c r="CH107" s="78">
        <x:f>CE107/CG107</x:f>
      </x:c>
      <x:c r="CI107" s="4"/>
      <x:c r="CJ107" s="72" t="s">
        <x:v>116</x:v>
      </x:c>
      <x:c r="CK107" s="181">
        <x:v>0.001</x:v>
      </x:c>
      <x:c r="CL107" s="1">
        <x:f>P107</x:f>
      </x:c>
      <x:c r="CM107" s="81">
        <x:f>SQRT(12)</x:f>
      </x:c>
      <x:c r="CN107" s="78">
        <x:f>CK107/CM107</x:f>
      </x:c>
      <x:c r="CO107" s="4"/>
      <x:c r="CP107" s="72" t="s">
        <x:v>117</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135</x:v>
      </x:c>
      <x:c r="G108" s="646"/>
      <x:c r="H108" s="646"/>
      <x:c r="I108" s="646"/>
      <x:c r="J108" s="646"/>
      <x:c r="K108" s="647"/>
      <x:c r="L108" s="610">
        <x:f>50*90%</x:f>
      </x:c>
      <x:c r="M108" s="611"/>
      <x:c r="N108" s="611"/>
      <x:c r="O108" s="611"/>
      <x:c r="P108" s="612" t="s">
        <x:v>134</x:v>
      </x:c>
      <x:c r="Q108" s="612"/>
      <x:c r="R108" s="613"/>
      <x:c r="S108" s="614" t="s">
        <x:v>82</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114</x:v>
      </x:c>
      <x:c r="BY108" s="223">
        <x:v>0.0047</x:v>
      </x:c>
      <x:c r="BZ108" s="74">
        <x:f>P108</x:f>
      </x:c>
      <x:c r="CA108" s="182">
        <x:v>2</x:v>
      </x:c>
      <x:c r="CB108" s="79">
        <x:f>BY108/CA108</x:f>
      </x:c>
      <x:c r="CC108" s="4"/>
      <x:c r="CD108" s="73" t="s">
        <x:v>115</x:v>
      </x:c>
      <x:c r="CE108" s="89">
        <x:v>0</x:v>
      </x:c>
      <x:c r="CF108" s="74">
        <x:f>BZ108</x:f>
      </x:c>
      <x:c r="CG108" s="82">
        <x:f>SQRT(3)</x:f>
      </x:c>
      <x:c r="CH108" s="79">
        <x:f>CE108/CG108</x:f>
      </x:c>
      <x:c r="CI108" s="4"/>
      <x:c r="CJ108" s="73" t="s">
        <x:v>116</x:v>
      </x:c>
      <x:c r="CK108" s="183">
        <x:v>0.01</x:v>
      </x:c>
      <x:c r="CL108" s="74">
        <x:f>P108</x:f>
      </x:c>
      <x:c r="CM108" s="82">
        <x:f>SQRT(12)</x:f>
      </x:c>
      <x:c r="CN108" s="79">
        <x:f>CK108/CM108</x:f>
      </x:c>
      <x:c r="CO108" s="4"/>
      <x:c r="CP108" s="73" t="s">
        <x:v>117</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136</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88</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291" t="s">
        <x:v>89</x:v>
      </x:c>
      <x:c r="BY110" s="292"/>
      <x:c r="BZ110" s="292"/>
      <x:c r="CA110" s="292"/>
      <x:c r="CB110" s="293"/>
      <x:c r="CC110" s="2"/>
      <x:c r="CD110" s="291" t="s">
        <x:v>89</x:v>
      </x:c>
      <x:c r="CE110" s="292"/>
      <x:c r="CF110" s="292"/>
      <x:c r="CG110" s="292"/>
      <x:c r="CH110" s="293"/>
      <x:c r="CI110" s="2"/>
      <x:c r="CJ110" s="291" t="s">
        <x:v>90</x:v>
      </x:c>
      <x:c r="CK110" s="292"/>
      <x:c r="CL110" s="292"/>
      <x:c r="CM110" s="292"/>
      <x:c r="CN110" s="293"/>
      <x:c r="CO110" s="2"/>
      <x:c r="CP110" s="291" t="s">
        <x:v>90</x:v>
      </x:c>
      <x:c r="CQ110" s="292"/>
      <x:c r="CR110" s="292"/>
      <x:c r="CS110" s="292"/>
      <x:c r="CT110" s="293"/>
      <x:c r="CV110" s="291" t="s">
        <x:v>91</x:v>
      </x:c>
      <x:c r="CW110" s="292"/>
      <x:c r="CX110" s="292"/>
      <x:c r="CY110" s="292"/>
      <x:c r="CZ110" s="293"/>
      <x:c r="DB110" s="423" t="s">
        <x:v>92</x:v>
      </x:c>
      <x:c r="DC110" s="424"/>
      <x:c r="DD110" s="423" t="s">
        <x:v>93</x:v>
      </x:c>
      <x:c r="DE110" s="423"/>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94</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95</x:v>
      </x:c>
      <x:c r="AN111" s="606"/>
      <x:c r="AO111" s="606"/>
      <x:c r="AP111" s="606"/>
      <x:c r="AQ111" s="606"/>
      <x:c r="AR111" s="606" t="s">
        <x:v>40</x:v>
      </x:c>
      <x:c r="AS111" s="606"/>
      <x:c r="AT111" s="606"/>
      <x:c r="AU111" s="606"/>
      <x:c r="AV111" s="606"/>
      <x:c r="AW111" s="505"/>
      <x:c r="AX111" s="505"/>
      <x:c r="AY111" s="505"/>
      <x:c r="AZ111" s="603"/>
      <x:c r="BA111" s="605"/>
      <x:c r="BB111" s="606" t="s">
        <x:v>96</x:v>
      </x:c>
      <x:c r="BC111" s="606"/>
      <x:c r="BD111" s="606"/>
      <x:c r="BE111" s="606"/>
      <x:c r="BF111" s="606"/>
      <x:c r="BG111" s="606" t="s">
        <x:v>97</x:v>
      </x:c>
      <x:c r="BH111" s="606"/>
      <x:c r="BI111" s="606"/>
      <x:c r="BJ111" s="606"/>
      <x:c r="BK111" s="606"/>
      <x:c r="BL111" s="606" t="s">
        <x:v>98</x:v>
      </x:c>
      <x:c r="BM111" s="606"/>
      <x:c r="BN111" s="606"/>
      <x:c r="BO111" s="606"/>
      <x:c r="BP111" s="606"/>
      <x:c r="BQ111" s="606" t="s">
        <x:v>99</x:v>
      </x:c>
      <x:c r="BR111" s="606"/>
      <x:c r="BS111" s="606"/>
      <x:c r="BT111" s="606"/>
      <x:c r="BU111" s="606"/>
      <x:c r="BV111" s="605"/>
      <x:c r="BX111" s="119" t="s">
        <x:v>100</x:v>
      </x:c>
      <x:c r="BY111" s="294" t="s">
        <x:v>41</x:v>
      </x:c>
      <x:c r="BZ111" s="294" t="s">
        <x:v>101</x:v>
      </x:c>
      <x:c r="CA111" s="121" t="s">
        <x:v>102</x:v>
      </x:c>
      <x:c r="CB111" s="296" t="s">
        <x:v>103</x:v>
      </x:c>
      <x:c r="CC111" s="2"/>
      <x:c r="CD111" s="119" t="s">
        <x:v>100</x:v>
      </x:c>
      <x:c r="CE111" s="294" t="s">
        <x:v>41</x:v>
      </x:c>
      <x:c r="CF111" s="294" t="s">
        <x:v>101</x:v>
      </x:c>
      <x:c r="CG111" s="121" t="s">
        <x:v>102</x:v>
      </x:c>
      <x:c r="CH111" s="296" t="s">
        <x:v>103</x:v>
      </x:c>
      <x:c r="CI111" s="2"/>
      <x:c r="CJ111" s="119" t="s">
        <x:v>100</x:v>
      </x:c>
      <x:c r="CK111" s="294" t="s">
        <x:v>41</x:v>
      </x:c>
      <x:c r="CL111" s="294" t="s">
        <x:v>101</x:v>
      </x:c>
      <x:c r="CM111" s="121" t="s">
        <x:v>102</x:v>
      </x:c>
      <x:c r="CN111" s="296" t="s">
        <x:v>103</x:v>
      </x:c>
      <x:c r="CO111" s="2"/>
      <x:c r="CP111" s="119" t="s">
        <x:v>100</x:v>
      </x:c>
      <x:c r="CQ111" s="294" t="s">
        <x:v>41</x:v>
      </x:c>
      <x:c r="CR111" s="294" t="s">
        <x:v>101</x:v>
      </x:c>
      <x:c r="CS111" s="121" t="s">
        <x:v>102</x:v>
      </x:c>
      <x:c r="CT111" s="296" t="s">
        <x:v>103</x:v>
      </x:c>
      <x:c r="CV111" s="119" t="s">
        <x:v>104</x:v>
      </x:c>
      <x:c r="CW111" s="101" t="s">
        <x:v>105</x:v>
      </x:c>
      <x:c r="CX111" s="121" t="s">
        <x:v>106</x:v>
      </x:c>
      <x:c r="CY111" s="119" t="s">
        <x:v>107</x:v>
      </x:c>
      <x:c r="CZ111" s="399"/>
      <x:c r="DB111" s="423"/>
      <x:c r="DC111" s="424"/>
      <x:c r="DD111" s="423"/>
      <x:c r="DE111" s="423"/>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295"/>
      <x:c r="BZ112" s="295"/>
      <x:c r="CA112" s="122"/>
      <x:c r="CB112" s="297"/>
      <x:c r="CC112" s="2"/>
      <x:c r="CD112" s="120"/>
      <x:c r="CE112" s="295"/>
      <x:c r="CF112" s="295"/>
      <x:c r="CG112" s="122"/>
      <x:c r="CH112" s="297"/>
      <x:c r="CI112" s="2"/>
      <x:c r="CJ112" s="120"/>
      <x:c r="CK112" s="295"/>
      <x:c r="CL112" s="295"/>
      <x:c r="CM112" s="122"/>
      <x:c r="CN112" s="297"/>
      <x:c r="CO112" s="2"/>
      <x:c r="CP112" s="120"/>
      <x:c r="CQ112" s="295"/>
      <x:c r="CR112" s="295"/>
      <x:c r="CS112" s="122"/>
      <x:c r="CT112" s="297"/>
      <x:c r="CV112" s="120" t="s">
        <x:v>108</x:v>
      </x:c>
      <x:c r="CW112" s="102" t="s">
        <x:v>109</x:v>
      </x:c>
      <x:c r="CX112" s="122" t="s">
        <x:v>110</x:v>
      </x:c>
      <x:c r="CY112" s="120" t="s">
        <x:v>111</x:v>
      </x:c>
      <x:c r="CZ112" s="400"/>
      <x:c r="DB112" s="423"/>
      <x:c r="DC112" s="424"/>
      <x:c r="DD112" s="423"/>
      <x:c r="DE112" s="423"/>
    </x:row>
    <x:row r="113" spans="1:109" ht="18" customHeight="1" s="8" customFormat="1">
      <x:c r="A113" s="605"/>
      <x:c r="B113" s="601"/>
      <x:c r="C113" s="505"/>
      <x:c r="D113" s="505"/>
      <x:c r="E113" s="505"/>
      <x:c r="F113" s="648" t="s">
        <x:v>138</x:v>
      </x:c>
      <x:c r="G113" s="646"/>
      <x:c r="H113" s="646"/>
      <x:c r="I113" s="646"/>
      <x:c r="J113" s="646"/>
      <x:c r="K113" s="647"/>
      <x:c r="L113" s="610">
        <x:f>600*90%</x:f>
      </x:c>
      <x:c r="M113" s="611"/>
      <x:c r="N113" s="611"/>
      <x:c r="O113" s="611"/>
      <x:c r="P113" s="612" t="s">
        <x:v>137</x:v>
      </x:c>
      <x:c r="Q113" s="612"/>
      <x:c r="R113" s="613"/>
      <x:c r="S113" s="614" t="s">
        <x:v>82</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114</x:v>
      </x:c>
      <x:c r="BY113" s="202">
        <x:v>0.09</x:v>
      </x:c>
      <x:c r="BZ113" s="71">
        <x:f>P113</x:f>
      </x:c>
      <x:c r="CA113" s="191">
        <x:v>2</x:v>
      </x:c>
      <x:c r="CB113" s="77">
        <x:f>BY113/CA113</x:f>
      </x:c>
      <x:c r="CC113" s="4"/>
      <x:c r="CD113" s="70" t="s">
        <x:v>115</x:v>
      </x:c>
      <x:c r="CE113" s="88">
        <x:v>0</x:v>
      </x:c>
      <x:c r="CF113" s="71">
        <x:f>BZ113</x:f>
      </x:c>
      <x:c r="CG113" s="80">
        <x:f>SQRT(3)</x:f>
      </x:c>
      <x:c r="CH113" s="77">
        <x:f>CE113/CG113</x:f>
      </x:c>
      <x:c r="CI113" s="4"/>
      <x:c r="CJ113" s="70" t="s">
        <x:v>116</x:v>
      </x:c>
      <x:c r="CK113" s="176">
        <x:v>0.1</x:v>
      </x:c>
      <x:c r="CL113" s="71">
        <x:f>P113</x:f>
      </x:c>
      <x:c r="CM113" s="80">
        <x:f>SQRT(12)</x:f>
      </x:c>
      <x:c r="CN113" s="77">
        <x:f>CK113/CM113</x:f>
      </x:c>
      <x:c r="CO113" s="4"/>
      <x:c r="CP113" s="70" t="s">
        <x:v>117</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140</x:v>
      </x:c>
      <x:c r="G114" s="646"/>
      <x:c r="H114" s="646"/>
      <x:c r="I114" s="646"/>
      <x:c r="J114" s="646"/>
      <x:c r="K114" s="647"/>
      <x:c r="L114" s="610">
        <x:f>6000*90%</x:f>
      </x:c>
      <x:c r="M114" s="611"/>
      <x:c r="N114" s="611"/>
      <x:c r="O114" s="611"/>
      <x:c r="P114" s="612" t="s">
        <x:v>137</x:v>
      </x:c>
      <x:c r="Q114" s="612"/>
      <x:c r="R114" s="613"/>
      <x:c r="S114" s="614" t="s">
        <x:v>82</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114</x:v>
      </x:c>
      <x:c r="BY114" s="211">
        <x:v>0.38</x:v>
      </x:c>
      <x:c r="BZ114" s="208">
        <x:f>P114</x:f>
      </x:c>
      <x:c r="CA114" s="206">
        <x:v>2</x:v>
      </x:c>
      <x:c r="CB114" s="78">
        <x:f>BY114/CA114</x:f>
      </x:c>
      <x:c r="CC114" s="4"/>
      <x:c r="CD114" s="73" t="s">
        <x:v>115</x:v>
      </x:c>
      <x:c r="CE114" s="89">
        <x:v>0</x:v>
      </x:c>
      <x:c r="CF114" s="74">
        <x:f>BZ114</x:f>
      </x:c>
      <x:c r="CG114" s="82">
        <x:f>SQRT(3)</x:f>
      </x:c>
      <x:c r="CH114" s="79">
        <x:f>CE114/CG114</x:f>
      </x:c>
      <x:c r="CI114" s="4"/>
      <x:c r="CJ114" s="73" t="s">
        <x:v>116</x:v>
      </x:c>
      <x:c r="CK114" s="183">
        <x:v>1</x:v>
      </x:c>
      <x:c r="CL114" s="74">
        <x:f>P114</x:f>
      </x:c>
      <x:c r="CM114" s="82">
        <x:f>SQRT(12)</x:f>
      </x:c>
      <x:c r="CN114" s="79">
        <x:f>CK114/CM114</x:f>
      </x:c>
      <x:c r="CO114" s="4"/>
      <x:c r="CP114" s="73" t="s">
        <x:v>117</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139</x:v>
      </x:c>
      <x:c r="G115" s="646"/>
      <x:c r="H115" s="646"/>
      <x:c r="I115" s="646"/>
      <x:c r="J115" s="646"/>
      <x:c r="K115" s="647"/>
      <x:c r="L115" s="610">
        <x:f>60*90%</x:f>
      </x:c>
      <x:c r="M115" s="611"/>
      <x:c r="N115" s="611"/>
      <x:c r="O115" s="611"/>
      <x:c r="P115" s="612" t="s">
        <x:v>141</x:v>
      </x:c>
      <x:c r="Q115" s="612"/>
      <x:c r="R115" s="613"/>
      <x:c r="S115" s="614" t="s">
        <x:v>82</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114</x:v>
      </x:c>
      <x:c r="BY115" s="214">
        <x:v>0.0014</x:v>
      </x:c>
      <x:c r="BZ115" s="1">
        <x:f>P115</x:f>
      </x:c>
      <x:c r="CA115" s="180">
        <x:v>2</x:v>
      </x:c>
      <x:c r="CB115" s="209">
        <x:f>BY115/CA115</x:f>
      </x:c>
      <x:c r="CC115" s="4"/>
      <x:c r="CD115" s="70" t="s">
        <x:v>115</x:v>
      </x:c>
      <x:c r="CE115" s="88">
        <x:v>0</x:v>
      </x:c>
      <x:c r="CF115" s="71">
        <x:f>BZ115</x:f>
      </x:c>
      <x:c r="CG115" s="80">
        <x:f>SQRT(3)</x:f>
      </x:c>
      <x:c r="CH115" s="77">
        <x:f>CE115/CG115</x:f>
      </x:c>
      <x:c r="CI115" s="4"/>
      <x:c r="CJ115" s="70" t="s">
        <x:v>116</x:v>
      </x:c>
      <x:c r="CK115" s="176">
        <x:v>0.01</x:v>
      </x:c>
      <x:c r="CL115" s="71">
        <x:f>P115</x:f>
      </x:c>
      <x:c r="CM115" s="80">
        <x:f>SQRT(12)</x:f>
      </x:c>
      <x:c r="CN115" s="77">
        <x:f>CK115/CM115</x:f>
      </x:c>
      <x:c r="CO115" s="4"/>
      <x:c r="CP115" s="70" t="s">
        <x:v>117</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141</x:v>
      </x:c>
      <x:c r="Q116" s="612"/>
      <x:c r="R116" s="613"/>
      <x:c r="S116" s="614" t="s">
        <x:v>82</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114</x:v>
      </x:c>
      <x:c r="BY116" s="214">
        <x:v>0.0014</x:v>
      </x:c>
      <x:c r="BZ116" s="1">
        <x:f>P116</x:f>
      </x:c>
      <x:c r="CA116" s="180">
        <x:v>2</x:v>
      </x:c>
      <x:c r="CB116" s="78">
        <x:f>BY116/CA116</x:f>
      </x:c>
      <x:c r="CC116" s="4"/>
      <x:c r="CD116" s="72" t="s">
        <x:v>115</x:v>
      </x:c>
      <x:c r="CE116" s="5">
        <x:v>0</x:v>
      </x:c>
      <x:c r="CF116" s="1">
        <x:f>BZ116</x:f>
      </x:c>
      <x:c r="CG116" s="81">
        <x:f>SQRT(3)</x:f>
      </x:c>
      <x:c r="CH116" s="78">
        <x:f>CE116/CG116</x:f>
      </x:c>
      <x:c r="CI116" s="4"/>
      <x:c r="CJ116" s="72" t="s">
        <x:v>116</x:v>
      </x:c>
      <x:c r="CK116" s="181">
        <x:v>0.01</x:v>
      </x:c>
      <x:c r="CL116" s="1">
        <x:f>P116</x:f>
      </x:c>
      <x:c r="CM116" s="81">
        <x:f>SQRT(12)</x:f>
      </x:c>
      <x:c r="CN116" s="78">
        <x:f>CK116/CM116</x:f>
      </x:c>
      <x:c r="CO116" s="4"/>
      <x:c r="CP116" s="72" t="s">
        <x:v>117</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142</x:v>
      </x:c>
      <x:c r="G117" s="650"/>
      <x:c r="H117" s="650"/>
      <x:c r="I117" s="650"/>
      <x:c r="J117" s="650"/>
      <x:c r="K117" s="651"/>
      <x:c r="L117" s="610">
        <x:f>400*90%</x:f>
      </x:c>
      <x:c r="M117" s="611"/>
      <x:c r="N117" s="611"/>
      <x:c r="O117" s="611"/>
      <x:c r="P117" s="612" t="s">
        <x:v>141</x:v>
      </x:c>
      <x:c r="Q117" s="612"/>
      <x:c r="R117" s="613"/>
      <x:c r="S117" s="614" t="s">
        <x:v>82</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114</x:v>
      </x:c>
      <x:c r="BY117" s="211">
        <x:v>0.027</x:v>
      </x:c>
      <x:c r="BZ117" s="1">
        <x:f>P117</x:f>
      </x:c>
      <x:c r="CA117" s="180">
        <x:v>2</x:v>
      </x:c>
      <x:c r="CB117" s="78">
        <x:f>BY117/CA117</x:f>
      </x:c>
      <x:c r="CC117" s="4"/>
      <x:c r="CD117" s="73" t="s">
        <x:v>115</x:v>
      </x:c>
      <x:c r="CE117" s="89">
        <x:v>0</x:v>
      </x:c>
      <x:c r="CF117" s="74">
        <x:f>BZ117</x:f>
      </x:c>
      <x:c r="CG117" s="82">
        <x:f>SQRT(3)</x:f>
      </x:c>
      <x:c r="CH117" s="79">
        <x:f>CE117/CG117</x:f>
      </x:c>
      <x:c r="CI117" s="4"/>
      <x:c r="CJ117" s="73" t="s">
        <x:v>116</x:v>
      </x:c>
      <x:c r="CK117" s="183">
        <x:v>0.1</x:v>
      </x:c>
      <x:c r="CL117" s="74">
        <x:f>P117</x:f>
      </x:c>
      <x:c r="CM117" s="82">
        <x:f>SQRT(12)</x:f>
      </x:c>
      <x:c r="CN117" s="79">
        <x:f>CK117/CM117</x:f>
      </x:c>
      <x:c r="CO117" s="4"/>
      <x:c r="CP117" s="73" t="s">
        <x:v>117</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143</x:v>
      </x:c>
      <x:c r="G118" s="646"/>
      <x:c r="H118" s="646"/>
      <x:c r="I118" s="646"/>
      <x:c r="J118" s="646"/>
      <x:c r="K118" s="647"/>
      <x:c r="L118" s="610">
        <x:f>6*50%</x:f>
      </x:c>
      <x:c r="M118" s="611"/>
      <x:c r="N118" s="611"/>
      <x:c r="O118" s="611"/>
      <x:c r="P118" s="612" t="s">
        <x:v>144</x:v>
      </x:c>
      <x:c r="Q118" s="612"/>
      <x:c r="R118" s="613"/>
      <x:c r="S118" s="614" t="s">
        <x:v>82</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114</x:v>
      </x:c>
      <x:c r="BY118" s="6">
        <x:v>0.0014</x:v>
      </x:c>
      <x:c r="BZ118" s="76">
        <x:f>P118</x:f>
      </x:c>
      <x:c r="CA118" s="175">
        <x:v>2</x:v>
      </x:c>
      <x:c r="CB118" s="209">
        <x:f>BY118/CA118</x:f>
      </x:c>
      <x:c r="CC118" s="4"/>
      <x:c r="CD118" s="70" t="s">
        <x:v>115</x:v>
      </x:c>
      <x:c r="CE118" s="88">
        <x:v>0</x:v>
      </x:c>
      <x:c r="CF118" s="71">
        <x:f>BZ118</x:f>
      </x:c>
      <x:c r="CG118" s="80">
        <x:f>SQRT(3)</x:f>
      </x:c>
      <x:c r="CH118" s="77">
        <x:f>CE118/CG118</x:f>
      </x:c>
      <x:c r="CI118" s="4"/>
      <x:c r="CJ118" s="70" t="s">
        <x:v>116</x:v>
      </x:c>
      <x:c r="CK118" s="176">
        <x:v>0.001</x:v>
      </x:c>
      <x:c r="CL118" s="71">
        <x:f>P118</x:f>
      </x:c>
      <x:c r="CM118" s="80">
        <x:f>SQRT(12)</x:f>
      </x:c>
      <x:c r="CN118" s="77">
        <x:f>CK118/CM118</x:f>
      </x:c>
      <x:c r="CO118" s="4"/>
      <x:c r="CP118" s="70" t="s">
        <x:v>117</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144</x:v>
      </x:c>
      <x:c r="Q119" s="612"/>
      <x:c r="R119" s="613"/>
      <x:c r="S119" s="614" t="s">
        <x:v>82</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114</x:v>
      </x:c>
      <x:c r="BY119" s="6">
        <x:v>0.0014</x:v>
      </x:c>
      <x:c r="BZ119" s="1">
        <x:f>P119</x:f>
      </x:c>
      <x:c r="CA119" s="180">
        <x:v>2</x:v>
      </x:c>
      <x:c r="CB119" s="78">
        <x:f>BY119/CA119</x:f>
      </x:c>
      <x:c r="CC119" s="4"/>
      <x:c r="CD119" s="72" t="s">
        <x:v>115</x:v>
      </x:c>
      <x:c r="CE119" s="5">
        <x:v>0</x:v>
      </x:c>
      <x:c r="CF119" s="1">
        <x:f>BZ119</x:f>
      </x:c>
      <x:c r="CG119" s="81">
        <x:f>SQRT(3)</x:f>
      </x:c>
      <x:c r="CH119" s="78">
        <x:f>CE119/CG119</x:f>
      </x:c>
      <x:c r="CI119" s="4"/>
      <x:c r="CJ119" s="72" t="s">
        <x:v>116</x:v>
      </x:c>
      <x:c r="CK119" s="181">
        <x:v>0.001</x:v>
      </x:c>
      <x:c r="CL119" s="1">
        <x:f>P119</x:f>
      </x:c>
      <x:c r="CM119" s="81">
        <x:f>SQRT(12)</x:f>
      </x:c>
      <x:c r="CN119" s="78">
        <x:f>CK119/CM119</x:f>
      </x:c>
      <x:c r="CO119" s="4"/>
      <x:c r="CP119" s="72" t="s">
        <x:v>117</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145</x:v>
      </x:c>
      <x:c r="G120" s="650"/>
      <x:c r="H120" s="650"/>
      <x:c r="I120" s="650"/>
      <x:c r="J120" s="650"/>
      <x:c r="K120" s="651"/>
      <x:c r="L120" s="610">
        <x:f>10*50%</x:f>
      </x:c>
      <x:c r="M120" s="611"/>
      <x:c r="N120" s="611"/>
      <x:c r="O120" s="611"/>
      <x:c r="P120" s="612" t="s">
        <x:v>144</x:v>
      </x:c>
      <x:c r="Q120" s="612"/>
      <x:c r="R120" s="613"/>
      <x:c r="S120" s="614" t="s">
        <x:v>82</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114</x:v>
      </x:c>
      <x:c r="BY120" s="6">
        <x:v>0.0014</x:v>
      </x:c>
      <x:c r="BZ120" s="208">
        <x:f>P120</x:f>
      </x:c>
      <x:c r="CA120" s="180">
        <x:v>2</x:v>
      </x:c>
      <x:c r="CB120" s="78">
        <x:f>BY120/CA120</x:f>
      </x:c>
      <x:c r="CC120" s="4"/>
      <x:c r="CD120" s="73" t="s">
        <x:v>115</x:v>
      </x:c>
      <x:c r="CE120" s="89">
        <x:v>0</x:v>
      </x:c>
      <x:c r="CF120" s="74">
        <x:f>BZ120</x:f>
      </x:c>
      <x:c r="CG120" s="82">
        <x:f>SQRT(3)</x:f>
      </x:c>
      <x:c r="CH120" s="79">
        <x:f>CE120/CG120</x:f>
      </x:c>
      <x:c r="CI120" s="4"/>
      <x:c r="CJ120" s="73" t="s">
        <x:v>116</x:v>
      </x:c>
      <x:c r="CK120" s="183">
        <x:v>0.01</x:v>
      </x:c>
      <x:c r="CL120" s="74">
        <x:f>P120</x:f>
      </x:c>
      <x:c r="CM120" s="82">
        <x:f>SQRT(12)</x:f>
      </x:c>
      <x:c r="CN120" s="79">
        <x:f>CK120/CM120</x:f>
      </x:c>
      <x:c r="CO120" s="4"/>
      <x:c r="CP120" s="73" t="s">
        <x:v>117</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144</x:v>
      </x:c>
      <x:c r="Q121" s="612"/>
      <x:c r="R121" s="613"/>
      <x:c r="S121" s="614" t="s">
        <x:v>82</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114</x:v>
      </x:c>
      <x:c r="BY121" s="215">
        <x:v>0.0014</x:v>
      </x:c>
      <x:c r="BZ121" s="74">
        <x:f>P121</x:f>
      </x:c>
      <x:c r="CA121" s="212">
        <x:v>2</x:v>
      </x:c>
      <x:c r="CB121" s="213">
        <x:f>BY121/CA121</x:f>
      </x:c>
      <x:c r="CC121" s="4"/>
      <x:c r="CD121" s="73" t="s">
        <x:v>115</x:v>
      </x:c>
      <x:c r="CE121" s="89">
        <x:v>0</x:v>
      </x:c>
      <x:c r="CF121" s="74">
        <x:f>BZ121</x:f>
      </x:c>
      <x:c r="CG121" s="82">
        <x:f>SQRT(3)</x:f>
      </x:c>
      <x:c r="CH121" s="79">
        <x:f>CE121/CG121</x:f>
      </x:c>
      <x:c r="CI121" s="4"/>
      <x:c r="CJ121" s="73" t="s">
        <x:v>116</x:v>
      </x:c>
      <x:c r="CK121" s="183">
        <x:v>0.01</x:v>
      </x:c>
      <x:c r="CL121" s="74">
        <x:f>P121</x:f>
      </x:c>
      <x:c r="CM121" s="82">
        <x:f>SQRT(12)</x:f>
      </x:c>
      <x:c r="CN121" s="79">
        <x:f>CK121/CM121</x:f>
      </x:c>
      <x:c r="CO121" s="4"/>
      <x:c r="CP121" s="73" t="s">
        <x:v>117</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146</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88</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291" t="s">
        <x:v>89</x:v>
      </x:c>
      <x:c r="BY123" s="292"/>
      <x:c r="BZ123" s="292"/>
      <x:c r="CA123" s="292"/>
      <x:c r="CB123" s="293"/>
      <x:c r="CC123" s="2"/>
      <x:c r="CD123" s="291" t="s">
        <x:v>89</x:v>
      </x:c>
      <x:c r="CE123" s="292"/>
      <x:c r="CF123" s="292"/>
      <x:c r="CG123" s="292"/>
      <x:c r="CH123" s="293"/>
      <x:c r="CI123" s="2"/>
      <x:c r="CJ123" s="291" t="s">
        <x:v>90</x:v>
      </x:c>
      <x:c r="CK123" s="292"/>
      <x:c r="CL123" s="292"/>
      <x:c r="CM123" s="292"/>
      <x:c r="CN123" s="293"/>
      <x:c r="CO123" s="2"/>
      <x:c r="CP123" s="291" t="s">
        <x:v>90</x:v>
      </x:c>
      <x:c r="CQ123" s="292"/>
      <x:c r="CR123" s="292"/>
      <x:c r="CS123" s="292"/>
      <x:c r="CT123" s="293"/>
      <x:c r="CV123" s="291" t="s">
        <x:v>91</x:v>
      </x:c>
      <x:c r="CW123" s="292"/>
      <x:c r="CX123" s="292"/>
      <x:c r="CY123" s="292"/>
      <x:c r="CZ123" s="293"/>
      <x:c r="DB123" s="434" t="s">
        <x:v>92</x:v>
      </x:c>
      <x:c r="DC123" s="424"/>
      <x:c r="DD123" s="423" t="s">
        <x:v>93</x:v>
      </x:c>
      <x:c r="DE123" s="423"/>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94</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95</x:v>
      </x:c>
      <x:c r="AN124" s="606"/>
      <x:c r="AO124" s="606"/>
      <x:c r="AP124" s="606"/>
      <x:c r="AQ124" s="606"/>
      <x:c r="AR124" s="606" t="s">
        <x:v>40</x:v>
      </x:c>
      <x:c r="AS124" s="606"/>
      <x:c r="AT124" s="606"/>
      <x:c r="AU124" s="606"/>
      <x:c r="AV124" s="606"/>
      <x:c r="AW124" s="505"/>
      <x:c r="AX124" s="505"/>
      <x:c r="AY124" s="505"/>
      <x:c r="AZ124" s="603"/>
      <x:c r="BA124" s="605"/>
      <x:c r="BB124" s="606" t="s">
        <x:v>96</x:v>
      </x:c>
      <x:c r="BC124" s="606"/>
      <x:c r="BD124" s="606"/>
      <x:c r="BE124" s="606"/>
      <x:c r="BF124" s="606"/>
      <x:c r="BG124" s="606" t="s">
        <x:v>97</x:v>
      </x:c>
      <x:c r="BH124" s="606"/>
      <x:c r="BI124" s="606"/>
      <x:c r="BJ124" s="606"/>
      <x:c r="BK124" s="606"/>
      <x:c r="BL124" s="606" t="s">
        <x:v>98</x:v>
      </x:c>
      <x:c r="BM124" s="606"/>
      <x:c r="BN124" s="606"/>
      <x:c r="BO124" s="606"/>
      <x:c r="BP124" s="606"/>
      <x:c r="BQ124" s="606" t="s">
        <x:v>99</x:v>
      </x:c>
      <x:c r="BR124" s="606"/>
      <x:c r="BS124" s="606"/>
      <x:c r="BT124" s="606"/>
      <x:c r="BU124" s="606"/>
      <x:c r="BV124" s="605"/>
      <x:c r="BX124" s="119" t="s">
        <x:v>100</x:v>
      </x:c>
      <x:c r="BY124" s="294" t="s">
        <x:v>41</x:v>
      </x:c>
      <x:c r="BZ124" s="294" t="s">
        <x:v>101</x:v>
      </x:c>
      <x:c r="CA124" s="121" t="s">
        <x:v>102</x:v>
      </x:c>
      <x:c r="CB124" s="296" t="s">
        <x:v>103</x:v>
      </x:c>
      <x:c r="CC124" s="2"/>
      <x:c r="CD124" s="119" t="s">
        <x:v>100</x:v>
      </x:c>
      <x:c r="CE124" s="294" t="s">
        <x:v>41</x:v>
      </x:c>
      <x:c r="CF124" s="294" t="s">
        <x:v>101</x:v>
      </x:c>
      <x:c r="CG124" s="121" t="s">
        <x:v>102</x:v>
      </x:c>
      <x:c r="CH124" s="296" t="s">
        <x:v>103</x:v>
      </x:c>
      <x:c r="CI124" s="2"/>
      <x:c r="CJ124" s="119" t="s">
        <x:v>100</x:v>
      </x:c>
      <x:c r="CK124" s="294" t="s">
        <x:v>41</x:v>
      </x:c>
      <x:c r="CL124" s="294" t="s">
        <x:v>101</x:v>
      </x:c>
      <x:c r="CM124" s="121" t="s">
        <x:v>102</x:v>
      </x:c>
      <x:c r="CN124" s="296" t="s">
        <x:v>103</x:v>
      </x:c>
      <x:c r="CO124" s="2"/>
      <x:c r="CP124" s="119" t="s">
        <x:v>100</x:v>
      </x:c>
      <x:c r="CQ124" s="294" t="s">
        <x:v>41</x:v>
      </x:c>
      <x:c r="CR124" s="294" t="s">
        <x:v>101</x:v>
      </x:c>
      <x:c r="CS124" s="121" t="s">
        <x:v>102</x:v>
      </x:c>
      <x:c r="CT124" s="296" t="s">
        <x:v>103</x:v>
      </x:c>
      <x:c r="CV124" s="119" t="s">
        <x:v>104</x:v>
      </x:c>
      <x:c r="CW124" s="101" t="s">
        <x:v>105</x:v>
      </x:c>
      <x:c r="CX124" s="121" t="s">
        <x:v>106</x:v>
      </x:c>
      <x:c r="CY124" s="119" t="s">
        <x:v>107</x:v>
      </x:c>
      <x:c r="CZ124" s="399"/>
      <x:c r="DB124" s="434"/>
      <x:c r="DC124" s="424"/>
      <x:c r="DD124" s="423"/>
      <x:c r="DE124" s="423"/>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295"/>
      <x:c r="BZ125" s="401"/>
      <x:c r="CA125" s="122"/>
      <x:c r="CB125" s="297"/>
      <x:c r="CC125" s="2"/>
      <x:c r="CD125" s="120"/>
      <x:c r="CE125" s="295"/>
      <x:c r="CF125" s="295"/>
      <x:c r="CG125" s="122"/>
      <x:c r="CH125" s="297"/>
      <x:c r="CI125" s="2"/>
      <x:c r="CJ125" s="120"/>
      <x:c r="CK125" s="295"/>
      <x:c r="CL125" s="295"/>
      <x:c r="CM125" s="122"/>
      <x:c r="CN125" s="297"/>
      <x:c r="CO125" s="2"/>
      <x:c r="CP125" s="120"/>
      <x:c r="CQ125" s="295"/>
      <x:c r="CR125" s="295"/>
      <x:c r="CS125" s="122"/>
      <x:c r="CT125" s="297"/>
      <x:c r="CV125" s="120" t="s">
        <x:v>108</x:v>
      </x:c>
      <x:c r="CW125" s="102" t="s">
        <x:v>109</x:v>
      </x:c>
      <x:c r="CX125" s="122" t="s">
        <x:v>110</x:v>
      </x:c>
      <x:c r="CY125" s="120" t="s">
        <x:v>111</x:v>
      </x:c>
      <x:c r="CZ125" s="400"/>
      <x:c r="DB125" s="434"/>
      <x:c r="DC125" s="424"/>
      <x:c r="DD125" s="423"/>
      <x:c r="DE125" s="423"/>
    </x:row>
    <x:row r="126" spans="1:109" ht="18" customHeight="1" s="8" customFormat="1">
      <x:c r="A126" s="605"/>
      <x:c r="B126" s="601"/>
      <x:c r="C126" s="505"/>
      <x:c r="D126" s="505"/>
      <x:c r="E126" s="505"/>
      <x:c r="F126" s="648" t="s">
        <x:v>138</x:v>
      </x:c>
      <x:c r="G126" s="646"/>
      <x:c r="H126" s="646"/>
      <x:c r="I126" s="646"/>
      <x:c r="J126" s="646"/>
      <x:c r="K126" s="647"/>
      <x:c r="L126" s="610">
        <x:f>600*90%</x:f>
      </x:c>
      <x:c r="M126" s="611"/>
      <x:c r="N126" s="611"/>
      <x:c r="O126" s="611"/>
      <x:c r="P126" s="612" t="s">
        <x:v>137</x:v>
      </x:c>
      <x:c r="Q126" s="612"/>
      <x:c r="R126" s="613"/>
      <x:c r="S126" s="614" t="s">
        <x:v>124</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114</x:v>
      </x:c>
      <x:c r="BY126" s="205">
        <x:v>1.7</x:v>
      </x:c>
      <x:c r="BZ126" s="71">
        <x:f>P126</x:f>
      </x:c>
      <x:c r="CA126" s="191">
        <x:v>2</x:v>
      </x:c>
      <x:c r="CB126" s="77">
        <x:f>BY126/CA126</x:f>
      </x:c>
      <x:c r="CC126" s="4"/>
      <x:c r="CD126" s="70" t="s">
        <x:v>115</x:v>
      </x:c>
      <x:c r="CE126" s="88">
        <x:v>0</x:v>
      </x:c>
      <x:c r="CF126" s="71">
        <x:f>BZ126</x:f>
      </x:c>
      <x:c r="CG126" s="80">
        <x:f>SQRT(3)</x:f>
      </x:c>
      <x:c r="CH126" s="77">
        <x:f>CE126/CG126</x:f>
      </x:c>
      <x:c r="CI126" s="4"/>
      <x:c r="CJ126" s="70" t="s">
        <x:v>116</x:v>
      </x:c>
      <x:c r="CK126" s="176">
        <x:v>0.1</x:v>
      </x:c>
      <x:c r="CL126" s="71">
        <x:f>P126</x:f>
      </x:c>
      <x:c r="CM126" s="80">
        <x:f>SQRT(12)</x:f>
      </x:c>
      <x:c r="CN126" s="77">
        <x:f>CK126/CM126</x:f>
      </x:c>
      <x:c r="CO126" s="4"/>
      <x:c r="CP126" s="70" t="s">
        <x:v>117</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137</x:v>
      </x:c>
      <x:c r="Q127" s="612"/>
      <x:c r="R127" s="613"/>
      <x:c r="S127" s="614" t="s">
        <x:v>125</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114</x:v>
      </x:c>
      <x:c r="BY127" s="205">
        <x:v>1.7</x:v>
      </x:c>
      <x:c r="BZ127" s="1">
        <x:f>P127</x:f>
      </x:c>
      <x:c r="CA127" s="180">
        <x:v>2</x:v>
      </x:c>
      <x:c r="CB127" s="78">
        <x:f>BY127/CA127</x:f>
      </x:c>
      <x:c r="CC127" s="4"/>
      <x:c r="CD127" s="72" t="s">
        <x:v>115</x:v>
      </x:c>
      <x:c r="CE127" s="5">
        <x:v>0</x:v>
      </x:c>
      <x:c r="CF127" s="1">
        <x:f>BZ127</x:f>
      </x:c>
      <x:c r="CG127" s="81">
        <x:f>SQRT(3)</x:f>
      </x:c>
      <x:c r="CH127" s="78">
        <x:f>CE127/CG127</x:f>
      </x:c>
      <x:c r="CI127" s="4"/>
      <x:c r="CJ127" s="72" t="s">
        <x:v>116</x:v>
      </x:c>
      <x:c r="CK127" s="181">
        <x:v>0.1</x:v>
      </x:c>
      <x:c r="CL127" s="1">
        <x:f>P127</x:f>
      </x:c>
      <x:c r="CM127" s="81">
        <x:f>SQRT(12)</x:f>
      </x:c>
      <x:c r="CN127" s="78">
        <x:f>CK127/CM127</x:f>
      </x:c>
      <x:c r="CO127" s="4"/>
      <x:c r="CP127" s="72" t="s">
        <x:v>117</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140</x:v>
      </x:c>
      <x:c r="G128" s="646"/>
      <x:c r="H128" s="646"/>
      <x:c r="I128" s="646"/>
      <x:c r="J128" s="646"/>
      <x:c r="K128" s="647"/>
      <x:c r="L128" s="610">
        <x:f>6000*90%</x:f>
      </x:c>
      <x:c r="M128" s="611"/>
      <x:c r="N128" s="611"/>
      <x:c r="O128" s="611"/>
      <x:c r="P128" s="612" t="s">
        <x:v>137</x:v>
      </x:c>
      <x:c r="Q128" s="612"/>
      <x:c r="R128" s="613"/>
      <x:c r="S128" s="614" t="s">
        <x:v>124</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114</x:v>
      </x:c>
      <x:c r="BY128" s="192">
        <x:v>13</x:v>
      </x:c>
      <x:c r="BZ128" s="1">
        <x:f>P128</x:f>
      </x:c>
      <x:c r="CA128" s="180">
        <x:v>2</x:v>
      </x:c>
      <x:c r="CB128" s="78">
        <x:f>BY128/CA128</x:f>
      </x:c>
      <x:c r="CC128" s="4"/>
      <x:c r="CD128" s="72" t="s">
        <x:v>115</x:v>
      </x:c>
      <x:c r="CE128" s="5">
        <x:v>0</x:v>
      </x:c>
      <x:c r="CF128" s="1">
        <x:f>BZ128</x:f>
      </x:c>
      <x:c r="CG128" s="81">
        <x:f>SQRT(3)</x:f>
      </x:c>
      <x:c r="CH128" s="78">
        <x:f>CE128/CG128</x:f>
      </x:c>
      <x:c r="CI128" s="4"/>
      <x:c r="CJ128" s="72" t="s">
        <x:v>116</x:v>
      </x:c>
      <x:c r="CK128" s="181">
        <x:v>1</x:v>
      </x:c>
      <x:c r="CL128" s="1">
        <x:f>P128</x:f>
      </x:c>
      <x:c r="CM128" s="81">
        <x:f>SQRT(12)</x:f>
      </x:c>
      <x:c r="CN128" s="78">
        <x:f>CK128/CM128</x:f>
      </x:c>
      <x:c r="CO128" s="4"/>
      <x:c r="CP128" s="72" t="s">
        <x:v>117</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137</x:v>
      </x:c>
      <x:c r="Q129" s="612"/>
      <x:c r="R129" s="613"/>
      <x:c r="S129" s="614" t="s">
        <x:v>125</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114</x:v>
      </x:c>
      <x:c r="BY129" s="192">
        <x:v>13</x:v>
      </x:c>
      <x:c r="BZ129" s="208">
        <x:f>P129</x:f>
      </x:c>
      <x:c r="CA129" s="206">
        <x:v>2</x:v>
      </x:c>
      <x:c r="CB129" s="78">
        <x:f>BY129/CA129</x:f>
      </x:c>
      <x:c r="CC129" s="4"/>
      <x:c r="CD129" s="73" t="s">
        <x:v>115</x:v>
      </x:c>
      <x:c r="CE129" s="89">
        <x:v>0</x:v>
      </x:c>
      <x:c r="CF129" s="74">
        <x:f>BZ129</x:f>
      </x:c>
      <x:c r="CG129" s="82">
        <x:f>SQRT(3)</x:f>
      </x:c>
      <x:c r="CH129" s="79">
        <x:f>CE129/CG129</x:f>
      </x:c>
      <x:c r="CI129" s="4"/>
      <x:c r="CJ129" s="73" t="s">
        <x:v>116</x:v>
      </x:c>
      <x:c r="CK129" s="183">
        <x:v>1</x:v>
      </x:c>
      <x:c r="CL129" s="74">
        <x:f>P129</x:f>
      </x:c>
      <x:c r="CM129" s="82">
        <x:f>SQRT(12)</x:f>
      </x:c>
      <x:c r="CN129" s="79">
        <x:f>CK129/CM129</x:f>
      </x:c>
      <x:c r="CO129" s="4"/>
      <x:c r="CP129" s="73" t="s">
        <x:v>117</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139</x:v>
      </x:c>
      <x:c r="G130" s="646"/>
      <x:c r="H130" s="646"/>
      <x:c r="I130" s="646"/>
      <x:c r="J130" s="646"/>
      <x:c r="K130" s="647"/>
      <x:c r="L130" s="610">
        <x:f>60*90%</x:f>
      </x:c>
      <x:c r="M130" s="611"/>
      <x:c r="N130" s="611"/>
      <x:c r="O130" s="611"/>
      <x:c r="P130" s="612" t="s">
        <x:v>141</x:v>
      </x:c>
      <x:c r="Q130" s="612"/>
      <x:c r="R130" s="613"/>
      <x:c r="S130" s="614" t="s">
        <x:v>124</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114</x:v>
      </x:c>
      <x:c r="BY130" s="192">
        <x:v>0.22</x:v>
      </x:c>
      <x:c r="BZ130" s="1">
        <x:f>P130</x:f>
      </x:c>
      <x:c r="CA130" s="180">
        <x:v>2</x:v>
      </x:c>
      <x:c r="CB130" s="209">
        <x:f>BY130/CA130</x:f>
      </x:c>
      <x:c r="CC130" s="4"/>
      <x:c r="CD130" s="70" t="s">
        <x:v>115</x:v>
      </x:c>
      <x:c r="CE130" s="88">
        <x:v>0</x:v>
      </x:c>
      <x:c r="CF130" s="71">
        <x:f>BZ130</x:f>
      </x:c>
      <x:c r="CG130" s="80">
        <x:f>SQRT(3)</x:f>
      </x:c>
      <x:c r="CH130" s="77">
        <x:f>CE130/CG130</x:f>
      </x:c>
      <x:c r="CI130" s="4"/>
      <x:c r="CJ130" s="70" t="s">
        <x:v>116</x:v>
      </x:c>
      <x:c r="CK130" s="176">
        <x:v>0.01</x:v>
      </x:c>
      <x:c r="CL130" s="71">
        <x:f>P130</x:f>
      </x:c>
      <x:c r="CM130" s="80">
        <x:f>SQRT(12)</x:f>
      </x:c>
      <x:c r="CN130" s="77">
        <x:f>CK130/CM130</x:f>
      </x:c>
      <x:c r="CO130" s="4"/>
      <x:c r="CP130" s="70" t="s">
        <x:v>117</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141</x:v>
      </x:c>
      <x:c r="Q131" s="612"/>
      <x:c r="R131" s="613"/>
      <x:c r="S131" s="614" t="s">
        <x:v>125</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114</x:v>
      </x:c>
      <x:c r="BY131" s="192">
        <x:v>0.22</x:v>
      </x:c>
      <x:c r="BZ131" s="1">
        <x:f>P131</x:f>
      </x:c>
      <x:c r="CA131" s="180">
        <x:v>2</x:v>
      </x:c>
      <x:c r="CB131" s="78">
        <x:f>BY131/CA131</x:f>
      </x:c>
      <x:c r="CC131" s="4"/>
      <x:c r="CD131" s="72" t="s">
        <x:v>115</x:v>
      </x:c>
      <x:c r="CE131" s="5">
        <x:v>0</x:v>
      </x:c>
      <x:c r="CF131" s="1">
        <x:f>BZ131</x:f>
      </x:c>
      <x:c r="CG131" s="81">
        <x:f>SQRT(3)</x:f>
      </x:c>
      <x:c r="CH131" s="78">
        <x:f>CE131/CG131</x:f>
      </x:c>
      <x:c r="CI131" s="4"/>
      <x:c r="CJ131" s="72" t="s">
        <x:v>116</x:v>
      </x:c>
      <x:c r="CK131" s="181">
        <x:v>0.01</x:v>
      </x:c>
      <x:c r="CL131" s="1">
        <x:f>P131</x:f>
      </x:c>
      <x:c r="CM131" s="81">
        <x:f>SQRT(12)</x:f>
      </x:c>
      <x:c r="CN131" s="78">
        <x:f>CK131/CM131</x:f>
      </x:c>
      <x:c r="CO131" s="4"/>
      <x:c r="CP131" s="72" t="s">
        <x:v>117</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142</x:v>
      </x:c>
      <x:c r="G132" s="650"/>
      <x:c r="H132" s="650"/>
      <x:c r="I132" s="650"/>
      <x:c r="J132" s="650"/>
      <x:c r="K132" s="651"/>
      <x:c r="L132" s="610">
        <x:f>400*90%</x:f>
      </x:c>
      <x:c r="M132" s="611"/>
      <x:c r="N132" s="611"/>
      <x:c r="O132" s="611"/>
      <x:c r="P132" s="612" t="s">
        <x:v>141</x:v>
      </x:c>
      <x:c r="Q132" s="612"/>
      <x:c r="R132" s="613"/>
      <x:c r="S132" s="614" t="s">
        <x:v>124</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114</x:v>
      </x:c>
      <x:c r="BY132" s="192">
        <x:v>0.72</x:v>
      </x:c>
      <x:c r="BZ132" s="1">
        <x:f>P132</x:f>
      </x:c>
      <x:c r="CA132" s="180">
        <x:v>2</x:v>
      </x:c>
      <x:c r="CB132" s="78">
        <x:f>BY132/CA132</x:f>
      </x:c>
      <x:c r="CC132" s="4"/>
      <x:c r="CD132" s="72" t="s">
        <x:v>115</x:v>
      </x:c>
      <x:c r="CE132" s="5">
        <x:v>0</x:v>
      </x:c>
      <x:c r="CF132" s="1">
        <x:f>BZ132</x:f>
      </x:c>
      <x:c r="CG132" s="81">
        <x:f>SQRT(3)</x:f>
      </x:c>
      <x:c r="CH132" s="78">
        <x:f>CE132/CG132</x:f>
      </x:c>
      <x:c r="CI132" s="4"/>
      <x:c r="CJ132" s="72" t="s">
        <x:v>116</x:v>
      </x:c>
      <x:c r="CK132" s="181">
        <x:v>0.1</x:v>
      </x:c>
      <x:c r="CL132" s="1">
        <x:f>P132</x:f>
      </x:c>
      <x:c r="CM132" s="81">
        <x:f>SQRT(12)</x:f>
      </x:c>
      <x:c r="CN132" s="78">
        <x:f>CK132/CM132</x:f>
      </x:c>
      <x:c r="CO132" s="4"/>
      <x:c r="CP132" s="72" t="s">
        <x:v>117</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141</x:v>
      </x:c>
      <x:c r="Q133" s="612"/>
      <x:c r="R133" s="613"/>
      <x:c r="S133" s="614" t="s">
        <x:v>125</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114</x:v>
      </x:c>
      <x:c r="BY133" s="192">
        <x:v>0.72</x:v>
      </x:c>
      <x:c r="BZ133" s="1">
        <x:f>P133</x:f>
      </x:c>
      <x:c r="CA133" s="206">
        <x:v>2</x:v>
      </x:c>
      <x:c r="CB133" s="207">
        <x:f>BY133/CA133</x:f>
      </x:c>
      <x:c r="CC133" s="4"/>
      <x:c r="CD133" s="73" t="s">
        <x:v>115</x:v>
      </x:c>
      <x:c r="CE133" s="89">
        <x:v>0</x:v>
      </x:c>
      <x:c r="CF133" s="74">
        <x:f>BZ133</x:f>
      </x:c>
      <x:c r="CG133" s="82">
        <x:f>SQRT(3)</x:f>
      </x:c>
      <x:c r="CH133" s="79">
        <x:f>CE133/CG133</x:f>
      </x:c>
      <x:c r="CI133" s="4"/>
      <x:c r="CJ133" s="73" t="s">
        <x:v>116</x:v>
      </x:c>
      <x:c r="CK133" s="183">
        <x:v>0.1</x:v>
      </x:c>
      <x:c r="CL133" s="74">
        <x:f>P133</x:f>
      </x:c>
      <x:c r="CM133" s="82">
        <x:f>SQRT(12)</x:f>
      </x:c>
      <x:c r="CN133" s="79">
        <x:f>CK133/CM133</x:f>
      </x:c>
      <x:c r="CO133" s="4"/>
      <x:c r="CP133" s="73" t="s">
        <x:v>117</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143</x:v>
      </x:c>
      <x:c r="G134" s="646"/>
      <x:c r="H134" s="646"/>
      <x:c r="I134" s="646"/>
      <x:c r="J134" s="646"/>
      <x:c r="K134" s="647"/>
      <x:c r="L134" s="610">
        <x:f>6*90%</x:f>
      </x:c>
      <x:c r="M134" s="611"/>
      <x:c r="N134" s="611"/>
      <x:c r="O134" s="611"/>
      <x:c r="P134" s="612" t="s">
        <x:v>144</x:v>
      </x:c>
      <x:c r="Q134" s="612"/>
      <x:c r="R134" s="613"/>
      <x:c r="S134" s="614" t="s">
        <x:v>124</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114</x:v>
      </x:c>
      <x:c r="BY134" s="226">
        <x:v>0.01</x:v>
      </x:c>
      <x:c r="BZ134" s="76">
        <x:f>P134</x:f>
      </x:c>
      <x:c r="CA134" s="180">
        <x:v>2</x:v>
      </x:c>
      <x:c r="CB134" s="78">
        <x:f>BY134/CA134</x:f>
      </x:c>
      <x:c r="CC134" s="4"/>
      <x:c r="CD134" s="70" t="s">
        <x:v>115</x:v>
      </x:c>
      <x:c r="CE134" s="88">
        <x:v>0</x:v>
      </x:c>
      <x:c r="CF134" s="71">
        <x:f>BZ134</x:f>
      </x:c>
      <x:c r="CG134" s="80">
        <x:f>SQRT(3)</x:f>
      </x:c>
      <x:c r="CH134" s="77">
        <x:f>CE134/CG134</x:f>
      </x:c>
      <x:c r="CI134" s="4"/>
      <x:c r="CJ134" s="70" t="s">
        <x:v>116</x:v>
      </x:c>
      <x:c r="CK134" s="176">
        <x:v>0.001</x:v>
      </x:c>
      <x:c r="CL134" s="71">
        <x:f>P134</x:f>
      </x:c>
      <x:c r="CM134" s="80">
        <x:f>SQRT(12)</x:f>
      </x:c>
      <x:c r="CN134" s="77">
        <x:f>CK134/CM134</x:f>
      </x:c>
      <x:c r="CO134" s="4"/>
      <x:c r="CP134" s="70" t="s">
        <x:v>117</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144</x:v>
      </x:c>
      <x:c r="Q135" s="612"/>
      <x:c r="R135" s="613"/>
      <x:c r="S135" s="614" t="s">
        <x:v>125</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114</x:v>
      </x:c>
      <x:c r="BY135" s="224">
        <x:v>0.011</x:v>
      </x:c>
      <x:c r="BZ135" s="1">
        <x:f>P135</x:f>
      </x:c>
      <x:c r="CA135" s="180">
        <x:v>2</x:v>
      </x:c>
      <x:c r="CB135" s="78">
        <x:f>BY135/CA135</x:f>
      </x:c>
      <x:c r="CC135" s="4"/>
      <x:c r="CD135" s="72" t="s">
        <x:v>115</x:v>
      </x:c>
      <x:c r="CE135" s="5">
        <x:v>0</x:v>
      </x:c>
      <x:c r="CF135" s="1">
        <x:f>BZ135</x:f>
      </x:c>
      <x:c r="CG135" s="81">
        <x:f>SQRT(3)</x:f>
      </x:c>
      <x:c r="CH135" s="78">
        <x:f>CE135/CG135</x:f>
      </x:c>
      <x:c r="CI135" s="4"/>
      <x:c r="CJ135" s="72" t="s">
        <x:v>116</x:v>
      </x:c>
      <x:c r="CK135" s="181">
        <x:v>0.001</x:v>
      </x:c>
      <x:c r="CL135" s="1">
        <x:f>P135</x:f>
      </x:c>
      <x:c r="CM135" s="81">
        <x:f>SQRT(12)</x:f>
      </x:c>
      <x:c r="CN135" s="78">
        <x:f>CK135/CM135</x:f>
      </x:c>
      <x:c r="CO135" s="4"/>
      <x:c r="CP135" s="72" t="s">
        <x:v>117</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145</x:v>
      </x:c>
      <x:c r="G136" s="650"/>
      <x:c r="H136" s="650"/>
      <x:c r="I136" s="650"/>
      <x:c r="J136" s="650"/>
      <x:c r="K136" s="651"/>
      <x:c r="L136" s="610">
        <x:f>10*90%</x:f>
      </x:c>
      <x:c r="M136" s="611"/>
      <x:c r="N136" s="611"/>
      <x:c r="O136" s="611"/>
      <x:c r="P136" s="612" t="s">
        <x:v>144</x:v>
      </x:c>
      <x:c r="Q136" s="612"/>
      <x:c r="R136" s="613"/>
      <x:c r="S136" s="614" t="s">
        <x:v>124</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114</x:v>
      </x:c>
      <x:c r="BY136" s="226">
        <x:v>0.01</x:v>
      </x:c>
      <x:c r="BZ136" s="1">
        <x:f>P136</x:f>
      </x:c>
      <x:c r="CA136" s="180">
        <x:v>2</x:v>
      </x:c>
      <x:c r="CB136" s="78">
        <x:f>BY136/CA136</x:f>
      </x:c>
      <x:c r="CC136" s="4"/>
      <x:c r="CD136" s="72" t="s">
        <x:v>115</x:v>
      </x:c>
      <x:c r="CE136" s="5">
        <x:v>0</x:v>
      </x:c>
      <x:c r="CF136" s="1">
        <x:f>BZ136</x:f>
      </x:c>
      <x:c r="CG136" s="81">
        <x:f>SQRT(3)</x:f>
      </x:c>
      <x:c r="CH136" s="78">
        <x:f>CE136/CG136</x:f>
      </x:c>
      <x:c r="CI136" s="4"/>
      <x:c r="CJ136" s="72" t="s">
        <x:v>116</x:v>
      </x:c>
      <x:c r="CK136" s="181">
        <x:v>0.01</x:v>
      </x:c>
      <x:c r="CL136" s="1">
        <x:f>P136</x:f>
      </x:c>
      <x:c r="CM136" s="81">
        <x:f>SQRT(12)</x:f>
      </x:c>
      <x:c r="CN136" s="78">
        <x:f>CK136/CM136</x:f>
      </x:c>
      <x:c r="CO136" s="4"/>
      <x:c r="CP136" s="72" t="s">
        <x:v>117</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144</x:v>
      </x:c>
      <x:c r="Q137" s="612"/>
      <x:c r="R137" s="613"/>
      <x:c r="S137" s="614" t="s">
        <x:v>125</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114</x:v>
      </x:c>
      <x:c r="BY137" s="224">
        <x:v>0.011</x:v>
      </x:c>
      <x:c r="BZ137" s="74">
        <x:f>P137</x:f>
      </x:c>
      <x:c r="CA137" s="182">
        <x:v>2</x:v>
      </x:c>
      <x:c r="CB137" s="79">
        <x:f>BY137/CA137</x:f>
      </x:c>
      <x:c r="CC137" s="4"/>
      <x:c r="CD137" s="73" t="s">
        <x:v>115</x:v>
      </x:c>
      <x:c r="CE137" s="89">
        <x:v>0</x:v>
      </x:c>
      <x:c r="CF137" s="74">
        <x:f>BZ137</x:f>
      </x:c>
      <x:c r="CG137" s="82">
        <x:f>SQRT(3)</x:f>
      </x:c>
      <x:c r="CH137" s="79">
        <x:f>CE137/CG137</x:f>
      </x:c>
      <x:c r="CI137" s="4"/>
      <x:c r="CJ137" s="73" t="s">
        <x:v>116</x:v>
      </x:c>
      <x:c r="CK137" s="183">
        <x:v>0.01</x:v>
      </x:c>
      <x:c r="CL137" s="74">
        <x:f>P137</x:f>
      </x:c>
      <x:c r="CM137" s="82">
        <x:f>SQRT(12)</x:f>
      </x:c>
      <x:c r="CN137" s="79">
        <x:f>CK137/CM137</x:f>
      </x:c>
      <x:c r="CO137" s="4"/>
      <x:c r="CP137" s="73" t="s">
        <x:v>117</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5" customHeight="1" s="143" customFormat="1">
      <x:c r="A139" s="502"/>
      <x:c r="B139" s="659" t="s">
        <x:v>147</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5" customHeight="1" s="143" customFormat="1">
      <x:c r="A140" s="502"/>
      <x:c r="B140" s="661" t="s">
        <x:v>148</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5" customHeight="1" s="143" customFormat="1">
      <x:c r="A141" s="502"/>
      <x:c r="B141" s="668" t="s">
        <x:v>149</x:v>
      </x:c>
      <x:c r="C141" s="669"/>
      <x:c r="D141" s="669"/>
      <x:c r="E141" s="669"/>
      <x:c r="F141" s="669"/>
      <x:c r="G141" s="669"/>
      <x:c r="H141" s="669"/>
      <x:c r="I141" s="669"/>
      <x:c r="J141" s="669"/>
      <x:c r="K141" s="669"/>
      <x:c r="L141" s="669"/>
      <x:c r="M141" s="669"/>
      <x:c r="N141" s="669"/>
      <x:c r="O141" s="669"/>
      <x:c r="P141" s="669"/>
      <x:c r="Q141" s="669"/>
      <x:c r="R141" s="669"/>
      <x:c r="S141" s="669"/>
      <x:c r="T141" s="670"/>
      <x:c r="U141" s="669" t="s">
        <x:v>150</x:v>
      </x:c>
      <x:c r="V141" s="669"/>
      <x:c r="W141" s="669"/>
      <x:c r="X141" s="669"/>
      <x:c r="Y141" s="669"/>
      <x:c r="Z141" s="669"/>
      <x:c r="AA141" s="669"/>
      <x:c r="AB141" s="669"/>
      <x:c r="AC141" s="669"/>
      <x:c r="AD141" s="669"/>
      <x:c r="AE141" s="669"/>
      <x:c r="AF141" s="669"/>
      <x:c r="AG141" s="669"/>
      <x:c r="AH141" s="669"/>
      <x:c r="AI141" s="669"/>
      <x:c r="AJ141" s="671"/>
      <x:c r="AK141" s="672" t="s">
        <x:v>151</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5" customHeight="1" s="143" customFormat="1">
      <x:c r="A142" s="502"/>
      <x:c r="B142" s="674" t="s">
        <x:v>152</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5" customHeight="1" s="143" customFormat="1">
      <x:c r="A143" s="502"/>
      <x:c r="B143" s="677" t="s">
        <x:v>153</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5" customHeight="1" s="143" customFormat="1">
      <x:c r="A144" s="502"/>
      <x:c r="B144" s="668" t="s">
        <x:v>154</x:v>
      </x:c>
      <x:c r="C144" s="669"/>
      <x:c r="D144" s="669"/>
      <x:c r="E144" s="669"/>
      <x:c r="F144" s="669"/>
      <x:c r="G144" s="669"/>
      <x:c r="H144" s="669"/>
      <x:c r="I144" s="669"/>
      <x:c r="J144" s="669"/>
      <x:c r="K144" s="669"/>
      <x:c r="L144" s="669"/>
      <x:c r="M144" s="669"/>
      <x:c r="N144" s="669"/>
      <x:c r="O144" s="669"/>
      <x:c r="P144" s="669"/>
      <x:c r="Q144" s="669"/>
      <x:c r="R144" s="669"/>
      <x:c r="S144" s="669"/>
      <x:c r="T144" s="670"/>
      <x:c r="U144" s="669" t="s">
        <x:v>150</x:v>
      </x:c>
      <x:c r="V144" s="669"/>
      <x:c r="W144" s="669"/>
      <x:c r="X144" s="669"/>
      <x:c r="Y144" s="669"/>
      <x:c r="Z144" s="669"/>
      <x:c r="AA144" s="669"/>
      <x:c r="AB144" s="669"/>
      <x:c r="AC144" s="669"/>
      <x:c r="AD144" s="669"/>
      <x:c r="AE144" s="669"/>
      <x:c r="AF144" s="669"/>
      <x:c r="AG144" s="669"/>
      <x:c r="AH144" s="669"/>
      <x:c r="AI144" s="669"/>
      <x:c r="AJ144" s="671"/>
      <x:c r="AK144" s="672" t="s">
        <x:v>151</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5" customHeight="1" s="143" customFormat="1">
      <x:c r="A145" s="502"/>
      <x:c r="B145" s="659" t="s">
        <x:v>155</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82</x:v>
      </x:c>
      <x:c r="C146" s="638"/>
      <x:c r="D146" s="638"/>
      <x:c r="E146" s="638"/>
      <x:c r="F146" s="638"/>
      <x:c r="G146" s="638"/>
      <x:c r="H146" s="638"/>
      <x:c r="I146" s="638"/>
      <x:c r="J146" s="638"/>
      <x:c r="K146" s="638"/>
      <x:c r="L146" s="638"/>
      <x:c r="M146" s="638"/>
      <x:c r="N146" s="638"/>
      <x:c r="O146" s="638"/>
      <x:c r="P146" s="638"/>
      <x:c r="Q146" s="638"/>
      <x:c r="R146" s="638"/>
      <x:c r="S146" s="638"/>
      <x:c r="T146" s="678"/>
      <x:c r="U146" s="638" t="s">
        <x:v>82</x:v>
      </x:c>
      <x:c r="V146" s="638"/>
      <x:c r="W146" s="638"/>
      <x:c r="X146" s="638"/>
      <x:c r="Y146" s="638"/>
      <x:c r="Z146" s="638"/>
      <x:c r="AA146" s="638"/>
      <x:c r="AB146" s="638"/>
      <x:c r="AC146" s="638"/>
      <x:c r="AD146" s="638"/>
      <x:c r="AE146" s="638"/>
      <x:c r="AF146" s="638"/>
      <x:c r="AG146" s="638"/>
      <x:c r="AH146" s="638"/>
      <x:c r="AI146" s="638"/>
      <x:c r="AJ146" s="664"/>
      <x:c r="AK146" s="679" t="s">
        <x:v>82</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4.25" customHeight="1" s="143" customFormat="1">
      <x:c r="A147" s="502"/>
      <x:c r="B147" s="680" t="s">
        <x:v>149</x:v>
      </x:c>
      <x:c r="C147" s="681"/>
      <x:c r="D147" s="681"/>
      <x:c r="E147" s="681"/>
      <x:c r="F147" s="681"/>
      <x:c r="G147" s="681"/>
      <x:c r="H147" s="681"/>
      <x:c r="I147" s="681"/>
      <x:c r="J147" s="681"/>
      <x:c r="K147" s="681"/>
      <x:c r="L147" s="681"/>
      <x:c r="M147" s="681"/>
      <x:c r="N147" s="681"/>
      <x:c r="O147" s="681"/>
      <x:c r="P147" s="681"/>
      <x:c r="Q147" s="681"/>
      <x:c r="R147" s="681"/>
      <x:c r="S147" s="681"/>
      <x:c r="T147" s="682"/>
      <x:c r="U147" s="681" t="s">
        <x:v>150</x:v>
      </x:c>
      <x:c r="V147" s="681"/>
      <x:c r="W147" s="681"/>
      <x:c r="X147" s="681"/>
      <x:c r="Y147" s="681"/>
      <x:c r="Z147" s="681"/>
      <x:c r="AA147" s="681"/>
      <x:c r="AB147" s="681"/>
      <x:c r="AC147" s="681"/>
      <x:c r="AD147" s="681"/>
      <x:c r="AE147" s="681"/>
      <x:c r="AF147" s="681"/>
      <x:c r="AG147" s="681"/>
      <x:c r="AH147" s="681"/>
      <x:c r="AI147" s="681"/>
      <x:c r="AJ147" s="683"/>
      <x:c r="AK147" s="684" t="s">
        <x:v>151</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5"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5" customHeight="1" hidden="1"/>
    <x:row r="150" ht="15" customHeight="1" hidden="1"/>
    <x:row r="151" ht="15" customHeight="1" hidden="1"/>
    <x:row r="152" ht="15"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Y75"/>
  <x:sheetViews>
    <x:sheetView topLeftCell="B1" zoomScale="85" zoomScaleNormal="85" workbookViewId="0">
      <x:selection activeCell="X10" sqref="X10 X10:Y10"/>
    </x:sheetView>
  </x:sheetViews>
  <x:sheetFormatPr defaultRowHeight="15"/>
  <x:cols>
    <x:col min="1" max="1" width="9" style="0" customWidth="1"/>
    <x:col min="2" max="2" width="11.140625" style="0" customWidth="1"/>
    <x:col min="3" max="3" width="7" style="0" customWidth="1"/>
  </x:cols>
  <x:sheetData>
    <x:row r="2" spans="1:25">
      <x:c r="B2" s="481" t="s">
        <x:v>156</x:v>
      </x:c>
      <x:c r="C2" s="481"/>
      <x:c r="D2" s="481"/>
      <x:c r="E2" s="481"/>
      <x:c r="F2" s="481"/>
      <x:c r="G2" s="481"/>
      <x:c r="H2" s="481"/>
      <x:c r="I2" s="481"/>
      <x:c r="J2" s="481"/>
      <x:c r="K2" s="481"/>
      <x:c r="L2" s="481"/>
      <x:c r="M2" s="481"/>
      <x:c r="N2" s="481"/>
      <x:c r="O2" s="481"/>
      <x:c r="P2" s="481"/>
      <x:c r="Q2" s="481"/>
      <x:c r="R2" s="481"/>
      <x:c r="S2" s="481"/>
      <x:c r="T2" s="481"/>
      <x:c r="U2" s="481"/>
      <x:c r="V2" s="481"/>
      <x:c r="W2" s="481"/>
      <x:c r="X2" s="481"/>
      <x:c r="Y2" s="481"/>
    </x:row>
    <x:row r="3" spans="1:25">
      <x:c r="B3" s="687" t="s">
        <x:v>86</x:v>
      </x:c>
      <x:c r="C3" s="688"/>
      <x:c r="D3" s="688"/>
      <x:c r="E3" s="688"/>
      <x:c r="F3" s="688"/>
      <x:c r="G3" s="689"/>
      <x:c r="H3" s="687" t="s">
        <x:v>88</x:v>
      </x:c>
      <x:c r="I3" s="688"/>
      <x:c r="J3" s="688"/>
      <x:c r="K3" s="688"/>
      <x:c r="L3" s="688"/>
      <x:c r="M3" s="689"/>
      <x:c r="N3" s="687" t="s">
        <x:v>157</x:v>
      </x:c>
      <x:c r="O3" s="688"/>
      <x:c r="P3" s="688"/>
      <x:c r="Q3" s="688"/>
      <x:c r="R3" s="688"/>
      <x:c r="S3" s="688"/>
      <x:c r="T3" s="688"/>
      <x:c r="U3" s="688"/>
      <x:c r="V3" s="688"/>
      <x:c r="W3" s="689"/>
      <x:c r="X3" s="474" t="s">
        <x:v>158</x:v>
      </x:c>
      <x:c r="Y3" s="475"/>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76"/>
      <x:c r="Y4" s="477"/>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76"/>
      <x:c r="Y5" s="477"/>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76"/>
      <x:c r="Y6" s="477"/>
    </x:row>
    <x:row r="7" spans="1:25" ht="15" customHeight="1">
      <x:c r="B7" s="473" t="s">
        <x:v>39</x:v>
      </x:c>
      <x:c r="C7" s="473"/>
      <x:c r="D7" s="693" t="s">
        <x:v>96</x:v>
      </x:c>
      <x:c r="E7" s="693"/>
      <x:c r="F7" s="687" t="s">
        <x:v>41</x:v>
      </x:c>
      <x:c r="G7" s="689"/>
      <x:c r="H7" s="693" t="s">
        <x:v>97</x:v>
      </x:c>
      <x:c r="I7" s="693"/>
      <x:c r="J7" s="693" t="s">
        <x:v>98</x:v>
      </x:c>
      <x:c r="K7" s="693"/>
      <x:c r="L7" s="693" t="s">
        <x:v>99</x:v>
      </x:c>
      <x:c r="M7" s="693"/>
      <x:c r="N7" s="694" t="s">
        <x:v>159</x:v>
      </x:c>
      <x:c r="O7" s="693"/>
      <x:c r="P7" s="693" t="s">
        <x:v>97</x:v>
      </x:c>
      <x:c r="Q7" s="693"/>
      <x:c r="R7" s="693" t="s">
        <x:v>99</x:v>
      </x:c>
      <x:c r="S7" s="693"/>
      <x:c r="T7" s="694" t="s">
        <x:v>160</x:v>
      </x:c>
      <x:c r="U7" s="693"/>
      <x:c r="V7" s="693" t="s">
        <x:v>99</x:v>
      </x:c>
      <x:c r="W7" s="693"/>
      <x:c r="X7" s="476"/>
      <x:c r="Y7" s="477"/>
    </x:row>
    <x:row r="8" spans="1:25">
      <x:c r="B8" s="480"/>
      <x:c r="C8" s="480"/>
      <x:c r="D8" s="693"/>
      <x:c r="E8" s="693"/>
      <x:c r="F8" s="695"/>
      <x:c r="G8" s="696"/>
      <x:c r="H8" s="693"/>
      <x:c r="I8" s="693"/>
      <x:c r="J8" s="693"/>
      <x:c r="K8" s="693"/>
      <x:c r="L8" s="693"/>
      <x:c r="M8" s="693"/>
      <x:c r="N8" s="694"/>
      <x:c r="O8" s="693"/>
      <x:c r="P8" s="693"/>
      <x:c r="Q8" s="693"/>
      <x:c r="R8" s="693"/>
      <x:c r="S8" s="693"/>
      <x:c r="T8" s="694"/>
      <x:c r="U8" s="693"/>
      <x:c r="V8" s="693"/>
      <x:c r="W8" s="693"/>
      <x:c r="X8" s="476"/>
      <x:c r="Y8" s="477"/>
    </x:row>
    <x:row r="9" spans="1:25">
      <x:c r="B9" s="480"/>
      <x:c r="C9" s="480"/>
      <x:c r="D9" s="693"/>
      <x:c r="E9" s="693"/>
      <x:c r="F9" s="690"/>
      <x:c r="G9" s="692"/>
      <x:c r="H9" s="693"/>
      <x:c r="I9" s="693"/>
      <x:c r="J9" s="693"/>
      <x:c r="K9" s="693"/>
      <x:c r="L9" s="693"/>
      <x:c r="M9" s="693"/>
      <x:c r="N9" s="693"/>
      <x:c r="O9" s="693"/>
      <x:c r="P9" s="693"/>
      <x:c r="Q9" s="693"/>
      <x:c r="R9" s="693"/>
      <x:c r="S9" s="693"/>
      <x:c r="T9" s="693"/>
      <x:c r="U9" s="693"/>
      <x:c r="V9" s="693"/>
      <x:c r="W9" s="693"/>
      <x:c r="X9" s="478"/>
      <x:c r="Y9" s="479"/>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2">
        <x:f>IF(AND(L10="PASSED",R10="PASSED",V10="PASSED"),"PASSED",IF(L10="FAILED","FAILED","UNDETERMINED"))</x:f>
      </x:c>
      <x:c r="Y10" s="472"/>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2">
        <x:f>IF(AND(L11="PASSED",R11="PASSED",V11="PASSED"),"PASSED",IF(L11="FAILED","FAILED","UNDETERMINED"))</x:f>
      </x:c>
      <x:c r="Y11" s="472"/>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2">
        <x:f>IF(AND(L12="PASSED",R12="PASSED",V12="PASSED"),"PASSED",IF(L12="FAILED","FAILED","UNDETERMINED"))</x:f>
      </x:c>
      <x:c r="Y12" s="472"/>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2">
        <x:f>IF(AND(L13="PASSED",R13="PASSED",V13="PASSED"),"PASSED",IF(L13="FAILED","FAILED","UNDETERMINED"))</x:f>
      </x:c>
      <x:c r="Y13" s="472"/>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2">
        <x:f>IF(AND(L14="PASSED",R14="PASSED",V14="PASSED"),"PASSED",IF(L14="FAILED","FAILED","UNDETERMINED"))</x:f>
      </x:c>
      <x:c r="Y14" s="472"/>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2">
        <x:f>IF(AND(L15="PASSED",R15="PASSED",V15="PASSED"),"PASSED",IF(L15="FAILED","FAILED","UNDETERMINED"))</x:f>
      </x:c>
      <x:c r="Y15" s="472"/>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2">
        <x:f>IF(AND(L16="PASSED",R16="PASSED",V16="PASSED"),"PASSED",IF(L16="FAILED","FAILED","UNDETERMINED"))</x:f>
      </x:c>
      <x:c r="Y16" s="472"/>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2">
        <x:f>IF(AND(L17="PASSED",R17="PASSED",V17="PASSED"),"PASSED",IF(L17="FAILED","FAILED","UNDETERMINED"))</x:f>
      </x:c>
      <x:c r="Y17" s="472"/>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2">
        <x:f>IF(AND(L18="PASSED",R18="PASSED",V18="PASSED"),"PASSED",IF(L18="FAILED","FAILED","UNDETERMINED"))</x:f>
      </x:c>
      <x:c r="Y18" s="472"/>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2">
        <x:f>IF(AND(L19="PASSED",R19="PASSED",V19="PASSED"),"PASSED",IF(L19="FAILED","FAILED","UNDETERMINED"))</x:f>
      </x:c>
      <x:c r="Y19" s="472"/>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2">
        <x:f>IF(AND(L20="PASSED",R20="PASSED",V20="PASSED"),"PASSED",IF(L20="FAILED","FAILED","UNDETERMINED"))</x:f>
      </x:c>
      <x:c r="Y20" s="472"/>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2">
        <x:f>IF(AND(L21="PASSED",R21="PASSED",V21="PASSED"),"PASSED",IF(L21="FAILED","FAILED","UNDETERMINED"))</x:f>
      </x:c>
      <x:c r="Y21" s="472"/>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2">
        <x:f>IF(AND(L22="PASSED",R22="PASSED",V22="PASSED"),"PASSED",IF(L22="FAILED","FAILED","UNDETERMINED"))</x:f>
      </x:c>
      <x:c r="Y22" s="472"/>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2">
        <x:f>IF(AND(L23="PASSED",R23="PASSED",V23="PASSED"),"PASSED",IF(L23="FAILED","FAILED","UNDETERMINED"))</x:f>
      </x:c>
      <x:c r="Y23" s="472"/>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2">
        <x:f>IF(AND(L24="PASSED",R24="PASSED",V24="PASSED"),"PASSED",IF(L24="FAILED","FAILED","UNDETERMINED"))</x:f>
      </x:c>
      <x:c r="Y24" s="472"/>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2">
        <x:f>IF(AND(L25="PASSED",R25="PASSED",V25="PASSED"),"PASSED",IF(L25="FAILED","FAILED","UNDETERMINED"))</x:f>
      </x:c>
      <x:c r="Y25" s="472"/>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2">
        <x:f>IF(AND(L26="PASSED",R26="PASSED",V26="PASSED"),"PASSED",IF(L26="FAILED","FAILED","UNDETERMINED"))</x:f>
      </x:c>
      <x:c r="Y26" s="472"/>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73" t="s">
        <x:v>158</x:v>
      </x:c>
      <x:c r="Y27" s="473"/>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73"/>
      <x:c r="Y28" s="473"/>
    </x:row>
    <x:row r="29" spans="1:25">
      <x:c r="B29" s="473" t="s">
        <x:v>39</x:v>
      </x:c>
      <x:c r="C29" s="473"/>
      <x:c r="D29" s="693" t="s">
        <x:v>96</x:v>
      </x:c>
      <x:c r="E29" s="693"/>
      <x:c r="F29" s="687" t="s">
        <x:v>41</x:v>
      </x:c>
      <x:c r="G29" s="689"/>
      <x:c r="H29" s="693" t="s">
        <x:v>97</x:v>
      </x:c>
      <x:c r="I29" s="693"/>
      <x:c r="J29" s="693" t="s">
        <x:v>98</x:v>
      </x:c>
      <x:c r="K29" s="693"/>
      <x:c r="L29" s="693" t="s">
        <x:v>99</x:v>
      </x:c>
      <x:c r="M29" s="693"/>
      <x:c r="N29" s="694" t="s">
        <x:v>161</x:v>
      </x:c>
      <x:c r="O29" s="693"/>
      <x:c r="P29" s="693" t="s">
        <x:v>97</x:v>
      </x:c>
      <x:c r="Q29" s="693"/>
      <x:c r="R29" s="693" t="s">
        <x:v>99</x:v>
      </x:c>
      <x:c r="S29" s="693"/>
      <x:c r="T29" s="694" t="s">
        <x:v>162</x:v>
      </x:c>
      <x:c r="U29" s="693"/>
      <x:c r="V29" s="693" t="s">
        <x:v>99</x:v>
      </x:c>
      <x:c r="W29" s="693"/>
      <x:c r="X29" s="473"/>
      <x:c r="Y29" s="473"/>
    </x:row>
    <x:row r="30" spans="1:25">
      <x:c r="B30" s="473"/>
      <x:c r="C30" s="473"/>
      <x:c r="D30" s="693"/>
      <x:c r="E30" s="693"/>
      <x:c r="F30" s="690"/>
      <x:c r="G30" s="692"/>
      <x:c r="H30" s="693"/>
      <x:c r="I30" s="693"/>
      <x:c r="J30" s="693"/>
      <x:c r="K30" s="693"/>
      <x:c r="L30" s="693"/>
      <x:c r="M30" s="693"/>
      <x:c r="N30" s="693"/>
      <x:c r="O30" s="693"/>
      <x:c r="P30" s="693"/>
      <x:c r="Q30" s="693"/>
      <x:c r="R30" s="693"/>
      <x:c r="S30" s="693"/>
      <x:c r="T30" s="693"/>
      <x:c r="U30" s="693"/>
      <x:c r="V30" s="693"/>
      <x:c r="W30" s="693"/>
      <x:c r="X30" s="473"/>
      <x:c r="Y30" s="473"/>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2">
        <x:f>IF(AND(L31="PASSED",R31="PASSED",V31="PASSED"),"PASSED",IF(L31="FAILED","FAILED","UNDETERMINED"))</x:f>
      </x:c>
      <x:c r="Y31" s="472"/>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2">
        <x:f>IF(AND(L32="PASSED",R32="PASSED",V32="PASSED"),"PASSED",IF(L32="FAILED","FAILED","UNDETERMINED"))</x:f>
      </x:c>
      <x:c r="Y32" s="472"/>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2">
        <x:f>IF(AND(L33="PASSED",R33="PASSED",V33="PASSED"),"PASSED",IF(L33="FAILED","FAILED","UNDETERMINED"))</x:f>
      </x:c>
      <x:c r="Y33" s="472"/>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2">
        <x:f>IF(AND(L34="PASSED",R34="PASSED",V34="PASSED"),"PASSED",IF(L34="FAILED","FAILED","UNDETERMINED"))</x:f>
      </x:c>
      <x:c r="Y34" s="472"/>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2">
        <x:f>IF(AND(L35="PASSED",R35="PASSED",V35="PASSED"),"PASSED",IF(L35="FAILED","FAILED","UNDETERMINED"))</x:f>
      </x:c>
      <x:c r="Y35" s="472"/>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2">
        <x:f>IF(AND(L36="PASSED",R36="PASSED",V36="PASSED"),"PASSED",IF(L36="FAILED","FAILED","UNDETERMINED"))</x:f>
      </x:c>
      <x:c r="Y36" s="472"/>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2">
        <x:f>IF(AND(L37="PASSED",R37="PASSED",V37="PASSED"),"PASSED",IF(L37="FAILED","FAILED","UNDETERMINED"))</x:f>
      </x:c>
      <x:c r="Y37" s="472"/>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2">
        <x:f>IF(AND(L38="PASSED",R38="PASSED",V38="PASSED"),"PASSED",IF(L38="FAILED","FAILED","UNDETERMINED"))</x:f>
      </x:c>
      <x:c r="Y38" s="472"/>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2">
        <x:f>IF(AND(L39="PASSED",R39="PASSED",V39="PASSED"),"PASSED",IF(L39="FAILED","FAILED","UNDETERMINED"))</x:f>
      </x:c>
      <x:c r="Y39" s="472"/>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2">
        <x:f>IF(AND(L40="PASSED",R40="PASSED",V40="PASSED"),"PASSED",IF(L40="FAILED","FAILED","UNDETERMINED"))</x:f>
      </x:c>
      <x:c r="Y40" s="472"/>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2">
        <x:f>IF(AND(L41="PASSED",R41="PASSED",V41="PASSED"),"PASSED",IF(L41="FAILED","FAILED","UNDETERMINED"))</x:f>
      </x:c>
      <x:c r="Y41" s="472"/>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2">
        <x:f>IF(AND(L42="PASSED",R42="PASSED",V42="PASSED"),"PASSED",IF(L42="FAILED","FAILED","UNDETERMINED"))</x:f>
      </x:c>
      <x:c r="Y42" s="472"/>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2">
        <x:f>IF(AND(L43="PASSED",R43="PASSED",V43="PASSED"),"PASSED",IF(L43="FAILED","FAILED","UNDETERMINED"))</x:f>
      </x:c>
      <x:c r="Y43" s="472"/>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2">
        <x:f>IF(AND(L44="PASSED",R44="PASSED",V44="PASSED"),"PASSED",IF(L44="FAILED","FAILED","UNDETERMINED"))</x:f>
      </x:c>
      <x:c r="Y44" s="472"/>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2">
        <x:f>IF(AND(L45="PASSED",R45="PASSED",V45="PASSED"),"PASSED",IF(L45="FAILED","FAILED","UNDETERMINED"))</x:f>
      </x:c>
      <x:c r="Y45" s="472"/>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2">
        <x:f>IF(AND(L46="PASSED",R46="PASSED",V46="PASSED"),"PASSED",IF(L46="FAILED","FAILED","UNDETERMINED"))</x:f>
      </x:c>
      <x:c r="Y46" s="472"/>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2">
        <x:f>IF(AND(L47="PASSED",R47="PASSED",V47="PASSED"),"PASSED",IF(L47="FAILED","FAILED","UNDETERMINED"))</x:f>
      </x:c>
      <x:c r="Y47" s="472"/>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2">
        <x:f>IF(AND(L48="PASSED",R48="PASSED",V48="PASSED"),"PASSED",IF(L48="FAILED","FAILED","UNDETERMINED"))</x:f>
      </x:c>
      <x:c r="Y48" s="472"/>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73" t="s">
        <x:v>158</x:v>
      </x:c>
      <x:c r="Y49" s="473"/>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73"/>
      <x:c r="Y50" s="473"/>
    </x:row>
    <x:row r="51" spans="1:25">
      <x:c r="B51" s="473" t="s">
        <x:v>39</x:v>
      </x:c>
      <x:c r="C51" s="473"/>
      <x:c r="D51" s="693" t="s">
        <x:v>96</x:v>
      </x:c>
      <x:c r="E51" s="693"/>
      <x:c r="F51" s="687" t="s">
        <x:v>41</x:v>
      </x:c>
      <x:c r="G51" s="689"/>
      <x:c r="H51" s="693" t="s">
        <x:v>97</x:v>
      </x:c>
      <x:c r="I51" s="693"/>
      <x:c r="J51" s="693" t="s">
        <x:v>98</x:v>
      </x:c>
      <x:c r="K51" s="693"/>
      <x:c r="L51" s="693" t="s">
        <x:v>99</x:v>
      </x:c>
      <x:c r="M51" s="693"/>
      <x:c r="N51" s="694" t="s">
        <x:v>161</x:v>
      </x:c>
      <x:c r="O51" s="693"/>
      <x:c r="P51" s="693" t="s">
        <x:v>97</x:v>
      </x:c>
      <x:c r="Q51" s="693"/>
      <x:c r="R51" s="693" t="s">
        <x:v>99</x:v>
      </x:c>
      <x:c r="S51" s="693"/>
      <x:c r="T51" s="694" t="s">
        <x:v>162</x:v>
      </x:c>
      <x:c r="U51" s="693"/>
      <x:c r="V51" s="693" t="s">
        <x:v>99</x:v>
      </x:c>
      <x:c r="W51" s="693"/>
      <x:c r="X51" s="473"/>
      <x:c r="Y51" s="473"/>
    </x:row>
    <x:row r="52" spans="1:25">
      <x:c r="B52" s="473"/>
      <x:c r="C52" s="473"/>
      <x:c r="D52" s="693"/>
      <x:c r="E52" s="693"/>
      <x:c r="F52" s="690"/>
      <x:c r="G52" s="692"/>
      <x:c r="H52" s="693"/>
      <x:c r="I52" s="693"/>
      <x:c r="J52" s="693"/>
      <x:c r="K52" s="693"/>
      <x:c r="L52" s="693"/>
      <x:c r="M52" s="693"/>
      <x:c r="N52" s="693"/>
      <x:c r="O52" s="693"/>
      <x:c r="P52" s="693"/>
      <x:c r="Q52" s="693"/>
      <x:c r="R52" s="693"/>
      <x:c r="S52" s="693"/>
      <x:c r="T52" s="693"/>
      <x:c r="U52" s="693"/>
      <x:c r="V52" s="693"/>
      <x:c r="W52" s="693"/>
      <x:c r="X52" s="473"/>
      <x:c r="Y52" s="473"/>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2">
        <x:f>IF(AND(L53="PASSED",R53="PASSED",V53="PASSED"),"PASSED",IF(L53="FAILED","FAILED","UNDETERMINED"))</x:f>
      </x:c>
      <x:c r="Y53" s="472"/>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2">
        <x:f>IF(AND(L54="PASSED",R54="PASSED",V54="PASSED"),"PASSED",IF(L54="FAILED","FAILED","UNDETERMINED"))</x:f>
      </x:c>
      <x:c r="Y54" s="472"/>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2">
        <x:f>IF(AND(L55="PASSED",R55="PASSED",V55="PASSED"),"PASSED",IF(L55="FAILED","FAILED","UNDETERMINED"))</x:f>
      </x:c>
      <x:c r="Y55" s="472"/>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2">
        <x:f>IF(AND(L56="PASSED",R56="PASSED",V56="PASSED"),"PASSED",IF(L56="FAILED","FAILED","UNDETERMINED"))</x:f>
      </x:c>
      <x:c r="Y56" s="472"/>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2">
        <x:f>IF(AND(L57="PASSED",R57="PASSED",V57="PASSED"),"PASSED",IF(L57="FAILED","FAILED","UNDETERMINED"))</x:f>
      </x:c>
      <x:c r="Y57" s="472"/>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2">
        <x:f>IF(AND(L58="PASSED",R58="PASSED",V58="PASSED"),"PASSED",IF(L58="FAILED","FAILED","UNDETERMINED"))</x:f>
      </x:c>
      <x:c r="Y58" s="472"/>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2">
        <x:f>IF(AND(L59="PASSED",R59="PASSED",V59="PASSED"),"PASSED",IF(L59="FAILED","FAILED","UNDETERMINED"))</x:f>
      </x:c>
      <x:c r="Y59" s="472"/>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73" t="s">
        <x:v>158</x:v>
      </x:c>
      <x:c r="Y60" s="473"/>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73"/>
      <x:c r="Y61" s="473"/>
    </x:row>
    <x:row r="62" spans="1:25">
      <x:c r="B62" s="473" t="s">
        <x:v>39</x:v>
      </x:c>
      <x:c r="C62" s="473"/>
      <x:c r="D62" s="693" t="s">
        <x:v>96</x:v>
      </x:c>
      <x:c r="E62" s="693"/>
      <x:c r="F62" s="687" t="s">
        <x:v>41</x:v>
      </x:c>
      <x:c r="G62" s="689"/>
      <x:c r="H62" s="693" t="s">
        <x:v>97</x:v>
      </x:c>
      <x:c r="I62" s="693"/>
      <x:c r="J62" s="693" t="s">
        <x:v>98</x:v>
      </x:c>
      <x:c r="K62" s="693"/>
      <x:c r="L62" s="693" t="s">
        <x:v>99</x:v>
      </x:c>
      <x:c r="M62" s="693"/>
      <x:c r="N62" s="694" t="s">
        <x:v>161</x:v>
      </x:c>
      <x:c r="O62" s="693"/>
      <x:c r="P62" s="693" t="s">
        <x:v>97</x:v>
      </x:c>
      <x:c r="Q62" s="693"/>
      <x:c r="R62" s="693" t="s">
        <x:v>99</x:v>
      </x:c>
      <x:c r="S62" s="693"/>
      <x:c r="T62" s="694" t="s">
        <x:v>162</x:v>
      </x:c>
      <x:c r="U62" s="693"/>
      <x:c r="V62" s="693" t="s">
        <x:v>99</x:v>
      </x:c>
      <x:c r="W62" s="693"/>
      <x:c r="X62" s="473"/>
      <x:c r="Y62" s="473"/>
    </x:row>
    <x:row r="63" spans="1:25">
      <x:c r="B63" s="473"/>
      <x:c r="C63" s="473"/>
      <x:c r="D63" s="693"/>
      <x:c r="E63" s="693"/>
      <x:c r="F63" s="690"/>
      <x:c r="G63" s="692"/>
      <x:c r="H63" s="693"/>
      <x:c r="I63" s="693"/>
      <x:c r="J63" s="693"/>
      <x:c r="K63" s="693"/>
      <x:c r="L63" s="693"/>
      <x:c r="M63" s="693"/>
      <x:c r="N63" s="693"/>
      <x:c r="O63" s="693"/>
      <x:c r="P63" s="693"/>
      <x:c r="Q63" s="693"/>
      <x:c r="R63" s="693"/>
      <x:c r="S63" s="693"/>
      <x:c r="T63" s="693"/>
      <x:c r="U63" s="693"/>
      <x:c r="V63" s="693"/>
      <x:c r="W63" s="693"/>
      <x:c r="X63" s="473"/>
      <x:c r="Y63" s="473"/>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2">
        <x:f>IF(AND(L64="PASSED",R64="PASSED",V64="PASSED"),"PASSED",IF(L64="FAILED","FAILED","UNDETERMINED"))</x:f>
      </x:c>
      <x:c r="Y64" s="472"/>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2">
        <x:f>IF(AND(L65="PASSED",R65="PASSED",V65="PASSED"),"PASSED",IF(L65="FAILED","FAILED","UNDETERMINED"))</x:f>
      </x:c>
      <x:c r="Y65" s="472"/>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2">
        <x:f>IF(AND(L66="PASSED",R66="PASSED",V66="PASSED"),"PASSED",IF(L66="FAILED","FAILED","UNDETERMINED"))</x:f>
      </x:c>
      <x:c r="Y66" s="472"/>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73" t="s">
        <x:v>158</x:v>
      </x:c>
      <x:c r="Y67" s="473"/>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73"/>
      <x:c r="Y68" s="473"/>
    </x:row>
    <x:row r="69" spans="1:25">
      <x:c r="B69" s="473" t="s">
        <x:v>39</x:v>
      </x:c>
      <x:c r="C69" s="473"/>
      <x:c r="D69" s="693" t="s">
        <x:v>96</x:v>
      </x:c>
      <x:c r="E69" s="693"/>
      <x:c r="F69" s="687" t="s">
        <x:v>41</x:v>
      </x:c>
      <x:c r="G69" s="689"/>
      <x:c r="H69" s="693" t="s">
        <x:v>97</x:v>
      </x:c>
      <x:c r="I69" s="693"/>
      <x:c r="J69" s="693" t="s">
        <x:v>98</x:v>
      </x:c>
      <x:c r="K69" s="693"/>
      <x:c r="L69" s="693" t="s">
        <x:v>99</x:v>
      </x:c>
      <x:c r="M69" s="693"/>
      <x:c r="N69" s="694" t="s">
        <x:v>161</x:v>
      </x:c>
      <x:c r="O69" s="693"/>
      <x:c r="P69" s="693" t="s">
        <x:v>97</x:v>
      </x:c>
      <x:c r="Q69" s="693"/>
      <x:c r="R69" s="693" t="s">
        <x:v>99</x:v>
      </x:c>
      <x:c r="S69" s="693"/>
      <x:c r="T69" s="694" t="s">
        <x:v>162</x:v>
      </x:c>
      <x:c r="U69" s="693"/>
      <x:c r="V69" s="693" t="s">
        <x:v>99</x:v>
      </x:c>
      <x:c r="W69" s="693"/>
      <x:c r="X69" s="473"/>
      <x:c r="Y69" s="473"/>
    </x:row>
    <x:row r="70" spans="1:25">
      <x:c r="B70" s="473"/>
      <x:c r="C70" s="473"/>
      <x:c r="D70" s="693"/>
      <x:c r="E70" s="693"/>
      <x:c r="F70" s="690"/>
      <x:c r="G70" s="692"/>
      <x:c r="H70" s="693"/>
      <x:c r="I70" s="693"/>
      <x:c r="J70" s="693"/>
      <x:c r="K70" s="693"/>
      <x:c r="L70" s="693"/>
      <x:c r="M70" s="693"/>
      <x:c r="N70" s="693"/>
      <x:c r="O70" s="693"/>
      <x:c r="P70" s="693"/>
      <x:c r="Q70" s="693"/>
      <x:c r="R70" s="693"/>
      <x:c r="S70" s="693"/>
      <x:c r="T70" s="693"/>
      <x:c r="U70" s="693"/>
      <x:c r="V70" s="693"/>
      <x:c r="W70" s="693"/>
      <x:c r="X70" s="473"/>
      <x:c r="Y70" s="473"/>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2">
        <x:f>IF(AND(L71="PASSED",R71="PASSED",V71="PASSED"),"PASSED",IF(L71="FAILED","FAILED","UNDETERMINED"))</x:f>
      </x:c>
      <x:c r="Y71" s="472"/>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2">
        <x:f>IF(AND(L72="PASSED",R72="PASSED",V72="PASSED"),"PASSED",IF(L72="FAILED","FAILED","UNDETERMINED"))</x:f>
      </x:c>
      <x:c r="Y72" s="472"/>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2">
        <x:f>IF(AND(L73="PASSED",R73="PASSED",V73="PASSED"),"PASSED",IF(L73="FAILED","FAILED","UNDETERMINED"))</x:f>
      </x:c>
      <x:c r="Y73" s="472"/>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2">
        <x:f>IF(AND(L74="PASSED",R74="PASSED",V74="PASSED"),"PASSED",IF(L74="FAILED","FAILED","UNDETERMINED"))</x:f>
      </x:c>
      <x:c r="Y74" s="472"/>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opLeftCell="A64" workbookViewId="0">
      <x:selection activeCell="A104" sqref="A104"/>
    </x:sheetView>
  </x:sheetViews>
  <x:sheetFormatPr defaultColWidth="9.140625" defaultRowHeight="15"/>
  <x:cols>
    <x:col min="1" max="16384" width="9.14062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Danica Bea B. Neri</lastModifiedBy>
  <lastPrinted>2025-05-21T09:14:36.0000000Z</lastPrinted>
  <dcterms:created xsi:type="dcterms:W3CDTF">2014-11-03T09:03:00.0000000Z</dcterms:created>
  <dcterms:modified xsi:type="dcterms:W3CDTF">2025-08-04T10:27:52.0000000Z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