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xcalcf="http://schemas.microsoft.com/office/spreadsheetml/2018/calcfeatures"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5" rupBuild="14420"/>
  <x:workbookPr codeName="ThisWorkbook" defaultThemeVersion="124226"/>
  <mc:AlternateContent xmlns:mc="http://schemas.openxmlformats.org/markup-compatibility/2006">
    <mc:Choice Requires="x15">
      <x15ac:absPath xmlns:x15ac="http://schemas.microsoft.com/office/spreadsheetml/2010/11/ac" url="C:\Users\dbneri\Documents\Visual Studio 2010\Projects\ASCal\ASCal\"/>
    </mc:Choice>
  </mc:AlternateContent>
  <x:bookViews>
    <x:workbookView xWindow="0" yWindow="0" windowWidth="13365" windowHeight="7770" tabRatio="681" firstSheet="0" activeTab="1"/>
  </x:bookViews>
  <x:sheets>
    <x:sheet name="Cal Certificate" sheetId="5" r:id="rId1"/>
    <x:sheet name="DataSheet" sheetId="6" r:id="rId2"/>
    <x:sheet name="PASSFAIL" sheetId="7" state="hidden" r:id="rId3"/>
    <x:sheet name="Specification" sheetId="10" r:id="rId4"/>
  </x:sheets>
  <x:definedNames>
    <x:definedName name="_xlnm.Print_Area" localSheetId="0">'Cal Certificate'!$B$1:$AA$223</x:definedName>
    <x:definedName name="DRY" localSheetId="0">#REF!</x:definedName>
    <x:definedName name="WET" localSheetId="0">#REF!</x:definedName>
    <x:definedName name="_xlnm.Print_Titles" localSheetId="0">'Cal Certificate'!1:8</x:definedName>
    <x:definedName name="_xlnm.Print_Area" localSheetId="1">DataSheet!$B$2:$AZ$147</x:definedName>
    <x:definedName name="WET" localSheetId="1">#REF!</x:definedName>
    <x:definedName name="_xlnm.Print_Titles" localSheetId="1">DataSheet!2:7</x:definedName>
    <x:definedName name="DRY">#REF!</x:definedName>
    <x:definedName name="dryx">#REF!</x:definedName>
    <x:definedName name="WET">#REF!</x:definedName>
  </x:definedNames>
  <x:calcPr calcId="162913"/>
  <x:fileRecoveryPr autoRecover="0"/>
  <x:extLs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calcChain.xml><?xml version="1.0" encoding="utf-8"?>
<x:calcChain xmlns:x="http://schemas.openxmlformats.org/spreadsheetml/2006/main">
  <x:c r="V7" i="5"/>
  <x:c r="D10" i="5"/>
  <x:c r="P10" i="5"/>
  <x:c r="D11" i="5"/>
  <x:c r="P11" i="5"/>
  <x:c r="H15" i="5"/>
  <x:c r="T15" i="5"/>
  <x:c r="H16" i="5"/>
  <x:c r="T16" i="5"/>
  <x:c r="H17" i="5"/>
  <x:c r="T17" i="5"/>
  <x:c r="H18" i="5"/>
  <x:c r="T18" i="5"/>
  <x:c r="H19" i="5"/>
  <x:c r="T19" i="5"/>
  <x:c r="H20" i="5"/>
  <x:c r="T20" i="5"/>
  <x:c r="C24" i="5"/>
  <x:c r="D42" i="5"/>
  <x:c r="J42" i="5"/>
  <x:c r="P42" i="5"/>
  <x:c r="V42" i="5"/>
  <x:c r="O51" i="5"/>
  <x:c r="E54" i="5"/>
  <x:c r="S54" i="5"/>
  <x:c r="E67" i="5"/>
  <x:c r="E70" i="5"/>
  <x:c r="I70" i="5"/>
  <x:c r="M70" i="5"/>
  <x:c r="Q70" i="5"/>
  <x:c r="U70" i="5"/>
  <x:c r="I71" i="5"/>
  <x:c r="M71" i="5"/>
  <x:c r="Q71" i="5"/>
  <x:c r="U71" i="5"/>
  <x:c r="I72" i="5"/>
  <x:c r="M72" i="5"/>
  <x:c r="Q72" i="5"/>
  <x:c r="U72" i="5"/>
  <x:c r="E73" i="5"/>
  <x:c r="I73" i="5"/>
  <x:c r="M73" i="5"/>
  <x:c r="Q73" i="5"/>
  <x:c r="U73" i="5"/>
  <x:c r="I74" i="5"/>
  <x:c r="M74" i="5"/>
  <x:c r="Q74" i="5"/>
  <x:c r="U74" i="5"/>
  <x:c r="I75" i="5"/>
  <x:c r="M75" i="5"/>
  <x:c r="Q75" i="5"/>
  <x:c r="U75" i="5"/>
  <x:c r="E76" i="5"/>
  <x:c r="I76" i="5"/>
  <x:c r="M76" i="5"/>
  <x:c r="Q76" i="5"/>
  <x:c r="U76" i="5"/>
  <x:c r="I77" i="5"/>
  <x:c r="M77" i="5"/>
  <x:c r="Q77" i="5"/>
  <x:c r="U77" i="5"/>
  <x:c r="I78" i="5"/>
  <x:c r="M78" i="5"/>
  <x:c r="Q78" i="5"/>
  <x:c r="U78" i="5"/>
  <x:c r="I79" i="5"/>
  <x:c r="M79" i="5"/>
  <x:c r="Q79" i="5"/>
  <x:c r="U79" i="5"/>
  <x:c r="I80" i="5"/>
  <x:c r="M80" i="5"/>
  <x:c r="Q80" i="5"/>
  <x:c r="U80" i="5"/>
  <x:c r="E81" i="5"/>
  <x:c r="I81" i="5"/>
  <x:c r="M81" i="5"/>
  <x:c r="Q81" i="5"/>
  <x:c r="U81" i="5"/>
  <x:c r="I82" i="5"/>
  <x:c r="M82" i="5"/>
  <x:c r="Q82" i="5"/>
  <x:c r="U82" i="5"/>
  <x:c r="I83" i="5"/>
  <x:c r="M83" i="5"/>
  <x:c r="Q83" i="5"/>
  <x:c r="U83" i="5"/>
  <x:c r="E84" i="5"/>
  <x:c r="I84" i="5"/>
  <x:c r="M84" i="5"/>
  <x:c r="Q84" i="5"/>
  <x:c r="U84" i="5"/>
  <x:c r="I85" i="5"/>
  <x:c r="M85" i="5"/>
  <x:c r="Q85" i="5"/>
  <x:c r="U85" i="5"/>
  <x:c r="I86" i="5"/>
  <x:c r="M86" i="5"/>
  <x:c r="Q86" i="5"/>
  <x:c r="U86" i="5"/>
  <x:c r="E88" i="5"/>
  <x:c r="E91" i="5"/>
  <x:c r="I91" i="5"/>
  <x:c r="M91" i="5"/>
  <x:c r="Q91" i="5"/>
  <x:c r="U91" i="5"/>
  <x:c r="I92" i="5"/>
  <x:c r="M92" i="5"/>
  <x:c r="Q92" i="5"/>
  <x:c r="U92" i="5"/>
  <x:c r="E93" i="5"/>
  <x:c r="I93" i="5"/>
  <x:c r="M93" i="5"/>
  <x:c r="Q93" i="5"/>
  <x:c r="U93" i="5"/>
  <x:c r="E94" i="5"/>
  <x:c r="I94" i="5"/>
  <x:c r="M94" i="5"/>
  <x:c r="Q94" i="5"/>
  <x:c r="U94" i="5"/>
  <x:c r="E95" i="5"/>
  <x:c r="I95" i="5"/>
  <x:c r="M95" i="5"/>
  <x:c r="Q95" i="5"/>
  <x:c r="U95" i="5"/>
  <x:c r="E96" i="5"/>
  <x:c r="I96" i="5"/>
  <x:c r="M96" i="5"/>
  <x:c r="Q96" i="5"/>
  <x:c r="U96" i="5"/>
  <x:c r="E97" i="5"/>
  <x:c r="I97" i="5"/>
  <x:c r="M97" i="5"/>
  <x:c r="Q97" i="5"/>
  <x:c r="U97" i="5"/>
  <x:c r="C106" i="5"/>
  <x:c r="E119" i="5"/>
  <x:c r="E122" i="5"/>
  <x:c r="I122" i="5"/>
  <x:c r="M122" i="5"/>
  <x:c r="Q122" i="5"/>
  <x:c r="U122" i="5"/>
  <x:c r="I123" i="5"/>
  <x:c r="M123" i="5"/>
  <x:c r="Q123" i="5"/>
  <x:c r="U123" i="5"/>
  <x:c r="I124" i="5"/>
  <x:c r="M124" i="5"/>
  <x:c r="Q124" i="5"/>
  <x:c r="U124" i="5"/>
  <x:c r="I125" i="5"/>
  <x:c r="M125" i="5"/>
  <x:c r="Q125" i="5"/>
  <x:c r="U125" i="5"/>
  <x:c r="E126" i="5"/>
  <x:c r="I126" i="5"/>
  <x:c r="M126" i="5"/>
  <x:c r="Q126" i="5"/>
  <x:c r="U126" i="5"/>
  <x:c r="I127" i="5"/>
  <x:c r="M127" i="5"/>
  <x:c r="Q127" i="5"/>
  <x:c r="U127" i="5"/>
  <x:c r="I128" i="5"/>
  <x:c r="M128" i="5"/>
  <x:c r="Q128" i="5"/>
  <x:c r="U128" i="5"/>
  <x:c r="I129" i="5"/>
  <x:c r="M129" i="5"/>
  <x:c r="Q129" i="5"/>
  <x:c r="U129" i="5"/>
  <x:c r="E130" i="5"/>
  <x:c r="I130" i="5"/>
  <x:c r="M130" i="5"/>
  <x:c r="Q130" i="5"/>
  <x:c r="U130" i="5"/>
  <x:c r="I131" i="5"/>
  <x:c r="M131" i="5"/>
  <x:c r="Q131" i="5"/>
  <x:c r="U131" i="5"/>
  <x:c r="I132" i="5"/>
  <x:c r="M132" i="5"/>
  <x:c r="Q132" i="5"/>
  <x:c r="U132" i="5"/>
  <x:c r="I133" i="5"/>
  <x:c r="M133" i="5"/>
  <x:c r="Q133" i="5"/>
  <x:c r="U133" i="5"/>
  <x:c r="I134" i="5"/>
  <x:c r="M134" i="5"/>
  <x:c r="Q134" i="5"/>
  <x:c r="U134" i="5"/>
  <x:c r="I135" i="5"/>
  <x:c r="M135" i="5"/>
  <x:c r="Q135" i="5"/>
  <x:c r="U135" i="5"/>
  <x:c r="E136" i="5"/>
  <x:c r="I136" i="5"/>
  <x:c r="M136" i="5"/>
  <x:c r="Q136" i="5"/>
  <x:c r="U136" i="5"/>
  <x:c r="I137" i="5"/>
  <x:c r="M137" i="5"/>
  <x:c r="Q137" i="5"/>
  <x:c r="U137" i="5"/>
  <x:c r="I138" i="5"/>
  <x:c r="M138" i="5"/>
  <x:c r="Q138" i="5"/>
  <x:c r="U138" i="5"/>
  <x:c r="I139" i="5"/>
  <x:c r="M139" i="5"/>
  <x:c r="Q139" i="5"/>
  <x:c r="U139" i="5"/>
  <x:c r="E140" i="5"/>
  <x:c r="I140" i="5"/>
  <x:c r="M140" i="5"/>
  <x:c r="Q140" i="5"/>
  <x:c r="U140" i="5"/>
  <x:c r="I141" i="5"/>
  <x:c r="M141" i="5"/>
  <x:c r="Q141" i="5"/>
  <x:c r="U141" i="5"/>
  <x:c r="I142" i="5"/>
  <x:c r="M142" i="5"/>
  <x:c r="Q142" i="5"/>
  <x:c r="U142" i="5"/>
  <x:c r="I143" i="5"/>
  <x:c r="M143" i="5"/>
  <x:c r="Q143" i="5"/>
  <x:c r="U143" i="5"/>
  <x:c r="E145" i="5"/>
  <x:c r="E148" i="5"/>
  <x:c r="I148" i="5"/>
  <x:c r="M148" i="5"/>
  <x:c r="Q148" i="5"/>
  <x:c r="U148" i="5"/>
  <x:c r="E149" i="5"/>
  <x:c r="I149" i="5"/>
  <x:c r="M149" i="5"/>
  <x:c r="Q149" i="5"/>
  <x:c r="U149" i="5"/>
  <x:c r="E150" i="5"/>
  <x:c r="I150" i="5"/>
  <x:c r="M150" i="5"/>
  <x:c r="Q150" i="5"/>
  <x:c r="U150" i="5"/>
  <x:c r="I151" i="5"/>
  <x:c r="M151" i="5"/>
  <x:c r="Q151" i="5"/>
  <x:c r="U151" i="5"/>
  <x:c r="E152" i="5"/>
  <x:c r="I152" i="5"/>
  <x:c r="M152" i="5"/>
  <x:c r="Q152" i="5"/>
  <x:c r="U152" i="5"/>
  <x:c r="E153" i="5"/>
  <x:c r="I153" i="5"/>
  <x:c r="M153" i="5"/>
  <x:c r="Q153" i="5"/>
  <x:c r="U153" i="5"/>
  <x:c r="I154" i="5"/>
  <x:c r="M154" i="5"/>
  <x:c r="Q154" i="5"/>
  <x:c r="U154" i="5"/>
  <x:c r="E155" i="5"/>
  <x:c r="I155" i="5"/>
  <x:c r="M155" i="5"/>
  <x:c r="Q155" i="5"/>
  <x:c r="U155" i="5"/>
  <x:c r="I156" i="5"/>
  <x:c r="M156" i="5"/>
  <x:c r="Q156" i="5"/>
  <x:c r="U156" i="5"/>
  <x:c r="C159" i="5"/>
  <x:c r="E172" i="5"/>
  <x:c r="E175" i="5"/>
  <x:c r="I175" i="5"/>
  <x:c r="M175" i="5"/>
  <x:c r="Q175" i="5"/>
  <x:c r="U175" i="5"/>
  <x:c r="I176" i="5"/>
  <x:c r="M176" i="5"/>
  <x:c r="Q176" i="5"/>
  <x:c r="U176" i="5"/>
  <x:c r="E177" i="5"/>
  <x:c r="I177" i="5"/>
  <x:c r="M177" i="5"/>
  <x:c r="Q177" i="5"/>
  <x:c r="U177" i="5"/>
  <x:c r="I178" i="5"/>
  <x:c r="M178" i="5"/>
  <x:c r="Q178" i="5"/>
  <x:c r="U178" i="5"/>
  <x:c r="E179" i="5"/>
  <x:c r="I179" i="5"/>
  <x:c r="M179" i="5"/>
  <x:c r="Q179" i="5"/>
  <x:c r="U179" i="5"/>
  <x:c r="I180" i="5"/>
  <x:c r="M180" i="5"/>
  <x:c r="Q180" i="5"/>
  <x:c r="U180" i="5"/>
  <x:c r="E181" i="5"/>
  <x:c r="I181" i="5"/>
  <x:c r="M181" i="5"/>
  <x:c r="Q181" i="5"/>
  <x:c r="U181" i="5"/>
  <x:c r="I182" i="5"/>
  <x:c r="M182" i="5"/>
  <x:c r="Q182" i="5"/>
  <x:c r="U182" i="5"/>
  <x:c r="E183" i="5"/>
  <x:c r="I183" i="5"/>
  <x:c r="M183" i="5"/>
  <x:c r="Q183" i="5"/>
  <x:c r="U183" i="5"/>
  <x:c r="I184" i="5"/>
  <x:c r="M184" i="5"/>
  <x:c r="Q184" i="5"/>
  <x:c r="U184" i="5"/>
  <x:c r="E185" i="5"/>
  <x:c r="I185" i="5"/>
  <x:c r="M185" i="5"/>
  <x:c r="Q185" i="5"/>
  <x:c r="U185" i="5"/>
  <x:c r="I186" i="5"/>
  <x:c r="M186" i="5"/>
  <x:c r="Q186" i="5"/>
  <x:c r="U186" i="5"/>
  <x:c r="C213" i="5"/>
  <x:c r="L55" i="6"/>
  <x:c r="AM55" i="6"/>
  <x:c r="AR55" i="6"/>
  <x:c r="BB55" i="6"/>
  <x:c r="BG55" i="6"/>
  <x:c r="BL55" i="6"/>
  <x:c r="BQ55" i="6"/>
  <x:c r="BZ55" i="6"/>
  <x:c r="CB55" i="6"/>
  <x:c r="CF55" i="6"/>
  <x:c r="CG55" i="6"/>
  <x:c r="CH55" i="6"/>
  <x:c r="CL55" i="6"/>
  <x:c r="CM55" i="6"/>
  <x:c r="CN55" i="6"/>
  <x:c r="CQ55" i="6"/>
  <x:c r="CR55" i="6"/>
  <x:c r="CS55" i="6"/>
  <x:c r="CT55" i="6"/>
  <x:c r="CV55" i="6"/>
  <x:c r="CW55" i="6"/>
  <x:c r="CX55" i="6"/>
  <x:c r="CY55" i="6"/>
  <x:c r="CZ55" i="6"/>
  <x:c r="DC55" i="6"/>
  <x:c r="DD55" i="6"/>
  <x:c r="DE55" i="6"/>
  <x:c r="L56" i="6"/>
  <x:c r="AM56" i="6"/>
  <x:c r="AR56" i="6"/>
  <x:c r="BB56" i="6"/>
  <x:c r="BG56" i="6"/>
  <x:c r="BL56" i="6"/>
  <x:c r="BQ56" i="6"/>
  <x:c r="BZ56" i="6"/>
  <x:c r="CB56" i="6"/>
  <x:c r="CF56" i="6"/>
  <x:c r="CG56" i="6"/>
  <x:c r="CH56" i="6"/>
  <x:c r="CL56" i="6"/>
  <x:c r="CM56" i="6"/>
  <x:c r="CN56" i="6"/>
  <x:c r="CQ56" i="6"/>
  <x:c r="CR56" i="6"/>
  <x:c r="CS56" i="6"/>
  <x:c r="CT56" i="6"/>
  <x:c r="CV56" i="6"/>
  <x:c r="CW56" i="6"/>
  <x:c r="CX56" i="6"/>
  <x:c r="CY56" i="6"/>
  <x:c r="CZ56" i="6"/>
  <x:c r="DC56" i="6"/>
  <x:c r="DD56" i="6"/>
  <x:c r="DE56" i="6"/>
  <x:c r="L57" i="6"/>
  <x:c r="AM57" i="6"/>
  <x:c r="AR57" i="6"/>
  <x:c r="BB57" i="6"/>
  <x:c r="BG57" i="6"/>
  <x:c r="BL57" i="6"/>
  <x:c r="BQ57" i="6"/>
  <x:c r="BZ57" i="6"/>
  <x:c r="CB57" i="6"/>
  <x:c r="CF57" i="6"/>
  <x:c r="CG57" i="6"/>
  <x:c r="CH57" i="6"/>
  <x:c r="CL57" i="6"/>
  <x:c r="CM57" i="6"/>
  <x:c r="CN57" i="6"/>
  <x:c r="CQ57" i="6"/>
  <x:c r="CR57" i="6"/>
  <x:c r="CS57" i="6"/>
  <x:c r="CT57" i="6"/>
  <x:c r="CV57" i="6"/>
  <x:c r="CW57" i="6"/>
  <x:c r="CX57" i="6"/>
  <x:c r="CY57" i="6"/>
  <x:c r="CZ57" i="6"/>
  <x:c r="DC57" i="6"/>
  <x:c r="DD57" i="6"/>
  <x:c r="DE57" i="6"/>
  <x:c r="L58" i="6"/>
  <x:c r="AM58" i="6"/>
  <x:c r="AR58" i="6"/>
  <x:c r="BB58" i="6"/>
  <x:c r="BG58" i="6"/>
  <x:c r="BL58" i="6"/>
  <x:c r="BQ58" i="6"/>
  <x:c r="BZ58" i="6"/>
  <x:c r="CB58" i="6"/>
  <x:c r="CF58" i="6"/>
  <x:c r="CG58" i="6"/>
  <x:c r="CH58" i="6"/>
  <x:c r="CL58" i="6"/>
  <x:c r="CM58" i="6"/>
  <x:c r="CN58" i="6"/>
  <x:c r="CQ58" i="6"/>
  <x:c r="CR58" i="6"/>
  <x:c r="CS58" i="6"/>
  <x:c r="CT58" i="6"/>
  <x:c r="CV58" i="6"/>
  <x:c r="CW58" i="6"/>
  <x:c r="CX58" i="6"/>
  <x:c r="CY58" i="6"/>
  <x:c r="CZ58" i="6"/>
  <x:c r="DC58" i="6"/>
  <x:c r="DD58" i="6"/>
  <x:c r="DE58" i="6"/>
  <x:c r="L59" i="6"/>
  <x:c r="AM59" i="6"/>
  <x:c r="AR59" i="6"/>
  <x:c r="BB59" i="6"/>
  <x:c r="BG59" i="6"/>
  <x:c r="BL59" i="6"/>
  <x:c r="BQ59" i="6"/>
  <x:c r="BZ59" i="6"/>
  <x:c r="CB59" i="6"/>
  <x:c r="CF59" i="6"/>
  <x:c r="CG59" i="6"/>
  <x:c r="CH59" i="6"/>
  <x:c r="CL59" i="6"/>
  <x:c r="CM59" i="6"/>
  <x:c r="CN59" i="6"/>
  <x:c r="CQ59" i="6"/>
  <x:c r="CR59" i="6"/>
  <x:c r="CS59" i="6"/>
  <x:c r="CT59" i="6"/>
  <x:c r="CV59" i="6"/>
  <x:c r="CW59" i="6"/>
  <x:c r="CX59" i="6"/>
  <x:c r="CY59" i="6"/>
  <x:c r="CZ59" i="6"/>
  <x:c r="DC59" i="6"/>
  <x:c r="DD59" i="6"/>
  <x:c r="DE59" i="6"/>
  <x:c r="L60" i="6"/>
  <x:c r="AM60" i="6"/>
  <x:c r="AR60" i="6"/>
  <x:c r="BB60" i="6"/>
  <x:c r="BG60" i="6"/>
  <x:c r="BL60" i="6"/>
  <x:c r="BQ60" i="6"/>
  <x:c r="BZ60" i="6"/>
  <x:c r="CB60" i="6"/>
  <x:c r="CF60" i="6"/>
  <x:c r="CG60" i="6"/>
  <x:c r="CH60" i="6"/>
  <x:c r="CL60" i="6"/>
  <x:c r="CM60" i="6"/>
  <x:c r="CN60" i="6"/>
  <x:c r="CQ60" i="6"/>
  <x:c r="CR60" i="6"/>
  <x:c r="CS60" i="6"/>
  <x:c r="CT60" i="6"/>
  <x:c r="CV60" i="6"/>
  <x:c r="CW60" i="6"/>
  <x:c r="CX60" i="6"/>
  <x:c r="CY60" i="6"/>
  <x:c r="CZ60" i="6"/>
  <x:c r="DC60" i="6"/>
  <x:c r="DD60" i="6"/>
  <x:c r="DE60" i="6"/>
  <x:c r="L61" i="6"/>
  <x:c r="AM61" i="6"/>
  <x:c r="AR61" i="6"/>
  <x:c r="BB61" i="6"/>
  <x:c r="BG61" i="6"/>
  <x:c r="BL61" i="6"/>
  <x:c r="BQ61" i="6"/>
  <x:c r="BZ61" i="6"/>
  <x:c r="CB61" i="6"/>
  <x:c r="CF61" i="6"/>
  <x:c r="CG61" i="6"/>
  <x:c r="CH61" i="6"/>
  <x:c r="CL61" i="6"/>
  <x:c r="CM61" i="6"/>
  <x:c r="CN61" i="6"/>
  <x:c r="CQ61" i="6"/>
  <x:c r="CR61" i="6"/>
  <x:c r="CS61" i="6"/>
  <x:c r="CT61" i="6"/>
  <x:c r="CV61" i="6"/>
  <x:c r="CW61" i="6"/>
  <x:c r="CX61" i="6"/>
  <x:c r="CY61" i="6"/>
  <x:c r="CZ61" i="6"/>
  <x:c r="DC61" i="6"/>
  <x:c r="DD61" i="6"/>
  <x:c r="DE61" i="6"/>
  <x:c r="L62" i="6"/>
  <x:c r="AM62" i="6"/>
  <x:c r="AR62" i="6"/>
  <x:c r="BB62" i="6"/>
  <x:c r="BG62" i="6"/>
  <x:c r="BL62" i="6"/>
  <x:c r="BQ62" i="6"/>
  <x:c r="BZ62" i="6"/>
  <x:c r="CB62" i="6"/>
  <x:c r="CF62" i="6"/>
  <x:c r="CG62" i="6"/>
  <x:c r="CH62" i="6"/>
  <x:c r="CL62" i="6"/>
  <x:c r="CM62" i="6"/>
  <x:c r="CN62" i="6"/>
  <x:c r="CQ62" i="6"/>
  <x:c r="CR62" i="6"/>
  <x:c r="CS62" i="6"/>
  <x:c r="CT62" i="6"/>
  <x:c r="CV62" i="6"/>
  <x:c r="CW62" i="6"/>
  <x:c r="CX62" i="6"/>
  <x:c r="CY62" i="6"/>
  <x:c r="CZ62" i="6"/>
  <x:c r="DC62" i="6"/>
  <x:c r="DD62" i="6"/>
  <x:c r="DE62" i="6"/>
  <x:c r="L63" i="6"/>
  <x:c r="AM63" i="6"/>
  <x:c r="AR63" i="6"/>
  <x:c r="BB63" i="6"/>
  <x:c r="BG63" i="6"/>
  <x:c r="BL63" i="6"/>
  <x:c r="BQ63" i="6"/>
  <x:c r="BZ63" i="6"/>
  <x:c r="CB63" i="6"/>
  <x:c r="CF63" i="6"/>
  <x:c r="CG63" i="6"/>
  <x:c r="CH63" i="6"/>
  <x:c r="CL63" i="6"/>
  <x:c r="CM63" i="6"/>
  <x:c r="CN63" i="6"/>
  <x:c r="CQ63" i="6"/>
  <x:c r="CR63" i="6"/>
  <x:c r="CS63" i="6"/>
  <x:c r="CT63" i="6"/>
  <x:c r="CV63" i="6"/>
  <x:c r="CW63" i="6"/>
  <x:c r="CX63" i="6"/>
  <x:c r="CY63" i="6"/>
  <x:c r="CZ63" i="6"/>
  <x:c r="DC63" i="6"/>
  <x:c r="DD63" i="6"/>
  <x:c r="DE63" i="6"/>
  <x:c r="L64" i="6"/>
  <x:c r="AM64" i="6"/>
  <x:c r="AR64" i="6"/>
  <x:c r="BB64" i="6"/>
  <x:c r="BG64" i="6"/>
  <x:c r="BL64" i="6"/>
  <x:c r="BQ64" i="6"/>
  <x:c r="BZ64" i="6"/>
  <x:c r="CB64" i="6"/>
  <x:c r="CF64" i="6"/>
  <x:c r="CG64" i="6"/>
  <x:c r="CH64" i="6"/>
  <x:c r="CL64" i="6"/>
  <x:c r="CM64" i="6"/>
  <x:c r="CN64" i="6"/>
  <x:c r="CQ64" i="6"/>
  <x:c r="CR64" i="6"/>
  <x:c r="CS64" i="6"/>
  <x:c r="CT64" i="6"/>
  <x:c r="CV64" i="6"/>
  <x:c r="CW64" i="6"/>
  <x:c r="CX64" i="6"/>
  <x:c r="CY64" i="6"/>
  <x:c r="CZ64" i="6"/>
  <x:c r="DC64" i="6"/>
  <x:c r="DD64" i="6"/>
  <x:c r="DE64" i="6"/>
  <x:c r="L65" i="6"/>
  <x:c r="AM65" i="6"/>
  <x:c r="AR65" i="6"/>
  <x:c r="BB65" i="6"/>
  <x:c r="BG65" i="6"/>
  <x:c r="BL65" i="6"/>
  <x:c r="BQ65" i="6"/>
  <x:c r="BZ65" i="6"/>
  <x:c r="CB65" i="6"/>
  <x:c r="CF65" i="6"/>
  <x:c r="CG65" i="6"/>
  <x:c r="CH65" i="6"/>
  <x:c r="CL65" i="6"/>
  <x:c r="CM65" i="6"/>
  <x:c r="CN65" i="6"/>
  <x:c r="CQ65" i="6"/>
  <x:c r="CR65" i="6"/>
  <x:c r="CS65" i="6"/>
  <x:c r="CT65" i="6"/>
  <x:c r="CV65" i="6"/>
  <x:c r="CW65" i="6"/>
  <x:c r="CX65" i="6"/>
  <x:c r="CY65" i="6"/>
  <x:c r="CZ65" i="6"/>
  <x:c r="DC65" i="6"/>
  <x:c r="DD65" i="6"/>
  <x:c r="DE65" i="6"/>
  <x:c r="AM66" i="6"/>
  <x:c r="AR66" i="6"/>
  <x:c r="BB66" i="6"/>
  <x:c r="BG66" i="6"/>
  <x:c r="BL66" i="6"/>
  <x:c r="BQ66" i="6"/>
  <x:c r="BZ66" i="6"/>
  <x:c r="CB66" i="6"/>
  <x:c r="CF66" i="6"/>
  <x:c r="CG66" i="6"/>
  <x:c r="CH66" i="6"/>
  <x:c r="CL66" i="6"/>
  <x:c r="CM66" i="6"/>
  <x:c r="CN66" i="6"/>
  <x:c r="CQ66" i="6"/>
  <x:c r="CR66" i="6"/>
  <x:c r="CS66" i="6"/>
  <x:c r="CT66" i="6"/>
  <x:c r="CV66" i="6"/>
  <x:c r="CW66" i="6"/>
  <x:c r="CX66" i="6"/>
  <x:c r="CY66" i="6"/>
  <x:c r="CZ66" i="6"/>
  <x:c r="DC66" i="6"/>
  <x:c r="DD66" i="6"/>
  <x:c r="DE66" i="6"/>
  <x:c r="AM67" i="6"/>
  <x:c r="AR67" i="6"/>
  <x:c r="BB67" i="6"/>
  <x:c r="BG67" i="6"/>
  <x:c r="BL67" i="6"/>
  <x:c r="BQ67" i="6"/>
  <x:c r="BZ67" i="6"/>
  <x:c r="CB67" i="6"/>
  <x:c r="CF67" i="6"/>
  <x:c r="CG67" i="6"/>
  <x:c r="CH67" i="6"/>
  <x:c r="CL67" i="6"/>
  <x:c r="CM67" i="6"/>
  <x:c r="CN67" i="6"/>
  <x:c r="CQ67" i="6"/>
  <x:c r="CR67" i="6"/>
  <x:c r="CS67" i="6"/>
  <x:c r="CT67" i="6"/>
  <x:c r="CV67" i="6"/>
  <x:c r="CW67" i="6"/>
  <x:c r="CX67" i="6"/>
  <x:c r="CY67" i="6"/>
  <x:c r="CZ67" i="6"/>
  <x:c r="DC67" i="6"/>
  <x:c r="DD67" i="6"/>
  <x:c r="DE67" i="6"/>
  <x:c r="AM68" i="6"/>
  <x:c r="AR68" i="6"/>
  <x:c r="BB68" i="6"/>
  <x:c r="BG68" i="6"/>
  <x:c r="BL68" i="6"/>
  <x:c r="BQ68" i="6"/>
  <x:c r="BZ68" i="6"/>
  <x:c r="CB68" i="6"/>
  <x:c r="CF68" i="6"/>
  <x:c r="CG68" i="6"/>
  <x:c r="CH68" i="6"/>
  <x:c r="CL68" i="6"/>
  <x:c r="CM68" i="6"/>
  <x:c r="CN68" i="6"/>
  <x:c r="CQ68" i="6"/>
  <x:c r="CR68" i="6"/>
  <x:c r="CS68" i="6"/>
  <x:c r="CT68" i="6"/>
  <x:c r="CV68" i="6"/>
  <x:c r="CW68" i="6"/>
  <x:c r="CX68" i="6"/>
  <x:c r="CY68" i="6"/>
  <x:c r="CZ68" i="6"/>
  <x:c r="DC68" i="6"/>
  <x:c r="DD68" i="6"/>
  <x:c r="DE68" i="6"/>
  <x:c r="L69" i="6"/>
  <x:c r="AM69" i="6"/>
  <x:c r="AR69" i="6"/>
  <x:c r="BB69" i="6"/>
  <x:c r="BG69" i="6"/>
  <x:c r="BL69" i="6"/>
  <x:c r="BQ69" i="6"/>
  <x:c r="BZ69" i="6"/>
  <x:c r="CB69" i="6"/>
  <x:c r="CF69" i="6"/>
  <x:c r="CG69" i="6"/>
  <x:c r="CH69" i="6"/>
  <x:c r="CL69" i="6"/>
  <x:c r="CM69" i="6"/>
  <x:c r="CN69" i="6"/>
  <x:c r="CQ69" i="6"/>
  <x:c r="CR69" i="6"/>
  <x:c r="CS69" i="6"/>
  <x:c r="CT69" i="6"/>
  <x:c r="CV69" i="6"/>
  <x:c r="CW69" i="6"/>
  <x:c r="CX69" i="6"/>
  <x:c r="CY69" i="6"/>
  <x:c r="CZ69" i="6"/>
  <x:c r="DC69" i="6"/>
  <x:c r="DD69" i="6"/>
  <x:c r="DE69" i="6"/>
  <x:c r="L70" i="6"/>
  <x:c r="AM70" i="6"/>
  <x:c r="AR70" i="6"/>
  <x:c r="BB70" i="6"/>
  <x:c r="BG70" i="6"/>
  <x:c r="BL70" i="6"/>
  <x:c r="BQ70" i="6"/>
  <x:c r="BZ70" i="6"/>
  <x:c r="CB70" i="6"/>
  <x:c r="CF70" i="6"/>
  <x:c r="CG70" i="6"/>
  <x:c r="CH70" i="6"/>
  <x:c r="CL70" i="6"/>
  <x:c r="CM70" i="6"/>
  <x:c r="CN70" i="6"/>
  <x:c r="CQ70" i="6"/>
  <x:c r="CR70" i="6"/>
  <x:c r="CS70" i="6"/>
  <x:c r="CT70" i="6"/>
  <x:c r="CV70" i="6"/>
  <x:c r="CW70" i="6"/>
  <x:c r="CX70" i="6"/>
  <x:c r="CY70" i="6"/>
  <x:c r="CZ70" i="6"/>
  <x:c r="DC70" i="6"/>
  <x:c r="DD70" i="6"/>
  <x:c r="DE70" i="6"/>
  <x:c r="L71" i="6"/>
  <x:c r="AM71" i="6"/>
  <x:c r="AR71" i="6"/>
  <x:c r="BB71" i="6"/>
  <x:c r="BG71" i="6"/>
  <x:c r="BL71" i="6"/>
  <x:c r="BQ71" i="6"/>
  <x:c r="BZ71" i="6"/>
  <x:c r="CB71" i="6"/>
  <x:c r="CF71" i="6"/>
  <x:c r="CG71" i="6"/>
  <x:c r="CH71" i="6"/>
  <x:c r="CL71" i="6"/>
  <x:c r="CM71" i="6"/>
  <x:c r="CN71" i="6"/>
  <x:c r="CQ71" i="6"/>
  <x:c r="CR71" i="6"/>
  <x:c r="CS71" i="6"/>
  <x:c r="CT71" i="6"/>
  <x:c r="CV71" i="6"/>
  <x:c r="CW71" i="6"/>
  <x:c r="CX71" i="6"/>
  <x:c r="CY71" i="6"/>
  <x:c r="CZ71" i="6"/>
  <x:c r="DC71" i="6"/>
  <x:c r="DD71" i="6"/>
  <x:c r="DE71" i="6"/>
  <x:c r="L76" i="6"/>
  <x:c r="AM76" i="6"/>
  <x:c r="AR76" i="6"/>
  <x:c r="BB76" i="6"/>
  <x:c r="BG76" i="6"/>
  <x:c r="BL76" i="6"/>
  <x:c r="BQ76" i="6"/>
  <x:c r="BZ76" i="6"/>
  <x:c r="CB76" i="6"/>
  <x:c r="CF76" i="6"/>
  <x:c r="CG76" i="6"/>
  <x:c r="CH76" i="6"/>
  <x:c r="CL76" i="6"/>
  <x:c r="CM76" i="6"/>
  <x:c r="CN76" i="6"/>
  <x:c r="CQ76" i="6"/>
  <x:c r="CR76" i="6"/>
  <x:c r="CS76" i="6"/>
  <x:c r="CT76" i="6"/>
  <x:c r="CV76" i="6"/>
  <x:c r="CW76" i="6"/>
  <x:c r="CX76" i="6"/>
  <x:c r="CY76" i="6"/>
  <x:c r="CZ76" i="6"/>
  <x:c r="DC76" i="6"/>
  <x:c r="DD76" i="6"/>
  <x:c r="DE76" i="6"/>
  <x:c r="L77" i="6"/>
  <x:c r="AM77" i="6"/>
  <x:c r="AR77" i="6"/>
  <x:c r="BB77" i="6"/>
  <x:c r="BG77" i="6"/>
  <x:c r="BL77" i="6"/>
  <x:c r="BQ77" i="6"/>
  <x:c r="BZ77" i="6"/>
  <x:c r="CB77" i="6"/>
  <x:c r="CF77" i="6"/>
  <x:c r="CG77" i="6"/>
  <x:c r="CH77" i="6"/>
  <x:c r="CL77" i="6"/>
  <x:c r="CM77" i="6"/>
  <x:c r="CN77" i="6"/>
  <x:c r="CQ77" i="6"/>
  <x:c r="CR77" i="6"/>
  <x:c r="CS77" i="6"/>
  <x:c r="CT77" i="6"/>
  <x:c r="CV77" i="6"/>
  <x:c r="CW77" i="6"/>
  <x:c r="CX77" i="6"/>
  <x:c r="CY77" i="6"/>
  <x:c r="CZ77" i="6"/>
  <x:c r="DC77" i="6"/>
  <x:c r="DD77" i="6"/>
  <x:c r="DE77" i="6"/>
  <x:c r="L78" i="6"/>
  <x:c r="AM78" i="6"/>
  <x:c r="AR78" i="6"/>
  <x:c r="BB78" i="6"/>
  <x:c r="BG78" i="6"/>
  <x:c r="BL78" i="6"/>
  <x:c r="BQ78" i="6"/>
  <x:c r="BZ78" i="6"/>
  <x:c r="CB78" i="6"/>
  <x:c r="CF78" i="6"/>
  <x:c r="CG78" i="6"/>
  <x:c r="CH78" i="6"/>
  <x:c r="CL78" i="6"/>
  <x:c r="CM78" i="6"/>
  <x:c r="CN78" i="6"/>
  <x:c r="CQ78" i="6"/>
  <x:c r="CR78" i="6"/>
  <x:c r="CS78" i="6"/>
  <x:c r="CT78" i="6"/>
  <x:c r="CV78" i="6"/>
  <x:c r="CW78" i="6"/>
  <x:c r="CX78" i="6"/>
  <x:c r="CY78" i="6"/>
  <x:c r="CZ78" i="6"/>
  <x:c r="DC78" i="6"/>
  <x:c r="DD78" i="6"/>
  <x:c r="DE78" i="6"/>
  <x:c r="L79" i="6"/>
  <x:c r="AM79" i="6"/>
  <x:c r="AR79" i="6"/>
  <x:c r="BB79" i="6"/>
  <x:c r="BG79" i="6"/>
  <x:c r="BL79" i="6"/>
  <x:c r="BQ79" i="6"/>
  <x:c r="BZ79" i="6"/>
  <x:c r="CB79" i="6"/>
  <x:c r="CF79" i="6"/>
  <x:c r="CG79" i="6"/>
  <x:c r="CH79" i="6"/>
  <x:c r="CL79" i="6"/>
  <x:c r="CM79" i="6"/>
  <x:c r="CN79" i="6"/>
  <x:c r="CQ79" i="6"/>
  <x:c r="CR79" i="6"/>
  <x:c r="CS79" i="6"/>
  <x:c r="CT79" i="6"/>
  <x:c r="CV79" i="6"/>
  <x:c r="CW79" i="6"/>
  <x:c r="CX79" i="6"/>
  <x:c r="CY79" i="6"/>
  <x:c r="CZ79" i="6"/>
  <x:c r="DC79" i="6"/>
  <x:c r="DD79" i="6"/>
  <x:c r="DE79" i="6"/>
  <x:c r="L80" i="6"/>
  <x:c r="AM80" i="6"/>
  <x:c r="AR80" i="6"/>
  <x:c r="BB80" i="6"/>
  <x:c r="BG80" i="6"/>
  <x:c r="BL80" i="6"/>
  <x:c r="BQ80" i="6"/>
  <x:c r="BZ80" i="6"/>
  <x:c r="CB80" i="6"/>
  <x:c r="CF80" i="6"/>
  <x:c r="CG80" i="6"/>
  <x:c r="CH80" i="6"/>
  <x:c r="CL80" i="6"/>
  <x:c r="CM80" i="6"/>
  <x:c r="CN80" i="6"/>
  <x:c r="CQ80" i="6"/>
  <x:c r="CR80" i="6"/>
  <x:c r="CS80" i="6"/>
  <x:c r="CT80" i="6"/>
  <x:c r="CV80" i="6"/>
  <x:c r="CW80" i="6"/>
  <x:c r="CX80" i="6"/>
  <x:c r="CY80" i="6"/>
  <x:c r="CZ80" i="6"/>
  <x:c r="DC80" i="6"/>
  <x:c r="DD80" i="6"/>
  <x:c r="DE80" i="6"/>
  <x:c r="L81" i="6"/>
  <x:c r="AM81" i="6"/>
  <x:c r="AR81" i="6"/>
  <x:c r="BB81" i="6"/>
  <x:c r="BG81" i="6"/>
  <x:c r="BL81" i="6"/>
  <x:c r="BQ81" i="6"/>
  <x:c r="BZ81" i="6"/>
  <x:c r="CB81" i="6"/>
  <x:c r="CF81" i="6"/>
  <x:c r="CG81" i="6"/>
  <x:c r="CH81" i="6"/>
  <x:c r="CL81" i="6"/>
  <x:c r="CM81" i="6"/>
  <x:c r="CN81" i="6"/>
  <x:c r="CQ81" i="6"/>
  <x:c r="CR81" i="6"/>
  <x:c r="CS81" i="6"/>
  <x:c r="CT81" i="6"/>
  <x:c r="CV81" i="6"/>
  <x:c r="CW81" i="6"/>
  <x:c r="CX81" i="6"/>
  <x:c r="CY81" i="6"/>
  <x:c r="CZ81" i="6"/>
  <x:c r="DC81" i="6"/>
  <x:c r="DD81" i="6"/>
  <x:c r="DE81" i="6"/>
  <x:c r="L82" i="6"/>
  <x:c r="AM82" i="6"/>
  <x:c r="AR82" i="6"/>
  <x:c r="BB82" i="6"/>
  <x:c r="BG82" i="6"/>
  <x:c r="BL82" i="6"/>
  <x:c r="BQ82" i="6"/>
  <x:c r="BZ82" i="6"/>
  <x:c r="CB82" i="6"/>
  <x:c r="CF82" i="6"/>
  <x:c r="CG82" i="6"/>
  <x:c r="CH82" i="6"/>
  <x:c r="CL82" i="6"/>
  <x:c r="CM82" i="6"/>
  <x:c r="CN82" i="6"/>
  <x:c r="CQ82" i="6"/>
  <x:c r="CR82" i="6"/>
  <x:c r="CS82" i="6"/>
  <x:c r="CT82" i="6"/>
  <x:c r="CV82" i="6"/>
  <x:c r="CW82" i="6"/>
  <x:c r="CX82" i="6"/>
  <x:c r="CY82" i="6"/>
  <x:c r="CZ82" i="6"/>
  <x:c r="DC82" i="6"/>
  <x:c r="DD82" i="6"/>
  <x:c r="DE82" i="6"/>
  <x:c r="L83" i="6"/>
  <x:c r="AM83" i="6"/>
  <x:c r="AR83" i="6"/>
  <x:c r="BB83" i="6"/>
  <x:c r="BG83" i="6"/>
  <x:c r="BL83" i="6"/>
  <x:c r="BQ83" i="6"/>
  <x:c r="BZ83" i="6"/>
  <x:c r="CB83" i="6"/>
  <x:c r="CF83" i="6"/>
  <x:c r="CG83" i="6"/>
  <x:c r="CH83" i="6"/>
  <x:c r="CL83" i="6"/>
  <x:c r="CM83" i="6"/>
  <x:c r="CN83" i="6"/>
  <x:c r="CQ83" i="6"/>
  <x:c r="CR83" i="6"/>
  <x:c r="CS83" i="6"/>
  <x:c r="CT83" i="6"/>
  <x:c r="CV83" i="6"/>
  <x:c r="CW83" i="6"/>
  <x:c r="CX83" i="6"/>
  <x:c r="CY83" i="6"/>
  <x:c r="CZ83" i="6"/>
  <x:c r="DC83" i="6"/>
  <x:c r="DD83" i="6"/>
  <x:c r="DE83" i="6"/>
  <x:c r="L84" i="6"/>
  <x:c r="AM84" i="6"/>
  <x:c r="AR84" i="6"/>
  <x:c r="BB84" i="6"/>
  <x:c r="BG84" i="6"/>
  <x:c r="BL84" i="6"/>
  <x:c r="BQ84" i="6"/>
  <x:c r="BZ84" i="6"/>
  <x:c r="CB84" i="6"/>
  <x:c r="CF84" i="6"/>
  <x:c r="CG84" i="6"/>
  <x:c r="CH84" i="6"/>
  <x:c r="CL84" i="6"/>
  <x:c r="CM84" i="6"/>
  <x:c r="CN84" i="6"/>
  <x:c r="CQ84" i="6"/>
  <x:c r="CR84" i="6"/>
  <x:c r="CS84" i="6"/>
  <x:c r="CT84" i="6"/>
  <x:c r="CV84" i="6"/>
  <x:c r="CW84" i="6"/>
  <x:c r="CX84" i="6"/>
  <x:c r="CY84" i="6"/>
  <x:c r="CZ84" i="6"/>
  <x:c r="DC84" i="6"/>
  <x:c r="DD84" i="6"/>
  <x:c r="DE84" i="6"/>
  <x:c r="L85" i="6"/>
  <x:c r="AM85" i="6"/>
  <x:c r="AR85" i="6"/>
  <x:c r="BB85" i="6"/>
  <x:c r="BG85" i="6"/>
  <x:c r="BL85" i="6"/>
  <x:c r="BQ85" i="6"/>
  <x:c r="BZ85" i="6"/>
  <x:c r="CB85" i="6"/>
  <x:c r="CF85" i="6"/>
  <x:c r="CG85" i="6"/>
  <x:c r="CH85" i="6"/>
  <x:c r="CL85" i="6"/>
  <x:c r="CM85" i="6"/>
  <x:c r="CN85" i="6"/>
  <x:c r="CQ85" i="6"/>
  <x:c r="CR85" i="6"/>
  <x:c r="CS85" i="6"/>
  <x:c r="CT85" i="6"/>
  <x:c r="CV85" i="6"/>
  <x:c r="CW85" i="6"/>
  <x:c r="CX85" i="6"/>
  <x:c r="CY85" i="6"/>
  <x:c r="CZ85" i="6"/>
  <x:c r="DC85" i="6"/>
  <x:c r="DD85" i="6"/>
  <x:c r="DE85" i="6"/>
  <x:c r="L86" i="6"/>
  <x:c r="AM86" i="6"/>
  <x:c r="AR86" i="6"/>
  <x:c r="BB86" i="6"/>
  <x:c r="BG86" i="6"/>
  <x:c r="BL86" i="6"/>
  <x:c r="BQ86" i="6"/>
  <x:c r="BZ86" i="6"/>
  <x:c r="CB86" i="6"/>
  <x:c r="CF86" i="6"/>
  <x:c r="CG86" i="6"/>
  <x:c r="CH86" i="6"/>
  <x:c r="CL86" i="6"/>
  <x:c r="CM86" i="6"/>
  <x:c r="CN86" i="6"/>
  <x:c r="CQ86" i="6"/>
  <x:c r="CR86" i="6"/>
  <x:c r="CS86" i="6"/>
  <x:c r="CT86" i="6"/>
  <x:c r="CV86" i="6"/>
  <x:c r="CW86" i="6"/>
  <x:c r="CX86" i="6"/>
  <x:c r="CY86" i="6"/>
  <x:c r="CZ86" i="6"/>
  <x:c r="DC86" i="6"/>
  <x:c r="DD86" i="6"/>
  <x:c r="DE86" i="6"/>
  <x:c r="L87" i="6"/>
  <x:c r="AM87" i="6"/>
  <x:c r="AR87" i="6"/>
  <x:c r="BB87" i="6"/>
  <x:c r="BG87" i="6"/>
  <x:c r="BL87" i="6"/>
  <x:c r="BQ87" i="6"/>
  <x:c r="BZ87" i="6"/>
  <x:c r="CB87" i="6"/>
  <x:c r="CF87" i="6"/>
  <x:c r="CG87" i="6"/>
  <x:c r="CH87" i="6"/>
  <x:c r="CL87" i="6"/>
  <x:c r="CM87" i="6"/>
  <x:c r="CN87" i="6"/>
  <x:c r="CQ87" i="6"/>
  <x:c r="CR87" i="6"/>
  <x:c r="CS87" i="6"/>
  <x:c r="CT87" i="6"/>
  <x:c r="CV87" i="6"/>
  <x:c r="CW87" i="6"/>
  <x:c r="CX87" i="6"/>
  <x:c r="CY87" i="6"/>
  <x:c r="CZ87" i="6"/>
  <x:c r="DC87" i="6"/>
  <x:c r="DD87" i="6"/>
  <x:c r="DE87" i="6"/>
  <x:c r="L88" i="6"/>
  <x:c r="AM88" i="6"/>
  <x:c r="AR88" i="6"/>
  <x:c r="BB88" i="6"/>
  <x:c r="BG88" i="6"/>
  <x:c r="BL88" i="6"/>
  <x:c r="BQ88" i="6"/>
  <x:c r="BZ88" i="6"/>
  <x:c r="CB88" i="6"/>
  <x:c r="CF88" i="6"/>
  <x:c r="CG88" i="6"/>
  <x:c r="CH88" i="6"/>
  <x:c r="CL88" i="6"/>
  <x:c r="CM88" i="6"/>
  <x:c r="CN88" i="6"/>
  <x:c r="CQ88" i="6"/>
  <x:c r="CR88" i="6"/>
  <x:c r="CS88" i="6"/>
  <x:c r="CT88" i="6"/>
  <x:c r="CV88" i="6"/>
  <x:c r="CW88" i="6"/>
  <x:c r="CX88" i="6"/>
  <x:c r="CY88" i="6"/>
  <x:c r="CZ88" i="6"/>
  <x:c r="DC88" i="6"/>
  <x:c r="DD88" i="6"/>
  <x:c r="DE88" i="6"/>
  <x:c r="L89" i="6"/>
  <x:c r="AM89" i="6"/>
  <x:c r="AR89" i="6"/>
  <x:c r="BB89" i="6"/>
  <x:c r="BG89" i="6"/>
  <x:c r="BL89" i="6"/>
  <x:c r="BQ89" i="6"/>
  <x:c r="BZ89" i="6"/>
  <x:c r="CB89" i="6"/>
  <x:c r="CF89" i="6"/>
  <x:c r="CG89" i="6"/>
  <x:c r="CH89" i="6"/>
  <x:c r="CL89" i="6"/>
  <x:c r="CM89" i="6"/>
  <x:c r="CN89" i="6"/>
  <x:c r="CQ89" i="6"/>
  <x:c r="CR89" i="6"/>
  <x:c r="CS89" i="6"/>
  <x:c r="CT89" i="6"/>
  <x:c r="CV89" i="6"/>
  <x:c r="CW89" i="6"/>
  <x:c r="CX89" i="6"/>
  <x:c r="CY89" i="6"/>
  <x:c r="CZ89" i="6"/>
  <x:c r="DC89" i="6"/>
  <x:c r="DD89" i="6"/>
  <x:c r="DE89" i="6"/>
  <x:c r="AM90" i="6"/>
  <x:c r="AR90" i="6"/>
  <x:c r="BB90" i="6"/>
  <x:c r="BG90" i="6"/>
  <x:c r="BL90" i="6"/>
  <x:c r="BQ90" i="6"/>
  <x:c r="BZ90" i="6"/>
  <x:c r="CB90" i="6"/>
  <x:c r="CF90" i="6"/>
  <x:c r="CG90" i="6"/>
  <x:c r="CH90" i="6"/>
  <x:c r="CL90" i="6"/>
  <x:c r="CM90" i="6"/>
  <x:c r="CN90" i="6"/>
  <x:c r="CQ90" i="6"/>
  <x:c r="CR90" i="6"/>
  <x:c r="CS90" i="6"/>
  <x:c r="CT90" i="6"/>
  <x:c r="CV90" i="6"/>
  <x:c r="CW90" i="6"/>
  <x:c r="CX90" i="6"/>
  <x:c r="CY90" i="6"/>
  <x:c r="CZ90" i="6"/>
  <x:c r="DC90" i="6"/>
  <x:c r="DD90" i="6"/>
  <x:c r="DE90" i="6"/>
  <x:c r="AM91" i="6"/>
  <x:c r="AR91" i="6"/>
  <x:c r="BB91" i="6"/>
  <x:c r="BG91" i="6"/>
  <x:c r="BL91" i="6"/>
  <x:c r="BQ91" i="6"/>
  <x:c r="BZ91" i="6"/>
  <x:c r="CB91" i="6"/>
  <x:c r="CF91" i="6"/>
  <x:c r="CG91" i="6"/>
  <x:c r="CH91" i="6"/>
  <x:c r="CL91" i="6"/>
  <x:c r="CM91" i="6"/>
  <x:c r="CN91" i="6"/>
  <x:c r="CQ91" i="6"/>
  <x:c r="CR91" i="6"/>
  <x:c r="CS91" i="6"/>
  <x:c r="CT91" i="6"/>
  <x:c r="CV91" i="6"/>
  <x:c r="CW91" i="6"/>
  <x:c r="CX91" i="6"/>
  <x:c r="CY91" i="6"/>
  <x:c r="CZ91" i="6"/>
  <x:c r="DC91" i="6"/>
  <x:c r="DD91" i="6"/>
  <x:c r="DE91" i="6"/>
  <x:c r="AM92" i="6"/>
  <x:c r="AR92" i="6"/>
  <x:c r="BB92" i="6"/>
  <x:c r="BG92" i="6"/>
  <x:c r="BL92" i="6"/>
  <x:c r="BQ92" i="6"/>
  <x:c r="BZ92" i="6"/>
  <x:c r="CB92" i="6"/>
  <x:c r="CF92" i="6"/>
  <x:c r="CG92" i="6"/>
  <x:c r="CH92" i="6"/>
  <x:c r="CL92" i="6"/>
  <x:c r="CM92" i="6"/>
  <x:c r="CN92" i="6"/>
  <x:c r="CQ92" i="6"/>
  <x:c r="CR92" i="6"/>
  <x:c r="CS92" i="6"/>
  <x:c r="CT92" i="6"/>
  <x:c r="CV92" i="6"/>
  <x:c r="CW92" i="6"/>
  <x:c r="CX92" i="6"/>
  <x:c r="CY92" i="6"/>
  <x:c r="CZ92" i="6"/>
  <x:c r="DC92" i="6"/>
  <x:c r="DD92" i="6"/>
  <x:c r="DE92" i="6"/>
  <x:c r="AM93" i="6"/>
  <x:c r="AR93" i="6"/>
  <x:c r="BB93" i="6"/>
  <x:c r="BG93" i="6"/>
  <x:c r="BL93" i="6"/>
  <x:c r="BQ93" i="6"/>
  <x:c r="BZ93" i="6"/>
  <x:c r="CB93" i="6"/>
  <x:c r="CF93" i="6"/>
  <x:c r="CG93" i="6"/>
  <x:c r="CH93" i="6"/>
  <x:c r="CL93" i="6"/>
  <x:c r="CM93" i="6"/>
  <x:c r="CN93" i="6"/>
  <x:c r="CQ93" i="6"/>
  <x:c r="CR93" i="6"/>
  <x:c r="CS93" i="6"/>
  <x:c r="CT93" i="6"/>
  <x:c r="CV93" i="6"/>
  <x:c r="CW93" i="6"/>
  <x:c r="CX93" i="6"/>
  <x:c r="CY93" i="6"/>
  <x:c r="CZ93" i="6"/>
  <x:c r="DC93" i="6"/>
  <x:c r="DD93" i="6"/>
  <x:c r="DE93" i="6"/>
  <x:c r="L94" i="6"/>
  <x:c r="AM94" i="6"/>
  <x:c r="AR94" i="6"/>
  <x:c r="BB94" i="6"/>
  <x:c r="BG94" i="6"/>
  <x:c r="BL94" i="6"/>
  <x:c r="BQ94" i="6"/>
  <x:c r="BZ94" i="6"/>
  <x:c r="CB94" i="6"/>
  <x:c r="CF94" i="6"/>
  <x:c r="CG94" i="6"/>
  <x:c r="CH94" i="6"/>
  <x:c r="CL94" i="6"/>
  <x:c r="CM94" i="6"/>
  <x:c r="CN94" i="6"/>
  <x:c r="CQ94" i="6"/>
  <x:c r="CR94" i="6"/>
  <x:c r="CS94" i="6"/>
  <x:c r="CT94" i="6"/>
  <x:c r="CV94" i="6"/>
  <x:c r="CW94" i="6"/>
  <x:c r="CX94" i="6"/>
  <x:c r="CY94" i="6"/>
  <x:c r="CZ94" i="6"/>
  <x:c r="DC94" i="6"/>
  <x:c r="DD94" i="6"/>
  <x:c r="DE94" i="6"/>
  <x:c r="L95" i="6"/>
  <x:c r="AM95" i="6"/>
  <x:c r="AR95" i="6"/>
  <x:c r="BB95" i="6"/>
  <x:c r="BG95" i="6"/>
  <x:c r="BL95" i="6"/>
  <x:c r="BQ95" i="6"/>
  <x:c r="BZ95" i="6"/>
  <x:c r="CB95" i="6"/>
  <x:c r="CF95" i="6"/>
  <x:c r="CG95" i="6"/>
  <x:c r="CH95" i="6"/>
  <x:c r="CL95" i="6"/>
  <x:c r="CM95" i="6"/>
  <x:c r="CN95" i="6"/>
  <x:c r="CQ95" i="6"/>
  <x:c r="CR95" i="6"/>
  <x:c r="CS95" i="6"/>
  <x:c r="CT95" i="6"/>
  <x:c r="CV95" i="6"/>
  <x:c r="CW95" i="6"/>
  <x:c r="CX95" i="6"/>
  <x:c r="CY95" i="6"/>
  <x:c r="CZ95" i="6"/>
  <x:c r="DC95" i="6"/>
  <x:c r="DD95" i="6"/>
  <x:c r="DE95" i="6"/>
  <x:c r="L96" i="6"/>
  <x:c r="AM96" i="6"/>
  <x:c r="AR96" i="6"/>
  <x:c r="BB96" i="6"/>
  <x:c r="BG96" i="6"/>
  <x:c r="BL96" i="6"/>
  <x:c r="BQ96" i="6"/>
  <x:c r="BZ96" i="6"/>
  <x:c r="CB96" i="6"/>
  <x:c r="CF96" i="6"/>
  <x:c r="CG96" i="6"/>
  <x:c r="CH96" i="6"/>
  <x:c r="CL96" i="6"/>
  <x:c r="CM96" i="6"/>
  <x:c r="CN96" i="6"/>
  <x:c r="CQ96" i="6"/>
  <x:c r="CR96" i="6"/>
  <x:c r="CS96" i="6"/>
  <x:c r="CT96" i="6"/>
  <x:c r="CV96" i="6"/>
  <x:c r="CW96" i="6"/>
  <x:c r="CX96" i="6"/>
  <x:c r="CY96" i="6"/>
  <x:c r="CZ96" i="6"/>
  <x:c r="DC96" i="6"/>
  <x:c r="DD96" i="6"/>
  <x:c r="DE96" i="6"/>
  <x:c r="L97" i="6"/>
  <x:c r="AM97" i="6"/>
  <x:c r="AR97" i="6"/>
  <x:c r="BB97" i="6"/>
  <x:c r="BG97" i="6"/>
  <x:c r="BL97" i="6"/>
  <x:c r="BQ97" i="6"/>
  <x:c r="BZ97" i="6"/>
  <x:c r="CB97" i="6"/>
  <x:c r="CF97" i="6"/>
  <x:c r="CG97" i="6"/>
  <x:c r="CH97" i="6"/>
  <x:c r="CL97" i="6"/>
  <x:c r="CM97" i="6"/>
  <x:c r="CN97" i="6"/>
  <x:c r="CQ97" i="6"/>
  <x:c r="CR97" i="6"/>
  <x:c r="CS97" i="6"/>
  <x:c r="CT97" i="6"/>
  <x:c r="CV97" i="6"/>
  <x:c r="CW97" i="6"/>
  <x:c r="CX97" i="6"/>
  <x:c r="CY97" i="6"/>
  <x:c r="CZ97" i="6"/>
  <x:c r="DC97" i="6"/>
  <x:c r="DD97" i="6"/>
  <x:c r="DE97" i="6"/>
  <x:c r="AM102" i="6"/>
  <x:c r="AR102" i="6"/>
  <x:c r="BB102" i="6"/>
  <x:c r="BG102" i="6"/>
  <x:c r="BL102" i="6"/>
  <x:c r="BQ102" i="6"/>
  <x:c r="BZ102" i="6"/>
  <x:c r="CB102" i="6"/>
  <x:c r="CF102" i="6"/>
  <x:c r="CG102" i="6"/>
  <x:c r="CH102" i="6"/>
  <x:c r="CL102" i="6"/>
  <x:c r="CM102" i="6"/>
  <x:c r="CN102" i="6"/>
  <x:c r="CQ102" i="6"/>
  <x:c r="CR102" i="6"/>
  <x:c r="CS102" i="6"/>
  <x:c r="CT102" i="6"/>
  <x:c r="CV102" i="6"/>
  <x:c r="CW102" i="6"/>
  <x:c r="CX102" i="6"/>
  <x:c r="CY102" i="6"/>
  <x:c r="CZ102" i="6"/>
  <x:c r="DC102" i="6"/>
  <x:c r="DD102" i="6"/>
  <x:c r="DE102" i="6"/>
  <x:c r="L103" i="6"/>
  <x:c r="AM103" i="6"/>
  <x:c r="AR103" i="6"/>
  <x:c r="BB103" i="6"/>
  <x:c r="BG103" i="6"/>
  <x:c r="BL103" i="6"/>
  <x:c r="BQ103" i="6"/>
  <x:c r="BZ103" i="6"/>
  <x:c r="CB103" i="6"/>
  <x:c r="CF103" i="6"/>
  <x:c r="CG103" i="6"/>
  <x:c r="CH103" i="6"/>
  <x:c r="CL103" i="6"/>
  <x:c r="CM103" i="6"/>
  <x:c r="CN103" i="6"/>
  <x:c r="CQ103" i="6"/>
  <x:c r="CR103" i="6"/>
  <x:c r="CS103" i="6"/>
  <x:c r="CT103" i="6"/>
  <x:c r="CV103" i="6"/>
  <x:c r="CW103" i="6"/>
  <x:c r="CX103" i="6"/>
  <x:c r="CY103" i="6"/>
  <x:c r="CZ103" i="6"/>
  <x:c r="DC103" i="6"/>
  <x:c r="DD103" i="6"/>
  <x:c r="DE103" i="6"/>
  <x:c r="L104" i="6"/>
  <x:c r="AM104" i="6"/>
  <x:c r="AR104" i="6"/>
  <x:c r="BB104" i="6"/>
  <x:c r="BG104" i="6"/>
  <x:c r="BL104" i="6"/>
  <x:c r="BQ104" i="6"/>
  <x:c r="BZ104" i="6"/>
  <x:c r="CB104" i="6"/>
  <x:c r="CF104" i="6"/>
  <x:c r="CG104" i="6"/>
  <x:c r="CH104" i="6"/>
  <x:c r="CL104" i="6"/>
  <x:c r="CM104" i="6"/>
  <x:c r="CN104" i="6"/>
  <x:c r="CQ104" i="6"/>
  <x:c r="CR104" i="6"/>
  <x:c r="CS104" i="6"/>
  <x:c r="CT104" i="6"/>
  <x:c r="CV104" i="6"/>
  <x:c r="CW104" i="6"/>
  <x:c r="CX104" i="6"/>
  <x:c r="CY104" i="6"/>
  <x:c r="CZ104" i="6"/>
  <x:c r="DC104" i="6"/>
  <x:c r="DD104" i="6"/>
  <x:c r="DE104" i="6"/>
  <x:c r="L105" i="6"/>
  <x:c r="AM105" i="6"/>
  <x:c r="AR105" i="6"/>
  <x:c r="BB105" i="6"/>
  <x:c r="BG105" i="6"/>
  <x:c r="BL105" i="6"/>
  <x:c r="BQ105" i="6"/>
  <x:c r="BZ105" i="6"/>
  <x:c r="CB105" i="6"/>
  <x:c r="CF105" i="6"/>
  <x:c r="CG105" i="6"/>
  <x:c r="CH105" i="6"/>
  <x:c r="CL105" i="6"/>
  <x:c r="CM105" i="6"/>
  <x:c r="CN105" i="6"/>
  <x:c r="CQ105" i="6"/>
  <x:c r="CR105" i="6"/>
  <x:c r="CS105" i="6"/>
  <x:c r="CT105" i="6"/>
  <x:c r="CV105" i="6"/>
  <x:c r="CW105" i="6"/>
  <x:c r="CX105" i="6"/>
  <x:c r="CY105" i="6"/>
  <x:c r="CZ105" i="6"/>
  <x:c r="DC105" i="6"/>
  <x:c r="DD105" i="6"/>
  <x:c r="DE105" i="6"/>
  <x:c r="L106" i="6"/>
  <x:c r="AM106" i="6"/>
  <x:c r="AR106" i="6"/>
  <x:c r="BB106" i="6"/>
  <x:c r="BG106" i="6"/>
  <x:c r="BL106" i="6"/>
  <x:c r="BQ106" i="6"/>
  <x:c r="BZ106" i="6"/>
  <x:c r="CB106" i="6"/>
  <x:c r="CF106" i="6"/>
  <x:c r="CG106" i="6"/>
  <x:c r="CH106" i="6"/>
  <x:c r="CL106" i="6"/>
  <x:c r="CM106" i="6"/>
  <x:c r="CN106" i="6"/>
  <x:c r="CQ106" i="6"/>
  <x:c r="CR106" i="6"/>
  <x:c r="CS106" i="6"/>
  <x:c r="CT106" i="6"/>
  <x:c r="CV106" i="6"/>
  <x:c r="CW106" i="6"/>
  <x:c r="CX106" i="6"/>
  <x:c r="CY106" i="6"/>
  <x:c r="CZ106" i="6"/>
  <x:c r="DC106" i="6"/>
  <x:c r="DD106" i="6"/>
  <x:c r="DE106" i="6"/>
  <x:c r="L107" i="6"/>
  <x:c r="AM107" i="6"/>
  <x:c r="AR107" i="6"/>
  <x:c r="BB107" i="6"/>
  <x:c r="BG107" i="6"/>
  <x:c r="BL107" i="6"/>
  <x:c r="BQ107" i="6"/>
  <x:c r="BZ107" i="6"/>
  <x:c r="CB107" i="6"/>
  <x:c r="CF107" i="6"/>
  <x:c r="CG107" i="6"/>
  <x:c r="CH107" i="6"/>
  <x:c r="CL107" i="6"/>
  <x:c r="CM107" i="6"/>
  <x:c r="CN107" i="6"/>
  <x:c r="CQ107" i="6"/>
  <x:c r="CR107" i="6"/>
  <x:c r="CS107" i="6"/>
  <x:c r="CT107" i="6"/>
  <x:c r="CV107" i="6"/>
  <x:c r="CW107" i="6"/>
  <x:c r="CX107" i="6"/>
  <x:c r="CY107" i="6"/>
  <x:c r="CZ107" i="6"/>
  <x:c r="DC107" i="6"/>
  <x:c r="DD107" i="6"/>
  <x:c r="DE107" i="6"/>
  <x:c r="L108" i="6"/>
  <x:c r="AM108" i="6"/>
  <x:c r="AR108" i="6"/>
  <x:c r="BB108" i="6"/>
  <x:c r="BG108" i="6"/>
  <x:c r="BL108" i="6"/>
  <x:c r="BQ108" i="6"/>
  <x:c r="BZ108" i="6"/>
  <x:c r="CB108" i="6"/>
  <x:c r="CF108" i="6"/>
  <x:c r="CG108" i="6"/>
  <x:c r="CH108" i="6"/>
  <x:c r="CL108" i="6"/>
  <x:c r="CM108" i="6"/>
  <x:c r="CN108" i="6"/>
  <x:c r="CQ108" i="6"/>
  <x:c r="CR108" i="6"/>
  <x:c r="CS108" i="6"/>
  <x:c r="CT108" i="6"/>
  <x:c r="CV108" i="6"/>
  <x:c r="CW108" i="6"/>
  <x:c r="CX108" i="6"/>
  <x:c r="CY108" i="6"/>
  <x:c r="CZ108" i="6"/>
  <x:c r="DC108" i="6"/>
  <x:c r="DD108" i="6"/>
  <x:c r="DE108" i="6"/>
  <x:c r="L113" i="6"/>
  <x:c r="AM113" i="6"/>
  <x:c r="AR113" i="6"/>
  <x:c r="BB113" i="6"/>
  <x:c r="BG113" i="6"/>
  <x:c r="BL113" i="6"/>
  <x:c r="BQ113" i="6"/>
  <x:c r="BZ113" i="6"/>
  <x:c r="CB113" i="6"/>
  <x:c r="CF113" i="6"/>
  <x:c r="CG113" i="6"/>
  <x:c r="CH113" i="6"/>
  <x:c r="CL113" i="6"/>
  <x:c r="CM113" i="6"/>
  <x:c r="CN113" i="6"/>
  <x:c r="CQ113" i="6"/>
  <x:c r="CR113" i="6"/>
  <x:c r="CS113" i="6"/>
  <x:c r="CT113" i="6"/>
  <x:c r="CV113" i="6"/>
  <x:c r="CW113" i="6"/>
  <x:c r="CX113" i="6"/>
  <x:c r="CY113" i="6"/>
  <x:c r="CZ113" i="6"/>
  <x:c r="DC113" i="6"/>
  <x:c r="DD113" i="6"/>
  <x:c r="DE113" i="6"/>
  <x:c r="L114" i="6"/>
  <x:c r="AM114" i="6"/>
  <x:c r="AR114" i="6"/>
  <x:c r="BB114" i="6"/>
  <x:c r="BG114" i="6"/>
  <x:c r="BL114" i="6"/>
  <x:c r="BQ114" i="6"/>
  <x:c r="BZ114" i="6"/>
  <x:c r="CB114" i="6"/>
  <x:c r="CF114" i="6"/>
  <x:c r="CG114" i="6"/>
  <x:c r="CH114" i="6"/>
  <x:c r="CL114" i="6"/>
  <x:c r="CM114" i="6"/>
  <x:c r="CN114" i="6"/>
  <x:c r="CQ114" i="6"/>
  <x:c r="CR114" i="6"/>
  <x:c r="CS114" i="6"/>
  <x:c r="CT114" i="6"/>
  <x:c r="CV114" i="6"/>
  <x:c r="CW114" i="6"/>
  <x:c r="CX114" i="6"/>
  <x:c r="CY114" i="6"/>
  <x:c r="CZ114" i="6"/>
  <x:c r="DC114" i="6"/>
  <x:c r="DD114" i="6"/>
  <x:c r="DE114" i="6"/>
  <x:c r="L115" i="6"/>
  <x:c r="AM115" i="6"/>
  <x:c r="AR115" i="6"/>
  <x:c r="BB115" i="6"/>
  <x:c r="BG115" i="6"/>
  <x:c r="BL115" i="6"/>
  <x:c r="BQ115" i="6"/>
  <x:c r="BZ115" i="6"/>
  <x:c r="CB115" i="6"/>
  <x:c r="CF115" i="6"/>
  <x:c r="CG115" i="6"/>
  <x:c r="CH115" i="6"/>
  <x:c r="CL115" i="6"/>
  <x:c r="CM115" i="6"/>
  <x:c r="CN115" i="6"/>
  <x:c r="CQ115" i="6"/>
  <x:c r="CR115" i="6"/>
  <x:c r="CS115" i="6"/>
  <x:c r="CT115" i="6"/>
  <x:c r="CV115" i="6"/>
  <x:c r="CW115" i="6"/>
  <x:c r="CX115" i="6"/>
  <x:c r="CY115" i="6"/>
  <x:c r="CZ115" i="6"/>
  <x:c r="DC115" i="6"/>
  <x:c r="DD115" i="6"/>
  <x:c r="DE115" i="6"/>
  <x:c r="L116" i="6"/>
  <x:c r="AM116" i="6"/>
  <x:c r="AR116" i="6"/>
  <x:c r="BB116" i="6"/>
  <x:c r="BG116" i="6"/>
  <x:c r="BL116" i="6"/>
  <x:c r="BQ116" i="6"/>
  <x:c r="BZ116" i="6"/>
  <x:c r="CB116" i="6"/>
  <x:c r="CF116" i="6"/>
  <x:c r="CG116" i="6"/>
  <x:c r="CH116" i="6"/>
  <x:c r="CL116" i="6"/>
  <x:c r="CM116" i="6"/>
  <x:c r="CN116" i="6"/>
  <x:c r="CQ116" i="6"/>
  <x:c r="CR116" i="6"/>
  <x:c r="CS116" i="6"/>
  <x:c r="CT116" i="6"/>
  <x:c r="CV116" i="6"/>
  <x:c r="CW116" i="6"/>
  <x:c r="CX116" i="6"/>
  <x:c r="CY116" i="6"/>
  <x:c r="CZ116" i="6"/>
  <x:c r="DC116" i="6"/>
  <x:c r="DD116" i="6"/>
  <x:c r="DE116" i="6"/>
  <x:c r="L117" i="6"/>
  <x:c r="AM117" i="6"/>
  <x:c r="AR117" i="6"/>
  <x:c r="BB117" i="6"/>
  <x:c r="BG117" i="6"/>
  <x:c r="BL117" i="6"/>
  <x:c r="BQ117" i="6"/>
  <x:c r="BZ117" i="6"/>
  <x:c r="CB117" i="6"/>
  <x:c r="CF117" i="6"/>
  <x:c r="CG117" i="6"/>
  <x:c r="CH117" i="6"/>
  <x:c r="CL117" i="6"/>
  <x:c r="CM117" i="6"/>
  <x:c r="CN117" i="6"/>
  <x:c r="CQ117" i="6"/>
  <x:c r="CR117" i="6"/>
  <x:c r="CS117" i="6"/>
  <x:c r="CT117" i="6"/>
  <x:c r="CV117" i="6"/>
  <x:c r="CW117" i="6"/>
  <x:c r="CX117" i="6"/>
  <x:c r="CY117" i="6"/>
  <x:c r="CZ117" i="6"/>
  <x:c r="DC117" i="6"/>
  <x:c r="DD117" i="6"/>
  <x:c r="DE117" i="6"/>
  <x:c r="L118" i="6"/>
  <x:c r="AM118" i="6"/>
  <x:c r="AR118" i="6"/>
  <x:c r="BB118" i="6"/>
  <x:c r="BG118" i="6"/>
  <x:c r="BL118" i="6"/>
  <x:c r="BQ118" i="6"/>
  <x:c r="BZ118" i="6"/>
  <x:c r="CB118" i="6"/>
  <x:c r="CF118" i="6"/>
  <x:c r="CG118" i="6"/>
  <x:c r="CH118" i="6"/>
  <x:c r="CL118" i="6"/>
  <x:c r="CM118" i="6"/>
  <x:c r="CN118" i="6"/>
  <x:c r="CQ118" i="6"/>
  <x:c r="CR118" i="6"/>
  <x:c r="CS118" i="6"/>
  <x:c r="CT118" i="6"/>
  <x:c r="CV118" i="6"/>
  <x:c r="CW118" i="6"/>
  <x:c r="CX118" i="6"/>
  <x:c r="CY118" i="6"/>
  <x:c r="CZ118" i="6"/>
  <x:c r="DC118" i="6"/>
  <x:c r="DD118" i="6"/>
  <x:c r="DE118" i="6"/>
  <x:c r="L119" i="6"/>
  <x:c r="AM119" i="6"/>
  <x:c r="AR119" i="6"/>
  <x:c r="BB119" i="6"/>
  <x:c r="BG119" i="6"/>
  <x:c r="BL119" i="6"/>
  <x:c r="BQ119" i="6"/>
  <x:c r="BZ119" i="6"/>
  <x:c r="CB119" i="6"/>
  <x:c r="CF119" i="6"/>
  <x:c r="CG119" i="6"/>
  <x:c r="CH119" i="6"/>
  <x:c r="CL119" i="6"/>
  <x:c r="CM119" i="6"/>
  <x:c r="CN119" i="6"/>
  <x:c r="CQ119" i="6"/>
  <x:c r="CR119" i="6"/>
  <x:c r="CS119" i="6"/>
  <x:c r="CT119" i="6"/>
  <x:c r="CV119" i="6"/>
  <x:c r="CW119" i="6"/>
  <x:c r="CX119" i="6"/>
  <x:c r="CY119" i="6"/>
  <x:c r="CZ119" i="6"/>
  <x:c r="DC119" i="6"/>
  <x:c r="DD119" i="6"/>
  <x:c r="DE119" i="6"/>
  <x:c r="L120" i="6"/>
  <x:c r="AM120" i="6"/>
  <x:c r="AR120" i="6"/>
  <x:c r="BB120" i="6"/>
  <x:c r="BG120" i="6"/>
  <x:c r="BL120" i="6"/>
  <x:c r="BQ120" i="6"/>
  <x:c r="BZ120" i="6"/>
  <x:c r="CB120" i="6"/>
  <x:c r="CF120" i="6"/>
  <x:c r="CG120" i="6"/>
  <x:c r="CH120" i="6"/>
  <x:c r="CL120" i="6"/>
  <x:c r="CM120" i="6"/>
  <x:c r="CN120" i="6"/>
  <x:c r="CQ120" i="6"/>
  <x:c r="CR120" i="6"/>
  <x:c r="CS120" i="6"/>
  <x:c r="CT120" i="6"/>
  <x:c r="CV120" i="6"/>
  <x:c r="CW120" i="6"/>
  <x:c r="CX120" i="6"/>
  <x:c r="CY120" i="6"/>
  <x:c r="CZ120" i="6"/>
  <x:c r="DC120" i="6"/>
  <x:c r="DD120" i="6"/>
  <x:c r="DE120" i="6"/>
  <x:c r="L121" i="6"/>
  <x:c r="AM121" i="6"/>
  <x:c r="AR121" i="6"/>
  <x:c r="BB121" i="6"/>
  <x:c r="BG121" i="6"/>
  <x:c r="BL121" i="6"/>
  <x:c r="BQ121" i="6"/>
  <x:c r="BZ121" i="6"/>
  <x:c r="CB121" i="6"/>
  <x:c r="CF121" i="6"/>
  <x:c r="CG121" i="6"/>
  <x:c r="CH121" i="6"/>
  <x:c r="CL121" i="6"/>
  <x:c r="CM121" i="6"/>
  <x:c r="CN121" i="6"/>
  <x:c r="CQ121" i="6"/>
  <x:c r="CR121" i="6"/>
  <x:c r="CS121" i="6"/>
  <x:c r="CT121" i="6"/>
  <x:c r="CV121" i="6"/>
  <x:c r="CW121" i="6"/>
  <x:c r="CX121" i="6"/>
  <x:c r="CY121" i="6"/>
  <x:c r="CZ121" i="6"/>
  <x:c r="DC121" i="6"/>
  <x:c r="DD121" i="6"/>
  <x:c r="DE121" i="6"/>
  <x:c r="L126" i="6"/>
  <x:c r="AM126" i="6"/>
  <x:c r="AR126" i="6"/>
  <x:c r="BB126" i="6"/>
  <x:c r="BG126" i="6"/>
  <x:c r="BL126" i="6"/>
  <x:c r="BQ126" i="6"/>
  <x:c r="BZ126" i="6"/>
  <x:c r="CB126" i="6"/>
  <x:c r="CF126" i="6"/>
  <x:c r="CG126" i="6"/>
  <x:c r="CH126" i="6"/>
  <x:c r="CL126" i="6"/>
  <x:c r="CM126" i="6"/>
  <x:c r="CN126" i="6"/>
  <x:c r="CQ126" i="6"/>
  <x:c r="CR126" i="6"/>
  <x:c r="CS126" i="6"/>
  <x:c r="CT126" i="6"/>
  <x:c r="CV126" i="6"/>
  <x:c r="CW126" i="6"/>
  <x:c r="CX126" i="6"/>
  <x:c r="CY126" i="6"/>
  <x:c r="CZ126" i="6"/>
  <x:c r="DC126" i="6"/>
  <x:c r="DD126" i="6"/>
  <x:c r="DE126" i="6"/>
  <x:c r="L127" i="6"/>
  <x:c r="AM127" i="6"/>
  <x:c r="AR127" i="6"/>
  <x:c r="BB127" i="6"/>
  <x:c r="BG127" i="6"/>
  <x:c r="BL127" i="6"/>
  <x:c r="BQ127" i="6"/>
  <x:c r="BZ127" i="6"/>
  <x:c r="CB127" i="6"/>
  <x:c r="CF127" i="6"/>
  <x:c r="CG127" i="6"/>
  <x:c r="CH127" i="6"/>
  <x:c r="CL127" i="6"/>
  <x:c r="CM127" i="6"/>
  <x:c r="CN127" i="6"/>
  <x:c r="CQ127" i="6"/>
  <x:c r="CR127" i="6"/>
  <x:c r="CS127" i="6"/>
  <x:c r="CT127" i="6"/>
  <x:c r="CV127" i="6"/>
  <x:c r="CW127" i="6"/>
  <x:c r="CX127" i="6"/>
  <x:c r="CY127" i="6"/>
  <x:c r="CZ127" i="6"/>
  <x:c r="DC127" i="6"/>
  <x:c r="DD127" i="6"/>
  <x:c r="DE127" i="6"/>
  <x:c r="L128" i="6"/>
  <x:c r="AM128" i="6"/>
  <x:c r="AR128" i="6"/>
  <x:c r="BB128" i="6"/>
  <x:c r="BG128" i="6"/>
  <x:c r="BL128" i="6"/>
  <x:c r="BQ128" i="6"/>
  <x:c r="BZ128" i="6"/>
  <x:c r="CB128" i="6"/>
  <x:c r="CF128" i="6"/>
  <x:c r="CG128" i="6"/>
  <x:c r="CH128" i="6"/>
  <x:c r="CL128" i="6"/>
  <x:c r="CM128" i="6"/>
  <x:c r="CN128" i="6"/>
  <x:c r="CQ128" i="6"/>
  <x:c r="CR128" i="6"/>
  <x:c r="CS128" i="6"/>
  <x:c r="CT128" i="6"/>
  <x:c r="CV128" i="6"/>
  <x:c r="CW128" i="6"/>
  <x:c r="CX128" i="6"/>
  <x:c r="CY128" i="6"/>
  <x:c r="CZ128" i="6"/>
  <x:c r="DC128" i="6"/>
  <x:c r="DD128" i="6"/>
  <x:c r="DE128" i="6"/>
  <x:c r="L129" i="6"/>
  <x:c r="AM129" i="6"/>
  <x:c r="AR129" i="6"/>
  <x:c r="BB129" i="6"/>
  <x:c r="BG129" i="6"/>
  <x:c r="BL129" i="6"/>
  <x:c r="BQ129" i="6"/>
  <x:c r="BZ129" i="6"/>
  <x:c r="CB129" i="6"/>
  <x:c r="CF129" i="6"/>
  <x:c r="CG129" i="6"/>
  <x:c r="CH129" i="6"/>
  <x:c r="CL129" i="6"/>
  <x:c r="CM129" i="6"/>
  <x:c r="CN129" i="6"/>
  <x:c r="CQ129" i="6"/>
  <x:c r="CR129" i="6"/>
  <x:c r="CS129" i="6"/>
  <x:c r="CT129" i="6"/>
  <x:c r="CV129" i="6"/>
  <x:c r="CW129" i="6"/>
  <x:c r="CX129" i="6"/>
  <x:c r="CY129" i="6"/>
  <x:c r="CZ129" i="6"/>
  <x:c r="DC129" i="6"/>
  <x:c r="DD129" i="6"/>
  <x:c r="DE129" i="6"/>
  <x:c r="L130" i="6"/>
  <x:c r="AM130" i="6"/>
  <x:c r="AR130" i="6"/>
  <x:c r="BB130" i="6"/>
  <x:c r="BG130" i="6"/>
  <x:c r="BL130" i="6"/>
  <x:c r="BQ130" i="6"/>
  <x:c r="BZ130" i="6"/>
  <x:c r="CB130" i="6"/>
  <x:c r="CF130" i="6"/>
  <x:c r="CG130" i="6"/>
  <x:c r="CH130" i="6"/>
  <x:c r="CL130" i="6"/>
  <x:c r="CM130" i="6"/>
  <x:c r="CN130" i="6"/>
  <x:c r="CQ130" i="6"/>
  <x:c r="CR130" i="6"/>
  <x:c r="CS130" i="6"/>
  <x:c r="CT130" i="6"/>
  <x:c r="CV130" i="6"/>
  <x:c r="CW130" i="6"/>
  <x:c r="CX130" i="6"/>
  <x:c r="CY130" i="6"/>
  <x:c r="CZ130" i="6"/>
  <x:c r="DC130" i="6"/>
  <x:c r="DD130" i="6"/>
  <x:c r="DE130" i="6"/>
  <x:c r="L131" i="6"/>
  <x:c r="AM131" i="6"/>
  <x:c r="AR131" i="6"/>
  <x:c r="BB131" i="6"/>
  <x:c r="BG131" i="6"/>
  <x:c r="BL131" i="6"/>
  <x:c r="BQ131" i="6"/>
  <x:c r="BZ131" i="6"/>
  <x:c r="CB131" i="6"/>
  <x:c r="CF131" i="6"/>
  <x:c r="CG131" i="6"/>
  <x:c r="CH131" i="6"/>
  <x:c r="CL131" i="6"/>
  <x:c r="CM131" i="6"/>
  <x:c r="CN131" i="6"/>
  <x:c r="CQ131" i="6"/>
  <x:c r="CR131" i="6"/>
  <x:c r="CS131" i="6"/>
  <x:c r="CT131" i="6"/>
  <x:c r="CV131" i="6"/>
  <x:c r="CW131" i="6"/>
  <x:c r="CX131" i="6"/>
  <x:c r="CY131" i="6"/>
  <x:c r="CZ131" i="6"/>
  <x:c r="DC131" i="6"/>
  <x:c r="DD131" i="6"/>
  <x:c r="DE131" i="6"/>
  <x:c r="L132" i="6"/>
  <x:c r="AM132" i="6"/>
  <x:c r="AR132" i="6"/>
  <x:c r="BB132" i="6"/>
  <x:c r="BG132" i="6"/>
  <x:c r="BL132" i="6"/>
  <x:c r="BQ132" i="6"/>
  <x:c r="BZ132" i="6"/>
  <x:c r="CB132" i="6"/>
  <x:c r="CF132" i="6"/>
  <x:c r="CG132" i="6"/>
  <x:c r="CH132" i="6"/>
  <x:c r="CL132" i="6"/>
  <x:c r="CM132" i="6"/>
  <x:c r="CN132" i="6"/>
  <x:c r="CQ132" i="6"/>
  <x:c r="CR132" i="6"/>
  <x:c r="CS132" i="6"/>
  <x:c r="CT132" i="6"/>
  <x:c r="CV132" i="6"/>
  <x:c r="CW132" i="6"/>
  <x:c r="CX132" i="6"/>
  <x:c r="CY132" i="6"/>
  <x:c r="CZ132" i="6"/>
  <x:c r="DC132" i="6"/>
  <x:c r="DD132" i="6"/>
  <x:c r="DE132" i="6"/>
  <x:c r="L133" i="6"/>
  <x:c r="AM133" i="6"/>
  <x:c r="AR133" i="6"/>
  <x:c r="BB133" i="6"/>
  <x:c r="BG133" i="6"/>
  <x:c r="BL133" i="6"/>
  <x:c r="BQ133" i="6"/>
  <x:c r="BZ133" i="6"/>
  <x:c r="CB133" i="6"/>
  <x:c r="CF133" i="6"/>
  <x:c r="CG133" i="6"/>
  <x:c r="CH133" i="6"/>
  <x:c r="CL133" i="6"/>
  <x:c r="CM133" i="6"/>
  <x:c r="CN133" i="6"/>
  <x:c r="CQ133" i="6"/>
  <x:c r="CR133" i="6"/>
  <x:c r="CS133" i="6"/>
  <x:c r="CT133" i="6"/>
  <x:c r="CV133" i="6"/>
  <x:c r="CW133" i="6"/>
  <x:c r="CX133" i="6"/>
  <x:c r="CY133" i="6"/>
  <x:c r="CZ133" i="6"/>
  <x:c r="DC133" i="6"/>
  <x:c r="DD133" i="6"/>
  <x:c r="DE133" i="6"/>
  <x:c r="L134" i="6"/>
  <x:c r="AM134" i="6"/>
  <x:c r="AR134" i="6"/>
  <x:c r="BB134" i="6"/>
  <x:c r="BG134" i="6"/>
  <x:c r="BL134" i="6"/>
  <x:c r="BQ134" i="6"/>
  <x:c r="BZ134" i="6"/>
  <x:c r="CB134" i="6"/>
  <x:c r="CF134" i="6"/>
  <x:c r="CG134" i="6"/>
  <x:c r="CH134" i="6"/>
  <x:c r="CL134" i="6"/>
  <x:c r="CM134" i="6"/>
  <x:c r="CN134" i="6"/>
  <x:c r="CQ134" i="6"/>
  <x:c r="CR134" i="6"/>
  <x:c r="CS134" i="6"/>
  <x:c r="CT134" i="6"/>
  <x:c r="CV134" i="6"/>
  <x:c r="CW134" i="6"/>
  <x:c r="CX134" i="6"/>
  <x:c r="CY134" i="6"/>
  <x:c r="CZ134" i="6"/>
  <x:c r="DC134" i="6"/>
  <x:c r="DD134" i="6"/>
  <x:c r="DE134" i="6"/>
  <x:c r="L135" i="6"/>
  <x:c r="AM135" i="6"/>
  <x:c r="AR135" i="6"/>
  <x:c r="BB135" i="6"/>
  <x:c r="BG135" i="6"/>
  <x:c r="BL135" i="6"/>
  <x:c r="BQ135" i="6"/>
  <x:c r="BZ135" i="6"/>
  <x:c r="CB135" i="6"/>
  <x:c r="CF135" i="6"/>
  <x:c r="CG135" i="6"/>
  <x:c r="CH135" i="6"/>
  <x:c r="CL135" i="6"/>
  <x:c r="CM135" i="6"/>
  <x:c r="CN135" i="6"/>
  <x:c r="CQ135" i="6"/>
  <x:c r="CR135" i="6"/>
  <x:c r="CS135" i="6"/>
  <x:c r="CT135" i="6"/>
  <x:c r="CV135" i="6"/>
  <x:c r="CW135" i="6"/>
  <x:c r="CX135" i="6"/>
  <x:c r="CY135" i="6"/>
  <x:c r="CZ135" i="6"/>
  <x:c r="DC135" i="6"/>
  <x:c r="DD135" i="6"/>
  <x:c r="DE135" i="6"/>
  <x:c r="L136" i="6"/>
  <x:c r="AM136" i="6"/>
  <x:c r="AR136" i="6"/>
  <x:c r="BB136" i="6"/>
  <x:c r="BG136" i="6"/>
  <x:c r="BL136" i="6"/>
  <x:c r="BQ136" i="6"/>
  <x:c r="BZ136" i="6"/>
  <x:c r="CB136" i="6"/>
  <x:c r="CF136" i="6"/>
  <x:c r="CG136" i="6"/>
  <x:c r="CH136" i="6"/>
  <x:c r="CL136" i="6"/>
  <x:c r="CM136" i="6"/>
  <x:c r="CN136" i="6"/>
  <x:c r="CQ136" i="6"/>
  <x:c r="CR136" i="6"/>
  <x:c r="CS136" i="6"/>
  <x:c r="CT136" i="6"/>
  <x:c r="CV136" i="6"/>
  <x:c r="CW136" i="6"/>
  <x:c r="CX136" i="6"/>
  <x:c r="CY136" i="6"/>
  <x:c r="CZ136" i="6"/>
  <x:c r="DC136" i="6"/>
  <x:c r="DD136" i="6"/>
  <x:c r="DE136" i="6"/>
  <x:c r="L137" i="6"/>
  <x:c r="AM137" i="6"/>
  <x:c r="AR137" i="6"/>
  <x:c r="BB137" i="6"/>
  <x:c r="BG137" i="6"/>
  <x:c r="BL137" i="6"/>
  <x:c r="BQ137" i="6"/>
  <x:c r="BZ137" i="6"/>
  <x:c r="CB137" i="6"/>
  <x:c r="CF137" i="6"/>
  <x:c r="CG137" i="6"/>
  <x:c r="CH137" i="6"/>
  <x:c r="CL137" i="6"/>
  <x:c r="CM137" i="6"/>
  <x:c r="CN137" i="6"/>
  <x:c r="CQ137" i="6"/>
  <x:c r="CR137" i="6"/>
  <x:c r="CS137" i="6"/>
  <x:c r="CT137" i="6"/>
  <x:c r="CV137" i="6"/>
  <x:c r="CW137" i="6"/>
  <x:c r="CX137" i="6"/>
  <x:c r="CY137" i="6"/>
  <x:c r="CZ137" i="6"/>
  <x:c r="DC137" i="6"/>
  <x:c r="DD137" i="6"/>
  <x:c r="DE137" i="6"/>
  <x:c r="AK140" i="6"/>
  <x:c r="B5" i="7"/>
  <x:c r="B10" i="7"/>
  <x:c r="C10" i="7"/>
  <x:c r="D10" i="7"/>
  <x:c r="E10" i="7"/>
  <x:c r="F10" i="7"/>
  <x:c r="G10" i="7"/>
  <x:c r="H10" i="7"/>
  <x:c r="I10" i="7"/>
  <x:c r="J10" i="7"/>
  <x:c r="K10" i="7"/>
  <x:c r="L10" i="7"/>
  <x:c r="N10" i="7"/>
  <x:c r="O10" i="7"/>
  <x:c r="P10" i="7"/>
  <x:c r="Q10" i="7"/>
  <x:c r="R10" i="7"/>
  <x:c r="T10" i="7"/>
  <x:c r="U10" i="7"/>
  <x:c r="V10" i="7"/>
  <x:c r="X10" i="7"/>
  <x:c r="B11" i="7"/>
  <x:c r="C11" i="7"/>
  <x:c r="D11" i="7"/>
  <x:c r="E11" i="7"/>
  <x:c r="F11" i="7"/>
  <x:c r="G11" i="7"/>
  <x:c r="H11" i="7"/>
  <x:c r="I11" i="7"/>
  <x:c r="J11" i="7"/>
  <x:c r="K11" i="7"/>
  <x:c r="L11" i="7"/>
  <x:c r="N11" i="7"/>
  <x:c r="O11" i="7"/>
  <x:c r="P11" i="7"/>
  <x:c r="Q11" i="7"/>
  <x:c r="R11" i="7"/>
  <x:c r="T11" i="7"/>
  <x:c r="U11" i="7"/>
  <x:c r="V11" i="7"/>
  <x:c r="X11" i="7"/>
  <x:c r="B12" i="7"/>
  <x:c r="C12" i="7"/>
  <x:c r="D12" i="7"/>
  <x:c r="E12" i="7"/>
  <x:c r="F12" i="7"/>
  <x:c r="G12" i="7"/>
  <x:c r="H12" i="7"/>
  <x:c r="I12" i="7"/>
  <x:c r="J12" i="7"/>
  <x:c r="K12" i="7"/>
  <x:c r="L12" i="7"/>
  <x:c r="N12" i="7"/>
  <x:c r="O12" i="7"/>
  <x:c r="P12" i="7"/>
  <x:c r="Q12" i="7"/>
  <x:c r="R12" i="7"/>
  <x:c r="T12" i="7"/>
  <x:c r="U12" i="7"/>
  <x:c r="V12" i="7"/>
  <x:c r="X12" i="7"/>
  <x:c r="B13" i="7"/>
  <x:c r="C13" i="7"/>
  <x:c r="D13" i="7"/>
  <x:c r="E13" i="7"/>
  <x:c r="F13" i="7"/>
  <x:c r="G13" i="7"/>
  <x:c r="H13" i="7"/>
  <x:c r="I13" i="7"/>
  <x:c r="J13" i="7"/>
  <x:c r="K13" i="7"/>
  <x:c r="L13" i="7"/>
  <x:c r="N13" i="7"/>
  <x:c r="O13" i="7"/>
  <x:c r="P13" i="7"/>
  <x:c r="Q13" i="7"/>
  <x:c r="R13" i="7"/>
  <x:c r="T13" i="7"/>
  <x:c r="U13" i="7"/>
  <x:c r="V13" i="7"/>
  <x:c r="X13" i="7"/>
  <x:c r="B14" i="7"/>
  <x:c r="C14" i="7"/>
  <x:c r="D14" i="7"/>
  <x:c r="E14" i="7"/>
  <x:c r="F14" i="7"/>
  <x:c r="G14" i="7"/>
  <x:c r="H14" i="7"/>
  <x:c r="I14" i="7"/>
  <x:c r="J14" i="7"/>
  <x:c r="K14" i="7"/>
  <x:c r="L14" i="7"/>
  <x:c r="N14" i="7"/>
  <x:c r="O14" i="7"/>
  <x:c r="P14" i="7"/>
  <x:c r="Q14" i="7"/>
  <x:c r="R14" i="7"/>
  <x:c r="T14" i="7"/>
  <x:c r="U14" i="7"/>
  <x:c r="V14" i="7"/>
  <x:c r="X14" i="7"/>
  <x:c r="B15" i="7"/>
  <x:c r="C15" i="7"/>
  <x:c r="D15" i="7"/>
  <x:c r="E15" i="7"/>
  <x:c r="F15" i="7"/>
  <x:c r="G15" i="7"/>
  <x:c r="H15" i="7"/>
  <x:c r="I15" i="7"/>
  <x:c r="J15" i="7"/>
  <x:c r="K15" i="7"/>
  <x:c r="L15" i="7"/>
  <x:c r="N15" i="7"/>
  <x:c r="O15" i="7"/>
  <x:c r="P15" i="7"/>
  <x:c r="Q15" i="7"/>
  <x:c r="R15" i="7"/>
  <x:c r="T15" i="7"/>
  <x:c r="U15" i="7"/>
  <x:c r="V15" i="7"/>
  <x:c r="X15" i="7"/>
  <x:c r="B16" i="7"/>
  <x:c r="C16" i="7"/>
  <x:c r="D16" i="7"/>
  <x:c r="E16" i="7"/>
  <x:c r="F16" i="7"/>
  <x:c r="G16" i="7"/>
  <x:c r="H16" i="7"/>
  <x:c r="I16" i="7"/>
  <x:c r="J16" i="7"/>
  <x:c r="K16" i="7"/>
  <x:c r="L16" i="7"/>
  <x:c r="N16" i="7"/>
  <x:c r="O16" i="7"/>
  <x:c r="P16" i="7"/>
  <x:c r="Q16" i="7"/>
  <x:c r="R16" i="7"/>
  <x:c r="T16" i="7"/>
  <x:c r="U16" i="7"/>
  <x:c r="V16" i="7"/>
  <x:c r="X16" i="7"/>
  <x:c r="B17" i="7"/>
  <x:c r="C17" i="7"/>
  <x:c r="D17" i="7"/>
  <x:c r="E17" i="7"/>
  <x:c r="F17" i="7"/>
  <x:c r="G17" i="7"/>
  <x:c r="H17" i="7"/>
  <x:c r="I17" i="7"/>
  <x:c r="J17" i="7"/>
  <x:c r="K17" i="7"/>
  <x:c r="L17" i="7"/>
  <x:c r="N17" i="7"/>
  <x:c r="O17" i="7"/>
  <x:c r="P17" i="7"/>
  <x:c r="Q17" i="7"/>
  <x:c r="R17" i="7"/>
  <x:c r="T17" i="7"/>
  <x:c r="U17" i="7"/>
  <x:c r="V17" i="7"/>
  <x:c r="X17" i="7"/>
  <x:c r="B18" i="7"/>
  <x:c r="C18" i="7"/>
  <x:c r="D18" i="7"/>
  <x:c r="E18" i="7"/>
  <x:c r="F18" i="7"/>
  <x:c r="G18" i="7"/>
  <x:c r="H18" i="7"/>
  <x:c r="I18" i="7"/>
  <x:c r="J18" i="7"/>
  <x:c r="K18" i="7"/>
  <x:c r="L18" i="7"/>
  <x:c r="N18" i="7"/>
  <x:c r="O18" i="7"/>
  <x:c r="P18" i="7"/>
  <x:c r="Q18" i="7"/>
  <x:c r="R18" i="7"/>
  <x:c r="T18" i="7"/>
  <x:c r="U18" i="7"/>
  <x:c r="V18" i="7"/>
  <x:c r="X18" i="7"/>
  <x:c r="B19" i="7"/>
  <x:c r="C19" i="7"/>
  <x:c r="D19" i="7"/>
  <x:c r="E19" i="7"/>
  <x:c r="F19" i="7"/>
  <x:c r="G19" i="7"/>
  <x:c r="H19" i="7"/>
  <x:c r="I19" i="7"/>
  <x:c r="J19" i="7"/>
  <x:c r="K19" i="7"/>
  <x:c r="L19" i="7"/>
  <x:c r="N19" i="7"/>
  <x:c r="O19" i="7"/>
  <x:c r="P19" i="7"/>
  <x:c r="Q19" i="7"/>
  <x:c r="R19" i="7"/>
  <x:c r="T19" i="7"/>
  <x:c r="U19" i="7"/>
  <x:c r="V19" i="7"/>
  <x:c r="X19" i="7"/>
  <x:c r="B20" i="7"/>
  <x:c r="C20" i="7"/>
  <x:c r="D20" i="7"/>
  <x:c r="E20" i="7"/>
  <x:c r="F20" i="7"/>
  <x:c r="G20" i="7"/>
  <x:c r="H20" i="7"/>
  <x:c r="I20" i="7"/>
  <x:c r="J20" i="7"/>
  <x:c r="K20" i="7"/>
  <x:c r="L20" i="7"/>
  <x:c r="N20" i="7"/>
  <x:c r="O20" i="7"/>
  <x:c r="P20" i="7"/>
  <x:c r="Q20" i="7"/>
  <x:c r="R20" i="7"/>
  <x:c r="T20" i="7"/>
  <x:c r="U20" i="7"/>
  <x:c r="V20" i="7"/>
  <x:c r="X20" i="7"/>
  <x:c r="B21" i="7"/>
  <x:c r="C21" i="7"/>
  <x:c r="D21" i="7"/>
  <x:c r="E21" i="7"/>
  <x:c r="F21" i="7"/>
  <x:c r="G21" i="7"/>
  <x:c r="H21" i="7"/>
  <x:c r="I21" i="7"/>
  <x:c r="J21" i="7"/>
  <x:c r="K21" i="7"/>
  <x:c r="L21" i="7"/>
  <x:c r="N21" i="7"/>
  <x:c r="O21" i="7"/>
  <x:c r="P21" i="7"/>
  <x:c r="Q21" i="7"/>
  <x:c r="R21" i="7"/>
  <x:c r="T21" i="7"/>
  <x:c r="U21" i="7"/>
  <x:c r="V21" i="7"/>
  <x:c r="X21" i="7"/>
  <x:c r="B22" i="7"/>
  <x:c r="C22" i="7"/>
  <x:c r="D22" i="7"/>
  <x:c r="E22" i="7"/>
  <x:c r="F22" i="7"/>
  <x:c r="G22" i="7"/>
  <x:c r="H22" i="7"/>
  <x:c r="I22" i="7"/>
  <x:c r="J22" i="7"/>
  <x:c r="K22" i="7"/>
  <x:c r="L22" i="7"/>
  <x:c r="N22" i="7"/>
  <x:c r="O22" i="7"/>
  <x:c r="P22" i="7"/>
  <x:c r="Q22" i="7"/>
  <x:c r="R22" i="7"/>
  <x:c r="T22" i="7"/>
  <x:c r="U22" i="7"/>
  <x:c r="V22" i="7"/>
  <x:c r="X22" i="7"/>
  <x:c r="B23" i="7"/>
  <x:c r="C23" i="7"/>
  <x:c r="D23" i="7"/>
  <x:c r="E23" i="7"/>
  <x:c r="F23" i="7"/>
  <x:c r="G23" i="7"/>
  <x:c r="H23" i="7"/>
  <x:c r="I23" i="7"/>
  <x:c r="J23" i="7"/>
  <x:c r="K23" i="7"/>
  <x:c r="L23" i="7"/>
  <x:c r="N23" i="7"/>
  <x:c r="O23" i="7"/>
  <x:c r="P23" i="7"/>
  <x:c r="Q23" i="7"/>
  <x:c r="R23" i="7"/>
  <x:c r="T23" i="7"/>
  <x:c r="U23" i="7"/>
  <x:c r="V23" i="7"/>
  <x:c r="X23" i="7"/>
  <x:c r="B24" i="7"/>
  <x:c r="C24" i="7"/>
  <x:c r="D24" i="7"/>
  <x:c r="E24" i="7"/>
  <x:c r="F24" i="7"/>
  <x:c r="G24" i="7"/>
  <x:c r="H24" i="7"/>
  <x:c r="I24" i="7"/>
  <x:c r="J24" i="7"/>
  <x:c r="K24" i="7"/>
  <x:c r="L24" i="7"/>
  <x:c r="N24" i="7"/>
  <x:c r="O24" i="7"/>
  <x:c r="P24" i="7"/>
  <x:c r="Q24" i="7"/>
  <x:c r="R24" i="7"/>
  <x:c r="T24" i="7"/>
  <x:c r="U24" i="7"/>
  <x:c r="V24" i="7"/>
  <x:c r="X24" i="7"/>
  <x:c r="B25" i="7"/>
  <x:c r="C25" i="7"/>
  <x:c r="D25" i="7"/>
  <x:c r="E25" i="7"/>
  <x:c r="F25" i="7"/>
  <x:c r="G25" i="7"/>
  <x:c r="H25" i="7"/>
  <x:c r="I25" i="7"/>
  <x:c r="J25" i="7"/>
  <x:c r="K25" i="7"/>
  <x:c r="L25" i="7"/>
  <x:c r="N25" i="7"/>
  <x:c r="O25" i="7"/>
  <x:c r="P25" i="7"/>
  <x:c r="Q25" i="7"/>
  <x:c r="R25" i="7"/>
  <x:c r="T25" i="7"/>
  <x:c r="U25" i="7"/>
  <x:c r="V25" i="7"/>
  <x:c r="X25" i="7"/>
  <x:c r="B26" i="7"/>
  <x:c r="C26" i="7"/>
  <x:c r="D26" i="7"/>
  <x:c r="E26" i="7"/>
  <x:c r="F26" i="7"/>
  <x:c r="G26" i="7"/>
  <x:c r="H26" i="7"/>
  <x:c r="I26" i="7"/>
  <x:c r="J26" i="7"/>
  <x:c r="K26" i="7"/>
  <x:c r="L26" i="7"/>
  <x:c r="N26" i="7"/>
  <x:c r="O26" i="7"/>
  <x:c r="P26" i="7"/>
  <x:c r="Q26" i="7"/>
  <x:c r="R26" i="7"/>
  <x:c r="T26" i="7"/>
  <x:c r="U26" i="7"/>
  <x:c r="V26" i="7"/>
  <x:c r="X26" i="7"/>
  <x:c r="B27" i="7"/>
  <x:c r="B31" i="7"/>
  <x:c r="C31" i="7"/>
  <x:c r="D31" i="7"/>
  <x:c r="E31" i="7"/>
  <x:c r="F31" i="7"/>
  <x:c r="G31" i="7"/>
  <x:c r="H31" i="7"/>
  <x:c r="J31" i="7"/>
  <x:c r="L31" i="7"/>
  <x:c r="N31" i="7"/>
  <x:c r="O31" i="7"/>
  <x:c r="P31" i="7"/>
  <x:c r="Q31" i="7"/>
  <x:c r="R31" i="7"/>
  <x:c r="T31" i="7"/>
  <x:c r="U31" i="7"/>
  <x:c r="V31" i="7"/>
  <x:c r="X31" i="7"/>
  <x:c r="B32" i="7"/>
  <x:c r="C32" i="7"/>
  <x:c r="D32" i="7"/>
  <x:c r="E32" i="7"/>
  <x:c r="F32" i="7"/>
  <x:c r="G32" i="7"/>
  <x:c r="H32" i="7"/>
  <x:c r="J32" i="7"/>
  <x:c r="L32" i="7"/>
  <x:c r="N32" i="7"/>
  <x:c r="O32" i="7"/>
  <x:c r="P32" i="7"/>
  <x:c r="Q32" i="7"/>
  <x:c r="R32" i="7"/>
  <x:c r="T32" i="7"/>
  <x:c r="U32" i="7"/>
  <x:c r="V32" i="7"/>
  <x:c r="X32" i="7"/>
  <x:c r="B33" i="7"/>
  <x:c r="C33" i="7"/>
  <x:c r="D33" i="7"/>
  <x:c r="E33" i="7"/>
  <x:c r="F33" i="7"/>
  <x:c r="G33" i="7"/>
  <x:c r="H33" i="7"/>
  <x:c r="J33" i="7"/>
  <x:c r="L33" i="7"/>
  <x:c r="N33" i="7"/>
  <x:c r="O33" i="7"/>
  <x:c r="P33" i="7"/>
  <x:c r="Q33" i="7"/>
  <x:c r="R33" i="7"/>
  <x:c r="T33" i="7"/>
  <x:c r="U33" i="7"/>
  <x:c r="V33" i="7"/>
  <x:c r="X33" i="7"/>
  <x:c r="B34" i="7"/>
  <x:c r="C34" i="7"/>
  <x:c r="D34" i="7"/>
  <x:c r="E34" i="7"/>
  <x:c r="F34" i="7"/>
  <x:c r="G34" i="7"/>
  <x:c r="H34" i="7"/>
  <x:c r="J34" i="7"/>
  <x:c r="L34" i="7"/>
  <x:c r="N34" i="7"/>
  <x:c r="O34" i="7"/>
  <x:c r="P34" i="7"/>
  <x:c r="Q34" i="7"/>
  <x:c r="R34" i="7"/>
  <x:c r="T34" i="7"/>
  <x:c r="U34" i="7"/>
  <x:c r="V34" i="7"/>
  <x:c r="X34" i="7"/>
  <x:c r="B35" i="7"/>
  <x:c r="C35" i="7"/>
  <x:c r="D35" i="7"/>
  <x:c r="E35" i="7"/>
  <x:c r="F35" i="7"/>
  <x:c r="G35" i="7"/>
  <x:c r="H35" i="7"/>
  <x:c r="J35" i="7"/>
  <x:c r="L35" i="7"/>
  <x:c r="N35" i="7"/>
  <x:c r="O35" i="7"/>
  <x:c r="P35" i="7"/>
  <x:c r="Q35" i="7"/>
  <x:c r="R35" i="7"/>
  <x:c r="T35" i="7"/>
  <x:c r="U35" i="7"/>
  <x:c r="V35" i="7"/>
  <x:c r="X35" i="7"/>
  <x:c r="B36" i="7"/>
  <x:c r="C36" i="7"/>
  <x:c r="D36" i="7"/>
  <x:c r="E36" i="7"/>
  <x:c r="F36" i="7"/>
  <x:c r="G36" i="7"/>
  <x:c r="H36" i="7"/>
  <x:c r="J36" i="7"/>
  <x:c r="L36" i="7"/>
  <x:c r="N36" i="7"/>
  <x:c r="O36" i="7"/>
  <x:c r="P36" i="7"/>
  <x:c r="Q36" i="7"/>
  <x:c r="R36" i="7"/>
  <x:c r="T36" i="7"/>
  <x:c r="U36" i="7"/>
  <x:c r="V36" i="7"/>
  <x:c r="X36" i="7"/>
  <x:c r="B37" i="7"/>
  <x:c r="C37" i="7"/>
  <x:c r="D37" i="7"/>
  <x:c r="E37" i="7"/>
  <x:c r="F37" i="7"/>
  <x:c r="G37" i="7"/>
  <x:c r="H37" i="7"/>
  <x:c r="J37" i="7"/>
  <x:c r="L37" i="7"/>
  <x:c r="N37" i="7"/>
  <x:c r="O37" i="7"/>
  <x:c r="P37" i="7"/>
  <x:c r="Q37" i="7"/>
  <x:c r="R37" i="7"/>
  <x:c r="T37" i="7"/>
  <x:c r="U37" i="7"/>
  <x:c r="V37" i="7"/>
  <x:c r="X37" i="7"/>
  <x:c r="B38" i="7"/>
  <x:c r="C38" i="7"/>
  <x:c r="D38" i="7"/>
  <x:c r="E38" i="7"/>
  <x:c r="F38" i="7"/>
  <x:c r="G38" i="7"/>
  <x:c r="H38" i="7"/>
  <x:c r="J38" i="7"/>
  <x:c r="L38" i="7"/>
  <x:c r="N38" i="7"/>
  <x:c r="O38" i="7"/>
  <x:c r="P38" i="7"/>
  <x:c r="Q38" i="7"/>
  <x:c r="R38" i="7"/>
  <x:c r="T38" i="7"/>
  <x:c r="U38" i="7"/>
  <x:c r="V38" i="7"/>
  <x:c r="X38" i="7"/>
  <x:c r="B39" i="7"/>
  <x:c r="C39" i="7"/>
  <x:c r="D39" i="7"/>
  <x:c r="E39" i="7"/>
  <x:c r="F39" i="7"/>
  <x:c r="G39" i="7"/>
  <x:c r="H39" i="7"/>
  <x:c r="J39" i="7"/>
  <x:c r="L39" i="7"/>
  <x:c r="N39" i="7"/>
  <x:c r="O39" i="7"/>
  <x:c r="P39" i="7"/>
  <x:c r="Q39" i="7"/>
  <x:c r="R39" i="7"/>
  <x:c r="T39" i="7"/>
  <x:c r="U39" i="7"/>
  <x:c r="V39" i="7"/>
  <x:c r="X39" i="7"/>
  <x:c r="B40" i="7"/>
  <x:c r="C40" i="7"/>
  <x:c r="D40" i="7"/>
  <x:c r="E40" i="7"/>
  <x:c r="F40" i="7"/>
  <x:c r="G40" i="7"/>
  <x:c r="H40" i="7"/>
  <x:c r="J40" i="7"/>
  <x:c r="L40" i="7"/>
  <x:c r="N40" i="7"/>
  <x:c r="O40" i="7"/>
  <x:c r="P40" i="7"/>
  <x:c r="Q40" i="7"/>
  <x:c r="R40" i="7"/>
  <x:c r="T40" i="7"/>
  <x:c r="U40" i="7"/>
  <x:c r="V40" i="7"/>
  <x:c r="X40" i="7"/>
  <x:c r="B41" i="7"/>
  <x:c r="C41" i="7"/>
  <x:c r="D41" i="7"/>
  <x:c r="E41" i="7"/>
  <x:c r="F41" i="7"/>
  <x:c r="G41" i="7"/>
  <x:c r="H41" i="7"/>
  <x:c r="J41" i="7"/>
  <x:c r="L41" i="7"/>
  <x:c r="N41" i="7"/>
  <x:c r="O41" i="7"/>
  <x:c r="P41" i="7"/>
  <x:c r="Q41" i="7"/>
  <x:c r="R41" i="7"/>
  <x:c r="T41" i="7"/>
  <x:c r="U41" i="7"/>
  <x:c r="V41" i="7"/>
  <x:c r="X41" i="7"/>
  <x:c r="B42" i="7"/>
  <x:c r="C42" i="7"/>
  <x:c r="D42" i="7"/>
  <x:c r="E42" i="7"/>
  <x:c r="F42" i="7"/>
  <x:c r="G42" i="7"/>
  <x:c r="H42" i="7"/>
  <x:c r="J42" i="7"/>
  <x:c r="L42" i="7"/>
  <x:c r="N42" i="7"/>
  <x:c r="O42" i="7"/>
  <x:c r="P42" i="7"/>
  <x:c r="Q42" i="7"/>
  <x:c r="R42" i="7"/>
  <x:c r="T42" i="7"/>
  <x:c r="U42" i="7"/>
  <x:c r="V42" i="7"/>
  <x:c r="X42" i="7"/>
  <x:c r="B43" i="7"/>
  <x:c r="C43" i="7"/>
  <x:c r="D43" i="7"/>
  <x:c r="E43" i="7"/>
  <x:c r="F43" i="7"/>
  <x:c r="G43" i="7"/>
  <x:c r="H43" i="7"/>
  <x:c r="J43" i="7"/>
  <x:c r="L43" i="7"/>
  <x:c r="N43" i="7"/>
  <x:c r="O43" i="7"/>
  <x:c r="P43" i="7"/>
  <x:c r="Q43" i="7"/>
  <x:c r="R43" i="7"/>
  <x:c r="T43" i="7"/>
  <x:c r="U43" i="7"/>
  <x:c r="V43" i="7"/>
  <x:c r="X43" i="7"/>
  <x:c r="B44" i="7"/>
  <x:c r="C44" i="7"/>
  <x:c r="D44" i="7"/>
  <x:c r="E44" i="7"/>
  <x:c r="F44" i="7"/>
  <x:c r="G44" i="7"/>
  <x:c r="H44" i="7"/>
  <x:c r="J44" i="7"/>
  <x:c r="L44" i="7"/>
  <x:c r="N44" i="7"/>
  <x:c r="O44" i="7"/>
  <x:c r="P44" i="7"/>
  <x:c r="Q44" i="7"/>
  <x:c r="R44" i="7"/>
  <x:c r="T44" i="7"/>
  <x:c r="U44" i="7"/>
  <x:c r="V44" i="7"/>
  <x:c r="X44" i="7"/>
  <x:c r="B45" i="7"/>
  <x:c r="C45" i="7"/>
  <x:c r="D45" i="7"/>
  <x:c r="E45" i="7"/>
  <x:c r="F45" i="7"/>
  <x:c r="G45" i="7"/>
  <x:c r="H45" i="7"/>
  <x:c r="J45" i="7"/>
  <x:c r="L45" i="7"/>
  <x:c r="N45" i="7"/>
  <x:c r="O45" i="7"/>
  <x:c r="P45" i="7"/>
  <x:c r="Q45" i="7"/>
  <x:c r="R45" i="7"/>
  <x:c r="T45" i="7"/>
  <x:c r="U45" i="7"/>
  <x:c r="V45" i="7"/>
  <x:c r="X45" i="7"/>
  <x:c r="B46" i="7"/>
  <x:c r="C46" i="7"/>
  <x:c r="D46" i="7"/>
  <x:c r="E46" i="7"/>
  <x:c r="F46" i="7"/>
  <x:c r="G46" i="7"/>
  <x:c r="H46" i="7"/>
  <x:c r="J46" i="7"/>
  <x:c r="L46" i="7"/>
  <x:c r="N46" i="7"/>
  <x:c r="O46" i="7"/>
  <x:c r="P46" i="7"/>
  <x:c r="Q46" i="7"/>
  <x:c r="R46" i="7"/>
  <x:c r="T46" i="7"/>
  <x:c r="U46" i="7"/>
  <x:c r="V46" i="7"/>
  <x:c r="X46" i="7"/>
  <x:c r="B47" i="7"/>
  <x:c r="C47" i="7"/>
  <x:c r="D47" i="7"/>
  <x:c r="E47" i="7"/>
  <x:c r="F47" i="7"/>
  <x:c r="G47" i="7"/>
  <x:c r="H47" i="7"/>
  <x:c r="J47" i="7"/>
  <x:c r="L47" i="7"/>
  <x:c r="N47" i="7"/>
  <x:c r="O47" i="7"/>
  <x:c r="P47" i="7"/>
  <x:c r="Q47" i="7"/>
  <x:c r="R47" i="7"/>
  <x:c r="T47" i="7"/>
  <x:c r="U47" i="7"/>
  <x:c r="V47" i="7"/>
  <x:c r="X47" i="7"/>
  <x:c r="B48" i="7"/>
  <x:c r="C48" i="7"/>
  <x:c r="D48" i="7"/>
  <x:c r="E48" i="7"/>
  <x:c r="F48" i="7"/>
  <x:c r="G48" i="7"/>
  <x:c r="H48" i="7"/>
  <x:c r="J48" i="7"/>
  <x:c r="L48" i="7"/>
  <x:c r="N48" i="7"/>
  <x:c r="O48" i="7"/>
  <x:c r="P48" i="7"/>
  <x:c r="Q48" i="7"/>
  <x:c r="R48" i="7"/>
  <x:c r="T48" i="7"/>
  <x:c r="U48" i="7"/>
  <x:c r="V48" i="7"/>
  <x:c r="X48" i="7"/>
  <x:c r="B49" i="7"/>
  <x:c r="B53" i="7"/>
  <x:c r="C53" i="7"/>
  <x:c r="D53" i="7"/>
  <x:c r="E53" i="7"/>
  <x:c r="F53" i="7"/>
  <x:c r="G53" i="7"/>
  <x:c r="H53" i="7"/>
  <x:c r="J53" i="7"/>
  <x:c r="L53" i="7"/>
  <x:c r="N53" i="7"/>
  <x:c r="O53" i="7"/>
  <x:c r="P53" i="7"/>
  <x:c r="Q53" i="7"/>
  <x:c r="R53" i="7"/>
  <x:c r="T53" i="7"/>
  <x:c r="U53" i="7"/>
  <x:c r="V53" i="7"/>
  <x:c r="X53" i="7"/>
  <x:c r="B54" i="7"/>
  <x:c r="C54" i="7"/>
  <x:c r="D54" i="7"/>
  <x:c r="E54" i="7"/>
  <x:c r="F54" i="7"/>
  <x:c r="G54" i="7"/>
  <x:c r="H54" i="7"/>
  <x:c r="J54" i="7"/>
  <x:c r="L54" i="7"/>
  <x:c r="N54" i="7"/>
  <x:c r="O54" i="7"/>
  <x:c r="P54" i="7"/>
  <x:c r="Q54" i="7"/>
  <x:c r="R54" i="7"/>
  <x:c r="T54" i="7"/>
  <x:c r="U54" i="7"/>
  <x:c r="V54" i="7"/>
  <x:c r="X54" i="7"/>
  <x:c r="B55" i="7"/>
  <x:c r="C55" i="7"/>
  <x:c r="D55" i="7"/>
  <x:c r="E55" i="7"/>
  <x:c r="F55" i="7"/>
  <x:c r="G55" i="7"/>
  <x:c r="H55" i="7"/>
  <x:c r="J55" i="7"/>
  <x:c r="L55" i="7"/>
  <x:c r="N55" i="7"/>
  <x:c r="O55" i="7"/>
  <x:c r="P55" i="7"/>
  <x:c r="Q55" i="7"/>
  <x:c r="R55" i="7"/>
  <x:c r="T55" i="7"/>
  <x:c r="U55" i="7"/>
  <x:c r="V55" i="7"/>
  <x:c r="X55" i="7"/>
  <x:c r="B56" i="7"/>
  <x:c r="C56" i="7"/>
  <x:c r="D56" i="7"/>
  <x:c r="E56" i="7"/>
  <x:c r="F56" i="7"/>
  <x:c r="G56" i="7"/>
  <x:c r="H56" i="7"/>
  <x:c r="J56" i="7"/>
  <x:c r="L56" i="7"/>
  <x:c r="N56" i="7"/>
  <x:c r="O56" i="7"/>
  <x:c r="P56" i="7"/>
  <x:c r="Q56" i="7"/>
  <x:c r="R56" i="7"/>
  <x:c r="T56" i="7"/>
  <x:c r="U56" i="7"/>
  <x:c r="V56" i="7"/>
  <x:c r="X56" i="7"/>
  <x:c r="B57" i="7"/>
  <x:c r="C57" i="7"/>
  <x:c r="D57" i="7"/>
  <x:c r="E57" i="7"/>
  <x:c r="F57" i="7"/>
  <x:c r="G57" i="7"/>
  <x:c r="H57" i="7"/>
  <x:c r="J57" i="7"/>
  <x:c r="L57" i="7"/>
  <x:c r="N57" i="7"/>
  <x:c r="O57" i="7"/>
  <x:c r="P57" i="7"/>
  <x:c r="Q57" i="7"/>
  <x:c r="R57" i="7"/>
  <x:c r="T57" i="7"/>
  <x:c r="U57" i="7"/>
  <x:c r="V57" i="7"/>
  <x:c r="X57" i="7"/>
  <x:c r="B58" i="7"/>
  <x:c r="C58" i="7"/>
  <x:c r="D58" i="7"/>
  <x:c r="E58" i="7"/>
  <x:c r="F58" i="7"/>
  <x:c r="G58" i="7"/>
  <x:c r="H58" i="7"/>
  <x:c r="J58" i="7"/>
  <x:c r="L58" i="7"/>
  <x:c r="N58" i="7"/>
  <x:c r="O58" i="7"/>
  <x:c r="P58" i="7"/>
  <x:c r="Q58" i="7"/>
  <x:c r="R58" i="7"/>
  <x:c r="T58" i="7"/>
  <x:c r="U58" i="7"/>
  <x:c r="V58" i="7"/>
  <x:c r="X58" i="7"/>
  <x:c r="B59" i="7"/>
  <x:c r="C59" i="7"/>
  <x:c r="D59" i="7"/>
  <x:c r="E59" i="7"/>
  <x:c r="F59" i="7"/>
  <x:c r="G59" i="7"/>
  <x:c r="H59" i="7"/>
  <x:c r="J59" i="7"/>
  <x:c r="L59" i="7"/>
  <x:c r="N59" i="7"/>
  <x:c r="O59" i="7"/>
  <x:c r="P59" i="7"/>
  <x:c r="Q59" i="7"/>
  <x:c r="R59" i="7"/>
  <x:c r="T59" i="7"/>
  <x:c r="U59" i="7"/>
  <x:c r="V59" i="7"/>
  <x:c r="X59" i="7"/>
  <x:c r="B60" i="7"/>
  <x:c r="B64" i="7"/>
  <x:c r="C64" i="7"/>
  <x:c r="D64" i="7"/>
  <x:c r="E64" i="7"/>
  <x:c r="F64" i="7"/>
  <x:c r="G64" i="7"/>
  <x:c r="H64" i="7"/>
  <x:c r="J64" i="7"/>
  <x:c r="L64" i="7"/>
  <x:c r="N64" i="7"/>
  <x:c r="O64" i="7"/>
  <x:c r="P64" i="7"/>
  <x:c r="Q64" i="7"/>
  <x:c r="R64" i="7"/>
  <x:c r="T64" i="7"/>
  <x:c r="U64" i="7"/>
  <x:c r="V64" i="7"/>
  <x:c r="X64" i="7"/>
  <x:c r="B65" i="7"/>
  <x:c r="C65" i="7"/>
  <x:c r="D65" i="7"/>
  <x:c r="E65" i="7"/>
  <x:c r="F65" i="7"/>
  <x:c r="G65" i="7"/>
  <x:c r="H65" i="7"/>
  <x:c r="J65" i="7"/>
  <x:c r="L65" i="7"/>
  <x:c r="N65" i="7"/>
  <x:c r="O65" i="7"/>
  <x:c r="P65" i="7"/>
  <x:c r="Q65" i="7"/>
  <x:c r="R65" i="7"/>
  <x:c r="T65" i="7"/>
  <x:c r="U65" i="7"/>
  <x:c r="V65" i="7"/>
  <x:c r="X65" i="7"/>
  <x:c r="B66" i="7"/>
  <x:c r="C66" i="7"/>
  <x:c r="D66" i="7"/>
  <x:c r="E66" i="7"/>
  <x:c r="F66" i="7"/>
  <x:c r="G66" i="7"/>
  <x:c r="H66" i="7"/>
  <x:c r="J66" i="7"/>
  <x:c r="L66" i="7"/>
  <x:c r="N66" i="7"/>
  <x:c r="O66" i="7"/>
  <x:c r="P66" i="7"/>
  <x:c r="Q66" i="7"/>
  <x:c r="R66" i="7"/>
  <x:c r="T66" i="7"/>
  <x:c r="U66" i="7"/>
  <x:c r="V66" i="7"/>
  <x:c r="X66" i="7"/>
  <x:c r="B67" i="7"/>
  <x:c r="B71" i="7"/>
  <x:c r="C71" i="7"/>
  <x:c r="D71" i="7"/>
  <x:c r="E71" i="7"/>
  <x:c r="F71" i="7"/>
  <x:c r="G71" i="7"/>
  <x:c r="H71" i="7"/>
  <x:c r="J71" i="7"/>
  <x:c r="L71" i="7"/>
  <x:c r="N71" i="7"/>
  <x:c r="O71" i="7"/>
  <x:c r="P71" i="7"/>
  <x:c r="Q71" i="7"/>
  <x:c r="R71" i="7"/>
  <x:c r="T71" i="7"/>
  <x:c r="U71" i="7"/>
  <x:c r="V71" i="7"/>
  <x:c r="X71" i="7"/>
  <x:c r="B72" i="7"/>
  <x:c r="C72" i="7"/>
  <x:c r="D72" i="7"/>
  <x:c r="E72" i="7"/>
  <x:c r="F72" i="7"/>
  <x:c r="G72" i="7"/>
  <x:c r="H72" i="7"/>
  <x:c r="J72" i="7"/>
  <x:c r="L72" i="7"/>
  <x:c r="N72" i="7"/>
  <x:c r="O72" i="7"/>
  <x:c r="P72" i="7"/>
  <x:c r="Q72" i="7"/>
  <x:c r="R72" i="7"/>
  <x:c r="T72" i="7"/>
  <x:c r="U72" i="7"/>
  <x:c r="V72" i="7"/>
  <x:c r="X72" i="7"/>
  <x:c r="B73" i="7"/>
  <x:c r="C73" i="7"/>
  <x:c r="D73" i="7"/>
  <x:c r="E73" i="7"/>
  <x:c r="F73" i="7"/>
  <x:c r="G73" i="7"/>
  <x:c r="H73" i="7"/>
  <x:c r="J73" i="7"/>
  <x:c r="L73" i="7"/>
  <x:c r="N73" i="7"/>
  <x:c r="O73" i="7"/>
  <x:c r="P73" i="7"/>
  <x:c r="Q73" i="7"/>
  <x:c r="R73" i="7"/>
  <x:c r="T73" i="7"/>
  <x:c r="U73" i="7"/>
  <x:c r="V73" i="7"/>
  <x:c r="X73" i="7"/>
  <x:c r="B74" i="7"/>
  <x:c r="C74" i="7"/>
  <x:c r="D74" i="7"/>
  <x:c r="E74" i="7"/>
  <x:c r="F74" i="7"/>
  <x:c r="G74" i="7"/>
  <x:c r="H74" i="7"/>
  <x:c r="J74" i="7"/>
  <x:c r="L74" i="7"/>
  <x:c r="N74" i="7"/>
  <x:c r="O74" i="7"/>
  <x:c r="P74" i="7"/>
  <x:c r="Q74" i="7"/>
  <x:c r="R74" i="7"/>
  <x:c r="T74" i="7"/>
  <x:c r="U74" i="7"/>
  <x:c r="V74" i="7"/>
  <x:c r="X74" i="7"/>
</x:calcChain>
</file>

<file path=xl/sharedStrings.xml><?xml version="1.0" encoding="utf-8"?>
<x:sst xmlns:x="http://schemas.openxmlformats.org/spreadsheetml/2006/main">
  <x:si>
    <x:t>Calibration Certificate</x:t>
  </x:si>
  <x:si>
    <x:t>Certificate No.:</x:t>
  </x:si>
  <x:si>
    <x:t>Customer :</x:t>
  </x:si>
  <x:si>
    <x:t>Location of Calibration :</x:t>
  </x:si>
  <x:si>
    <x:t>Manufacturer:</x:t>
  </x:si>
  <x:si>
    <x:t>Description:</x:t>
  </x:si>
  <x:si>
    <x:t>Model No:</x:t>
  </x:si>
  <x:si>
    <x:t>Options Installed:</x:t>
  </x:si>
  <x:si>
    <x:t>Serial No:</x:t>
  </x:si>
  <x:si>
    <x:t>Customer Asset No:</x:t>
  </x:si>
  <x:si>
    <x:t>Calibration Date:</x:t>
  </x:si>
  <x:si>
    <x:t>Work Order No.:</x:t>
  </x:si>
  <x:si>
    <x:t>Received Date:</x:t>
  </x:si>
  <x:si>
    <x:t>Customer P.O.:</x:t>
  </x:si>
  <x:si>
    <x:t>Temperature:</x:t>
  </x:si>
  <x:si>
    <x:t>Humidity:</x:t>
  </x:si>
  <x:si>
    <x:t>Cal Method / Procedure :</x:t>
  </x:si>
  <x:si>
    <x:t>This is to certify that the above Measuring and Test Equipment has been calibrated by SONJU Engineering Services in accordance with relevant calibration procedure defined for this instrument.</x:t>
  </x:si>
  <x:si>
    <x:t>Uncertainty:</x:t>
  </x:si>
  <x:si>
    <x: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x:t>
  </x:si>
  <x:si>
    <x:t xml:space="preserve">Traceability: </x:t>
  </x:si>
  <x:si>
    <x:t>The instrument was calibrated using reference standard/s traceable to SI Units as maintained by NML-ITDI (Philippines) through SONJU Engineering Services (Philippines)</x:t>
  </x:si>
  <x:si>
    <x:t>Reference Standard Used:</x:t>
  </x:si>
  <x:si>
    <x:t>Description</x:t>
  </x:si>
  <x:si>
    <x:t>Serial No.</x:t>
  </x:si>
  <x:si>
    <x:t>Cal Report Ref.</x:t>
  </x:si>
  <x:si>
    <x:t>Due Date</x:t>
  </x:si>
  <x:si>
    <x:t>Remarks:</x:t>
  </x:si>
  <x:si>
    <x: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x:t>
  </x:si>
  <x:si>
    <x:t>2. The user should determine the suitability of this instrument for its intended use.</x:t>
  </x:si>
  <x:si>
    <x:t>4. A positve error is to subtracted to the UUT indication and negative error added to give true value.</x:t>
  </x:si>
  <x:si>
    <x:r>
      <x:rPr>
        <x:vertAlign val="baseline"/>
        <x:sz val="10.5"/>
        <x:color theme="1"/>
        <x:rFont val="Arial Narrow"/>
        <x:family val="2"/>
      </x:rPr>
      <x:t xml:space="preserve">3. </x:t>
    </x:r>
    <x:r>
      <x:rPr>
        <x:b/>
        <x:vertAlign val="baseline"/>
        <x:sz val="10.5"/>
        <x:color theme="1"/>
        <x:rFont val="Arial Narrow"/>
        <x:family val="2"/>
      </x:rPr>
      <x:t>Preliminary Inspection</x:t>
    </x:r>
    <x:r>
      <x:rPr>
        <x:vertAlign val="baseline"/>
        <x:sz val="10.5"/>
        <x:color theme="1"/>
        <x:rFont val="Arial Narrow"/>
        <x:family val="2"/>
      </x:rPr>
      <x:t>: No response at high and low current.</x:t>
    </x:r>
  </x:si>
  <x:si>
    <x:t>5. As per customer request the  next calibration due date is on:</x:t>
  </x:si>
  <x:si>
    <x:t>Calibration Officer</x:t>
  </x:si>
  <x:si>
    <x:t>Approved Signatory</x:t>
  </x:si>
  <x:si>
    <x:t>Issue Date :</x:t>
  </x:si>
  <x:si>
    <x:t>Measurement Results:</x:t>
  </x:si>
  <x:si>
    <x:t>Range</x:t>
  </x:si>
  <x:si>
    <x:t>Nominal Value</x:t>
  </x:si>
  <x:si>
    <x:t>Measured Value</x:t>
  </x:si>
  <x:si>
    <x:t>Error</x:t>
  </x:si>
  <x:si>
    <x:t>Uncertainty</x:t>
  </x:si>
  <x:si>
    <x:t xml:space="preserve">  </x:t>
  </x:si>
  <x:si>
    <x:t>CALIBRATION DATASHEET</x:t>
  </x:si>
  <x:si>
    <x:t xml:space="preserve"> </x:t>
  </x:si>
  <x:si>
    <x:t>Technical ID:</x:t>
  </x:si>
  <x:si>
    <x:t>Unit Under Calibration</x:t>
  </x:si>
  <x:si>
    <x:t>:</x:t>
  </x:si>
  <x:si>
    <x:t>Received Date</x:t>
  </x:si>
  <x:si>
    <x:t>Manufacturer</x:t>
  </x:si>
  <x:si>
    <x:t>Calibration Date</x:t>
  </x:si>
  <x:si>
    <x:t>Model</x:t>
  </x:si>
  <x:si>
    <x:t>Options Installed</x:t>
  </x:si>
  <x:si>
    <x:t>Serial Number</x:t>
  </x:si>
  <x:si>
    <x:t>Customer P.O.</x:t>
  </x:si>
  <x:si>
    <x:t>Asset Number</x:t>
  </x:si>
  <x:si>
    <x:t>Res/Readability</x:t>
  </x:si>
  <x:si>
    <x:t>Accuracy</x:t>
  </x:si>
  <x:si>
    <x:t>Prev. SES Cal Cert:</x:t>
  </x:si>
  <x:si>
    <x:t>Previous Technician</x:t>
  </x:si>
  <x:si>
    <x:t>Customer Details</x:t>
  </x:si>
  <x:si>
    <x:t>Calibration Location</x:t>
  </x:si>
  <x:si>
    <x:t>Company</x:t>
  </x:si>
  <x:si>
    <x:t>In-House (SONJU Laboratory)</x:t>
  </x:si>
  <x:si>
    <x:t>Address</x:t>
  </x:si>
  <x:si>
    <x:t>On-Site Calibration (Please Specify)</x:t>
  </x:si>
  <x:si>
    <x:t>Reference Standard/s Used</x:t>
  </x:si>
  <x:si>
    <x:t>Accessory Used</x:t>
  </x:si>
  <x:si>
    <x:t>Brand</x:t>
  </x:si>
  <x:si>
    <x:t>Environmental Condition</x:t>
  </x:si>
  <x:si>
    <x:t>Calibration Method</x:t>
  </x:si>
  <x:si>
    <x:t>Temperature</x:t>
  </x:si>
  <x:si>
    <x:t>Relative Humidity</x:t>
  </x:si>
  <x:si>
    <x:t>As per SONJU Engineering Services Work Instruction 7W-02-54 Digital Multimeter Calibration Procedure.</x:t>
  </x:si>
  <x:si>
    <x:t>Start:</x:t>
  </x:si>
  <x:si>
    <x:t>%rh</x:t>
  </x:si>
  <x:si>
    <x:r>
      <x:rPr>
        <x:vertAlign val="superscript"/>
        <x:sz val="10"/>
        <x:color rgb="FF000000"/>
        <x:rFont val="Arial Narrow"/>
        <x:family val="2"/>
      </x:rPr>
      <x:t>o</x:t>
    </x:r>
    <x:r>
      <x:rPr>
        <x:vertAlign val="baseline"/>
        <x:sz val="10"/>
        <x:color rgb="FF000000"/>
        <x:rFont val="Arial Narrow"/>
        <x:family val="2"/>
      </x:rPr>
      <x:t>C</x:t>
    </x:r>
  </x:si>
  <x:si>
    <x:t>End:</x:t>
  </x:si>
  <x:si>
    <x:t>Observations</x:t>
  </x:si>
  <x:si>
    <x:t>Busted fused both high and low current</x:t>
  </x:si>
  <x:si>
    <x:t>Adjustment</x:t>
  </x:si>
  <x:si>
    <x:t>-</x:t>
  </x:si>
  <x:si>
    <x:t xml:space="preserve"> Needed?</x:t>
  </x:si>
  <x:si>
    <x:t>YES</x:t>
  </x:si>
  <x:si>
    <x:t>NO</x:t>
  </x:si>
  <x:si>
    <x:t>Measurement Results</x:t>
  </x:si>
  <x:si>
    <x:t>DC Voltage Test</x:t>
  </x:si>
  <x:si>
    <x:t>Based on Tolerance</x:t>
  </x:si>
  <x:si>
    <x:t xml:space="preserve">Standard </x:t>
  </x:si>
  <x:si>
    <x:t>Unit Under Test</x:t>
  </x:si>
  <x:si>
    <x:t>Expanded Uncertainty</x:t>
  </x:si>
  <x:si>
    <x:t>MINIMUM  CMC</x:t>
  </x:si>
  <x:si>
    <x:t>FINAL UNCERTAINTY DECLARATION</x:t>
  </x:si>
  <x:si>
    <x:t>Frequency</x:t>
  </x:si>
  <x:si>
    <x:t>Average</x:t>
  </x:si>
  <x:si>
    <x:t>Tolerance</x:t>
  </x:si>
  <x:si>
    <x:t>Upper Limit</x:t>
  </x:si>
  <x:si>
    <x:t>Lower Limit</x:t>
  </x:si>
  <x:si>
    <x:t>Remarks</x:t>
  </x:si>
  <x:si>
    <x:t>Source</x:t>
  </x:si>
  <x:si>
    <x:t>Unit</x:t>
  </x:si>
  <x:si>
    <x:t>Divisor</x:t>
  </x:si>
  <x:si>
    <x:t>Ui</x:t>
  </x:si>
  <x:si>
    <x:t xml:space="preserve">COMBINED STANDARD </x:t>
  </x:si>
  <x:si>
    <x:t xml:space="preserve">EFFECTIVE DEGREES </x:t>
  </x:si>
  <x:si>
    <x:t>C. FACTOR,  k = student's</x:t>
  </x:si>
  <x:si>
    <x:t xml:space="preserve">EXPANDED UNCERTAINTY, </x:t>
  </x:si>
  <x:si>
    <x:t>UNCERTAINTY, Uc</x:t>
  </x:si>
  <x:si>
    <x:t>OF FREEDOM, Veff</x:t>
  </x:si>
  <x:si>
    <x:t>t for Veff  and 95 % C.L.</x:t>
  </x:si>
  <x:si>
    <x:t xml:space="preserve">U @ 95 % C.L. ± </x:t>
  </x:si>
  <x:si>
    <x:t>600 mV</x:t>
  </x:si>
  <x:si>
    <x:t>mV</x:t>
  </x:si>
  <x:si>
    <x:t>CoC</x:t>
  </x:si>
  <x:si>
    <x:t>Annual Drift</x:t>
  </x:si>
  <x:si>
    <x:t>Readability</x:t>
  </x:si>
  <x:si>
    <x:t>Repeatability</x:t>
  </x:si>
  <x:si>
    <x:t>6 V</x:t>
  </x:si>
  <x:si>
    <x:t>V</x:t>
  </x:si>
  <x:si>
    <x:t>60 V</x:t>
  </x:si>
  <x:si>
    <x:t>600 V</x:t>
  </x:si>
  <x:si>
    <x:t>1 000 V</x:t>
  </x:si>
  <x:si>
    <x:t>AC Voltage Test</x:t>
  </x:si>
  <x:si>
    <x:t>50 Hz</x:t>
  </x:si>
  <x:si>
    <x:t>1 kHz</x:t>
  </x:si>
  <x:si>
    <x:t>Resistance Test</x:t>
  </x:si>
  <x:si>
    <x:t>600 Ω</x:t>
  </x:si>
  <x:si>
    <x:t>Ω</x:t>
  </x:si>
  <x:si>
    <x:t>6 kΩ</x:t>
  </x:si>
  <x:si>
    <x:t>kΩ</x:t>
  </x:si>
  <x:si>
    <x:t>60 kΩ</x:t>
  </x:si>
  <x:si>
    <x:t>600 kΩ</x:t>
  </x:si>
  <x:si>
    <x:t>6 MΩ</x:t>
  </x:si>
  <x:si>
    <x:t>MΩ</x:t>
  </x:si>
  <x:si>
    <x:t>50 MΩ</x:t>
  </x:si>
  <x:si>
    <x:t>DC Current Test</x:t>
  </x:si>
  <x:si>
    <x:t>µA</x:t>
  </x:si>
  <x:si>
    <x:r>
      <x:rPr>
        <x:vertAlign val="baseline"/>
        <x:sz val="10"/>
        <x:color rgb="FF000000"/>
        <x:rFont val="Arial Narrow"/>
        <x:family val="2"/>
      </x:rPr>
      <x:t xml:space="preserve">600 </x:t>
    </x:r>
    <x:r>
      <x:rPr>
        <x:vertAlign val="baseline"/>
        <x:sz val="10"/>
        <x:color rgb="FF000000"/>
        <x:rFont val="Calibri"/>
        <x:family val="2"/>
      </x:rPr>
      <x:t>µ</x:t>
    </x:r>
    <x:r>
      <x:rPr>
        <x:vertAlign val="baseline"/>
        <x:sz val="10"/>
        <x:color rgb="FF000000"/>
        <x:rFont val="Arial Narrow"/>
        <x:family val="2"/>
      </x:rPr>
      <x:t>A</x:t>
    </x:r>
  </x:si>
  <x:si>
    <x:t>60 mA</x:t>
  </x:si>
  <x:si>
    <x:r>
      <x:rPr>
        <x:vertAlign val="baseline"/>
        <x:sz val="10"/>
        <x:color rgb="FF000000"/>
        <x:rFont val="Arial Narrow"/>
        <x:family val="2"/>
      </x:rPr>
      <x:t xml:space="preserve">6 000 </x:t>
    </x:r>
    <x:r>
      <x:rPr>
        <x:vertAlign val="baseline"/>
        <x:sz val="10"/>
        <x:color rgb="FF000000"/>
        <x:rFont val="Calibri"/>
        <x:family val="2"/>
      </x:rPr>
      <x:t>µ</x:t>
    </x:r>
    <x:r>
      <x:rPr>
        <x:vertAlign val="baseline"/>
        <x:sz val="10"/>
        <x:color rgb="FF000000"/>
        <x:rFont val="Arial Narrow"/>
        <x:family val="2"/>
      </x:rPr>
      <x:t>A</x:t>
    </x:r>
  </x:si>
  <x:si>
    <x:t>mA</x:t>
  </x:si>
  <x:si>
    <x:t>400 mA</x:t>
  </x:si>
  <x:si>
    <x:t>6 A</x:t>
  </x:si>
  <x:si>
    <x:t>A</x:t>
  </x:si>
  <x:si>
    <x:t>10 A</x:t>
  </x:si>
  <x:si>
    <x:t>AC Current Test</x:t>
  </x:si>
  <x:si>
    <x:t>Calibrated By</x:t>
  </x:si>
  <x:si>
    <x:t>Darwin F. Aliado</x:t>
  </x:si>
  <x:si>
    <x:t>Calibration Officer's Name</x:t>
  </x:si>
  <x:si>
    <x:t>Signature</x:t>
  </x:si>
  <x:si>
    <x:t>Date</x:t>
  </x:si>
  <x:si>
    <x:t>Checked By</x:t>
  </x:si>
  <x:si>
    <x:t>Jennefer S. Ilas</x:t>
  </x:si>
  <x:si>
    <x:t>Interim Manager (Electrical)</x:t>
  </x:si>
  <x:si>
    <x:t>Encoded By</x:t>
  </x:si>
  <x:si>
    <x:t>PASS/FAIL ANALYSIS</x:t>
  </x:si>
  <x:si>
    <x:t>Based on +/- Uncertainty Applied</x:t>
  </x:si>
  <x:si>
    <x:t>FINAL REMARKS</x:t>
  </x:si>
  <x:si>
    <x:t>Measured Value
+ 
Uncertainty</x:t>
  </x:si>
  <x:si>
    <x:t>Measured Value
- 
Uncertainty</x:t>
  </x:si>
  <x:si>
    <x:t>Measured + Upper 
UNC</x:t>
  </x:si>
  <x:si>
    <x:t>Measured + Lower 
UNC</x:t>
  </x:si>
  <x:si>
    <x:t>0034-08-08</x:t>
  </x:si>
  <x:si>
    <x:t>DBN</x:t>
  </x:si>
  <x:si>
    <x:t>FLUKE</x:t>
  </x:si>
  <x:si>
    <x:t>0034</x:t>
  </x:si>
  <x:si>
    <x:t>See Specification Sheet</x:t>
  </x:si>
  <x:si>
    <x:t>NA</x:t>
  </x:si>
  <x:si>
    <x:t>8/5/2025</x:t>
  </x:si>
  <x:si>
    <x:t>x</x:t>
  </x:si>
  <x:si>
    <x:t/>
  </x:si>
  <x:si>
    <x:t>a</x:t>
  </x:si>
  <x:si>
    <x:t>b</x:t>
  </x:si>
  <x:si>
    <x:t>c</x:t>
  </x:si>
  <x:si>
    <x:t>d</x:t>
  </x:si>
  <x:si>
    <x:t>e</x:t>
  </x:si>
  <x:si>
    <x:t>f</x:t>
  </x:si>
  <x:si>
    <x:t>g</x:t>
  </x:si>
  <x:si>
    <x:t>1</x:t>
  </x:si>
  <x:si>
    <x:t>10</x:t>
  </x:si>
  <x:si>
    <x:t>2</x:t>
  </x:si>
  <x:si>
    <x:t>12</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</x:si>
</x:sst>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http://schemas.openxmlformats.org/spreadsheetml/2006/main" mc:Ignorable="x14ac x16r2">
  <x:numFmts count="9">
    <x:numFmt numFmtId="164" formatCode="0.0"/>
    <x:numFmt numFmtId="165" formatCode="0.0000000"/>
    <x:numFmt numFmtId="166" formatCode="0.000"/>
    <x:numFmt numFmtId="167" formatCode="[$-409]dd\-mmm\-yy;@"/>
    <x:numFmt numFmtId="168" formatCode="0.0000"/>
    <x:numFmt numFmtId="169" formatCode="0.00000"/>
    <x:numFmt numFmtId="170" formatCode="0.0E+00"/>
    <x:numFmt numFmtId="171" formatCode="0.000000"/>
    <x:numFmt numFmtId="172" formatCode="[$]dd\-mmm\-yy;@"/>
  </x:numFmts>
  <x:fonts count="27">
    <x:font>
      <x:sz val="11"/>
      <x:color theme="1"/>
      <x:name val="Calibri"/>
      <x:charset val="134"/>
      <x:scheme val="minor"/>
    </x:font>
    <x:font>
      <x:sz val="11"/>
      <x:color theme="1"/>
      <x:name val="Calibri"/>
      <x:family val="2"/>
      <x:scheme val="minor"/>
    </x:font>
    <x:font>
      <x:sz val="11"/>
      <x:color theme="1"/>
      <x:name val="Calibri"/>
      <x:family val="2"/>
      <x:scheme val="minor"/>
    </x:font>
    <x:font>
      <x:sz val="9"/>
      <x:color theme="1"/>
      <x:name val="Calibri"/>
      <x:family val="2"/>
    </x:font>
    <x:font>
      <x:sz val="10"/>
      <x:color theme="1"/>
      <x:name val="Arial Narrow"/>
      <x:family val="2"/>
    </x:font>
    <x:font>
      <x:b/>
      <x:sz val="10"/>
      <x:color theme="1"/>
      <x:name val="Arial Narrow"/>
      <x:family val="2"/>
    </x:font>
    <x:font>
      <x:b/>
      <x:sz val="10"/>
      <x:name val="Arial Narrow"/>
      <x:family val="2"/>
    </x:font>
    <x:font>
      <x:sz val="10"/>
      <x:name val="Arial Narrow"/>
      <x:family val="2"/>
    </x:font>
    <x:font>
      <x:sz val="9"/>
      <x:name val="Arial Narrow"/>
      <x:family val="2"/>
    </x:font>
    <x:font>
      <x:sz val="10"/>
      <x:name val="Arial"/>
      <x:family val="2"/>
    </x:font>
    <x:font>
      <x:b/>
      <x:sz val="10.5"/>
      <x:color theme="1"/>
      <x:name val="Arial Narrow"/>
      <x:family val="2"/>
    </x:font>
    <x:font>
      <x:sz val="10.5"/>
      <x:color theme="1"/>
      <x:name val="Arial Narrow"/>
      <x:family val="2"/>
    </x:font>
    <x:font>
      <x:b/>
      <x:sz val="20"/>
      <x:color theme="1"/>
      <x:name val="Arial "/>
    </x:font>
    <x:font>
      <x:sz val="11"/>
      <x:color rgb="FF9C0006"/>
      <x:name val="Calibri"/>
      <x:family val="2"/>
      <x:scheme val="minor"/>
    </x:font>
    <x:font>
      <x:sz val="10.5"/>
      <x:color theme="0"/>
      <x:name val="Arial Narrow"/>
      <x:family val="2"/>
    </x:font>
    <x:font>
      <x:b/>
      <x:sz val="10.5"/>
      <x:name val="Arial Narrow"/>
      <x:family val="2"/>
    </x:font>
    <x:font>
      <x:sz val="10.5"/>
      <x:name val="Arial Narrow"/>
      <x:family val="2"/>
    </x:font>
    <x:font>
      <x:sz val="11"/>
      <x:name val="Calibri"/>
      <x:family val="2"/>
      <x:scheme val="minor"/>
    </x:font>
    <x:font>
      <x:sz val="1"/>
      <x:name val="Calibri"/>
      <x:family val="2"/>
      <x:scheme val="minor"/>
    </x:font>
    <x:font>
      <x:b/>
      <x:sz val="14"/>
      <x:name val="Times New Roman"/>
      <x:family val="1"/>
    </x:font>
    <x:font>
      <x:sz val="9"/>
      <x:name val="Calibri"/>
      <x:family val="2"/>
    </x:font>
    <x:font>
      <x:sz val="10"/>
      <x:name val="Calibri"/>
      <x:family val="2"/>
    </x:font>
    <x:font>
      <x:vertAlign val="superscript"/>
      <x:sz val="10"/>
      <x:name val="Arial Narrow"/>
      <x:family val="2"/>
    </x:font>
    <x:font>
      <x:i/>
      <x:sz val="9"/>
      <x:name val="Calibri"/>
      <x:family val="2"/>
    </x:font>
    <x:font>
      <x:sz val="11"/>
      <x:name val="Arial"/>
      <x:family val="2"/>
    </x:font>
    <x:font>
      <x:b/>
      <x:sz val="9"/>
      <x:name val="Arial Narrow"/>
      <x:family val="2"/>
    </x:font>
    <x:font>
      <x:vertAlign val="baseline"/>
      <x:sz val="11"/>
      <x:color rgb="FF000000"/>
      <x:name val="Calibri"/>
      <x:family val="2"/>
    </x:font>
  </x:fonts>
  <x:fills count="7">
    <x:fill>
      <x:patternFill patternType="none"/>
    </x:fill>
    <x:fill>
      <x:patternFill patternType="gray125"/>
    </x:fill>
    <x:fill>
      <x:patternFill patternType="solid">
        <x:fgColor theme="3" tint="0.39994506668294322"/>
        <x:bgColor indexed="64"/>
      </x:patternFill>
    </x:fill>
    <x:fill>
      <x:patternFill patternType="solid">
        <x:fgColor theme="1" tint="0.249977111117893"/>
        <x:bgColor indexed="64"/>
      </x:patternFill>
    </x:fill>
    <x:fill>
      <x:patternFill patternType="solid">
        <x:fgColor rgb="FFFFC7CE"/>
      </x:patternFill>
    </x:fill>
    <x:fill>
      <x:patternFill patternType="solid">
        <x:fgColor theme="0"/>
        <x:bgColor indexed="64"/>
      </x:patternFill>
    </x:fill>
    <x:fill>
      <x:patternFill patternType="solid">
        <x:fgColor theme="0" tint="-0.34998626667073579"/>
        <x:bgColor indexed="64"/>
      </x:patternFill>
    </x:fill>
  </x:fills>
  <x:borders count="102">
    <x:border>
      <x:left/>
      <x:right/>
      <x:top/>
      <x:bottom/>
      <x:diagonal/>
    </x:border>
    <x:border>
      <x:left/>
      <x:right/>
      <x:top/>
      <x:bottom style="thin">
        <x:color theme="0" tint="-0.499984740745262"/>
      </x:bottom>
      <x:diagonal/>
    </x:border>
    <x:border>
      <x:left/>
      <x:right/>
      <x:top style="thin">
        <x:color theme="0" tint="-0.499984740745262"/>
      </x:top>
      <x:bottom/>
      <x:diagonal/>
    </x:border>
    <x:border>
      <x:left/>
      <x:right/>
      <x:top/>
      <x:bottom style="thin">
        <x:color auto="1"/>
      </x:bottom>
      <x:diagonal/>
    </x:border>
    <x:border>
      <x:left/>
      <x:right/>
      <x:top style="thin">
        <x:color auto="1"/>
      </x:top>
      <x:bottom/>
      <x:diagonal/>
    </x:border>
    <x:border>
      <x:left/>
      <x:right/>
      <x:top style="thin">
        <x:color theme="0" tint="-0.499984740745262"/>
      </x:top>
      <x:bottom style="thin">
        <x:color theme="0" tint="-0.499984740745262"/>
      </x:bottom>
      <x:diagonal/>
    </x:border>
    <x:border>
      <x:left/>
      <x:right/>
      <x:top style="thin">
        <x:color theme="0" tint="-0.499984740745262"/>
      </x:top>
      <x:bottom style="thin">
        <x:color auto="1"/>
      </x:bottom>
      <x:diagonal/>
    </x:border>
    <x:border>
      <x:left/>
      <x:right/>
      <x:top style="thin">
        <x:color auto="1"/>
      </x:top>
      <x:bottom style="thin">
        <x:color auto="1"/>
      </x:bottom>
      <x:diagonal/>
    </x:border>
    <x:border>
      <x:left style="dashed">
        <x:color auto="1"/>
      </x:left>
      <x:right style="dashed">
        <x:color auto="1"/>
      </x:right>
      <x:top style="dashed">
        <x:color auto="1"/>
      </x:top>
      <x:bottom style="dashed">
        <x:color auto="1"/>
      </x:bottom>
      <x:diagonal/>
    </x:border>
    <x:border>
      <x:left style="dashed">
        <x:color auto="1"/>
      </x:left>
      <x:right/>
      <x:top style="dashed">
        <x:color auto="1"/>
      </x:top>
      <x:bottom/>
      <x:diagonal/>
    </x:border>
    <x:border>
      <x:left/>
      <x:right/>
      <x:top style="dashed">
        <x:color auto="1"/>
      </x:top>
      <x:bottom/>
      <x:diagonal/>
    </x:border>
    <x:border>
      <x:left style="dashed">
        <x:color auto="1"/>
      </x:left>
      <x:right/>
      <x:top/>
      <x:bottom/>
      <x:diagonal/>
    </x:border>
    <x:border>
      <x:left style="dashed">
        <x:color auto="1"/>
      </x:left>
      <x:right/>
      <x:top/>
      <x:bottom style="dashed">
        <x:color auto="1"/>
      </x:bottom>
      <x:diagonal/>
    </x:border>
    <x:border>
      <x:left/>
      <x:right/>
      <x:top/>
      <x:bottom style="dashed">
        <x:color auto="1"/>
      </x:bottom>
      <x:diagonal/>
    </x:border>
    <x:border>
      <x:left/>
      <x:right style="thin">
        <x:color theme="0" tint="-0.499984740745262"/>
      </x:right>
      <x:top style="thin">
        <x:color theme="0" tint="-0.499984740745262"/>
      </x:top>
      <x:bottom style="thin">
        <x:color theme="0" tint="-0.499984740745262"/>
      </x:bottom>
      <x:diagonal/>
    </x:border>
    <x:border>
      <x:left/>
      <x:right style="dashed">
        <x:color auto="1"/>
      </x:right>
      <x:top style="dashed">
        <x:color auto="1"/>
      </x:top>
      <x:bottom/>
      <x:diagonal/>
    </x:border>
    <x:border>
      <x:left style="dashed">
        <x:color auto="1"/>
      </x:left>
      <x:right/>
      <x:top style="dashed">
        <x:color auto="1"/>
      </x:top>
      <x:bottom style="dashed">
        <x:color auto="1"/>
      </x:bottom>
      <x:diagonal/>
    </x:border>
    <x:border>
      <x:left/>
      <x:right/>
      <x:top style="dashed">
        <x:color auto="1"/>
      </x:top>
      <x:bottom style="dashed">
        <x:color auto="1"/>
      </x:bottom>
      <x:diagonal/>
    </x:border>
    <x:border>
      <x:left/>
      <x:right style="dashed">
        <x:color auto="1"/>
      </x:right>
      <x:top/>
      <x:bottom/>
      <x:diagonal/>
    </x:border>
    <x:border>
      <x:left/>
      <x:right style="dashed">
        <x:color auto="1"/>
      </x:right>
      <x:top/>
      <x:bottom style="dashed">
        <x:color auto="1"/>
      </x:bottom>
      <x:diagonal/>
    </x:border>
    <x:border>
      <x:left style="thin">
        <x:color theme="0" tint="-0.499984740745262"/>
      </x:left>
      <x:right/>
      <x:top style="thin">
        <x:color theme="0" tint="-0.499984740745262"/>
      </x:top>
      <x:bottom/>
      <x:diagonal/>
    </x:border>
    <x:border>
      <x:left style="thin">
        <x:color theme="0" tint="-0.499984740745262"/>
      </x:left>
      <x:right/>
      <x:top style="thin">
        <x:color theme="0" tint="-0.499984740745262"/>
      </x:top>
      <x:bottom style="thin">
        <x:color theme="0" tint="-0.499984740745262"/>
      </x:bottom>
      <x:diagonal/>
    </x:border>
    <x:border>
      <x:left/>
      <x:right style="dashed">
        <x:color auto="1"/>
      </x:right>
      <x:top style="dashed">
        <x:color auto="1"/>
      </x:top>
      <x:bottom style="dashed">
        <x:color auto="1"/>
      </x:bottom>
      <x:diagonal/>
    </x:border>
    <x:border>
      <x:left/>
      <x:right style="thin">
        <x:color theme="0" tint="-0.499984740745262"/>
      </x:right>
      <x:top/>
      <x:bottom/>
      <x:diagonal/>
    </x:border>
    <x:border>
      <x:left style="thin">
        <x:color theme="0" tint="-0.499984740745262"/>
      </x:left>
      <x:right/>
      <x:top/>
      <x:bottom/>
      <x:diagonal/>
    </x:border>
    <x:border>
      <x:left/>
      <x:right style="thin">
        <x:color theme="0" tint="-0.499984740745262"/>
      </x:right>
      <x:top/>
      <x:bottom style="thin">
        <x:color theme="0" tint="-0.499984740745262"/>
      </x:bottom>
      <x:diagonal/>
    </x:border>
    <x:border>
      <x:left/>
      <x:right style="thin">
        <x:color theme="0" tint="-0.499984740745262"/>
      </x:right>
      <x:top style="thin">
        <x:color theme="0" tint="-0.499984740745262"/>
      </x:top>
      <x:bottom/>
      <x:diagonal/>
    </x:border>
    <x:border>
      <x:left/>
      <x:right style="thin">
        <x:color theme="0" tint="-0.34998626667073579"/>
      </x:right>
      <x:top/>
      <x:bottom/>
      <x:diagonal/>
    </x:border>
    <x:border>
      <x:left style="thin">
        <x:color theme="0" tint="-0.34998626667073579"/>
      </x:left>
      <x:right/>
      <x:top/>
      <x:bottom/>
      <x:diagonal/>
    </x:border>
    <x:border>
      <x:left/>
      <x:right style="thin">
        <x:color theme="0" tint="-0.34998626667073579"/>
      </x:right>
      <x:top/>
      <x:bottom style="thin">
        <x:color theme="0" tint="-0.499984740745262"/>
      </x:bottom>
      <x:diagonal/>
    </x:border>
    <x:border>
      <x:left style="thin">
        <x:color theme="0" tint="-0.34998626667073579"/>
      </x:left>
      <x:right/>
      <x:top/>
      <x:bottom style="thin">
        <x:color theme="0" tint="-0.499984740745262"/>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style="thin">
        <x:color auto="1"/>
      </x:left>
      <x:right/>
      <x:top style="thin">
        <x:color auto="1"/>
      </x:top>
      <x:bottom/>
      <x:diagonal/>
    </x:border>
    <x:border>
      <x:left style="thin">
        <x:color auto="1"/>
      </x:left>
      <x:right/>
      <x:top/>
      <x:bottom style="thin">
        <x:color auto="1"/>
      </x:bottom>
      <x:diagonal/>
    </x:border>
    <x:border>
      <x:left/>
      <x:right style="thin">
        <x:color auto="1"/>
      </x:right>
      <x:top style="thin">
        <x:color auto="1"/>
      </x:top>
      <x:bottom/>
      <x:diagonal/>
    </x:border>
    <x:border>
      <x:left/>
      <x:right style="thin">
        <x:color auto="1"/>
      </x:right>
      <x:top/>
      <x:bottom style="thin">
        <x:color auto="1"/>
      </x:bottom>
      <x:diagonal/>
    </x:border>
    <x:border>
      <x:left style="thin">
        <x:color auto="1"/>
      </x:left>
      <x:right/>
      <x:top/>
      <x:bottom/>
      <x:diagonal/>
    </x:border>
    <x:border>
      <x:left/>
      <x:right style="thin">
        <x:color auto="1"/>
      </x:right>
      <x:top/>
      <x:bottom/>
      <x:diagonal/>
    </x:border>
    <x:border>
      <x:left style="thin">
        <x:color auto="1"/>
      </x:left>
      <x:right style="thin">
        <x:color auto="1"/>
      </x:right>
      <x:top style="thin">
        <x:color auto="1"/>
      </x:top>
      <x:bottom/>
      <x:diagonal/>
    </x:border>
    <x:border>
      <x:left style="medium">
        <x:color auto="1"/>
      </x:left>
      <x:right/>
      <x:top style="medium">
        <x:color auto="1"/>
      </x:top>
      <x:bottom/>
      <x:diagonal/>
    </x:border>
    <x:border>
      <x:left/>
      <x:right/>
      <x:top style="medium">
        <x:color auto="1"/>
      </x:top>
      <x:bottom/>
      <x:diagonal/>
    </x:border>
    <x:border>
      <x:left/>
      <x:right style="medium">
        <x:color auto="1"/>
      </x:right>
      <x:top style="medium">
        <x:color auto="1"/>
      </x:top>
      <x:bottom/>
      <x:diagonal/>
    </x:border>
    <x:border>
      <x:left style="medium">
        <x:color auto="1"/>
      </x:left>
      <x:right/>
      <x:top/>
      <x:bottom/>
      <x:diagonal/>
    </x:border>
    <x:border>
      <x:left/>
      <x:right style="medium">
        <x:color auto="1"/>
      </x:right>
      <x:top/>
      <x:bottom/>
      <x:diagonal/>
    </x:border>
    <x:border>
      <x:left style="medium">
        <x:color auto="1"/>
      </x:left>
      <x:right/>
      <x:top/>
      <x:bottom style="thin">
        <x:color theme="0" tint="-0.499984740745262"/>
      </x:bottom>
      <x:diagonal/>
    </x:border>
    <x:border>
      <x:left/>
      <x:right style="medium">
        <x:color auto="1"/>
      </x:right>
      <x:top/>
      <x:bottom style="thin">
        <x:color theme="0" tint="-0.499984740745262"/>
      </x:bottom>
      <x:diagonal/>
    </x:border>
    <x:border>
      <x:left/>
      <x:right style="medium">
        <x:color auto="1"/>
      </x:right>
      <x:top style="thin">
        <x:color theme="0" tint="-0.499984740745262"/>
      </x:top>
      <x:bottom/>
      <x:diagonal/>
    </x:border>
    <x:border>
      <x:left/>
      <x:right style="medium">
        <x:color auto="1"/>
      </x:right>
      <x:top/>
      <x:bottom style="thin">
        <x:color auto="1"/>
      </x:bottom>
      <x:diagonal/>
    </x:border>
    <x:border>
      <x:left/>
      <x:right style="medium">
        <x:color auto="1"/>
      </x:right>
      <x:top style="thin">
        <x:color auto="1"/>
      </x:top>
      <x:bottom/>
      <x:diagonal/>
    </x:border>
    <x:border>
      <x:left style="medium">
        <x:color auto="1"/>
      </x:left>
      <x:right/>
      <x:top style="thin">
        <x:color theme="0" tint="-0.499984740745262"/>
      </x:top>
      <x:bottom/>
      <x:diagonal/>
    </x:border>
    <x:border>
      <x:left style="medium">
        <x:color auto="1"/>
      </x:left>
      <x:right/>
      <x:top style="thin">
        <x:color theme="0" tint="-0.499984740745262"/>
      </x:top>
      <x:bottom style="thin">
        <x:color theme="0" tint="-0.499984740745262"/>
      </x:bottom>
      <x:diagonal/>
    </x:border>
    <x:border>
      <x:left/>
      <x:right style="medium">
        <x:color auto="1"/>
      </x:right>
      <x:top style="thin">
        <x:color theme="0" tint="-0.499984740745262"/>
      </x:top>
      <x:bottom style="thin">
        <x:color theme="0" tint="-0.499984740745262"/>
      </x:bottom>
      <x:diagonal/>
    </x:border>
    <x:border>
      <x:left style="medium">
        <x:color auto="1"/>
      </x:left>
      <x:right/>
      <x:top/>
      <x:bottom style="medium">
        <x:color auto="1"/>
      </x:bottom>
      <x:diagonal/>
    </x:border>
    <x:border>
      <x:left/>
      <x:right/>
      <x:top/>
      <x:bottom style="medium">
        <x:color auto="1"/>
      </x:bottom>
      <x:diagonal/>
    </x:border>
    <x:border>
      <x:left/>
      <x:right style="thin">
        <x:color theme="0" tint="-0.499984740745262"/>
      </x:right>
      <x:top/>
      <x:bottom style="medium">
        <x:color auto="1"/>
      </x:bottom>
      <x:diagonal/>
    </x:border>
    <x:border>
      <x:left/>
      <x:right style="thin">
        <x:color theme="0" tint="-0.34998626667073579"/>
      </x:right>
      <x:top/>
      <x:bottom style="medium">
        <x:color auto="1"/>
      </x:bottom>
      <x:diagonal/>
    </x:border>
    <x:border>
      <x:left style="thin">
        <x:color theme="0" tint="-0.34998626667073579"/>
      </x:left>
      <x:right/>
      <x:top/>
      <x:bottom style="medium">
        <x:color auto="1"/>
      </x:bottom>
      <x:diagonal/>
    </x:border>
    <x:border>
      <x:left/>
      <x:right style="medium">
        <x:color auto="1"/>
      </x:right>
      <x:top/>
      <x:bottom style="medium">
        <x:color auto="1"/>
      </x:bottom>
      <x:diagonal/>
    </x:border>
    <x:border>
      <x:left style="medium">
        <x:color auto="1"/>
      </x:left>
      <x:right style="thin">
        <x:color auto="1"/>
      </x:right>
      <x:top style="medium">
        <x:color auto="1"/>
      </x:top>
      <x:bottom style="medium">
        <x:color auto="1"/>
      </x:bottom>
      <x:diagonal/>
    </x:border>
    <x:border>
      <x:left style="thin">
        <x:color auto="1"/>
      </x:left>
      <x:right style="thin">
        <x:color auto="1"/>
      </x:right>
      <x:top style="medium">
        <x:color auto="1"/>
      </x:top>
      <x:bottom style="medium">
        <x:color auto="1"/>
      </x:bottom>
      <x:diagonal/>
    </x:border>
    <x:border>
      <x:left style="thin">
        <x:color auto="1"/>
      </x:left>
      <x:right style="medium">
        <x:color auto="1"/>
      </x:right>
      <x:top style="medium">
        <x:color auto="1"/>
      </x:top>
      <x:bottom style="medium">
        <x:color auto="1"/>
      </x:bottom>
      <x:diagonal/>
    </x:border>
    <x:border>
      <x:left style="medium">
        <x:color auto="1"/>
      </x:left>
      <x:right/>
      <x:top style="medium">
        <x:color auto="1"/>
      </x:top>
      <x:bottom style="medium">
        <x:color auto="1"/>
      </x:bottom>
      <x:diagonal/>
    </x:border>
    <x:border>
      <x:left/>
      <x:right/>
      <x:top style="medium">
        <x:color auto="1"/>
      </x:top>
      <x:bottom style="medium">
        <x:color auto="1"/>
      </x:bottom>
      <x:diagonal/>
    </x:border>
    <x:border>
      <x:left/>
      <x:right style="medium">
        <x:color auto="1"/>
      </x:right>
      <x:top style="medium">
        <x:color auto="1"/>
      </x:top>
      <x:bottom style="medium">
        <x:color auto="1"/>
      </x:bottom>
      <x:diagonal/>
    </x:border>
    <x:border>
      <x:left/>
      <x:right style="thin">
        <x:color theme="0" tint="-0.24994659260841701"/>
      </x:right>
      <x:top style="medium">
        <x:color auto="1"/>
      </x:top>
      <x:bottom/>
      <x:diagonal/>
    </x:border>
    <x:border>
      <x:left style="thin">
        <x:color theme="0" tint="-0.24994659260841701"/>
      </x:left>
      <x:right/>
      <x:top style="medium">
        <x:color auto="1"/>
      </x:top>
      <x:bottom/>
      <x:diagonal/>
    </x:border>
    <x:border>
      <x:left/>
      <x:right style="thin">
        <x:color theme="0" tint="-0.24994659260841701"/>
      </x:right>
      <x:top/>
      <x:bottom/>
      <x:diagonal/>
    </x:border>
    <x:border>
      <x:left style="thin">
        <x:color theme="0" tint="-0.24994659260841701"/>
      </x:left>
      <x:right/>
      <x:top/>
      <x:bottom/>
      <x:diagonal/>
    </x:border>
    <x:border>
      <x:left/>
      <x:right style="thin">
        <x:color theme="0" tint="-0.24994659260841701"/>
      </x:right>
      <x:top/>
      <x:bottom style="medium">
        <x:color auto="1"/>
      </x:bottom>
      <x:diagonal/>
    </x:border>
    <x:border>
      <x:left style="thin">
        <x:color theme="0" tint="-0.24994659260841701"/>
      </x:left>
      <x:right/>
      <x:top/>
      <x:bottom style="medium">
        <x:color auto="1"/>
      </x:bottom>
      <x:diagonal/>
    </x:border>
    <x:border>
      <x:left style="dashed">
        <x:color auto="1"/>
      </x:left>
      <x:right style="dashed">
        <x:color auto="1"/>
      </x:right>
      <x:top/>
      <x:bottom style="dashed">
        <x:color auto="1"/>
      </x:bottom>
      <x:diagonal/>
    </x:border>
    <x:border>
      <x:left style="medium">
        <x:color auto="1"/>
      </x:left>
      <x:right style="dashed">
        <x:color auto="1"/>
      </x:right>
      <x:top style="medium">
        <x:color auto="1"/>
      </x:top>
      <x:bottom style="medium">
        <x:color auto="1"/>
      </x:bottom>
      <x:diagonal/>
    </x:border>
    <x:border>
      <x:left style="dashed">
        <x:color auto="1"/>
      </x:left>
      <x:right style="dashed">
        <x:color auto="1"/>
      </x:right>
      <x:top style="medium">
        <x:color auto="1"/>
      </x:top>
      <x:bottom style="medium">
        <x:color auto="1"/>
      </x:bottom>
      <x:diagonal/>
    </x:border>
    <x:border>
      <x:left style="dashed">
        <x:color auto="1"/>
      </x:left>
      <x:right style="medium">
        <x:color auto="1"/>
      </x:right>
      <x:top style="medium">
        <x:color auto="1"/>
      </x:top>
      <x:bottom style="medium">
        <x:color auto="1"/>
      </x:bottom>
      <x:diagonal/>
    </x:border>
    <x:border>
      <x:left style="medium">
        <x:color auto="1"/>
      </x:left>
      <x:right style="dashed">
        <x:color auto="1"/>
      </x:right>
      <x:top style="medium">
        <x:color auto="1"/>
      </x:top>
      <x:bottom style="dashed">
        <x:color auto="1"/>
      </x:bottom>
      <x:diagonal/>
    </x:border>
    <x:border>
      <x:left style="dashed">
        <x:color auto="1"/>
      </x:left>
      <x:right style="dashed">
        <x:color auto="1"/>
      </x:right>
      <x:top style="medium">
        <x:color auto="1"/>
      </x:top>
      <x:bottom style="dashed">
        <x:color auto="1"/>
      </x:bottom>
      <x:diagonal/>
    </x:border>
    <x:border>
      <x:left style="dashed">
        <x:color auto="1"/>
      </x:left>
      <x:right style="medium">
        <x:color auto="1"/>
      </x:right>
      <x:top style="medium">
        <x:color auto="1"/>
      </x:top>
      <x:bottom style="dashed">
        <x:color auto="1"/>
      </x:bottom>
      <x:diagonal/>
    </x:border>
    <x:border>
      <x:left style="medium">
        <x:color auto="1"/>
      </x:left>
      <x:right style="dashed">
        <x:color auto="1"/>
      </x:right>
      <x:top style="dashed">
        <x:color auto="1"/>
      </x:top>
      <x:bottom style="dashed">
        <x:color auto="1"/>
      </x:bottom>
      <x:diagonal/>
    </x:border>
    <x:border>
      <x:left style="dashed">
        <x:color auto="1"/>
      </x:left>
      <x:right style="medium">
        <x:color auto="1"/>
      </x:right>
      <x:top style="dashed">
        <x:color auto="1"/>
      </x:top>
      <x:bottom style="dashed">
        <x:color auto="1"/>
      </x:bottom>
      <x:diagonal/>
    </x:border>
    <x:border>
      <x:left style="medium">
        <x:color auto="1"/>
      </x:left>
      <x:right style="dashed">
        <x:color auto="1"/>
      </x:right>
      <x:top style="dashed">
        <x:color auto="1"/>
      </x:top>
      <x:bottom style="medium">
        <x:color auto="1"/>
      </x:bottom>
      <x:diagonal/>
    </x:border>
    <x:border>
      <x:left style="dashed">
        <x:color auto="1"/>
      </x:left>
      <x:right style="dashed">
        <x:color auto="1"/>
      </x:right>
      <x:top style="dashed">
        <x:color auto="1"/>
      </x:top>
      <x:bottom style="medium">
        <x:color auto="1"/>
      </x:bottom>
      <x:diagonal/>
    </x:border>
    <x:border>
      <x:left style="dashed">
        <x:color auto="1"/>
      </x:left>
      <x:right style="medium">
        <x:color auto="1"/>
      </x:right>
      <x:top style="dashed">
        <x:color auto="1"/>
      </x:top>
      <x:bottom style="medium">
        <x:color auto="1"/>
      </x:bottom>
      <x:diagonal/>
    </x:border>
    <x:border>
      <x:left style="medium">
        <x:color auto="1"/>
      </x:left>
      <x:right style="dashed">
        <x:color auto="1"/>
      </x:right>
      <x:top/>
      <x:bottom style="dashed">
        <x:color auto="1"/>
      </x:bottom>
      <x:diagonal/>
    </x:border>
    <x:border>
      <x:left style="dashed">
        <x:color auto="1"/>
      </x:left>
      <x:right style="medium">
        <x:color auto="1"/>
      </x:right>
      <x:top/>
      <x:bottom style="dashed">
        <x:color auto="1"/>
      </x:bottom>
      <x:diagonal/>
    </x:border>
    <x:border>
      <x:left style="medium">
        <x:color auto="1"/>
      </x:left>
      <x:right style="medium">
        <x:color auto="1"/>
      </x:right>
      <x:top style="medium">
        <x:color auto="1"/>
      </x:top>
      <x:bottom style="dashed">
        <x:color auto="1"/>
      </x:bottom>
      <x:diagonal/>
    </x:border>
    <x:border>
      <x:left style="medium">
        <x:color auto="1"/>
      </x:left>
      <x:right style="medium">
        <x:color auto="1"/>
      </x:right>
      <x:top style="dashed">
        <x:color auto="1"/>
      </x:top>
      <x:bottom style="dashed">
        <x:color auto="1"/>
      </x:bottom>
      <x:diagonal/>
    </x:border>
    <x:border>
      <x:left style="medium">
        <x:color auto="1"/>
      </x:left>
      <x:right style="medium">
        <x:color auto="1"/>
      </x:right>
      <x:top style="dashed">
        <x:color auto="1"/>
      </x:top>
      <x:bottom style="medium">
        <x:color auto="1"/>
      </x:bottom>
      <x:diagonal/>
    </x:border>
    <x:border>
      <x:left style="dashed">
        <x:color auto="1"/>
      </x:left>
      <x:right/>
      <x:top style="medium">
        <x:color auto="1"/>
      </x:top>
      <x:bottom style="dashed">
        <x:color auto="1"/>
      </x:bottom>
      <x:diagonal/>
    </x:border>
    <x:border>
      <x:left style="dashed">
        <x:color auto="1"/>
      </x:left>
      <x:right/>
      <x:top style="dashed">
        <x:color auto="1"/>
      </x:top>
      <x:bottom style="medium">
        <x:color auto="1"/>
      </x:bottom>
      <x:diagonal/>
    </x:border>
    <x:border>
      <x:left style="dashed">
        <x:color auto="1"/>
      </x:left>
      <x:right style="dashed">
        <x:color auto="1"/>
      </x:right>
      <x:top style="medium">
        <x:color auto="1"/>
      </x:top>
      <x:bottom/>
      <x:diagonal/>
    </x:border>
    <x:border>
      <x:left/>
      <x:right/>
      <x:top/>
      <x:bottom style="medium">
        <x:color theme="0" tint="-0.499984740745262"/>
      </x:bottom>
      <x:diagonal/>
    </x:border>
    <x:border>
      <x:left style="dashed">
        <x:color auto="1"/>
      </x:left>
      <x:right style="dashed">
        <x:color auto="1"/>
      </x:right>
      <x:top style="dashed">
        <x:color auto="1"/>
      </x:top>
      <x:bottom/>
      <x:diagonal/>
    </x:border>
    <x:border>
      <x:left style="dashed">
        <x:color auto="1"/>
      </x:left>
      <x:right style="medium">
        <x:color auto="1"/>
      </x:right>
      <x:top style="dashed">
        <x:color auto="1"/>
      </x:top>
      <x:bottom/>
      <x:diagonal/>
    </x:border>
    <x:border>
      <x:left style="medium">
        <x:color auto="1"/>
      </x:left>
      <x:right style="medium">
        <x:color auto="1"/>
      </x:right>
      <x:top style="dashed">
        <x:color auto="1"/>
      </x:top>
      <x:bottom/>
      <x:diagonal/>
    </x:border>
    <x:border>
      <x:left style="medium">
        <x:color auto="1"/>
      </x:left>
      <x:right style="medium">
        <x:color auto="1"/>
      </x:right>
      <x:top/>
      <x:bottom style="dashed">
        <x:color auto="1"/>
      </x:bottom>
      <x:diagonal/>
    </x:border>
    <x:border>
      <x:left style="medium">
        <x:color auto="1"/>
      </x:left>
      <x:right style="dashed">
        <x:color auto="1"/>
      </x:right>
      <x:top style="dashed">
        <x:color auto="1"/>
      </x:top>
      <x:bottom/>
      <x:diagonal/>
    </x:border>
    <x:border>
      <x:left style="dashed">
        <x:color auto="1"/>
      </x:left>
      <x:right style="medium">
        <x:color auto="1"/>
      </x:right>
      <x:top/>
      <x:bottom style="medium">
        <x:color auto="1"/>
      </x:bottom>
      <x:diagonal/>
    </x:border>
    <x:border>
      <x:left style="medium">
        <x:color auto="1"/>
      </x:left>
      <x:right style="medium">
        <x:color auto="1"/>
      </x:right>
      <x:top/>
      <x:bottom style="medium">
        <x:color auto="1"/>
      </x:bottom>
      <x:diagonal/>
    </x:border>
    <x:border>
      <x:left style="dashed">
        <x:color auto="1"/>
      </x:left>
      <x:right style="dashed">
        <x:color auto="1"/>
      </x:right>
      <x:top/>
      <x:bottom/>
      <x:diagonal/>
    </x:border>
    <x:border>
      <x:left style="medium">
        <x:color auto="1"/>
      </x:left>
      <x:right style="dashed">
        <x:color auto="1"/>
      </x:right>
      <x:top/>
      <x:bottom style="medium">
        <x:color auto="1"/>
      </x:bottom>
      <x:diagonal/>
    </x:border>
  </x:borders>
  <x:cellStyleXfs count="385">
    <x:xf numFmtId="0" fontId="0" fillId="0" borderId="0"/>
    <x:xf numFmtId="0" fontId="9" fillId="0" borderId="0"/>
    <x:xf numFmtId="0" fontId="9" fillId="0" borderId="0"/>
    <x:xf numFmtId="0" fontId="13" fillId="4" borderId="0" applyNumberFormat="0" applyBorder="0" applyAlignment="0" applyProtection="0"/>
    <x:xf numFmtId="0" fontId="2" fillId="0" borderId="0"/>
    <x:xf numFmtId="0" fontId="1" fillId="0" borderId="0"/>
    <x:xf numFmtId="0" fontId="11" fillId="0" borderId="0" applyNumberFormat="1" applyFill="1" applyBorder="0" applyAlignment="1" applyProtection="1">
      <x:protection locked="1" hidden="0"/>
    </x:xf>
    <x:xf numFmtId="0" fontId="11" fillId="3" borderId="0" applyNumberFormat="1" applyFill="0" applyBorder="0" applyAlignment="1" applyProtection="1">
      <x:protection locked="1" hidden="0"/>
    </x:xf>
    <x:xf numFmtId="0" fontId="11" fillId="0" borderId="0" applyNumberFormat="1" applyFill="1" applyBorder="0" applyAlignment="1" applyProtection="1">
      <x:protection locked="0" hidden="0"/>
    </x:xf>
    <x:xf numFmtId="0" fontId="14" fillId="0" borderId="0" applyNumberFormat="1" applyFill="1" applyBorder="0" applyAlignment="1" applyProtection="1">
      <x:protection locked="1" hidden="0"/>
    </x:xf>
    <x:xf numFmtId="0" fontId="12"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1" fontId="11" fillId="0" borderId="0" applyNumberFormat="1" applyFill="1" applyBorder="0" applyAlignment="1" applyProtection="1">
      <x:protection locked="1" hidden="0"/>
    </x:xf>
    <x:xf numFmtId="172" fontId="11" fillId="0" borderId="0" applyNumberFormat="1" applyFill="1" applyBorder="0" applyAlignment="1" applyProtection="1">
      <x:protection locked="1" hidden="0"/>
    </x:xf>
    <x:xf numFmtId="167" fontId="11" fillId="0" borderId="0" applyNumberFormat="1" applyFill="1" applyBorder="0" applyAlignment="1" applyProtection="1">
      <x:protection locked="1" hidden="0"/>
    </x:xf>
    <x:xf numFmtId="0" fontId="11" fillId="3" borderId="0" applyNumberFormat="1" applyFill="0" applyBorder="0" applyAlignment="1" applyProtection="1">
      <x:protection locked="0" hidden="0"/>
    </x:xf>
    <x:xf numFmtId="0" fontId="10" fillId="0" borderId="0" applyNumberFormat="1" applyFill="1" applyBorder="0" applyAlignment="1" applyProtection="1">
      <x:protection locked="0" hidden="0"/>
    </x:xf>
    <x:xf numFmtId="0" fontId="10" fillId="0" borderId="31" applyNumberFormat="1" applyFill="1" applyBorder="1" applyAlignment="1" applyProtection="1">
      <x:protection locked="1" hidden="0"/>
    </x:xf>
    <x:xf numFmtId="0" fontId="11" fillId="0" borderId="31" applyNumberFormat="1" applyFill="1" applyBorder="1" applyAlignment="1" applyProtection="1">
      <x:protection locked="1" hidden="0"/>
    </x:xf>
    <x:xf numFmtId="1" fontId="11" fillId="0" borderId="31" applyNumberFormat="1" applyFill="1" applyBorder="1" applyAlignment="1" applyProtection="1">
      <x:protection locked="1" hidden="0"/>
    </x:xf>
    <x:xf numFmtId="167" fontId="11" fillId="0" borderId="31" applyNumberFormat="1" applyFill="1" applyBorder="1" applyAlignment="1" applyProtection="1">
      <x:protection locked="1" hidden="0"/>
    </x:xf>
    <x:xf numFmtId="167" fontId="10" fillId="0" borderId="0" applyNumberFormat="1" applyFill="1" applyBorder="0" applyAlignment="1" applyProtection="1">
      <x:protection locked="1" hidden="0"/>
    </x:xf>
    <x:xf numFmtId="167" fontId="11" fillId="0" borderId="0" applyNumberFormat="1" applyFill="1" applyBorder="0" applyAlignment="1" applyProtection="1">
      <x:protection locked="0" hidden="0"/>
    </x:xf>
    <x:xf numFmtId="0" fontId="11" fillId="0" borderId="32" applyNumberFormat="1" applyFill="1" applyBorder="1" applyAlignment="1" applyProtection="1">
      <x:protection locked="1" hidden="0"/>
    </x:xf>
    <x:xf numFmtId="0" fontId="11" fillId="0" borderId="7" applyNumberFormat="1" applyFill="1" applyBorder="1" applyAlignment="1" applyProtection="1">
      <x:protection locked="1" hidden="0"/>
    </x:xf>
    <x:xf numFmtId="0" fontId="11" fillId="0" borderId="33" applyNumberFormat="1" applyFill="1" applyBorder="1" applyAlignment="1" applyProtection="1">
      <x:protection locked="1" hidden="0"/>
    </x:xf>
    <x:xf numFmtId="2" fontId="11" fillId="0" borderId="34" applyNumberFormat="1" applyFill="1" applyBorder="1" applyAlignment="1" applyProtection="1">
      <x:protection locked="1" hidden="0"/>
    </x:xf>
    <x:xf numFmtId="2" fontId="11" fillId="0" borderId="4" applyNumberFormat="1" applyFill="1" applyBorder="1" applyAlignment="1" applyProtection="1">
      <x:protection locked="1" hidden="0"/>
    </x:xf>
    <x:xf numFmtId="2" fontId="11" fillId="0" borderId="36" applyNumberFormat="1" applyFill="1" applyBorder="1" applyAlignment="1" applyProtection="1">
      <x:protection locked="1" hidden="0"/>
    </x:xf>
    <x:xf numFmtId="2" fontId="11" fillId="0" borderId="31" applyNumberFormat="1" applyFill="1" applyBorder="1" applyAlignment="1" applyProtection="1">
      <x:protection locked="1" hidden="0"/>
    </x:xf>
    <x:xf numFmtId="2" fontId="11" fillId="0" borderId="35" applyNumberFormat="1" applyFill="1" applyBorder="1" applyAlignment="1" applyProtection="1">
      <x:protection locked="1" hidden="0"/>
    </x:xf>
    <x:xf numFmtId="2" fontId="11" fillId="0" borderId="3" applyNumberFormat="1" applyFill="1" applyBorder="1" applyAlignment="1" applyProtection="1">
      <x:protection locked="1" hidden="0"/>
    </x:xf>
    <x:xf numFmtId="2" fontId="11" fillId="0" borderId="37" applyNumberFormat="1" applyFill="1" applyBorder="1" applyAlignment="1" applyProtection="1">
      <x:protection locked="1" hidden="0"/>
    </x:xf>
    <x:xf numFmtId="2" fontId="11" fillId="0" borderId="0" applyNumberFormat="1" applyFill="1" applyBorder="0" applyAlignment="1" applyProtection="1">
      <x:protection locked="1" hidden="0"/>
    </x:xf>
    <x:xf numFmtId="0" fontId="14" fillId="3" borderId="0" applyNumberFormat="1" applyFill="0" applyBorder="0" applyAlignment="1" applyProtection="1">
      <x:protection locked="1" hidden="0"/>
    </x:xf>
    <x:xf numFmtId="0" fontId="15" fillId="0" borderId="0" applyNumberFormat="1" applyFill="1" applyBorder="0" applyAlignment="1" applyProtection="1">
      <x:protection locked="1" hidden="0"/>
    </x:xf>
    <x:xf numFmtId="0" fontId="16" fillId="0" borderId="0" applyNumberFormat="1" applyFill="1" applyBorder="0" applyAlignment="1" applyProtection="1">
      <x:protection locked="1" hidden="0"/>
    </x:xf>
    <x:xf numFmtId="0" fontId="15" fillId="0" borderId="31" applyNumberFormat="1" applyFill="1" applyBorder="1" applyAlignment="1" applyProtection="1">
      <x:protection locked="1" hidden="0"/>
    </x:xf>
    <x:xf numFmtId="0" fontId="16" fillId="0" borderId="32" applyNumberFormat="1" applyFill="1" applyBorder="1" applyAlignment="1" applyProtection="1">
      <x:protection locked="1" hidden="0"/>
    </x:xf>
    <x:xf numFmtId="0" fontId="16" fillId="0" borderId="7" applyNumberFormat="1" applyFill="1" applyBorder="1" applyAlignment="1" applyProtection="1">
      <x:protection locked="1" hidden="0"/>
    </x:xf>
    <x:xf numFmtId="0" fontId="16" fillId="0" borderId="33" applyNumberFormat="1" applyFill="1" applyBorder="1" applyAlignment="1" applyProtection="1">
      <x:protection locked="1" hidden="0"/>
    </x:xf>
    <x:xf numFmtId="2" fontId="16" fillId="0" borderId="31" applyNumberFormat="1" applyFill="1" applyBorder="1" applyAlignment="1" applyProtection="1">
      <x:protection locked="1" hidden="0"/>
    </x:xf>
    <x:xf numFmtId="0" fontId="16" fillId="0" borderId="34" applyNumberFormat="1" applyFill="1" applyBorder="1" applyAlignment="1" applyProtection="1">
      <x:protection locked="1" hidden="0"/>
    </x:xf>
    <x:xf numFmtId="0" fontId="16" fillId="0" borderId="4" applyNumberFormat="1" applyFill="1" applyBorder="1" applyAlignment="1" applyProtection="1">
      <x:protection locked="1" hidden="0"/>
    </x:xf>
    <x:xf numFmtId="0" fontId="16" fillId="0" borderId="36" applyNumberFormat="1" applyFill="1" applyBorder="1" applyAlignment="1" applyProtection="1">
      <x:protection locked="1" hidden="0"/>
    </x:xf>
    <x:xf numFmtId="0" fontId="16" fillId="0" borderId="35" applyNumberFormat="1" applyFill="1" applyBorder="1" applyAlignment="1" applyProtection="1">
      <x:protection locked="1" hidden="0"/>
    </x:xf>
    <x:xf numFmtId="0" fontId="16" fillId="0" borderId="3" applyNumberFormat="1" applyFill="1" applyBorder="1" applyAlignment="1" applyProtection="1">
      <x:protection locked="1" hidden="0"/>
    </x:xf>
    <x:xf numFmtId="0" fontId="16" fillId="0" borderId="37" applyNumberFormat="1" applyFill="1" applyBorder="1" applyAlignment="1" applyProtection="1">
      <x:protection locked="1" hidden="0"/>
    </x:xf>
    <x:xf numFmtId="0" fontId="15" fillId="0" borderId="34" applyNumberFormat="1" applyFill="1" applyBorder="1" applyAlignment="1" applyProtection="1">
      <x:protection locked="1" hidden="0"/>
    </x:xf>
    <x:xf numFmtId="0" fontId="15" fillId="0" borderId="4" applyNumberFormat="1" applyFill="1" applyBorder="1" applyAlignment="1" applyProtection="1">
      <x:protection locked="1" hidden="0"/>
    </x:xf>
    <x:xf numFmtId="0" fontId="15" fillId="0" borderId="36" applyNumberFormat="1" applyFill="1" applyBorder="1" applyAlignment="1" applyProtection="1">
      <x:protection locked="1" hidden="0"/>
    </x:xf>
    <x:xf numFmtId="0" fontId="15" fillId="0" borderId="35" applyNumberFormat="1" applyFill="1" applyBorder="1" applyAlignment="1" applyProtection="1">
      <x:protection locked="1" hidden="0"/>
    </x:xf>
    <x:xf numFmtId="0" fontId="15" fillId="0" borderId="3" applyNumberFormat="1" applyFill="1" applyBorder="1" applyAlignment="1" applyProtection="1">
      <x:protection locked="1" hidden="0"/>
    </x:xf>
    <x:xf numFmtId="0" fontId="15" fillId="0" borderId="37" applyNumberFormat="1" applyFill="1" applyBorder="1" applyAlignment="1" applyProtection="1">
      <x:protection locked="1" hidden="0"/>
    </x:xf>
    <x:xf numFmtId="2" fontId="16" fillId="0" borderId="32" applyNumberFormat="1" applyFill="1" applyBorder="1" applyAlignment="1" applyProtection="1">
      <x:protection locked="1" hidden="0"/>
    </x:xf>
    <x:xf numFmtId="2" fontId="16" fillId="0" borderId="7" applyNumberFormat="1" applyFill="1" applyBorder="1" applyAlignment="1" applyProtection="1">
      <x:protection locked="1" hidden="0"/>
    </x:xf>
    <x:xf numFmtId="2" fontId="16" fillId="0" borderId="33" applyNumberFormat="1" applyFill="1" applyBorder="1" applyAlignment="1" applyProtection="1">
      <x:protection locked="1" hidden="0"/>
    </x:xf>
    <x:xf numFmtId="2" fontId="16" fillId="0" borderId="34" applyNumberFormat="1" applyFill="1" applyBorder="1" applyAlignment="1" applyProtection="1">
      <x:protection locked="1" hidden="0"/>
    </x:xf>
    <x:xf numFmtId="2" fontId="16" fillId="0" borderId="4" applyNumberFormat="1" applyFill="1" applyBorder="1" applyAlignment="1" applyProtection="1">
      <x:protection locked="1" hidden="0"/>
    </x:xf>
    <x:xf numFmtId="2" fontId="16" fillId="0" borderId="36" applyNumberFormat="1" applyFill="1" applyBorder="1" applyAlignment="1" applyProtection="1">
      <x:protection locked="1" hidden="0"/>
    </x:xf>
    <x:xf numFmtId="2" fontId="16" fillId="0" borderId="35" applyNumberFormat="1" applyFill="1" applyBorder="1" applyAlignment="1" applyProtection="1">
      <x:protection locked="1" hidden="0"/>
    </x:xf>
    <x:xf numFmtId="2" fontId="16" fillId="0" borderId="3" applyNumberFormat="1" applyFill="1" applyBorder="1" applyAlignment="1" applyProtection="1">
      <x:protection locked="1" hidden="0"/>
    </x:xf>
    <x:xf numFmtId="2" fontId="16" fillId="0" borderId="37" applyNumberFormat="1" applyFill="1" applyBorder="1" applyAlignment="1" applyProtection="1">
      <x:protection locked="1" hidden="0"/>
    </x:xf>
    <x:xf numFmtId="0" fontId="17" fillId="0" borderId="0" applyNumberFormat="1" applyFill="1" applyBorder="0" applyAlignment="1" applyProtection="1">
      <x:protection locked="1" hidden="0"/>
    </x:xf>
    <x:xf numFmtId="0" fontId="17" fillId="2" borderId="0" applyNumberFormat="1" applyFill="0" applyBorder="0" applyAlignment="1" applyProtection="1">
      <x:protection locked="1" hidden="0"/>
    </x:xf>
    <x:xf numFmtId="0" fontId="20" fillId="0" borderId="0" applyNumberFormat="1" applyFill="1" applyBorder="0" applyAlignment="1" applyProtection="1">
      <x:protection locked="1" hidden="0"/>
    </x:xf>
    <x:xf numFmtId="0" fontId="7" fillId="0" borderId="0" applyNumberFormat="1" applyFill="1" applyBorder="0" applyAlignment="1" applyProtection="1">
      <x:protection locked="1" hidden="0"/>
    </x:xf>
    <x:xf numFmtId="0" fontId="24" fillId="0" borderId="0" applyNumberFormat="1" applyFill="1" applyBorder="0" applyAlignment="1" applyProtection="1">
      <x:protection locked="1" hidden="0"/>
    </x:xf>
    <x:xf numFmtId="0" fontId="17" fillId="5" borderId="41" applyNumberFormat="1" applyFill="0" applyBorder="1" applyAlignment="1" applyProtection="1">
      <x:protection locked="1" hidden="0"/>
    </x:xf>
    <x:xf numFmtId="0" fontId="17" fillId="5" borderId="42" applyNumberFormat="1" applyFill="0" applyBorder="1" applyAlignment="1" applyProtection="1">
      <x:protection locked="1" hidden="0"/>
    </x:xf>
    <x:xf numFmtId="0" fontId="17" fillId="5" borderId="43" applyNumberFormat="1" applyFill="0" applyBorder="1" applyAlignment="1" applyProtection="1">
      <x:protection locked="1" hidden="0"/>
    </x:xf>
    <x:xf numFmtId="0" fontId="17" fillId="5" borderId="44" applyNumberFormat="1" applyFill="0" applyBorder="1" applyAlignment="1" applyProtection="1">
      <x:protection locked="1" hidden="0"/>
    </x:xf>
    <x:xf numFmtId="0" fontId="17" fillId="5" borderId="0" applyNumberFormat="1" applyFill="0" applyBorder="0" applyAlignment="1" applyProtection="1">
      <x:protection locked="1" hidden="0"/>
    </x:xf>
    <x:xf numFmtId="0" fontId="17" fillId="5" borderId="45" applyNumberFormat="1" applyFill="0" applyBorder="1" applyAlignment="1" applyProtection="1">
      <x:protection locked="1" hidden="0"/>
    </x:xf>
    <x:xf numFmtId="0" fontId="18" fillId="5" borderId="0" applyNumberFormat="1" applyFill="0" applyBorder="0" applyAlignment="1" applyProtection="1">
      <x:protection locked="1" hidden="0"/>
    </x:xf>
    <x:xf numFmtId="0" fontId="19" fillId="5" borderId="44" applyNumberFormat="1" applyFill="0" applyBorder="1" applyAlignment="1" applyProtection="1">
      <x:protection locked="1" hidden="0"/>
    </x:xf>
    <x:xf numFmtId="0" fontId="17" fillId="5" borderId="46" applyNumberFormat="1" applyFill="0" applyBorder="1" applyAlignment="1" applyProtection="1">
      <x:protection locked="1" hidden="0"/>
    </x:xf>
    <x:xf numFmtId="0" fontId="17" fillId="5" borderId="1" applyNumberFormat="1" applyFill="0" applyBorder="1" applyAlignment="1" applyProtection="1">
      <x:protection locked="1" hidden="0"/>
    </x:xf>
    <x:xf numFmtId="0" fontId="17" fillId="5" borderId="47" applyNumberFormat="1" applyFill="0" applyBorder="1" applyAlignment="1" applyProtection="1">
      <x:protection locked="1" hidden="0"/>
    </x:xf>
    <x:xf numFmtId="0" fontId="20" fillId="2" borderId="0" applyNumberFormat="1" applyFill="0" applyBorder="0" applyAlignment="1" applyProtection="1">
      <x:protection locked="1" hidden="0"/>
    </x:xf>
    <x:xf numFmtId="0" fontId="7" fillId="5" borderId="44" applyNumberFormat="1" applyFill="0" applyBorder="1" applyAlignment="1" applyProtection="1">
      <x:protection locked="1" hidden="0"/>
    </x:xf>
    <x:xf numFmtId="0" fontId="7" fillId="5" borderId="0" applyNumberFormat="1" applyFill="0" applyBorder="0" applyAlignment="1" applyProtection="1">
      <x:protection locked="1" hidden="0"/>
    </x:xf>
    <x:xf numFmtId="0" fontId="7" fillId="5" borderId="2" applyNumberFormat="1" applyFill="0" applyBorder="1" applyAlignment="1" applyProtection="1">
      <x:protection locked="1" hidden="0"/>
    </x:xf>
    <x:xf numFmtId="0" fontId="7" fillId="5" borderId="45" applyNumberFormat="1" applyFill="0" applyBorder="1" applyAlignment="1" applyProtection="1">
      <x:protection locked="1" hidden="0"/>
    </x:xf>
    <x:xf numFmtId="0" fontId="8" fillId="2" borderId="0" applyNumberFormat="1" applyFill="0" applyBorder="0" applyAlignment="1" applyProtection="1">
      <x:protection locked="1" hidden="0"/>
    </x:xf>
    <x:xf numFmtId="0" fontId="6" fillId="6" borderId="63" applyNumberFormat="1" applyFill="0" applyBorder="1" applyAlignment="1" applyProtection="1">
      <x:protection locked="1" hidden="0"/>
    </x:xf>
    <x:xf numFmtId="0" fontId="6" fillId="6" borderId="64" applyNumberFormat="1" applyFill="0" applyBorder="1" applyAlignment="1" applyProtection="1">
      <x:protection locked="1" hidden="0"/>
    </x:xf>
    <x:xf numFmtId="0" fontId="6" fillId="6" borderId="65" applyNumberFormat="1" applyFill="0" applyBorder="1" applyAlignment="1" applyProtection="1">
      <x:protection locked="1" hidden="0"/>
    </x:xf>
    <x:xf numFmtId="0" fontId="6" fillId="5" borderId="0" applyNumberFormat="1" applyFill="0" applyBorder="0" applyAlignment="1" applyProtection="1">
      <x:protection locked="1" hidden="0"/>
    </x:xf>
    <x:xf numFmtId="167" fontId="7" fillId="5" borderId="0" applyNumberFormat="1" applyFill="0" applyBorder="0" applyAlignment="1" applyProtection="1">
      <x:protection locked="1" hidden="0"/>
    </x:xf>
    <x:xf numFmtId="167" fontId="7" fillId="5" borderId="45" applyNumberFormat="1" applyFill="0" applyBorder="1" applyAlignment="1" applyProtection="1">
      <x:protection locked="1" hidden="0"/>
    </x:xf>
    <x:xf numFmtId="0" fontId="6" fillId="5" borderId="3" applyNumberFormat="1" applyFill="0" applyBorder="1" applyAlignment="1" applyProtection="1">
      <x:protection locked="1" hidden="0"/>
    </x:xf>
    <x:xf numFmtId="167" fontId="7" fillId="5" borderId="3" applyNumberFormat="1" applyFill="0" applyBorder="1" applyAlignment="1" applyProtection="1">
      <x:protection locked="1" hidden="0"/>
    </x:xf>
    <x:xf numFmtId="167" fontId="7" fillId="5" borderId="49" applyNumberFormat="1" applyFill="0" applyBorder="1" applyAlignment="1" applyProtection="1">
      <x:protection locked="1" hidden="0"/>
    </x:xf>
    <x:xf numFmtId="0" fontId="7" fillId="5" borderId="4" applyNumberFormat="1" applyFill="0" applyBorder="1" applyAlignment="1" applyProtection="1">
      <x:protection locked="1" hidden="0"/>
    </x:xf>
    <x:xf numFmtId="167" fontId="7" fillId="5" borderId="2" applyNumberFormat="1" applyFill="0" applyBorder="1" applyAlignment="1" applyProtection="1">
      <x:protection locked="1" hidden="0"/>
    </x:xf>
    <x:xf numFmtId="167" fontId="7" fillId="5" borderId="48" applyNumberFormat="1" applyFill="0" applyBorder="1" applyAlignment="1" applyProtection="1">
      <x:protection locked="1" hidden="0"/>
    </x:xf>
    <x:xf numFmtId="0" fontId="7" fillId="5" borderId="3" applyNumberFormat="1" applyFill="0" applyBorder="1" applyAlignment="1" applyProtection="1">
      <x:protection locked="1" hidden="0"/>
    </x:xf>
    <x:xf numFmtId="0" fontId="7" fillId="5" borderId="50" applyNumberFormat="1" applyFill="0" applyBorder="1" applyAlignment="1" applyProtection="1">
      <x:protection locked="1" hidden="0"/>
    </x:xf>
    <x:xf numFmtId="0" fontId="7" fillId="5" borderId="49" applyNumberFormat="1" applyFill="0" applyBorder="1" applyAlignment="1" applyProtection="1">
      <x:protection locked="1" hidden="0"/>
    </x:xf>
    <x:xf numFmtId="0" fontId="7" fillId="5" borderId="4" quotePrefix="1" applyNumberFormat="1" applyFill="0" applyBorder="1" applyAlignment="1" applyProtection="1">
      <x:protection locked="1" hidden="0"/>
    </x:xf>
    <x:xf numFmtId="0" fontId="6" fillId="6" borderId="60" applyNumberFormat="1" applyFill="0" applyBorder="1" applyAlignment="1" applyProtection="1">
      <x:protection locked="1" hidden="0"/>
    </x:xf>
    <x:xf numFmtId="0" fontId="6" fillId="6" borderId="61" applyNumberFormat="1" applyFill="0" applyBorder="1" applyAlignment="1" applyProtection="1">
      <x:protection locked="1" hidden="0"/>
    </x:xf>
    <x:xf numFmtId="0" fontId="6" fillId="6" borderId="62" applyNumberFormat="1" applyFill="0" applyBorder="1" applyAlignment="1" applyProtection="1">
      <x:protection locked="1" hidden="0"/>
    </x:xf>
    <x:xf numFmtId="0" fontId="25" fillId="5" borderId="2" applyNumberFormat="1" applyFill="0" applyBorder="1" applyAlignment="1" applyProtection="1">
      <x:protection locked="1" hidden="0"/>
    </x:xf>
    <x:xf numFmtId="0" fontId="7" fillId="5" borderId="66" applyNumberFormat="1" applyFill="0" applyBorder="1" applyAlignment="1" applyProtection="1">
      <x:protection locked="1" hidden="0"/>
    </x:xf>
    <x:xf numFmtId="0" fontId="7" fillId="5" borderId="67" applyNumberFormat="1" applyFill="0" applyBorder="1" applyAlignment="1" applyProtection="1">
      <x:protection locked="1" hidden="0"/>
    </x:xf>
    <x:xf numFmtId="0" fontId="25" fillId="5" borderId="3" applyNumberFormat="1" applyFill="0" applyBorder="1" applyAlignment="1" applyProtection="1">
      <x:protection locked="1" hidden="0"/>
    </x:xf>
    <x:xf numFmtId="0" fontId="7" fillId="5" borderId="68" applyNumberFormat="1" applyFill="0" applyBorder="1" applyAlignment="1" applyProtection="1">
      <x:protection locked="1" hidden="0"/>
    </x:xf>
    <x:xf numFmtId="0" fontId="7" fillId="5" borderId="69" applyNumberFormat="1" applyFill="0" applyBorder="1" applyAlignment="1" applyProtection="1">
      <x:protection locked="1" hidden="0"/>
    </x:xf>
    <x:xf numFmtId="0" fontId="8" fillId="5" borderId="4" applyNumberFormat="1" applyFill="0" applyBorder="1" applyAlignment="1" applyProtection="1">
      <x:protection locked="1" hidden="0"/>
    </x:xf>
    <x:xf numFmtId="0" fontId="8" fillId="5" borderId="0" applyNumberFormat="1" applyFill="0" applyBorder="0" applyAlignment="1" applyProtection="1">
      <x:protection locked="1" hidden="0"/>
    </x:xf>
    <x:xf numFmtId="0" fontId="8" fillId="5" borderId="92" applyNumberFormat="1" applyFill="0" applyBorder="1" applyAlignment="1" applyProtection="1">
      <x:protection locked="1" hidden="0"/>
    </x:xf>
    <x:xf numFmtId="0" fontId="7" fillId="5" borderId="70" applyNumberFormat="1" applyFill="0" applyBorder="1" applyAlignment="1" applyProtection="1">
      <x:protection locked="1" hidden="0"/>
    </x:xf>
    <x:xf numFmtId="0" fontId="7" fillId="5" borderId="71" applyNumberFormat="1" applyFill="0" applyBorder="1" applyAlignment="1" applyProtection="1">
      <x:protection locked="1" hidden="0"/>
    </x:xf>
    <x:xf numFmtId="0" fontId="6" fillId="5" borderId="44" applyNumberFormat="1" applyFill="0" applyBorder="1" applyAlignment="1" applyProtection="1">
      <x:protection locked="1" hidden="0"/>
    </x:xf>
    <x:xf numFmtId="0" fontId="6" fillId="5" borderId="24" applyNumberFormat="1" applyFill="0" applyBorder="1" applyAlignment="1" applyProtection="1">
      <x:protection locked="1" hidden="0"/>
    </x:xf>
    <x:xf numFmtId="0" fontId="6" fillId="5" borderId="23" applyNumberFormat="1" applyFill="0" applyBorder="1" applyAlignment="1" applyProtection="1">
      <x:protection locked="1" hidden="0"/>
    </x:xf>
    <x:xf numFmtId="0" fontId="6" fillId="5" borderId="45" applyNumberFormat="1" applyFill="0" applyBorder="1" applyAlignment="1" applyProtection="1">
      <x:protection locked="1" hidden="0"/>
    </x:xf>
    <x:xf numFmtId="0" fontId="8" fillId="5" borderId="52" applyNumberFormat="1" applyFill="0" applyBorder="1" applyAlignment="1" applyProtection="1">
      <x:protection locked="1" hidden="0"/>
    </x:xf>
    <x:xf numFmtId="0" fontId="8" fillId="5" borderId="5" applyNumberFormat="1" applyFill="0" applyBorder="1" applyAlignment="1" applyProtection="1">
      <x:protection locked="1" hidden="0"/>
    </x:xf>
    <x:xf numFmtId="0" fontId="8" fillId="5" borderId="14" applyNumberFormat="1" applyFill="0" applyBorder="1" applyAlignment="1" applyProtection="1">
      <x:protection locked="1" hidden="0"/>
    </x:xf>
    <x:xf numFmtId="0" fontId="8" fillId="5" borderId="21" applyNumberFormat="1" applyFill="0" applyBorder="1" applyAlignment="1" applyProtection="1">
      <x:protection locked="1" hidden="0"/>
    </x:xf>
    <x:xf numFmtId="1" fontId="8" fillId="5" borderId="21" applyNumberFormat="1" applyFill="0" applyBorder="1" applyAlignment="1" applyProtection="1">
      <x:protection locked="1" hidden="0"/>
    </x:xf>
    <x:xf numFmtId="1" fontId="8" fillId="5" borderId="5" applyNumberFormat="1" applyFill="0" applyBorder="1" applyAlignment="1" applyProtection="1">
      <x:protection locked="1" hidden="0"/>
    </x:xf>
    <x:xf numFmtId="1" fontId="8" fillId="5" borderId="14" applyNumberFormat="1" applyFill="0" applyBorder="1" applyAlignment="1" applyProtection="1">
      <x:protection locked="1" hidden="0"/>
    </x:xf>
    <x:xf numFmtId="167" fontId="8" fillId="5" borderId="21" applyNumberFormat="1" applyFill="0" applyBorder="1" applyAlignment="1" applyProtection="1">
      <x:protection locked="1" hidden="0"/>
    </x:xf>
    <x:xf numFmtId="167" fontId="8" fillId="5" borderId="5" applyNumberFormat="1" applyFill="0" applyBorder="1" applyAlignment="1" applyProtection="1">
      <x:protection locked="1" hidden="0"/>
    </x:xf>
    <x:xf numFmtId="167" fontId="8" fillId="5" borderId="53" applyNumberFormat="1" applyFill="0" applyBorder="1" applyAlignment="1" applyProtection="1">
      <x:protection locked="1" hidden="0"/>
    </x:xf>
    <x:xf numFmtId="0" fontId="8" fillId="5" borderId="51" applyNumberFormat="1" applyFill="0" applyBorder="1" applyAlignment="1" applyProtection="1">
      <x:protection locked="1" hidden="0"/>
    </x:xf>
    <x:xf numFmtId="0" fontId="8" fillId="5" borderId="2" applyNumberFormat="1" applyFill="0" applyBorder="1" applyAlignment="1" applyProtection="1">
      <x:protection locked="1" hidden="0"/>
    </x:xf>
    <x:xf numFmtId="0" fontId="8" fillId="5" borderId="20" applyNumberFormat="1" applyFill="0" applyBorder="1" applyAlignment="1" applyProtection="1">
      <x:protection locked="1" hidden="0"/>
    </x:xf>
    <x:xf numFmtId="0" fontId="8" fillId="5" borderId="26" applyNumberFormat="1" applyFill="0" applyBorder="1" applyAlignment="1" applyProtection="1">
      <x:protection locked="1" hidden="0"/>
    </x:xf>
    <x:xf numFmtId="15" fontId="8" fillId="5" borderId="2" applyNumberFormat="1" applyFill="0" applyBorder="1" applyAlignment="1" applyProtection="1">
      <x:protection locked="1" hidden="0"/>
    </x:xf>
    <x:xf numFmtId="0" fontId="8" fillId="5" borderId="48" applyNumberFormat="1" applyFill="0" applyBorder="1" applyAlignment="1" applyProtection="1">
      <x:protection locked="1" hidden="0"/>
    </x:xf>
    <x:xf numFmtId="0" fontId="7" fillId="5" borderId="51" quotePrefix="1" applyNumberFormat="1" applyFill="0" applyBorder="1" applyAlignment="1" applyProtection="1">
      <x:protection locked="1" hidden="0"/>
    </x:xf>
    <x:xf numFmtId="0" fontId="7" fillId="5" borderId="20" quotePrefix="1" applyNumberFormat="1" applyFill="0" applyBorder="1" applyAlignment="1" applyProtection="1">
      <x:protection locked="1" hidden="0"/>
    </x:xf>
    <x:xf numFmtId="0" fontId="7" fillId="5" borderId="26" applyNumberFormat="1" applyFill="0" applyBorder="1" applyAlignment="1" applyProtection="1">
      <x:protection locked="1" hidden="0"/>
    </x:xf>
    <x:xf numFmtId="0" fontId="7" fillId="5" borderId="2" quotePrefix="1" applyNumberFormat="1" applyFill="0" applyBorder="1" applyAlignment="1" applyProtection="1">
      <x:protection locked="1" hidden="0"/>
    </x:xf>
    <x:xf numFmtId="0" fontId="7" fillId="5" borderId="48" applyNumberFormat="1" applyFill="0" applyBorder="1" applyAlignment="1" applyProtection="1">
      <x:protection locked="1" hidden="0"/>
    </x:xf>
    <x:xf numFmtId="0" fontId="7" fillId="5" borderId="51" applyNumberFormat="1" applyFill="0" applyBorder="1" applyAlignment="1" applyProtection="1">
      <x:protection locked="1" hidden="0"/>
    </x:xf>
    <x:xf numFmtId="0" fontId="7" fillId="5" borderId="20" applyNumberFormat="1" applyFill="0" applyBorder="1" applyAlignment="1" applyProtection="1">
      <x:protection locked="1" hidden="0"/>
    </x:xf>
    <x:xf numFmtId="0" fontId="21" fillId="5" borderId="0" applyNumberFormat="1" applyFill="0" applyBorder="0" applyAlignment="1" applyProtection="1">
      <x:protection locked="1" hidden="0"/>
    </x:xf>
    <x:xf numFmtId="0" fontId="7" fillId="5" borderId="24" applyNumberFormat="1" applyFill="0" applyBorder="1" applyAlignment="1" applyProtection="1">
      <x:protection locked="1" hidden="0"/>
    </x:xf>
    <x:xf numFmtId="164" fontId="7" fillId="5" borderId="3" applyNumberFormat="1" applyFill="0" applyBorder="1" applyAlignment="1" applyProtection="1">
      <x:protection locked="1" hidden="0"/>
    </x:xf>
    <x:xf numFmtId="20" fontId="7" fillId="5" borderId="0" applyNumberFormat="1" applyFill="0" applyBorder="0" applyAlignment="1" applyProtection="1">
      <x:protection locked="1" hidden="0"/>
    </x:xf>
    <x:xf numFmtId="164" fontId="7" fillId="5" borderId="7" applyNumberFormat="1" applyFill="0" applyBorder="1" applyAlignment="1" applyProtection="1">
      <x:protection locked="1" hidden="0"/>
    </x:xf>
    <x:xf numFmtId="0" fontId="7" fillId="5" borderId="23" applyNumberFormat="1" applyFill="0" applyBorder="1" applyAlignment="1" applyProtection="1">
      <x:protection locked="1" hidden="0"/>
    </x:xf>
    <x:xf numFmtId="0" fontId="7" fillId="5" borderId="6" applyNumberFormat="1" applyFill="0" applyBorder="1" applyAlignment="1" applyProtection="1">
      <x:protection locked="1" hidden="0"/>
    </x:xf>
    <x:xf numFmtId="0" fontId="7" fillId="5" borderId="6" quotePrefix="1" applyNumberFormat="1" applyFill="0" applyBorder="1" applyAlignment="1" applyProtection="1">
      <x:protection locked="1" hidden="0"/>
    </x:xf>
    <x:xf numFmtId="0" fontId="20" fillId="5" borderId="44" applyNumberFormat="1" applyFill="0" applyBorder="1" applyAlignment="1" applyProtection="1">
      <x:protection locked="1" hidden="0"/>
    </x:xf>
    <x:xf numFmtId="0" fontId="20" fillId="5" borderId="0" applyNumberFormat="1" applyFill="0" applyBorder="0" applyAlignment="1" applyProtection="1">
      <x:protection locked="1" hidden="0"/>
    </x:xf>
    <x:xf numFmtId="0" fontId="20" fillId="5" borderId="45" applyNumberFormat="1" applyFill="0" applyBorder="1" applyAlignment="1" applyProtection="1">
      <x:protection locked="1" hidden="0"/>
    </x:xf>
    <x:xf numFmtId="0" fontId="23" fillId="0" borderId="35" applyNumberFormat="1" applyFill="1" applyBorder="1" applyAlignment="1" applyProtection="1">
      <x:protection locked="1" hidden="0"/>
    </x:xf>
    <x:xf numFmtId="0" fontId="23" fillId="0" borderId="3" applyNumberFormat="1" applyFill="1" applyBorder="1" applyAlignment="1" applyProtection="1">
      <x:protection locked="1" hidden="0"/>
    </x:xf>
    <x:xf numFmtId="0" fontId="7" fillId="2" borderId="0" applyNumberFormat="1" applyFill="0" applyBorder="0" applyAlignment="1" applyProtection="1">
      <x:protection locked="1" hidden="0"/>
    </x:xf>
    <x:xf numFmtId="0" fontId="6" fillId="5" borderId="13" applyNumberFormat="1" applyFill="0" applyBorder="1" applyAlignment="1" applyProtection="1">
      <x:protection locked="1" hidden="0"/>
    </x:xf>
    <x:xf numFmtId="0" fontId="6" fillId="0" borderId="73" applyNumberFormat="1" applyFill="1" applyBorder="1" applyAlignment="1" applyProtection="1">
      <x:protection locked="1" hidden="0"/>
    </x:xf>
    <x:xf numFmtId="0" fontId="6" fillId="0" borderId="74" applyNumberFormat="1" applyFill="1" applyBorder="1" applyAlignment="1" applyProtection="1">
      <x:protection locked="1" hidden="0"/>
    </x:xf>
    <x:xf numFmtId="0" fontId="6" fillId="0" borderId="75" applyNumberFormat="1" applyFill="1" applyBorder="1" applyAlignment="1" applyProtection="1">
      <x:protection locked="1" hidden="0"/>
    </x:xf>
    <x:xf numFmtId="0" fontId="6" fillId="0" borderId="0" applyNumberFormat="1" applyFill="1" applyBorder="0" applyAlignment="1" applyProtection="1">
      <x:protection locked="1" hidden="0"/>
    </x:xf>
    <x:xf numFmtId="0" fontId="23" fillId="0" borderId="33" applyNumberFormat="1" applyFill="1" applyBorder="1" applyAlignment="1" applyProtection="1">
      <x:protection locked="1" hidden="0"/>
    </x:xf>
    <x:xf numFmtId="0" fontId="23" fillId="0" borderId="32" applyNumberFormat="1" applyFill="1" applyBorder="1" applyAlignment="1" applyProtection="1">
      <x:protection locked="1" hidden="0"/>
    </x:xf>
    <x:xf numFmtId="0" fontId="23" fillId="0" borderId="31" applyNumberFormat="1" applyFill="1" applyBorder="1" applyAlignment="1" applyProtection="1">
      <x:protection locked="1" hidden="0"/>
    </x:xf>
    <x:xf numFmtId="0" fontId="6" fillId="5" borderId="8" applyNumberFormat="1" applyFill="0" applyBorder="1" applyAlignment="1" applyProtection="1">
      <x:protection locked="1" hidden="0"/>
    </x:xf>
    <x:xf numFmtId="0" fontId="6" fillId="0" borderId="76" applyNumberFormat="1" applyFill="1" applyBorder="1" applyAlignment="1" applyProtection="1">
      <x:protection locked="1" hidden="0"/>
    </x:xf>
    <x:xf numFmtId="0" fontId="6" fillId="0" borderId="77" applyNumberFormat="1" applyFill="1" applyBorder="1" applyAlignment="1" applyProtection="1">
      <x:protection locked="1" hidden="0"/>
    </x:xf>
    <x:xf numFmtId="0" fontId="6" fillId="0" borderId="89" applyNumberFormat="1" applyFill="1" applyBorder="1" applyAlignment="1" applyProtection="1">
      <x:protection locked="1" hidden="0"/>
    </x:xf>
    <x:xf numFmtId="0" fontId="6" fillId="0" borderId="86" applyNumberFormat="1" applyFill="1" applyBorder="1" applyAlignment="1" applyProtection="1">
      <x:protection locked="1" hidden="0"/>
    </x:xf>
    <x:xf numFmtId="165" fontId="6" fillId="0" borderId="77" applyNumberFormat="1" applyFill="1" applyBorder="1" applyAlignment="1" applyProtection="1">
      <x:protection locked="1" hidden="0"/>
    </x:xf>
    <x:xf numFmtId="0" fontId="6" fillId="0" borderId="78" applyNumberFormat="1" applyFill="1" applyBorder="1" applyAlignment="1" applyProtection="1">
      <x:protection locked="1" hidden="0"/>
    </x:xf>
    <x:xf numFmtId="0" fontId="6" fillId="0" borderId="81" applyNumberFormat="1" applyFill="1" applyBorder="1" applyAlignment="1" applyProtection="1">
      <x:protection locked="1" hidden="0"/>
    </x:xf>
    <x:xf numFmtId="0" fontId="6" fillId="0" borderId="82" applyNumberFormat="1" applyFill="1" applyBorder="1" applyAlignment="1" applyProtection="1">
      <x:protection locked="1" hidden="0"/>
    </x:xf>
    <x:xf numFmtId="0" fontId="6" fillId="0" borderId="90" applyNumberFormat="1" applyFill="1" applyBorder="1" applyAlignment="1" applyProtection="1">
      <x:protection locked="1" hidden="0"/>
    </x:xf>
    <x:xf numFmtId="0" fontId="6" fillId="0" borderId="88" applyNumberFormat="1" applyFill="1" applyBorder="1" applyAlignment="1" applyProtection="1">
      <x:protection locked="1" hidden="0"/>
    </x:xf>
    <x:xf numFmtId="165" fontId="6" fillId="0" borderId="82" applyNumberFormat="1" applyFill="1" applyBorder="1" applyAlignment="1" applyProtection="1">
      <x:protection locked="1" hidden="0"/>
    </x:xf>
    <x:xf numFmtId="0" fontId="6" fillId="0" borderId="83" applyNumberFormat="1" applyFill="1" applyBorder="1" applyAlignment="1" applyProtection="1">
      <x:protection locked="1" hidden="0"/>
    </x:xf>
    <x:xf numFmtId="0" fontId="7" fillId="5" borderId="9" applyNumberFormat="1" applyFill="0" applyBorder="1" applyAlignment="1" applyProtection="1">
      <x:protection locked="1" hidden="0"/>
    </x:xf>
    <x:xf numFmtId="0" fontId="7" fillId="5" borderId="10" applyNumberFormat="1" applyFill="0" applyBorder="1" applyAlignment="1" applyProtection="1">
      <x:protection locked="1" hidden="0"/>
    </x:xf>
    <x:xf numFmtId="0" fontId="7" fillId="5" borderId="15" applyNumberFormat="1" applyFill="0" applyBorder="1" applyAlignment="1" applyProtection="1">
      <x:protection locked="1" hidden="0"/>
    </x:xf>
    <x:xf numFmtId="0" fontId="7" fillId="5" borderId="16" applyNumberFormat="1" applyFill="0" applyBorder="1" applyAlignment="1" applyProtection="1">
      <x:protection locked="1" hidden="0"/>
    </x:xf>
    <x:xf numFmtId="0" fontId="7" fillId="5" borderId="17" applyNumberFormat="1" applyFill="0" applyBorder="1" applyAlignment="1" applyProtection="1">
      <x:protection locked="1" hidden="0"/>
    </x:xf>
    <x:xf numFmtId="0" fontId="7" fillId="5" borderId="22" applyNumberFormat="1" applyFill="0" applyBorder="1" applyAlignment="1" applyProtection="1">
      <x:protection locked="1" hidden="0"/>
    </x:xf>
    <x:xf numFmtId="0" fontId="7" fillId="5" borderId="8" applyNumberFormat="1" applyFill="0" applyBorder="1" applyAlignment="1" applyProtection="1">
      <x:protection locked="1" hidden="0"/>
    </x:xf>
    <x:xf numFmtId="164" fontId="7" fillId="5" borderId="8" applyNumberFormat="1" applyFill="0" applyBorder="1" applyAlignment="1" applyProtection="1">
      <x:protection locked="1" hidden="0"/>
    </x:xf>
    <x:xf numFmtId="2" fontId="7" fillId="5" borderId="8" applyNumberFormat="1" applyFill="0" applyBorder="1" applyAlignment="1" applyProtection="1">
      <x:protection locked="1" hidden="0"/>
    </x:xf>
    <x:xf numFmtId="169" fontId="7" fillId="5" borderId="8" applyNumberFormat="1" applyFill="0" applyBorder="1" applyAlignment="1" applyProtection="1">
      <x:protection locked="1" hidden="0"/>
    </x:xf>
    <x:xf numFmtId="0" fontId="7" fillId="0" borderId="84" applyNumberFormat="1" applyFill="1" applyBorder="1" applyAlignment="1" applyProtection="1">
      <x:protection locked="1" hidden="0"/>
    </x:xf>
    <x:xf numFmtId="169" fontId="7" fillId="0" borderId="72" applyNumberFormat="1" applyFill="1" applyBorder="1" applyAlignment="1" applyProtection="1">
      <x:protection locked="1" hidden="0"/>
    </x:xf>
    <x:xf numFmtId="1" fontId="7" fillId="0" borderId="72" applyNumberFormat="1" applyFill="1" applyBorder="1" applyAlignment="1" applyProtection="1">
      <x:protection locked="1" hidden="0"/>
    </x:xf>
    <x:xf numFmtId="0" fontId="7" fillId="0" borderId="85" applyNumberFormat="1" applyFill="1" applyBorder="1" applyAlignment="1" applyProtection="1">
      <x:protection locked="1" hidden="0"/>
    </x:xf>
    <x:xf numFmtId="170" fontId="7" fillId="0" borderId="86" applyNumberFormat="1" applyFill="1" applyBorder="1" applyAlignment="1" applyProtection="1">
      <x:protection locked="1" hidden="0"/>
    </x:xf>
    <x:xf numFmtId="170" fontId="7" fillId="0" borderId="0" applyNumberFormat="1" applyFill="1" applyBorder="0" applyAlignment="1" applyProtection="1">
      <x:protection locked="1" hidden="0"/>
    </x:xf>
    <x:xf numFmtId="0" fontId="7" fillId="0" borderId="76" applyNumberFormat="1" applyFill="1" applyBorder="1" applyAlignment="1" applyProtection="1">
      <x:protection locked="1" hidden="0"/>
    </x:xf>
    <x:xf numFmtId="171" fontId="7" fillId="0" borderId="91" applyNumberFormat="1" applyFill="1" applyBorder="1" applyAlignment="1" applyProtection="1">
      <x:protection locked="1" hidden="0"/>
    </x:xf>
    <x:xf numFmtId="1" fontId="7" fillId="0" borderId="91" applyNumberFormat="1" applyFill="1" applyBorder="1" applyAlignment="1" applyProtection="1">
      <x:protection locked="1" hidden="0"/>
    </x:xf>
    <x:xf numFmtId="166" fontId="7" fillId="0" borderId="78" applyNumberFormat="1" applyFill="1" applyBorder="1" applyAlignment="1" applyProtection="1">
      <x:protection locked="1" hidden="0"/>
    </x:xf>
    <x:xf numFmtId="0" fontId="7" fillId="0" borderId="77" applyNumberFormat="1" applyFill="1" applyBorder="1" applyAlignment="1" applyProtection="1">
      <x:protection locked="1" hidden="0"/>
    </x:xf>
    <x:xf numFmtId="1" fontId="7" fillId="0" borderId="77" applyNumberFormat="1" applyFill="1" applyBorder="1" applyAlignment="1" applyProtection="1">
      <x:protection locked="1" hidden="0"/>
    </x:xf>
    <x:xf numFmtId="169" fontId="7" fillId="0" borderId="77" applyNumberFormat="1" applyFill="1" applyBorder="1" applyAlignment="1" applyProtection="1">
      <x:protection locked="1" hidden="0"/>
    </x:xf>
    <x:xf numFmtId="169" fontId="7" fillId="0" borderId="86" applyNumberFormat="1" applyFill="1" applyBorder="1" applyAlignment="1" applyProtection="1">
      <x:protection locked="1" hidden="0"/>
    </x:xf>
    <x:xf numFmtId="170" fontId="7" fillId="0" borderId="76" applyNumberFormat="1" applyFill="1" applyBorder="1" applyAlignment="1" applyProtection="1">
      <x:protection locked="1" hidden="0"/>
    </x:xf>
    <x:xf numFmtId="171" fontId="7" fillId="0" borderId="77" applyNumberFormat="1" applyFill="1" applyBorder="1" applyAlignment="1" applyProtection="1">
      <x:protection locked="1" hidden="0"/>
    </x:xf>
    <x:xf numFmtId="164" fontId="7" fillId="0" borderId="78" applyNumberFormat="1" applyFill="1" applyBorder="1" applyAlignment="1" applyProtection="1">
      <x:protection locked="1" hidden="0"/>
    </x:xf>
    <x:xf numFmtId="166" fontId="7" fillId="0" borderId="76" applyNumberFormat="1" applyFill="1" applyBorder="1" applyAlignment="1" applyProtection="1">
      <x:protection locked="1" hidden="0"/>
    </x:xf>
    <x:xf numFmtId="1" fontId="7" fillId="0" borderId="78" applyNumberFormat="1" applyFill="1" applyBorder="1" applyAlignment="1" applyProtection="1">
      <x:protection locked="1" hidden="0"/>
    </x:xf>
    <x:xf numFmtId="0" fontId="20" fillId="0" borderId="7" applyNumberFormat="1" applyFill="1" applyBorder="1" applyAlignment="1" applyProtection="1">
      <x:protection locked="1" hidden="0"/>
    </x:xf>
    <x:xf numFmtId="1" fontId="20" fillId="0" borderId="33" applyNumberFormat="1" applyFill="1" applyBorder="1" applyAlignment="1" applyProtection="1">
      <x:protection locked="1" hidden="0"/>
    </x:xf>
    <x:xf numFmtId="166" fontId="20" fillId="0" borderId="32" applyNumberFormat="1" applyFill="1" applyBorder="1" applyAlignment="1" applyProtection="1">
      <x:protection locked="1" hidden="0"/>
    </x:xf>
    <x:xf numFmtId="0" fontId="7" fillId="5" borderId="11" applyNumberFormat="1" applyFill="0" applyBorder="1" applyAlignment="1" applyProtection="1">
      <x:protection locked="1" hidden="0"/>
    </x:xf>
    <x:xf numFmtId="0" fontId="7" fillId="5" borderId="18" applyNumberFormat="1" applyFill="0" applyBorder="1" applyAlignment="1" applyProtection="1">
      <x:protection locked="1" hidden="0"/>
    </x:xf>
    <x:xf numFmtId="164" fontId="7" fillId="5" borderId="16" applyNumberFormat="1" applyFill="0" applyBorder="1" applyAlignment="1" applyProtection="1">
      <x:protection locked="1" hidden="0"/>
    </x:xf>
    <x:xf numFmtId="164" fontId="7" fillId="5" borderId="17" applyNumberFormat="1" applyFill="0" applyBorder="1" applyAlignment="1" applyProtection="1">
      <x:protection locked="1" hidden="0"/>
    </x:xf>
    <x:xf numFmtId="164" fontId="7" fillId="5" borderId="22" applyNumberFormat="1" applyFill="0" applyBorder="1" applyAlignment="1" applyProtection="1">
      <x:protection locked="1" hidden="0"/>
    </x:xf>
    <x:xf numFmtId="0" fontId="7" fillId="0" borderId="79" applyNumberFormat="1" applyFill="1" applyBorder="1" applyAlignment="1" applyProtection="1">
      <x:protection locked="1" hidden="0"/>
    </x:xf>
    <x:xf numFmtId="168" fontId="7" fillId="0" borderId="8" applyNumberFormat="1" applyFill="1" applyBorder="1" applyAlignment="1" applyProtection="1">
      <x:protection locked="1" hidden="0"/>
    </x:xf>
    <x:xf numFmtId="1" fontId="7" fillId="0" borderId="8" applyNumberFormat="1" applyFill="1" applyBorder="1" applyAlignment="1" applyProtection="1">
      <x:protection locked="1" hidden="0"/>
    </x:xf>
    <x:xf numFmtId="0" fontId="7" fillId="0" borderId="80" applyNumberFormat="1" applyFill="1" applyBorder="1" applyAlignment="1" applyProtection="1">
      <x:protection locked="1" hidden="0"/>
    </x:xf>
    <x:xf numFmtId="170" fontId="7" fillId="0" borderId="87" applyNumberFormat="1" applyFill="1" applyBorder="1" applyAlignment="1" applyProtection="1">
      <x:protection locked="1" hidden="0"/>
    </x:xf>
    <x:xf numFmtId="171" fontId="7" fillId="0" borderId="8" applyNumberFormat="1" applyFill="1" applyBorder="1" applyAlignment="1" applyProtection="1">
      <x:protection locked="1" hidden="0"/>
    </x:xf>
    <x:xf numFmtId="166" fontId="7" fillId="0" borderId="80" applyNumberFormat="1" applyFill="1" applyBorder="1" applyAlignment="1" applyProtection="1">
      <x:protection locked="1" hidden="0"/>
    </x:xf>
    <x:xf numFmtId="0" fontId="7" fillId="0" borderId="8" applyNumberFormat="1" applyFill="1" applyBorder="1" applyAlignment="1" applyProtection="1">
      <x:protection locked="1" hidden="0"/>
    </x:xf>
    <x:xf numFmtId="169" fontId="7" fillId="0" borderId="8" applyNumberFormat="1" applyFill="1" applyBorder="1" applyAlignment="1" applyProtection="1">
      <x:protection locked="1" hidden="0"/>
    </x:xf>
    <x:xf numFmtId="169" fontId="7" fillId="0" borderId="87" applyNumberFormat="1" applyFill="1" applyBorder="1" applyAlignment="1" applyProtection="1">
      <x:protection locked="1" hidden="0"/>
    </x:xf>
    <x:xf numFmtId="170" fontId="7" fillId="0" borderId="79" applyNumberFormat="1" applyFill="1" applyBorder="1" applyAlignment="1" applyProtection="1">
      <x:protection locked="1" hidden="0"/>
    </x:xf>
    <x:xf numFmtId="164" fontId="7" fillId="0" borderId="80" applyNumberFormat="1" applyFill="1" applyBorder="1" applyAlignment="1" applyProtection="1">
      <x:protection locked="1" hidden="0"/>
    </x:xf>
    <x:xf numFmtId="166" fontId="7" fillId="0" borderId="79" applyNumberFormat="1" applyFill="1" applyBorder="1" applyAlignment="1" applyProtection="1">
      <x:protection locked="1" hidden="0"/>
    </x:xf>
    <x:xf numFmtId="1" fontId="7" fillId="0" borderId="80" applyNumberFormat="1" applyFill="1" applyBorder="1" applyAlignment="1" applyProtection="1">
      <x:protection locked="1" hidden="0"/>
    </x:xf>
    <x:xf numFmtId="0" fontId="7" fillId="5" borderId="12" applyNumberFormat="1" applyFill="0" applyBorder="1" applyAlignment="1" applyProtection="1">
      <x:protection locked="1" hidden="0"/>
    </x:xf>
    <x:xf numFmtId="0" fontId="7" fillId="5" borderId="13" applyNumberFormat="1" applyFill="0" applyBorder="1" applyAlignment="1" applyProtection="1">
      <x:protection locked="1" hidden="0"/>
    </x:xf>
    <x:xf numFmtId="0" fontId="7" fillId="5" borderId="19" applyNumberFormat="1" applyFill="0" applyBorder="1" applyAlignment="1" applyProtection="1">
      <x:protection locked="1" hidden="0"/>
    </x:xf>
    <x:xf numFmtId="166" fontId="7" fillId="5" borderId="16" applyNumberFormat="1" applyFill="0" applyBorder="1" applyAlignment="1" applyProtection="1">
      <x:protection locked="1" hidden="0"/>
    </x:xf>
    <x:xf numFmtId="166" fontId="7" fillId="5" borderId="17" applyNumberFormat="1" applyFill="0" applyBorder="1" applyAlignment="1" applyProtection="1">
      <x:protection locked="1" hidden="0"/>
    </x:xf>
    <x:xf numFmtId="166" fontId="7" fillId="5" borderId="22" applyNumberFormat="1" applyFill="0" applyBorder="1" applyAlignment="1" applyProtection="1">
      <x:protection locked="1" hidden="0"/>
    </x:xf>
    <x:xf numFmtId="166" fontId="7" fillId="5" borderId="8" applyNumberFormat="1" applyFill="0" applyBorder="1" applyAlignment="1" applyProtection="1">
      <x:protection locked="1" hidden="0"/>
    </x:xf>
    <x:xf numFmtId="165" fontId="7" fillId="0" borderId="8" applyNumberFormat="1" applyFill="1" applyBorder="1" applyAlignment="1" applyProtection="1">
      <x:protection locked="1" hidden="0"/>
    </x:xf>
    <x:xf numFmtId="168" fontId="7" fillId="0" borderId="79" applyNumberFormat="1" applyFill="1" applyBorder="1" applyAlignment="1" applyProtection="1">
      <x:protection locked="1" hidden="0"/>
    </x:xf>
    <x:xf numFmtId="165" fontId="20" fillId="0" borderId="7" applyNumberFormat="1" applyFill="1" applyBorder="1" applyAlignment="1" applyProtection="1">
      <x:protection locked="1" hidden="0"/>
    </x:xf>
    <x:xf numFmtId="169" fontId="7" fillId="0" borderId="79" applyNumberFormat="1" applyFill="1" applyBorder="1" applyAlignment="1" applyProtection="1">
      <x:protection locked="1" hidden="0"/>
    </x:xf>
    <x:xf numFmtId="1" fontId="7" fillId="5" borderId="8" applyNumberFormat="1" applyFill="0" applyBorder="1" applyAlignment="1" applyProtection="1">
      <x:protection locked="1" hidden="0"/>
    </x:xf>
    <x:xf numFmtId="2" fontId="7" fillId="0" borderId="79" applyNumberFormat="1" applyFill="1" applyBorder="1" applyAlignment="1" applyProtection="1">
      <x:protection locked="1" hidden="0"/>
    </x:xf>
    <x:xf numFmtId="0" fontId="7" fillId="0" borderId="94" applyNumberFormat="1" applyFill="1" applyBorder="1" applyAlignment="1" applyProtection="1">
      <x:protection locked="1" hidden="0"/>
    </x:xf>
    <x:xf numFmtId="170" fontId="7" fillId="0" borderId="95" applyNumberFormat="1" applyFill="1" applyBorder="1" applyAlignment="1" applyProtection="1">
      <x:protection locked="1" hidden="0"/>
    </x:xf>
    <x:xf numFmtId="0" fontId="7" fillId="0" borderId="81" applyNumberFormat="1" applyFill="1" applyBorder="1" applyAlignment="1" applyProtection="1">
      <x:protection locked="1" hidden="0"/>
    </x:xf>
    <x:xf numFmtId="171" fontId="7" fillId="0" borderId="82" applyNumberFormat="1" applyFill="1" applyBorder="1" applyAlignment="1" applyProtection="1">
      <x:protection locked="1" hidden="0"/>
    </x:xf>
    <x:xf numFmtId="1" fontId="7" fillId="0" borderId="82" applyNumberFormat="1" applyFill="1" applyBorder="1" applyAlignment="1" applyProtection="1">
      <x:protection locked="1" hidden="0"/>
    </x:xf>
    <x:xf numFmtId="166" fontId="7" fillId="0" borderId="83" applyNumberFormat="1" applyFill="1" applyBorder="1" applyAlignment="1" applyProtection="1">
      <x:protection locked="1" hidden="0"/>
    </x:xf>
    <x:xf numFmtId="170" fontId="7" fillId="0" borderId="88" applyNumberFormat="1" applyFill="1" applyBorder="1" applyAlignment="1" applyProtection="1">
      <x:protection locked="1" hidden="0"/>
    </x:xf>
    <x:xf numFmtId="0" fontId="7" fillId="0" borderId="82" applyNumberFormat="1" applyFill="1" applyBorder="1" applyAlignment="1" applyProtection="1">
      <x:protection locked="1" hidden="0"/>
    </x:xf>
    <x:xf numFmtId="169" fontId="7" fillId="0" borderId="82" applyNumberFormat="1" applyFill="1" applyBorder="1" applyAlignment="1" applyProtection="1">
      <x:protection locked="1" hidden="0"/>
    </x:xf>
    <x:xf numFmtId="169" fontId="7" fillId="0" borderId="88" applyNumberFormat="1" applyFill="1" applyBorder="1" applyAlignment="1" applyProtection="1">
      <x:protection locked="1" hidden="0"/>
    </x:xf>
    <x:xf numFmtId="170" fontId="7" fillId="0" borderId="81" applyNumberFormat="1" applyFill="1" applyBorder="1" applyAlignment="1" applyProtection="1">
      <x:protection locked="1" hidden="0"/>
    </x:xf>
    <x:xf numFmtId="164" fontId="7" fillId="0" borderId="83" applyNumberFormat="1" applyFill="1" applyBorder="1" applyAlignment="1" applyProtection="1">
      <x:protection locked="1" hidden="0"/>
    </x:xf>
    <x:xf numFmtId="2" fontId="7" fillId="0" borderId="81" applyNumberFormat="1" applyFill="1" applyBorder="1" applyAlignment="1" applyProtection="1">
      <x:protection locked="1" hidden="0"/>
    </x:xf>
    <x:xf numFmtId="1" fontId="7" fillId="0" borderId="83" applyNumberFormat="1" applyFill="1" applyBorder="1" applyAlignment="1" applyProtection="1">
      <x:protection locked="1" hidden="0"/>
    </x:xf>
    <x:xf numFmtId="1" fontId="7" fillId="5" borderId="16" applyNumberFormat="1" applyFill="0" applyBorder="1" applyAlignment="1" applyProtection="1">
      <x:protection locked="1" hidden="0"/>
    </x:xf>
    <x:xf numFmtId="1" fontId="7" fillId="5" borderId="17" applyNumberFormat="1" applyFill="0" applyBorder="1" applyAlignment="1" applyProtection="1">
      <x:protection locked="1" hidden="0"/>
    </x:xf>
    <x:xf numFmtId="1" fontId="7" fillId="5" borderId="22" applyNumberFormat="1" applyFill="0" applyBorder="1" applyAlignment="1" applyProtection="1">
      <x:protection locked="1" hidden="0"/>
    </x:xf>
    <x:xf numFmtId="168" fontId="7" fillId="0" borderId="82" applyNumberFormat="1" applyFill="1" applyBorder="1" applyAlignment="1" applyProtection="1">
      <x:protection locked="1" hidden="0"/>
    </x:xf>
    <x:xf numFmtId="0" fontId="7" fillId="0" borderId="83" applyNumberFormat="1" applyFill="1" applyBorder="1" applyAlignment="1" applyProtection="1">
      <x:protection locked="1" hidden="0"/>
    </x:xf>
    <x:xf numFmtId="1" fontId="8" fillId="5" borderId="0" applyNumberFormat="1" applyFill="0" applyBorder="0" applyAlignment="1" applyProtection="1">
      <x:protection locked="1" hidden="0"/>
    </x:xf>
    <x:xf numFmtId="1" fontId="8" fillId="2" borderId="0" applyNumberFormat="1" applyFill="0" applyBorder="0" applyAlignment="1" applyProtection="1">
      <x:protection locked="1" hidden="0"/>
    </x:xf>
    <x:xf numFmtId="169" fontId="8" fillId="2" borderId="0" applyNumberFormat="1" applyFill="0" applyBorder="0" applyAlignment="1" applyProtection="1">
      <x:protection locked="1" hidden="0"/>
    </x:xf>
    <x:xf numFmtId="0" fontId="8" fillId="0" borderId="0" applyNumberFormat="1" applyFill="1" applyBorder="0" applyAlignment="1" applyProtection="1">
      <x:protection locked="1" hidden="0"/>
    </x:xf>
    <x:xf numFmtId="171" fontId="8" fillId="0" borderId="0" applyNumberFormat="1" applyFill="1" applyBorder="0" applyAlignment="1" applyProtection="1">
      <x:protection locked="1" hidden="0"/>
    </x:xf>
    <x:xf numFmtId="1" fontId="8" fillId="0" borderId="0" applyNumberFormat="1" applyFill="1" applyBorder="0" applyAlignment="1" applyProtection="1">
      <x:protection locked="1" hidden="0"/>
    </x:xf>
    <x:xf numFmtId="170" fontId="8" fillId="0" borderId="0" applyNumberFormat="1" applyFill="1" applyBorder="0" applyAlignment="1" applyProtection="1">
      <x:protection locked="1" hidden="0"/>
    </x:xf>
    <x:xf numFmtId="166" fontId="8" fillId="0" borderId="0" applyNumberFormat="1" applyFill="1" applyBorder="0" applyAlignment="1" applyProtection="1">
      <x:protection locked="1" hidden="0"/>
    </x:xf>
    <x:xf numFmtId="169" fontId="8" fillId="0" borderId="0" applyNumberFormat="1" applyFill="1" applyBorder="0" applyAlignment="1" applyProtection="1">
      <x:protection locked="1" hidden="0"/>
    </x:xf>
    <x:xf numFmtId="164" fontId="8" fillId="0" borderId="0" applyNumberFormat="1" applyFill="1" applyBorder="0" applyAlignment="1" applyProtection="1">
      <x:protection locked="1" hidden="0"/>
    </x:xf>
    <x:xf numFmtId="2" fontId="8" fillId="0" borderId="0" applyNumberFormat="1" applyFill="1" applyBorder="0" applyAlignment="1" applyProtection="1">
      <x:protection locked="1" hidden="0"/>
    </x:xf>
    <x:xf numFmtId="0" fontId="20" fillId="0" borderId="31" applyNumberFormat="1" applyFill="1" applyBorder="1" applyAlignment="1" applyProtection="1">
      <x:protection locked="1" hidden="0"/>
    </x:xf>
    <x:xf numFmtId="0" fontId="20" fillId="0" borderId="32" applyNumberFormat="1" applyFill="1" applyBorder="1" applyAlignment="1" applyProtection="1">
      <x:protection locked="1" hidden="0"/>
    </x:xf>
    <x:xf numFmtId="0" fontId="7" fillId="0" borderId="78" applyNumberFormat="1" applyFill="1" applyBorder="1" applyAlignment="1" applyProtection="1">
      <x:protection locked="1" hidden="0"/>
    </x:xf>
    <x:xf numFmtId="169" fontId="7" fillId="0" borderId="76" applyNumberFormat="1" applyFill="1" applyBorder="1" applyAlignment="1" applyProtection="1">
      <x:protection locked="1" hidden="0"/>
    </x:xf>
    <x:xf numFmtId="1" fontId="7" fillId="0" borderId="93" applyNumberFormat="1" applyFill="1" applyBorder="1" applyAlignment="1" applyProtection="1">
      <x:protection locked="1" hidden="0"/>
    </x:xf>
    <x:xf numFmtId="170" fontId="7" fillId="0" borderId="96" applyNumberFormat="1" applyFill="1" applyBorder="1" applyAlignment="1" applyProtection="1">
      <x:protection locked="1" hidden="0"/>
    </x:xf>
    <x:xf numFmtId="2" fontId="7" fillId="5" borderId="16" applyNumberFormat="1" applyFill="0" applyBorder="1" applyAlignment="1" applyProtection="1">
      <x:protection locked="1" hidden="0"/>
    </x:xf>
    <x:xf numFmtId="2" fontId="7" fillId="5" borderId="17" applyNumberFormat="1" applyFill="0" applyBorder="1" applyAlignment="1" applyProtection="1">
      <x:protection locked="1" hidden="0"/>
    </x:xf>
    <x:xf numFmtId="2" fontId="7" fillId="5" borderId="22" applyNumberFormat="1" applyFill="0" applyBorder="1" applyAlignment="1" applyProtection="1">
      <x:protection locked="1" hidden="0"/>
    </x:xf>
    <x:xf numFmtId="166" fontId="7" fillId="0" borderId="8" applyNumberFormat="1" applyFill="1" applyBorder="1" applyAlignment="1" applyProtection="1">
      <x:protection locked="1" hidden="0"/>
    </x:xf>
    <x:xf numFmtId="0" fontId="7" fillId="0" borderId="97" applyNumberFormat="1" applyFill="1" applyBorder="1" applyAlignment="1" applyProtection="1">
      <x:protection locked="1" hidden="0"/>
    </x:xf>
    <x:xf numFmtId="166" fontId="7" fillId="0" borderId="82" applyNumberFormat="1" applyFill="1" applyBorder="1" applyAlignment="1" applyProtection="1">
      <x:protection locked="1" hidden="0"/>
    </x:xf>
    <x:xf numFmtId="164" fontId="7" fillId="0" borderId="89" applyNumberFormat="1" applyFill="1" applyBorder="1" applyAlignment="1" applyProtection="1">
      <x:protection locked="1" hidden="0"/>
    </x:xf>
    <x:xf numFmtId="164" fontId="7" fillId="0" borderId="16" applyNumberFormat="1" applyFill="1" applyBorder="1" applyAlignment="1" applyProtection="1">
      <x:protection locked="1" hidden="0"/>
    </x:xf>
    <x:xf numFmtId="164" fontId="7" fillId="0" borderId="90" applyNumberFormat="1" applyFill="1" applyBorder="1" applyAlignment="1" applyProtection="1">
      <x:protection locked="1" hidden="0"/>
    </x:xf>
    <x:xf numFmtId="168" fontId="7" fillId="0" borderId="81" applyNumberFormat="1" applyFill="1" applyBorder="1" applyAlignment="1" applyProtection="1">
      <x:protection locked="1" hidden="0"/>
    </x:xf>
    <x:xf numFmtId="0" fontId="7" fillId="5" borderId="16" quotePrefix="1" applyNumberFormat="1" applyFill="0" applyBorder="1" applyAlignment="1" applyProtection="1">
      <x:protection locked="1" hidden="0"/>
    </x:xf>
    <x:xf numFmtId="169" fontId="7" fillId="0" borderId="91" applyNumberFormat="1" applyFill="1" applyBorder="1" applyAlignment="1" applyProtection="1">
      <x:protection locked="1" hidden="0"/>
    </x:xf>
    <x:xf numFmtId="168" fontId="7" fillId="0" borderId="76" applyNumberFormat="1" applyFill="1" applyBorder="1" applyAlignment="1" applyProtection="1">
      <x:protection locked="1" hidden="0"/>
    </x:xf>
    <x:xf numFmtId="166" fontId="7" fillId="0" borderId="93" applyNumberFormat="1" applyFill="1" applyBorder="1" applyAlignment="1" applyProtection="1">
      <x:protection locked="1" hidden="0"/>
    </x:xf>
    <x:xf numFmtId="166" fontId="7" fillId="0" borderId="81" applyNumberFormat="1" applyFill="1" applyBorder="1" applyAlignment="1" applyProtection="1">
      <x:protection locked="1" hidden="0"/>
    </x:xf>
    <x:xf numFmtId="169" fontId="7" fillId="0" borderId="93" applyNumberFormat="1" applyFill="1" applyBorder="1" applyAlignment="1" applyProtection="1">
      <x:protection locked="1" hidden="0"/>
    </x:xf>
    <x:xf numFmtId="0" fontId="7" fillId="5" borderId="9" quotePrefix="1" applyNumberFormat="1" applyFill="0" applyBorder="1" applyAlignment="1" applyProtection="1">
      <x:protection locked="1" hidden="0"/>
    </x:xf>
    <x:xf numFmtId="0" fontId="7" fillId="5" borderId="10" quotePrefix="1" applyNumberFormat="1" applyFill="0" applyBorder="1" applyAlignment="1" applyProtection="1">
      <x:protection locked="1" hidden="0"/>
    </x:xf>
    <x:xf numFmtId="0" fontId="7" fillId="5" borderId="15" quotePrefix="1" applyNumberFormat="1" applyFill="0" applyBorder="1" applyAlignment="1" applyProtection="1">
      <x:protection locked="1" hidden="0"/>
    </x:xf>
    <x:xf numFmtId="166" fontId="7" fillId="5" borderId="8" quotePrefix="1" applyNumberFormat="1" applyFill="0" applyBorder="1" applyAlignment="1" applyProtection="1">
      <x:protection locked="1" hidden="0"/>
    </x:xf>
    <x:xf numFmtId="2" fontId="7" fillId="5" borderId="8" quotePrefix="1" applyNumberFormat="1" applyFill="0" applyBorder="1" applyAlignment="1" applyProtection="1">
      <x:protection locked="1" hidden="0"/>
    </x:xf>
    <x:xf numFmtId="0" fontId="7" fillId="5" borderId="12" quotePrefix="1" applyNumberFormat="1" applyFill="0" applyBorder="1" applyAlignment="1" applyProtection="1">
      <x:protection locked="1" hidden="0"/>
    </x:xf>
    <x:xf numFmtId="0" fontId="7" fillId="5" borderId="13" quotePrefix="1" applyNumberFormat="1" applyFill="0" applyBorder="1" applyAlignment="1" applyProtection="1">
      <x:protection locked="1" hidden="0"/>
    </x:xf>
    <x:xf numFmtId="0" fontId="7" fillId="5" borderId="19" quotePrefix="1" applyNumberFormat="1" applyFill="0" applyBorder="1" applyAlignment="1" applyProtection="1">
      <x:protection locked="1" hidden="0"/>
    </x:xf>
    <x:xf numFmtId="0" fontId="7" fillId="0" borderId="101" applyNumberFormat="1" applyFill="1" applyBorder="1" applyAlignment="1" applyProtection="1">
      <x:protection locked="1" hidden="0"/>
    </x:xf>
    <x:xf numFmtId="169" fontId="7" fillId="0" borderId="100" applyNumberFormat="1" applyFill="1" applyBorder="1" applyAlignment="1" applyProtection="1">
      <x:protection locked="1" hidden="0"/>
    </x:xf>
    <x:xf numFmtId="0" fontId="7" fillId="0" borderId="98" applyNumberFormat="1" applyFill="1" applyBorder="1" applyAlignment="1" applyProtection="1">
      <x:protection locked="1" hidden="0"/>
    </x:xf>
    <x:xf numFmtId="170" fontId="7" fillId="0" borderId="99" applyNumberFormat="1" applyFill="1" applyBorder="1" applyAlignment="1" applyProtection="1">
      <x:protection locked="1" hidden="0"/>
    </x:xf>
    <x:xf numFmtId="0" fontId="20" fillId="0" borderId="64" applyNumberFormat="1" applyFill="1" applyBorder="1" applyAlignment="1" applyProtection="1">
      <x:protection locked="1" hidden="0"/>
    </x:xf>
    <x:xf numFmtId="0" fontId="20" fillId="0" borderId="33" applyNumberFormat="1" applyFill="1" applyBorder="1" applyAlignment="1" applyProtection="1">
      <x:protection locked="1" hidden="0"/>
    </x:xf>
    <x:xf numFmtId="0" fontId="6" fillId="0" borderId="93" applyNumberFormat="1" applyFill="1" applyBorder="1" applyAlignment="1" applyProtection="1">
      <x:protection locked="1" hidden="0"/>
    </x:xf>
    <x:xf numFmtId="168" fontId="7" fillId="0" borderId="77" applyNumberFormat="1" applyFill="1" applyBorder="1" applyAlignment="1" applyProtection="1">
      <x:protection locked="1" hidden="0"/>
    </x:xf>
    <x:xf numFmtId="170" fontId="7" fillId="0" borderId="84" applyNumberFormat="1" applyFill="1" applyBorder="1" applyAlignment="1" applyProtection="1">
      <x:protection locked="1" hidden="0"/>
    </x:xf>
    <x:xf numFmtId="171" fontId="7" fillId="0" borderId="72" applyNumberFormat="1" applyFill="1" applyBorder="1" applyAlignment="1" applyProtection="1">
      <x:protection locked="1" hidden="0"/>
    </x:xf>
    <x:xf numFmtId="164" fontId="7" fillId="0" borderId="85" applyNumberFormat="1" applyFill="1" applyBorder="1" applyAlignment="1" applyProtection="1">
      <x:protection locked="1" hidden="0"/>
    </x:xf>
    <x:xf numFmtId="2" fontId="7" fillId="0" borderId="8" applyNumberFormat="1" applyFill="1" applyBorder="1" applyAlignment="1" applyProtection="1">
      <x:protection locked="1" hidden="0"/>
    </x:xf>
    <x:xf numFmtId="166" fontId="7" fillId="5" borderId="16" quotePrefix="1" applyNumberFormat="1" applyFill="0" applyBorder="1" applyAlignment="1" applyProtection="1">
      <x:protection locked="1" hidden="0"/>
    </x:xf>
    <x:xf numFmtId="166" fontId="7" fillId="0" borderId="72" applyNumberFormat="1" applyFill="1" applyBorder="1" applyAlignment="1" applyProtection="1">
      <x:protection locked="1" hidden="0"/>
    </x:xf>
    <x:xf numFmtId="2" fontId="7" fillId="5" borderId="16" quotePrefix="1" applyNumberFormat="1" applyFill="0" applyBorder="1" applyAlignment="1" applyProtection="1">
      <x:protection locked="1" hidden="0"/>
    </x:xf>
    <x:xf numFmtId="0" fontId="20" fillId="0" borderId="42" applyNumberFormat="1" applyFill="1" applyBorder="1" applyAlignment="1" applyProtection="1">
      <x:protection locked="1" hidden="0"/>
    </x:xf>
    <x:xf numFmtId="0" fontId="25" fillId="5" borderId="44" applyNumberFormat="1" applyFill="0" applyBorder="1" applyAlignment="1" applyProtection="1">
      <x:protection locked="1" hidden="0"/>
    </x:xf>
    <x:xf numFmtId="0" fontId="25" fillId="5" borderId="0" applyNumberFormat="1" applyFill="0" applyBorder="0" applyAlignment="1" applyProtection="1">
      <x:protection locked="1" hidden="0"/>
    </x:xf>
    <x:xf numFmtId="0" fontId="25" fillId="5" borderId="23" applyNumberFormat="1" applyFill="0" applyBorder="1" applyAlignment="1" applyProtection="1">
      <x:protection locked="1" hidden="0"/>
    </x:xf>
    <x:xf numFmtId="0" fontId="8" fillId="5" borderId="27" applyNumberFormat="1" applyFill="0" applyBorder="1" applyAlignment="1" applyProtection="1">
      <x:protection locked="1" hidden="0"/>
    </x:xf>
    <x:xf numFmtId="167" fontId="8" fillId="5" borderId="28" applyNumberFormat="1" applyFill="0" applyBorder="1" applyAlignment="1" applyProtection="1">
      <x:protection locked="1" hidden="0"/>
    </x:xf>
    <x:xf numFmtId="0" fontId="8" fillId="5" borderId="45" applyNumberFormat="1" applyFill="0" applyBorder="1" applyAlignment="1" applyProtection="1">
      <x:protection locked="1" hidden="0"/>
    </x:xf>
    <x:xf numFmtId="0" fontId="8" fillId="5" borderId="46" applyNumberFormat="1" applyFill="0" applyBorder="1" applyAlignment="1" applyProtection="1">
      <x:protection locked="1" hidden="0"/>
    </x:xf>
    <x:xf numFmtId="0" fontId="8" fillId="5" borderId="1" applyNumberFormat="1" applyFill="0" applyBorder="1" applyAlignment="1" applyProtection="1">
      <x:protection locked="1" hidden="0"/>
    </x:xf>
    <x:xf numFmtId="0" fontId="8" fillId="5" borderId="25" applyNumberFormat="1" applyFill="0" applyBorder="1" applyAlignment="1" applyProtection="1">
      <x:protection locked="1" hidden="0"/>
    </x:xf>
    <x:xf numFmtId="0" fontId="8" fillId="5" borderId="29" applyNumberFormat="1" applyFill="0" applyBorder="1" applyAlignment="1" applyProtection="1">
      <x:protection locked="1" hidden="0"/>
    </x:xf>
    <x:xf numFmtId="0" fontId="8" fillId="5" borderId="30" applyNumberFormat="1" applyFill="0" applyBorder="1" applyAlignment="1" applyProtection="1">
      <x:protection locked="1" hidden="0"/>
    </x:xf>
    <x:xf numFmtId="0" fontId="8" fillId="5" borderId="47" applyNumberFormat="1" applyFill="0" applyBorder="1" applyAlignment="1" applyProtection="1">
      <x:protection locked="1" hidden="0"/>
    </x:xf>
    <x:xf numFmtId="0" fontId="8" fillId="5" borderId="44" applyNumberFormat="1" applyFill="0" applyBorder="1" applyAlignment="1" applyProtection="1">
      <x:protection locked="1" hidden="0"/>
    </x:xf>
    <x:xf numFmtId="0" fontId="8" fillId="5" borderId="23" applyNumberFormat="1" applyFill="0" applyBorder="1" applyAlignment="1" applyProtection="1">
      <x:protection locked="1" hidden="0"/>
    </x:xf>
    <x:xf numFmtId="0" fontId="8" fillId="5" borderId="54" applyNumberFormat="1" applyFill="0" applyBorder="1" applyAlignment="1" applyProtection="1">
      <x:protection locked="1" hidden="0"/>
    </x:xf>
    <x:xf numFmtId="0" fontId="8" fillId="5" borderId="55" applyNumberFormat="1" applyFill="0" applyBorder="1" applyAlignment="1" applyProtection="1">
      <x:protection locked="1" hidden="0"/>
    </x:xf>
    <x:xf numFmtId="0" fontId="8" fillId="5" borderId="56" applyNumberFormat="1" applyFill="0" applyBorder="1" applyAlignment="1" applyProtection="1">
      <x:protection locked="1" hidden="0"/>
    </x:xf>
    <x:xf numFmtId="0" fontId="8" fillId="5" borderId="57" applyNumberFormat="1" applyFill="0" applyBorder="1" applyAlignment="1" applyProtection="1">
      <x:protection locked="1" hidden="0"/>
    </x:xf>
    <x:xf numFmtId="0" fontId="8" fillId="5" borderId="58" applyNumberFormat="1" applyFill="0" applyBorder="1" applyAlignment="1" applyProtection="1">
      <x:protection locked="1" hidden="0"/>
    </x:xf>
    <x:xf numFmtId="0" fontId="8" fillId="5" borderId="59" applyNumberFormat="1" applyFill="0" applyBorder="1" applyAlignment="1" applyProtection="1">
      <x:protection locked="1" hidden="0"/>
    </x:xf>
    <x:xf numFmtId="0" fontId="24" fillId="2" borderId="0" applyNumberFormat="1" applyFill="0" applyBorder="0" applyAlignment="1" applyProtection="1">
      <x:protection locked="1" hidden="0"/>
    </x:xf>
    <x:xf numFmtId="0" fontId="5" fillId="0" borderId="31" applyNumberFormat="1" applyFill="1" applyBorder="1" applyAlignment="1" applyProtection="1">
      <x:protection locked="1" hidden="0"/>
    </x:xf>
    <x:xf numFmtId="0" fontId="5" fillId="5" borderId="34" applyNumberFormat="1" applyFill="0" applyBorder="1" applyAlignment="1" applyProtection="1">
      <x:protection locked="1" hidden="0"/>
    </x:xf>
    <x:xf numFmtId="0" fontId="5" fillId="5" borderId="4" applyNumberFormat="1" applyFill="0" applyBorder="1" applyAlignment="1" applyProtection="1">
      <x:protection locked="1" hidden="0"/>
    </x:xf>
    <x:xf numFmtId="0" fontId="5" fillId="5" borderId="36" applyNumberFormat="1" applyFill="0" applyBorder="1" applyAlignment="1" applyProtection="1">
      <x:protection locked="1" hidden="0"/>
    </x:xf>
    <x:xf numFmtId="0" fontId="5" fillId="0" borderId="34" applyNumberFormat="1" applyFill="1" applyBorder="1" applyAlignment="1" applyProtection="1">
      <x:protection locked="1" hidden="0"/>
    </x:xf>
    <x:xf numFmtId="0" fontId="5" fillId="0" borderId="36" applyNumberFormat="1" applyFill="1" applyBorder="1" applyAlignment="1" applyProtection="1">
      <x:protection locked="1" hidden="0"/>
    </x:xf>
    <x:xf numFmtId="0" fontId="5" fillId="5" borderId="35" applyNumberFormat="1" applyFill="0" applyBorder="1" applyAlignment="1" applyProtection="1">
      <x:protection locked="1" hidden="0"/>
    </x:xf>
    <x:xf numFmtId="0" fontId="5" fillId="5" borderId="3" applyNumberFormat="1" applyFill="0" applyBorder="1" applyAlignment="1" applyProtection="1">
      <x:protection locked="1" hidden="0"/>
    </x:xf>
    <x:xf numFmtId="0" fontId="5" fillId="5" borderId="37" applyNumberFormat="1" applyFill="0" applyBorder="1" applyAlignment="1" applyProtection="1">
      <x:protection locked="1" hidden="0"/>
    </x:xf>
    <x:xf numFmtId="0" fontId="5" fillId="0" borderId="38" applyNumberFormat="1" applyFill="1" applyBorder="1" applyAlignment="1" applyProtection="1">
      <x:protection locked="1" hidden="0"/>
    </x:xf>
    <x:xf numFmtId="0" fontId="5" fillId="0" borderId="39" applyNumberFormat="1" applyFill="1" applyBorder="1" applyAlignment="1" applyProtection="1">
      <x:protection locked="1" hidden="0"/>
    </x:xf>
    <x:xf numFmtId="0" fontId="5" fillId="5" borderId="31" applyNumberFormat="1" applyFill="0" applyBorder="1" applyAlignment="1" applyProtection="1">
      <x:protection locked="1" hidden="0"/>
    </x:xf>
    <x:xf numFmtId="0" fontId="5" fillId="0" borderId="40" applyNumberFormat="1" applyFill="1" applyBorder="1" applyAlignment="1" applyProtection="1">
      <x:protection locked="1" hidden="0"/>
    </x:xf>
    <x:xf numFmtId="0" fontId="5" fillId="5" borderId="38" applyNumberFormat="1" applyFill="0" applyBorder="1" applyAlignment="1" applyProtection="1">
      <x:protection locked="1" hidden="0"/>
    </x:xf>
    <x:xf numFmtId="0" fontId="5" fillId="5" borderId="39" applyNumberFormat="1" applyFill="0" applyBorder="1" applyAlignment="1" applyProtection="1">
      <x:protection locked="1" hidden="0"/>
    </x:xf>
    <x:xf numFmtId="0" fontId="5" fillId="0" borderId="35" applyNumberFormat="1" applyFill="1" applyBorder="1" applyAlignment="1" applyProtection="1">
      <x:protection locked="1" hidden="0"/>
    </x:xf>
    <x:xf numFmtId="0" fontId="5" fillId="0" borderId="37" applyNumberFormat="1" applyFill="1" applyBorder="1" applyAlignment="1" applyProtection="1">
      <x:protection locked="1" hidden="0"/>
    </x:xf>
    <x:xf numFmtId="164" fontId="0" fillId="0" borderId="32" applyNumberFormat="1" applyFill="1" applyBorder="1" applyAlignment="1" applyProtection="1">
      <x:protection locked="1" hidden="0"/>
    </x:xf>
    <x:xf numFmtId="164" fontId="4" fillId="0" borderId="33" applyNumberFormat="1" applyFill="1" applyBorder="1" applyAlignment="1" applyProtection="1">
      <x:protection locked="1" hidden="0"/>
    </x:xf>
    <x:xf numFmtId="164" fontId="4" fillId="5" borderId="7" applyNumberFormat="1" applyFill="0" applyBorder="1" applyAlignment="1" applyProtection="1">
      <x:protection locked="1" hidden="0"/>
    </x:xf>
    <x:xf numFmtId="2" fontId="4" fillId="5" borderId="33" applyNumberFormat="1" applyFill="0" applyBorder="1" applyAlignment="1" applyProtection="1">
      <x:protection locked="1" hidden="0"/>
    </x:xf>
    <x:xf numFmtId="2" fontId="4" fillId="5" borderId="32" applyNumberFormat="1" applyFill="0" applyBorder="1" applyAlignment="1" applyProtection="1">
      <x:protection locked="1" hidden="0"/>
    </x:xf>
    <x:xf numFmtId="164" fontId="4" fillId="5" borderId="32" applyNumberFormat="1" applyFill="0" applyBorder="1" applyAlignment="1" applyProtection="1">
      <x:protection locked="1" hidden="0"/>
    </x:xf>
    <x:xf numFmtId="169" fontId="4" fillId="5" borderId="31" applyNumberFormat="1" applyFill="0" applyBorder="1" applyAlignment="1" applyProtection="1">
      <x:protection locked="1" hidden="0"/>
    </x:xf>
    <x:xf numFmtId="164" fontId="4" fillId="5" borderId="33" applyNumberFormat="1" applyFill="0" applyBorder="1" applyAlignment="1" applyProtection="1">
      <x:protection locked="1" hidden="0"/>
    </x:xf>
    <x:xf numFmtId="164" fontId="7" fillId="4" borderId="31" applyNumberFormat="1" applyFill="0" applyBorder="1" applyAlignment="1" applyProtection="1">
      <x:protection locked="1" hidden="0"/>
    </x:xf>
    <x:xf numFmtId="166" fontId="4" fillId="5" borderId="33" applyNumberFormat="1" applyFill="0" applyBorder="1" applyAlignment="1" applyProtection="1">
      <x:protection locked="1" hidden="0"/>
    </x:xf>
    <x:xf numFmtId="169" fontId="7" fillId="4" borderId="31" applyNumberFormat="1" applyFill="0" applyBorder="1" applyAlignment="1" applyProtection="1">
      <x:protection locked="1" hidden="0"/>
    </x:xf>
    <x:xf numFmtId="0" fontId="4" fillId="0" borderId="31" applyNumberFormat="1" applyFill="1" applyBorder="1" applyAlignment="1" applyProtection="1">
      <x:protection locked="1" hidden="0"/>
    </x:xf>
    <x:xf numFmtId="166" fontId="0" fillId="0" borderId="32" applyNumberFormat="1" applyFill="1" applyBorder="1" applyAlignment="1" applyProtection="1">
      <x:protection locked="1" hidden="0"/>
    </x:xf>
    <x:xf numFmtId="166" fontId="4" fillId="0" borderId="33" applyNumberFormat="1" applyFill="1" applyBorder="1" applyAlignment="1" applyProtection="1">
      <x:protection locked="1" hidden="0"/>
    </x:xf>
    <x:xf numFmtId="171" fontId="4" fillId="5" borderId="32" applyNumberFormat="1" applyFill="0" applyBorder="1" applyAlignment="1" applyProtection="1">
      <x:protection locked="1" hidden="0"/>
    </x:xf>
    <x:xf numFmtId="166" fontId="4" fillId="5" borderId="32" applyNumberFormat="1" applyFill="0" applyBorder="1" applyAlignment="1" applyProtection="1">
      <x:protection locked="1" hidden="0"/>
    </x:xf>
    <x:xf numFmtId="2" fontId="0" fillId="0" borderId="32" applyNumberFormat="1" applyFill="1" applyBorder="1" applyAlignment="1" applyProtection="1">
      <x:protection locked="1" hidden="0"/>
    </x:xf>
    <x:xf numFmtId="2" fontId="4" fillId="0" borderId="33" applyNumberFormat="1" applyFill="1" applyBorder="1" applyAlignment="1" applyProtection="1">
      <x:protection locked="1" hidden="0"/>
    </x:xf>
    <x:xf numFmtId="1" fontId="0" fillId="0" borderId="32" applyNumberFormat="1" applyFill="1" applyBorder="1" applyAlignment="1" applyProtection="1">
      <x:protection locked="1" hidden="0"/>
    </x:xf>
    <x:xf numFmtId="1" fontId="4" fillId="0" borderId="33" applyNumberFormat="1" applyFill="1" applyBorder="1" applyAlignment="1" applyProtection="1">
      <x:protection locked="1" hidden="0"/>
    </x:xf>
    <x:xf numFmtId="1" fontId="4" fillId="5" borderId="32" applyNumberFormat="1" applyFill="0" applyBorder="1" applyAlignment="1" applyProtection="1">
      <x:protection locked="1" hidden="0"/>
    </x:xf>
    <x:xf numFmtId="1" fontId="4" fillId="5" borderId="33" applyNumberFormat="1" applyFill="0" applyBorder="1" applyAlignment="1" applyProtection="1">
      <x:protection locked="1" hidden="0"/>
    </x:xf>
    <x:xf numFmtId="1" fontId="7" fillId="4" borderId="31" applyNumberFormat="1" applyFill="0" applyBorder="1" applyAlignment="1" applyProtection="1">
      <x:protection locked="1" hidden="0"/>
    </x:xf>
    <x:xf numFmtId="166" fontId="4" fillId="5" borderId="31" applyNumberFormat="1" applyFill="0" applyBorder="1" applyAlignment="1" applyProtection="1">
      <x:protection locked="1" hidden="0"/>
    </x:xf>
    <x:xf numFmtId="2" fontId="4" fillId="5" borderId="31" applyNumberFormat="1" applyFill="0" applyBorder="1" applyAlignment="1" applyProtection="1">
      <x:protection locked="1" hidden="0"/>
    </x:xf>
    <x:xf numFmtId="2" fontId="7" fillId="4" borderId="31" applyNumberFormat="1" applyFill="0" applyBorder="1" applyAlignment="1" applyProtection="1">
      <x:protection locked="1" hidden="0"/>
    </x:xf>
    <x:xf numFmtId="164" fontId="4" fillId="5" borderId="31" applyNumberFormat="1" applyFill="0" applyBorder="1" applyAlignment="1" applyProtection="1">
      <x:protection locked="1" hidden="0"/>
    </x:xf>
    <x:xf numFmtId="1" fontId="4" fillId="5" borderId="31" applyNumberFormat="1" applyFill="0" applyBorder="1" applyAlignment="1" applyProtection="1">
      <x:protection locked="1" hidden="0"/>
    </x:xf>
    <x:xf numFmtId="0" fontId="3" fillId="5" borderId="0" applyNumberFormat="1" applyFill="0" applyBorder="0" applyAlignment="1" applyProtection="1">
      <x:protection locked="1" hidden="0"/>
    </x:xf>
  </x:cellStyleXfs>
  <x:cellXfs count="718">
    <x:xf numFmtId="0" fontId="0" fillId="0" borderId="0" xfId="0"/>
    <x:xf numFmtId="1" fontId="7" fillId="0" borderId="8" xfId="1" applyNumberFormat="1" applyFont="1" applyBorder="1" applyAlignment="1">
      <x:alignment horizontal="center" vertical="center"/>
    </x:xf>
    <x:xf numFmtId="0" fontId="6" fillId="0" borderId="0" xfId="0" applyFont="1" applyAlignment="1">
      <x:alignment horizontal="center" vertical="center"/>
    </x:xf>
    <x:xf numFmtId="0" fontId="6" fillId="0" borderId="0" xfId="1" applyFont="1" applyAlignment="1">
      <x:alignment horizontal="center" vertical="center"/>
    </x:xf>
    <x:xf numFmtId="170" fontId="7" fillId="0" borderId="0" xfId="1" applyNumberFormat="1" applyFont="1" applyAlignment="1">
      <x:alignment horizontal="center" vertical="center"/>
    </x:xf>
    <x:xf numFmtId="171" fontId="7" fillId="0" borderId="8" xfId="1" applyNumberFormat="1" applyFont="1" applyBorder="1" applyAlignment="1">
      <x:alignment horizontal="center" vertical="center"/>
    </x:xf>
    <x:xf numFmtId="169" fontId="7" fillId="0" borderId="8" xfId="1" applyNumberFormat="1" applyFont="1" applyBorder="1" applyAlignment="1">
      <x:alignment horizontal="center" vertical="center"/>
    </x:xf>
    <x:xf numFmtId="0" fontId="7" fillId="0" borderId="0" xfId="0" applyFont="1"/>
    <x:xf numFmtId="0" fontId="7" fillId="0" borderId="0" xfId="1" applyFont="1" applyAlignment="1">
      <x:alignment vertical="center"/>
    </x:xf>
    <x:xf numFmtId="0" fontId="8" fillId="0" borderId="0" xfId="1" applyFont="1" applyAlignment="1">
      <x:alignment horizontal="center" vertical="center"/>
    </x:xf>
    <x:xf numFmtId="1" fontId="8" fillId="0" borderId="0" xfId="1" applyNumberFormat="1" applyFont="1" applyAlignment="1">
      <x:alignment horizontal="center" vertical="center"/>
    </x:xf>
    <x:xf numFmtId="170" fontId="8" fillId="0" borderId="0" xfId="1" applyNumberFormat="1" applyFont="1" applyAlignment="1">
      <x:alignment horizontal="center" vertical="center"/>
    </x:xf>
    <x:xf numFmtId="171" fontId="8" fillId="0" borderId="0" xfId="1" applyNumberFormat="1" applyFont="1" applyAlignment="1">
      <x:alignment horizontal="center" vertical="center"/>
    </x:xf>
    <x:xf numFmtId="166" fontId="8" fillId="0" borderId="0" xfId="1" applyNumberFormat="1" applyFont="1" applyAlignment="1">
      <x:alignment horizontal="center" vertical="center"/>
    </x:xf>
    <x:xf numFmtId="169" fontId="8" fillId="0" borderId="0" xfId="1" applyNumberFormat="1" applyFont="1" applyAlignment="1">
      <x:alignment horizontal="center" vertical="center"/>
    </x:xf>
    <x:xf numFmtId="0" fontId="8" fillId="0" borderId="0" xfId="1" applyFont="1" applyAlignment="1">
      <x:alignment vertical="center"/>
    </x:xf>
    <x:xf numFmtId="164" fontId="8" fillId="0" borderId="0" xfId="1" applyNumberFormat="1" applyFont="1" applyAlignment="1">
      <x:alignment horizontal="center" vertical="center"/>
    </x:xf>
    <x:xf numFmtId="2" fontId="8" fillId="0" borderId="0" xfId="1" applyNumberFormat="1" applyFont="1" applyAlignment="1">
      <x:alignment horizontal="right" vertical="center"/>
    </x:xf>
    <x:xf numFmtId="1" fontId="8" fillId="0" borderId="0" xfId="1" applyNumberFormat="1" applyFont="1" applyAlignment="1">
      <x:alignment horizontal="left" vertical="center"/>
    </x:xf>
    <x:xf numFmtId="0" fontId="10" fillId="0" borderId="0" xfId="0" applyFont="1" applyAlignment="1">
      <x:alignment vertical="center"/>
    </x:xf>
    <x:xf numFmtId="0" fontId="11" fillId="0" borderId="0" xfId="0" applyFont="1"/>
    <x:xf numFmtId="0" fontId="10" fillId="0" borderId="0" xfId="0" applyFont="1"/>
    <x:xf numFmtId="0" fontId="11" fillId="0" borderId="0" xfId="0" applyFont="1" applyAlignment="1">
      <x:alignment horizontal="center" vertical="center"/>
    </x:xf>
    <x:xf numFmtId="0" fontId="11" fillId="3" borderId="0" xfId="0" applyFont="1" applyFill="1"/>
    <x:xf numFmtId="0" fontId="11" fillId="0" borderId="0" xfId="0" applyFont="1" applyAlignment="1">
      <x:alignment vertical="top"/>
    </x:xf>
    <x:xf numFmtId="0" fontId="11" fillId="0" borderId="0" xfId="0" applyFont="1" applyAlignment="1">
      <x:alignment vertical="top" wrapText="1"/>
    </x:xf>
    <x:xf numFmtId="0" fontId="11" fillId="0" borderId="0" xfId="0" applyFont="1" applyAlignment="1">
      <x:alignment vertical="center"/>
    </x:xf>
    <x:xf numFmtId="0" fontId="10" fillId="0" borderId="0" xfId="0" applyFont="1" applyAlignment="1">
      <x:alignment horizontal="left"/>
    </x:xf>
    <x:xf numFmtId="0" fontId="11" fillId="3" borderId="0" xfId="0" applyFont="1" applyFill="1" applyAlignment="1">
      <x:alignment vertical="top"/>
    </x:xf>
    <x:xf numFmtId="0" fontId="11" fillId="0" borderId="0" xfId="0" applyFont="1" applyAlignment="1">
      <x:alignment horizontal="center" vertical="center" wrapText="1"/>
    </x:xf>
    <x:xf numFmtId="0" fontId="10" fillId="0" borderId="0" xfId="0" applyFont="1" applyAlignment="1">
      <x:alignment horizontal="left" vertical="top"/>
    </x:xf>
    <x:xf numFmtId="0" fontId="11" fillId="0" borderId="0" xfId="0" applyFont="1" applyAlignment="1">
      <x:alignment horizontal="left" vertical="top" wrapText="1"/>
    </x:xf>
    <x:xf numFmtId="167" fontId="10" fillId="0" borderId="0" xfId="0" applyNumberFormat="1" applyFont="1" applyAlignment="1">
      <x:alignment horizontal="left" vertical="top"/>
    </x:xf>
    <x:xf numFmtId="0" fontId="3" fillId="5" borderId="0" xfId="0" applyFont="1" applyFill="1"/>
    <x:xf numFmtId="2" fontId="4" fillId="5" borderId="32" xfId="0" applyNumberFormat="1" applyFont="1" applyFill="1" applyBorder="1" applyAlignment="1">
      <x:alignment vertical="center"/>
    </x:xf>
    <x:xf numFmtId="2" fontId="4" fillId="5" borderId="33" xfId="0" applyNumberFormat="1" applyFont="1" applyFill="1" applyBorder="1" applyAlignment="1">
      <x:alignment vertical="center"/>
    </x:xf>
    <x:xf numFmtId="166" fontId="4" fillId="5" borderId="32" xfId="0" applyNumberFormat="1" applyFont="1" applyFill="1" applyBorder="1" applyAlignment="1">
      <x:alignment vertical="center"/>
    </x:xf>
    <x:xf numFmtId="166" fontId="4" fillId="5" borderId="33" xfId="0" applyNumberFormat="1" applyFont="1" applyFill="1" applyBorder="1" applyAlignment="1">
      <x:alignment vertical="center"/>
    </x:xf>
    <x:xf numFmtId="2" fontId="4" fillId="5" borderId="32" xfId="0" applyNumberFormat="1" applyFont="1" applyFill="1" applyBorder="1" applyAlignment="1">
      <x:alignment horizontal="right"/>
    </x:xf>
    <x:xf numFmtId="164" fontId="4" fillId="5" borderId="32" xfId="0" applyNumberFormat="1" applyFont="1" applyFill="1" applyBorder="1" applyAlignment="1">
      <x:alignment vertical="center"/>
    </x:xf>
    <x:xf numFmtId="164" fontId="4" fillId="5" borderId="33" xfId="0" applyNumberFormat="1" applyFont="1" applyFill="1" applyBorder="1" applyAlignment="1">
      <x:alignment vertical="center"/>
    </x:xf>
    <x:xf numFmtId="1" fontId="4" fillId="5" borderId="32" xfId="0" applyNumberFormat="1" applyFont="1" applyFill="1" applyBorder="1" applyAlignment="1">
      <x:alignment vertical="center"/>
    </x:xf>
    <x:xf numFmtId="1" fontId="4" fillId="5" borderId="33" xfId="0" applyNumberFormat="1" applyFont="1" applyFill="1" applyBorder="1" applyAlignment="1">
      <x:alignment vertical="center"/>
    </x:xf>
    <x:xf numFmtId="164" fontId="0" fillId="0" borderId="32" xfId="0" applyNumberFormat="1" applyBorder="1"/>
    <x:xf numFmtId="164" fontId="4" fillId="0" borderId="33" xfId="0" applyNumberFormat="1" applyFont="1" applyBorder="1"/>
    <x:xf numFmtId="2" fontId="0" fillId="0" borderId="32" xfId="0" applyNumberFormat="1" applyBorder="1"/>
    <x:xf numFmtId="2" fontId="4" fillId="0" borderId="33" xfId="0" applyNumberFormat="1" applyFont="1" applyBorder="1"/>
    <x:xf numFmtId="166" fontId="0" fillId="0" borderId="32" xfId="0" applyNumberFormat="1" applyBorder="1"/>
    <x:xf numFmtId="166" fontId="4" fillId="0" borderId="33" xfId="0" applyNumberFormat="1" applyFont="1" applyBorder="1"/>
    <x:xf numFmtId="1" fontId="0" fillId="0" borderId="32" xfId="0" applyNumberFormat="1" applyBorder="1"/>
    <x:xf numFmtId="1" fontId="4" fillId="0" borderId="33" xfId="0" applyNumberFormat="1" applyFont="1" applyBorder="1"/>
    <x:xf numFmtId="164" fontId="4" fillId="5" borderId="7" xfId="0" applyNumberFormat="1" applyFont="1" applyFill="1" applyBorder="1" applyAlignment="1">
      <x:alignment vertical="center"/>
    </x:xf>
    <x:xf numFmtId="171" fontId="4" fillId="5" borderId="32" xfId="0" applyNumberFormat="1" applyFont="1" applyFill="1" applyBorder="1" applyAlignment="1">
      <x:alignment horizontal="right"/>
    </x:xf>
    <x:xf numFmtId="0" fontId="11" fillId="3" borderId="0" xfId="0" applyFont="1" applyFill="1" applyProtection="1">
      <x:protection locked="0"/>
    </x:xf>
    <x:xf numFmtId="0" fontId="11" fillId="0" borderId="0" xfId="0" applyFont="1" applyProtection="1">
      <x:protection locked="0"/>
    </x:xf>
    <x:xf numFmtId="0" fontId="4" fillId="0" borderId="0" xfId="0" applyFont="1" applyAlignment="1">
      <x:alignment vertical="top" wrapText="1"/>
    </x:xf>
    <x:xf numFmtId="0" fontId="11" fillId="3" borderId="0" xfId="0" applyFont="1" applyFill="1" applyAlignment="1">
      <x:alignment vertical="center"/>
    </x:xf>
    <x:xf numFmtId="0" fontId="11" fillId="3" borderId="0" xfId="0" applyFont="1" applyFill="1" applyAlignment="1" applyProtection="1">
      <x:alignment vertical="center"/>
      <x:protection locked="0"/>
    </x:xf>
    <x:xf numFmtId="0" fontId="11" fillId="0" borderId="0" xfId="0" applyFont="1" applyAlignment="1" applyProtection="1">
      <x:alignment vertical="center"/>
      <x:protection locked="0"/>
    </x:xf>
    <x:xf numFmtId="0" fontId="11" fillId="0" borderId="0" xfId="0" applyFont="1" applyAlignment="1">
      <x:alignment vertical="center" wrapText="1"/>
    </x:xf>
    <x:xf numFmtId="0" fontId="14" fillId="3" borderId="0" xfId="0" applyFont="1" applyFill="1"/>
    <x:xf numFmtId="0" fontId="14" fillId="0" borderId="0" xfId="0" applyFont="1"/>
    <x:xf numFmtId="0" fontId="15" fillId="0" borderId="0" xfId="0" applyFont="1"/>
    <x:xf numFmtId="0" fontId="16" fillId="0" borderId="0" xfId="0" applyFont="1"/>
    <x:xf numFmtId="0" fontId="10" fillId="0" borderId="0" xfId="0" applyFont="1" applyAlignment="1">
      <x:alignment horizontal="left" vertical="center"/>
    </x:xf>
    <x:xf numFmtId="167" fontId="10" fillId="0" borderId="0" xfId="0" applyNumberFormat="1" applyFont="1" applyAlignment="1">
      <x:alignment horizontal="left" vertical="center"/>
    </x:xf>
    <x:xf numFmtId="0" fontId="11" fillId="0" borderId="0" xfId="0" applyFont="1" applyAlignment="1">
      <x:alignment horizontal="left" vertical="top"/>
    </x:xf>
    <x:xf numFmtId="0" fontId="11" fillId="0" borderId="0" xfId="0" applyFont="1" applyAlignment="1" applyProtection="1">
      <x:alignment vertical="top" wrapText="1"/>
      <x:protection locked="0"/>
    </x:xf>
    <x:xf numFmtId="0" fontId="10" fillId="0" borderId="0" xfId="0" applyFont="1" applyAlignment="1" applyProtection="1">
      <x:alignment vertical="top"/>
      <x:protection locked="0"/>
    </x:xf>
    <x:xf numFmtId="2" fontId="11" fillId="0" borderId="0" xfId="0" applyNumberFormat="1" applyFont="1" applyAlignment="1">
      <x:alignment horizontal="center" vertical="center"/>
    </x:xf>
    <x:xf numFmtId="0" fontId="7" fillId="0" borderId="76" xfId="1" applyFont="1" applyBorder="1" applyAlignment="1">
      <x:alignment horizontal="center" vertical="center"/>
    </x:xf>
    <x:xf numFmtId="1" fontId="7" fillId="0" borderId="77" xfId="1" applyNumberFormat="1" applyFont="1" applyBorder="1" applyAlignment="1">
      <x:alignment horizontal="center" vertical="center"/>
    </x:xf>
    <x:xf numFmtId="0" fontId="7" fillId="0" borderId="79" xfId="1" applyFont="1" applyBorder="1" applyAlignment="1">
      <x:alignment horizontal="center" vertical="center"/>
    </x:xf>
    <x:xf numFmtId="0" fontId="7" fillId="0" borderId="81" xfId="1" applyFont="1" applyBorder="1" applyAlignment="1">
      <x:alignment horizontal="center" vertical="center"/>
    </x:xf>
    <x:xf numFmtId="1" fontId="7" fillId="0" borderId="82" xfId="1" applyNumberFormat="1" applyFont="1" applyBorder="1" applyAlignment="1">
      <x:alignment horizontal="center" vertical="center"/>
    </x:xf>
    <x:xf numFmtId="0" fontId="7" fillId="0" borderId="84" xfId="1" applyFont="1" applyBorder="1" applyAlignment="1">
      <x:alignment horizontal="center" vertical="center"/>
    </x:xf>
    <x:xf numFmtId="1" fontId="7" fillId="0" borderId="72" xfId="1" applyNumberFormat="1" applyFont="1" applyBorder="1" applyAlignment="1">
      <x:alignment horizontal="center" vertical="center"/>
    </x:xf>
    <x:xf numFmtId="170" fontId="7" fillId="0" borderId="86" xfId="1" applyNumberFormat="1" applyFont="1" applyBorder="1" applyAlignment="1">
      <x:alignment horizontal="center" vertical="center"/>
    </x:xf>
    <x:xf numFmtId="170" fontId="7" fillId="0" borderId="87" xfId="1" applyNumberFormat="1" applyFont="1" applyBorder="1" applyAlignment="1">
      <x:alignment horizontal="center" vertical="center"/>
    </x:xf>
    <x:xf numFmtId="170" fontId="7" fillId="0" borderId="88" xfId="1" applyNumberFormat="1" applyFont="1" applyBorder="1" applyAlignment="1">
      <x:alignment horizontal="center" vertical="center"/>
    </x:xf>
    <x:xf numFmtId="166" fontId="7" fillId="0" borderId="78" xfId="1" applyNumberFormat="1" applyFont="1" applyBorder="1" applyAlignment="1">
      <x:alignment horizontal="center" vertical="center"/>
    </x:xf>
    <x:xf numFmtId="166" fontId="7" fillId="0" borderId="80" xfId="1" applyNumberFormat="1" applyFont="1" applyBorder="1" applyAlignment="1">
      <x:alignment horizontal="center" vertical="center"/>
    </x:xf>
    <x:xf numFmtId="166" fontId="7" fillId="0" borderId="83" xfId="1" applyNumberFormat="1" applyFont="1" applyBorder="1" applyAlignment="1">
      <x:alignment horizontal="center" vertical="center"/>
    </x:xf>
    <x:xf numFmtId="169" fontId="7" fillId="0" borderId="77" xfId="1" applyNumberFormat="1" applyFont="1" applyBorder="1" applyAlignment="1">
      <x:alignment horizontal="center" vertical="center"/>
    </x:xf>
    <x:xf numFmtId="169" fontId="7" fillId="0" borderId="82" xfId="1" applyNumberFormat="1" applyFont="1" applyBorder="1" applyAlignment="1">
      <x:alignment horizontal="center" vertical="center"/>
    </x:xf>
    <x:xf numFmtId="169" fontId="7" fillId="0" borderId="86" xfId="1" applyNumberFormat="1" applyFont="1" applyBorder="1" applyAlignment="1">
      <x:alignment horizontal="center" vertical="center"/>
    </x:xf>
    <x:xf numFmtId="169" fontId="7" fillId="0" borderId="87" xfId="1" applyNumberFormat="1" applyFont="1" applyBorder="1" applyAlignment="1">
      <x:alignment horizontal="center" vertical="center"/>
    </x:xf>
    <x:xf numFmtId="169" fontId="7" fillId="0" borderId="88" xfId="1" applyNumberFormat="1" applyFont="1" applyBorder="1" applyAlignment="1">
      <x:alignment horizontal="center" vertical="center"/>
    </x:xf>
    <x:xf numFmtId="171" fontId="7" fillId="0" borderId="77" xfId="1" applyNumberFormat="1" applyFont="1" applyBorder="1" applyAlignment="1">
      <x:alignment horizontal="center" vertical="center"/>
    </x:xf>
    <x:xf numFmtId="171" fontId="7" fillId="0" borderId="82" xfId="1" applyNumberFormat="1" applyFont="1" applyBorder="1" applyAlignment="1">
      <x:alignment horizontal="center" vertical="center"/>
    </x:xf>
    <x:xf numFmtId="171" fontId="7" fillId="0" borderId="91" xfId="1" applyNumberFormat="1" applyFont="1" applyBorder="1" applyAlignment="1">
      <x:alignment horizontal="center" vertical="center"/>
    </x:xf>
    <x:xf numFmtId="1" fontId="7" fillId="0" borderId="91" xfId="1" applyNumberFormat="1" applyFont="1" applyBorder="1" applyAlignment="1">
      <x:alignment horizontal="center" vertical="center"/>
    </x:xf>
    <x:xf numFmtId="170" fontId="7" fillId="0" borderId="76" xfId="1" applyNumberFormat="1" applyFont="1" applyBorder="1" applyAlignment="1">
      <x:alignment horizontal="center" vertical="center"/>
    </x:xf>
    <x:xf numFmtId="164" fontId="7" fillId="0" borderId="78" xfId="1" applyNumberFormat="1" applyFont="1" applyBorder="1" applyAlignment="1">
      <x:alignment horizontal="center" vertical="center"/>
    </x:xf>
    <x:xf numFmtId="170" fontId="7" fillId="0" borderId="79" xfId="1" applyNumberFormat="1" applyFont="1" applyBorder="1" applyAlignment="1">
      <x:alignment horizontal="center" vertical="center"/>
    </x:xf>
    <x:xf numFmtId="164" fontId="7" fillId="0" borderId="80" xfId="1" applyNumberFormat="1" applyFont="1" applyBorder="1" applyAlignment="1">
      <x:alignment horizontal="center" vertical="center"/>
    </x:xf>
    <x:xf numFmtId="170" fontId="7" fillId="0" borderId="81" xfId="1" applyNumberFormat="1" applyFont="1" applyBorder="1" applyAlignment="1">
      <x:alignment horizontal="center" vertical="center"/>
    </x:xf>
    <x:xf numFmtId="164" fontId="7" fillId="0" borderId="83" xfId="1" applyNumberFormat="1" applyFont="1" applyBorder="1" applyAlignment="1">
      <x:alignment horizontal="center" vertical="center"/>
    </x:xf>
    <x:xf numFmtId="170" fontId="7" fillId="0" borderId="84" xfId="1" applyNumberFormat="1" applyFont="1" applyBorder="1" applyAlignment="1">
      <x:alignment horizontal="center" vertical="center"/>
    </x:xf>
    <x:xf numFmtId="171" fontId="7" fillId="0" borderId="72" xfId="1" applyNumberFormat="1" applyFont="1" applyBorder="1" applyAlignment="1">
      <x:alignment horizontal="center" vertical="center"/>
    </x:xf>
    <x:xf numFmtId="164" fontId="7" fillId="0" borderId="85" xfId="1" applyNumberFormat="1" applyFont="1" applyBorder="1" applyAlignment="1">
      <x:alignment horizontal="center" vertical="center"/>
    </x:xf>
    <x:xf numFmtId="165" fontId="6" fillId="0" borderId="77" xfId="1" applyNumberFormat="1" applyFont="1" applyBorder="1" applyAlignment="1">
      <x:alignment horizontal="center" vertical="center"/>
    </x:xf>
    <x:xf numFmtId="165" fontId="6" fillId="0" borderId="82" xfId="1" applyNumberFormat="1" applyFont="1" applyBorder="1" applyAlignment="1">
      <x:alignment horizontal="center" vertical="center"/>
    </x:xf>
    <x:xf numFmtId="166" fontId="7" fillId="0" borderId="76" xfId="1" applyNumberFormat="1" applyFont="1" applyBorder="1" applyAlignment="1">
      <x:alignment horizontal="right" vertical="center"/>
    </x:xf>
    <x:xf numFmtId="1" fontId="7" fillId="0" borderId="78" xfId="1" applyNumberFormat="1" applyFont="1" applyBorder="1" applyAlignment="1">
      <x:alignment horizontal="left" vertical="center"/>
    </x:xf>
    <x:xf numFmtId="166" fontId="7" fillId="0" borderId="79" xfId="1" applyNumberFormat="1" applyFont="1" applyBorder="1" applyAlignment="1">
      <x:alignment horizontal="right" vertical="center"/>
    </x:xf>
    <x:xf numFmtId="1" fontId="7" fillId="0" borderId="80" xfId="1" applyNumberFormat="1" applyFont="1" applyBorder="1" applyAlignment="1">
      <x:alignment horizontal="left" vertical="center"/>
    </x:xf>
    <x:xf numFmtId="166" fontId="7" fillId="0" borderId="81" xfId="1" applyNumberFormat="1" applyFont="1" applyBorder="1" applyAlignment="1">
      <x:alignment horizontal="right" vertical="center"/>
    </x:xf>
    <x:xf numFmtId="1" fontId="7" fillId="0" borderId="83" xfId="1" applyNumberFormat="1" applyFont="1" applyBorder="1" applyAlignment="1">
      <x:alignment horizontal="left" vertical="center"/>
    </x:xf>
    <x:xf numFmtId="164" fontId="7" fillId="0" borderId="16" xfId="1" applyNumberFormat="1" applyFont="1" applyBorder="1" applyAlignment="1">
      <x:alignment horizontal="center" vertical="center"/>
    </x:xf>
    <x:xf numFmtId="168" fontId="7" fillId="0" borderId="79" xfId="1" applyNumberFormat="1" applyFont="1" applyBorder="1" applyAlignment="1">
      <x:alignment horizontal="right" vertical="center"/>
    </x:xf>
    <x:xf numFmtId="169" fontId="7" fillId="0" borderId="79" xfId="1" applyNumberFormat="1" applyFont="1" applyBorder="1" applyAlignment="1">
      <x:alignment horizontal="right" vertical="center"/>
    </x:xf>
    <x:xf numFmtId="2" fontId="7" fillId="0" borderId="79" xfId="1" applyNumberFormat="1" applyFont="1" applyBorder="1" applyAlignment="1">
      <x:alignment horizontal="right" vertical="center"/>
    </x:xf>
    <x:xf numFmtId="2" fontId="7" fillId="0" borderId="81" xfId="1" applyNumberFormat="1" applyFont="1" applyBorder="1" applyAlignment="1">
      <x:alignment horizontal="right" vertical="center"/>
    </x:xf>
    <x:xf numFmtId="164" fontId="7" fillId="0" borderId="89" xfId="1" applyNumberFormat="1" applyFont="1" applyBorder="1" applyAlignment="1">
      <x:alignment horizontal="center" vertical="center"/>
    </x:xf>
    <x:xf numFmtId="164" fontId="7" fillId="0" borderId="90" xfId="1" applyNumberFormat="1" applyFont="1" applyBorder="1" applyAlignment="1">
      <x:alignment horizontal="center" vertical="center"/>
    </x:xf>
    <x:xf numFmtId="168" fontId="7" fillId="0" borderId="81" xfId="1" applyNumberFormat="1" applyFont="1" applyBorder="1" applyAlignment="1">
      <x:alignment horizontal="right" vertical="center"/>
    </x:xf>
    <x:xf numFmtId="168" fontId="7" fillId="0" borderId="76" xfId="1" applyNumberFormat="1" applyFont="1" applyBorder="1" applyAlignment="1">
      <x:alignment horizontal="right" vertical="center"/>
    </x:xf>
    <x:xf numFmtId="169" fontId="7" fillId="0" borderId="76" xfId="1" applyNumberFormat="1" applyFont="1" applyBorder="1" applyAlignment="1">
      <x:alignment horizontal="right"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17" fillId="2" borderId="0" xfId="0" applyFont="1" applyFill="1"/>
    <x:xf numFmtId="0" fontId="17" fillId="5" borderId="41" xfId="0" applyFont="1" applyFill="1" applyBorder="1"/>
    <x:xf numFmtId="0" fontId="17" fillId="5" borderId="42" xfId="0" applyFont="1" applyFill="1" applyBorder="1"/>
    <x:xf numFmtId="0" fontId="17" fillId="5" borderId="43" xfId="0" applyFont="1" applyFill="1" applyBorder="1"/>
    <x:xf numFmtId="0" fontId="17" fillId="0" borderId="0" xfId="0" applyFont="1"/>
    <x:xf numFmtId="0" fontId="17" fillId="5" borderId="44" xfId="0" applyFont="1" applyFill="1" applyBorder="1"/>
    <x:xf numFmtId="0" fontId="17" fillId="5" borderId="0" xfId="0" applyFont="1" applyFill="1"/>
    <x:xf numFmtId="0" fontId="17" fillId="5" borderId="45" xfId="0" applyFont="1" applyFill="1" applyBorder="1"/>
    <x:xf numFmtId="0" fontId="18" fillId="5" borderId="0" xfId="0" applyFont="1" applyFill="1"/>
    <x:xf numFmtId="0" fontId="19" fillId="5" borderId="44" xfId="0" applyFont="1" applyFill="1" applyBorder="1"/>
    <x:xf numFmtId="0" fontId="17" fillId="5" borderId="46" xfId="0" applyFont="1" applyFill="1" applyBorder="1"/>
    <x:xf numFmtId="0" fontId="17" fillId="5" borderId="1" xfId="0" applyFont="1" applyFill="1" applyBorder="1"/>
    <x:xf numFmtId="0" fontId="17" fillId="5" borderId="47" xfId="0" applyFont="1" applyFill="1" applyBorder="1"/>
    <x:xf numFmtId="0" fontId="20" fillId="2" borderId="0" xfId="0" applyFont="1" applyFill="1"/>
    <x:xf numFmtId="0" fontId="7" fillId="5" borderId="44" xfId="0" applyFont="1" applyFill="1" applyBorder="1"/>
    <x:xf numFmtId="0" fontId="7" fillId="5" borderId="0" xfId="0" applyFont="1" applyFill="1"/>
    <x:xf numFmtId="0" fontId="7" fillId="5" borderId="0" xfId="0" applyFont="1" applyFill="1" applyAlignment="1">
      <x:alignment vertical="center"/>
    </x:xf>
    <x:xf numFmtId="0" fontId="7" fillId="5" borderId="2" xfId="0" applyFont="1" applyFill="1" applyBorder="1" applyAlignment="1">
      <x:alignment vertical="center"/>
    </x:xf>
    <x:xf numFmtId="0" fontId="7" fillId="5" borderId="45" xfId="0" applyFont="1" applyFill="1" applyBorder="1"/>
    <x:xf numFmtId="0" fontId="8" fillId="2" borderId="0" xfId="0" applyFont="1" applyFill="1"/>
    <x:xf numFmtId="0" fontId="20" fillId="0" borderId="0" xfId="0" applyFont="1"/>
    <x:xf numFmtId="0" fontId="7" fillId="5" borderId="44" xfId="0" applyFont="1" applyFill="1" applyBorder="1" applyAlignment="1">
      <x:alignment horizontal="left"/>
    </x:xf>
    <x:xf numFmtId="0" fontId="7" fillId="5" borderId="0" xfId="0" applyFont="1" applyFill="1" applyAlignment="1">
      <x:alignment horizontal="left"/>
    </x:xf>
    <x:xf numFmtId="0" fontId="7" fillId="5" borderId="0" xfId="0" applyFont="1" applyFill="1" applyAlignment="1">
      <x:alignment horizontal="center"/>
    </x:xf>
    <x:xf numFmtId="0" fontId="7" fillId="5" borderId="45" xfId="0" applyFont="1" applyFill="1" applyBorder="1" applyAlignment="1">
      <x:alignment horizontal="left"/>
    </x:xf>
    <x:xf numFmtId="0" fontId="7" fillId="5" borderId="66" xfId="0" applyFont="1" applyFill="1" applyBorder="1"/>
    <x:xf numFmtId="0" fontId="7" fillId="5" borderId="67" xfId="0" applyFont="1" applyFill="1" applyBorder="1"/>
    <x:xf numFmtId="0" fontId="7" fillId="5" borderId="68" xfId="0" applyFont="1" applyFill="1" applyBorder="1"/>
    <x:xf numFmtId="0" fontId="7" fillId="5" borderId="69" xfId="0" applyFont="1" applyFill="1" applyBorder="1"/>
    <x:xf numFmtId="0" fontId="7" fillId="5" borderId="70" xfId="0" applyFont="1" applyFill="1" applyBorder="1"/>
    <x:xf numFmtId="0" fontId="7" fillId="5" borderId="71" xfId="0" applyFont="1" applyFill="1" applyBorder="1"/>
    <x:xf numFmtId="0" fontId="21" fillId="5" borderId="0" xfId="0" applyFont="1" applyFill="1"/>
    <x:xf numFmtId="0" fontId="7" fillId="5" borderId="0" xfId="0" applyFont="1" applyFill="1" applyAlignment="1">
      <x:alignment horizontal="right"/>
    </x:xf>
    <x:xf numFmtId="20" fontId="7" fillId="5" borderId="0" xfId="0" applyNumberFormat="1" applyFont="1" applyFill="1" applyAlignment="1">
      <x:alignment vertical="center"/>
    </x:xf>
    <x:xf numFmtId="20" fontId="7" fillId="5" borderId="0" xfId="0" applyNumberFormat="1" applyFont="1" applyFill="1" applyAlignment="1">
      <x:alignment vertical="center" wrapText="1"/>
    </x:xf>
    <x:xf numFmtId="0" fontId="7" fillId="5" borderId="0" xfId="0" applyFont="1" applyFill="1" applyAlignment="1">
      <x:alignment vertical="center" wrapText="1"/>
    </x:xf>
    <x:xf numFmtId="0" fontId="7" fillId="5" borderId="23" xfId="0" applyFont="1" applyFill="1" applyBorder="1"/>
    <x:xf numFmtId="0" fontId="6" fillId="6" borderId="63" xfId="0" applyFont="1" applyFill="1" applyBorder="1"/>
    <x:xf numFmtId="0" fontId="6" fillId="6" borderId="64" xfId="0" applyFont="1" applyFill="1" applyBorder="1"/>
    <x:xf numFmtId="0" fontId="6" fillId="6" borderId="65" xfId="0" applyFont="1" applyFill="1" applyBorder="1"/>
    <x:xf numFmtId="0" fontId="7" fillId="5" borderId="0" xfId="0" applyFont="1" applyFill="1" applyAlignment="1">
      <x:alignment vertical="top"/>
    </x:xf>
    <x:xf numFmtId="0" fontId="6" fillId="5" borderId="0" xfId="0" applyFont="1" applyFill="1"/>
    <x:xf numFmtId="0" fontId="7" fillId="5" borderId="2" xfId="0" applyFont="1" applyFill="1" applyBorder="1"/>
    <x:xf numFmtId="0" fontId="20" fillId="5" borderId="44" xfId="0" applyFont="1" applyFill="1" applyBorder="1" applyAlignment="1">
      <x:alignment vertical="center"/>
    </x:xf>
    <x:xf numFmtId="0" fontId="20" fillId="5" borderId="0" xfId="0" applyFont="1" applyFill="1" applyAlignment="1">
      <x:alignment vertical="center"/>
    </x:xf>
    <x:xf numFmtId="0" fontId="20" fillId="5" borderId="45" xfId="0" applyFont="1" applyFill="1" applyBorder="1" applyAlignment="1">
      <x:alignment vertical="center"/>
    </x:xf>
    <x:xf numFmtId="0" fontId="7" fillId="2" borderId="0" xfId="0" applyFont="1" applyFill="1"/>
    <x:xf numFmtId="0" fontId="7" fillId="5" borderId="44" xfId="0" applyFont="1" applyFill="1" applyBorder="1" applyAlignment="1">
      <x:alignment vertical="center"/>
    </x:xf>
    <x:xf numFmtId="0" fontId="6" fillId="5" borderId="0" xfId="0" applyFont="1" applyFill="1" applyAlignment="1">
      <x:alignment vertical="center"/>
    </x:xf>
    <x:xf numFmtId="0" fontId="7" fillId="5" borderId="45" xfId="0" applyFont="1" applyFill="1" applyBorder="1" applyAlignment="1">
      <x:alignment vertical="center"/>
    </x:xf>
    <x:xf numFmtId="0" fontId="7" fillId="2" borderId="0" xfId="0" applyFont="1" applyFill="1" applyAlignment="1">
      <x:alignment vertical="center"/>
    </x:xf>
    <x:xf numFmtId="0" fontId="7" fillId="0" borderId="0" xfId="0" applyFont="1" applyAlignment="1">
      <x:alignment vertical="center"/>
    </x:xf>
    <x:xf numFmtId="0" fontId="7" fillId="0" borderId="85" xfId="1" applyFont="1" applyBorder="1" applyAlignment="1">
      <x:alignment horizontal="center" vertical="center"/>
    </x:xf>
    <x:xf numFmtId="0" fontId="7" fillId="0" borderId="77" xfId="1" applyFont="1" applyBorder="1" applyAlignment="1">
      <x:alignment horizontal="center" vertical="center"/>
    </x:xf>
    <x:xf numFmtId="0" fontId="20" fillId="0" borderId="7" xfId="0" applyFont="1" applyBorder="1"/>
    <x:xf numFmtId="1" fontId="20" fillId="0" borderId="33" xfId="0" applyNumberFormat="1" applyFont="1" applyBorder="1"/>
    <x:xf numFmtId="168" fontId="7" fillId="0" borderId="8" xfId="1" applyNumberFormat="1" applyFont="1" applyBorder="1" applyAlignment="1">
      <x:alignment horizontal="center" vertical="center"/>
    </x:xf>
    <x:xf numFmtId="0" fontId="7" fillId="0" borderId="80" xfId="1" applyFont="1" applyBorder="1" applyAlignment="1">
      <x:alignment horizontal="center" vertical="center"/>
    </x:xf>
    <x:xf numFmtId="0" fontId="7" fillId="0" borderId="8" xfId="1" applyFont="1" applyBorder="1" applyAlignment="1">
      <x:alignment horizontal="center" vertical="center"/>
    </x:xf>
    <x:xf numFmtId="0" fontId="7" fillId="0" borderId="83" xfId="1" applyFont="1" applyBorder="1" applyAlignment="1">
      <x:alignment horizontal="center" vertical="center"/>
    </x:xf>
    <x:xf numFmtId="0" fontId="7" fillId="0" borderId="82" xfId="1" applyFont="1" applyBorder="1" applyAlignment="1">
      <x:alignment horizontal="center" vertical="center"/>
    </x:xf>
    <x:xf numFmtId="0" fontId="8" fillId="5" borderId="0" xfId="0" applyFont="1" applyFill="1" applyAlignment="1">
      <x:alignment horizontal="center" vertical="center"/>
    </x:xf>
    <x:xf numFmtId="0" fontId="8" fillId="5" borderId="0" xfId="0" applyFont="1" applyFill="1" applyAlignment="1">
      <x:alignment horizontal="right" vertical="center"/>
    </x:xf>
    <x:xf numFmtId="0" fontId="8" fillId="5" borderId="0" xfId="0" applyFont="1" applyFill="1" applyAlignment="1">
      <x:alignment horizontal="left" vertical="center"/>
    </x:xf>
    <x:xf numFmtId="0" fontId="8" fillId="5" borderId="0" xfId="0" applyFont="1" applyFill="1" applyAlignment="1">
      <x:alignment horizontal="center"/>
    </x:xf>
    <x:xf numFmtId="1" fontId="8" fillId="5" borderId="0" xfId="0" applyNumberFormat="1" applyFont="1" applyFill="1" applyAlignment="1">
      <x:alignment horizontal="center"/>
    </x:xf>
    <x:xf numFmtId="1" fontId="8" fillId="2" borderId="0" xfId="0" applyNumberFormat="1" applyFont="1" applyFill="1" applyAlignment="1">
      <x:alignment horizontal="center"/>
    </x:xf>
    <x:xf numFmtId="169" fontId="8" fillId="2" borderId="0" xfId="0" applyNumberFormat="1" applyFont="1" applyFill="1" applyAlignment="1">
      <x:alignment horizontal="center"/>
    </x:xf>
    <x:xf numFmtId="0" fontId="7" fillId="0" borderId="78" xfId="1" applyFont="1" applyBorder="1" applyAlignment="1">
      <x:alignment horizontal="center" vertical="center"/>
    </x:xf>
    <x:xf numFmtId="2" fontId="7" fillId="0" borderId="8" xfId="1" applyNumberFormat="1" applyFont="1" applyBorder="1" applyAlignment="1">
      <x:alignment horizontal="center" vertical="center"/>
    </x:xf>
    <x:xf numFmtId="0" fontId="8" fillId="5" borderId="51" xfId="0" applyFont="1" applyFill="1" applyBorder="1" applyAlignment="1">
      <x:alignment horizontal="left"/>
    </x:xf>
    <x:xf numFmtId="0" fontId="8" fillId="5" borderId="2" xfId="0" applyFont="1" applyFill="1" applyBorder="1" applyAlignment="1">
      <x:alignment horizontal="center"/>
    </x:xf>
    <x:xf numFmtId="0" fontId="8" fillId="5" borderId="2" xfId="0" applyFont="1" applyFill="1" applyBorder="1"/>
    <x:xf numFmtId="0" fontId="8" fillId="5" borderId="48" xfId="0" applyFont="1" applyFill="1" applyBorder="1" applyAlignment="1">
      <x:alignment horizontal="center"/>
    </x:xf>
    <x:xf numFmtId="0" fontId="8" fillId="5" borderId="44" xfId="0" applyFont="1" applyFill="1" applyBorder="1" applyAlignment="1">
      <x:alignment horizontal="left"/>
    </x:xf>
    <x:xf numFmtId="0" fontId="8" fillId="5" borderId="0" xfId="0" applyFont="1" applyFill="1"/>
    <x:xf numFmtId="0" fontId="8" fillId="5" borderId="45" xfId="0" applyFont="1" applyFill="1" applyBorder="1" applyAlignment="1">
      <x:alignment horizontal="center"/>
    </x:xf>
    <x:xf numFmtId="0" fontId="24" fillId="2" borderId="0" xfId="0" applyFont="1" applyFill="1"/>
    <x:xf numFmtId="0" fontId="24" fillId="0" borderId="0" xfId="0" applyFont="1"/>
    <x:xf numFmtId="169" fontId="7" fillId="0" borderId="91" xfId="1" applyNumberFormat="1" applyFont="1" applyBorder="1" applyAlignment="1">
      <x:alignment horizontal="center" vertical="center"/>
    </x:xf>
    <x:xf numFmtId="165" fontId="20" fillId="0" borderId="7" xfId="0" applyNumberFormat="1" applyFont="1" applyBorder="1"/>
    <x:xf numFmtId="0" fontId="1" fillId="0" borderId="0" xfId="5"/>
    <x:xf numFmtId="168" fontId="7" fillId="0" borderId="77" xfId="1" applyNumberFormat="1" applyFont="1" applyBorder="1" applyAlignment="1">
      <x:alignment horizontal="center" vertical="center"/>
    </x:xf>
    <x:xf numFmtId="0" fontId="7" fillId="0" borderId="94" xfId="1" applyFont="1" applyBorder="1" applyAlignment="1">
      <x:alignment horizontal="center" vertical="center"/>
    </x:xf>
    <x:xf numFmtId="170" fontId="7" fillId="0" borderId="95" xfId="1" applyNumberFormat="1" applyFont="1" applyBorder="1" applyAlignment="1">
      <x:alignment horizontal="center" vertical="center"/>
    </x:xf>
    <x:xf numFmtId="1" fontId="7" fillId="0" borderId="93" xfId="1" applyNumberFormat="1" applyFont="1" applyBorder="1" applyAlignment="1">
      <x:alignment horizontal="center" vertical="center"/>
    </x:xf>
    <x:xf numFmtId="170" fontId="7" fillId="0" borderId="96" xfId="1" applyNumberFormat="1" applyFont="1" applyBorder="1" applyAlignment="1">
      <x:alignment horizontal="center" vertical="center"/>
    </x:xf>
    <x:xf numFmtId="0" fontId="7" fillId="0" borderId="97" xfId="1" applyFont="1" applyBorder="1" applyAlignment="1">
      <x:alignment horizontal="center" vertical="center"/>
    </x:xf>
    <x:xf numFmtId="166" fontId="7" fillId="0" borderId="93" xfId="1" applyNumberFormat="1" applyFont="1" applyBorder="1" applyAlignment="1">
      <x:alignment horizontal="center" vertical="center"/>
    </x:xf>
    <x:xf numFmtId="0" fontId="7" fillId="0" borderId="98" xfId="1" applyFont="1" applyBorder="1" applyAlignment="1">
      <x:alignment horizontal="center" vertical="center"/>
    </x:xf>
    <x:xf numFmtId="170" fontId="7" fillId="0" borderId="99" xfId="1" applyNumberFormat="1" applyFont="1" applyBorder="1" applyAlignment="1">
      <x:alignment horizontal="center" vertical="center"/>
    </x:xf>
    <x:xf numFmtId="169" fontId="7" fillId="0" borderId="93" xfId="1" applyNumberFormat="1" applyFont="1" applyBorder="1" applyAlignment="1">
      <x:alignment horizontal="center" vertical="center"/>
    </x:xf>
    <x:xf numFmtId="169" fontId="7" fillId="0" borderId="100" xfId="1" applyNumberFormat="1" applyFont="1" applyBorder="1" applyAlignment="1">
      <x:alignment horizontal="center" vertical="center"/>
    </x:xf>
    <x:xf numFmtId="0" fontId="7" fillId="0" borderId="101" xfId="1" applyFont="1" applyBorder="1" applyAlignment="1">
      <x:alignment horizontal="center" vertical="center"/>
    </x:xf>
    <x:xf numFmtId="0" fontId="20" fillId="0" borderId="42" xfId="0" applyFont="1" applyBorder="1"/>
    <x:xf numFmtId="0" fontId="20" fillId="0" borderId="64" xfId="0" applyFont="1" applyBorder="1"/>
    <x:xf numFmtId="0" fontId="4" fillId="0" borderId="0" xfId="0" applyFont="1" applyAlignment="1">
      <x:alignment horizontal="center" vertical="center"/>
    </x:xf>
    <x:xf numFmtId="166" fontId="20" fillId="0" borderId="32" xfId="0" applyNumberFormat="1" applyFont="1" applyBorder="1" applyAlignment="1">
      <x:alignment horizontal="right"/>
    </x:xf>
    <x:xf numFmtId="169" fontId="7" fillId="0" borderId="72" xfId="1" applyNumberFormat="1" applyFont="1" applyBorder="1" applyAlignment="1">
      <x:alignment horizontal="center" vertical="center"/>
    </x:xf>
    <x:xf numFmtId="165" fontId="7" fillId="0" borderId="8" xfId="1" applyNumberFormat="1" applyFont="1" applyBorder="1" applyAlignment="1">
      <x:alignment horizontal="center" vertical="center"/>
    </x:xf>
    <x:xf numFmtId="168" fontId="7" fillId="0" borderId="82" xfId="1" applyNumberFormat="1" applyFont="1" applyBorder="1" applyAlignment="1">
      <x:alignment horizontal="center" vertical="center"/>
    </x:xf>
    <x:xf numFmtId="166" fontId="7" fillId="0" borderId="8" xfId="1" applyNumberFormat="1" applyFont="1" applyBorder="1" applyAlignment="1">
      <x:alignment horizontal="center" vertical="center"/>
    </x:xf>
    <x:xf numFmtId="166" fontId="7" fillId="0" borderId="82" xfId="1" applyNumberFormat="1" applyFont="1" applyBorder="1" applyAlignment="1">
      <x:alignment horizontal="center" vertical="center"/>
    </x:xf>
    <x:xf numFmtId="166" fontId="7" fillId="0" borderId="72" xfId="1" applyNumberFormat="1" applyFont="1" applyBorder="1" applyAlignment="1">
      <x:alignment horizontal="center" vertical="center"/>
    </x:xf>
    <x:xf numFmtId="0" fontId="10" fillId="0" borderId="0" xfId="0" applyFont="1" applyAlignment="1">
      <x:alignment horizontal="center"/>
    </x:xf>
    <x:xf numFmtId="0" fontId="4" fillId="0" borderId="0" xfId="0" applyFont="1" applyAlignment="1">
      <x:alignment horizontal="center" vertical="center"/>
    </x:xf>
    <x:xf numFmtId="2" fontId="16" fillId="0" borderId="32" xfId="0" applyNumberFormat="1" applyFont="1" applyBorder="1" applyAlignment="1">
      <x:alignment horizontal="center" vertical="center"/>
    </x:xf>
    <x:xf numFmtId="2" fontId="16" fillId="0" borderId="7" xfId="0" applyNumberFormat="1" applyFont="1" applyBorder="1" applyAlignment="1">
      <x:alignment horizontal="center" vertical="center"/>
    </x:xf>
    <x:xf numFmtId="2" fontId="16" fillId="0" borderId="33" xfId="0" applyNumberFormat="1" applyFont="1" applyBorder="1" applyAlignment="1">
      <x:alignment horizontal="center" vertical="center"/>
    </x:xf>
    <x:xf numFmtId="0" fontId="16" fillId="0" borderId="34" xfId="0" applyFont="1" applyBorder="1" applyAlignment="1">
      <x:alignment horizontal="center" vertical="center"/>
    </x:xf>
    <x:xf numFmtId="0" fontId="16" fillId="0" borderId="4" xfId="0" applyFont="1" applyBorder="1" applyAlignment="1">
      <x:alignment horizontal="center" vertical="center"/>
    </x:xf>
    <x:xf numFmtId="0" fontId="16" fillId="0" borderId="36" xfId="0" applyFont="1" applyBorder="1" applyAlignment="1">
      <x:alignment horizontal="center" vertical="center"/>
    </x:xf>
    <x:xf numFmtId="0" fontId="16" fillId="0" borderId="35" xfId="0" applyFont="1" applyBorder="1" applyAlignment="1">
      <x:alignment horizontal="center" vertical="center"/>
    </x:xf>
    <x:xf numFmtId="0" fontId="16" fillId="0" borderId="3" xfId="0" applyFont="1" applyBorder="1" applyAlignment="1">
      <x:alignment horizontal="center" vertical="center"/>
    </x:xf>
    <x:xf numFmtId="0" fontId="16" fillId="0" borderId="37" xfId="0" applyFont="1" applyBorder="1" applyAlignment="1">
      <x:alignment horizontal="center" vertical="center"/>
    </x:xf>
    <x:xf numFmtId="0" fontId="11" fillId="0" borderId="31" xfId="0" applyFont="1" applyBorder="1" applyAlignment="1">
      <x:alignment horizontal="center" vertical="center"/>
    </x:xf>
    <x:xf numFmtId="2" fontId="16" fillId="0" borderId="31" xfId="0" applyNumberFormat="1" applyFont="1" applyBorder="1" applyAlignment="1">
      <x:alignment horizontal="center" vertical="center"/>
    </x:xf>
    <x:xf numFmtId="0" fontId="10" fillId="0" borderId="31" xfId="0" applyFont="1" applyBorder="1" applyAlignment="1">
      <x:alignment horizontal="center" vertical="center"/>
    </x:xf>
    <x:xf numFmtId="1" fontId="11" fillId="0" borderId="31" xfId="0" applyNumberFormat="1" applyFont="1" applyBorder="1" applyAlignment="1">
      <x:alignment horizontal="center" vertical="center"/>
    </x:xf>
    <x:xf numFmtId="167" fontId="11" fillId="0" borderId="31" xfId="0" applyNumberFormat="1" applyFont="1" applyBorder="1" applyAlignment="1">
      <x:alignment horizontal="center" vertical="center"/>
    </x:xf>
    <x:xf numFmtId="0" fontId="4" fillId="0" borderId="0" xfId="0" applyFont="1" applyAlignment="1">
      <x:alignment horizontal="right" vertical="center"/>
    </x:xf>
    <x:xf numFmtId="0" fontId="4" fillId="0" borderId="0" xfId="0" applyFont="1" applyAlignment="1">
      <x:alignment horizontal="left" vertical="center" wrapText="1"/>
    </x:xf>
    <x:xf numFmtId="0" fontId="11" fillId="0" borderId="0" xfId="0" applyFont="1" applyAlignment="1">
      <x:alignment horizontal="left" vertical="center"/>
    </x:xf>
    <x:xf numFmtId="1" fontId="11" fillId="0" borderId="0" xfId="0" applyNumberFormat="1" applyFont="1" applyAlignment="1">
      <x:alignment horizontal="left" vertical="center"/>
    </x:xf>
    <x:xf numFmtId="172" fontId="11" fillId="0" borderId="0" xfId="0" applyNumberFormat="1" applyFont="1" applyAlignment="1">
      <x:alignment horizontal="left" vertical="center"/>
    </x:xf>
    <x:xf numFmtId="0" fontId="4" fillId="0" borderId="0" xfId="0" applyFont="1" applyAlignment="1">
      <x:alignment horizontal="left" vertical="top" wrapText="1"/>
    </x:xf>
    <x:xf numFmtId="0" fontId="11" fillId="0" borderId="0" xfId="0" applyFont="1" applyAlignment="1">
      <x:alignment horizontal="left" vertical="top" wrapText="1"/>
    </x:xf>
    <x:xf numFmtId="167" fontId="11" fillId="0" borderId="0" xfId="0" applyNumberFormat="1" applyFont="1" applyAlignment="1">
      <x:alignment horizontal="left" vertical="center"/>
    </x:xf>
    <x:xf numFmtId="167" fontId="10" fillId="0" borderId="0" xfId="0" applyNumberFormat="1" applyFont="1" applyAlignment="1">
      <x:alignment horizontal="left" vertical="center"/>
    </x:xf>
    <x:xf numFmtId="0" fontId="10" fillId="0" borderId="0" xfId="0" applyFont="1" applyAlignment="1">
      <x:alignment horizontal="center" vertical="center"/>
    </x:xf>
    <x:xf numFmtId="167" fontId="11" fillId="0" borderId="0" xfId="0" applyNumberFormat="1" applyFont="1" applyAlignment="1" applyProtection="1">
      <x:alignment horizontal="left" vertical="center"/>
      <x:protection locked="0"/>
    </x:xf>
    <x:xf numFmtId="0" fontId="11" fillId="0" borderId="32" xfId="0" applyFont="1" applyBorder="1" applyAlignment="1">
      <x:alignment horizontal="center" vertical="center"/>
    </x:xf>
    <x:xf numFmtId="0" fontId="11" fillId="0" borderId="7" xfId="0" applyFont="1" applyBorder="1" applyAlignment="1">
      <x:alignment horizontal="center" vertical="center"/>
    </x:xf>
    <x:xf numFmtId="0" fontId="11" fillId="0" borderId="33" xfId="0" applyFont="1" applyBorder="1" applyAlignment="1">
      <x:alignment horizontal="center" vertical="center"/>
    </x:xf>
    <x:xf numFmtId="2" fontId="11" fillId="0" borderId="31" xfId="0" applyNumberFormat="1" applyFont="1" applyBorder="1" applyAlignment="1">
      <x:alignment horizontal="center" vertical="center"/>
    </x:xf>
    <x:xf numFmtId="0" fontId="10" fillId="0" borderId="31" xfId="0" applyFont="1" applyBorder="1" applyAlignment="1">
      <x:alignment horizontal="center" vertical="center" wrapText="1"/>
    </x:xf>
    <x:xf numFmtId="0" fontId="15" fillId="0" borderId="31" xfId="0" applyFont="1" applyBorder="1" applyAlignment="1">
      <x:alignment horizontal="center" vertical="center"/>
    </x:xf>
    <x:xf numFmtId="0" fontId="15" fillId="0" borderId="31" xfId="0" applyFont="1" applyBorder="1" applyAlignment="1">
      <x:alignment horizontal="center" vertical="center" wrapText="1"/>
    </x:xf>
    <x:xf numFmtId="0" fontId="15" fillId="0" borderId="34" xfId="0" applyFont="1" applyBorder="1" applyAlignment="1">
      <x:alignment horizontal="center" vertical="center" wrapText="1"/>
    </x:xf>
    <x:xf numFmtId="0" fontId="15" fillId="0" borderId="4" xfId="0" applyFont="1" applyBorder="1" applyAlignment="1">
      <x:alignment horizontal="center" vertical="center" wrapText="1"/>
    </x:xf>
    <x:xf numFmtId="0" fontId="15" fillId="0" borderId="36" xfId="0" applyFont="1" applyBorder="1" applyAlignment="1">
      <x:alignment horizontal="center" vertical="center" wrapText="1"/>
    </x:xf>
    <x:xf numFmtId="0" fontId="15" fillId="0" borderId="35" xfId="0" applyFont="1" applyBorder="1" applyAlignment="1">
      <x:alignment horizontal="center" vertical="center" wrapText="1"/>
    </x:xf>
    <x:xf numFmtId="0" fontId="15" fillId="0" borderId="3" xfId="0" applyFont="1" applyBorder="1" applyAlignment="1">
      <x:alignment horizontal="center" vertical="center" wrapText="1"/>
    </x:xf>
    <x:xf numFmtId="0" fontId="15" fillId="0" borderId="37" xfId="0" applyFont="1" applyBorder="1" applyAlignment="1">
      <x:alignment horizontal="center" vertical="center" wrapText="1"/>
    </x:xf>
    <x:xf numFmtId="0" fontId="15" fillId="0" borderId="34" xfId="0" applyFont="1" applyBorder="1" applyAlignment="1">
      <x:alignment horizontal="center" vertical="center"/>
    </x:xf>
    <x:xf numFmtId="0" fontId="15" fillId="0" borderId="4" xfId="0" applyFont="1" applyBorder="1" applyAlignment="1">
      <x:alignment horizontal="center" vertical="center"/>
    </x:xf>
    <x:xf numFmtId="0" fontId="15" fillId="0" borderId="36" xfId="0" applyFont="1" applyBorder="1" applyAlignment="1">
      <x:alignment horizontal="center" vertical="center"/>
    </x:xf>
    <x:xf numFmtId="0" fontId="15" fillId="0" borderId="35" xfId="0" applyFont="1" applyBorder="1" applyAlignment="1">
      <x:alignment horizontal="center" vertical="center"/>
    </x:xf>
    <x:xf numFmtId="0" fontId="15" fillId="0" borderId="3" xfId="0" applyFont="1" applyBorder="1" applyAlignment="1">
      <x:alignment horizontal="center" vertical="center"/>
    </x:xf>
    <x:xf numFmtId="0" fontId="15" fillId="0" borderId="37" xfId="0" applyFont="1" applyBorder="1" applyAlignment="1">
      <x:alignment horizontal="center" vertical="center"/>
    </x:xf>
    <x:xf numFmtId="2" fontId="16" fillId="0" borderId="34" xfId="0" applyNumberFormat="1" applyFont="1" applyBorder="1" applyAlignment="1">
      <x:alignment horizontal="center" vertical="center"/>
    </x:xf>
    <x:xf numFmtId="2" fontId="16" fillId="0" borderId="4" xfId="0" applyNumberFormat="1" applyFont="1" applyBorder="1" applyAlignment="1">
      <x:alignment horizontal="center" vertical="center"/>
    </x:xf>
    <x:xf numFmtId="2" fontId="16" fillId="0" borderId="36" xfId="0" applyNumberFormat="1" applyFont="1" applyBorder="1" applyAlignment="1">
      <x:alignment horizontal="center" vertical="center"/>
    </x:xf>
    <x:xf numFmtId="2" fontId="16" fillId="0" borderId="35" xfId="0" applyNumberFormat="1" applyFont="1" applyBorder="1" applyAlignment="1">
      <x:alignment horizontal="center" vertical="center"/>
    </x:xf>
    <x:xf numFmtId="2" fontId="16" fillId="0" borderId="3" xfId="0" applyNumberFormat="1" applyFont="1" applyBorder="1" applyAlignment="1">
      <x:alignment horizontal="center" vertical="center"/>
    </x:xf>
    <x:xf numFmtId="2" fontId="16" fillId="0" borderId="37" xfId="0" applyNumberFormat="1" applyFont="1" applyBorder="1" applyAlignment="1">
      <x:alignment horizontal="center" vertical="center"/>
    </x:xf>
    <x:xf numFmtId="0" fontId="12" fillId="0" borderId="0" xfId="0" applyFont="1" applyAlignment="1">
      <x:alignment horizontal="left"/>
    </x:xf>
    <x:xf numFmtId="0" fontId="11" fillId="0" borderId="0" xfId="0" applyFont="1" applyAlignment="1">
      <x:alignment horizontal="left" vertical="center" wrapText="1"/>
    </x:xf>
    <x:xf numFmtId="0" fontId="11" fillId="0" borderId="0" xfId="0" applyFont="1" applyAlignment="1" applyProtection="1">
      <x:alignment horizontal="left" vertical="top" wrapText="1"/>
      <x:protection locked="0"/>
    </x:xf>
    <x:xf numFmtId="2" fontId="11" fillId="0" borderId="34" xfId="0" applyNumberFormat="1" applyFont="1" applyBorder="1" applyAlignment="1">
      <x:alignment horizontal="center" vertical="center"/>
    </x:xf>
    <x:xf numFmtId="2" fontId="11" fillId="0" borderId="4" xfId="0" applyNumberFormat="1" applyFont="1" applyBorder="1" applyAlignment="1">
      <x:alignment horizontal="center" vertical="center"/>
    </x:xf>
    <x:xf numFmtId="2" fontId="11" fillId="0" borderId="36" xfId="0" applyNumberFormat="1" applyFont="1" applyBorder="1" applyAlignment="1">
      <x:alignment horizontal="center" vertical="center"/>
    </x:xf>
    <x:xf numFmtId="2" fontId="11" fillId="0" borderId="35" xfId="0" applyNumberFormat="1" applyFont="1" applyBorder="1" applyAlignment="1">
      <x:alignment horizontal="center" vertical="center"/>
    </x:xf>
    <x:xf numFmtId="2" fontId="11" fillId="0" borderId="3" xfId="0" applyNumberFormat="1" applyFont="1" applyBorder="1" applyAlignment="1">
      <x:alignment horizontal="center" vertical="center"/>
    </x:xf>
    <x:xf numFmtId="2" fontId="11" fillId="0" borderId="37" xfId="0" applyNumberFormat="1" applyFont="1" applyBorder="1" applyAlignment="1">
      <x:alignment horizontal="center" vertical="center"/>
    </x:xf>
    <x:xf numFmtId="0" fontId="16" fillId="0" borderId="32" xfId="0" applyFont="1" applyBorder="1" applyAlignment="1">
      <x:alignment horizontal="center" vertical="center"/>
    </x:xf>
    <x:xf numFmtId="0" fontId="16" fillId="0" borderId="7" xfId="0" applyFont="1" applyBorder="1" applyAlignment="1">
      <x:alignment horizontal="center" vertical="center"/>
    </x:xf>
    <x:xf numFmtId="0" fontId="16" fillId="0" borderId="33" xfId="0" applyFont="1" applyBorder="1" applyAlignment="1">
      <x:alignment horizontal="center" vertical="center"/>
    </x:xf>
    <x:xf numFmtId="164" fontId="7" fillId="5" borderId="8" xfId="0" applyNumberFormat="1" applyFont="1" applyFill="1" applyBorder="1" applyAlignment="1">
      <x:alignment horizontal="center" vertical="center"/>
    </x:xf>
    <x:xf numFmtId="169" fontId="7" fillId="5" borderId="8" xfId="0" applyNumberFormat="1" applyFont="1" applyFill="1" applyBorder="1" applyAlignment="1">
      <x:alignment horizontal="center" vertical="center"/>
    </x:xf>
    <x:xf numFmtId="0" fontId="7" fillId="5" borderId="16" xfId="0" quotePrefix="1" applyFont="1" applyFill="1" applyBorder="1" applyAlignment="1">
      <x:alignment horizontal="center" vertical="center"/>
    </x:xf>
    <x:xf numFmtId="0" fontId="7" fillId="5" borderId="17" xfId="0" applyFont="1" applyFill="1" applyBorder="1" applyAlignment="1">
      <x:alignment horizontal="center" vertical="center"/>
    </x:xf>
    <x:xf numFmtId="0" fontId="7" fillId="5" borderId="22" xfId="0" applyFont="1" applyFill="1" applyBorder="1" applyAlignment="1">
      <x:alignment horizontal="center" vertical="center"/>
    </x:xf>
    <x:xf numFmtId="0" fontId="7" fillId="5" borderId="16" xfId="0" applyFont="1" applyFill="1" applyBorder="1" applyAlignment="1">
      <x:alignment horizontal="center" vertical="center"/>
    </x:xf>
    <x:xf numFmtId="0" fontId="7" fillId="5" borderId="16" xfId="0" applyFont="1" applyFill="1" applyBorder="1" applyAlignment="1">
      <x:alignment horizontal="right" vertical="center"/>
    </x:xf>
    <x:xf numFmtId="0" fontId="7" fillId="5" borderId="17" xfId="0" applyFont="1" applyFill="1" applyBorder="1" applyAlignment="1">
      <x:alignment horizontal="right" vertical="center"/>
    </x:xf>
    <x:xf numFmtId="0" fontId="7" fillId="5" borderId="17" xfId="0" applyFont="1" applyFill="1" applyBorder="1" applyAlignment="1">
      <x:alignment horizontal="left" vertical="center"/>
    </x:xf>
    <x:xf numFmtId="0" fontId="7" fillId="5" borderId="22" xfId="0" applyFont="1" applyFill="1" applyBorder="1" applyAlignment="1">
      <x:alignment horizontal="left" vertical="center"/>
    </x:xf>
    <x:xf numFmtId="0" fontId="7" fillId="5" borderId="8" xfId="0" applyFont="1" applyFill="1" applyBorder="1" applyAlignment="1">
      <x:alignment horizontal="center" vertical="center"/>
    </x:xf>
    <x:xf numFmtId="1" fontId="7" fillId="5" borderId="16" xfId="0" applyNumberFormat="1" applyFont="1" applyFill="1" applyBorder="1" applyAlignment="1">
      <x:alignment horizontal="center" vertical="center"/>
    </x:xf>
    <x:xf numFmtId="1" fontId="7" fillId="5" borderId="17" xfId="0" applyNumberFormat="1" applyFont="1" applyFill="1" applyBorder="1" applyAlignment="1">
      <x:alignment horizontal="center" vertical="center"/>
    </x:xf>
    <x:xf numFmtId="1" fontId="7" fillId="5" borderId="22" xfId="0" applyNumberFormat="1" applyFont="1" applyFill="1" applyBorder="1" applyAlignment="1">
      <x:alignment horizontal="center" vertical="center"/>
    </x:xf>
    <x:xf numFmtId="1" fontId="7" fillId="5" borderId="8" xfId="0" applyNumberFormat="1" applyFont="1" applyFill="1" applyBorder="1" applyAlignment="1">
      <x:alignment horizontal="center" vertical="center"/>
    </x:xf>
    <x:xf numFmtId="2" fontId="7" fillId="5" borderId="8" xfId="0" applyNumberFormat="1" applyFont="1" applyFill="1" applyBorder="1" applyAlignment="1">
      <x:alignment horizontal="center" vertical="center"/>
    </x:xf>
    <x:xf numFmtId="164" fontId="7" fillId="5" borderId="16" xfId="0" applyNumberFormat="1" applyFont="1" applyFill="1" applyBorder="1" applyAlignment="1">
      <x:alignment horizontal="center" vertical="center"/>
    </x:xf>
    <x:xf numFmtId="164" fontId="7" fillId="5" borderId="17" xfId="0" applyNumberFormat="1" applyFont="1" applyFill="1" applyBorder="1" applyAlignment="1">
      <x:alignment horizontal="center" vertical="center"/>
    </x:xf>
    <x:xf numFmtId="164" fontId="7" fillId="5" borderId="22" xfId="0" applyNumberFormat="1" applyFont="1" applyFill="1" applyBorder="1" applyAlignment="1">
      <x:alignment horizontal="center" vertical="center"/>
    </x:xf>
    <x:xf numFmtId="2" fontId="7" fillId="5" borderId="16" xfId="0" applyNumberFormat="1" applyFont="1" applyFill="1" applyBorder="1" applyAlignment="1">
      <x:alignment horizontal="center" vertical="center"/>
    </x:xf>
    <x:xf numFmtId="2" fontId="7" fillId="5" borderId="17" xfId="0" applyNumberFormat="1" applyFont="1" applyFill="1" applyBorder="1" applyAlignment="1">
      <x:alignment horizontal="center" vertical="center"/>
    </x:xf>
    <x:xf numFmtId="2" fontId="7" fillId="5" borderId="22" xfId="0" applyNumberFormat="1" applyFont="1" applyFill="1" applyBorder="1" applyAlignment="1">
      <x:alignment horizontal="center" vertical="center"/>
    </x:xf>
    <x:xf numFmtId="0" fontId="7" fillId="5" borderId="9" xfId="0" quotePrefix="1" applyFont="1" applyFill="1" applyBorder="1" applyAlignment="1">
      <x:alignment horizontal="center" vertical="center"/>
    </x:xf>
    <x:xf numFmtId="0" fontId="7" fillId="5" borderId="10" xfId="0" quotePrefix="1" applyFont="1" applyFill="1" applyBorder="1" applyAlignment="1">
      <x:alignment horizontal="center" vertical="center"/>
    </x:xf>
    <x:xf numFmtId="0" fontId="7" fillId="5" borderId="15" xfId="0" quotePrefix="1" applyFont="1" applyFill="1" applyBorder="1" applyAlignment="1">
      <x:alignment horizontal="center" vertical="center"/>
    </x:xf>
    <x:xf numFmtId="0" fontId="7" fillId="5" borderId="12" xfId="0" quotePrefix="1" applyFont="1" applyFill="1" applyBorder="1" applyAlignment="1">
      <x:alignment horizontal="center" vertical="center"/>
    </x:xf>
    <x:xf numFmtId="0" fontId="7" fillId="5" borderId="13" xfId="0" quotePrefix="1" applyFont="1" applyFill="1" applyBorder="1" applyAlignment="1">
      <x:alignment horizontal="center" vertical="center"/>
    </x:xf>
    <x:xf numFmtId="0" fontId="7" fillId="5" borderId="19" xfId="0" quotePrefix="1" applyFont="1" applyFill="1" applyBorder="1" applyAlignment="1">
      <x:alignment horizontal="center" vertical="center"/>
    </x:xf>
    <x:xf numFmtId="0" fontId="7" fillId="5" borderId="9" xfId="0" applyFont="1" applyFill="1" applyBorder="1" applyAlignment="1">
      <x:alignment horizontal="center" vertical="center"/>
    </x:xf>
    <x:xf numFmtId="0" fontId="7" fillId="5" borderId="10" xfId="0" applyFont="1" applyFill="1" applyBorder="1" applyAlignment="1">
      <x:alignment horizontal="center" vertical="center"/>
    </x:xf>
    <x:xf numFmtId="0" fontId="7" fillId="5" borderId="15" xfId="0" applyFont="1" applyFill="1" applyBorder="1" applyAlignment="1">
      <x:alignment horizontal="center" vertical="center"/>
    </x:xf>
    <x:xf numFmtId="0" fontId="7" fillId="5" borderId="11" xfId="0" applyFont="1" applyFill="1" applyBorder="1" applyAlignment="1">
      <x:alignment horizontal="center" vertical="center"/>
    </x:xf>
    <x:xf numFmtId="0" fontId="7" fillId="5" borderId="0" xfId="0" applyFont="1" applyFill="1" applyAlignment="1">
      <x:alignment horizontal="center" vertical="center"/>
    </x:xf>
    <x:xf numFmtId="0" fontId="7" fillId="5" borderId="18" xfId="0" applyFont="1" applyFill="1" applyBorder="1" applyAlignment="1">
      <x:alignment horizontal="center" vertical="center"/>
    </x:xf>
    <x:xf numFmtId="0" fontId="7" fillId="5" borderId="12" xfId="0" applyFont="1" applyFill="1" applyBorder="1" applyAlignment="1">
      <x:alignment horizontal="center" vertical="center"/>
    </x:xf>
    <x:xf numFmtId="0" fontId="7" fillId="5" borderId="13" xfId="0" applyFont="1" applyFill="1" applyBorder="1" applyAlignment="1">
      <x:alignment horizontal="center" vertical="center"/>
    </x:xf>
    <x:xf numFmtId="0" fontId="7" fillId="5" borderId="19" xfId="0" applyFont="1" applyFill="1" applyBorder="1" applyAlignment="1">
      <x:alignment horizontal="center" vertical="center"/>
    </x:xf>
    <x:xf numFmtId="0" fontId="7" fillId="0" borderId="8" xfId="0" applyFont="1" applyBorder="1" applyAlignment="1">
      <x:alignment horizontal="center" vertical="center"/>
    </x:xf>
    <x:xf numFmtId="166" fontId="7" fillId="5" borderId="8" xfId="0" applyNumberFormat="1" applyFont="1" applyFill="1" applyBorder="1" applyAlignment="1">
      <x:alignment horizontal="center" vertical="center"/>
    </x:xf>
    <x:xf numFmtId="0" fontId="6" fillId="5" borderId="13" xfId="0" applyFont="1" applyFill="1" applyBorder="1" applyAlignment="1">
      <x:alignment horizontal="center"/>
    </x:xf>
    <x:xf numFmtId="166" fontId="7" fillId="5" borderId="16" xfId="0" applyNumberFormat="1" applyFont="1" applyFill="1" applyBorder="1" applyAlignment="1">
      <x:alignment horizontal="center" vertical="center"/>
    </x:xf>
    <x:xf numFmtId="166" fontId="7" fillId="5" borderId="17" xfId="0" applyNumberFormat="1" applyFont="1" applyFill="1" applyBorder="1" applyAlignment="1">
      <x:alignment horizontal="center" vertical="center"/>
    </x:xf>
    <x:xf numFmtId="166" fontId="7" fillId="5" borderId="22" xfId="0" applyNumberFormat="1" applyFont="1" applyFill="1" applyBorder="1" applyAlignment="1">
      <x:alignment horizontal="center" vertical="center"/>
    </x:xf>
    <x:xf numFmtId="2" fontId="7" fillId="5" borderId="8" xfId="0" quotePrefix="1" applyNumberFormat="1" applyFont="1" applyFill="1" applyBorder="1" applyAlignment="1">
      <x:alignment horizontal="center" vertical="center"/>
    </x:xf>
    <x:xf numFmtId="0" fontId="6" fillId="5" borderId="8" xfId="0" applyFont="1" applyFill="1" applyBorder="1" applyAlignment="1">
      <x:alignment horizontal="center" vertical="center"/>
    </x:xf>
    <x:xf numFmtId="0" fontId="6" fillId="6" borderId="63" xfId="0" applyFont="1" applyFill="1" applyBorder="1" applyAlignment="1">
      <x:alignment horizontal="left"/>
    </x:xf>
    <x:xf numFmtId="0" fontId="6" fillId="6" borderId="64" xfId="0" applyFont="1" applyFill="1" applyBorder="1" applyAlignment="1">
      <x:alignment horizontal="left"/>
    </x:xf>
    <x:xf numFmtId="0" fontId="6" fillId="6" borderId="65" xfId="0" applyFont="1" applyFill="1" applyBorder="1" applyAlignment="1">
      <x:alignment horizontal="left"/>
    </x:xf>
    <x:xf numFmtId="0" fontId="7" fillId="5" borderId="6" xfId="0" quotePrefix="1" applyFont="1" applyFill="1" applyBorder="1" applyAlignment="1">
      <x:alignment horizontal="center"/>
    </x:xf>
    <x:xf numFmtId="0" fontId="7" fillId="5" borderId="6" xfId="0" applyFont="1" applyFill="1" applyBorder="1" applyAlignment="1">
      <x:alignment horizontal="center"/>
    </x:xf>
    <x:xf numFmtId="0" fontId="7" fillId="5" borderId="24" xfId="0" applyFont="1" applyFill="1" applyBorder="1" applyAlignment="1">
      <x:alignment horizontal="center" vertical="center" wrapText="1"/>
    </x:xf>
    <x:xf numFmtId="0" fontId="7" fillId="5" borderId="0" xfId="0" applyFont="1" applyFill="1" applyAlignment="1">
      <x:alignment horizontal="center" vertical="center" wrapText="1"/>
    </x:xf>
    <x:xf numFmtId="0" fontId="7" fillId="5" borderId="45" xfId="0" applyFont="1" applyFill="1" applyBorder="1" applyAlignment="1">
      <x:alignment horizontal="center" vertical="center" wrapText="1"/>
    </x:xf>
    <x:xf numFmtId="0" fontId="7" fillId="5" borderId="2" xfId="0" applyFont="1" applyFill="1" applyBorder="1" applyAlignment="1">
      <x:alignment horizontal="center"/>
    </x:xf>
    <x:xf numFmtId="0" fontId="7" fillId="5" borderId="26" xfId="0" applyFont="1" applyFill="1" applyBorder="1" applyAlignment="1">
      <x:alignment horizontal="center"/>
    </x:xf>
    <x:xf numFmtId="1" fontId="8" fillId="5" borderId="21" xfId="0" applyNumberFormat="1" applyFont="1" applyFill="1" applyBorder="1" applyAlignment="1">
      <x:alignment horizontal="center"/>
    </x:xf>
    <x:xf numFmtId="1" fontId="8" fillId="5" borderId="5" xfId="0" applyNumberFormat="1" applyFont="1" applyFill="1" applyBorder="1" applyAlignment="1">
      <x:alignment horizontal="center"/>
    </x:xf>
    <x:xf numFmtId="1" fontId="8" fillId="5" borderId="14" xfId="0" applyNumberFormat="1" applyFont="1" applyFill="1" applyBorder="1" applyAlignment="1">
      <x:alignment horizontal="center"/>
    </x:xf>
    <x:xf numFmtId="167" fontId="8" fillId="5" borderId="21" xfId="0" applyNumberFormat="1" applyFont="1" applyFill="1" applyBorder="1" applyAlignment="1">
      <x:alignment horizontal="center" wrapText="1"/>
    </x:xf>
    <x:xf numFmtId="167" fontId="8" fillId="5" borderId="5" xfId="0" applyNumberFormat="1" applyFont="1" applyFill="1" applyBorder="1" applyAlignment="1">
      <x:alignment horizontal="center"/>
    </x:xf>
    <x:xf numFmtId="167" fontId="8" fillId="5" borderId="53" xfId="0" applyNumberFormat="1" applyFont="1" applyFill="1" applyBorder="1" applyAlignment="1">
      <x:alignment horizontal="center"/>
    </x:xf>
    <x:xf numFmtId="0" fontId="8" fillId="5" borderId="51" xfId="0" applyFont="1" applyFill="1" applyBorder="1" applyAlignment="1">
      <x:alignment horizontal="center"/>
    </x:xf>
    <x:xf numFmtId="0" fontId="8" fillId="5" borderId="2" xfId="0" applyFont="1" applyFill="1" applyBorder="1" applyAlignment="1">
      <x:alignment horizontal="center"/>
    </x:xf>
    <x:xf numFmtId="0" fontId="8" fillId="5" borderId="21" xfId="0" applyFont="1" applyFill="1" applyBorder="1" applyAlignment="1">
      <x:alignment horizontal="center" wrapText="1"/>
    </x:xf>
    <x:xf numFmtId="0" fontId="8" fillId="5" borderId="5" xfId="0" applyFont="1" applyFill="1" applyBorder="1" applyAlignment="1">
      <x:alignment horizontal="center"/>
    </x:xf>
    <x:xf numFmtId="0" fontId="8" fillId="5" borderId="14" xfId="0" applyFont="1" applyFill="1" applyBorder="1" applyAlignment="1">
      <x:alignment horizontal="center"/>
    </x:xf>
    <x:xf numFmtId="0" fontId="8" fillId="5" borderId="52" xfId="0" applyFont="1" applyFill="1" applyBorder="1" applyAlignment="1">
      <x:alignment horizontal="center"/>
    </x:xf>
    <x:xf numFmtId="0" fontId="20" fillId="0" borderId="33" xfId="0" applyFont="1" applyBorder="1" applyAlignment="1">
      <x:alignment horizontal="center" vertical="center" wrapText="1"/>
    </x:xf>
    <x:xf numFmtId="0" fontId="20" fillId="0" borderId="32" xfId="0" applyFont="1" applyBorder="1" applyAlignment="1">
      <x:alignment horizontal="center" vertical="center" wrapText="1"/>
    </x:xf>
    <x:xf numFmtId="0" fontId="23" fillId="0" borderId="31" xfId="0" applyFont="1" applyBorder="1" applyAlignment="1">
      <x:alignment horizontal="center" vertical="center" wrapText="1"/>
    </x:xf>
    <x:xf numFmtId="0" fontId="20" fillId="0" borderId="31" xfId="0" applyFont="1" applyBorder="1" applyAlignment="1">
      <x:alignment horizontal="center" vertical="center" wrapText="1"/>
    </x:xf>
    <x:xf numFmtId="0" fontId="6" fillId="0" borderId="77" xfId="1" applyFont="1" applyBorder="1" applyAlignment="1">
      <x:alignment horizontal="center" vertical="center"/>
    </x:xf>
    <x:xf numFmtId="0" fontId="6" fillId="0" borderId="82" xfId="1" applyFont="1" applyBorder="1" applyAlignment="1">
      <x:alignment horizontal="center" vertical="center"/>
    </x:xf>
    <x:xf numFmtId="0" fontId="6" fillId="0" borderId="76" xfId="1" applyFont="1" applyBorder="1" applyAlignment="1">
      <x:alignment horizontal="center" vertical="center"/>
    </x:xf>
    <x:xf numFmtId="0" fontId="6" fillId="0" borderId="81" xfId="1" applyFont="1" applyBorder="1" applyAlignment="1">
      <x:alignment horizontal="center" vertical="center"/>
    </x:xf>
    <x:xf numFmtId="0" fontId="6" fillId="0" borderId="89" xfId="1" applyFont="1" applyBorder="1" applyAlignment="1">
      <x:alignment horizontal="center" vertical="center"/>
    </x:xf>
    <x:xf numFmtId="0" fontId="6" fillId="0" borderId="90" xfId="1" applyFont="1" applyBorder="1" applyAlignment="1">
      <x:alignment horizontal="center" vertical="center"/>
    </x:xf>
    <x:xf numFmtId="0" fontId="6" fillId="0" borderId="86" xfId="1" applyFont="1" applyBorder="1" applyAlignment="1">
      <x:alignment horizontal="center" vertical="center"/>
    </x:xf>
    <x:xf numFmtId="0" fontId="6" fillId="0" borderId="88" xfId="1" applyFont="1" applyBorder="1" applyAlignment="1">
      <x:alignment horizontal="center" vertical="center"/>
    </x:xf>
    <x:xf numFmtId="0" fontId="6" fillId="0" borderId="73" xfId="0" applyFont="1" applyBorder="1" applyAlignment="1">
      <x:alignment horizontal="center" vertical="center"/>
    </x:xf>
    <x:xf numFmtId="0" fontId="6" fillId="0" borderId="74" xfId="0" applyFont="1" applyBorder="1" applyAlignment="1">
      <x:alignment horizontal="center" vertical="center"/>
    </x:xf>
    <x:xf numFmtId="0" fontId="6" fillId="0" borderId="75" xfId="0" applyFont="1" applyBorder="1" applyAlignment="1">
      <x:alignment horizontal="center" vertical="center"/>
    </x:xf>
    <x:xf numFmtId="0" fontId="23" fillId="0" borderId="35" xfId="0" applyFont="1" applyBorder="1" applyAlignment="1">
      <x:alignment horizontal="left"/>
    </x:xf>
    <x:xf numFmtId="0" fontId="23" fillId="0" borderId="3" xfId="0" applyFont="1" applyBorder="1" applyAlignment="1">
      <x:alignment horizontal="left"/>
    </x:xf>
    <x:xf numFmtId="0" fontId="23" fillId="0" borderId="33" xfId="0" applyFont="1" applyBorder="1" applyAlignment="1">
      <x:alignment horizontal="center" vertical="center" wrapText="1"/>
    </x:xf>
    <x:xf numFmtId="0" fontId="23" fillId="0" borderId="32" xfId="0" applyFont="1" applyBorder="1" applyAlignment="1">
      <x:alignment horizontal="center" vertical="center" wrapText="1"/>
    </x:xf>
    <x:xf numFmtId="0" fontId="6" fillId="0" borderId="78" xfId="1" applyFont="1" applyBorder="1" applyAlignment="1">
      <x:alignment horizontal="center" vertical="center"/>
    </x:xf>
    <x:xf numFmtId="0" fontId="6" fillId="0" borderId="83" xfId="1" applyFont="1" applyBorder="1" applyAlignment="1">
      <x:alignment horizontal="center" vertical="center"/>
    </x:xf>
    <x:xf numFmtId="0" fontId="7" fillId="5" borderId="2" xfId="0" applyFont="1" applyFill="1" applyBorder="1" applyAlignment="1">
      <x:alignment horizontal="center" vertical="center"/>
    </x:xf>
    <x:xf numFmtId="0" fontId="7" fillId="5" borderId="2" xfId="0" applyFont="1" applyFill="1" applyBorder="1" applyAlignment="1">
      <x:alignment horizontal="left" vertical="center"/>
    </x:xf>
    <x:xf numFmtId="0" fontId="6" fillId="6" borderId="60" xfId="0" applyFont="1" applyFill="1" applyBorder="1" applyAlignment="1">
      <x:alignment horizontal="left"/>
    </x:xf>
    <x:xf numFmtId="0" fontId="6" fillId="6" borderId="61" xfId="0" applyFont="1" applyFill="1" applyBorder="1" applyAlignment="1">
      <x:alignment horizontal="left"/>
    </x:xf>
    <x:xf numFmtId="0" fontId="6" fillId="6" borderId="62" xfId="0" applyFont="1" applyFill="1" applyBorder="1" applyAlignment="1">
      <x:alignment horizontal="left"/>
    </x:xf>
    <x:xf numFmtId="0" fontId="7" fillId="5" borderId="3" xfId="0" applyFont="1" applyFill="1" applyBorder="1" applyAlignment="1">
      <x:alignment horizontal="left"/>
    </x:xf>
    <x:xf numFmtId="0" fontId="7" fillId="5" borderId="44" xfId="0" applyFont="1" applyFill="1" applyBorder="1" applyAlignment="1">
      <x:alignment horizontal="left"/>
    </x:xf>
    <x:xf numFmtId="0" fontId="7" fillId="5" borderId="0" xfId="0" applyFont="1" applyFill="1" applyAlignment="1">
      <x:alignment horizontal="left"/>
    </x:xf>
    <x:xf numFmtId="0" fontId="6" fillId="5" borderId="0" xfId="0" applyFont="1" applyFill="1" applyAlignment="1">
      <x:alignment horizontal="left"/>
    </x:xf>
    <x:xf numFmtId="0" fontId="6" fillId="5" borderId="3" xfId="0" applyFont="1" applyFill="1" applyBorder="1" applyAlignment="1">
      <x:alignment horizontal="left"/>
    </x:xf>
    <x:xf numFmtId="167" fontId="7" fillId="5" borderId="0" xfId="0" applyNumberFormat="1" applyFont="1" applyFill="1" applyAlignment="1">
      <x:alignment horizontal="left"/>
    </x:xf>
    <x:xf numFmtId="167" fontId="7" fillId="5" borderId="45" xfId="0" applyNumberFormat="1" applyFont="1" applyFill="1" applyBorder="1" applyAlignment="1">
      <x:alignment horizontal="left"/>
    </x:xf>
    <x:xf numFmtId="167" fontId="7" fillId="5" borderId="3" xfId="0" applyNumberFormat="1" applyFont="1" applyFill="1" applyBorder="1" applyAlignment="1">
      <x:alignment horizontal="left"/>
    </x:xf>
    <x:xf numFmtId="167" fontId="7" fillId="5" borderId="49" xfId="0" applyNumberFormat="1" applyFont="1" applyFill="1" applyBorder="1" applyAlignment="1">
      <x:alignment horizontal="left"/>
    </x:xf>
    <x:xf numFmtId="0" fontId="7" fillId="5" borderId="4" xfId="0" applyFont="1" applyFill="1" applyBorder="1" applyAlignment="1">
      <x:alignment horizontal="left"/>
    </x:xf>
    <x:xf numFmtId="0" fontId="7" fillId="5" borderId="50" xfId="0" applyFont="1" applyFill="1" applyBorder="1" applyAlignment="1">
      <x:alignment horizontal="left"/>
    </x:xf>
    <x:xf numFmtId="0" fontId="7" fillId="5" borderId="49" xfId="0" applyFont="1" applyFill="1" applyBorder="1" applyAlignment="1">
      <x:alignment horizontal="left"/>
    </x:xf>
    <x:xf numFmtId="0" fontId="7" fillId="5" borderId="0" xfId="0" applyFont="1" applyFill="1" applyAlignment="1">
      <x:alignment horizontal="center"/>
    </x:xf>
    <x:xf numFmtId="0" fontId="6" fillId="5" borderId="44" xfId="0" applyFont="1" applyFill="1" applyBorder="1" applyAlignment="1">
      <x:alignment horizontal="center"/>
    </x:xf>
    <x:xf numFmtId="0" fontId="6" fillId="5" borderId="0" xfId="0" applyFont="1" applyFill="1" applyAlignment="1">
      <x:alignment horizontal="center"/>
    </x:xf>
    <x:xf numFmtId="0" fontId="6" fillId="5" borderId="24" xfId="0" applyFont="1" applyFill="1" applyBorder="1" applyAlignment="1">
      <x:alignment horizontal="center"/>
    </x:xf>
    <x:xf numFmtId="0" fontId="6" fillId="5" borderId="23" xfId="0" applyFont="1" applyFill="1" applyBorder="1" applyAlignment="1">
      <x:alignment horizontal="center"/>
    </x:xf>
    <x:xf numFmtId="0" fontId="6" fillId="5" borderId="45" xfId="0" applyFont="1" applyFill="1" applyBorder="1" applyAlignment="1">
      <x:alignment horizontal="center"/>
    </x:xf>
    <x:xf numFmtId="0" fontId="7" fillId="5" borderId="4" xfId="0" quotePrefix="1" applyFont="1" applyFill="1" applyBorder="1" applyAlignment="1">
      <x:alignment horizontal="left"/>
    </x:xf>
    <x:xf numFmtId="0" fontId="8" fillId="5" borderId="4" xfId="0" applyFont="1" applyFill="1" applyBorder="1" applyAlignment="1">
      <x:alignment horizontal="center" vertical="center" wrapText="1"/>
    </x:xf>
    <x:xf numFmtId="0" fontId="8" fillId="5" borderId="0" xfId="0" applyFont="1" applyFill="1" applyAlignment="1">
      <x:alignment horizontal="center" vertical="center" wrapText="1"/>
    </x:xf>
    <x:xf numFmtId="0" fontId="8" fillId="5" borderId="92" xfId="0" applyFont="1" applyFill="1" applyBorder="1" applyAlignment="1">
      <x:alignment horizontal="center" vertical="center" wrapText="1"/>
    </x:xf>
    <x:xf numFmtId="0" fontId="25" fillId="5" borderId="2" xfId="0" applyFont="1" applyFill="1" applyBorder="1" applyAlignment="1">
      <x:alignment horizontal="center"/>
    </x:xf>
    <x:xf numFmtId="0" fontId="25" fillId="5" borderId="3" xfId="0" applyFont="1" applyFill="1" applyBorder="1" applyAlignment="1">
      <x:alignment horizontal="center"/>
    </x:xf>
    <x:xf numFmtId="167" fontId="7" fillId="5" borderId="2" xfId="0" applyNumberFormat="1" applyFont="1" applyFill="1" applyBorder="1" applyAlignment="1">
      <x:alignment horizontal="left"/>
    </x:xf>
    <x:xf numFmtId="167" fontId="7" fillId="5" borderId="48" xfId="0" applyNumberFormat="1" applyFont="1" applyFill="1" applyBorder="1" applyAlignment="1">
      <x:alignment horizontal="left"/>
    </x:xf>
    <x:xf numFmtId="0" fontId="20" fillId="2" borderId="0" xfId="0" applyFont="1" applyFill="1" applyAlignment="1">
      <x:alignment horizontal="center"/>
    </x:xf>
    <x:xf numFmtId="0" fontId="6" fillId="0" borderId="93" xfId="1" applyFont="1" applyBorder="1" applyAlignment="1">
      <x:alignment horizontal="center" vertical="center"/>
    </x:xf>
    <x:xf numFmtId="0" fontId="8" fillId="5" borderId="44" xfId="0" applyFont="1" applyFill="1" applyBorder="1" applyAlignment="1">
      <x:alignment horizontal="center"/>
    </x:xf>
    <x:xf numFmtId="0" fontId="8" fillId="5" borderId="0" xfId="0" applyFont="1" applyFill="1" applyAlignment="1">
      <x:alignment horizontal="center"/>
    </x:xf>
    <x:xf numFmtId="0" fontId="8" fillId="5" borderId="23" xfId="0" applyFont="1" applyFill="1" applyBorder="1" applyAlignment="1">
      <x:alignment horizontal="center"/>
    </x:xf>
    <x:xf numFmtId="0" fontId="8" fillId="5" borderId="27" xfId="0" applyFont="1" applyFill="1" applyBorder="1" applyAlignment="1">
      <x:alignment horizontal="center"/>
    </x:xf>
    <x:xf numFmtId="167" fontId="8" fillId="5" borderId="28" xfId="0" applyNumberFormat="1" applyFont="1" applyFill="1" applyBorder="1" applyAlignment="1">
      <x:alignment horizontal="center"/>
    </x:xf>
    <x:xf numFmtId="0" fontId="8" fillId="5" borderId="45" xfId="0" applyFont="1" applyFill="1" applyBorder="1" applyAlignment="1">
      <x:alignment horizontal="center"/>
    </x:xf>
    <x:xf numFmtId="167" fontId="8" fillId="5" borderId="28" xfId="0" applyNumberFormat="1" applyFont="1" applyFill="1" applyBorder="1" applyAlignment="1">
      <x:alignment horizontal="center" wrapText="1"/>
    </x:xf>
    <x:xf numFmtId="0" fontId="8" fillId="5" borderId="0" xfId="0" applyFont="1" applyFill="1" applyAlignment="1">
      <x:alignment horizontal="center" wrapText="1"/>
    </x:xf>
    <x:xf numFmtId="0" fontId="8" fillId="5" borderId="45" xfId="0" applyFont="1" applyFill="1" applyBorder="1" applyAlignment="1">
      <x:alignment horizontal="center" wrapText="1"/>
    </x:xf>
    <x:xf numFmtId="0" fontId="8" fillId="5" borderId="54" xfId="0" applyFont="1" applyFill="1" applyBorder="1" applyAlignment="1">
      <x:alignment horizontal="center"/>
    </x:xf>
    <x:xf numFmtId="0" fontId="8" fillId="5" borderId="55" xfId="0" applyFont="1" applyFill="1" applyBorder="1" applyAlignment="1">
      <x:alignment horizontal="center"/>
    </x:xf>
    <x:xf numFmtId="0" fontId="8" fillId="5" borderId="56" xfId="0" applyFont="1" applyFill="1" applyBorder="1" applyAlignment="1">
      <x:alignment horizontal="center"/>
    </x:xf>
    <x:xf numFmtId="0" fontId="8" fillId="5" borderId="57" xfId="0" applyFont="1" applyFill="1" applyBorder="1" applyAlignment="1">
      <x:alignment horizontal="center"/>
    </x:xf>
    <x:xf numFmtId="0" fontId="8" fillId="5" borderId="58" xfId="0" applyFont="1" applyFill="1" applyBorder="1" applyAlignment="1">
      <x:alignment horizontal="center"/>
    </x:xf>
    <x:xf numFmtId="0" fontId="8" fillId="5" borderId="59" xfId="0" applyFont="1" applyFill="1" applyBorder="1" applyAlignment="1">
      <x:alignment horizontal="center"/>
    </x:xf>
    <x:xf numFmtId="0" fontId="8" fillId="5" borderId="46" xfId="0" applyFont="1" applyFill="1" applyBorder="1" applyAlignment="1">
      <x:alignment horizontal="center"/>
    </x:xf>
    <x:xf numFmtId="0" fontId="8" fillId="5" borderId="1" xfId="0" applyFont="1" applyFill="1" applyBorder="1" applyAlignment="1">
      <x:alignment horizontal="center"/>
    </x:xf>
    <x:xf numFmtId="0" fontId="8" fillId="5" borderId="25" xfId="0" applyFont="1" applyFill="1" applyBorder="1" applyAlignment="1">
      <x:alignment horizontal="center"/>
    </x:xf>
    <x:xf numFmtId="0" fontId="8" fillId="5" borderId="29" xfId="0" applyFont="1" applyFill="1" applyBorder="1" applyAlignment="1">
      <x:alignment horizontal="center"/>
    </x:xf>
    <x:xf numFmtId="0" fontId="8" fillId="5" borderId="30" xfId="0" applyFont="1" applyFill="1" applyBorder="1" applyAlignment="1">
      <x:alignment horizontal="center"/>
    </x:xf>
    <x:xf numFmtId="0" fontId="8" fillId="5" borderId="47" xfId="0" applyFont="1" applyFill="1" applyBorder="1" applyAlignment="1">
      <x:alignment horizontal="center"/>
    </x:xf>
    <x:xf numFmtId="2" fontId="7" fillId="5" borderId="16" xfId="0" quotePrefix="1" applyNumberFormat="1" applyFont="1" applyFill="1" applyBorder="1" applyAlignment="1">
      <x:alignment horizontal="center" vertical="center"/>
    </x:xf>
    <x:xf numFmtId="0" fontId="25" fillId="5" borderId="44" xfId="0" applyFont="1" applyFill="1" applyBorder="1" applyAlignment="1">
      <x:alignment horizontal="center"/>
    </x:xf>
    <x:xf numFmtId="0" fontId="25" fillId="5" borderId="0" xfId="0" applyFont="1" applyFill="1" applyAlignment="1">
      <x:alignment horizontal="center"/>
    </x:xf>
    <x:xf numFmtId="0" fontId="25" fillId="5" borderId="23" xfId="0" applyFont="1" applyFill="1" applyBorder="1" applyAlignment="1">
      <x:alignment horizontal="center"/>
    </x:xf>
    <x:xf numFmtId="166" fontId="7" fillId="5" borderId="16" xfId="0" quotePrefix="1" applyNumberFormat="1" applyFont="1" applyFill="1" applyBorder="1" applyAlignment="1">
      <x:alignment horizontal="center" vertical="center"/>
    </x:xf>
    <x:xf numFmtId="166" fontId="7" fillId="5" borderId="8" xfId="0" quotePrefix="1" applyNumberFormat="1" applyFont="1" applyFill="1" applyBorder="1" applyAlignment="1">
      <x:alignment horizontal="center" vertical="center"/>
    </x:xf>
    <x:xf numFmtId="0" fontId="7" fillId="5" borderId="45" xfId="0" applyFont="1" applyFill="1" applyBorder="1" applyAlignment="1">
      <x:alignment horizontal="left"/>
    </x:xf>
    <x:xf numFmtId="0" fontId="6" fillId="6" borderId="63" xfId="0" applyFont="1" applyFill="1" applyBorder="1" applyAlignment="1">
      <x:alignment horizontal="center"/>
    </x:xf>
    <x:xf numFmtId="0" fontId="6" fillId="6" borderId="64" xfId="0" applyFont="1" applyFill="1" applyBorder="1" applyAlignment="1">
      <x:alignment horizontal="center"/>
    </x:xf>
    <x:xf numFmtId="0" fontId="6" fillId="6" borderId="65" xfId="0" applyFont="1" applyFill="1" applyBorder="1" applyAlignment="1">
      <x:alignment horizontal="center"/>
    </x:xf>
    <x:xf numFmtId="164" fontId="7" fillId="5" borderId="3" xfId="0" applyNumberFormat="1" applyFont="1" applyFill="1" applyBorder="1" applyAlignment="1">
      <x:alignment horizontal="center" vertical="center"/>
    </x:xf>
    <x:xf numFmtId="0" fontId="7" fillId="5" borderId="51" xfId="0" quotePrefix="1" applyFont="1" applyFill="1" applyBorder="1" applyAlignment="1">
      <x:alignment horizontal="center"/>
    </x:xf>
    <x:xf numFmtId="0" fontId="7" fillId="5" borderId="20" xfId="0" quotePrefix="1" applyFont="1" applyFill="1" applyBorder="1" applyAlignment="1">
      <x:alignment horizontal="center"/>
    </x:xf>
    <x:xf numFmtId="0" fontId="7" fillId="5" borderId="2" xfId="0" quotePrefix="1" applyFont="1" applyFill="1" applyBorder="1" applyAlignment="1">
      <x:alignment horizontal="center"/>
    </x:xf>
    <x:xf numFmtId="0" fontId="7" fillId="5" borderId="48" xfId="0" applyFont="1" applyFill="1" applyBorder="1" applyAlignment="1">
      <x:alignment horizontal="center"/>
    </x:xf>
    <x:xf numFmtId="0" fontId="7" fillId="5" borderId="51" xfId="0" applyFont="1" applyFill="1" applyBorder="1" applyAlignment="1">
      <x:alignment horizontal="center"/>
    </x:xf>
    <x:xf numFmtId="0" fontId="7" fillId="5" borderId="20" xfId="0" applyFont="1" applyFill="1" applyBorder="1" applyAlignment="1">
      <x:alignment horizontal="center"/>
    </x:xf>
    <x:xf numFmtId="164" fontId="7" fillId="5" borderId="7" xfId="0" applyNumberFormat="1" applyFont="1" applyFill="1" applyBorder="1" applyAlignment="1">
      <x:alignment horizontal="center" vertical="center"/>
    </x:xf>
    <x:xf numFmtId="0" fontId="8" fillId="5" borderId="20" xfId="0" applyFont="1" applyFill="1" applyBorder="1" applyAlignment="1">
      <x:alignment horizontal="center"/>
    </x:xf>
    <x:xf numFmtId="0" fontId="8" fillId="5" borderId="26" xfId="0" applyFont="1" applyFill="1" applyBorder="1" applyAlignment="1">
      <x:alignment horizontal="center"/>
    </x:xf>
    <x:xf numFmtId="15" fontId="8" fillId="5" borderId="2" xfId="0" applyNumberFormat="1" applyFont="1" applyFill="1" applyBorder="1" applyAlignment="1">
      <x:alignment horizontal="center"/>
    </x:xf>
    <x:xf numFmtId="0" fontId="8" fillId="5" borderId="48" xfId="0" applyFont="1" applyFill="1" applyBorder="1" applyAlignment="1">
      <x:alignment horizontal="center"/>
    </x:xf>
    <x:xf numFmtId="0" fontId="5" fillId="0" borderId="34" xfId="0" applyFont="1" applyBorder="1" applyAlignment="1">
      <x:alignment horizontal="center" vertical="center" wrapText="1"/>
    </x:xf>
    <x:xf numFmtId="0" fontId="5" fillId="0" borderId="36" xfId="0" applyFont="1" applyBorder="1" applyAlignment="1">
      <x:alignment horizontal="center" vertical="center" wrapText="1"/>
    </x:xf>
    <x:xf numFmtId="0" fontId="5" fillId="0" borderId="38" xfId="0" applyFont="1" applyBorder="1" applyAlignment="1">
      <x:alignment horizontal="center" vertical="center" wrapText="1"/>
    </x:xf>
    <x:xf numFmtId="0" fontId="5" fillId="0" borderId="39" xfId="0" applyFont="1" applyBorder="1" applyAlignment="1">
      <x:alignment horizontal="center" vertical="center" wrapText="1"/>
    </x:xf>
    <x:xf numFmtId="0" fontId="5" fillId="0" borderId="35" xfId="0" applyFont="1" applyBorder="1" applyAlignment="1">
      <x:alignment horizontal="center" vertical="center" wrapText="1"/>
    </x:xf>
    <x:xf numFmtId="0" fontId="5" fillId="0" borderId="37" xfId="0" applyFont="1" applyBorder="1" applyAlignment="1">
      <x:alignment horizontal="center" vertical="center" wrapText="1"/>
    </x:xf>
    <x:xf numFmtId="0" fontId="5" fillId="0" borderId="31" xfId="0" applyFont="1" applyBorder="1" applyAlignment="1">
      <x:alignment horizontal="center" vertical="center"/>
    </x:xf>
    <x:xf numFmtId="0" fontId="5" fillId="0" borderId="40" xfId="0" applyFont="1" applyBorder="1" applyAlignment="1">
      <x:alignment horizontal="center" vertical="center"/>
    </x:xf>
    <x:xf numFmtId="0" fontId="5" fillId="0" borderId="31" xfId="0" applyFont="1" applyBorder="1" applyAlignment="1">
      <x:alignment horizontal="center"/>
    </x:xf>
    <x:xf numFmtId="0" fontId="5" fillId="5" borderId="34" xfId="0" applyFont="1" applyFill="1" applyBorder="1" applyAlignment="1">
      <x:alignment horizontal="center" vertical="center"/>
    </x:xf>
    <x:xf numFmtId="0" fontId="5" fillId="5" borderId="36" xfId="0" applyFont="1" applyFill="1" applyBorder="1" applyAlignment="1">
      <x:alignment horizontal="center" vertical="center"/>
    </x:xf>
    <x:xf numFmtId="0" fontId="5" fillId="5" borderId="38" xfId="0" applyFont="1" applyFill="1" applyBorder="1" applyAlignment="1">
      <x:alignment horizontal="center" vertical="center"/>
    </x:xf>
    <x:xf numFmtId="0" fontId="5" fillId="5" borderId="39" xfId="0" applyFont="1" applyFill="1" applyBorder="1" applyAlignment="1">
      <x:alignment horizontal="center" vertical="center"/>
    </x:xf>
    <x:xf numFmtId="0" fontId="5" fillId="5" borderId="35" xfId="0" applyFont="1" applyFill="1" applyBorder="1" applyAlignment="1">
      <x:alignment horizontal="center" vertical="center"/>
    </x:xf>
    <x:xf numFmtId="0" fontId="5" fillId="5" borderId="37" xfId="0" applyFont="1" applyFill="1" applyBorder="1" applyAlignment="1">
      <x:alignment horizontal="center" vertical="center"/>
    </x:xf>
    <x:xf numFmtId="0" fontId="5" fillId="5" borderId="31" xfId="0" applyFont="1" applyFill="1" applyBorder="1" applyAlignment="1">
      <x:alignment horizontal="center" vertical="center"/>
    </x:xf>
    <x:xf numFmtId="0" fontId="4" fillId="0" borderId="31" xfId="0" applyFont="1" applyBorder="1" applyAlignment="1">
      <x:alignment horizontal="center"/>
    </x:xf>
    <x:xf numFmtId="169" fontId="7" fillId="4" borderId="31" xfId="3" applyNumberFormat="1" applyFont="1" applyBorder="1" applyAlignment="1">
      <x:alignment horizontal="center" vertical="center"/>
    </x:xf>
    <x:xf numFmtId="0" fontId="5" fillId="5" borderId="31" xfId="0" applyFont="1" applyFill="1" applyBorder="1" applyAlignment="1">
      <x:alignment horizontal="center" vertical="center" wrapText="1"/>
    </x:xf>
    <x:xf numFmtId="164" fontId="7" fillId="4" borderId="31" xfId="3" applyNumberFormat="1" applyFont="1" applyBorder="1" applyAlignment="1">
      <x:alignment horizontal="center" vertical="center"/>
    </x:xf>
    <x:xf numFmtId="1" fontId="7" fillId="4" borderId="31" xfId="3" applyNumberFormat="1" applyFont="1" applyBorder="1" applyAlignment="1">
      <x:alignment horizontal="center" vertical="center"/>
    </x:xf>
    <x:xf numFmtId="2" fontId="7" fillId="4" borderId="31" xfId="3" applyNumberFormat="1" applyFont="1" applyBorder="1" applyAlignment="1">
      <x:alignment horizontal="center" vertical="center"/>
    </x:xf>
    <x:xf numFmtId="0" fontId="5" fillId="5" borderId="4" xfId="0" applyFont="1" applyFill="1" applyBorder="1" applyAlignment="1">
      <x:alignment horizontal="center" vertical="center"/>
    </x:xf>
    <x:xf numFmtId="0" fontId="5" fillId="5" borderId="3" xfId="0" applyFont="1" applyFill="1" applyBorder="1" applyAlignment="1">
      <x:alignment horizontal="center" vertical="center"/>
    </x:xf>
    <x:xf numFmtId="164" fontId="4" fillId="5" borderId="31" xfId="0" applyNumberFormat="1" applyFont="1" applyFill="1" applyBorder="1" applyAlignment="1">
      <x:alignment horizontal="center" vertical="center"/>
    </x:xf>
    <x:xf numFmtId="169" fontId="4" fillId="5" borderId="31" xfId="0" applyNumberFormat="1" applyFont="1" applyFill="1" applyBorder="1" applyAlignment="1">
      <x:alignment horizontal="center" vertical="center"/>
    </x:xf>
    <x:xf numFmtId="2" fontId="4" fillId="5" borderId="31" xfId="0" applyNumberFormat="1" applyFont="1" applyFill="1" applyBorder="1" applyAlignment="1">
      <x:alignment horizontal="center" vertical="center"/>
    </x:xf>
    <x:xf numFmtId="166" fontId="4" fillId="5" borderId="31" xfId="0" applyNumberFormat="1" applyFont="1" applyFill="1" applyBorder="1" applyAlignment="1">
      <x:alignment horizontal="center" vertical="center"/>
    </x:xf>
    <x:xf numFmtId="1" fontId="4" fillId="5" borderId="31" xfId="0" applyNumberFormat="1" applyFont="1" applyFill="1" applyBorder="1" applyAlignment="1">
      <x:alignment horizontal="center" vertical="center"/>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11" fillId="3" borderId="0" xfId="0" applyNumberFormat="1" applyFill="0" applyBorder="0" applyAlignment="1" applyProtection="1">
      <x:alignment horizontal="general" vertical="center"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bottom" textRotation="0" wrapText="0" indent="0" relativeIndent="0" justifyLastLine="0" shrinkToFit="0" readingOrder="0"/>
      <x:protection locked="0" hidden="0"/>
    </x:xf>
    <x:xf numFmtId="0" fontId="1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4"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2"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3"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1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9"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6"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1" xfId="0" applyNumberFormat="1" applyFill="0" applyBorder="1" applyAlignment="1" applyProtection="1">
      <x:alignment horizontal="general" vertical="bottom" textRotation="0" wrapText="0" indent="0" relativeIndent="0" justifyLastLine="0" shrinkToFit="0" readingOrder="0"/>
      <x:protection locked="1" hidden="0"/>
    </x:xf>
    <x:xf numFmtId="0" fontId="17" fillId="5" borderId="47" xfId="0" applyNumberFormat="1" applyFill="0" applyBorder="1" applyAlignment="1" applyProtection="1">
      <x:alignment horizontal="general" vertical="bottom" textRotation="0" wrapText="0" indent="0" relativeIndent="0" justifyLastLine="0" shrinkToFit="0" readingOrder="0"/>
      <x:protection locked="1" hidden="0"/>
    </x:xf>
    <x:xf numFmtId="0" fontId="2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center" textRotation="0" wrapText="0" indent="0" relativeIndent="0" justifyLastLine="0" shrinkToFit="0" readingOrder="0"/>
      <x:protection locked="1" hidden="0"/>
    </x:xf>
    <x:xf numFmtId="0" fontId="7" fillId="5" borderId="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bottom" textRotation="0" wrapText="0" indent="0" relativeIndent="0" justifyLastLine="0" shrinkToFit="0" readingOrder="0"/>
      <x:protection locked="1" hidden="0"/>
    </x:xf>
    <x:xf numFmtId="0" fontId="8"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0" xfId="0" applyNumberFormat="1" applyFill="0" applyBorder="0" applyAlignment="1" applyProtection="1">
      <x:alignment horizontal="left" vertical="bottom" textRotation="0" wrapText="0" indent="0" relativeIndent="0" justifyLastLine="0" shrinkToFit="0" readingOrder="0"/>
      <x:protection locked="1" hidden="0"/>
    </x:xf>
    <x:xf numFmtId="167"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2" xfId="0" applyNumberFormat="1" applyFill="0" applyBorder="1" applyAlignment="1" applyProtection="1">
      <x:alignment horizontal="left" vertical="bottom" textRotation="0" wrapText="0" indent="0" relativeIndent="0" justifyLastLine="0" shrinkToFit="0" readingOrder="0"/>
      <x:protection locked="1" hidden="0"/>
    </x:xf>
    <x:xf numFmtId="167" fontId="7" fillId="5" borderId="48"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3"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50"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9" xfId="0"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 xfId="0" quotePrefix="1" applyNumberFormat="1" applyFill="0" applyBorder="1" applyAlignment="1" applyProtection="1">
      <x:alignment horizontal="left" vertical="bottom" textRotation="0" wrapText="0" indent="0" relativeIndent="0" justifyLastLine="0" shrinkToFit="0" readingOrder="0"/>
      <x:protection locked="1" hidden="0"/>
    </x:xf>
    <x:xf numFmtId="0" fontId="7" fillId="5" borderId="45"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0"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1" xfId="0" applyNumberFormat="1" applyFill="0" applyBorder="1" applyAlignment="1" applyProtection="1">
      <x:alignment horizontal="left" vertical="bottom" textRotation="0" wrapText="0" indent="0" relativeIndent="0" justifyLastLine="0" shrinkToFit="0" readingOrder="0"/>
      <x:protection locked="1" hidden="0"/>
    </x:xf>
    <x:xf numFmtId="0" fontId="6" fillId="6" borderId="62" xfId="0" applyNumberFormat="1" applyFill="0" applyBorder="1" applyAlignment="1" applyProtection="1">
      <x:alignment horizontal="left" vertical="bottom" textRotation="0" wrapText="0" indent="0" relativeIndent="0" justifyLastLine="0" shrinkToFit="0" readingOrder="0"/>
      <x:protection locked="1" hidden="0"/>
    </x:xf>
    <x:xf numFmtId="0" fontId="25"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6"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7"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3"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8"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9" xfId="0" applyNumberFormat="1" applyFill="0" applyBorder="1" applyAlignment="1" applyProtection="1">
      <x:alignment horizontal="general" vertical="bottom" textRotation="0" wrapText="0" indent="0" relativeIndent="0" justifyLastLine="0" shrinkToFit="0" readingOrder="0"/>
      <x:protection locked="1" hidden="0"/>
    </x:xf>
    <x:xf numFmtId="0" fontId="8" fillId="5" borderId="4" xfId="0" applyNumberFormat="1" applyFill="0" applyBorder="1" applyAlignment="1" applyProtection="1">
      <x:alignment horizontal="center" vertical="center" textRotation="0" wrapText="1" indent="0" relativeIndent="0" justifyLastLine="0" shrinkToFit="0" readingOrder="0"/>
      <x:protection locked="1" hidden="0"/>
    </x:xf>
    <x:xf numFmtId="0" fontId="20"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8" fillId="5" borderId="92"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70"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71" xfId="0" applyNumberFormat="1" applyFill="0" applyBorder="1" applyAlignment="1" applyProtection="1">
      <x:alignment horizontal="general" vertical="bottom" textRotation="0" wrapText="0" indent="0" relativeIndent="0" justifyLastLine="0" shrinkToFit="0" readingOrder="0"/>
      <x:protection locked="1" hidden="0"/>
    </x:xf>
    <x:xf numFmtId="0" fontId="6"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4"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6"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 fontId="8" fillId="5" borderId="21"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 fontId="8" fillId="5" borderId="14"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1" xfId="0" applyNumberFormat="1" applyFill="0" applyBorder="1" applyAlignment="1" applyProtection="1">
      <x:alignment horizontal="center" vertical="bottom" textRotation="0" wrapText="1" indent="0" relativeIndent="0" justifyLastLine="0" shrinkToFit="0" readingOrder="0"/>
      <x:protection locked="1" hidden="0"/>
    </x:xf>
    <x:xf numFmtId="167" fontId="8" fillId="5" borderId="5"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5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15" fontId="8"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48"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51"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20" xfId="0" applyNumberFormat="1" applyFill="0" applyBorder="1" applyAlignment="1" applyProtection="1">
      <x:alignment horizontal="center" vertical="bottom" textRotation="0" wrapText="0" indent="0" relativeIndent="0" justifyLastLine="0" shrinkToFit="0" readingOrder="0"/>
      <x:protection locked="1" hidden="0"/>
    </x:xf>
    <x:xf numFmtId="0" fontId="21"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4"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7" fillId="5" borderId="45" xfId="0" applyNumberFormat="1" applyFill="0" applyBorder="1" applyAlignment="1" applyProtection="1">
      <x:alignment horizontal="center"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right" vertical="bottom" textRotation="0" wrapText="0" indent="0" relativeIndent="0" justifyLastLine="0" shrinkToFit="0" readingOrder="0"/>
      <x:protection locked="1" hidden="0"/>
    </x:xf>
    <x:xf numFmtId="164" fontId="7"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164" fontId="7" fillId="5" borderId="7" xfId="0" applyNumberFormat="1" applyFill="0" applyBorder="1" applyAlignment="1" applyProtection="1">
      <x:alignment horizontal="center" vertical="center" textRotation="0" wrapText="0" indent="0" relativeIndent="0" justifyLastLine="0" shrinkToFit="0" readingOrder="0"/>
      <x:protection locked="1" hidden="0"/>
    </x:xf>
    <x:xf numFmtId="2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0" xfId="0" applyNumberFormat="1" applyFill="0" applyBorder="0" applyAlignment="1" applyProtection="1">
      <x:alignment horizontal="general" vertical="center" textRotation="0" wrapText="1" indent="0" relativeIndent="0" justifyLastLine="0" shrinkToFit="0" readingOrder="0"/>
      <x:protection locked="1" hidden="0"/>
    </x:xf>
    <x:xf numFmtId="0" fontId="7" fillId="5" borderId="2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general" vertical="bottom" textRotation="0" wrapText="0" indent="0" relativeIndent="0" justifyLastLine="0" shrinkToFit="0" readingOrder="0"/>
      <x:protection locked="1" hidden="0"/>
    </x:xf>
    <x:xf numFmtId="0" fontId="7" fillId="5" borderId="6" xfId="0"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6" xfId="0" quotePrefix="1" applyNumberFormat="1" applyFill="0" applyBorder="1" applyAlignment="1" applyProtection="1">
      <x:alignment horizontal="center" vertical="bottom" textRotation="0" wrapText="0" indent="0" relativeIndent="0" justifyLastLine="0" shrinkToFit="0" readingOrder="0"/>
      <x:protection locked="1" hidden="0"/>
    </x:xf>
    <x:xf numFmtId="0" fontId="7"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6" fillId="6" borderId="63"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4" xfId="0" applyNumberFormat="1" applyFill="0" applyBorder="1" applyAlignment="1" applyProtection="1">
      <x:alignment horizontal="center" vertical="bottom" textRotation="0" wrapText="0" indent="0" relativeIndent="0" justifyLastLine="0" shrinkToFit="0" readingOrder="0"/>
      <x:protection locked="1" hidden="0"/>
    </x:xf>
    <x:xf numFmtId="0" fontId="6" fillId="6" borderId="65" xfId="0" applyNumberFormat="1" applyFill="0" applyBorder="1" applyAlignment="1" applyProtection="1">
      <x:alignment horizontal="center" vertical="bottom" textRotation="0" wrapText="0" indent="0" relativeIndent="0" justifyLastLine="0" shrinkToFit="0" readingOrder="0"/>
      <x:protection locked="1" hidden="0"/>
    </x:xf>
    <x:xf numFmtId="0" fontId="20"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20"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20"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7" fillId="5" borderId="44"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7" fillId="5" borderId="45" xfId="0" applyNumberFormat="1" applyFill="0" applyBorder="1" applyAlignment="1" applyProtection="1">
      <x:alignment horizontal="general" vertical="center" textRotation="0" wrapText="0" indent="0" relativeIndent="0" justifyLastLine="0" shrinkToFit="0" readingOrder="0"/>
      <x:protection locked="1" hidden="0"/>
    </x:xf>
    <x:xf numFmtId="0" fontId="6" fillId="5" borderId="13" xfId="0" applyNumberFormat="1" applyFill="0" applyBorder="1" applyAlignment="1" applyProtection="1">
      <x:alignment horizontal="center" vertical="bottom" textRotation="0" wrapText="0" indent="0" relativeIndent="0" justifyLastLine="0" shrinkToFit="0" readingOrder="0"/>
      <x:protection locked="1" hidden="0"/>
    </x:xf>
    <x:xf numFmtId="0" fontId="7" fillId="2" borderId="0" xfId="0" applyNumberFormat="1" applyFill="0" applyBorder="0" applyAlignment="1" applyProtection="1">
      <x:alignment horizontal="general" vertical="center" textRotation="0" wrapText="0" indent="0" relativeIndent="0" justifyLastLine="0" shrinkToFit="0" readingOrder="0"/>
      <x:protection locked="1" hidden="0"/>
    </x:xf>
    <x:xf numFmtId="0" fontId="6"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right"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left" vertical="center" textRotation="0" wrapText="0" indent="0" relativeIndent="0" justifyLastLine="0" shrinkToFit="0" readingOrder="0"/>
      <x:protection locked="1" hidden="0"/>
    </x:xf>
    <x:xf numFmtId="0"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69"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1"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7" fillId="5" borderId="18"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8"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1"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righ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left" vertical="center" textRotation="0" wrapText="0"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1"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9" fontId="8"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2"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7"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22" xfId="0"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9"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0"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5"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8"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2"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3"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7" fillId="5" borderId="19" xfId="0" quotePrefix="1" applyNumberFormat="1" applyFill="0" applyBorder="1" applyAlignment="1" applyProtection="1">
      <x:alignment horizontal="center" vertical="center" textRotation="0" wrapText="0" indent="0" relativeIndent="0" justifyLastLine="0" shrinkToFit="0" readingOrder="0"/>
      <x:protection locked="1" hidden="0"/>
    </x:xf>
    <x:xf numFmtId="166"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2" fontId="7" fillId="5" borderId="16" xfId="0" quotePrefix="1" applyNumberFormat="1" applyFill="0" applyBorder="1" applyAlignment="1" applyProtection="1">
      <x:alignment horizontal="center" vertical="center" textRotation="0" wrapText="0" indent="0" relativeIndent="0" justifyLastLine="0" shrinkToFit="0" readingOrder="0"/>
      <x:protection locked="1" hidden="0"/>
    </x:xf>
    <x:xf numFmtId="0" fontId="8" fillId="5" borderId="51"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25"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25" fillId="5"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25"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7"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0" xfId="0" applyNumberFormat="1" applyFill="0" applyBorder="0" applyAlignment="1" applyProtection="1">
      <x:alignment horizontal="center" vertical="bottom" textRotation="0" wrapText="1"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1" indent="0" relativeIndent="0" justifyLastLine="0" shrinkToFit="0" readingOrder="0"/>
      <x:protection locked="1" hidden="0"/>
    </x:xf>
    <x:xf numFmtId="0" fontId="8" fillId="5" borderId="4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1"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9"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30"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left" vertical="bottom" textRotation="0" wrapText="0" indent="0" relativeIndent="0" justifyLastLine="0" shrinkToFit="0" readingOrder="0"/>
      <x:protection locked="1" hidden="0"/>
    </x:xf>
    <x:xf numFmtId="0" fontId="8" fillId="5"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5" borderId="4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4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23" xfId="0" applyNumberFormat="1" applyFill="0" applyBorder="1" applyAlignment="1" applyProtection="1">
      <x:alignment horizontal="center" vertical="bottom" textRotation="0" wrapText="0" indent="0" relativeIndent="0" justifyLastLine="0" shrinkToFit="0" readingOrder="0"/>
      <x:protection locked="1" hidden="0"/>
    </x:xf>
    <x:xf numFmtId="167" fontId="8" fillId="5" borderId="2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4"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5"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6"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7"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8" xfId="0" applyNumberFormat="1" applyFill="0" applyBorder="1" applyAlignment="1" applyProtection="1">
      <x:alignment horizontal="center" vertical="bottom" textRotation="0" wrapText="0" indent="0" relativeIndent="0" justifyLastLine="0" shrinkToFit="0" readingOrder="0"/>
      <x:protection locked="1" hidden="0"/>
    </x:xf>
    <x:xf numFmtId="0" fontId="8" fillId="5" borderId="59" xfId="0" applyNumberFormat="1" applyFill="0" applyBorder="1" applyAlignment="1" applyProtection="1">
      <x:alignment horizontal="center" vertical="bottom" textRotation="0" wrapText="0" indent="0" relativeIndent="0" justifyLastLine="0" shrinkToFit="0" readingOrder="0"/>
      <x:protection locked="1" hidden="0"/>
    </x:xf>
    <x:xf numFmtId="0" fontId="24"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5" fillId="5" borderId="3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4"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6"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5"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7"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1" xfId="0" applyNumberFormat="1" applyFill="0" applyBorder="1" applyAlignment="1" applyProtection="1">
      <x:alignment horizontal="center" vertical="center" textRotation="0" wrapText="1" indent="0" relativeIndent="0" justifyLastLine="0" shrinkToFit="0" readingOrder="0"/>
      <x:protection locked="1" hidden="0"/>
    </x:xf>
    <x:xf numFmtId="0" fontId="5" fillId="5" borderId="38" xfId="0" applyNumberFormat="1" applyFill="0" applyBorder="1" applyAlignment="1" applyProtection="1">
      <x:alignment horizontal="center" vertical="center" textRotation="0" wrapText="0" indent="0" relativeIndent="0" justifyLastLine="0" shrinkToFit="0" readingOrder="0"/>
      <x:protection locked="1" hidden="0"/>
    </x:xf>
    <x:xf numFmtId="0" fontId="5" fillId="5" borderId="39"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7"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4"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69"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4"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69"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71" fontId="4" fillId="5" borderId="32" xfId="0" applyNumberFormat="1" applyFill="0" applyBorder="1" applyAlignment="1" applyProtection="1">
      <x:alignment horizontal="right" vertical="bottom" textRotation="0" wrapText="0" indent="0" relativeIndent="0" justifyLastLine="0" shrinkToFit="0" readingOrder="0"/>
      <x:protection locked="1" hidden="0"/>
    </x:xf>
    <x:xf numFmtId="166"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2" xfId="0" applyNumberFormat="1" applyFill="0" applyBorder="1" applyAlignment="1" applyProtection="1">
      <x:alignment horizontal="general" vertical="center" textRotation="0" wrapText="0" indent="0" relativeIndent="0" justifyLastLine="0" shrinkToFit="0" readingOrder="0"/>
      <x:protection locked="1" hidden="0"/>
    </x:xf>
    <x:xf numFmtId="1" fontId="4" fillId="5" borderId="33" xfId="0" applyNumberFormat="1" applyFill="0" applyBorder="1" applyAlignment="1" applyProtection="1">
      <x:alignment horizontal="general" vertical="center" textRotation="0" wrapText="0" indent="0" relativeIndent="0" justifyLastLine="0" shrinkToFit="0" readingOrder="0"/>
      <x:protection locked="1" hidden="0"/>
    </x:xf>
    <x:xf numFmtId="1"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6"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2" fontId="7" fillId="4" borderId="31" xfId="0" applyNumberFormat="1" applyFill="0" applyBorder="1" applyAlignment="1" applyProtection="1">
      <x:alignment horizontal="center" vertical="center" textRotation="0" wrapText="0" indent="0" relativeIndent="0" justifyLastLine="0" shrinkToFit="0" readingOrder="0"/>
      <x:protection locked="1" hidden="0"/>
    </x:xf>
    <x:xf numFmtId="164"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1" fontId="4" fillId="5" borderId="31" xfId="0" applyNumberFormat="1" applyFill="0" applyBorder="1" applyAlignment="1" applyProtection="1">
      <x:alignment horizontal="center" vertical="center" textRotation="0" wrapText="0" indent="0" relativeIndent="0" justifyLastLine="0" shrinkToFit="0" readingOrder="0"/>
      <x:protection locked="1" hidden="0"/>
    </x:xf>
    <x:xf numFmtId="0" fontId="3" fillId="5" borderId="0" xfId="0" applyNumberFormat="1" applyFill="0" applyBorder="0" applyAlignment="1" applyProtection="1">
      <x:alignment horizontal="general" vertical="bottom" textRotation="0" wrapText="0" indent="0" relativeIndent="0" justifyLastLine="0" shrinkToFit="0" readingOrder="0"/>
      <x:protection locked="1" hidden="0"/>
    </x:xf>
  </x:cellXfs>
  <x:cellStyles count="6">
    <x:cellStyle name="Bad" xfId="3" builtinId="27"/>
    <x:cellStyle name="Normal" xfId="0" builtinId="0"/>
    <x:cellStyle name="Normal 2" xfId="1"/>
    <x:cellStyle name="Normal 3" xfId="2"/>
    <x:cellStyle name="Normal 4" xfId="4"/>
    <x:cellStyle name="Normal 5" xfId="5"/>
  </x:cellStyles>
  <x:dxfs count="8">
    <x:dxf>
      <x:font>
        <x:b/>
        <x:i/>
        <x:color rgb="FFFF0000"/>
      </x:font>
    </x:dxf>
    <x:dxf>
      <x:fill>
        <x:patternFill patternType="solid">
          <x:fgColor auto="1"/>
          <x:bgColor theme="0"/>
        </x:patternFill>
      </x:fill>
    </x:dxf>
    <x:dxf>
      <x:font>
        <x:color theme="0"/>
      </x:font>
      <x:fill>
        <x:patternFill patternType="solid">
          <x:fgColor auto="1"/>
          <x:bgColor rgb="FF00B050"/>
        </x:patternFill>
      </x:fill>
    </x:dxf>
    <x:dxf>
      <x:font>
        <x:color theme="0"/>
      </x:font>
      <x:fill>
        <x:patternFill patternType="solid">
          <x:fgColor auto="1"/>
          <x:bgColor rgb="FFFF0000"/>
        </x:patternFill>
      </x:fill>
    </x:dxf>
    <x:dxf>
      <x:font>
        <x:b/>
        <x:i/>
        <x:color rgb="FFFF0000"/>
      </x:font>
      <x:fill>
        <x:patternFill patternType="solid">
          <x:fgColor auto="1"/>
          <x:bgColor theme="0"/>
        </x:patternFill>
      </x:fill>
    </x:dxf>
    <x:dxf>
      <x:fill>
        <x:patternFill patternType="solid">
          <x:fgColor auto="1"/>
          <x:bgColor theme="9"/>
        </x:patternFill>
      </x:fill>
    </x:dxf>
    <x:dxf>
      <x:fill>
        <x:patternFill patternType="solid">
          <x:fgColor auto="1"/>
          <x:bgColor rgb="FFFF0000"/>
        </x:patternFill>
      </x:fill>
    </x:dxf>
    <x:dxf>
      <x:fill>
        <x:patternFill patternType="solid">
          <x:fgColor auto="1"/>
          <x:bgColor rgb="FF00B050"/>
        </x:patternFill>
      </x:fill>
    </x:dxf>
  </x:dxfs>
  <x:tableStyles count="0" defaultTableStyle="TableStyleMedium9" defaultPivotStyle="PivotStyleLight16"/>
  <x:colors>
    <x:mruColors>
      <x:color rgb="FF0033CC"/>
    </x:mruColors>
  </x:colors>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twoCellAnchor>
    <xdr:from>
      <xdr:col>2</xdr:col>
      <xdr:colOff>48490</xdr:colOff>
      <xdr:row>7</xdr:row>
      <xdr:rowOff>60613</xdr:rowOff>
    </xdr:from>
    <xdr:to>
      <xdr:col>25</xdr:col>
      <xdr:colOff>195695</xdr:colOff>
      <xdr:row>7</xdr:row>
      <xdr:rowOff>60614</xdr:rowOff>
    </xdr:to>
    <xdr:cxnSp macro="">
      <xdr:nvCxnSpPr>
        <xdr:cNvPr id="1"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3</xdr:col>
      <xdr:colOff>76200</xdr:colOff>
      <xdr:row>0</xdr:row>
      <xdr:rowOff>47625</xdr:rowOff>
    </xdr:from>
    <xdr:ext cx="1552575" cy="676275"/>
    <xdr:pic>
      <xdr:nvPicPr>
        <xdr:cNvPr id="2" name="Picture 5"/>
        <xdr:cNvPicPr>
          <a:picLocks noChangeAspect="1"/>
        </xdr:cNvPicPr>
      </xdr:nvPicPr>
      <xdr:blipFill>
        <a:blip r:embed="rId1" cstate="print"/>
        <a:stretch>
          <a:fillRect/>
        </a:stretch>
      </xdr:blipFill>
      <xdr:spPr>
        <a:xfrm>
          <a:off x="0" y="0"/>
          <a:ext cx="1552575" cy="676275"/>
        </a:xfrm>
        <a:prstGeom prst="rect"/>
      </xdr:spPr>
    </xdr:pic>
    <xdr:clientData/>
  </xdr:oneCellAnchor>
  <xdr:twoCellAnchor>
    <xdr:from>
      <xdr:col>2</xdr:col>
      <xdr:colOff>39689</xdr:colOff>
      <xdr:row>57</xdr:row>
      <xdr:rowOff>0</xdr:rowOff>
    </xdr:from>
    <xdr:to>
      <xdr:col>25</xdr:col>
      <xdr:colOff>172174</xdr:colOff>
      <xdr:row>57</xdr:row>
      <xdr:rowOff>1588</xdr:rowOff>
    </xdr:to>
    <xdr:cxnSp macro="">
      <xdr:nvCxnSpPr>
        <xdr:cNvPr id="3"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4"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5"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6"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7"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8"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9"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10"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11"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219075</xdr:colOff>
      <xdr:row>5</xdr:row>
      <xdr:rowOff>142875</xdr:rowOff>
    </xdr:to>
    <xdr:pic>
      <xdr:nvPicPr>
        <xdr:cNvPr id="12" name="Picture 2"/>
        <xdr:cNvPicPr>
          <a:picLocks noChangeAspect="1"/>
        </xdr:cNvPicPr>
      </xdr:nvPicPr>
      <xdr:blipFill>
        <a:blip r:embed="rId2" cstate="print"/>
        <a:stretch>
          <a:fillRect/>
        </a:stretch>
      </xdr:blipFill>
      <xdr:spPr>
        <a:xfrm>
          <a:off x="0" y="0"/>
          <a:ext cx="885825" cy="904875"/>
        </a:xfrm>
        <a:prstGeom prst="rect"/>
      </xdr:spPr>
    </xdr:pic>
    <xdr:clientData/>
  </xdr:twoCellAnchor>
  <xdr:twoCellAnchor>
    <xdr:from>
      <xdr:col>2</xdr:col>
      <xdr:colOff>30164</xdr:colOff>
      <xdr:row>216</xdr:row>
      <xdr:rowOff>0</xdr:rowOff>
    </xdr:from>
    <xdr:to>
      <xdr:col>25</xdr:col>
      <xdr:colOff>162649</xdr:colOff>
      <xdr:row>216</xdr:row>
      <xdr:rowOff>1588</xdr:rowOff>
    </xdr:to>
    <xdr:cxnSp macro="">
      <xdr:nvCxnSpPr>
        <xdr:cNvPr id="13"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14"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15"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a16="http://schemas.microsoft.com/office/drawing/2014/main" xmlns:xdr="http://schemas.openxmlformats.org/drawingml/2006/spreadsheetDrawing" xmlns:a="http://schemas.openxmlformats.org/drawingml/2006/main" xmlns:r="http://schemas.openxmlformats.org/officeDocument/2006/relationships">
  <xdr:oneCellAnchor>
    <xdr:from>
      <xdr:col>39</xdr:col>
      <xdr:colOff>19050</xdr:colOff>
      <xdr:row>1</xdr:row>
      <xdr:rowOff>28575</xdr:rowOff>
    </xdr:from>
    <xdr:ext cx="1504950" cy="600075"/>
    <xdr:pic>
      <xdr:nvPicPr>
        <xdr:cNvPr id="1" name="Picture 1"/>
        <xdr:cNvPicPr>
          <a:picLocks noChangeAspect="1"/>
        </xdr:cNvPicPr>
      </xdr:nvPicPr>
      <xdr:blipFill>
        <a:blip r:embed="rId1" cstate="print"/>
        <a:stretch>
          <a:fillRect/>
        </a:stretch>
      </xdr:blipFill>
      <xdr:spPr>
        <a:xfrm>
          <a:off x="0" y="0"/>
          <a:ext cx="1504950" cy="600075"/>
        </a:xfrm>
        <a:prstGeom prst="rect"/>
      </xdr:spPr>
    </xdr:pic>
    <xdr:clientData/>
  </xdr:oneCellAnchor>
  <xdr:twoCellAnchor>
    <xdr:from>
      <xdr:col>47</xdr:col>
      <xdr:colOff>95250</xdr:colOff>
      <xdr:row>46</xdr:row>
      <xdr:rowOff>47625</xdr:rowOff>
    </xdr:from>
    <xdr:to>
      <xdr:col>48</xdr:col>
      <xdr:colOff>114300</xdr:colOff>
      <xdr:row>46</xdr:row>
      <xdr:rowOff>161925</xdr:rowOff>
    </xdr:to>
    <xdr:sp macro="" textlink="">
      <xdr:nvSpPr>
        <xdr:cNvPr id="2"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3"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4"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5"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0</xdr:col>
      <xdr:colOff>219075</xdr:colOff>
      <xdr:row>0</xdr:row>
      <xdr:rowOff>95250</xdr:rowOff>
    </xdr:from>
    <xdr:ext cx="6858000" cy="4495800"/>
    <xdr:pic>
      <xdr:nvPicPr>
        <xdr:cNvPr id="1" name="Picture 1"/>
        <xdr:cNvPicPr>
          <a:picLocks noChangeAspect="1"/>
        </xdr:cNvPicPr>
      </xdr:nvPicPr>
      <xdr:blipFill>
        <a:blip r:embed="rId1" cstate="print"/>
        <a:stretch>
          <a:fillRect/>
        </a:stretch>
      </xdr:blipFill>
      <xdr:spPr>
        <a:xfrm>
          <a:off x="0" y="0"/>
          <a:ext cx="6858000" cy="4495800"/>
        </a:xfrm>
        <a:prstGeom prst="rect"/>
      </xdr:spPr>
    </xdr:pic>
    <xdr:clientData/>
  </xdr:oneCellAnchor>
  <xdr:oneCellAnchor>
    <xdr:from>
      <xdr:col>0</xdr:col>
      <xdr:colOff>285750</xdr:colOff>
      <xdr:row>30</xdr:row>
      <xdr:rowOff>0</xdr:rowOff>
    </xdr:from>
    <xdr:ext cx="6610350" cy="2609850"/>
    <xdr:pic>
      <xdr:nvPicPr>
        <xdr:cNvPr id="2" name="Picture 2"/>
        <xdr:cNvPicPr>
          <a:picLocks noChangeAspect="1"/>
        </xdr:cNvPicPr>
      </xdr:nvPicPr>
      <xdr:blipFill>
        <a:blip r:embed="rId2" cstate="print"/>
        <a:stretch>
          <a:fillRect/>
        </a:stretch>
      </xdr:blipFill>
      <xdr:spPr>
        <a:xfrm>
          <a:off x="0" y="0"/>
          <a:ext cx="6610350" cy="2609850"/>
        </a:xfrm>
        <a:prstGeom prst="rect"/>
      </xdr:spPr>
    </xdr:pic>
    <xdr:clientData/>
  </xdr:oneCellAnchor>
  <xdr:oneCellAnchor>
    <xdr:from>
      <xdr:col>11</xdr:col>
      <xdr:colOff>571500</xdr:colOff>
      <xdr:row>0</xdr:row>
      <xdr:rowOff>95250</xdr:rowOff>
    </xdr:from>
    <xdr:ext cx="6486525" cy="3971925"/>
    <xdr:pic>
      <xdr:nvPicPr>
        <xdr:cNvPr id="3" name="Picture 3"/>
        <xdr:cNvPicPr>
          <a:picLocks noChangeAspect="1"/>
        </xdr:cNvPicPr>
      </xdr:nvPicPr>
      <xdr:blipFill>
        <a:blip r:embed="rId3" cstate="print"/>
        <a:stretch>
          <a:fillRect/>
        </a:stretch>
      </xdr:blipFill>
      <xdr:spPr>
        <a:xfrm>
          <a:off x="0" y="0"/>
          <a:ext cx="6486525" cy="3971925"/>
        </a:xfrm>
        <a:prstGeom prst="rect"/>
      </xdr:spPr>
    </xdr:pic>
    <xdr:clientData/>
  </xdr:oneCellAnchor>
  <xdr:oneCellAnchor>
    <xdr:from>
      <xdr:col>12</xdr:col>
      <xdr:colOff>0</xdr:colOff>
      <xdr:row>21</xdr:row>
      <xdr:rowOff>180975</xdr:rowOff>
    </xdr:from>
    <xdr:ext cx="6591300" cy="2181225"/>
    <xdr:pic>
      <xdr:nvPicPr>
        <xdr:cNvPr id="4" name="Picture 4"/>
        <xdr:cNvPicPr>
          <a:picLocks noChangeAspect="1"/>
        </xdr:cNvPicPr>
      </xdr:nvPicPr>
      <xdr:blipFill>
        <a:blip r:embed="rId4" cstate="print"/>
        <a:stretch>
          <a:fillRect/>
        </a:stretch>
      </xdr:blipFill>
      <xdr:spPr>
        <a:xfrm>
          <a:off x="0" y="0"/>
          <a:ext cx="6591300" cy="2181225"/>
        </a:xfrm>
        <a:prstGeom prst="rect"/>
      </xdr:spPr>
    </xdr:pic>
    <xdr:clientData/>
  </xdr:oneCellAnchor>
  <xdr:oneCellAnchor>
    <xdr:from>
      <xdr:col>0</xdr:col>
      <xdr:colOff>314325</xdr:colOff>
      <xdr:row>38</xdr:row>
      <xdr:rowOff>171450</xdr:rowOff>
    </xdr:from>
    <xdr:ext cx="6705600" cy="4391025"/>
    <xdr:pic>
      <xdr:nvPicPr>
        <xdr:cNvPr id="5" name="Picture 5"/>
        <xdr:cNvPicPr>
          <a:picLocks noChangeAspect="1"/>
        </xdr:cNvPicPr>
      </xdr:nvPicPr>
      <xdr:blipFill>
        <a:blip r:embed="rId5" cstate="print"/>
        <a:stretch>
          <a:fillRect/>
        </a:stretch>
      </xdr:blipFill>
      <xdr:spPr>
        <a:xfrm>
          <a:off x="0" y="0"/>
          <a:ext cx="6705600" cy="4391025"/>
        </a:xfrm>
        <a:prstGeom prst="rect"/>
      </xdr:spPr>
    </xdr:pic>
    <xdr:clientData/>
  </xdr:oneCellAnchor>
  <xdr:oneCellAnchor>
    <xdr:from>
      <xdr:col>12</xdr:col>
      <xdr:colOff>19050</xdr:colOff>
      <xdr:row>33</xdr:row>
      <xdr:rowOff>142875</xdr:rowOff>
    </xdr:from>
    <xdr:ext cx="6638925" cy="4133850"/>
    <xdr:pic>
      <xdr:nvPicPr>
        <xdr:cNvPr id="6" name="Picture 6"/>
        <xdr:cNvPicPr>
          <a:picLocks noChangeAspect="1"/>
        </xdr:cNvPicPr>
      </xdr:nvPicPr>
      <xdr:blipFill>
        <a:blip r:embed="rId6" cstate="print"/>
        <a:stretch>
          <a:fillRect/>
        </a:stretch>
      </xdr:blipFill>
      <xdr:spPr>
        <a:xfrm>
          <a:off x="0" y="0"/>
          <a:ext cx="6638925" cy="4133850"/>
        </a:xfrm>
        <a:prstGeom prst="rect"/>
      </xdr:spPr>
    </xdr:pic>
    <xdr:clientData/>
  </xdr:oneCellAnchor>
  <xdr:oneCellAnchor>
    <xdr:from>
      <xdr:col>12</xdr:col>
      <xdr:colOff>9525</xdr:colOff>
      <xdr:row>56</xdr:row>
      <xdr:rowOff>19050</xdr:rowOff>
    </xdr:from>
    <xdr:ext cx="6638925" cy="3124200"/>
    <xdr:pic>
      <xdr:nvPicPr>
        <xdr:cNvPr id="7" name="Picture 7"/>
        <xdr:cNvPicPr>
          <a:picLocks noChangeAspect="1"/>
        </xdr:cNvPicPr>
      </xdr:nvPicPr>
      <xdr:blipFill>
        <a:blip r:embed="rId7" cstate="print"/>
        <a:stretch>
          <a:fillRect/>
        </a:stretch>
      </xdr:blipFill>
      <xdr:spPr>
        <a:xfrm>
          <a:off x="0" y="0"/>
          <a:ext cx="6638925" cy="3124200"/>
        </a:xfrm>
        <a:prstGeom prst="rect"/>
      </xdr:spPr>
    </xdr:pic>
    <xdr:clientData/>
  </xdr:oneCellAnchor>
  <xdr:oneCellAnchor>
    <xdr:from>
      <xdr:col>0</xdr:col>
      <xdr:colOff>361950</xdr:colOff>
      <xdr:row>62</xdr:row>
      <xdr:rowOff>9525</xdr:rowOff>
    </xdr:from>
    <xdr:ext cx="6562725" cy="3829050"/>
    <xdr:pic>
      <xdr:nvPicPr>
        <xdr:cNvPr id="8" name="Picture 8"/>
        <xdr:cNvPicPr>
          <a:picLocks noChangeAspect="1"/>
        </xdr:cNvPicPr>
      </xdr:nvPicPr>
      <xdr:blipFill>
        <a:blip r:embed="rId8" cstate="print"/>
        <a:stretch>
          <a:fillRect/>
        </a:stretch>
      </xdr:blipFill>
      <xdr:spPr>
        <a:xfrm>
          <a:off x="0" y="0"/>
          <a:ext cx="6562725" cy="3829050"/>
        </a:xfrm>
        <a:prstGeom prst="rect"/>
      </xdr:spPr>
    </xdr:pic>
    <xdr:clientData/>
  </xdr:oneCellAnchor>
  <xdr:oneCellAnchor>
    <xdr:from>
      <xdr:col>0</xdr:col>
      <xdr:colOff>371475</xdr:colOff>
      <xdr:row>82</xdr:row>
      <xdr:rowOff>95250</xdr:rowOff>
    </xdr:from>
    <xdr:ext cx="6619875" cy="2828925"/>
    <xdr:pic>
      <xdr:nvPicPr>
        <xdr:cNvPr id="9" name="Picture 9"/>
        <xdr:cNvPicPr>
          <a:picLocks noChangeAspect="1"/>
        </xdr:cNvPicPr>
      </xdr:nvPicPr>
      <xdr:blipFill>
        <a:blip r:embed="rId9" cstate="print"/>
        <a:stretch>
          <a:fillRect/>
        </a:stretch>
      </xdr:blipFill>
      <xdr:spPr>
        <a:xfrm>
          <a:off x="0" y="0"/>
          <a:ext cx="6619875" cy="282892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AV242"/>
  <x:sheetViews>
    <x:sheetView showGridLines="0" topLeftCell="B1" zoomScale="120" zoomScaleNormal="120" zoomScaleSheetLayoutView="120" workbookViewId="0">
      <x:selection activeCell="V7" sqref="V7 V7:Z7"/>
    </x:sheetView>
  </x:sheetViews>
  <x:sheetFormatPr defaultColWidth="9.140625" defaultRowHeight="13.5"/>
  <x:cols>
    <x:col min="1" max="1" width="3.855469" style="484" customWidth="1"/>
    <x:col min="2" max="2" width="5.710938" style="20" customWidth="1"/>
    <x:col min="3" max="11" width="3.855469" style="20" customWidth="1"/>
    <x:col min="12" max="12" width="4" style="20" customWidth="1"/>
    <x:col min="13" max="13" width="4.140625" style="20" customWidth="1"/>
    <x:col min="14" max="26" width="3.855469" style="20" customWidth="1"/>
    <x:col min="27" max="27" width="3" style="20" customWidth="1"/>
    <x:col min="28" max="48" width="3.855469" style="20" hidden="1" customWidth="1"/>
    <x:col min="49" max="16384" width="9.140625" style="20" hidden="1" customWidth="1"/>
  </x:cols>
  <x:sheetData>
    <x:row r="1" spans="1:48" ht="12.75" customHeight="1"/>
    <x:row r="5" spans="1:48" ht="21" customHeight="1">
      <x:c r="C5" s="279" t="s">
        <x:v>0</x:v>
      </x:c>
      <x:c r="D5" s="279"/>
      <x:c r="E5" s="279"/>
      <x:c r="F5" s="279"/>
      <x:c r="G5" s="279"/>
      <x:c r="H5" s="279"/>
      <x:c r="I5" s="279"/>
      <x:c r="J5" s="279"/>
      <x:c r="K5" s="279"/>
      <x:c r="L5" s="279"/>
      <x:c r="M5" s="279"/>
      <x:c r="N5" s="279"/>
      <x:c r="O5" s="279"/>
      <x:c r="P5" s="279"/>
      <x:c r="Q5" s="279"/>
      <x:c r="R5" s="279"/>
      <x:c r="S5" s="279"/>
      <x:c r="T5" s="279"/>
      <x:c r="U5" s="279"/>
      <x:c r="V5" s="279"/>
      <x:c r="W5" s="279"/>
      <x:c r="X5" s="279"/>
      <x:c r="Y5" s="279"/>
      <x:c r="Z5" s="279"/>
    </x:row>
    <x:row r="6" spans="1:48" ht="12.75" customHeight="1">
      <x:c r="C6" s="279"/>
      <x:c r="D6" s="279"/>
      <x:c r="E6" s="279"/>
      <x:c r="F6" s="279"/>
      <x:c r="G6" s="279"/>
      <x:c r="H6" s="279"/>
      <x:c r="I6" s="279"/>
      <x:c r="J6" s="279"/>
      <x:c r="K6" s="279"/>
      <x:c r="L6" s="279"/>
      <x:c r="M6" s="279"/>
      <x:c r="N6" s="279"/>
      <x:c r="O6" s="279"/>
      <x:c r="P6" s="279"/>
      <x:c r="Q6" s="279"/>
      <x:c r="R6" s="279"/>
      <x:c r="S6" s="279"/>
      <x:c r="T6" s="279"/>
      <x:c r="U6" s="279"/>
      <x:c r="V6" s="279"/>
      <x:c r="W6" s="279"/>
      <x:c r="X6" s="279"/>
      <x:c r="Y6" s="279"/>
      <x:c r="Z6" s="279"/>
    </x:row>
    <x:row r="7" spans="1:48" ht="12.75" customHeight="1">
      <x:c r="R7" s="243" t="s">
        <x:v>1</x:v>
      </x:c>
      <x:c r="S7" s="243"/>
      <x:c r="T7" s="243"/>
      <x:c r="U7" s="243"/>
      <x:c r="V7" s="244">
        <x:f>CONCATENATE("25-",DataSheet!L7,DataSheet!N7,DataSheet!O7,DataSheet!AN7," ","Rev.00")</x:f>
      </x:c>
      <x:c r="W7" s="244"/>
      <x:c r="X7" s="244"/>
      <x:c r="Y7" s="244"/>
      <x:c r="Z7" s="244"/>
    </x:row>
    <x:row r="9" spans="1:48" ht="15" customHeight="1">
      <x:c r="C9" s="21" t="s">
        <x:v>2</x:v>
      </x:c>
      <x:c r="O9" s="21" t="s">
        <x:v>3</x:v>
      </x:c>
    </x:row>
    <x:row r="10" spans="1:48" ht="15" customHeight="1">
      <x:c r="D10" s="19">
        <x:f>DataSheet!H25</x:f>
      </x:c>
      <x:c r="E10" s="19"/>
      <x:c r="F10" s="19"/>
      <x:c r="G10" s="19"/>
      <x:c r="H10" s="19"/>
      <x:c r="I10" s="19"/>
      <x:c r="J10" s="19"/>
      <x:c r="K10" s="19"/>
      <x:c r="L10" s="19"/>
      <x:c r="M10" s="19"/>
      <x:c r="N10" s="19"/>
      <x:c r="P10" s="19">
        <x:f>IF(DataSheet!AE25="x","SONJU ENGINEERING SERVICES",D10)</x:f>
      </x:c>
      <x:c r="Q10" s="19"/>
      <x:c r="R10" s="19"/>
      <x:c r="S10" s="19"/>
      <x:c r="T10" s="19"/>
      <x:c r="U10" s="19"/>
      <x:c r="V10" s="19"/>
      <x:c r="W10" s="19"/>
      <x:c r="X10" s="19"/>
      <x:c r="Y10" s="19"/>
      <x:c r="Z10" s="19"/>
    </x:row>
    <x:row r="11" spans="1:48" ht="12.95" customHeight="1">
      <x:c r="C11" s="21"/>
      <x:c r="D11" s="248">
        <x:f>DataSheet!H27</x:f>
      </x:c>
      <x:c r="E11" s="248"/>
      <x:c r="F11" s="248"/>
      <x:c r="G11" s="248"/>
      <x:c r="H11" s="248"/>
      <x:c r="I11" s="248"/>
      <x:c r="J11" s="248"/>
      <x:c r="K11" s="248"/>
      <x:c r="L11" s="248"/>
      <x:c r="M11" s="248"/>
      <x:c r="N11" s="25"/>
      <x:c r="O11" s="25"/>
      <x:c r="P11" s="248">
        <x:f>IF(DataSheet!AE25="x",DataSheet!AG29,DataSheet!AG29)</x:f>
      </x:c>
      <x:c r="Q11" s="248"/>
      <x:c r="R11" s="248"/>
      <x:c r="S11" s="248"/>
      <x:c r="T11" s="248"/>
      <x:c r="U11" s="248"/>
      <x:c r="V11" s="248"/>
      <x:c r="W11" s="248"/>
      <x:c r="X11" s="248"/>
      <x:c r="Y11" s="248"/>
      <x:c r="Z11" s="25"/>
    </x:row>
    <x:row r="12" spans="1:48" ht="12.95" customHeight="1">
      <x:c r="D12" s="248"/>
      <x:c r="E12" s="248"/>
      <x:c r="F12" s="248"/>
      <x:c r="G12" s="248"/>
      <x:c r="H12" s="248"/>
      <x:c r="I12" s="248"/>
      <x:c r="J12" s="248"/>
      <x:c r="K12" s="248"/>
      <x:c r="L12" s="248"/>
      <x:c r="M12" s="248"/>
      <x:c r="N12" s="25"/>
      <x:c r="O12" s="24"/>
      <x:c r="P12" s="248"/>
      <x:c r="Q12" s="248"/>
      <x:c r="R12" s="248"/>
      <x:c r="S12" s="248"/>
      <x:c r="T12" s="248"/>
      <x:c r="U12" s="248"/>
      <x:c r="V12" s="248"/>
      <x:c r="W12" s="248"/>
      <x:c r="X12" s="248"/>
      <x:c r="Y12" s="248"/>
      <x:c r="Z12" s="25"/>
    </x:row>
    <x:row r="13" spans="1:48" ht="12.95" customHeight="1">
      <x:c r="D13" s="248"/>
      <x:c r="E13" s="248"/>
      <x:c r="F13" s="248"/>
      <x:c r="G13" s="248"/>
      <x:c r="H13" s="248"/>
      <x:c r="I13" s="248"/>
      <x:c r="J13" s="248"/>
      <x:c r="K13" s="248"/>
      <x:c r="L13" s="248"/>
      <x:c r="M13" s="248"/>
      <x:c r="N13" s="25"/>
      <x:c r="O13" s="24"/>
      <x:c r="P13" s="55"/>
      <x:c r="Q13" s="55"/>
      <x:c r="R13" s="55"/>
      <x:c r="S13" s="55"/>
      <x:c r="T13" s="55"/>
      <x:c r="U13" s="55"/>
      <x:c r="V13" s="55"/>
      <x:c r="W13" s="55"/>
      <x:c r="X13" s="55"/>
      <x:c r="Y13" s="55"/>
      <x:c r="Z13" s="31"/>
    </x:row>
    <x:row r="14" spans="1:48" ht="12.95" customHeight="1"/>
    <x:row r="15" spans="1:48" ht="15" customHeight="1">
      <x:c r="C15" s="21" t="s">
        <x:v>4</x:v>
      </x:c>
      <x:c r="H15" s="245">
        <x:f>DataSheet!K11</x:f>
      </x:c>
      <x:c r="I15" s="245"/>
      <x:c r="J15" s="245"/>
      <x:c r="K15" s="245"/>
      <x:c r="L15" s="245"/>
      <x:c r="M15" s="245"/>
      <x:c r="N15" s="26"/>
      <x:c r="O15" s="21" t="s">
        <x:v>5</x:v>
      </x:c>
      <x:c r="T15" s="20">
        <x:f>DataSheet!K9</x:f>
      </x:c>
    </x:row>
    <x:row r="16" spans="1:48" ht="15" customHeight="1">
      <x:c r="C16" s="21" t="s">
        <x:v>6</x:v>
      </x:c>
      <x:c r="H16" s="245">
        <x:f>DataSheet!K13</x:f>
      </x:c>
      <x:c r="I16" s="245"/>
      <x:c r="J16" s="245"/>
      <x:c r="K16" s="245"/>
      <x:c r="L16" s="245"/>
      <x:c r="M16" s="245"/>
      <x:c r="N16" s="26"/>
      <x:c r="O16" s="21" t="s">
        <x:v>7</x:v>
      </x:c>
      <x:c r="T16" s="245">
        <x:f>DataSheet!AL13</x:f>
      </x:c>
      <x:c r="U16" s="245"/>
      <x:c r="V16" s="245"/>
      <x:c r="W16" s="245"/>
      <x:c r="X16" s="245"/>
      <x:c r="Y16" s="245"/>
      <x:c r="Z16" s="245"/>
    </x:row>
    <x:row r="17" spans="1:48" ht="15" customHeight="1">
      <x:c r="C17" s="27" t="s">
        <x:v>8</x:v>
      </x:c>
      <x:c r="H17" s="246">
        <x:f>DataSheet!K15</x:f>
      </x:c>
      <x:c r="I17" s="245"/>
      <x:c r="J17" s="245"/>
      <x:c r="K17" s="245"/>
      <x:c r="L17" s="245"/>
      <x:c r="M17" s="245"/>
      <x:c r="N17" s="26"/>
      <x:c r="O17" s="21" t="s">
        <x:v>9</x:v>
      </x:c>
      <x:c r="T17" s="245">
        <x:f>DataSheet!AL17</x:f>
      </x:c>
      <x:c r="U17" s="245"/>
      <x:c r="V17" s="245"/>
      <x:c r="W17" s="245"/>
      <x:c r="X17" s="245"/>
      <x:c r="Y17" s="245"/>
      <x:c r="Z17" s="245"/>
    </x:row>
    <x:row r="18" spans="1:48" ht="15" customHeight="1">
      <x:c r="C18" s="21" t="s">
        <x:v>10</x:v>
      </x:c>
      <x:c r="H18" s="247">
        <x:f>DataSheet!AL11</x:f>
      </x:c>
      <x:c r="I18" s="247"/>
      <x:c r="J18" s="247"/>
      <x:c r="K18" s="247"/>
      <x:c r="L18" s="247"/>
      <x:c r="M18" s="247"/>
      <x:c r="N18" s="26"/>
      <x:c r="O18" s="21" t="s">
        <x:v>11</x:v>
      </x:c>
      <x:c r="T18" s="245">
        <x:f>DataSheet!L7</x:f>
      </x:c>
      <x:c r="U18" s="245"/>
      <x:c r="V18" s="245"/>
      <x:c r="W18" s="245"/>
      <x:c r="X18" s="245"/>
      <x:c r="Y18" s="245"/>
      <x:c r="Z18" s="245"/>
    </x:row>
    <x:row r="19" spans="1:48" ht="15" customHeight="1">
      <x:c r="C19" s="21" t="s">
        <x:v>12</x:v>
      </x:c>
      <x:c r="H19" s="250">
        <x:f>DataSheet!AL9</x:f>
      </x:c>
      <x:c r="I19" s="250"/>
      <x:c r="J19" s="250"/>
      <x:c r="K19" s="250"/>
      <x:c r="L19" s="250"/>
      <x:c r="M19" s="250"/>
      <x:c r="N19" s="250"/>
      <x:c r="O19" s="21" t="s">
        <x:v>13</x:v>
      </x:c>
      <x:c r="T19" s="245">
        <x:f>DataSheet!AL15</x:f>
      </x:c>
      <x:c r="U19" s="245"/>
      <x:c r="V19" s="245"/>
      <x:c r="W19" s="245"/>
      <x:c r="X19" s="245"/>
      <x:c r="Y19" s="245"/>
      <x:c r="Z19" s="245"/>
    </x:row>
    <x:row r="20" spans="1:48" ht="15" customHeight="1">
      <x:c r="C20" s="21" t="s">
        <x:v>14</x:v>
      </x:c>
      <x:c r="H20" s="245">
        <x:f>IF(DataSheet!AE25="x","23 °C ± 5 °C",CONCATENATE(ROUND(AVERAGE(DataSheet!K41:L42),1)," ","°C"))</x:f>
      </x:c>
      <x:c r="I20" s="245"/>
      <x:c r="J20" s="245"/>
      <x:c r="K20" s="245"/>
      <x:c r="L20" s="245"/>
      <x:c r="M20" s="245"/>
      <x:c r="N20" s="26"/>
      <x:c r="O20" s="21" t="s">
        <x:v>15</x:v>
      </x:c>
      <x:c r="T20" s="245">
        <x:f>IF(DataSheet!AE25="x","55 %rh ± 15 %rh",CONCATENATE(ROUND(AVERAGE(DataSheet!T41:U42),1)," ","%rh"))</x:f>
      </x:c>
      <x:c r="U20" s="245"/>
      <x:c r="V20" s="245"/>
      <x:c r="W20" s="245"/>
      <x:c r="X20" s="245"/>
      <x:c r="Y20" s="245"/>
      <x:c r="Z20" s="245"/>
    </x:row>
    <x:row r="21" spans="1:48" ht="12.95" customHeight="1"/>
    <x:row r="22" spans="1:48" ht="12.95" customHeight="1"/>
    <x:row r="23" spans="1:48" ht="15" customHeight="1" s="26" customFormat="1">
      <x:c r="A23" s="485"/>
      <x:c r="C23" s="64" t="s">
        <x:v>16</x:v>
      </x:c>
    </x:row>
    <x:row r="24" spans="1:48" ht="15" customHeight="1">
      <x:c r="C24" s="66">
        <x:f>DataSheet!AB40</x:f>
      </x:c>
      <x:c r="D24" s="31"/>
      <x:c r="E24" s="31"/>
      <x:c r="F24" s="31"/>
      <x:c r="G24" s="31"/>
      <x:c r="H24" s="31"/>
      <x:c r="I24" s="31"/>
      <x:c r="J24" s="31"/>
      <x:c r="K24" s="31"/>
      <x:c r="L24" s="31"/>
      <x:c r="M24" s="31"/>
      <x:c r="N24" s="31"/>
      <x:c r="O24" s="31"/>
      <x:c r="P24" s="31"/>
      <x:c r="Q24" s="31"/>
      <x:c r="R24" s="31"/>
      <x:c r="S24" s="31"/>
      <x:c r="T24" s="31"/>
      <x:c r="U24" s="31"/>
    </x:row>
    <x:row r="25" spans="1:48" ht="9.95" customHeight="1">
      <x:c r="C25" s="31"/>
      <x:c r="D25" s="31"/>
      <x:c r="E25" s="31"/>
      <x:c r="F25" s="31"/>
      <x:c r="G25" s="31"/>
      <x:c r="H25" s="31"/>
      <x:c r="I25" s="31"/>
      <x:c r="J25" s="31"/>
      <x:c r="K25" s="31"/>
      <x:c r="L25" s="31"/>
      <x:c r="M25" s="31"/>
      <x:c r="N25" s="31"/>
      <x:c r="O25" s="31"/>
      <x:c r="P25" s="31"/>
      <x:c r="Q25" s="31"/>
      <x:c r="R25" s="31"/>
      <x:c r="S25" s="31"/>
      <x:c r="T25" s="31"/>
      <x:c r="U25" s="31"/>
    </x:row>
    <x:row r="26" spans="1:48" ht="15" customHeight="1">
      <x:c r="C26" s="31" t="s">
        <x:v>17</x:v>
      </x:c>
      <x:c r="D26" s="31"/>
      <x:c r="E26" s="31"/>
      <x:c r="F26" s="31"/>
      <x:c r="G26" s="31"/>
      <x:c r="H26" s="31"/>
      <x:c r="I26" s="31"/>
      <x:c r="J26" s="31"/>
      <x:c r="K26" s="31"/>
      <x:c r="L26" s="31"/>
      <x:c r="M26" s="31"/>
      <x:c r="N26" s="31"/>
      <x:c r="O26" s="31"/>
      <x:c r="P26" s="31"/>
      <x:c r="Q26" s="31"/>
      <x:c r="R26" s="31"/>
      <x:c r="S26" s="31"/>
      <x:c r="T26" s="31"/>
      <x:c r="U26" s="31"/>
      <x:c r="V26" s="31"/>
      <x:c r="W26" s="31"/>
      <x:c r="X26" s="31"/>
      <x:c r="Y26" s="31"/>
      <x:c r="Z26" s="31"/>
    </x:row>
    <x:row r="27" spans="1:48" ht="15" customHeight="1">
      <x:c r="C27" s="31"/>
      <x:c r="D27" s="31"/>
      <x:c r="E27" s="31"/>
      <x:c r="F27" s="31"/>
      <x:c r="G27" s="31"/>
      <x:c r="H27" s="31"/>
      <x:c r="I27" s="31"/>
      <x:c r="J27" s="31"/>
      <x:c r="K27" s="31"/>
      <x:c r="L27" s="31"/>
      <x:c r="M27" s="31"/>
      <x:c r="N27" s="31"/>
      <x:c r="O27" s="31"/>
      <x:c r="P27" s="31"/>
      <x:c r="Q27" s="31"/>
      <x:c r="R27" s="31"/>
      <x:c r="S27" s="31"/>
      <x:c r="T27" s="31"/>
      <x:c r="U27" s="31"/>
      <x:c r="V27" s="31"/>
      <x:c r="W27" s="31"/>
      <x:c r="X27" s="31"/>
      <x:c r="Y27" s="31"/>
      <x:c r="Z27" s="31"/>
    </x:row>
    <x:row r="28" spans="1:48" ht="9.95" customHeight="1"/>
    <x:row r="29" spans="1:48" ht="15" customHeight="1" s="26" customFormat="1">
      <x:c r="A29" s="485"/>
      <x:c r="C29" s="19" t="s">
        <x:v>18</x:v>
      </x:c>
    </x:row>
    <x:row r="30" spans="1:48" ht="15" customHeight="1">
      <x:c r="C30" s="31" t="s">
        <x:v>19</x:v>
      </x:c>
      <x:c r="D30" s="31"/>
      <x:c r="E30" s="31"/>
      <x:c r="F30" s="31"/>
      <x:c r="G30" s="31"/>
      <x:c r="H30" s="31"/>
      <x:c r="I30" s="31"/>
      <x:c r="J30" s="31"/>
      <x:c r="K30" s="31"/>
      <x:c r="L30" s="31"/>
      <x:c r="M30" s="31"/>
      <x:c r="N30" s="31"/>
      <x:c r="O30" s="31"/>
      <x:c r="P30" s="31"/>
      <x:c r="Q30" s="31"/>
      <x:c r="R30" s="31"/>
      <x:c r="S30" s="31"/>
      <x:c r="T30" s="31"/>
      <x:c r="U30" s="31"/>
      <x:c r="V30" s="31"/>
      <x:c r="W30" s="31"/>
      <x:c r="X30" s="31"/>
      <x:c r="Y30" s="31"/>
      <x:c r="Z30" s="31"/>
    </x:row>
    <x:row r="31" spans="1:48" ht="15" customHeight="1">
      <x:c r="C31" s="31"/>
      <x:c r="D31" s="31"/>
      <x:c r="E31" s="31"/>
      <x:c r="F31" s="31"/>
      <x:c r="G31" s="31"/>
      <x:c r="H31" s="31"/>
      <x:c r="I31" s="31"/>
      <x:c r="J31" s="31"/>
      <x:c r="K31" s="31"/>
      <x:c r="L31" s="31"/>
      <x:c r="M31" s="31"/>
      <x:c r="N31" s="31"/>
      <x:c r="O31" s="31"/>
      <x:c r="P31" s="31"/>
      <x:c r="Q31" s="31"/>
      <x:c r="R31" s="31"/>
      <x:c r="S31" s="31"/>
      <x:c r="T31" s="31"/>
      <x:c r="U31" s="31"/>
      <x:c r="V31" s="31"/>
      <x:c r="W31" s="31"/>
      <x:c r="X31" s="31"/>
      <x:c r="Y31" s="31"/>
      <x:c r="Z31" s="31"/>
    </x:row>
    <x:row r="32" spans="1:48" ht="15" customHeight="1">
      <x:c r="C32" s="31"/>
      <x:c r="D32" s="31"/>
      <x:c r="E32" s="31"/>
      <x:c r="F32" s="31"/>
      <x:c r="G32" s="31"/>
      <x:c r="H32" s="31"/>
      <x:c r="I32" s="31"/>
      <x:c r="J32" s="31"/>
      <x:c r="K32" s="31"/>
      <x:c r="L32" s="31"/>
      <x:c r="M32" s="31"/>
      <x:c r="N32" s="31"/>
      <x:c r="O32" s="31"/>
      <x:c r="P32" s="31"/>
      <x:c r="Q32" s="31"/>
      <x:c r="R32" s="31"/>
      <x:c r="S32" s="31"/>
      <x:c r="T32" s="31"/>
      <x:c r="U32" s="31"/>
      <x:c r="V32" s="31"/>
      <x:c r="W32" s="31"/>
      <x:c r="X32" s="31"/>
      <x:c r="Y32" s="31"/>
      <x:c r="Z32" s="31"/>
    </x:row>
    <x:row r="33" spans="1:48" ht="9.95" customHeight="1"/>
    <x:row r="34" spans="1:48" ht="15" customHeight="1" s="58" customFormat="1">
      <x:c r="A34" s="486"/>
      <x:c r="C34" s="68" t="s">
        <x:v>20</x:v>
      </x:c>
      <x:c r="D34" s="67"/>
      <x:c r="E34" s="67"/>
      <x:c r="F34" s="67"/>
      <x:c r="G34" s="67"/>
      <x:c r="H34" s="67"/>
      <x:c r="I34" s="67"/>
      <x:c r="J34" s="67"/>
      <x:c r="K34" s="67"/>
      <x:c r="L34" s="67"/>
      <x:c r="M34" s="67"/>
      <x:c r="N34" s="67"/>
      <x:c r="O34" s="67"/>
      <x:c r="P34" s="67"/>
      <x:c r="Q34" s="67"/>
      <x:c r="R34" s="67"/>
      <x:c r="S34" s="67"/>
      <x:c r="T34" s="67"/>
      <x:c r="U34" s="67"/>
      <x:c r="V34" s="67"/>
      <x:c r="W34" s="67"/>
      <x:c r="X34" s="67"/>
      <x:c r="Y34" s="67"/>
      <x:c r="Z34" s="67"/>
    </x:row>
    <x:row r="35" spans="1:48" ht="15" customHeight="1" s="54" customFormat="1">
      <x:c r="A35" s="487"/>
      <x:c r="C35" s="281" t="s">
        <x:v>21</x:v>
      </x:c>
      <x:c r="D35" s="281"/>
      <x:c r="E35" s="281"/>
      <x:c r="F35" s="281"/>
      <x:c r="G35" s="281"/>
      <x:c r="H35" s="281"/>
      <x:c r="I35" s="281"/>
      <x:c r="J35" s="281"/>
      <x:c r="K35" s="281"/>
      <x:c r="L35" s="281"/>
      <x:c r="M35" s="281"/>
      <x:c r="N35" s="281"/>
      <x:c r="O35" s="281"/>
      <x:c r="P35" s="281"/>
      <x:c r="Q35" s="281"/>
      <x:c r="R35" s="281"/>
      <x:c r="S35" s="281"/>
      <x:c r="T35" s="281"/>
      <x:c r="U35" s="281"/>
      <x:c r="V35" s="281"/>
      <x:c r="W35" s="281"/>
      <x:c r="X35" s="281"/>
      <x:c r="Y35" s="281"/>
      <x:c r="Z35" s="281"/>
    </x:row>
    <x:row r="36" spans="1:48" ht="15" customHeight="1" s="54" customFormat="1">
      <x:c r="A36" s="487"/>
      <x:c r="C36" s="281"/>
      <x:c r="D36" s="281"/>
      <x:c r="E36" s="281"/>
      <x:c r="F36" s="281"/>
      <x:c r="G36" s="281"/>
      <x:c r="H36" s="281"/>
      <x:c r="I36" s="281"/>
      <x:c r="J36" s="281"/>
      <x:c r="K36" s="281"/>
      <x:c r="L36" s="281"/>
      <x:c r="M36" s="281"/>
      <x:c r="N36" s="281"/>
      <x:c r="O36" s="281"/>
      <x:c r="P36" s="281"/>
      <x:c r="Q36" s="281"/>
      <x:c r="R36" s="281"/>
      <x:c r="S36" s="281"/>
      <x:c r="T36" s="281"/>
      <x:c r="U36" s="281"/>
      <x:c r="V36" s="281"/>
      <x:c r="W36" s="281"/>
      <x:c r="X36" s="281"/>
      <x:c r="Y36" s="281"/>
      <x:c r="Z36" s="281"/>
    </x:row>
    <x:row r="37" spans="1:48" ht="9.95" customHeight="1"/>
    <x:row r="38" spans="1:48" ht="15" customHeight="1" s="26" customFormat="1">
      <x:c r="A38" s="485"/>
      <x:c r="C38" s="19" t="s">
        <x:v>22</x:v>
      </x:c>
    </x:row>
    <x:row r="39" spans="1:48" ht="9.95" customHeight="1"/>
    <x:row r="40" spans="1:48" ht="15" customHeight="1" s="26" customFormat="1">
      <x:c r="A40" s="485"/>
      <x:c r="D40" s="240" t="s">
        <x:v>23</x:v>
      </x:c>
      <x:c r="E40" s="240"/>
      <x:c r="F40" s="240"/>
      <x:c r="G40" s="240"/>
      <x:c r="H40" s="240"/>
      <x:c r="I40" s="240"/>
      <x:c r="J40" s="240" t="s">
        <x:v>24</x:v>
      </x:c>
      <x:c r="K40" s="240"/>
      <x:c r="L40" s="240"/>
      <x:c r="M40" s="240"/>
      <x:c r="N40" s="240"/>
      <x:c r="O40" s="240"/>
      <x:c r="P40" s="240" t="s">
        <x:v>25</x:v>
      </x:c>
      <x:c r="Q40" s="240"/>
      <x:c r="R40" s="240"/>
      <x:c r="S40" s="240"/>
      <x:c r="T40" s="240"/>
      <x:c r="U40" s="240"/>
      <x:c r="V40" s="240" t="s">
        <x:v>26</x:v>
      </x:c>
      <x:c r="W40" s="240"/>
      <x:c r="X40" s="240"/>
      <x:c r="Y40" s="240"/>
      <x:c r="Z40" s="240"/>
    </x:row>
    <x:row r="41" spans="1:48" ht="15" customHeight="1" s="26" customFormat="1">
      <x:c r="A41" s="485"/>
      <x:c r="D41" s="240"/>
      <x:c r="E41" s="240"/>
      <x:c r="F41" s="240"/>
      <x:c r="G41" s="240"/>
      <x:c r="H41" s="240"/>
      <x:c r="I41" s="240"/>
      <x:c r="J41" s="240"/>
      <x:c r="K41" s="240"/>
      <x:c r="L41" s="240"/>
      <x:c r="M41" s="240"/>
      <x:c r="N41" s="240"/>
      <x:c r="O41" s="240"/>
      <x:c r="P41" s="240"/>
      <x:c r="Q41" s="240"/>
      <x:c r="R41" s="240"/>
      <x:c r="S41" s="240"/>
      <x:c r="T41" s="240"/>
      <x:c r="U41" s="240"/>
      <x:c r="V41" s="240"/>
      <x:c r="W41" s="240"/>
      <x:c r="X41" s="240"/>
      <x:c r="Y41" s="240"/>
      <x:c r="Z41" s="240"/>
    </x:row>
    <x:row r="42" spans="1:48" ht="15" customHeight="1" s="26" customFormat="1">
      <x:c r="A42" s="485"/>
      <x:c r="D42" s="238">
        <x:f>DataSheet!B33</x:f>
      </x:c>
      <x:c r="E42" s="238"/>
      <x:c r="F42" s="238"/>
      <x:c r="G42" s="238"/>
      <x:c r="H42" s="238"/>
      <x:c r="I42" s="238"/>
      <x:c r="J42" s="238">
        <x:f>DataSheet!Q33</x:f>
      </x:c>
      <x:c r="K42" s="238"/>
      <x:c r="L42" s="238"/>
      <x:c r="M42" s="238"/>
      <x:c r="N42" s="238"/>
      <x:c r="O42" s="238"/>
      <x:c r="P42" s="241">
        <x:f>DataSheet!AB33</x:f>
      </x:c>
      <x:c r="Q42" s="241"/>
      <x:c r="R42" s="241"/>
      <x:c r="S42" s="241"/>
      <x:c r="T42" s="241"/>
      <x:c r="U42" s="241"/>
      <x:c r="V42" s="242">
        <x:f>DataSheet!AO33</x:f>
      </x:c>
      <x:c r="W42" s="242"/>
      <x:c r="X42" s="242"/>
      <x:c r="Y42" s="242"/>
      <x:c r="Z42" s="242"/>
    </x:row>
    <x:row r="43" spans="1:48" ht="9.95" customHeight="1"/>
    <x:row r="44" spans="1:48" ht="15" customHeight="1" s="26" customFormat="1">
      <x:c r="A44" s="485"/>
      <x:c r="C44" s="19" t="s">
        <x:v>27</x:v>
      </x:c>
    </x:row>
    <x:row r="45" spans="1:48" ht="15" customHeight="1" s="26" customFormat="1">
      <x:c r="A45" s="485"/>
      <x:c r="C45" s="280" t="s">
        <x:v>28</x:v>
      </x:c>
      <x:c r="D45" s="280"/>
      <x:c r="E45" s="280"/>
      <x:c r="F45" s="280"/>
      <x:c r="G45" s="280"/>
      <x:c r="H45" s="280"/>
      <x:c r="I45" s="280"/>
      <x:c r="J45" s="280"/>
      <x:c r="K45" s="280"/>
      <x:c r="L45" s="280"/>
      <x:c r="M45" s="280"/>
      <x:c r="N45" s="280"/>
      <x:c r="O45" s="280"/>
      <x:c r="P45" s="280"/>
      <x:c r="Q45" s="280"/>
      <x:c r="R45" s="280"/>
      <x:c r="S45" s="280"/>
      <x:c r="T45" s="280"/>
      <x:c r="U45" s="280"/>
      <x:c r="V45" s="280"/>
      <x:c r="W45" s="280"/>
      <x:c r="X45" s="280"/>
      <x:c r="Y45" s="280"/>
      <x:c r="Z45" s="280"/>
      <x:c r="AA45" s="59"/>
    </x:row>
    <x:row r="46" spans="1:48" ht="15" customHeight="1" s="26" customFormat="1">
      <x:c r="A46" s="485"/>
      <x:c r="C46" s="280"/>
      <x:c r="D46" s="280"/>
      <x:c r="E46" s="280"/>
      <x:c r="F46" s="280"/>
      <x:c r="G46" s="280"/>
      <x:c r="H46" s="280"/>
      <x:c r="I46" s="280"/>
      <x:c r="J46" s="280"/>
      <x:c r="K46" s="280"/>
      <x:c r="L46" s="280"/>
      <x:c r="M46" s="280"/>
      <x:c r="N46" s="280"/>
      <x:c r="O46" s="280"/>
      <x:c r="P46" s="280"/>
      <x:c r="Q46" s="280"/>
      <x:c r="R46" s="280"/>
      <x:c r="S46" s="280"/>
      <x:c r="T46" s="280"/>
      <x:c r="U46" s="280"/>
      <x:c r="V46" s="280"/>
      <x:c r="W46" s="280"/>
      <x:c r="X46" s="280"/>
      <x:c r="Y46" s="280"/>
      <x:c r="Z46" s="280"/>
      <x:c r="AA46" s="59"/>
    </x:row>
    <x:row r="47" spans="1:48" ht="15" customHeight="1" s="26" customFormat="1">
      <x:c r="A47" s="485"/>
      <x:c r="C47" s="280"/>
      <x:c r="D47" s="280"/>
      <x:c r="E47" s="280"/>
      <x:c r="F47" s="280"/>
      <x:c r="G47" s="280"/>
      <x:c r="H47" s="280"/>
      <x:c r="I47" s="280"/>
      <x:c r="J47" s="280"/>
      <x:c r="K47" s="280"/>
      <x:c r="L47" s="280"/>
      <x:c r="M47" s="280"/>
      <x:c r="N47" s="280"/>
      <x:c r="O47" s="280"/>
      <x:c r="P47" s="280"/>
      <x:c r="Q47" s="280"/>
      <x:c r="R47" s="280"/>
      <x:c r="S47" s="280"/>
      <x:c r="T47" s="280"/>
      <x:c r="U47" s="280"/>
      <x:c r="V47" s="280"/>
      <x:c r="W47" s="280"/>
      <x:c r="X47" s="280"/>
      <x:c r="Y47" s="280"/>
      <x:c r="Z47" s="280"/>
      <x:c r="AA47" s="59"/>
    </x:row>
    <x:row r="48" spans="1:48" ht="15" customHeight="1" s="26" customFormat="1">
      <x:c r="A48" s="485"/>
      <x:c r="C48" s="26" t="s">
        <x:v>29</x:v>
      </x:c>
    </x:row>
    <x:row r="49" spans="1:48" ht="15" customHeight="1" s="58" customFormat="1">
      <x:c r="A49" s="486"/>
      <x:c r="C49" s="58" t="s">
        <x:v>31</x:v>
      </x:c>
    </x:row>
    <x:row r="50" spans="1:48" ht="15" customHeight="1" s="26" customFormat="1">
      <x:c r="A50" s="485"/>
      <x:c r="C50" s="26" t="s">
        <x:v>30</x:v>
      </x:c>
    </x:row>
    <x:row r="51" spans="1:48" ht="15" customHeight="1" s="26" customFormat="1">
      <x:c r="A51" s="485"/>
      <x:c r="C51" s="26" t="s">
        <x:v>32</x:v>
      </x:c>
      <x:c r="O51" s="65">
        <x:f>EDATE(DataSheet!AL11,12)</x:f>
      </x:c>
      <x:c r="P51" s="65"/>
      <x:c r="Q51" s="65"/>
    </x:row>
    <x:row r="52" spans="1:48" ht="15" customHeight="1" s="26" customFormat="1">
      <x:c r="A52" s="485"/>
      <x:c r="N52" s="65"/>
    </x:row>
    <x:row r="53" spans="1:48" ht="15" customHeight="1" s="24" customFormat="1">
      <x:c r="A53" s="488"/>
      <x:c r="O53" s="32"/>
      <x:c r="P53" s="32"/>
      <x:c r="Q53" s="32"/>
    </x:row>
    <x:row r="54" spans="1:48" ht="15" customHeight="1">
      <x:c r="E54" s="252">
        <x:f>DataSheet!B140</x:f>
      </x:c>
      <x:c r="F54" s="252"/>
      <x:c r="G54" s="252"/>
      <x:c r="H54" s="252"/>
      <x:c r="I54" s="252"/>
      <x:c r="J54" s="252"/>
      <x:c r="K54" s="252"/>
      <x:c r="S54" s="252">
        <x:f>DataSheet!B143</x:f>
      </x:c>
      <x:c r="T54" s="252"/>
      <x:c r="U54" s="252"/>
      <x:c r="V54" s="252"/>
      <x:c r="W54" s="252"/>
    </x:row>
    <x:row r="55" spans="1:48" ht="15" customHeight="1">
      <x:c r="E55" s="219" t="s">
        <x:v>33</x:v>
      </x:c>
      <x:c r="F55" s="219"/>
      <x:c r="G55" s="219"/>
      <x:c r="H55" s="219"/>
      <x:c r="I55" s="219"/>
      <x:c r="J55" s="219"/>
      <x:c r="K55" s="219"/>
      <x:c r="S55" s="219" t="s">
        <x:v>34</x:v>
      </x:c>
      <x:c r="T55" s="219"/>
      <x:c r="U55" s="219"/>
      <x:c r="V55" s="219"/>
      <x:c r="W55" s="219"/>
    </x:row>
    <x:row r="56" spans="1:48" ht="15" customHeight="1"/>
    <x:row r="57" spans="1:48" ht="15" customHeight="1">
      <x:c r="D57" s="30" t="s">
        <x:v>35</x:v>
      </x:c>
      <x:c r="G57" s="253"/>
      <x:c r="H57" s="253"/>
      <x:c r="I57" s="253"/>
      <x:c r="J57" s="253"/>
    </x:row>
    <x:row r="58" spans="1:48" ht="15" customHeight="1"/>
    <x:row r="59" spans="1:48" ht="15" customHeight="1"/>
    <x:row r="60" spans="1:48" ht="15" customHeight="1"/>
    <x:row r="61" spans="1:48" ht="15" customHeight="1"/>
    <x:row r="62" spans="1:48" ht="15" customHeight="1"/>
    <x:row r="63" spans="1:48" ht="15" customHeight="1"/>
    <x:row r="64" spans="1:48" ht="15" customHeight="1"/>
    <x:row r="65" spans="1:48" ht="15" customHeight="1">
      <x:c r="C65" s="21" t="s">
        <x:v>36</x:v>
      </x:c>
    </x:row>
    <x:row r="66" spans="1:48" ht="15" customHeight="1"/>
    <x:row r="67" spans="1:48" ht="15" customHeight="1">
      <x:c r="C67" s="19"/>
      <x:c r="E67" s="21">
        <x:f>DataSheet!F52</x:f>
      </x:c>
      <x:c r="G67" s="21"/>
    </x:row>
    <x:row r="68" spans="1:48" ht="15" customHeight="1">
      <x:c r="C68" s="19"/>
      <x:c r="E68" s="240" t="s">
        <x:v>37</x:v>
      </x:c>
      <x:c r="F68" s="240"/>
      <x:c r="G68" s="240"/>
      <x:c r="H68" s="240"/>
      <x:c r="I68" s="240" t="s">
        <x:v>38</x:v>
      </x:c>
      <x:c r="J68" s="240"/>
      <x:c r="K68" s="240"/>
      <x:c r="L68" s="240"/>
      <x:c r="M68" s="258" t="s">
        <x:v>39</x:v>
      </x:c>
      <x:c r="N68" s="240"/>
      <x:c r="O68" s="240"/>
      <x:c r="P68" s="240"/>
      <x:c r="Q68" s="240" t="s">
        <x:v>40</x:v>
      </x:c>
      <x:c r="R68" s="240"/>
      <x:c r="S68" s="240"/>
      <x:c r="T68" s="240"/>
      <x:c r="U68" s="258" t="s">
        <x:v>41</x:v>
      </x:c>
      <x:c r="V68" s="240"/>
      <x:c r="W68" s="240"/>
      <x:c r="X68" s="240"/>
    </x:row>
    <x:row r="69" spans="1:48" ht="15" customHeight="1">
      <x:c r="C69" s="19"/>
      <x:c r="E69" s="240"/>
      <x:c r="F69" s="240"/>
      <x:c r="G69" s="240"/>
      <x:c r="H69" s="240"/>
      <x:c r="I69" s="240"/>
      <x:c r="J69" s="240"/>
      <x:c r="K69" s="240"/>
      <x:c r="L69" s="240"/>
      <x:c r="M69" s="240"/>
      <x:c r="N69" s="240"/>
      <x:c r="O69" s="240"/>
      <x:c r="P69" s="240"/>
      <x:c r="Q69" s="240"/>
      <x:c r="R69" s="240"/>
      <x:c r="S69" s="240"/>
      <x:c r="T69" s="240"/>
      <x:c r="U69" s="240"/>
      <x:c r="V69" s="240"/>
      <x:c r="W69" s="240"/>
      <x:c r="X69" s="240"/>
    </x:row>
    <x:row r="70" spans="1:48" ht="15" customHeight="1">
      <x:c r="C70" s="19"/>
      <x:c r="E70" s="238">
        <x:f>DataSheet!F55</x:f>
      </x:c>
      <x:c r="F70" s="238"/>
      <x:c r="G70" s="238"/>
      <x:c r="H70" s="238"/>
      <x:c r="I70" s="238">
        <x:f>CONCATENATE(DataSheet!L55," ",DataSheet!P55)</x:f>
      </x:c>
      <x:c r="J70" s="238"/>
      <x:c r="K70" s="238"/>
      <x:c r="L70" s="238"/>
      <x:c r="M70" s="238">
        <x:f>CONCATENATE(TEXT(DataSheet!AM55,"0.0")," ",DataSheet!P55)</x:f>
      </x:c>
      <x:c r="N70" s="238"/>
      <x:c r="O70" s="238"/>
      <x:c r="P70" s="238"/>
      <x:c r="Q70" s="238">
        <x:f>CONCATENATE(TEXT(DataSheet!AR55,"0.0")," ",DataSheet!P55)</x:f>
      </x:c>
      <x:c r="R70" s="238"/>
      <x:c r="S70" s="238"/>
      <x:c r="T70" s="238"/>
      <x:c r="U70" s="238">
        <x:f>CONCATENATE(," ",TEXT(DataSheet!DD55,"0.000")," ",DataSheet!CZ55)</x:f>
      </x:c>
      <x:c r="V70" s="238"/>
      <x:c r="W70" s="238"/>
      <x:c r="X70" s="238"/>
    </x:row>
    <x:row r="71" spans="1:48" ht="15" customHeight="1">
      <x:c r="C71" s="19"/>
      <x:c r="E71" s="238"/>
      <x:c r="F71" s="238"/>
      <x:c r="G71" s="238"/>
      <x:c r="H71" s="238"/>
      <x:c r="I71" s="238">
        <x:f>CONCATENATE(DataSheet!L56," ",DataSheet!P56)</x:f>
      </x:c>
      <x:c r="J71" s="238"/>
      <x:c r="K71" s="238"/>
      <x:c r="L71" s="238"/>
      <x:c r="M71" s="238">
        <x:f>CONCATENATE(TEXT(DataSheet!AM56,"0.0")," ",DataSheet!P56)</x:f>
      </x:c>
      <x:c r="N71" s="238"/>
      <x:c r="O71" s="238"/>
      <x:c r="P71" s="238"/>
      <x:c r="Q71" s="238">
        <x:f>CONCATENATE(TEXT(DataSheet!AR56,"0.0")," ",DataSheet!P56)</x:f>
      </x:c>
      <x:c r="R71" s="238"/>
      <x:c r="S71" s="238"/>
      <x:c r="T71" s="238"/>
      <x:c r="U71" s="238">
        <x:f>CONCATENATE(," ",TEXT(DataSheet!DD56,"0.000")," ",DataSheet!CZ56)</x:f>
      </x:c>
      <x:c r="V71" s="238"/>
      <x:c r="W71" s="238"/>
      <x:c r="X71" s="238"/>
    </x:row>
    <x:row r="72" spans="1:48" ht="15" customHeight="1">
      <x:c r="C72" s="19"/>
      <x:c r="E72" s="238"/>
      <x:c r="F72" s="238"/>
      <x:c r="G72" s="238"/>
      <x:c r="H72" s="238"/>
      <x:c r="I72" s="238">
        <x:f>CONCATENATE(DataSheet!L57," ",DataSheet!P57)</x:f>
      </x:c>
      <x:c r="J72" s="238"/>
      <x:c r="K72" s="238"/>
      <x:c r="L72" s="238"/>
      <x:c r="M72" s="238">
        <x:f>CONCATENATE(TEXT(DataSheet!AM57,"0.0")," ",DataSheet!P57)</x:f>
      </x:c>
      <x:c r="N72" s="238"/>
      <x:c r="O72" s="238"/>
      <x:c r="P72" s="238"/>
      <x:c r="Q72" s="238">
        <x:f>CONCATENATE(TEXT(DataSheet!AR57,"0.0")," ",DataSheet!P57)</x:f>
      </x:c>
      <x:c r="R72" s="238"/>
      <x:c r="S72" s="238"/>
      <x:c r="T72" s="238"/>
      <x:c r="U72" s="238">
        <x:f>CONCATENATE(," ",TEXT(DataSheet!DD57,"0.000")," ",DataSheet!CZ57)</x:f>
      </x:c>
      <x:c r="V72" s="238"/>
      <x:c r="W72" s="238"/>
      <x:c r="X72" s="238"/>
    </x:row>
    <x:row r="73" spans="1:48" ht="15" customHeight="1">
      <x:c r="C73" s="19"/>
      <x:c r="E73" s="238">
        <x:f>DataSheet!F58</x:f>
      </x:c>
      <x:c r="F73" s="238"/>
      <x:c r="G73" s="238"/>
      <x:c r="H73" s="238"/>
      <x:c r="I73" s="238">
        <x:f>CONCATENATE(DataSheet!L58," ",DataSheet!P58)</x:f>
      </x:c>
      <x:c r="J73" s="238"/>
      <x:c r="K73" s="238"/>
      <x:c r="L73" s="238"/>
      <x:c r="M73" s="238">
        <x:f>CONCATENATE(TEXT(DataSheet!AM58,"0.000")," ",DataSheet!P58)</x:f>
      </x:c>
      <x:c r="N73" s="238"/>
      <x:c r="O73" s="238"/>
      <x:c r="P73" s="238"/>
      <x:c r="Q73" s="238">
        <x:f>CONCATENATE(TEXT(DataSheet!AR58,"0.000")," ",DataSheet!P58)</x:f>
      </x:c>
      <x:c r="R73" s="238"/>
      <x:c r="S73" s="238"/>
      <x:c r="T73" s="238"/>
      <x:c r="U73" s="238">
        <x:f>CONCATENATE(" ",TEXT(DataSheet!DD58,"0.000 00")," ",DataSheet!CZ58)</x:f>
      </x:c>
      <x:c r="V73" s="238"/>
      <x:c r="W73" s="238"/>
      <x:c r="X73" s="238"/>
    </x:row>
    <x:row r="74" spans="1:48" ht="15" customHeight="1">
      <x:c r="C74" s="19"/>
      <x:c r="E74" s="238"/>
      <x:c r="F74" s="238"/>
      <x:c r="G74" s="238"/>
      <x:c r="H74" s="238"/>
      <x:c r="I74" s="238">
        <x:f>CONCATENATE(DataSheet!L59," ",DataSheet!P59)</x:f>
      </x:c>
      <x:c r="J74" s="238"/>
      <x:c r="K74" s="238"/>
      <x:c r="L74" s="238"/>
      <x:c r="M74" s="238">
        <x:f>CONCATENATE(TEXT(DataSheet!AM59,"0.000")," ",DataSheet!P59)</x:f>
      </x:c>
      <x:c r="N74" s="238"/>
      <x:c r="O74" s="238"/>
      <x:c r="P74" s="238"/>
      <x:c r="Q74" s="238">
        <x:f>CONCATENATE(TEXT(DataSheet!AR59,"0.000")," ",DataSheet!P59)</x:f>
      </x:c>
      <x:c r="R74" s="238"/>
      <x:c r="S74" s="238"/>
      <x:c r="T74" s="238"/>
      <x:c r="U74" s="238">
        <x:f>CONCATENATE(" ",TEXT(DataSheet!DD59,"0.000 00")," ",DataSheet!CZ59)</x:f>
      </x:c>
      <x:c r="V74" s="238"/>
      <x:c r="W74" s="238"/>
      <x:c r="X74" s="238"/>
    </x:row>
    <x:row r="75" spans="1:48" ht="15" customHeight="1">
      <x:c r="C75" s="19"/>
      <x:c r="E75" s="238"/>
      <x:c r="F75" s="238"/>
      <x:c r="G75" s="238"/>
      <x:c r="H75" s="238"/>
      <x:c r="I75" s="238">
        <x:f>CONCATENATE(DataSheet!L60," ",DataSheet!P60)</x:f>
      </x:c>
      <x:c r="J75" s="238"/>
      <x:c r="K75" s="238"/>
      <x:c r="L75" s="238"/>
      <x:c r="M75" s="238">
        <x:f>CONCATENATE(TEXT(DataSheet!AM60,"0.000")," ",DataSheet!P60)</x:f>
      </x:c>
      <x:c r="N75" s="238"/>
      <x:c r="O75" s="238"/>
      <x:c r="P75" s="238"/>
      <x:c r="Q75" s="238">
        <x:f>CONCATENATE(TEXT(DataSheet!AR60,"0.000")," ",DataSheet!P60)</x:f>
      </x:c>
      <x:c r="R75" s="238"/>
      <x:c r="S75" s="238"/>
      <x:c r="T75" s="238"/>
      <x:c r="U75" s="238">
        <x:f>CONCATENATE(" ",TEXT(DataSheet!DD60,"0.000 00")," ",DataSheet!CZ60)</x:f>
      </x:c>
      <x:c r="V75" s="238"/>
      <x:c r="W75" s="238"/>
      <x:c r="X75" s="238"/>
    </x:row>
    <x:row r="76" spans="1:48" ht="15" customHeight="1">
      <x:c r="C76" s="19"/>
      <x:c r="E76" s="238">
        <x:f>DataSheet!F61</x:f>
      </x:c>
      <x:c r="F76" s="238"/>
      <x:c r="G76" s="238"/>
      <x:c r="H76" s="238"/>
      <x:c r="I76" s="238">
        <x:f>CONCATENATE(DataSheet!L61," ",DataSheet!P61)</x:f>
      </x:c>
      <x:c r="J76" s="238"/>
      <x:c r="K76" s="238"/>
      <x:c r="L76" s="238"/>
      <x:c r="M76" s="238">
        <x:f>CONCATENATE(TEXT(DataSheet!AM61,"0.00")," ",DataSheet!P61)</x:f>
      </x:c>
      <x:c r="N76" s="238"/>
      <x:c r="O76" s="238"/>
      <x:c r="P76" s="238"/>
      <x:c r="Q76" s="238">
        <x:f>CONCATENATE(TEXT(DataSheet!AR61,"0.00")," ",DataSheet!P61)</x:f>
      </x:c>
      <x:c r="R76" s="238"/>
      <x:c r="S76" s="238"/>
      <x:c r="T76" s="238"/>
      <x:c r="U76" s="238">
        <x:f>CONCATENATE(" ",TEXT(DataSheet!DD61,"0.000 0")," ",DataSheet!CZ61)</x:f>
      </x:c>
      <x:c r="V76" s="238"/>
      <x:c r="W76" s="238"/>
      <x:c r="X76" s="238"/>
    </x:row>
    <x:row r="77" spans="1:48" ht="15" customHeight="1">
      <x:c r="C77" s="19"/>
      <x:c r="E77" s="238"/>
      <x:c r="F77" s="238"/>
      <x:c r="G77" s="238"/>
      <x:c r="H77" s="238"/>
      <x:c r="I77" s="238">
        <x:f>CONCATENATE(DataSheet!L62," ",DataSheet!P62)</x:f>
      </x:c>
      <x:c r="J77" s="238"/>
      <x:c r="K77" s="238"/>
      <x:c r="L77" s="238"/>
      <x:c r="M77" s="238">
        <x:f>CONCATENATE(TEXT(DataSheet!AM62,"0.00")," ",DataSheet!P62)</x:f>
      </x:c>
      <x:c r="N77" s="238"/>
      <x:c r="O77" s="238"/>
      <x:c r="P77" s="238"/>
      <x:c r="Q77" s="238">
        <x:f>CONCATENATE(TEXT(DataSheet!AR62,"0.00")," ",DataSheet!P62)</x:f>
      </x:c>
      <x:c r="R77" s="238"/>
      <x:c r="S77" s="238"/>
      <x:c r="T77" s="238"/>
      <x:c r="U77" s="238">
        <x:f>CONCATENATE(" ",TEXT(DataSheet!DD62,"0.000 0")," ",DataSheet!CZ62)</x:f>
      </x:c>
      <x:c r="V77" s="238"/>
      <x:c r="W77" s="238"/>
      <x:c r="X77" s="238"/>
    </x:row>
    <x:row r="78" spans="1:48" ht="15" customHeight="1">
      <x:c r="C78" s="19"/>
      <x:c r="E78" s="238"/>
      <x:c r="F78" s="238"/>
      <x:c r="G78" s="238"/>
      <x:c r="H78" s="238"/>
      <x:c r="I78" s="238">
        <x:f>CONCATENATE(DataSheet!L63," ",DataSheet!P63)</x:f>
      </x:c>
      <x:c r="J78" s="238"/>
      <x:c r="K78" s="238"/>
      <x:c r="L78" s="238"/>
      <x:c r="M78" s="238">
        <x:f>CONCATENATE(TEXT(DataSheet!AM63,"0.00")," ",DataSheet!P63)</x:f>
      </x:c>
      <x:c r="N78" s="238"/>
      <x:c r="O78" s="238"/>
      <x:c r="P78" s="238"/>
      <x:c r="Q78" s="238">
        <x:f>CONCATENATE(TEXT(DataSheet!AR63,"0.00")," ",DataSheet!P63)</x:f>
      </x:c>
      <x:c r="R78" s="238"/>
      <x:c r="S78" s="238"/>
      <x:c r="T78" s="238"/>
      <x:c r="U78" s="238">
        <x:f>CONCATENATE(" ",TEXT(DataSheet!DD63,"0.000 0")," ",DataSheet!CZ63)</x:f>
      </x:c>
      <x:c r="V78" s="238"/>
      <x:c r="W78" s="238"/>
      <x:c r="X78" s="238"/>
    </x:row>
    <x:row r="79" spans="1:48" ht="15" customHeight="1">
      <x:c r="C79" s="19"/>
      <x:c r="E79" s="238"/>
      <x:c r="F79" s="238"/>
      <x:c r="G79" s="238"/>
      <x:c r="H79" s="238"/>
      <x:c r="I79" s="238">
        <x:f>CONCATENATE(DataSheet!L64," ",DataSheet!P64)</x:f>
      </x:c>
      <x:c r="J79" s="238"/>
      <x:c r="K79" s="238"/>
      <x:c r="L79" s="238"/>
      <x:c r="M79" s="238">
        <x:f>CONCATENATE(TEXT(DataSheet!AM64,"0.00")," ",DataSheet!P64)</x:f>
      </x:c>
      <x:c r="N79" s="238"/>
      <x:c r="O79" s="238"/>
      <x:c r="P79" s="238"/>
      <x:c r="Q79" s="238">
        <x:f>CONCATENATE(TEXT(DataSheet!AR64,"0.00")," ",DataSheet!P64)</x:f>
      </x:c>
      <x:c r="R79" s="238"/>
      <x:c r="S79" s="238"/>
      <x:c r="T79" s="238"/>
      <x:c r="U79" s="238">
        <x:f>CONCATENATE(" ",TEXT(DataSheet!DD64,"0.000 0")," ",DataSheet!CZ64)</x:f>
      </x:c>
      <x:c r="V79" s="238"/>
      <x:c r="W79" s="238"/>
      <x:c r="X79" s="238"/>
    </x:row>
    <x:row r="80" spans="1:48" ht="15" customHeight="1">
      <x:c r="C80" s="19"/>
      <x:c r="E80" s="238"/>
      <x:c r="F80" s="238"/>
      <x:c r="G80" s="238"/>
      <x:c r="H80" s="238"/>
      <x:c r="I80" s="238">
        <x:f>CONCATENATE(DataSheet!L65," ",DataSheet!P65)</x:f>
      </x:c>
      <x:c r="J80" s="238"/>
      <x:c r="K80" s="238"/>
      <x:c r="L80" s="238"/>
      <x:c r="M80" s="238">
        <x:f>CONCATENATE(TEXT(DataSheet!AM65,"0.00")," ",DataSheet!P65)</x:f>
      </x:c>
      <x:c r="N80" s="238"/>
      <x:c r="O80" s="238"/>
      <x:c r="P80" s="238"/>
      <x:c r="Q80" s="238">
        <x:f>CONCATENATE(TEXT(DataSheet!AR65,"0.00")," ",DataSheet!P65)</x:f>
      </x:c>
      <x:c r="R80" s="238"/>
      <x:c r="S80" s="238"/>
      <x:c r="T80" s="238"/>
      <x:c r="U80" s="238">
        <x:f>CONCATENATE(" ",TEXT(DataSheet!DD65,"0.000 0")," ",DataSheet!CZ65)</x:f>
      </x:c>
      <x:c r="V80" s="238"/>
      <x:c r="W80" s="238"/>
      <x:c r="X80" s="238"/>
    </x:row>
    <x:row r="81" spans="1:48" ht="15" customHeight="1">
      <x:c r="C81" s="19"/>
      <x:c r="E81" s="238">
        <x:f>DataSheet!F66</x:f>
      </x:c>
      <x:c r="F81" s="238"/>
      <x:c r="G81" s="238"/>
      <x:c r="H81" s="238"/>
      <x:c r="I81" s="238">
        <x:f>CONCATENATE(DataSheet!L66," ",DataSheet!P66)</x:f>
      </x:c>
      <x:c r="J81" s="238"/>
      <x:c r="K81" s="238"/>
      <x:c r="L81" s="238"/>
      <x:c r="M81" s="238">
        <x:f>CONCATENATE(TEXT(DataSheet!AM66,"0.0")," ",DataSheet!P66)</x:f>
      </x:c>
      <x:c r="N81" s="238"/>
      <x:c r="O81" s="238"/>
      <x:c r="P81" s="238"/>
      <x:c r="Q81" s="238">
        <x:f>CONCATENATE(TEXT(DataSheet!AR66,"0.0")," ",DataSheet!P66)</x:f>
      </x:c>
      <x:c r="R81" s="238"/>
      <x:c r="S81" s="238"/>
      <x:c r="T81" s="238"/>
      <x:c r="U81" s="254">
        <x:f>CONCATENATE(" ",TEXT(DataSheet!DD66,"0.000")," ",DataSheet!CZ66)</x:f>
      </x:c>
      <x:c r="V81" s="255"/>
      <x:c r="W81" s="255"/>
      <x:c r="X81" s="256"/>
    </x:row>
    <x:row r="82" spans="1:48" ht="15" customHeight="1">
      <x:c r="C82" s="19"/>
      <x:c r="E82" s="238"/>
      <x:c r="F82" s="238"/>
      <x:c r="G82" s="238"/>
      <x:c r="H82" s="238"/>
      <x:c r="I82" s="238">
        <x:f>CONCATENATE(DataSheet!L67," ",DataSheet!P67)</x:f>
      </x:c>
      <x:c r="J82" s="238"/>
      <x:c r="K82" s="238"/>
      <x:c r="L82" s="238"/>
      <x:c r="M82" s="238">
        <x:f>CONCATENATE(TEXT(DataSheet!AM67,"0.0")," ",DataSheet!P67)</x:f>
      </x:c>
      <x:c r="N82" s="238"/>
      <x:c r="O82" s="238"/>
      <x:c r="P82" s="238"/>
      <x:c r="Q82" s="238">
        <x:f>CONCATENATE(TEXT(DataSheet!AR67,"0.0")," ",DataSheet!P67)</x:f>
      </x:c>
      <x:c r="R82" s="238"/>
      <x:c r="S82" s="238"/>
      <x:c r="T82" s="238"/>
      <x:c r="U82" s="254">
        <x:f>CONCATENATE(" ",TEXT(DataSheet!DD67,"0.000")," ",DataSheet!CZ67)</x:f>
      </x:c>
      <x:c r="V82" s="255"/>
      <x:c r="W82" s="255"/>
      <x:c r="X82" s="256"/>
    </x:row>
    <x:row r="83" spans="1:48" ht="15" customHeight="1">
      <x:c r="C83" s="19"/>
      <x:c r="E83" s="238"/>
      <x:c r="F83" s="238"/>
      <x:c r="G83" s="238"/>
      <x:c r="H83" s="238"/>
      <x:c r="I83" s="238">
        <x:f>CONCATENATE(DataSheet!L68," ",DataSheet!P68)</x:f>
      </x:c>
      <x:c r="J83" s="238"/>
      <x:c r="K83" s="238"/>
      <x:c r="L83" s="238"/>
      <x:c r="M83" s="238">
        <x:f>CONCATENATE(TEXT(DataSheet!AM68,"0.0")," ",DataSheet!P68)</x:f>
      </x:c>
      <x:c r="N83" s="238"/>
      <x:c r="O83" s="238"/>
      <x:c r="P83" s="238"/>
      <x:c r="Q83" s="238">
        <x:f>CONCATENATE(TEXT(DataSheet!AR68,"0.0")," ",DataSheet!P68)</x:f>
      </x:c>
      <x:c r="R83" s="238"/>
      <x:c r="S83" s="238"/>
      <x:c r="T83" s="238"/>
      <x:c r="U83" s="254">
        <x:f>CONCATENATE(" ",TEXT(DataSheet!DD68,"0.000")," ",DataSheet!CZ68)</x:f>
      </x:c>
      <x:c r="V83" s="255"/>
      <x:c r="W83" s="255"/>
      <x:c r="X83" s="256"/>
    </x:row>
    <x:row r="84" spans="1:48" ht="15" customHeight="1">
      <x:c r="C84" s="19"/>
      <x:c r="E84" s="238">
        <x:f>DataSheet!F69</x:f>
      </x:c>
      <x:c r="F84" s="238"/>
      <x:c r="G84" s="238"/>
      <x:c r="H84" s="238"/>
      <x:c r="I84" s="238">
        <x:f>CONCATENATE(DataSheet!L69," ",DataSheet!P69)</x:f>
      </x:c>
      <x:c r="J84" s="238"/>
      <x:c r="K84" s="238"/>
      <x:c r="L84" s="238"/>
      <x:c r="M84" s="238">
        <x:f>CONCATENATE(TEXT(DataSheet!AM69,"0")," ",DataSheet!P69)</x:f>
      </x:c>
      <x:c r="N84" s="238"/>
      <x:c r="O84" s="238"/>
      <x:c r="P84" s="238"/>
      <x:c r="Q84" s="238">
        <x:f>CONCATENATE(TEXT(DataSheet!AR69,"0")," ",DataSheet!P69)</x:f>
      </x:c>
      <x:c r="R84" s="238"/>
      <x:c r="S84" s="238"/>
      <x:c r="T84" s="238"/>
      <x:c r="U84" s="254">
        <x:f>CONCATENATE(" ",TEXT(DataSheet!DD69,"0.00")," ",DataSheet!CZ69)</x:f>
      </x:c>
      <x:c r="V84" s="255"/>
      <x:c r="W84" s="255"/>
      <x:c r="X84" s="256"/>
    </x:row>
    <x:row r="85" spans="1:48" ht="15" customHeight="1">
      <x:c r="C85" s="19"/>
      <x:c r="E85" s="238"/>
      <x:c r="F85" s="238"/>
      <x:c r="G85" s="238"/>
      <x:c r="H85" s="238"/>
      <x:c r="I85" s="238">
        <x:f>CONCATENATE(DataSheet!L70," ",DataSheet!P70)</x:f>
      </x:c>
      <x:c r="J85" s="238"/>
      <x:c r="K85" s="238"/>
      <x:c r="L85" s="238"/>
      <x:c r="M85" s="238">
        <x:f>CONCATENATE(TEXT(DataSheet!AM70,"0")," ",DataSheet!P70)</x:f>
      </x:c>
      <x:c r="N85" s="238"/>
      <x:c r="O85" s="238"/>
      <x:c r="P85" s="238"/>
      <x:c r="Q85" s="238">
        <x:f>CONCATENATE(TEXT(DataSheet!AR70,"0")," ",DataSheet!P70)</x:f>
      </x:c>
      <x:c r="R85" s="238"/>
      <x:c r="S85" s="238"/>
      <x:c r="T85" s="238"/>
      <x:c r="U85" s="254">
        <x:f>CONCATENATE(" ",TEXT(DataSheet!DD70,"0.00")," ",DataSheet!CZ70)</x:f>
      </x:c>
      <x:c r="V85" s="255"/>
      <x:c r="W85" s="255"/>
      <x:c r="X85" s="256"/>
    </x:row>
    <x:row r="86" spans="1:48" ht="15" customHeight="1">
      <x:c r="C86" s="19"/>
      <x:c r="E86" s="238"/>
      <x:c r="F86" s="238"/>
      <x:c r="G86" s="238"/>
      <x:c r="H86" s="238"/>
      <x:c r="I86" s="238">
        <x:f>CONCATENATE(DataSheet!L71," ",DataSheet!P71)</x:f>
      </x:c>
      <x:c r="J86" s="238"/>
      <x:c r="K86" s="238"/>
      <x:c r="L86" s="238"/>
      <x:c r="M86" s="238">
        <x:f>CONCATENATE(TEXT(DataSheet!AM71,"0")," ",DataSheet!P71)</x:f>
      </x:c>
      <x:c r="N86" s="238"/>
      <x:c r="O86" s="238"/>
      <x:c r="P86" s="238"/>
      <x:c r="Q86" s="238">
        <x:f>CONCATENATE(TEXT(DataSheet!AR71,"0")," ",DataSheet!P71)</x:f>
      </x:c>
      <x:c r="R86" s="238"/>
      <x:c r="S86" s="238"/>
      <x:c r="T86" s="238"/>
      <x:c r="U86" s="254">
        <x:f>CONCATENATE(" ",TEXT(DataSheet!DD71,"0.00")," ",DataSheet!CZ71)</x:f>
      </x:c>
      <x:c r="V86" s="255"/>
      <x:c r="W86" s="255"/>
      <x:c r="X86" s="256"/>
    </x:row>
    <x:row r="87" spans="1:48" ht="15" customHeight="1">
      <x:c r="C87" s="19"/>
      <x:c r="G87" s="21"/>
    </x:row>
    <x:row r="88" spans="1:48" ht="15" customHeight="1">
      <x:c r="E88" s="21">
        <x:f>DataSheet!F99</x:f>
      </x:c>
      <x:c r="I88" s="21"/>
    </x:row>
    <x:row r="89" spans="1:48" ht="15" customHeight="1">
      <x:c r="E89" s="240" t="s">
        <x:v>37</x:v>
      </x:c>
      <x:c r="F89" s="240"/>
      <x:c r="G89" s="240"/>
      <x:c r="H89" s="240"/>
      <x:c r="I89" s="240" t="s">
        <x:v>38</x:v>
      </x:c>
      <x:c r="J89" s="240"/>
      <x:c r="K89" s="240"/>
      <x:c r="L89" s="240"/>
      <x:c r="M89" s="258" t="s">
        <x:v>39</x:v>
      </x:c>
      <x:c r="N89" s="240"/>
      <x:c r="O89" s="240"/>
      <x:c r="P89" s="240"/>
      <x:c r="Q89" s="240" t="s">
        <x:v>40</x:v>
      </x:c>
      <x:c r="R89" s="240"/>
      <x:c r="S89" s="240"/>
      <x:c r="T89" s="240"/>
      <x:c r="U89" s="258" t="s">
        <x:v>41</x:v>
      </x:c>
      <x:c r="V89" s="240"/>
      <x:c r="W89" s="240"/>
      <x:c r="X89" s="240"/>
    </x:row>
    <x:row r="90" spans="1:48" ht="15" customHeight="1">
      <x:c r="E90" s="240"/>
      <x:c r="F90" s="240"/>
      <x:c r="G90" s="240"/>
      <x:c r="H90" s="240"/>
      <x:c r="I90" s="240"/>
      <x:c r="J90" s="240"/>
      <x:c r="K90" s="240"/>
      <x:c r="L90" s="240"/>
      <x:c r="M90" s="240"/>
      <x:c r="N90" s="240"/>
      <x:c r="O90" s="240"/>
      <x:c r="P90" s="240"/>
      <x:c r="Q90" s="240"/>
      <x:c r="R90" s="240"/>
      <x:c r="S90" s="240"/>
      <x:c r="T90" s="240"/>
      <x:c r="U90" s="240"/>
      <x:c r="V90" s="240"/>
      <x:c r="W90" s="240"/>
      <x:c r="X90" s="240"/>
    </x:row>
    <x:row r="91" spans="1:48" ht="15" customHeight="1">
      <x:c r="E91" s="282">
        <x:f>DataSheet!F102</x:f>
      </x:c>
      <x:c r="F91" s="283"/>
      <x:c r="G91" s="283"/>
      <x:c r="H91" s="284"/>
      <x:c r="I91" s="257">
        <x:f>CONCATENATE(DataSheet!L102," ",DataSheet!P102)</x:f>
      </x:c>
      <x:c r="J91" s="257"/>
      <x:c r="K91" s="257"/>
      <x:c r="L91" s="257"/>
      <x:c r="M91" s="257">
        <x:f>CONCATENATE(TEXT(DataSheet!AM102,"0.0")," ",DataSheet!P102)</x:f>
      </x:c>
      <x:c r="N91" s="257"/>
      <x:c r="O91" s="257"/>
      <x:c r="P91" s="257"/>
      <x:c r="Q91" s="257">
        <x:f>CONCATENATE(TEXT(DataSheet!AR102,"0.0")," ",DataSheet!P102)</x:f>
      </x:c>
      <x:c r="R91" s="257"/>
      <x:c r="S91" s="257"/>
      <x:c r="T91" s="257"/>
      <x:c r="U91" s="257">
        <x:f>CONCATENATE(" ",TEXT(DataSheet!DD102,"0.000")," ",DataSheet!CZ102)</x:f>
      </x:c>
      <x:c r="V91" s="257"/>
      <x:c r="W91" s="257"/>
      <x:c r="X91" s="257"/>
    </x:row>
    <x:row r="92" spans="1:48" ht="15" customHeight="1">
      <x:c r="E92" s="285"/>
      <x:c r="F92" s="286"/>
      <x:c r="G92" s="286"/>
      <x:c r="H92" s="287"/>
      <x:c r="I92" s="257">
        <x:f>CONCATENATE(DataSheet!L103," ",DataSheet!P103)</x:f>
      </x:c>
      <x:c r="J92" s="257"/>
      <x:c r="K92" s="257"/>
      <x:c r="L92" s="257"/>
      <x:c r="M92" s="257">
        <x:f>CONCATENATE(TEXT(DataSheet!AM103,"0.0")," ",DataSheet!P103)</x:f>
      </x:c>
      <x:c r="N92" s="257"/>
      <x:c r="O92" s="257"/>
      <x:c r="P92" s="257"/>
      <x:c r="Q92" s="257">
        <x:f>CONCATENATE(TEXT(DataSheet!AR103,"0.0")," ",DataSheet!P103)</x:f>
      </x:c>
      <x:c r="R92" s="257"/>
      <x:c r="S92" s="257"/>
      <x:c r="T92" s="257"/>
      <x:c r="U92" s="257">
        <x:f>CONCATENATE(" ",TEXT(DataSheet!DD103,"0.000")," ",DataSheet!CZ103)</x:f>
      </x:c>
      <x:c r="V92" s="257"/>
      <x:c r="W92" s="257"/>
      <x:c r="X92" s="257"/>
    </x:row>
    <x:row r="93" spans="1:48" ht="15" customHeight="1">
      <x:c r="E93" s="257">
        <x:f>DataSheet!F104</x:f>
      </x:c>
      <x:c r="F93" s="257"/>
      <x:c r="G93" s="257"/>
      <x:c r="H93" s="257"/>
      <x:c r="I93" s="257">
        <x:f>CONCATENATE(DataSheet!L104," ",DataSheet!P104)</x:f>
      </x:c>
      <x:c r="J93" s="257"/>
      <x:c r="K93" s="257"/>
      <x:c r="L93" s="257"/>
      <x:c r="M93" s="257">
        <x:f>CONCATENATE(TEXT(DataSheet!AM104,"0.000")," ",DataSheet!P104)</x:f>
      </x:c>
      <x:c r="N93" s="257"/>
      <x:c r="O93" s="257"/>
      <x:c r="P93" s="257"/>
      <x:c r="Q93" s="257">
        <x:f>CONCATENATE(TEXT(DataSheet!AR104,"0.000")," ",DataSheet!P104)</x:f>
      </x:c>
      <x:c r="R93" s="257"/>
      <x:c r="S93" s="257"/>
      <x:c r="T93" s="257"/>
      <x:c r="U93" s="257">
        <x:f>CONCATENATE(" ",TEXT(DataSheet!DD104,"0.000 00")," ",DataSheet!CZ104)</x:f>
      </x:c>
      <x:c r="V93" s="257"/>
      <x:c r="W93" s="257"/>
      <x:c r="X93" s="257"/>
    </x:row>
    <x:row r="94" spans="1:48" ht="15" customHeight="1">
      <x:c r="E94" s="257">
        <x:f>DataSheet!F105</x:f>
      </x:c>
      <x:c r="F94" s="257"/>
      <x:c r="G94" s="257"/>
      <x:c r="H94" s="257"/>
      <x:c r="I94" s="257">
        <x:f>CONCATENATE(DataSheet!L105," ",DataSheet!P105)</x:f>
      </x:c>
      <x:c r="J94" s="257"/>
      <x:c r="K94" s="257"/>
      <x:c r="L94" s="257"/>
      <x:c r="M94" s="257">
        <x:f>CONCATENATE(TEXT(DataSheet!AM105,"0.00")," ",DataSheet!P105)</x:f>
      </x:c>
      <x:c r="N94" s="257"/>
      <x:c r="O94" s="257"/>
      <x:c r="P94" s="257"/>
      <x:c r="Q94" s="257">
        <x:f>CONCATENATE(TEXT(DataSheet!AR105,"0.00")," ",DataSheet!P105)</x:f>
      </x:c>
      <x:c r="R94" s="257"/>
      <x:c r="S94" s="257"/>
      <x:c r="T94" s="257"/>
      <x:c r="U94" s="257">
        <x:f>CONCATENATE(" ",TEXT(DataSheet!DD105,"0.000 0")," ",DataSheet!CZ105)</x:f>
      </x:c>
      <x:c r="V94" s="257"/>
      <x:c r="W94" s="257"/>
      <x:c r="X94" s="257"/>
    </x:row>
    <x:row r="95" spans="1:48" ht="15" customHeight="1">
      <x:c r="E95" s="257">
        <x:f>DataSheet!F106</x:f>
      </x:c>
      <x:c r="F95" s="257"/>
      <x:c r="G95" s="257"/>
      <x:c r="H95" s="257"/>
      <x:c r="I95" s="257">
        <x:f>CONCATENATE(DataSheet!L106," ",DataSheet!P106)</x:f>
      </x:c>
      <x:c r="J95" s="257"/>
      <x:c r="K95" s="257"/>
      <x:c r="L95" s="257"/>
      <x:c r="M95" s="257">
        <x:f>CONCATENATE(TEXT(DataSheet!AM106,"0.0")," ",DataSheet!P106)</x:f>
      </x:c>
      <x:c r="N95" s="257"/>
      <x:c r="O95" s="257"/>
      <x:c r="P95" s="257"/>
      <x:c r="Q95" s="257">
        <x:f>CONCATENATE(TEXT(DataSheet!AR106,"0.0")," ",DataSheet!P106)</x:f>
      </x:c>
      <x:c r="R95" s="257"/>
      <x:c r="S95" s="257"/>
      <x:c r="T95" s="257"/>
      <x:c r="U95" s="257">
        <x:f>CONCATENATE(" ",TEXT(DataSheet!DD106,"0.000")," ",DataSheet!CZ106)</x:f>
      </x:c>
      <x:c r="V95" s="257"/>
      <x:c r="W95" s="257"/>
      <x:c r="X95" s="257"/>
    </x:row>
    <x:row r="96" spans="1:48" ht="15" customHeight="1">
      <x:c r="E96" s="257">
        <x:f>DataSheet!F107</x:f>
      </x:c>
      <x:c r="F96" s="257"/>
      <x:c r="G96" s="257"/>
      <x:c r="H96" s="257"/>
      <x:c r="I96" s="257">
        <x:f>CONCATENATE(DataSheet!L107," ",DataSheet!P107)</x:f>
      </x:c>
      <x:c r="J96" s="257"/>
      <x:c r="K96" s="257"/>
      <x:c r="L96" s="257"/>
      <x:c r="M96" s="257">
        <x:f>CONCATENATE(TEXT(DataSheet!AM107,"0.000")," ",DataSheet!P107)</x:f>
      </x:c>
      <x:c r="N96" s="257"/>
      <x:c r="O96" s="257"/>
      <x:c r="P96" s="257"/>
      <x:c r="Q96" s="257">
        <x:f>CONCATENATE(TEXT(DataSheet!AR107,"0.000")," ",DataSheet!P107)</x:f>
      </x:c>
      <x:c r="R96" s="257"/>
      <x:c r="S96" s="257"/>
      <x:c r="T96" s="257"/>
      <x:c r="U96" s="257">
        <x:f>CONCATENATE(" ",TEXT(DataSheet!DD107,"0.000 00")," ",DataSheet!CZ107)</x:f>
      </x:c>
      <x:c r="V96" s="257"/>
      <x:c r="W96" s="257"/>
      <x:c r="X96" s="257"/>
    </x:row>
    <x:row r="97" spans="1:48" ht="15" customHeight="1">
      <x:c r="E97" s="257">
        <x:f>DataSheet!F108</x:f>
      </x:c>
      <x:c r="F97" s="257"/>
      <x:c r="G97" s="257"/>
      <x:c r="H97" s="257"/>
      <x:c r="I97" s="257">
        <x:f>CONCATENATE(DataSheet!L108," ",DataSheet!P108)</x:f>
      </x:c>
      <x:c r="J97" s="257"/>
      <x:c r="K97" s="257"/>
      <x:c r="L97" s="257"/>
      <x:c r="M97" s="257">
        <x:f>CONCATENATE(TEXT(DataSheet!AM108,"0.00")," ",DataSheet!P108)</x:f>
      </x:c>
      <x:c r="N97" s="257"/>
      <x:c r="O97" s="257"/>
      <x:c r="P97" s="257"/>
      <x:c r="Q97" s="257">
        <x:f>CONCATENATE(TEXT(DataSheet!AR108,"0.00")," ",DataSheet!P108)</x:f>
      </x:c>
      <x:c r="R97" s="257"/>
      <x:c r="S97" s="257"/>
      <x:c r="T97" s="257"/>
      <x:c r="U97" s="257">
        <x:f>CONCATENATE(" ",TEXT(DataSheet!DD108,"0.000")," ",DataSheet!CZ108)</x:f>
      </x:c>
      <x:c r="V97" s="257"/>
      <x:c r="W97" s="257"/>
      <x:c r="X97" s="257"/>
    </x:row>
    <x:row r="98" spans="1:48" ht="15" customHeight="1">
      <x:c r="E98" s="69"/>
      <x:c r="F98" s="69"/>
      <x:c r="G98" s="69"/>
      <x:c r="H98" s="69"/>
      <x:c r="I98" s="69"/>
      <x:c r="J98" s="69"/>
      <x:c r="K98" s="69"/>
      <x:c r="L98" s="69"/>
      <x:c r="M98" s="69"/>
      <x:c r="N98" s="69"/>
      <x:c r="O98" s="69"/>
      <x:c r="P98" s="69"/>
      <x:c r="Q98" s="69"/>
      <x:c r="R98" s="69"/>
      <x:c r="S98" s="69"/>
      <x:c r="T98" s="69"/>
      <x:c r="U98" s="69"/>
      <x:c r="V98" s="69"/>
      <x:c r="W98" s="69"/>
      <x:c r="X98" s="69"/>
    </x:row>
    <x:row r="99" spans="1:48" ht="15" customHeight="1">
      <x:c r="E99" s="69"/>
      <x:c r="F99" s="69"/>
      <x:c r="G99" s="69"/>
      <x:c r="H99" s="69"/>
      <x:c r="I99" s="69"/>
      <x:c r="J99" s="69"/>
      <x:c r="K99" s="69"/>
      <x:c r="L99" s="69"/>
      <x:c r="M99" s="69"/>
      <x:c r="N99" s="69"/>
      <x:c r="O99" s="69"/>
      <x:c r="P99" s="69"/>
      <x:c r="Q99" s="69"/>
      <x:c r="R99" s="69"/>
      <x:c r="S99" s="69"/>
      <x:c r="T99" s="69"/>
      <x:c r="U99" s="69"/>
      <x:c r="V99" s="69"/>
      <x:c r="W99" s="69"/>
      <x:c r="X99" s="69"/>
    </x:row>
    <x:row r="100" spans="1:48" ht="15" customHeight="1">
      <x:c r="E100" s="69"/>
      <x:c r="F100" s="69"/>
      <x:c r="G100" s="69"/>
      <x:c r="H100" s="69"/>
      <x:c r="I100" s="69"/>
      <x:c r="J100" s="69"/>
      <x:c r="K100" s="69"/>
      <x:c r="L100" s="69"/>
      <x:c r="M100" s="69"/>
      <x:c r="N100" s="69"/>
      <x:c r="O100" s="69"/>
      <x:c r="P100" s="69"/>
      <x:c r="Q100" s="69"/>
      <x:c r="R100" s="69"/>
      <x:c r="S100" s="69"/>
      <x:c r="T100" s="69"/>
      <x:c r="U100" s="69"/>
      <x:c r="V100" s="69"/>
      <x:c r="W100" s="69"/>
      <x:c r="X100" s="69"/>
    </x:row>
    <x:row r="101" spans="1:48" ht="15" customHeight="1">
      <x:c r="E101" s="69"/>
      <x:c r="F101" s="69"/>
      <x:c r="G101" s="69"/>
      <x:c r="H101" s="69"/>
      <x:c r="I101" s="69"/>
      <x:c r="J101" s="69"/>
      <x:c r="K101" s="69"/>
      <x:c r="L101" s="69"/>
      <x:c r="M101" s="69"/>
      <x:c r="N101" s="69"/>
      <x:c r="O101" s="69"/>
      <x:c r="P101" s="69"/>
      <x:c r="Q101" s="69"/>
      <x:c r="R101" s="69"/>
      <x:c r="S101" s="69"/>
      <x:c r="T101" s="69"/>
      <x:c r="U101" s="69"/>
      <x:c r="V101" s="69"/>
      <x:c r="W101" s="69"/>
      <x:c r="X101" s="69"/>
    </x:row>
    <x:row r="102" spans="1:48" ht="15" customHeight="1">
      <x:c r="E102" s="69"/>
      <x:c r="F102" s="69"/>
      <x:c r="G102" s="69"/>
      <x:c r="H102" s="69"/>
      <x:c r="I102" s="69"/>
      <x:c r="J102" s="69"/>
      <x:c r="K102" s="69"/>
      <x:c r="L102" s="69"/>
      <x:c r="M102" s="69"/>
      <x:c r="N102" s="69"/>
      <x:c r="O102" s="69"/>
      <x:c r="P102" s="69"/>
      <x:c r="Q102" s="69"/>
      <x:c r="R102" s="69"/>
      <x:c r="S102" s="69"/>
      <x:c r="T102" s="69"/>
      <x:c r="U102" s="69"/>
      <x:c r="V102" s="69"/>
      <x:c r="W102" s="69"/>
      <x:c r="X102" s="69"/>
    </x:row>
    <x:row r="103" spans="1:48" ht="15" customHeight="1">
      <x:c r="E103" s="69"/>
      <x:c r="F103" s="69"/>
      <x:c r="G103" s="69"/>
      <x:c r="H103" s="69"/>
      <x:c r="I103" s="69"/>
      <x:c r="J103" s="69"/>
      <x:c r="K103" s="69"/>
      <x:c r="L103" s="69"/>
      <x:c r="M103" s="69"/>
      <x:c r="N103" s="69"/>
      <x:c r="O103" s="69"/>
      <x:c r="P103" s="69"/>
      <x:c r="Q103" s="69"/>
      <x:c r="R103" s="69"/>
      <x:c r="S103" s="69"/>
      <x:c r="T103" s="69"/>
      <x:c r="U103" s="69"/>
      <x:c r="V103" s="69"/>
      <x:c r="W103" s="69"/>
      <x:c r="X103" s="69"/>
    </x:row>
    <x:row r="104" spans="1:48" ht="15" customHeight="1">
      <x:c r="E104" s="69"/>
      <x:c r="F104" s="69"/>
      <x:c r="G104" s="69"/>
      <x:c r="H104" s="69"/>
      <x:c r="I104" s="69"/>
      <x:c r="J104" s="69"/>
      <x:c r="K104" s="69"/>
      <x:c r="L104" s="69"/>
      <x:c r="M104" s="69"/>
      <x:c r="N104" s="69"/>
      <x:c r="O104" s="69"/>
      <x:c r="P104" s="69"/>
      <x:c r="Q104" s="69"/>
      <x:c r="R104" s="69"/>
      <x:c r="S104" s="69"/>
      <x:c r="T104" s="69"/>
      <x:c r="U104" s="69"/>
      <x:c r="V104" s="69"/>
      <x:c r="W104" s="69"/>
      <x:c r="X104" s="69"/>
    </x:row>
    <x:row r="105" spans="1:48" ht="15" customHeight="1"/>
    <x:row r="106" spans="1:48" ht="15" customHeight="1">
      <x:c r="C106" s="227">
        <x:f>DataSheet!B140</x:f>
      </x:c>
      <x:c r="D106" s="227"/>
      <x:c r="E106" s="227"/>
      <x:c r="F106" s="227"/>
      <x:c r="G106" s="227"/>
      <x:c r="H106" s="227"/>
      <x:c r="I106" s="227"/>
      <x:c r="J106" s="227"/>
      <x:c r="K106" s="227"/>
      <x:c r="L106" s="227"/>
      <x:c r="M106" s="227"/>
      <x:c r="N106" s="227"/>
      <x:c r="O106" s="227"/>
      <x:c r="P106" s="227"/>
      <x:c r="Q106" s="227"/>
      <x:c r="R106" s="227"/>
      <x:c r="S106" s="227"/>
      <x:c r="T106" s="227"/>
      <x:c r="U106" s="227"/>
      <x:c r="V106" s="227"/>
      <x:c r="W106" s="227"/>
      <x:c r="X106" s="227"/>
      <x:c r="Y106" s="227"/>
      <x:c r="Z106" s="227"/>
    </x:row>
    <x:row r="107" spans="1:48" ht="15" customHeight="1">
      <x:c r="C107" s="219" t="s">
        <x:v>33</x:v>
      </x:c>
      <x:c r="D107" s="219"/>
      <x:c r="E107" s="219"/>
      <x:c r="F107" s="219"/>
      <x:c r="G107" s="219"/>
      <x:c r="H107" s="219"/>
      <x:c r="I107" s="219"/>
      <x:c r="J107" s="219"/>
      <x:c r="K107" s="219"/>
      <x:c r="L107" s="219"/>
      <x:c r="M107" s="219"/>
      <x:c r="N107" s="219"/>
      <x:c r="O107" s="219"/>
      <x:c r="P107" s="219"/>
      <x:c r="Q107" s="219"/>
      <x:c r="R107" s="219"/>
      <x:c r="S107" s="219"/>
      <x:c r="T107" s="219"/>
      <x:c r="U107" s="219"/>
      <x:c r="V107" s="219"/>
      <x:c r="W107" s="219"/>
      <x:c r="X107" s="219"/>
      <x:c r="Y107" s="219"/>
      <x:c r="Z107" s="219"/>
    </x:row>
    <x:row r="108" spans="1:48" ht="15" customHeight="1">
      <x:c r="C108" s="219"/>
      <x:c r="D108" s="219"/>
      <x:c r="E108" s="219"/>
      <x:c r="F108" s="219"/>
      <x:c r="G108" s="219"/>
      <x:c r="H108" s="219"/>
      <x:c r="I108" s="219"/>
      <x:c r="J108" s="219"/>
      <x:c r="K108" s="219"/>
      <x:c r="L108" s="219"/>
      <x:c r="M108" s="219"/>
      <x:c r="N108" s="219"/>
      <x:c r="O108" s="219"/>
      <x:c r="P108" s="219"/>
      <x:c r="Q108" s="219"/>
      <x:c r="R108" s="219"/>
      <x:c r="S108" s="219"/>
      <x:c r="T108" s="219"/>
      <x:c r="U108" s="219"/>
      <x:c r="V108" s="219"/>
      <x:c r="W108" s="219"/>
      <x:c r="X108" s="219"/>
      <x:c r="Y108" s="219"/>
      <x:c r="Z108" s="219"/>
    </x:row>
    <x:row r="109" spans="1:48" ht="15" customHeight="1"/>
    <x:row r="110" spans="1:48" ht="15" customHeight="1"/>
    <x:row r="111" spans="1:48" ht="15" customHeight="1"/>
    <x:row r="112" spans="1:48" ht="15" customHeight="1"/>
    <x:row r="113" spans="1:48" ht="15" customHeight="1"/>
    <x:row r="114" spans="1:48" ht="15" customHeight="1"/>
    <x:row r="115" spans="1:48" ht="15" customHeight="1"/>
    <x:row r="116" spans="1:48" ht="15" customHeight="1"/>
    <x:row r="117" spans="1:48" ht="15" customHeight="1">
      <x:c r="C117" s="21" t="s">
        <x:v>36</x:v>
      </x:c>
    </x:row>
    <x:row r="118" spans="1:48" ht="15" customHeight="1"/>
    <x:row r="119" spans="1:48" ht="15" customHeight="1">
      <x:c r="C119" s="19"/>
      <x:c r="E119" s="21">
        <x:f>DataSheet!F73</x:f>
      </x:c>
      <x:c r="G119" s="21"/>
    </x:row>
    <x:row r="120" spans="1:48" ht="15" customHeight="1">
      <x:c r="C120" s="19"/>
      <x:c r="E120" s="240" t="s">
        <x:v>37</x:v>
      </x:c>
      <x:c r="F120" s="240"/>
      <x:c r="G120" s="240"/>
      <x:c r="H120" s="240"/>
      <x:c r="I120" s="240" t="s">
        <x:v>38</x:v>
      </x:c>
      <x:c r="J120" s="240"/>
      <x:c r="K120" s="240"/>
      <x:c r="L120" s="240"/>
      <x:c r="M120" s="258" t="s">
        <x:v>39</x:v>
      </x:c>
      <x:c r="N120" s="240"/>
      <x:c r="O120" s="240"/>
      <x:c r="P120" s="240"/>
      <x:c r="Q120" s="240" t="s">
        <x:v>40</x:v>
      </x:c>
      <x:c r="R120" s="240"/>
      <x:c r="S120" s="240"/>
      <x:c r="T120" s="240"/>
      <x:c r="U120" s="258" t="s">
        <x:v>41</x:v>
      </x:c>
      <x:c r="V120" s="240"/>
      <x:c r="W120" s="240"/>
      <x:c r="X120" s="240"/>
    </x:row>
    <x:row r="121" spans="1:48" ht="15" customHeight="1">
      <x:c r="C121" s="19"/>
      <x:c r="E121" s="240"/>
      <x:c r="F121" s="240"/>
      <x:c r="G121" s="240"/>
      <x:c r="H121" s="240"/>
      <x:c r="I121" s="240"/>
      <x:c r="J121" s="240"/>
      <x:c r="K121" s="240"/>
      <x:c r="L121" s="240"/>
      <x:c r="M121" s="240"/>
      <x:c r="N121" s="240"/>
      <x:c r="O121" s="240"/>
      <x:c r="P121" s="240"/>
      <x:c r="Q121" s="240"/>
      <x:c r="R121" s="240"/>
      <x:c r="S121" s="240"/>
      <x:c r="T121" s="240"/>
      <x:c r="U121" s="240"/>
      <x:c r="V121" s="240"/>
      <x:c r="W121" s="240"/>
      <x:c r="X121" s="240"/>
    </x:row>
    <x:row r="122" spans="1:48" ht="15" customHeight="1">
      <x:c r="C122" s="19"/>
      <x:c r="E122" s="238">
        <x:f>DataSheet!F76</x:f>
      </x:c>
      <x:c r="F122" s="238"/>
      <x:c r="G122" s="238"/>
      <x:c r="H122" s="238"/>
      <x:c r="I122" s="238">
        <x:f>CONCATENATE(DataSheet!L76," ",DataSheet!P76," / ",DataSheet!S76)</x:f>
      </x:c>
      <x:c r="J122" s="238"/>
      <x:c r="K122" s="238"/>
      <x:c r="L122" s="238"/>
      <x:c r="M122" s="238">
        <x:f>CONCATENATE(TEXT(DataSheet!AM76,"0.0")," ",DataSheet!P76)</x:f>
      </x:c>
      <x:c r="N122" s="238"/>
      <x:c r="O122" s="238"/>
      <x:c r="P122" s="238"/>
      <x:c r="Q122" s="238">
        <x:f>CONCATENATE(TEXT(DataSheet!AR76,"0.0")," ",DataSheet!P76)</x:f>
      </x:c>
      <x:c r="R122" s="238"/>
      <x:c r="S122" s="238"/>
      <x:c r="T122" s="238"/>
      <x:c r="U122" s="238">
        <x:f>CONCATENATE(" ",TEXT(DataSheet!DD76,"0.000 ")," ",DataSheet!CZ76)</x:f>
      </x:c>
      <x:c r="V122" s="238"/>
      <x:c r="W122" s="238"/>
      <x:c r="X122" s="238"/>
    </x:row>
    <x:row r="123" spans="1:48" ht="15" customHeight="1">
      <x:c r="C123" s="19"/>
      <x:c r="E123" s="238"/>
      <x:c r="F123" s="238"/>
      <x:c r="G123" s="238"/>
      <x:c r="H123" s="238"/>
      <x:c r="I123" s="238">
        <x:f>CONCATENATE(DataSheet!L77," ",DataSheet!P77," / ",DataSheet!S77)</x:f>
      </x:c>
      <x:c r="J123" s="238"/>
      <x:c r="K123" s="238"/>
      <x:c r="L123" s="238"/>
      <x:c r="M123" s="238">
        <x:f>CONCATENATE(TEXT(DataSheet!AM77,"0.0")," ",DataSheet!P77)</x:f>
      </x:c>
      <x:c r="N123" s="238"/>
      <x:c r="O123" s="238"/>
      <x:c r="P123" s="238"/>
      <x:c r="Q123" s="238">
        <x:f>CONCATENATE(TEXT(DataSheet!AR77,"0.0")," ",DataSheet!P77)</x:f>
      </x:c>
      <x:c r="R123" s="238"/>
      <x:c r="S123" s="238"/>
      <x:c r="T123" s="238"/>
      <x:c r="U123" s="238">
        <x:f>CONCATENATE(" ",TEXT(DataSheet!DD77,"0.000 ")," ",DataSheet!CZ77)</x:f>
      </x:c>
      <x:c r="V123" s="238"/>
      <x:c r="W123" s="238"/>
      <x:c r="X123" s="238"/>
    </x:row>
    <x:row r="124" spans="1:48" ht="15" customHeight="1">
      <x:c r="C124" s="19"/>
      <x:c r="E124" s="238"/>
      <x:c r="F124" s="238"/>
      <x:c r="G124" s="238"/>
      <x:c r="H124" s="238"/>
      <x:c r="I124" s="238">
        <x:f>CONCATENATE(DataSheet!L78," ",DataSheet!P78," / ",DataSheet!S78)</x:f>
      </x:c>
      <x:c r="J124" s="238"/>
      <x:c r="K124" s="238"/>
      <x:c r="L124" s="238"/>
      <x:c r="M124" s="238">
        <x:f>CONCATENATE(TEXT(DataSheet!AM78,"0.0")," ",DataSheet!P78)</x:f>
      </x:c>
      <x:c r="N124" s="238"/>
      <x:c r="O124" s="238"/>
      <x:c r="P124" s="238"/>
      <x:c r="Q124" s="238">
        <x:f>CONCATENATE(TEXT(DataSheet!AR78,"0.0")," ",DataSheet!P78)</x:f>
      </x:c>
      <x:c r="R124" s="238"/>
      <x:c r="S124" s="238"/>
      <x:c r="T124" s="238"/>
      <x:c r="U124" s="238">
        <x:f>CONCATENATE(" ",TEXT(DataSheet!DD78,"0.00")," ",DataSheet!CZ78)</x:f>
      </x:c>
      <x:c r="V124" s="238"/>
      <x:c r="W124" s="238"/>
      <x:c r="X124" s="238"/>
    </x:row>
    <x:row r="125" spans="1:48" ht="15" customHeight="1">
      <x:c r="C125" s="19"/>
      <x:c r="E125" s="238"/>
      <x:c r="F125" s="238"/>
      <x:c r="G125" s="238"/>
      <x:c r="H125" s="238"/>
      <x:c r="I125" s="238">
        <x:f>CONCATENATE(DataSheet!L79," ",DataSheet!P79," / ",DataSheet!S79)</x:f>
      </x:c>
      <x:c r="J125" s="238"/>
      <x:c r="K125" s="238"/>
      <x:c r="L125" s="238"/>
      <x:c r="M125" s="238">
        <x:f>CONCATENATE(TEXT(DataSheet!AM79,"0.0")," ",DataSheet!P79)</x:f>
      </x:c>
      <x:c r="N125" s="238"/>
      <x:c r="O125" s="238"/>
      <x:c r="P125" s="238"/>
      <x:c r="Q125" s="238">
        <x:f>CONCATENATE(TEXT(DataSheet!AR79,"0.0")," ",DataSheet!P79)</x:f>
      </x:c>
      <x:c r="R125" s="238"/>
      <x:c r="S125" s="238"/>
      <x:c r="T125" s="238"/>
      <x:c r="U125" s="238">
        <x:f>CONCATENATE(" ",TEXT(DataSheet!DD79,"0.00")," ",DataSheet!CZ79)</x:f>
      </x:c>
      <x:c r="V125" s="238"/>
      <x:c r="W125" s="238"/>
      <x:c r="X125" s="238"/>
    </x:row>
    <x:row r="126" spans="1:48" ht="15" customHeight="1">
      <x:c r="C126" s="19"/>
      <x:c r="E126" s="238">
        <x:f>DataSheet!F80</x:f>
      </x:c>
      <x:c r="F126" s="238"/>
      <x:c r="G126" s="238"/>
      <x:c r="H126" s="238"/>
      <x:c r="I126" s="238">
        <x:f>CONCATENATE(DataSheet!L80," ",DataSheet!P80," / ",DataSheet!S80)</x:f>
      </x:c>
      <x:c r="J126" s="238"/>
      <x:c r="K126" s="238"/>
      <x:c r="L126" s="238"/>
      <x:c r="M126" s="238">
        <x:f>CONCATENATE(TEXT(DataSheet!AM80,"0.000")," ",DataSheet!P80)</x:f>
      </x:c>
      <x:c r="N126" s="238"/>
      <x:c r="O126" s="238"/>
      <x:c r="P126" s="238"/>
      <x:c r="Q126" s="238">
        <x:f>CONCATENATE(TEXT(DataSheet!AR80,"0.000")," ",DataSheet!P80)</x:f>
      </x:c>
      <x:c r="R126" s="238"/>
      <x:c r="S126" s="238"/>
      <x:c r="T126" s="238"/>
      <x:c r="U126" s="238">
        <x:f>CONCATENATE(" ",TEXT(DataSheet!DD80,"0.000 0")," ",DataSheet!CZ80)</x:f>
      </x:c>
      <x:c r="V126" s="238"/>
      <x:c r="W126" s="238"/>
      <x:c r="X126" s="238"/>
    </x:row>
    <x:row r="127" spans="1:48" ht="15" customHeight="1">
      <x:c r="C127" s="19"/>
      <x:c r="E127" s="238"/>
      <x:c r="F127" s="238"/>
      <x:c r="G127" s="238"/>
      <x:c r="H127" s="238"/>
      <x:c r="I127" s="238">
        <x:f>CONCATENATE(DataSheet!L81," ",DataSheet!P81," / ",DataSheet!S81)</x:f>
      </x:c>
      <x:c r="J127" s="238"/>
      <x:c r="K127" s="238"/>
      <x:c r="L127" s="238"/>
      <x:c r="M127" s="238">
        <x:f>CONCATENATE(TEXT(DataSheet!AM81,"0.000")," ",DataSheet!P81)</x:f>
      </x:c>
      <x:c r="N127" s="238"/>
      <x:c r="O127" s="238"/>
      <x:c r="P127" s="238"/>
      <x:c r="Q127" s="238">
        <x:f>CONCATENATE(TEXT(DataSheet!AR81,"0.000")," ",DataSheet!P81)</x:f>
      </x:c>
      <x:c r="R127" s="238"/>
      <x:c r="S127" s="238"/>
      <x:c r="T127" s="238"/>
      <x:c r="U127" s="238">
        <x:f>CONCATENATE(" ",TEXT(DataSheet!DD81,"0.000 0")," ",DataSheet!CZ81)</x:f>
      </x:c>
      <x:c r="V127" s="238"/>
      <x:c r="W127" s="238"/>
      <x:c r="X127" s="238"/>
    </x:row>
    <x:row r="128" spans="1:48" ht="15" customHeight="1">
      <x:c r="C128" s="19"/>
      <x:c r="E128" s="238"/>
      <x:c r="F128" s="238"/>
      <x:c r="G128" s="238"/>
      <x:c r="H128" s="238"/>
      <x:c r="I128" s="238">
        <x:f>CONCATENATE(DataSheet!L82," ",DataSheet!P82," / ",DataSheet!S82)</x:f>
      </x:c>
      <x:c r="J128" s="238"/>
      <x:c r="K128" s="238"/>
      <x:c r="L128" s="238"/>
      <x:c r="M128" s="238">
        <x:f>CONCATENATE(TEXT(DataSheet!AM82,"0.000")," ",DataSheet!P82)</x:f>
      </x:c>
      <x:c r="N128" s="238"/>
      <x:c r="O128" s="238"/>
      <x:c r="P128" s="238"/>
      <x:c r="Q128" s="238">
        <x:f>CONCATENATE(TEXT(DataSheet!AR82,"0.000")," ",DataSheet!P82)</x:f>
      </x:c>
      <x:c r="R128" s="238"/>
      <x:c r="S128" s="238"/>
      <x:c r="T128" s="238"/>
      <x:c r="U128" s="238">
        <x:f>CONCATENATE(" ",TEXT(DataSheet!DD82,"0.000 0")," ",DataSheet!CZ82)</x:f>
      </x:c>
      <x:c r="V128" s="238"/>
      <x:c r="W128" s="238"/>
      <x:c r="X128" s="238"/>
    </x:row>
    <x:row r="129" spans="1:48" ht="15" customHeight="1">
      <x:c r="C129" s="19"/>
      <x:c r="E129" s="238"/>
      <x:c r="F129" s="238"/>
      <x:c r="G129" s="238"/>
      <x:c r="H129" s="238"/>
      <x:c r="I129" s="238">
        <x:f>CONCATENATE(DataSheet!L83," ",DataSheet!P83," / ",DataSheet!S83)</x:f>
      </x:c>
      <x:c r="J129" s="238"/>
      <x:c r="K129" s="238"/>
      <x:c r="L129" s="238"/>
      <x:c r="M129" s="238">
        <x:f>CONCATENATE(TEXT(DataSheet!AM83,"0.000")," ",DataSheet!P83)</x:f>
      </x:c>
      <x:c r="N129" s="238"/>
      <x:c r="O129" s="238"/>
      <x:c r="P129" s="238"/>
      <x:c r="Q129" s="238">
        <x:f>CONCATENATE(TEXT(DataSheet!AR83,"0.000")," ",DataSheet!P83)</x:f>
      </x:c>
      <x:c r="R129" s="238"/>
      <x:c r="S129" s="238"/>
      <x:c r="T129" s="238"/>
      <x:c r="U129" s="238">
        <x:f>CONCATENATE(" ",TEXT(DataSheet!DD83,"0.000 0")," ",DataSheet!CZ83)</x:f>
      </x:c>
      <x:c r="V129" s="238"/>
      <x:c r="W129" s="238"/>
      <x:c r="X129" s="238"/>
    </x:row>
    <x:row r="130" spans="1:48" ht="15" customHeight="1">
      <x:c r="C130" s="19"/>
      <x:c r="E130" s="238">
        <x:f>DataSheet!F84</x:f>
      </x:c>
      <x:c r="F130" s="238"/>
      <x:c r="G130" s="238"/>
      <x:c r="H130" s="238"/>
      <x:c r="I130" s="238">
        <x:f>CONCATENATE(DataSheet!L84," ",DataSheet!P84," / ",DataSheet!S84)</x:f>
      </x:c>
      <x:c r="J130" s="238"/>
      <x:c r="K130" s="238"/>
      <x:c r="L130" s="238"/>
      <x:c r="M130" s="238">
        <x:f>CONCATENATE(TEXT(DataSheet!AM84,"0.00")," ",DataSheet!P84)</x:f>
      </x:c>
      <x:c r="N130" s="238"/>
      <x:c r="O130" s="238"/>
      <x:c r="P130" s="238"/>
      <x:c r="Q130" s="238">
        <x:f>CONCATENATE(TEXT(DataSheet!AR84,"0.00")," ",DataSheet!P84)</x:f>
      </x:c>
      <x:c r="R130" s="238"/>
      <x:c r="S130" s="238"/>
      <x:c r="T130" s="238"/>
      <x:c r="U130" s="238">
        <x:f>CONCATENATE(" ",TEXT(DataSheet!DD84,"0.000 0")," ",DataSheet!CZ84)</x:f>
      </x:c>
      <x:c r="V130" s="238"/>
      <x:c r="W130" s="238"/>
      <x:c r="X130" s="238"/>
    </x:row>
    <x:row r="131" spans="1:48" ht="15" customHeight="1">
      <x:c r="C131" s="19"/>
      <x:c r="E131" s="238"/>
      <x:c r="F131" s="238"/>
      <x:c r="G131" s="238"/>
      <x:c r="H131" s="238"/>
      <x:c r="I131" s="238">
        <x:f>CONCATENATE(DataSheet!L85," ",DataSheet!P85," / ",DataSheet!S85)</x:f>
      </x:c>
      <x:c r="J131" s="238"/>
      <x:c r="K131" s="238"/>
      <x:c r="L131" s="238"/>
      <x:c r="M131" s="238">
        <x:f>CONCATENATE(TEXT(DataSheet!AM85,"0.00")," ",DataSheet!P85)</x:f>
      </x:c>
      <x:c r="N131" s="238"/>
      <x:c r="O131" s="238"/>
      <x:c r="P131" s="238"/>
      <x:c r="Q131" s="238">
        <x:f>CONCATENATE(TEXT(DataSheet!AR85,"0.00")," ",DataSheet!P85)</x:f>
      </x:c>
      <x:c r="R131" s="238"/>
      <x:c r="S131" s="238"/>
      <x:c r="T131" s="238"/>
      <x:c r="U131" s="238">
        <x:f>CONCATENATE(" ",TEXT(DataSheet!DD85,"0.000 0")," ",DataSheet!CZ85)</x:f>
      </x:c>
      <x:c r="V131" s="238"/>
      <x:c r="W131" s="238"/>
      <x:c r="X131" s="238"/>
    </x:row>
    <x:row r="132" spans="1:48" ht="15" customHeight="1">
      <x:c r="C132" s="19"/>
      <x:c r="E132" s="238"/>
      <x:c r="F132" s="238"/>
      <x:c r="G132" s="238"/>
      <x:c r="H132" s="238"/>
      <x:c r="I132" s="238">
        <x:f>CONCATENATE(DataSheet!L86," ",DataSheet!P86," / ",DataSheet!S86)</x:f>
      </x:c>
      <x:c r="J132" s="238"/>
      <x:c r="K132" s="238"/>
      <x:c r="L132" s="238"/>
      <x:c r="M132" s="238">
        <x:f>CONCATENATE(TEXT(DataSheet!AM86,"0.00")," ",DataSheet!P86)</x:f>
      </x:c>
      <x:c r="N132" s="238"/>
      <x:c r="O132" s="238"/>
      <x:c r="P132" s="238"/>
      <x:c r="Q132" s="238">
        <x:f>CONCATENATE(TEXT(DataSheet!AR86,"0.00")," ",DataSheet!P86)</x:f>
      </x:c>
      <x:c r="R132" s="238"/>
      <x:c r="S132" s="238"/>
      <x:c r="T132" s="238"/>
      <x:c r="U132" s="238">
        <x:f>CONCATENATE(" ",TEXT(DataSheet!DD86,"0.000 0")," ",DataSheet!CZ86)</x:f>
      </x:c>
      <x:c r="V132" s="238"/>
      <x:c r="W132" s="238"/>
      <x:c r="X132" s="238"/>
    </x:row>
    <x:row r="133" spans="1:48" ht="15" customHeight="1">
      <x:c r="C133" s="19"/>
      <x:c r="E133" s="238"/>
      <x:c r="F133" s="238"/>
      <x:c r="G133" s="238"/>
      <x:c r="H133" s="238"/>
      <x:c r="I133" s="238">
        <x:f>CONCATENATE(DataSheet!L87," ",DataSheet!P87," / ",DataSheet!S87)</x:f>
      </x:c>
      <x:c r="J133" s="238"/>
      <x:c r="K133" s="238"/>
      <x:c r="L133" s="238"/>
      <x:c r="M133" s="238">
        <x:f>CONCATENATE(TEXT(DataSheet!AM87,"0.00")," ",DataSheet!P87)</x:f>
      </x:c>
      <x:c r="N133" s="238"/>
      <x:c r="O133" s="238"/>
      <x:c r="P133" s="238"/>
      <x:c r="Q133" s="238">
        <x:f>CONCATENATE(TEXT(DataSheet!AR87,"0.00")," ",DataSheet!P87)</x:f>
      </x:c>
      <x:c r="R133" s="238"/>
      <x:c r="S133" s="238"/>
      <x:c r="T133" s="238"/>
      <x:c r="U133" s="238">
        <x:f>CONCATENATE(" ",TEXT(DataSheet!DD87,"0.000 0")," ",DataSheet!CZ87)</x:f>
      </x:c>
      <x:c r="V133" s="238"/>
      <x:c r="W133" s="238"/>
      <x:c r="X133" s="238"/>
    </x:row>
    <x:row r="134" spans="1:48" ht="15" customHeight="1">
      <x:c r="C134" s="19"/>
      <x:c r="E134" s="238"/>
      <x:c r="F134" s="238"/>
      <x:c r="G134" s="238"/>
      <x:c r="H134" s="238"/>
      <x:c r="I134" s="238">
        <x:f>CONCATENATE(DataSheet!L88," ",DataSheet!P88," / ",DataSheet!S88)</x:f>
      </x:c>
      <x:c r="J134" s="238"/>
      <x:c r="K134" s="238"/>
      <x:c r="L134" s="238"/>
      <x:c r="M134" s="238">
        <x:f>CONCATENATE(TEXT(DataSheet!AM88,"0.00")," ",DataSheet!P88)</x:f>
      </x:c>
      <x:c r="N134" s="238"/>
      <x:c r="O134" s="238"/>
      <x:c r="P134" s="238"/>
      <x:c r="Q134" s="238">
        <x:f>CONCATENATE(TEXT(DataSheet!AR88,"0.00")," ",DataSheet!P88)</x:f>
      </x:c>
      <x:c r="R134" s="238"/>
      <x:c r="S134" s="238"/>
      <x:c r="T134" s="238"/>
      <x:c r="U134" s="238">
        <x:f>CONCATENATE(" ",TEXT(DataSheet!DD88,"0.000")," ",DataSheet!CZ88)</x:f>
      </x:c>
      <x:c r="V134" s="238"/>
      <x:c r="W134" s="238"/>
      <x:c r="X134" s="238"/>
    </x:row>
    <x:row r="135" spans="1:48" ht="15" customHeight="1">
      <x:c r="C135" s="19"/>
      <x:c r="E135" s="238"/>
      <x:c r="F135" s="238"/>
      <x:c r="G135" s="238"/>
      <x:c r="H135" s="238"/>
      <x:c r="I135" s="238">
        <x:f>CONCATENATE(DataSheet!L89," ",DataSheet!P89," / ",DataSheet!S89)</x:f>
      </x:c>
      <x:c r="J135" s="238"/>
      <x:c r="K135" s="238"/>
      <x:c r="L135" s="238"/>
      <x:c r="M135" s="238">
        <x:f>CONCATENATE(TEXT(DataSheet!AM89,"0.00")," ",DataSheet!P89)</x:f>
      </x:c>
      <x:c r="N135" s="238"/>
      <x:c r="O135" s="238"/>
      <x:c r="P135" s="238"/>
      <x:c r="Q135" s="238">
        <x:f>CONCATENATE(TEXT(DataSheet!AR89,"0.00")," ",DataSheet!P89)</x:f>
      </x:c>
      <x:c r="R135" s="238"/>
      <x:c r="S135" s="238"/>
      <x:c r="T135" s="238"/>
      <x:c r="U135" s="238">
        <x:f>CONCATENATE(" ",TEXT(DataSheet!DD89,"0.000")," ",DataSheet!CZ89)</x:f>
      </x:c>
      <x:c r="V135" s="238"/>
      <x:c r="W135" s="238"/>
      <x:c r="X135" s="238"/>
    </x:row>
    <x:row r="136" spans="1:48" ht="15" customHeight="1">
      <x:c r="C136" s="19"/>
      <x:c r="E136" s="238">
        <x:f>DataSheet!F90</x:f>
      </x:c>
      <x:c r="F136" s="238"/>
      <x:c r="G136" s="238"/>
      <x:c r="H136" s="238"/>
      <x:c r="I136" s="238">
        <x:f>CONCATENATE(DataSheet!L90," ",DataSheet!P90," / ",DataSheet!S90)</x:f>
      </x:c>
      <x:c r="J136" s="238"/>
      <x:c r="K136" s="238"/>
      <x:c r="L136" s="238"/>
      <x:c r="M136" s="238">
        <x:f>CONCATENATE(TEXT(DataSheet!AM90,"0.0")," ",DataSheet!P90)</x:f>
      </x:c>
      <x:c r="N136" s="238"/>
      <x:c r="O136" s="238"/>
      <x:c r="P136" s="238"/>
      <x:c r="Q136" s="238">
        <x:f>CONCATENATE(TEXT(DataSheet!AR90,"0.0")," ",DataSheet!P90)</x:f>
      </x:c>
      <x:c r="R136" s="238"/>
      <x:c r="S136" s="238"/>
      <x:c r="T136" s="238"/>
      <x:c r="U136" s="238">
        <x:f>CONCATENATE(" ",TEXT(DataSheet!DD90,"0.000")," ",DataSheet!CZ90)</x:f>
      </x:c>
      <x:c r="V136" s="238"/>
      <x:c r="W136" s="238"/>
      <x:c r="X136" s="238"/>
    </x:row>
    <x:row r="137" spans="1:48" ht="15" customHeight="1">
      <x:c r="C137" s="19"/>
      <x:c r="E137" s="238"/>
      <x:c r="F137" s="238"/>
      <x:c r="G137" s="238"/>
      <x:c r="H137" s="238"/>
      <x:c r="I137" s="238">
        <x:f>CONCATENATE(DataSheet!L91," ",DataSheet!P91," / ",DataSheet!S91)</x:f>
      </x:c>
      <x:c r="J137" s="238"/>
      <x:c r="K137" s="238"/>
      <x:c r="L137" s="238"/>
      <x:c r="M137" s="238">
        <x:f>CONCATENATE(TEXT(DataSheet!AM91,"0.0")," ",DataSheet!P91)</x:f>
      </x:c>
      <x:c r="N137" s="238"/>
      <x:c r="O137" s="238"/>
      <x:c r="P137" s="238"/>
      <x:c r="Q137" s="238">
        <x:f>CONCATENATE(TEXT(DataSheet!AR91,"0.0")," ",DataSheet!P91)</x:f>
      </x:c>
      <x:c r="R137" s="238"/>
      <x:c r="S137" s="238"/>
      <x:c r="T137" s="238"/>
      <x:c r="U137" s="238">
        <x:f>CONCATENATE(" ",TEXT(DataSheet!DD91,"0.000")," ",DataSheet!CZ91)</x:f>
      </x:c>
      <x:c r="V137" s="238"/>
      <x:c r="W137" s="238"/>
      <x:c r="X137" s="238"/>
    </x:row>
    <x:row r="138" spans="1:48" ht="15" customHeight="1">
      <x:c r="C138" s="29"/>
      <x:c r="D138" s="29"/>
      <x:c r="E138" s="238"/>
      <x:c r="F138" s="238"/>
      <x:c r="G138" s="238"/>
      <x:c r="H138" s="238"/>
      <x:c r="I138" s="238">
        <x:f>CONCATENATE(DataSheet!L92," ",DataSheet!P92," / ",DataSheet!S92)</x:f>
      </x:c>
      <x:c r="J138" s="238"/>
      <x:c r="K138" s="238"/>
      <x:c r="L138" s="238"/>
      <x:c r="M138" s="238">
        <x:f>CONCATENATE(TEXT(DataSheet!AM92,"0.0")," ",DataSheet!P92)</x:f>
      </x:c>
      <x:c r="N138" s="238"/>
      <x:c r="O138" s="238"/>
      <x:c r="P138" s="238"/>
      <x:c r="Q138" s="238">
        <x:f>CONCATENATE(TEXT(DataSheet!AR92,"0.0")," ",DataSheet!P92)</x:f>
      </x:c>
      <x:c r="R138" s="238"/>
      <x:c r="S138" s="238"/>
      <x:c r="T138" s="238"/>
      <x:c r="U138" s="238">
        <x:f>CONCATENATE(" ",TEXT(DataSheet!DD92,"0.000")," ",DataSheet!CZ92)</x:f>
      </x:c>
      <x:c r="V138" s="238"/>
      <x:c r="W138" s="238"/>
      <x:c r="X138" s="238"/>
      <x:c r="Y138" s="29"/>
      <x:c r="Z138" s="29"/>
    </x:row>
    <x:row r="139" spans="1:48" ht="15" customHeight="1">
      <x:c r="C139" s="29"/>
      <x:c r="D139" s="29"/>
      <x:c r="E139" s="238"/>
      <x:c r="F139" s="238"/>
      <x:c r="G139" s="238"/>
      <x:c r="H139" s="238"/>
      <x:c r="I139" s="238">
        <x:f>CONCATENATE(DataSheet!L93," ",DataSheet!P93," / ",DataSheet!S93)</x:f>
      </x:c>
      <x:c r="J139" s="238"/>
      <x:c r="K139" s="238"/>
      <x:c r="L139" s="238"/>
      <x:c r="M139" s="238">
        <x:f>CONCATENATE(TEXT(DataSheet!AM93,"0.0")," ",DataSheet!P93)</x:f>
      </x:c>
      <x:c r="N139" s="238"/>
      <x:c r="O139" s="238"/>
      <x:c r="P139" s="238"/>
      <x:c r="Q139" s="238">
        <x:f>CONCATENATE(TEXT(DataSheet!AR93,"0.0")," ",DataSheet!P93)</x:f>
      </x:c>
      <x:c r="R139" s="238"/>
      <x:c r="S139" s="238"/>
      <x:c r="T139" s="238"/>
      <x:c r="U139" s="238">
        <x:f>CONCATENATE(" ",TEXT(DataSheet!DD93,"0.000")," ",DataSheet!CZ93)</x:f>
      </x:c>
      <x:c r="V139" s="238"/>
      <x:c r="W139" s="238"/>
      <x:c r="X139" s="238"/>
    </x:row>
    <x:row r="140" spans="1:48" ht="15" customHeight="1">
      <x:c r="C140" s="29"/>
      <x:c r="D140" s="29"/>
      <x:c r="E140" s="238">
        <x:f>DataSheet!F94</x:f>
      </x:c>
      <x:c r="F140" s="238"/>
      <x:c r="G140" s="238"/>
      <x:c r="H140" s="238"/>
      <x:c r="I140" s="238">
        <x:f>CONCATENATE(DataSheet!L94," ",DataSheet!P94," / ",DataSheet!S94)</x:f>
      </x:c>
      <x:c r="J140" s="238"/>
      <x:c r="K140" s="238"/>
      <x:c r="L140" s="238"/>
      <x:c r="M140" s="238">
        <x:f>CONCATENATE(TEXT(DataSheet!AM94,"0")," ",DataSheet!P94)</x:f>
      </x:c>
      <x:c r="N140" s="238"/>
      <x:c r="O140" s="238"/>
      <x:c r="P140" s="238"/>
      <x:c r="Q140" s="238">
        <x:f>CONCATENATE(TEXT(DataSheet!AR94,"0")," ",DataSheet!P94)</x:f>
      </x:c>
      <x:c r="R140" s="238"/>
      <x:c r="S140" s="238"/>
      <x:c r="T140" s="238"/>
      <x:c r="U140" s="238">
        <x:f>CONCATENATE(" ",TEXT(DataSheet!DD94,"0.00")," ",DataSheet!CZ94)</x:f>
      </x:c>
      <x:c r="V140" s="238"/>
      <x:c r="W140" s="238"/>
      <x:c r="X140" s="238"/>
    </x:row>
    <x:row r="141" spans="1:48" ht="15" customHeight="1">
      <x:c r="C141" s="29"/>
      <x:c r="D141" s="29"/>
      <x:c r="E141" s="238"/>
      <x:c r="F141" s="238"/>
      <x:c r="G141" s="238"/>
      <x:c r="H141" s="238"/>
      <x:c r="I141" s="238">
        <x:f>CONCATENATE(DataSheet!L95," ",DataSheet!P95," / ",DataSheet!S95)</x:f>
      </x:c>
      <x:c r="J141" s="238"/>
      <x:c r="K141" s="238"/>
      <x:c r="L141" s="238"/>
      <x:c r="M141" s="238">
        <x:f>CONCATENATE(TEXT(DataSheet!AM95,"0")," ",DataSheet!P95)</x:f>
      </x:c>
      <x:c r="N141" s="238"/>
      <x:c r="O141" s="238"/>
      <x:c r="P141" s="238"/>
      <x:c r="Q141" s="238">
        <x:f>CONCATENATE(TEXT(DataSheet!AR95,"0")," ",DataSheet!P95)</x:f>
      </x:c>
      <x:c r="R141" s="238"/>
      <x:c r="S141" s="238"/>
      <x:c r="T141" s="238"/>
      <x:c r="U141" s="238">
        <x:f>CONCATENATE(" ",TEXT(DataSheet!DD95,"0.00")," ",DataSheet!CZ95)</x:f>
      </x:c>
      <x:c r="V141" s="238"/>
      <x:c r="W141" s="238"/>
      <x:c r="X141" s="238"/>
    </x:row>
    <x:row r="142" spans="1:48" ht="15" customHeight="1">
      <x:c r="C142" s="29"/>
      <x:c r="D142" s="29"/>
      <x:c r="E142" s="238"/>
      <x:c r="F142" s="238"/>
      <x:c r="G142" s="238"/>
      <x:c r="H142" s="238"/>
      <x:c r="I142" s="238">
        <x:f>CONCATENATE(DataSheet!L96," ",DataSheet!P96," / ",DataSheet!S96)</x:f>
      </x:c>
      <x:c r="J142" s="238"/>
      <x:c r="K142" s="238"/>
      <x:c r="L142" s="238"/>
      <x:c r="M142" s="238">
        <x:f>CONCATENATE(TEXT(DataSheet!AM96,"0")," ",DataSheet!P96)</x:f>
      </x:c>
      <x:c r="N142" s="238"/>
      <x:c r="O142" s="238"/>
      <x:c r="P142" s="238"/>
      <x:c r="Q142" s="238">
        <x:f>CONCATENATE(TEXT(DataSheet!AR96,"0")," ",DataSheet!P96)</x:f>
      </x:c>
      <x:c r="R142" s="238"/>
      <x:c r="S142" s="238"/>
      <x:c r="T142" s="238"/>
      <x:c r="U142" s="238">
        <x:f>CONCATENATE(" ",TEXT(DataSheet!DD96,"0.00")," ",DataSheet!CZ96)</x:f>
      </x:c>
      <x:c r="V142" s="238"/>
      <x:c r="W142" s="238"/>
      <x:c r="X142" s="238"/>
    </x:row>
    <x:row r="143" spans="1:48" ht="15" customHeight="1">
      <x:c r="C143" s="29"/>
      <x:c r="D143" s="29"/>
      <x:c r="E143" s="238"/>
      <x:c r="F143" s="238"/>
      <x:c r="G143" s="238"/>
      <x:c r="H143" s="238"/>
      <x:c r="I143" s="238">
        <x:f>CONCATENATE(DataSheet!L97," ",DataSheet!P97," / ",DataSheet!S97)</x:f>
      </x:c>
      <x:c r="J143" s="238"/>
      <x:c r="K143" s="238"/>
      <x:c r="L143" s="238"/>
      <x:c r="M143" s="238">
        <x:f>CONCATENATE(TEXT(DataSheet!AM97,"0")," ",DataSheet!P97)</x:f>
      </x:c>
      <x:c r="N143" s="238"/>
      <x:c r="O143" s="238"/>
      <x:c r="P143" s="238"/>
      <x:c r="Q143" s="238">
        <x:f>CONCATENATE(TEXT(DataSheet!AR97,"0")," ",DataSheet!P97)</x:f>
      </x:c>
      <x:c r="R143" s="238"/>
      <x:c r="S143" s="238"/>
      <x:c r="T143" s="238"/>
      <x:c r="U143" s="238">
        <x:f>CONCATENATE(" ",TEXT(DataSheet!DD97,"0.00")," ",DataSheet!CZ97)</x:f>
      </x:c>
      <x:c r="V143" s="238"/>
      <x:c r="W143" s="238"/>
      <x:c r="X143" s="238"/>
    </x:row>
    <x:row r="144" spans="1:48" ht="15" customHeight="1"/>
    <x:row r="145" spans="1:48" ht="15" customHeight="1" s="61" customFormat="1">
      <x:c r="A145" s="489"/>
      <x:c r="E145" s="62">
        <x:f>DataSheet!F110</x:f>
      </x:c>
      <x:c r="F145" s="63"/>
      <x:c r="G145" s="63"/>
      <x:c r="H145" s="63"/>
      <x:c r="I145" s="62"/>
      <x:c r="J145" s="63"/>
      <x:c r="K145" s="63"/>
      <x:c r="L145" s="63"/>
      <x:c r="M145" s="63"/>
      <x:c r="N145" s="63"/>
      <x:c r="O145" s="63"/>
      <x:c r="P145" s="63"/>
      <x:c r="Q145" s="63"/>
      <x:c r="R145" s="63"/>
      <x:c r="S145" s="63"/>
      <x:c r="T145" s="63"/>
      <x:c r="U145" s="63"/>
      <x:c r="V145" s="63"/>
      <x:c r="W145" s="63"/>
      <x:c r="X145" s="63"/>
    </x:row>
    <x:row r="146" spans="1:48" ht="15" customHeight="1" s="61" customFormat="1">
      <x:c r="A146" s="489"/>
      <x:c r="E146" s="259" t="s">
        <x:v>37</x:v>
      </x:c>
      <x:c r="F146" s="259"/>
      <x:c r="G146" s="259"/>
      <x:c r="H146" s="259"/>
      <x:c r="I146" s="259" t="s">
        <x:v>38</x:v>
      </x:c>
      <x:c r="J146" s="259"/>
      <x:c r="K146" s="259"/>
      <x:c r="L146" s="259"/>
      <x:c r="M146" s="260" t="s">
        <x:v>39</x:v>
      </x:c>
      <x:c r="N146" s="259"/>
      <x:c r="O146" s="259"/>
      <x:c r="P146" s="259"/>
      <x:c r="Q146" s="259" t="s">
        <x:v>40</x:v>
      </x:c>
      <x:c r="R146" s="259"/>
      <x:c r="S146" s="259"/>
      <x:c r="T146" s="259"/>
      <x:c r="U146" s="260" t="s">
        <x:v>41</x:v>
      </x:c>
      <x:c r="V146" s="259"/>
      <x:c r="W146" s="259"/>
      <x:c r="X146" s="259"/>
    </x:row>
    <x:row r="147" spans="1:48" ht="15" customHeight="1" s="61" customFormat="1">
      <x:c r="A147" s="489"/>
      <x:c r="E147" s="259"/>
      <x:c r="F147" s="259"/>
      <x:c r="G147" s="259"/>
      <x:c r="H147" s="259"/>
      <x:c r="I147" s="259"/>
      <x:c r="J147" s="259"/>
      <x:c r="K147" s="259"/>
      <x:c r="L147" s="259"/>
      <x:c r="M147" s="259"/>
      <x:c r="N147" s="259"/>
      <x:c r="O147" s="259"/>
      <x:c r="P147" s="259"/>
      <x:c r="Q147" s="259"/>
      <x:c r="R147" s="259"/>
      <x:c r="S147" s="259"/>
      <x:c r="T147" s="259"/>
      <x:c r="U147" s="259"/>
      <x:c r="V147" s="259"/>
      <x:c r="W147" s="259"/>
      <x:c r="X147" s="259"/>
    </x:row>
    <x:row r="148" spans="1:48" ht="15" customHeight="1" s="61" customFormat="1">
      <x:c r="A148" s="489"/>
      <x:c r="E148" s="288">
        <x:f>DataSheet!F113</x:f>
      </x:c>
      <x:c r="F148" s="289"/>
      <x:c r="G148" s="289"/>
      <x:c r="H148" s="290"/>
      <x:c r="I148" s="239">
        <x:f>CONCATENATE(DataSheet!L113," ",DataSheet!P113)</x:f>
      </x:c>
      <x:c r="J148" s="239"/>
      <x:c r="K148" s="239"/>
      <x:c r="L148" s="239"/>
      <x:c r="M148" s="239">
        <x:f>CONCATENATE(TEXT(DataSheet!AM113,"0.0")," ",DataSheet!P113)</x:f>
      </x:c>
      <x:c r="N148" s="239"/>
      <x:c r="O148" s="239"/>
      <x:c r="P148" s="239"/>
      <x:c r="Q148" s="239">
        <x:f>CONCATENATE(TEXT(DataSheet!AR113,"0.0")," ",DataSheet!P113)</x:f>
      </x:c>
      <x:c r="R148" s="239"/>
      <x:c r="S148" s="239"/>
      <x:c r="T148" s="239"/>
      <x:c r="U148" s="239">
        <x:f>CONCATENATE(" ",TEXT(DataSheet!DD113,"0.00")," ",DataSheet!CZ113)</x:f>
      </x:c>
      <x:c r="V148" s="239"/>
      <x:c r="W148" s="239"/>
      <x:c r="X148" s="239"/>
    </x:row>
    <x:row r="149" spans="1:48" ht="15" customHeight="1" s="61" customFormat="1">
      <x:c r="A149" s="489"/>
      <x:c r="E149" s="288">
        <x:f>DataSheet!F114</x:f>
      </x:c>
      <x:c r="F149" s="289"/>
      <x:c r="G149" s="289"/>
      <x:c r="H149" s="290"/>
      <x:c r="I149" s="239">
        <x:f>CONCATENATE(TEXT(DataSheet!L114,"0 000")," ",DataSheet!P114)</x:f>
      </x:c>
      <x:c r="J149" s="239"/>
      <x:c r="K149" s="239"/>
      <x:c r="L149" s="239"/>
      <x:c r="M149" s="239">
        <x:f>CONCATENATE(TEXT(DataSheet!AM114,"0 000")," ",DataSheet!P114)</x:f>
      </x:c>
      <x:c r="N149" s="239"/>
      <x:c r="O149" s="239"/>
      <x:c r="P149" s="239"/>
      <x:c r="Q149" s="239">
        <x:f>CONCATENATE(TEXT(DataSheet!AR114,"0")," ",DataSheet!P114)</x:f>
      </x:c>
      <x:c r="R149" s="239"/>
      <x:c r="S149" s="239"/>
      <x:c r="T149" s="239"/>
      <x:c r="U149" s="239">
        <x:f>CONCATENATE(" ",TEXT(DataSheet!DD114,"0.00")," ",DataSheet!CZ114)</x:f>
      </x:c>
      <x:c r="V149" s="239"/>
      <x:c r="W149" s="239"/>
      <x:c r="X149" s="239"/>
    </x:row>
    <x:row r="150" spans="1:48" ht="15" customHeight="1" s="61" customFormat="1">
      <x:c r="A150" s="489"/>
      <x:c r="E150" s="232">
        <x:f>DataSheet!F115</x:f>
      </x:c>
      <x:c r="F150" s="233"/>
      <x:c r="G150" s="233"/>
      <x:c r="H150" s="234"/>
      <x:c r="I150" s="239">
        <x:f>CONCATENATE(DataSheet!L115," ",DataSheet!P115)</x:f>
      </x:c>
      <x:c r="J150" s="239"/>
      <x:c r="K150" s="239"/>
      <x:c r="L150" s="239"/>
      <x:c r="M150" s="239">
        <x:f>CONCATENATE(TEXT(DataSheet!AM115,"0.00")," ",DataSheet!P115)</x:f>
      </x:c>
      <x:c r="N150" s="239"/>
      <x:c r="O150" s="239"/>
      <x:c r="P150" s="239"/>
      <x:c r="Q150" s="239">
        <x:f>CONCATENATE(TEXT(DataSheet!AR115,"0.00")," ",DataSheet!P115)</x:f>
      </x:c>
      <x:c r="R150" s="239"/>
      <x:c r="S150" s="239"/>
      <x:c r="T150" s="239"/>
      <x:c r="U150" s="239">
        <x:f>CONCATENATE(" ",TEXT(DataSheet!DD115,"0.000 0")," ",DataSheet!CZ115)</x:f>
      </x:c>
      <x:c r="V150" s="239"/>
      <x:c r="W150" s="239"/>
      <x:c r="X150" s="239"/>
    </x:row>
    <x:row r="151" spans="1:48" ht="15" customHeight="1" s="61" customFormat="1">
      <x:c r="A151" s="489"/>
      <x:c r="E151" s="235"/>
      <x:c r="F151" s="236"/>
      <x:c r="G151" s="236"/>
      <x:c r="H151" s="237"/>
      <x:c r="I151" s="239">
        <x:f>CONCATENATE(DataSheet!L116," ",DataSheet!P116)</x:f>
      </x:c>
      <x:c r="J151" s="239"/>
      <x:c r="K151" s="239"/>
      <x:c r="L151" s="239"/>
      <x:c r="M151" s="239">
        <x:f>CONCATENATE(TEXT(DataSheet!AM116,"0.00")," ",DataSheet!P116)</x:f>
      </x:c>
      <x:c r="N151" s="239"/>
      <x:c r="O151" s="239"/>
      <x:c r="P151" s="239"/>
      <x:c r="Q151" s="239">
        <x:f>CONCATENATE(TEXT(DataSheet!AR116,"0.00")," ",DataSheet!P116)</x:f>
      </x:c>
      <x:c r="R151" s="239"/>
      <x:c r="S151" s="239"/>
      <x:c r="T151" s="239"/>
      <x:c r="U151" s="239">
        <x:f>CONCATENATE(" ",TEXT(DataSheet!DD116,"0.000")," ",DataSheet!CZ116)</x:f>
      </x:c>
      <x:c r="V151" s="239"/>
      <x:c r="W151" s="239"/>
      <x:c r="X151" s="239"/>
    </x:row>
    <x:row r="152" spans="1:48" ht="15" customHeight="1" s="61" customFormat="1">
      <x:c r="A152" s="489"/>
      <x:c r="E152" s="288">
        <x:f>DataSheet!F117</x:f>
      </x:c>
      <x:c r="F152" s="289"/>
      <x:c r="G152" s="289"/>
      <x:c r="H152" s="290"/>
      <x:c r="I152" s="239">
        <x:f>CONCATENATE(DataSheet!L117," ",DataSheet!P117)</x:f>
      </x:c>
      <x:c r="J152" s="239"/>
      <x:c r="K152" s="239"/>
      <x:c r="L152" s="239"/>
      <x:c r="M152" s="239">
        <x:f>CONCATENATE(TEXT(DataSheet!AM117,"0.0")," ",DataSheet!P117)</x:f>
      </x:c>
      <x:c r="N152" s="239"/>
      <x:c r="O152" s="239"/>
      <x:c r="P152" s="239"/>
      <x:c r="Q152" s="239">
        <x:f>CONCATENATE(TEXT(DataSheet!AR117,"0.0")," ",DataSheet!P117)</x:f>
      </x:c>
      <x:c r="R152" s="239"/>
      <x:c r="S152" s="239"/>
      <x:c r="T152" s="239"/>
      <x:c r="U152" s="239">
        <x:f>CONCATENATE(" ",TEXT(DataSheet!DD117,"0.000")," ",DataSheet!CZ117)</x:f>
      </x:c>
      <x:c r="V152" s="239"/>
      <x:c r="W152" s="239"/>
      <x:c r="X152" s="239"/>
    </x:row>
    <x:row r="153" spans="1:48" ht="15" customHeight="1" s="61" customFormat="1">
      <x:c r="A153" s="489"/>
      <x:c r="E153" s="239">
        <x:f>DataSheet!F118</x:f>
      </x:c>
      <x:c r="F153" s="239"/>
      <x:c r="G153" s="239"/>
      <x:c r="H153" s="239"/>
      <x:c r="I153" s="239">
        <x:f>CONCATENATE(DataSheet!L118," ",DataSheet!P118)</x:f>
      </x:c>
      <x:c r="J153" s="239"/>
      <x:c r="K153" s="239"/>
      <x:c r="L153" s="239"/>
      <x:c r="M153" s="239">
        <x:f>CONCATENATE(TEXT(DataSheet!AM118,"0.000")," ",DataSheet!P118)</x:f>
      </x:c>
      <x:c r="N153" s="239"/>
      <x:c r="O153" s="239"/>
      <x:c r="P153" s="239"/>
      <x:c r="Q153" s="239">
        <x:f>CONCATENATE(TEXT(DataSheet!AR118,"0.000")," ",DataSheet!P118)</x:f>
      </x:c>
      <x:c r="R153" s="239"/>
      <x:c r="S153" s="239"/>
      <x:c r="T153" s="239"/>
      <x:c r="U153" s="239">
        <x:f>CONCATENATE(" ",TEXT(DataSheet!DD118,"0.000 0")," ",DataSheet!CZ118)</x:f>
      </x:c>
      <x:c r="V153" s="239"/>
      <x:c r="W153" s="239"/>
      <x:c r="X153" s="239"/>
    </x:row>
    <x:row r="154" spans="1:48" ht="15" customHeight="1" s="61" customFormat="1">
      <x:c r="A154" s="489"/>
      <x:c r="E154" s="239"/>
      <x:c r="F154" s="239"/>
      <x:c r="G154" s="239"/>
      <x:c r="H154" s="239"/>
      <x:c r="I154" s="239">
        <x:f>CONCATENATE(DataSheet!L119," ",DataSheet!P119)</x:f>
      </x:c>
      <x:c r="J154" s="239"/>
      <x:c r="K154" s="239"/>
      <x:c r="L154" s="239"/>
      <x:c r="M154" s="239">
        <x:f>CONCATENATE(TEXT(DataSheet!AM119,"0.000")," ",DataSheet!P119)</x:f>
      </x:c>
      <x:c r="N154" s="239"/>
      <x:c r="O154" s="239"/>
      <x:c r="P154" s="239"/>
      <x:c r="Q154" s="239">
        <x:f>CONCATENATE(TEXT(DataSheet!AR119,"0.000")," ",DataSheet!P119)</x:f>
      </x:c>
      <x:c r="R154" s="239"/>
      <x:c r="S154" s="239"/>
      <x:c r="T154" s="239"/>
      <x:c r="U154" s="239">
        <x:f>CONCATENATE(" ",TEXT(DataSheet!DD119,"0.000 0")," ",DataSheet!CZ119)</x:f>
      </x:c>
      <x:c r="V154" s="239"/>
      <x:c r="W154" s="239"/>
      <x:c r="X154" s="239"/>
    </x:row>
    <x:row r="155" spans="1:48" ht="15" customHeight="1" s="61" customFormat="1">
      <x:c r="A155" s="489"/>
      <x:c r="E155" s="232">
        <x:f>DataSheet!F120</x:f>
      </x:c>
      <x:c r="F155" s="233"/>
      <x:c r="G155" s="233"/>
      <x:c r="H155" s="234"/>
      <x:c r="I155" s="239">
        <x:f>CONCATENATE(DataSheet!L120," ",DataSheet!P120)</x:f>
      </x:c>
      <x:c r="J155" s="239"/>
      <x:c r="K155" s="239"/>
      <x:c r="L155" s="239"/>
      <x:c r="M155" s="239">
        <x:f>CONCATENATE(TEXT(DataSheet!AM120,"0.00")," ",DataSheet!P120)</x:f>
      </x:c>
      <x:c r="N155" s="239"/>
      <x:c r="O155" s="239"/>
      <x:c r="P155" s="239"/>
      <x:c r="Q155" s="239">
        <x:f>CONCATENATE(TEXT(DataSheet!AR120,"0.00")," ",DataSheet!P120)</x:f>
      </x:c>
      <x:c r="R155" s="239"/>
      <x:c r="S155" s="239"/>
      <x:c r="T155" s="239"/>
      <x:c r="U155" s="239">
        <x:f>CONCATENATE(" ",TEXT(DataSheet!DD120,"0.000 0")," ",DataSheet!CZ120)</x:f>
      </x:c>
      <x:c r="V155" s="239"/>
      <x:c r="W155" s="239"/>
      <x:c r="X155" s="239"/>
    </x:row>
    <x:row r="156" spans="1:48" ht="15" customHeight="1" s="61" customFormat="1">
      <x:c r="A156" s="489"/>
      <x:c r="E156" s="235"/>
      <x:c r="F156" s="236"/>
      <x:c r="G156" s="236"/>
      <x:c r="H156" s="237"/>
      <x:c r="I156" s="239">
        <x:f>CONCATENATE(DataSheet!L121," ",DataSheet!P121)</x:f>
      </x:c>
      <x:c r="J156" s="239"/>
      <x:c r="K156" s="239"/>
      <x:c r="L156" s="239"/>
      <x:c r="M156" s="239">
        <x:f>CONCATENATE(TEXT(DataSheet!AM121,"0.00")," ",DataSheet!P121)</x:f>
      </x:c>
      <x:c r="N156" s="239"/>
      <x:c r="O156" s="239"/>
      <x:c r="P156" s="239"/>
      <x:c r="Q156" s="239">
        <x:f>CONCATENATE(TEXT(DataSheet!AR121,"0.00")," ",DataSheet!P121)</x:f>
      </x:c>
      <x:c r="R156" s="239"/>
      <x:c r="S156" s="239"/>
      <x:c r="T156" s="239"/>
      <x:c r="U156" s="239">
        <x:f>CONCATENATE(" ",TEXT(DataSheet!DD121,"0.000 0")," ",DataSheet!CZ121)</x:f>
      </x:c>
      <x:c r="V156" s="239"/>
      <x:c r="W156" s="239"/>
      <x:c r="X156" s="239"/>
    </x:row>
    <x:row r="157" spans="1:48" ht="15" customHeight="1">
      <x:c r="C157" s="29"/>
      <x:c r="D157" s="29"/>
      <x:c r="E157" s="22"/>
      <x:c r="F157" s="22"/>
      <x:c r="G157" s="22"/>
      <x:c r="H157" s="22"/>
      <x:c r="I157" s="22"/>
      <x:c r="J157" s="22"/>
      <x:c r="K157" s="22"/>
      <x:c r="L157" s="22"/>
      <x:c r="M157" s="22"/>
      <x:c r="N157" s="22"/>
      <x:c r="O157" s="22"/>
      <x:c r="P157" s="22"/>
      <x:c r="Q157" s="22"/>
      <x:c r="R157" s="22"/>
      <x:c r="S157" s="22"/>
      <x:c r="T157" s="22"/>
      <x:c r="U157" s="22"/>
      <x:c r="V157" s="22"/>
      <x:c r="W157" s="22"/>
      <x:c r="X157" s="22"/>
    </x:row>
    <x:row r="158" spans="1:48" ht="15" customHeight="1"/>
    <x:row r="159" spans="1:48" ht="15" customHeight="1">
      <x:c r="C159" s="227">
        <x:f>DataSheet!B140</x:f>
      </x:c>
      <x:c r="D159" s="227"/>
      <x:c r="E159" s="227"/>
      <x:c r="F159" s="227"/>
      <x:c r="G159" s="227"/>
      <x:c r="H159" s="227"/>
      <x:c r="I159" s="227"/>
      <x:c r="J159" s="227"/>
      <x:c r="K159" s="227"/>
      <x:c r="L159" s="227"/>
      <x:c r="M159" s="227"/>
      <x:c r="N159" s="227"/>
      <x:c r="O159" s="227"/>
      <x:c r="P159" s="227"/>
      <x:c r="Q159" s="227"/>
      <x:c r="R159" s="227"/>
      <x:c r="S159" s="227"/>
      <x:c r="T159" s="227"/>
      <x:c r="U159" s="227"/>
      <x:c r="V159" s="227"/>
      <x:c r="W159" s="227"/>
      <x:c r="X159" s="227"/>
      <x:c r="Y159" s="227"/>
      <x:c r="Z159" s="227"/>
    </x:row>
    <x:row r="160" spans="1:48" ht="15" customHeight="1">
      <x:c r="C160" s="219" t="s">
        <x:v>33</x:v>
      </x:c>
      <x:c r="D160" s="219"/>
      <x:c r="E160" s="219"/>
      <x:c r="F160" s="219"/>
      <x:c r="G160" s="219"/>
      <x:c r="H160" s="219"/>
      <x:c r="I160" s="219"/>
      <x:c r="J160" s="219"/>
      <x:c r="K160" s="219"/>
      <x:c r="L160" s="219"/>
      <x:c r="M160" s="219"/>
      <x:c r="N160" s="219"/>
      <x:c r="O160" s="219"/>
      <x:c r="P160" s="219"/>
      <x:c r="Q160" s="219"/>
      <x:c r="R160" s="219"/>
      <x:c r="S160" s="219"/>
      <x:c r="T160" s="219"/>
      <x:c r="U160" s="219"/>
      <x:c r="V160" s="219"/>
      <x:c r="W160" s="219"/>
      <x:c r="X160" s="219"/>
      <x:c r="Y160" s="219"/>
      <x:c r="Z160" s="219"/>
    </x:row>
    <x:row r="161" spans="1:48" ht="15" customHeight="1">
      <x:c r="C161" s="20" t="s">
        <x:v>42</x:v>
      </x:c>
    </x:row>
    <x:row r="162" spans="1:48" ht="15" customHeight="1"/>
    <x:row r="163" spans="1:48" ht="15" customHeight="1"/>
    <x:row r="164" spans="1:48" ht="15" customHeight="1"/>
    <x:row r="165" spans="1:48" ht="15" customHeight="1"/>
    <x:row r="166" spans="1:48" ht="15" customHeight="1"/>
    <x:row r="167" spans="1:48" ht="15" customHeight="1"/>
    <x:row r="168" spans="1:48" ht="15" customHeight="1"/>
    <x:row r="169" spans="1:48" ht="15" customHeight="1"/>
    <x:row r="170" spans="1:48" ht="15" customHeight="1">
      <x:c r="C170" s="21" t="s">
        <x:v>36</x:v>
      </x:c>
    </x:row>
    <x:row r="171" spans="1:48" ht="15" customHeight="1"/>
    <x:row r="172" spans="1:48" ht="15" customHeight="1">
      <x:c r="E172" s="62">
        <x:f>DataSheet!F123</x:f>
      </x:c>
      <x:c r="F172" s="63"/>
      <x:c r="G172" s="63"/>
      <x:c r="H172" s="63"/>
      <x:c r="I172" s="62"/>
      <x:c r="J172" s="63"/>
      <x:c r="K172" s="63"/>
      <x:c r="L172" s="63"/>
      <x:c r="M172" s="63"/>
      <x:c r="N172" s="63"/>
      <x:c r="O172" s="63"/>
      <x:c r="P172" s="63"/>
      <x:c r="Q172" s="63"/>
      <x:c r="R172" s="63"/>
      <x:c r="S172" s="63"/>
      <x:c r="T172" s="63"/>
      <x:c r="U172" s="63"/>
      <x:c r="V172" s="63"/>
      <x:c r="W172" s="63"/>
      <x:c r="X172" s="63"/>
    </x:row>
    <x:row r="173" spans="1:48">
      <x:c r="E173" s="267" t="s">
        <x:v>37</x:v>
      </x:c>
      <x:c r="F173" s="268"/>
      <x:c r="G173" s="268"/>
      <x:c r="H173" s="269"/>
      <x:c r="I173" s="267" t="s">
        <x:v>38</x:v>
      </x:c>
      <x:c r="J173" s="268"/>
      <x:c r="K173" s="268"/>
      <x:c r="L173" s="269"/>
      <x:c r="M173" s="261" t="s">
        <x:v>39</x:v>
      </x:c>
      <x:c r="N173" s="262"/>
      <x:c r="O173" s="262"/>
      <x:c r="P173" s="263"/>
      <x:c r="Q173" s="267" t="s">
        <x:v>40</x:v>
      </x:c>
      <x:c r="R173" s="268"/>
      <x:c r="S173" s="268"/>
      <x:c r="T173" s="269"/>
      <x:c r="U173" s="261" t="s">
        <x:v>41</x:v>
      </x:c>
      <x:c r="V173" s="262"/>
      <x:c r="W173" s="262"/>
      <x:c r="X173" s="263"/>
    </x:row>
    <x:row r="174" spans="1:48" ht="13.5" customHeight="1">
      <x:c r="E174" s="270"/>
      <x:c r="F174" s="271"/>
      <x:c r="G174" s="271"/>
      <x:c r="H174" s="272"/>
      <x:c r="I174" s="270"/>
      <x:c r="J174" s="271"/>
      <x:c r="K174" s="271"/>
      <x:c r="L174" s="272"/>
      <x:c r="M174" s="264"/>
      <x:c r="N174" s="265"/>
      <x:c r="O174" s="265"/>
      <x:c r="P174" s="266"/>
      <x:c r="Q174" s="270"/>
      <x:c r="R174" s="271"/>
      <x:c r="S174" s="271"/>
      <x:c r="T174" s="272"/>
      <x:c r="U174" s="264"/>
      <x:c r="V174" s="265"/>
      <x:c r="W174" s="265"/>
      <x:c r="X174" s="266"/>
    </x:row>
    <x:row r="175" spans="1:48" ht="12.75" customHeight="1">
      <x:c r="E175" s="232">
        <x:f>DataSheet!F126</x:f>
      </x:c>
      <x:c r="F175" s="233"/>
      <x:c r="G175" s="233"/>
      <x:c r="H175" s="234"/>
      <x:c r="I175" s="229">
        <x:f>CONCATENATE(DataSheet!L126," ",DataSheet!P126," / ",DataSheet!S126)</x:f>
      </x:c>
      <x:c r="J175" s="230"/>
      <x:c r="K175" s="230"/>
      <x:c r="L175" s="231"/>
      <x:c r="M175" s="229">
        <x:f>CONCATENATE(TEXT(DataSheet!AM126,"0.0")," ",DataSheet!P126)</x:f>
      </x:c>
      <x:c r="N175" s="230"/>
      <x:c r="O175" s="230"/>
      <x:c r="P175" s="231"/>
      <x:c r="Q175" s="229">
        <x:f>CONCATENATE(TEXT(DataSheet!AR126,"0.0")," ",DataSheet!P126)</x:f>
      </x:c>
      <x:c r="R175" s="230"/>
      <x:c r="S175" s="230"/>
      <x:c r="T175" s="231"/>
      <x:c r="U175" s="229">
        <x:f>CONCATENATE(" ",TEXT(DataSheet!DD126,"0.0")," ",DataSheet!CZ126)</x:f>
      </x:c>
      <x:c r="V175" s="230"/>
      <x:c r="W175" s="230"/>
      <x:c r="X175" s="231"/>
    </x:row>
    <x:row r="176" spans="1:48">
      <x:c r="E176" s="235"/>
      <x:c r="F176" s="236"/>
      <x:c r="G176" s="236"/>
      <x:c r="H176" s="237"/>
      <x:c r="I176" s="229">
        <x:f>CONCATENATE(DataSheet!L127," ",DataSheet!P127," / ",DataSheet!S127)</x:f>
      </x:c>
      <x:c r="J176" s="230"/>
      <x:c r="K176" s="230"/>
      <x:c r="L176" s="231"/>
      <x:c r="M176" s="229">
        <x:f>CONCATENATE(TEXT(DataSheet!AM127,"0.0")," ",DataSheet!P127)</x:f>
      </x:c>
      <x:c r="N176" s="230"/>
      <x:c r="O176" s="230"/>
      <x:c r="P176" s="231"/>
      <x:c r="Q176" s="229">
        <x:f>CONCATENATE(TEXT(DataSheet!AR127,"0.0")," ",DataSheet!P127)</x:f>
      </x:c>
      <x:c r="R176" s="230"/>
      <x:c r="S176" s="230"/>
      <x:c r="T176" s="231"/>
      <x:c r="U176" s="229">
        <x:f>CONCATENATE(" ",TEXT(DataSheet!DD127,"0.0")," ",DataSheet!CZ127)</x:f>
      </x:c>
      <x:c r="V176" s="230"/>
      <x:c r="W176" s="230"/>
      <x:c r="X176" s="231"/>
    </x:row>
    <x:row r="177" spans="1:48" ht="15" customHeight="1">
      <x:c r="E177" s="232">
        <x:f>DataSheet!F128</x:f>
      </x:c>
      <x:c r="F177" s="233"/>
      <x:c r="G177" s="233"/>
      <x:c r="H177" s="234"/>
      <x:c r="I177" s="229">
        <x:f>CONCATENATE(TEXT(DataSheet!L128,"0 000")," ",DataSheet!P128," / ",DataSheet!S128)</x:f>
      </x:c>
      <x:c r="J177" s="230"/>
      <x:c r="K177" s="230"/>
      <x:c r="L177" s="231"/>
      <x:c r="M177" s="229">
        <x:f>CONCATENATE(TEXT(DataSheet!AM128,"0 000")," ",DataSheet!P128)</x:f>
      </x:c>
      <x:c r="N177" s="230"/>
      <x:c r="O177" s="230"/>
      <x:c r="P177" s="231"/>
      <x:c r="Q177" s="229">
        <x:f>CONCATENATE(TEXT(DataSheet!AR128,"0")," ",DataSheet!P128)</x:f>
      </x:c>
      <x:c r="R177" s="230"/>
      <x:c r="S177" s="230"/>
      <x:c r="T177" s="231"/>
      <x:c r="U177" s="229">
        <x:f>CONCATENATE(" ",TEXT(DataSheet!DD128,"0")," ",DataSheet!CZ128)</x:f>
      </x:c>
      <x:c r="V177" s="230"/>
      <x:c r="W177" s="230"/>
      <x:c r="X177" s="231"/>
    </x:row>
    <x:row r="178" spans="1:48">
      <x:c r="E178" s="235"/>
      <x:c r="F178" s="236"/>
      <x:c r="G178" s="236"/>
      <x:c r="H178" s="237"/>
      <x:c r="I178" s="229">
        <x:f>CONCATENATE(TEXT(DataSheet!L129,"0 000")," ",DataSheet!P129," / ",DataSheet!S129)</x:f>
      </x:c>
      <x:c r="J178" s="230"/>
      <x:c r="K178" s="230"/>
      <x:c r="L178" s="231"/>
      <x:c r="M178" s="229">
        <x:f>CONCATENATE(TEXT(DataSheet!AM129,"0 000")," ",DataSheet!P129)</x:f>
      </x:c>
      <x:c r="N178" s="230"/>
      <x:c r="O178" s="230"/>
      <x:c r="P178" s="231"/>
      <x:c r="Q178" s="229">
        <x:f>CONCATENATE(TEXT(DataSheet!AR129,"0")," ",DataSheet!P129)</x:f>
      </x:c>
      <x:c r="R178" s="230"/>
      <x:c r="S178" s="230"/>
      <x:c r="T178" s="231"/>
      <x:c r="U178" s="229">
        <x:f>CONCATENATE(" ",TEXT(DataSheet!DD129,"0")," ",DataSheet!CZ129)</x:f>
      </x:c>
      <x:c r="V178" s="230"/>
      <x:c r="W178" s="230"/>
      <x:c r="X178" s="231"/>
    </x:row>
    <x:row r="179" spans="1:48">
      <x:c r="E179" s="232">
        <x:f>DataSheet!F130</x:f>
      </x:c>
      <x:c r="F179" s="233"/>
      <x:c r="G179" s="233"/>
      <x:c r="H179" s="234"/>
      <x:c r="I179" s="229">
        <x:f>CONCATENATE(DataSheet!L130," ",DataSheet!P130," / ",DataSheet!S130)</x:f>
      </x:c>
      <x:c r="J179" s="230"/>
      <x:c r="K179" s="230"/>
      <x:c r="L179" s="231"/>
      <x:c r="M179" s="229">
        <x:f>CONCATENATE(TEXT(DataSheet!AM130,"0.00")," ",DataSheet!P130)</x:f>
      </x:c>
      <x:c r="N179" s="230"/>
      <x:c r="O179" s="230"/>
      <x:c r="P179" s="231"/>
      <x:c r="Q179" s="229">
        <x:f>CONCATENATE(TEXT(DataSheet!AR130,"0.00")," ",DataSheet!P130)</x:f>
      </x:c>
      <x:c r="R179" s="230"/>
      <x:c r="S179" s="230"/>
      <x:c r="T179" s="231"/>
      <x:c r="U179" s="229">
        <x:f>CONCATENATE(" ",TEXT(DataSheet!DD130,"0.00")," ",DataSheet!CZ130)</x:f>
      </x:c>
      <x:c r="V179" s="230"/>
      <x:c r="W179" s="230"/>
      <x:c r="X179" s="231"/>
    </x:row>
    <x:row r="180" spans="1:48">
      <x:c r="E180" s="235"/>
      <x:c r="F180" s="236"/>
      <x:c r="G180" s="236"/>
      <x:c r="H180" s="237"/>
      <x:c r="I180" s="229">
        <x:f>CONCATENATE(DataSheet!L131," ",DataSheet!P131," / ",DataSheet!S131)</x:f>
      </x:c>
      <x:c r="J180" s="230"/>
      <x:c r="K180" s="230"/>
      <x:c r="L180" s="231"/>
      <x:c r="M180" s="229">
        <x:f>CONCATENATE(TEXT(DataSheet!AM131,"0.00")," ",DataSheet!P131)</x:f>
      </x:c>
      <x:c r="N180" s="230"/>
      <x:c r="O180" s="230"/>
      <x:c r="P180" s="231"/>
      <x:c r="Q180" s="229">
        <x:f>CONCATENATE(TEXT(DataSheet!AR131,"0.00")," ",DataSheet!P131)</x:f>
      </x:c>
      <x:c r="R180" s="230"/>
      <x:c r="S180" s="230"/>
      <x:c r="T180" s="231"/>
      <x:c r="U180" s="229">
        <x:f>CONCATENATE(" ",TEXT(DataSheet!DD131,"0.00")," ",DataSheet!CZ131)</x:f>
      </x:c>
      <x:c r="V180" s="230"/>
      <x:c r="W180" s="230"/>
      <x:c r="X180" s="231"/>
    </x:row>
    <x:row r="181" spans="1:48">
      <x:c r="E181" s="232">
        <x:f>DataSheet!F132</x:f>
      </x:c>
      <x:c r="F181" s="233"/>
      <x:c r="G181" s="233"/>
      <x:c r="H181" s="234"/>
      <x:c r="I181" s="229">
        <x:f>CONCATENATE(DataSheet!L132," ",DataSheet!P132," / ",DataSheet!S132)</x:f>
      </x:c>
      <x:c r="J181" s="230"/>
      <x:c r="K181" s="230"/>
      <x:c r="L181" s="231"/>
      <x:c r="M181" s="229">
        <x:f>CONCATENATE(TEXT(DataSheet!AM132,"0.0")," ",DataSheet!P132)</x:f>
      </x:c>
      <x:c r="N181" s="230"/>
      <x:c r="O181" s="230"/>
      <x:c r="P181" s="231"/>
      <x:c r="Q181" s="229">
        <x:f>CONCATENATE(TEXT(DataSheet!AR132,"0.0")," ",DataSheet!P132)</x:f>
      </x:c>
      <x:c r="R181" s="230"/>
      <x:c r="S181" s="230"/>
      <x:c r="T181" s="231"/>
      <x:c r="U181" s="229">
        <x:f>CONCATENATE(" ",TEXT(DataSheet!DD132,"0.00")," ",DataSheet!CZ132)</x:f>
      </x:c>
      <x:c r="V181" s="230"/>
      <x:c r="W181" s="230"/>
      <x:c r="X181" s="231"/>
    </x:row>
    <x:row r="182" spans="1:48" ht="12.75" customHeight="1">
      <x:c r="E182" s="235"/>
      <x:c r="F182" s="236"/>
      <x:c r="G182" s="236"/>
      <x:c r="H182" s="237"/>
      <x:c r="I182" s="229">
        <x:f>CONCATENATE(DataSheet!L133," ",DataSheet!P133," / ",DataSheet!S133)</x:f>
      </x:c>
      <x:c r="J182" s="230"/>
      <x:c r="K182" s="230"/>
      <x:c r="L182" s="231"/>
      <x:c r="M182" s="229">
        <x:f>CONCATENATE(TEXT(DataSheet!AM133,"0.0")," ",DataSheet!P133)</x:f>
      </x:c>
      <x:c r="N182" s="230"/>
      <x:c r="O182" s="230"/>
      <x:c r="P182" s="231"/>
      <x:c r="Q182" s="229">
        <x:f>CONCATENATE(TEXT(DataSheet!AR133,"0.0")," ",DataSheet!P133)</x:f>
      </x:c>
      <x:c r="R182" s="230"/>
      <x:c r="S182" s="230"/>
      <x:c r="T182" s="231"/>
      <x:c r="U182" s="229">
        <x:f>CONCATENATE(" ",TEXT(DataSheet!DD133,"0.00")," ",DataSheet!CZ133)</x:f>
      </x:c>
      <x:c r="V182" s="230"/>
      <x:c r="W182" s="230"/>
      <x:c r="X182" s="231"/>
    </x:row>
    <x:row r="183" spans="1:48">
      <x:c r="E183" s="273">
        <x:f>DataSheet!F134</x:f>
      </x:c>
      <x:c r="F183" s="274"/>
      <x:c r="G183" s="274"/>
      <x:c r="H183" s="275"/>
      <x:c r="I183" s="229">
        <x:f>CONCATENATE(DataSheet!L134," ",DataSheet!P134," / ",DataSheet!S134)</x:f>
      </x:c>
      <x:c r="J183" s="230"/>
      <x:c r="K183" s="230"/>
      <x:c r="L183" s="231"/>
      <x:c r="M183" s="229">
        <x:f>CONCATENATE(TEXT(DataSheet!AM134,"0.000")," ",DataSheet!P134)</x:f>
      </x:c>
      <x:c r="N183" s="230"/>
      <x:c r="O183" s="230"/>
      <x:c r="P183" s="231"/>
      <x:c r="Q183" s="229">
        <x:f>CONCATENATE(TEXT(DataSheet!AR134,"0.000")," ",DataSheet!P134)</x:f>
      </x:c>
      <x:c r="R183" s="230"/>
      <x:c r="S183" s="230"/>
      <x:c r="T183" s="231"/>
      <x:c r="U183" s="229">
        <x:f>CONCATENATE(" ",TEXT(DataSheet!DD134,"0.000")," ",DataSheet!CZ134)</x:f>
      </x:c>
      <x:c r="V183" s="230"/>
      <x:c r="W183" s="230"/>
      <x:c r="X183" s="231"/>
    </x:row>
    <x:row r="184" spans="1:48" ht="12.95" customHeight="1">
      <x:c r="E184" s="276"/>
      <x:c r="F184" s="277"/>
      <x:c r="G184" s="277"/>
      <x:c r="H184" s="278"/>
      <x:c r="I184" s="229">
        <x:f>CONCATENATE(DataSheet!L135," ",DataSheet!P135," / ",DataSheet!S135)</x:f>
      </x:c>
      <x:c r="J184" s="230"/>
      <x:c r="K184" s="230"/>
      <x:c r="L184" s="231"/>
      <x:c r="M184" s="229">
        <x:f>CONCATENATE(TEXT(DataSheet!AM135,"0.000")," ",DataSheet!P135)</x:f>
      </x:c>
      <x:c r="N184" s="230"/>
      <x:c r="O184" s="230"/>
      <x:c r="P184" s="231"/>
      <x:c r="Q184" s="229">
        <x:f>CONCATENATE(TEXT(DataSheet!AR135,"0.000")," ",DataSheet!P135)</x:f>
      </x:c>
      <x:c r="R184" s="230"/>
      <x:c r="S184" s="230"/>
      <x:c r="T184" s="231"/>
      <x:c r="U184" s="229">
        <x:f>CONCATENATE(" ",TEXT(DataSheet!DD135,"0.000")," ",DataSheet!CZ135)</x:f>
      </x:c>
      <x:c r="V184" s="230"/>
      <x:c r="W184" s="230"/>
      <x:c r="X184" s="231"/>
    </x:row>
    <x:row r="185" spans="1:48" ht="12.95" customHeight="1">
      <x:c r="E185" s="273">
        <x:f>DataSheet!F136</x:f>
      </x:c>
      <x:c r="F185" s="274"/>
      <x:c r="G185" s="274"/>
      <x:c r="H185" s="275"/>
      <x:c r="I185" s="229">
        <x:f>CONCATENATE(DataSheet!L136," ",DataSheet!P136," / ",DataSheet!S136)</x:f>
      </x:c>
      <x:c r="J185" s="230"/>
      <x:c r="K185" s="230"/>
      <x:c r="L185" s="231"/>
      <x:c r="M185" s="229">
        <x:f>CONCATENATE(TEXT(DataSheet!AM136,"0.00")," ",DataSheet!P136)</x:f>
      </x:c>
      <x:c r="N185" s="230"/>
      <x:c r="O185" s="230"/>
      <x:c r="P185" s="231"/>
      <x:c r="Q185" s="229">
        <x:f>CONCATENATE(TEXT(DataSheet!AR136,"0.00")," ",DataSheet!P136)</x:f>
      </x:c>
      <x:c r="R185" s="230"/>
      <x:c r="S185" s="230"/>
      <x:c r="T185" s="231"/>
      <x:c r="U185" s="229">
        <x:f>CONCATENATE(" ",TEXT(DataSheet!DD136,"0.000")," ",DataSheet!CZ136)</x:f>
      </x:c>
      <x:c r="V185" s="230"/>
      <x:c r="W185" s="230"/>
      <x:c r="X185" s="231"/>
    </x:row>
    <x:row r="186" spans="1:48" ht="12.95" customHeight="1">
      <x:c r="E186" s="276"/>
      <x:c r="F186" s="277"/>
      <x:c r="G186" s="277"/>
      <x:c r="H186" s="278"/>
      <x:c r="I186" s="229">
        <x:f>CONCATENATE(DataSheet!L137," ",DataSheet!P137," / ",DataSheet!S137)</x:f>
      </x:c>
      <x:c r="J186" s="230"/>
      <x:c r="K186" s="230"/>
      <x:c r="L186" s="231"/>
      <x:c r="M186" s="229">
        <x:f>CONCATENATE(TEXT(DataSheet!AM137,"0.00")," ",DataSheet!P137)</x:f>
      </x:c>
      <x:c r="N186" s="230"/>
      <x:c r="O186" s="230"/>
      <x:c r="P186" s="231"/>
      <x:c r="Q186" s="229">
        <x:f>CONCATENATE(TEXT(DataSheet!AR137,"0.00")," ",DataSheet!P137)</x:f>
      </x:c>
      <x:c r="R186" s="230"/>
      <x:c r="S186" s="230"/>
      <x:c r="T186" s="231"/>
      <x:c r="U186" s="229">
        <x:f>CONCATENATE(" ",TEXT(DataSheet!DD137,"0.000")," ",DataSheet!CZ137)</x:f>
      </x:c>
      <x:c r="V186" s="230"/>
      <x:c r="W186" s="230"/>
      <x:c r="X186" s="231"/>
    </x:row>
    <x:row r="187" spans="1:48" ht="12.95" customHeight="1"/>
    <x:row r="188" spans="1:48" ht="15" customHeight="1"/>
    <x:row r="189" spans="1:48" ht="15" customHeight="1"/>
    <x:row r="193" spans="1:48" ht="12.95" customHeight="1"/>
    <x:row r="194" spans="1:48" ht="12.95" customHeight="1"/>
    <x:row r="195" spans="1:48" ht="12.95" customHeight="1"/>
    <x:row r="196" spans="1:48" ht="15" customHeight="1"/>
    <x:row r="197" spans="1:48" ht="15" customHeight="1"/>
    <x:row r="198" spans="1:48" ht="15" customHeight="1"/>
    <x:row r="202" spans="1:48" ht="12.95" customHeight="1"/>
    <x:row r="203" spans="1:48" ht="12.95" customHeight="1"/>
    <x:row r="204" spans="1:48" ht="12.95" customHeight="1"/>
    <x:row r="205" spans="1:48" ht="15" customHeight="1"/>
    <x:row r="206" spans="1:48" ht="15" customHeight="1"/>
    <x:row r="211" spans="1:48" ht="12.95" customHeight="1"/>
    <x:row r="212" spans="1:48" ht="12.95" customHeight="1"/>
    <x:row r="213" spans="1:48" ht="15" customHeight="1">
      <x:c r="C213" s="227">
        <x:f>DataSheet!B140</x:f>
      </x:c>
      <x:c r="D213" s="227"/>
      <x:c r="E213" s="227"/>
      <x:c r="F213" s="227"/>
      <x:c r="G213" s="227"/>
      <x:c r="H213" s="227"/>
      <x:c r="I213" s="227"/>
      <x:c r="J213" s="227"/>
      <x:c r="K213" s="227"/>
      <x:c r="L213" s="227"/>
      <x:c r="M213" s="227"/>
      <x:c r="N213" s="227"/>
      <x:c r="O213" s="227"/>
      <x:c r="P213" s="227"/>
      <x:c r="Q213" s="227"/>
      <x:c r="R213" s="227"/>
      <x:c r="S213" s="227"/>
      <x:c r="T213" s="227"/>
      <x:c r="U213" s="227"/>
      <x:c r="V213" s="227"/>
      <x:c r="W213" s="227"/>
      <x:c r="X213" s="227"/>
      <x:c r="Y213" s="227"/>
      <x:c r="Z213" s="227"/>
    </x:row>
    <x:row r="214" spans="1:48" ht="15" customHeight="1">
      <x:c r="C214" s="219" t="s">
        <x:v>33</x:v>
      </x:c>
      <x:c r="D214" s="219"/>
      <x:c r="E214" s="219"/>
      <x:c r="F214" s="219"/>
      <x:c r="G214" s="219"/>
      <x:c r="H214" s="219"/>
      <x:c r="I214" s="219"/>
      <x:c r="J214" s="219"/>
      <x:c r="K214" s="219"/>
      <x:c r="L214" s="219"/>
      <x:c r="M214" s="219"/>
      <x:c r="N214" s="219"/>
      <x:c r="O214" s="219"/>
      <x:c r="P214" s="219"/>
      <x:c r="Q214" s="219"/>
      <x:c r="R214" s="219"/>
      <x:c r="S214" s="219"/>
      <x:c r="T214" s="219"/>
      <x:c r="U214" s="219"/>
      <x:c r="V214" s="219"/>
      <x:c r="W214" s="219"/>
      <x:c r="X214" s="219"/>
      <x:c r="Y214" s="219"/>
      <x:c r="Z214" s="219"/>
    </x:row>
    <x:row r="215" spans="1:48" ht="15" customHeight="1">
      <x:c r="C215" s="219"/>
      <x:c r="D215" s="219"/>
      <x:c r="E215" s="219"/>
      <x:c r="F215" s="219"/>
      <x:c r="G215" s="219"/>
      <x:c r="H215" s="219"/>
      <x:c r="I215" s="219"/>
      <x:c r="J215" s="219"/>
      <x:c r="K215" s="219"/>
      <x:c r="L215" s="219"/>
      <x:c r="M215" s="219"/>
      <x:c r="N215" s="219"/>
      <x:c r="O215" s="219"/>
      <x:c r="P215" s="219"/>
      <x:c r="Q215" s="219"/>
      <x:c r="R215" s="219"/>
      <x:c r="S215" s="219"/>
      <x:c r="T215" s="219"/>
      <x:c r="U215" s="219"/>
      <x:c r="V215" s="219"/>
      <x:c r="W215" s="219"/>
      <x:c r="X215" s="219"/>
      <x:c r="Y215" s="219"/>
      <x:c r="Z215" s="219"/>
    </x:row>
    <x:row r="216" spans="1:48" ht="15" customHeight="1">
      <x:c r="C216" s="20" t="s">
        <x:v>42</x:v>
      </x:c>
    </x:row>
    <x:row r="217" ht="15" customHeight="1"/>
    <x:row r="218" ht="15" customHeight="1"/>
    <x:row r="219" ht="15" customHeight="1"/>
    <x:row r="220" ht="15" customHeight="1"/>
    <x:row r="221" ht="15" customHeight="1"/>
    <x:row r="222" ht="12.95" customHeight="1"/>
    <x:row r="240" ht="15" customHeight="1"/>
    <x:row r="241" ht="15" customHeight="1"/>
    <x:row r="242" ht="15" customHeight="1"/>
  </x:sheetData>
  <x:mergeCells count="361">
    <x:mergeCell ref="C5:Z6"/>
    <x:mergeCell ref="R7:U7"/>
    <x:mergeCell ref="V7:Z7"/>
    <x:mergeCell ref="D11:M13"/>
    <x:mergeCell ref="P11:Y12"/>
    <x:mergeCell ref="H15:M15"/>
    <x:mergeCell ref="H16:M16"/>
    <x:mergeCell ref="T16:Z16"/>
    <x:mergeCell ref="H17:M17"/>
    <x:mergeCell ref="T17:Z17"/>
    <x:mergeCell ref="H18:M18"/>
    <x:mergeCell ref="T18:Z18"/>
    <x:mergeCell ref="H19:N19"/>
    <x:mergeCell ref="T19:Z19"/>
    <x:mergeCell ref="H20:M20"/>
    <x:mergeCell ref="T20:Z20"/>
    <x:mergeCell ref="C26:Z27"/>
    <x:mergeCell ref="C30:Z32"/>
    <x:mergeCell ref="C35:Z36"/>
    <x:mergeCell ref="D40:I41"/>
    <x:mergeCell ref="J40:O41"/>
    <x:mergeCell ref="P40:U41"/>
    <x:mergeCell ref="V40:Z41"/>
    <x:mergeCell ref="D42:I42"/>
    <x:mergeCell ref="J42:O42"/>
    <x:mergeCell ref="P42:U42"/>
    <x:mergeCell ref="V42:Z42"/>
    <x:mergeCell ref="C45:Z47"/>
    <x:mergeCell ref="O51:Q51"/>
    <x:mergeCell ref="E54:K54"/>
    <x:mergeCell ref="S54:W54"/>
    <x:mergeCell ref="E55:K55"/>
    <x:mergeCell ref="S55:W55"/>
    <x:mergeCell ref="G57:J57"/>
    <x:mergeCell ref="E68:H69"/>
    <x:mergeCell ref="I68:L69"/>
    <x:mergeCell ref="M68:P69"/>
    <x:mergeCell ref="Q68:T69"/>
    <x:mergeCell ref="U68:X69"/>
    <x:mergeCell ref="E70:H72"/>
    <x:mergeCell ref="I70:L70"/>
    <x:mergeCell ref="M70:P70"/>
    <x:mergeCell ref="Q70:T70"/>
    <x:mergeCell ref="U70:X70"/>
    <x:mergeCell ref="I71:L71"/>
    <x:mergeCell ref="M71:P71"/>
    <x:mergeCell ref="Q71:T71"/>
    <x:mergeCell ref="U71:X71"/>
    <x:mergeCell ref="I72:L72"/>
    <x:mergeCell ref="M72:P72"/>
    <x:mergeCell ref="Q72:T72"/>
    <x:mergeCell ref="U72:X72"/>
    <x:mergeCell ref="E73:H75"/>
    <x:mergeCell ref="I73:L73"/>
    <x:mergeCell ref="M73:P73"/>
    <x:mergeCell ref="Q73:T73"/>
    <x:mergeCell ref="U73:X73"/>
    <x:mergeCell ref="I74:L74"/>
    <x:mergeCell ref="M74:P74"/>
    <x:mergeCell ref="Q74:T74"/>
    <x:mergeCell ref="U74:X74"/>
    <x:mergeCell ref="I75:L75"/>
    <x:mergeCell ref="M75:P75"/>
    <x:mergeCell ref="Q75:T75"/>
    <x:mergeCell ref="U75:X75"/>
    <x:mergeCell ref="E76:H80"/>
    <x:mergeCell ref="I76:L76"/>
    <x:mergeCell ref="M76:P76"/>
    <x:mergeCell ref="Q76:T76"/>
    <x:mergeCell ref="U76:X76"/>
    <x:mergeCell ref="I77:L77"/>
    <x:mergeCell ref="M77:P77"/>
    <x:mergeCell ref="Q77:T77"/>
    <x:mergeCell ref="U77:X77"/>
    <x:mergeCell ref="I78:L78"/>
    <x:mergeCell ref="M78:P78"/>
    <x:mergeCell ref="Q78:T78"/>
    <x:mergeCell ref="U78:X78"/>
    <x:mergeCell ref="I79:L79"/>
    <x:mergeCell ref="M79:P79"/>
    <x:mergeCell ref="Q79:T79"/>
    <x:mergeCell ref="U79:X79"/>
    <x:mergeCell ref="I80:L80"/>
    <x:mergeCell ref="M80:P80"/>
    <x:mergeCell ref="Q80:T80"/>
    <x:mergeCell ref="U80:X80"/>
    <x:mergeCell ref="E81:H83"/>
    <x:mergeCell ref="I81:L81"/>
    <x:mergeCell ref="M81:P81"/>
    <x:mergeCell ref="Q81:T81"/>
    <x:mergeCell ref="U81:X81"/>
    <x:mergeCell ref="I82:L82"/>
    <x:mergeCell ref="M82:P82"/>
    <x:mergeCell ref="Q82:T82"/>
    <x:mergeCell ref="U82:X82"/>
    <x:mergeCell ref="I83:L83"/>
    <x:mergeCell ref="M83:P83"/>
    <x:mergeCell ref="Q83:T83"/>
    <x:mergeCell ref="U83:X83"/>
    <x:mergeCell ref="E84:H86"/>
    <x:mergeCell ref="I84:L84"/>
    <x:mergeCell ref="M84:P84"/>
    <x:mergeCell ref="Q84:T84"/>
    <x:mergeCell ref="U84:X84"/>
    <x:mergeCell ref="I85:L85"/>
    <x:mergeCell ref="M85:P85"/>
    <x:mergeCell ref="Q85:T85"/>
    <x:mergeCell ref="U85:X85"/>
    <x:mergeCell ref="I86:L86"/>
    <x:mergeCell ref="M86:P86"/>
    <x:mergeCell ref="Q86:T86"/>
    <x:mergeCell ref="U86:X86"/>
    <x:mergeCell ref="E89:H90"/>
    <x:mergeCell ref="I89:L90"/>
    <x:mergeCell ref="M89:P90"/>
    <x:mergeCell ref="Q89:T90"/>
    <x:mergeCell ref="U89:X90"/>
    <x:mergeCell ref="E91:H92"/>
    <x:mergeCell ref="I91:L91"/>
    <x:mergeCell ref="M91:P91"/>
    <x:mergeCell ref="Q91:T91"/>
    <x:mergeCell ref="U91:X91"/>
    <x:mergeCell ref="I92:L92"/>
    <x:mergeCell ref="M92:P92"/>
    <x:mergeCell ref="Q92:T92"/>
    <x:mergeCell ref="U92:X92"/>
    <x:mergeCell ref="E93:H93"/>
    <x:mergeCell ref="I93:L93"/>
    <x:mergeCell ref="M93:P93"/>
    <x:mergeCell ref="Q93:T93"/>
    <x:mergeCell ref="U93:X93"/>
    <x:mergeCell ref="E94:H94"/>
    <x:mergeCell ref="I94:L94"/>
    <x:mergeCell ref="M94:P94"/>
    <x:mergeCell ref="Q94:T94"/>
    <x:mergeCell ref="U94:X94"/>
    <x:mergeCell ref="E95:H95"/>
    <x:mergeCell ref="I95:L95"/>
    <x:mergeCell ref="M95:P95"/>
    <x:mergeCell ref="Q95:T95"/>
    <x:mergeCell ref="U95:X95"/>
    <x:mergeCell ref="E96:H96"/>
    <x:mergeCell ref="I96:L96"/>
    <x:mergeCell ref="M96:P96"/>
    <x:mergeCell ref="Q96:T96"/>
    <x:mergeCell ref="U96:X96"/>
    <x:mergeCell ref="E97:H97"/>
    <x:mergeCell ref="I97:L97"/>
    <x:mergeCell ref="M97:P97"/>
    <x:mergeCell ref="Q97:T97"/>
    <x:mergeCell ref="U97:X97"/>
    <x:mergeCell ref="C106:Z106"/>
    <x:mergeCell ref="C107:Z107"/>
    <x:mergeCell ref="E120:H121"/>
    <x:mergeCell ref="I120:L121"/>
    <x:mergeCell ref="M120:P121"/>
    <x:mergeCell ref="Q120:T121"/>
    <x:mergeCell ref="U120:X121"/>
    <x:mergeCell ref="E122:H125"/>
    <x:mergeCell ref="I122:L122"/>
    <x:mergeCell ref="M122:P122"/>
    <x:mergeCell ref="Q122:T122"/>
    <x:mergeCell ref="U122:X122"/>
    <x:mergeCell ref="I123:L123"/>
    <x:mergeCell ref="M123:P123"/>
    <x:mergeCell ref="Q123:T123"/>
    <x:mergeCell ref="U123:X123"/>
    <x:mergeCell ref="I124:L124"/>
    <x:mergeCell ref="M124:P124"/>
    <x:mergeCell ref="Q124:T124"/>
    <x:mergeCell ref="U124:X124"/>
    <x:mergeCell ref="I125:L125"/>
    <x:mergeCell ref="M125:P125"/>
    <x:mergeCell ref="Q125:T125"/>
    <x:mergeCell ref="U125:X125"/>
    <x:mergeCell ref="E126:H129"/>
    <x:mergeCell ref="I126:L126"/>
    <x:mergeCell ref="M126:P126"/>
    <x:mergeCell ref="Q126:T126"/>
    <x:mergeCell ref="U126:X126"/>
    <x:mergeCell ref="I127:L127"/>
    <x:mergeCell ref="M127:P127"/>
    <x:mergeCell ref="Q127:T127"/>
    <x:mergeCell ref="U127:X127"/>
    <x:mergeCell ref="I128:L128"/>
    <x:mergeCell ref="M128:P128"/>
    <x:mergeCell ref="Q128:T128"/>
    <x:mergeCell ref="U128:X128"/>
    <x:mergeCell ref="I129:L129"/>
    <x:mergeCell ref="M129:P129"/>
    <x:mergeCell ref="Q129:T129"/>
    <x:mergeCell ref="U129:X129"/>
    <x:mergeCell ref="E130:H135"/>
    <x:mergeCell ref="I130:L130"/>
    <x:mergeCell ref="M130:P130"/>
    <x:mergeCell ref="Q130:T130"/>
    <x:mergeCell ref="U130:X130"/>
    <x:mergeCell ref="I131:L131"/>
    <x:mergeCell ref="M131:P131"/>
    <x:mergeCell ref="Q131:T131"/>
    <x:mergeCell ref="U131:X131"/>
    <x:mergeCell ref="I132:L132"/>
    <x:mergeCell ref="M132:P132"/>
    <x:mergeCell ref="Q132:T132"/>
    <x:mergeCell ref="U132:X132"/>
    <x:mergeCell ref="I133:L133"/>
    <x:mergeCell ref="M133:P133"/>
    <x:mergeCell ref="Q133:T133"/>
    <x:mergeCell ref="U133:X133"/>
    <x:mergeCell ref="I134:L134"/>
    <x:mergeCell ref="M134:P134"/>
    <x:mergeCell ref="Q134:T134"/>
    <x:mergeCell ref="U134:X134"/>
    <x:mergeCell ref="I135:L135"/>
    <x:mergeCell ref="M135:P135"/>
    <x:mergeCell ref="Q135:T135"/>
    <x:mergeCell ref="U135:X135"/>
    <x:mergeCell ref="E136:H139"/>
    <x:mergeCell ref="I136:L136"/>
    <x:mergeCell ref="M136:P136"/>
    <x:mergeCell ref="Q136:T136"/>
    <x:mergeCell ref="U136:X136"/>
    <x:mergeCell ref="I137:L137"/>
    <x:mergeCell ref="M137:P137"/>
    <x:mergeCell ref="Q137:T137"/>
    <x:mergeCell ref="U137:X137"/>
    <x:mergeCell ref="I138:L138"/>
    <x:mergeCell ref="M138:P138"/>
    <x:mergeCell ref="Q138:T138"/>
    <x:mergeCell ref="U138:X138"/>
    <x:mergeCell ref="I139:L139"/>
    <x:mergeCell ref="M139:P139"/>
    <x:mergeCell ref="Q139:T139"/>
    <x:mergeCell ref="U139:X139"/>
    <x:mergeCell ref="E140:H143"/>
    <x:mergeCell ref="I140:L140"/>
    <x:mergeCell ref="M140:P140"/>
    <x:mergeCell ref="Q140:T140"/>
    <x:mergeCell ref="U140:X140"/>
    <x:mergeCell ref="I141:L141"/>
    <x:mergeCell ref="M141:P141"/>
    <x:mergeCell ref="Q141:T141"/>
    <x:mergeCell ref="U141:X141"/>
    <x:mergeCell ref="I142:L142"/>
    <x:mergeCell ref="M142:P142"/>
    <x:mergeCell ref="Q142:T142"/>
    <x:mergeCell ref="U142:X142"/>
    <x:mergeCell ref="I143:L143"/>
    <x:mergeCell ref="M143:P143"/>
    <x:mergeCell ref="Q143:T143"/>
    <x:mergeCell ref="U143:X143"/>
    <x:mergeCell ref="E146:H147"/>
    <x:mergeCell ref="I146:L147"/>
    <x:mergeCell ref="M146:P147"/>
    <x:mergeCell ref="Q146:T147"/>
    <x:mergeCell ref="U146:X147"/>
    <x:mergeCell ref="E148:H148"/>
    <x:mergeCell ref="I148:L148"/>
    <x:mergeCell ref="M148:P148"/>
    <x:mergeCell ref="Q148:T148"/>
    <x:mergeCell ref="U148:X148"/>
    <x:mergeCell ref="E149:H149"/>
    <x:mergeCell ref="I149:L149"/>
    <x:mergeCell ref="M149:P149"/>
    <x:mergeCell ref="Q149:T149"/>
    <x:mergeCell ref="U149:X149"/>
    <x:mergeCell ref="E150:H151"/>
    <x:mergeCell ref="I150:L150"/>
    <x:mergeCell ref="M150:P150"/>
    <x:mergeCell ref="Q150:T150"/>
    <x:mergeCell ref="U150:X150"/>
    <x:mergeCell ref="I151:L151"/>
    <x:mergeCell ref="M151:P151"/>
    <x:mergeCell ref="Q151:T151"/>
    <x:mergeCell ref="U151:X151"/>
    <x:mergeCell ref="E152:H152"/>
    <x:mergeCell ref="I152:L152"/>
    <x:mergeCell ref="M152:P152"/>
    <x:mergeCell ref="Q152:T152"/>
    <x:mergeCell ref="U152:X152"/>
    <x:mergeCell ref="E153:H154"/>
    <x:mergeCell ref="I153:L153"/>
    <x:mergeCell ref="M153:P153"/>
    <x:mergeCell ref="Q153:T153"/>
    <x:mergeCell ref="U153:X153"/>
    <x:mergeCell ref="I154:L154"/>
    <x:mergeCell ref="M154:P154"/>
    <x:mergeCell ref="Q154:T154"/>
    <x:mergeCell ref="U154:X154"/>
    <x:mergeCell ref="E155:H156"/>
    <x:mergeCell ref="I155:L155"/>
    <x:mergeCell ref="M155:P155"/>
    <x:mergeCell ref="Q155:T155"/>
    <x:mergeCell ref="U155:X155"/>
    <x:mergeCell ref="I156:L156"/>
    <x:mergeCell ref="M156:P156"/>
    <x:mergeCell ref="Q156:T156"/>
    <x:mergeCell ref="U156:X156"/>
    <x:mergeCell ref="C159:Z159"/>
    <x:mergeCell ref="C160:Z160"/>
    <x:mergeCell ref="E173:H174"/>
    <x:mergeCell ref="I173:L174"/>
    <x:mergeCell ref="M173:P174"/>
    <x:mergeCell ref="Q173:T174"/>
    <x:mergeCell ref="U173:X174"/>
    <x:mergeCell ref="E175:H176"/>
    <x:mergeCell ref="I175:L175"/>
    <x:mergeCell ref="M175:P175"/>
    <x:mergeCell ref="Q175:T175"/>
    <x:mergeCell ref="U175:X175"/>
    <x:mergeCell ref="I176:L176"/>
    <x:mergeCell ref="M176:P176"/>
    <x:mergeCell ref="Q176:T176"/>
    <x:mergeCell ref="U176:X176"/>
    <x:mergeCell ref="E177:H178"/>
    <x:mergeCell ref="I177:L177"/>
    <x:mergeCell ref="M177:P177"/>
    <x:mergeCell ref="Q177:T177"/>
    <x:mergeCell ref="U177:X177"/>
    <x:mergeCell ref="I178:L178"/>
    <x:mergeCell ref="M178:P178"/>
    <x:mergeCell ref="Q178:T178"/>
    <x:mergeCell ref="U178:X178"/>
    <x:mergeCell ref="E179:H180"/>
    <x:mergeCell ref="I179:L179"/>
    <x:mergeCell ref="M179:P179"/>
    <x:mergeCell ref="Q179:T179"/>
    <x:mergeCell ref="U179:X179"/>
    <x:mergeCell ref="I180:L180"/>
    <x:mergeCell ref="M180:P180"/>
    <x:mergeCell ref="Q180:T180"/>
    <x:mergeCell ref="U180:X180"/>
    <x:mergeCell ref="E181:H182"/>
    <x:mergeCell ref="I181:L181"/>
    <x:mergeCell ref="M181:P181"/>
    <x:mergeCell ref="Q181:T181"/>
    <x:mergeCell ref="U181:X181"/>
    <x:mergeCell ref="I182:L182"/>
    <x:mergeCell ref="M182:P182"/>
    <x:mergeCell ref="Q182:T182"/>
    <x:mergeCell ref="U182:X182"/>
    <x:mergeCell ref="E183:H184"/>
    <x:mergeCell ref="I183:L183"/>
    <x:mergeCell ref="M183:P183"/>
    <x:mergeCell ref="Q183:T183"/>
    <x:mergeCell ref="U183:X183"/>
    <x:mergeCell ref="I184:L184"/>
    <x:mergeCell ref="M184:P184"/>
    <x:mergeCell ref="Q184:T184"/>
    <x:mergeCell ref="U184:X184"/>
    <x:mergeCell ref="E185:H186"/>
    <x:mergeCell ref="I185:L185"/>
    <x:mergeCell ref="M185:P185"/>
    <x:mergeCell ref="Q185:T185"/>
    <x:mergeCell ref="U185:X185"/>
    <x:mergeCell ref="I186:L186"/>
    <x:mergeCell ref="M186:P186"/>
    <x:mergeCell ref="Q186:T186"/>
    <x:mergeCell ref="U186:X186"/>
    <x:mergeCell ref="C213:Z213"/>
    <x:mergeCell ref="C214:Z214"/>
  </x:mergeCells>
  <x:printOptions horizontalCentered="1" verticalCentered="0" headings="0" gridLines="0"/>
  <x:pageMargins left="0" right="0" top="0.2" bottom="0" header="0.2" footer="0.55"/>
  <x:pageSetup paperSize="10000" scale="93" pageOrder="downThenOver" orientation="portrait" blackAndWhite="0" draft="0" cellComments="none" errors="displayed" r:id="rId1"/>
  <x:headerFooter differentOddEven="0" differentFirst="0" scaleWithDoc="1" alignWithMargins="0">
    <x:oddHeader/>
    <x:oddFooter>&amp;R&amp;"Arial Narrow,Regular"&amp;10Page &amp;P of &amp;N
7F-08-01 Rev. 01
&amp;9Effectivity Date: August 01, 2019</x:oddFooter>
    <x:evenHeader/>
    <x:evenFooter/>
    <x:firstHeader/>
    <x:firstFooter/>
  </x:headerFooter>
  <x:rowBreaks count="2" manualBreakCount="2">
    <x:brk id="63" min="1" max="26" man="1"/>
    <x:brk id="115" min="1" max="26" man="1"/>
  </x:rowBreaks>
  <x:drawing r:id="rId2"/>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2:DE187"/>
  <x:sheetViews>
    <x:sheetView tabSelected="1" topLeftCell="A2" zoomScale="145" zoomScaleNormal="145" workbookViewId="0">
      <x:selection activeCell="AO34" sqref="AO34 AO34:AZ34"/>
    </x:sheetView>
  </x:sheetViews>
  <x:sheetFormatPr defaultColWidth="9.140625" defaultRowHeight="0" customHeight="1" zeroHeight="1"/>
  <x:cols>
    <x:col min="1" max="1" width="10.140625" style="490" customWidth="1"/>
    <x:col min="2" max="52" width="2" style="127" customWidth="1"/>
    <x:col min="53" max="74" width="2" style="490" customWidth="1"/>
    <x:col min="75" max="75" width="2" style="127" customWidth="1"/>
    <x:col min="76" max="80" width="10.710938" style="127" customWidth="1"/>
    <x:col min="81" max="81" width="2" style="127" customWidth="1"/>
    <x:col min="82" max="86" width="10.710938" style="127" customWidth="1"/>
    <x:col min="87" max="87" width="2" style="127" customWidth="1"/>
    <x:col min="88" max="92" width="10.710938" style="127" customWidth="1"/>
    <x:col min="93" max="93" width="2" style="127" customWidth="1"/>
    <x:col min="94" max="98" width="10.710938" style="127" customWidth="1"/>
    <x:col min="99" max="99" width="2" style="127" customWidth="1"/>
    <x:col min="100" max="102" width="20.710938" style="127" customWidth="1"/>
    <x:col min="103" max="103" width="15.710938" style="127" customWidth="1"/>
    <x:col min="104" max="104" width="5.710938" style="127" customWidth="1"/>
    <x:col min="105" max="105" width="2" style="127" customWidth="1"/>
    <x:col min="106" max="109" width="10.710938" style="127" customWidth="1"/>
    <x:col min="110" max="16384" width="9.140625" style="127" customWidth="1"/>
  </x:cols>
  <x:sheetData>
    <x:row r="2" spans="1:109" ht="15" customHeight="1">
      <x:c r="B2" s="491"/>
      <x:c r="C2" s="492"/>
      <x:c r="D2" s="492"/>
      <x:c r="E2" s="492"/>
      <x:c r="F2" s="492"/>
      <x:c r="G2" s="492"/>
      <x:c r="H2" s="492"/>
      <x:c r="I2" s="492"/>
      <x:c r="J2" s="492"/>
      <x:c r="K2" s="492"/>
      <x:c r="L2" s="492"/>
      <x:c r="M2" s="492"/>
      <x:c r="N2" s="492"/>
      <x:c r="O2" s="492"/>
      <x:c r="P2" s="492"/>
      <x:c r="Q2" s="492"/>
      <x:c r="R2" s="492"/>
      <x:c r="S2" s="492"/>
      <x:c r="T2" s="492"/>
      <x:c r="U2" s="492"/>
      <x:c r="V2" s="492"/>
      <x:c r="W2" s="492"/>
      <x:c r="X2" s="492"/>
      <x:c r="Y2" s="492"/>
      <x:c r="Z2" s="492"/>
      <x:c r="AA2" s="492"/>
      <x:c r="AB2" s="492"/>
      <x:c r="AC2" s="492"/>
      <x:c r="AD2" s="492"/>
      <x:c r="AE2" s="492"/>
      <x:c r="AF2" s="492"/>
      <x:c r="AG2" s="492"/>
      <x:c r="AH2" s="492"/>
      <x:c r="AI2" s="492"/>
      <x:c r="AJ2" s="492"/>
      <x:c r="AK2" s="492"/>
      <x:c r="AL2" s="492"/>
      <x:c r="AM2" s="492"/>
      <x:c r="AN2" s="492"/>
      <x:c r="AO2" s="492"/>
      <x:c r="AP2" s="492"/>
      <x:c r="AQ2" s="492"/>
      <x:c r="AR2" s="492"/>
      <x:c r="AS2" s="492"/>
      <x:c r="AT2" s="492"/>
      <x:c r="AU2" s="492"/>
      <x:c r="AV2" s="492"/>
      <x:c r="AW2" s="492"/>
      <x:c r="AX2" s="492"/>
      <x:c r="AY2" s="492"/>
      <x:c r="AZ2" s="493"/>
    </x:row>
    <x:row r="3" spans="1:109" ht="15" customHeight="1">
      <x:c r="B3" s="494"/>
      <x:c r="C3" s="495"/>
      <x:c r="D3" s="495"/>
      <x:c r="E3" s="495"/>
      <x:c r="F3" s="495"/>
      <x:c r="G3" s="495"/>
      <x:c r="H3" s="495"/>
      <x:c r="I3" s="495"/>
      <x:c r="J3" s="495"/>
      <x:c r="K3" s="495"/>
      <x:c r="L3" s="495"/>
      <x:c r="M3" s="495"/>
      <x:c r="N3" s="495"/>
      <x:c r="O3" s="495"/>
      <x:c r="P3" s="495"/>
      <x:c r="Q3" s="495"/>
      <x:c r="R3" s="495"/>
      <x:c r="S3" s="495"/>
      <x:c r="T3" s="495"/>
      <x:c r="U3" s="495"/>
      <x:c r="V3" s="495"/>
      <x:c r="W3" s="495"/>
      <x:c r="X3" s="495"/>
      <x:c r="Y3" s="495"/>
      <x:c r="Z3" s="495"/>
      <x:c r="AA3" s="495"/>
      <x:c r="AB3" s="495"/>
      <x:c r="AC3" s="495"/>
      <x:c r="AD3" s="495"/>
      <x:c r="AE3" s="495"/>
      <x:c r="AF3" s="495"/>
      <x:c r="AG3" s="495"/>
      <x:c r="AH3" s="495"/>
      <x:c r="AI3" s="495"/>
      <x:c r="AJ3" s="495"/>
      <x:c r="AK3" s="495"/>
      <x:c r="AL3" s="495"/>
      <x:c r="AM3" s="495"/>
      <x:c r="AN3" s="495"/>
      <x:c r="AO3" s="495"/>
      <x:c r="AP3" s="495"/>
      <x:c r="AQ3" s="495"/>
      <x:c r="AR3" s="495"/>
      <x:c r="AS3" s="495"/>
      <x:c r="AT3" s="495"/>
      <x:c r="AU3" s="495"/>
      <x:c r="AV3" s="495"/>
      <x:c r="AW3" s="495"/>
      <x:c r="AX3" s="495"/>
      <x:c r="AY3" s="495"/>
      <x:c r="AZ3" s="496"/>
    </x:row>
    <x:row r="4" spans="1:109" ht="15" customHeight="1">
      <x:c r="B4" s="494"/>
      <x:c r="C4" s="495"/>
      <x:c r="D4" s="495"/>
      <x:c r="E4" s="495"/>
      <x:c r="F4" s="495"/>
      <x:c r="G4" s="495"/>
      <x:c r="H4" s="495"/>
      <x:c r="I4" s="495"/>
      <x:c r="J4" s="495"/>
      <x:c r="K4" s="495"/>
      <x:c r="L4" s="495"/>
      <x:c r="M4" s="495"/>
      <x:c r="N4" s="495"/>
      <x:c r="O4" s="495"/>
      <x:c r="P4" s="495"/>
      <x:c r="Q4" s="495"/>
      <x:c r="R4" s="495"/>
      <x:c r="S4" s="495"/>
      <x:c r="T4" s="495"/>
      <x:c r="U4" s="495"/>
      <x:c r="V4" s="495"/>
      <x:c r="W4" s="495"/>
      <x:c r="X4" s="495"/>
      <x:c r="Y4" s="495"/>
      <x:c r="Z4" s="497"/>
      <x:c r="AA4" s="497"/>
      <x:c r="AB4" s="497"/>
      <x:c r="AC4" s="497"/>
      <x:c r="AD4" s="497"/>
      <x:c r="AE4" s="497"/>
      <x:c r="AF4" s="497"/>
      <x:c r="AG4" s="495"/>
      <x:c r="AH4" s="495"/>
      <x:c r="AI4" s="495"/>
      <x:c r="AJ4" s="495"/>
      <x:c r="AK4" s="495"/>
      <x:c r="AL4" s="495"/>
      <x:c r="AM4" s="495"/>
      <x:c r="AN4" s="495"/>
      <x:c r="AO4" s="495"/>
      <x:c r="AP4" s="495"/>
      <x:c r="AQ4" s="495"/>
      <x:c r="AR4" s="495"/>
      <x:c r="AS4" s="495"/>
      <x:c r="AT4" s="495"/>
      <x:c r="AU4" s="495"/>
      <x:c r="AV4" s="495"/>
      <x:c r="AW4" s="495"/>
      <x:c r="AX4" s="495"/>
      <x:c r="AY4" s="495"/>
      <x:c r="AZ4" s="496"/>
    </x:row>
    <x:row r="5" spans="1:109" ht="18.75" customHeight="1">
      <x:c r="B5" s="498" t="s">
        <x:v>43</x:v>
      </x:c>
      <x:c r="C5" s="495"/>
      <x:c r="D5" s="495"/>
      <x:c r="E5" s="495"/>
      <x:c r="F5" s="495"/>
      <x:c r="G5" s="495"/>
      <x:c r="H5" s="495"/>
      <x:c r="I5" s="495"/>
      <x:c r="J5" s="495"/>
      <x:c r="K5" s="495"/>
      <x:c r="L5" s="495"/>
      <x:c r="M5" s="495"/>
      <x:c r="N5" s="495"/>
      <x:c r="O5" s="495"/>
      <x:c r="P5" s="495"/>
      <x:c r="Q5" s="495"/>
      <x:c r="R5" s="495"/>
      <x:c r="S5" s="495"/>
      <x:c r="T5" s="495"/>
      <x:c r="U5" s="495"/>
      <x:c r="V5" s="495"/>
      <x:c r="W5" s="495"/>
      <x:c r="X5" s="495"/>
      <x:c r="Y5" s="495"/>
      <x:c r="Z5" s="495"/>
      <x:c r="AA5" s="495"/>
      <x:c r="AB5" s="495"/>
      <x:c r="AC5" s="495"/>
      <x:c r="AD5" s="495"/>
      <x:c r="AE5" s="495"/>
      <x:c r="AF5" s="495"/>
      <x:c r="AG5" s="495"/>
      <x:c r="AH5" s="495"/>
      <x:c r="AI5" s="495"/>
      <x:c r="AJ5" s="495"/>
      <x:c r="AK5" s="495"/>
      <x:c r="AL5" s="495"/>
      <x:c r="AM5" s="495"/>
      <x:c r="AN5" s="495"/>
      <x:c r="AO5" s="495"/>
      <x:c r="AP5" s="495"/>
      <x:c r="AQ5" s="495"/>
      <x:c r="AR5" s="495"/>
      <x:c r="AS5" s="495"/>
      <x:c r="AT5" s="495"/>
      <x:c r="AU5" s="495"/>
      <x:c r="AV5" s="495"/>
      <x:c r="AW5" s="495"/>
      <x:c r="AX5" s="495"/>
      <x:c r="AY5" s="495"/>
      <x:c r="AZ5" s="496"/>
    </x:row>
    <x:row r="6" spans="1:109" ht="6" customHeight="1">
      <x:c r="B6" s="499"/>
      <x:c r="C6" s="500"/>
      <x:c r="D6" s="500"/>
      <x:c r="E6" s="500"/>
      <x:c r="F6" s="500" t="s">
        <x:v>44</x:v>
      </x:c>
      <x:c r="G6" s="500"/>
      <x:c r="H6" s="500"/>
      <x:c r="I6" s="500"/>
      <x:c r="J6" s="500"/>
      <x:c r="K6" s="500"/>
      <x:c r="L6" s="500"/>
      <x:c r="M6" s="500"/>
      <x:c r="N6" s="500"/>
      <x:c r="O6" s="500"/>
      <x:c r="P6" s="500"/>
      <x:c r="Q6" s="500"/>
      <x:c r="R6" s="500"/>
      <x:c r="S6" s="500"/>
      <x:c r="T6" s="500"/>
      <x:c r="U6" s="500"/>
      <x:c r="V6" s="500"/>
      <x:c r="W6" s="500"/>
      <x:c r="X6" s="500"/>
      <x:c r="Y6" s="500"/>
      <x:c r="Z6" s="500"/>
      <x:c r="AA6" s="500"/>
      <x:c r="AB6" s="500"/>
      <x:c r="AC6" s="500"/>
      <x:c r="AD6" s="500"/>
      <x:c r="AE6" s="500"/>
      <x:c r="AF6" s="500"/>
      <x:c r="AG6" s="500"/>
      <x:c r="AH6" s="500"/>
      <x:c r="AI6" s="500"/>
      <x:c r="AJ6" s="500"/>
      <x:c r="AK6" s="500"/>
      <x:c r="AL6" s="500"/>
      <x:c r="AM6" s="500"/>
      <x:c r="AN6" s="500"/>
      <x:c r="AO6" s="500"/>
      <x:c r="AP6" s="500"/>
      <x:c r="AQ6" s="500"/>
      <x:c r="AR6" s="500"/>
      <x:c r="AS6" s="500"/>
      <x:c r="AT6" s="500"/>
      <x:c r="AU6" s="500"/>
      <x:c r="AV6" s="500"/>
      <x:c r="AW6" s="500"/>
      <x:c r="AX6" s="500"/>
      <x:c r="AY6" s="500"/>
      <x:c r="AZ6" s="501"/>
    </x:row>
    <x:row r="7" spans="1:109" ht="17.25" customHeight="1" s="143" customFormat="1">
      <x:c r="A7" s="502"/>
      <x:c r="B7" s="503"/>
      <x:c r="C7" s="504"/>
      <x:c r="D7" s="504"/>
      <x:c r="E7" s="504"/>
      <x:c r="F7" s="505" t="s">
        <x:v>11</x:v>
      </x:c>
      <x:c r="G7" s="505"/>
      <x:c r="H7" s="505"/>
      <x:c r="I7" s="505"/>
      <x:c r="J7" s="505"/>
      <x:c r="K7" s="505"/>
      <x:c r="L7" s="506" t="s">
        <x:v>162</x:v>
      </x:c>
      <x:c r="M7" s="506"/>
      <x:c r="N7" s="506"/>
      <x:c r="O7" s="507"/>
      <x:c r="P7" s="507"/>
      <x:c r="Q7" s="504"/>
      <x:c r="R7" s="504"/>
      <x:c r="S7" s="504"/>
      <x:c r="T7" s="504"/>
      <x:c r="U7" s="504"/>
      <x:c r="V7" s="504"/>
      <x:c r="W7" s="504"/>
      <x:c r="X7" s="504"/>
      <x:c r="Y7" s="504"/>
      <x:c r="Z7" s="504"/>
      <x:c r="AA7" s="504"/>
      <x:c r="AB7" s="504"/>
      <x:c r="AC7" s="504"/>
      <x:c r="AD7" s="504"/>
      <x:c r="AE7" s="504"/>
      <x:c r="AF7" s="504"/>
      <x:c r="AG7" s="504"/>
      <x:c r="AH7" s="504"/>
      <x:c r="AI7" s="505" t="s">
        <x:v>45</x:v>
      </x:c>
      <x:c r="AJ7" s="505"/>
      <x:c r="AK7" s="505"/>
      <x:c r="AL7" s="505"/>
      <x:c r="AM7" s="505"/>
      <x:c r="AN7" s="508" t="s">
        <x:v>163</x:v>
      </x:c>
      <x:c r="AO7" s="508"/>
      <x:c r="AP7" s="508"/>
      <x:c r="AQ7" s="507"/>
      <x:c r="AR7" s="504"/>
      <x:c r="AS7" s="504"/>
      <x:c r="AT7" s="504"/>
      <x:c r="AU7" s="504"/>
      <x:c r="AV7" s="504"/>
      <x:c r="AW7" s="504"/>
      <x:c r="AX7" s="504"/>
      <x:c r="AY7" s="504"/>
      <x:c r="AZ7" s="509"/>
      <x:c r="BA7" s="510"/>
      <x:c r="BB7" s="510"/>
      <x:c r="BC7" s="510"/>
      <x:c r="BD7" s="510"/>
      <x:c r="BE7" s="510"/>
      <x:c r="BF7" s="510"/>
      <x:c r="BG7" s="502"/>
      <x:c r="BH7" s="502"/>
      <x:c r="BI7" s="502"/>
      <x:c r="BJ7" s="502"/>
      <x:c r="BK7" s="502"/>
      <x:c r="BL7" s="502"/>
      <x:c r="BM7" s="502"/>
      <x:c r="BN7" s="502"/>
      <x:c r="BO7" s="502"/>
      <x:c r="BP7" s="502"/>
      <x:c r="BQ7" s="502"/>
      <x:c r="BR7" s="502"/>
      <x:c r="BS7" s="502"/>
      <x:c r="BT7" s="502"/>
      <x:c r="BU7" s="502"/>
      <x:c r="BV7" s="502"/>
    </x:row>
    <x:row r="8" spans="1:109" ht="15" customHeight="1" s="143" customFormat="1">
      <x:c r="A8" s="502"/>
      <x:c r="B8" s="511" t="s">
        <x:v>46</x:v>
      </x:c>
      <x:c r="C8" s="512"/>
      <x:c r="D8" s="512"/>
      <x:c r="E8" s="512"/>
      <x:c r="F8" s="512"/>
      <x:c r="G8" s="512"/>
      <x:c r="H8" s="512"/>
      <x:c r="I8" s="512"/>
      <x:c r="J8" s="512"/>
      <x:c r="K8" s="512"/>
      <x:c r="L8" s="512"/>
      <x:c r="M8" s="512"/>
      <x:c r="N8" s="512"/>
      <x:c r="O8" s="512"/>
      <x:c r="P8" s="512"/>
      <x:c r="Q8" s="512"/>
      <x:c r="R8" s="512"/>
      <x:c r="S8" s="512"/>
      <x:c r="T8" s="512"/>
      <x:c r="U8" s="512"/>
      <x:c r="V8" s="512"/>
      <x:c r="W8" s="512"/>
      <x:c r="X8" s="512"/>
      <x:c r="Y8" s="512"/>
      <x:c r="Z8" s="512"/>
      <x:c r="AA8" s="512"/>
      <x:c r="AB8" s="512"/>
      <x:c r="AC8" s="512"/>
      <x:c r="AD8" s="512"/>
      <x:c r="AE8" s="512"/>
      <x:c r="AF8" s="512"/>
      <x:c r="AG8" s="512"/>
      <x:c r="AH8" s="512"/>
      <x:c r="AI8" s="512"/>
      <x:c r="AJ8" s="512"/>
      <x:c r="AK8" s="512"/>
      <x:c r="AL8" s="512"/>
      <x:c r="AM8" s="512"/>
      <x:c r="AN8" s="512"/>
      <x:c r="AO8" s="512"/>
      <x:c r="AP8" s="512"/>
      <x:c r="AQ8" s="512"/>
      <x:c r="AR8" s="512"/>
      <x:c r="AS8" s="512"/>
      <x:c r="AT8" s="512"/>
      <x:c r="AU8" s="512"/>
      <x:c r="AV8" s="512"/>
      <x:c r="AW8" s="512"/>
      <x:c r="AX8" s="512"/>
      <x:c r="AY8" s="512"/>
      <x:c r="AZ8" s="513"/>
      <x:c r="BA8" s="502"/>
      <x:c r="BB8" s="502"/>
      <x:c r="BC8" s="502"/>
      <x:c r="BD8" s="502"/>
      <x:c r="BE8" s="502"/>
      <x:c r="BF8" s="502"/>
      <x:c r="BG8" s="502"/>
      <x:c r="BH8" s="502"/>
      <x:c r="BI8" s="502"/>
      <x:c r="BJ8" s="502"/>
      <x:c r="BK8" s="502"/>
      <x:c r="BL8" s="502"/>
      <x:c r="BM8" s="502"/>
      <x:c r="BN8" s="502"/>
      <x:c r="BO8" s="502"/>
      <x:c r="BP8" s="502"/>
      <x:c r="BQ8" s="502"/>
      <x:c r="BR8" s="502"/>
      <x:c r="BS8" s="502"/>
      <x:c r="BT8" s="502"/>
      <x:c r="BU8" s="502"/>
      <x:c r="BV8" s="502"/>
    </x:row>
    <x:row r="9" spans="1:109" ht="8.1" customHeight="1" s="143" customFormat="1">
      <x:c r="A9" s="502"/>
      <x:c r="B9" s="514" t="s">
        <x:v>23</x:v>
      </x:c>
      <x:c r="C9" s="515"/>
      <x:c r="D9" s="515"/>
      <x:c r="E9" s="515"/>
      <x:c r="F9" s="515"/>
      <x:c r="G9" s="515"/>
      <x:c r="H9" s="515"/>
      <x:c r="I9" s="515"/>
      <x:c r="J9" s="516" t="s">
        <x:v>47</x:v>
      </x:c>
      <x:c r="K9" s="517" t="s">
        <x:v>164</x:v>
      </x:c>
      <x:c r="L9" s="517"/>
      <x:c r="M9" s="517"/>
      <x:c r="N9" s="517"/>
      <x:c r="O9" s="517"/>
      <x:c r="P9" s="517"/>
      <x:c r="Q9" s="517"/>
      <x:c r="R9" s="517"/>
      <x:c r="S9" s="517"/>
      <x:c r="T9" s="517"/>
      <x:c r="U9" s="517"/>
      <x:c r="V9" s="517"/>
      <x:c r="W9" s="517"/>
      <x:c r="X9" s="517"/>
      <x:c r="Y9" s="517"/>
      <x:c r="Z9" s="517"/>
      <x:c r="AA9" s="517"/>
      <x:c r="AB9" s="515" t="s">
        <x:v>48</x:v>
      </x:c>
      <x:c r="AC9" s="515"/>
      <x:c r="AD9" s="515"/>
      <x:c r="AE9" s="515"/>
      <x:c r="AF9" s="515"/>
      <x:c r="AG9" s="515"/>
      <x:c r="AH9" s="515"/>
      <x:c r="AI9" s="515"/>
      <x:c r="AJ9" s="515"/>
      <x:c r="AK9" s="516" t="s">
        <x:v>47</x:v>
      </x:c>
      <x:c r="AL9" s="518" t="s">
        <x:v>168</x:v>
      </x:c>
      <x:c r="AM9" s="518"/>
      <x:c r="AN9" s="518"/>
      <x:c r="AO9" s="518"/>
      <x:c r="AP9" s="518"/>
      <x:c r="AQ9" s="518"/>
      <x:c r="AR9" s="518"/>
      <x:c r="AS9" s="518"/>
      <x:c r="AT9" s="518"/>
      <x:c r="AU9" s="518"/>
      <x:c r="AV9" s="518"/>
      <x:c r="AW9" s="518"/>
      <x:c r="AX9" s="518"/>
      <x:c r="AY9" s="518"/>
      <x:c r="AZ9" s="519"/>
      <x:c r="BA9" s="502"/>
      <x:c r="BB9" s="502"/>
      <x:c r="BC9" s="502"/>
      <x:c r="BD9" s="502"/>
      <x:c r="BE9" s="502"/>
      <x:c r="BF9" s="502"/>
      <x:c r="BG9" s="502"/>
      <x:c r="BH9" s="502"/>
      <x:c r="BI9" s="502"/>
      <x:c r="BJ9" s="502"/>
      <x:c r="BK9" s="502"/>
      <x:c r="BL9" s="502"/>
      <x:c r="BM9" s="502"/>
      <x:c r="BN9" s="502"/>
      <x:c r="BO9" s="502"/>
      <x:c r="BP9" s="502"/>
      <x:c r="BQ9" s="502"/>
      <x:c r="BR9" s="502"/>
      <x:c r="BS9" s="502"/>
      <x:c r="BT9" s="502"/>
      <x:c r="BU9" s="502"/>
      <x:c r="BV9" s="502"/>
    </x:row>
    <x:row r="10" spans="1:109" ht="8.1" customHeight="1" s="143" customFormat="1">
      <x:c r="A10" s="502"/>
      <x:c r="B10" s="514"/>
      <x:c r="C10" s="515"/>
      <x:c r="D10" s="515"/>
      <x:c r="E10" s="515"/>
      <x:c r="F10" s="515"/>
      <x:c r="G10" s="515"/>
      <x:c r="H10" s="515"/>
      <x:c r="I10" s="515"/>
      <x:c r="J10" s="516"/>
      <x:c r="K10" s="520"/>
      <x:c r="L10" s="520"/>
      <x:c r="M10" s="520"/>
      <x:c r="N10" s="520"/>
      <x:c r="O10" s="520"/>
      <x:c r="P10" s="520"/>
      <x:c r="Q10" s="520"/>
      <x:c r="R10" s="520"/>
      <x:c r="S10" s="520"/>
      <x:c r="T10" s="520"/>
      <x:c r="U10" s="520"/>
      <x:c r="V10" s="520"/>
      <x:c r="W10" s="520"/>
      <x:c r="X10" s="520"/>
      <x:c r="Y10" s="520"/>
      <x:c r="Z10" s="520"/>
      <x:c r="AA10" s="520"/>
      <x:c r="AB10" s="515"/>
      <x:c r="AC10" s="515"/>
      <x:c r="AD10" s="515"/>
      <x:c r="AE10" s="515"/>
      <x:c r="AF10" s="515"/>
      <x:c r="AG10" s="515"/>
      <x:c r="AH10" s="515"/>
      <x:c r="AI10" s="515"/>
      <x:c r="AJ10" s="515"/>
      <x:c r="AK10" s="516"/>
      <x:c r="AL10" s="521"/>
      <x:c r="AM10" s="521"/>
      <x:c r="AN10" s="521"/>
      <x:c r="AO10" s="521"/>
      <x:c r="AP10" s="521"/>
      <x:c r="AQ10" s="521"/>
      <x:c r="AR10" s="521"/>
      <x:c r="AS10" s="521"/>
      <x:c r="AT10" s="521"/>
      <x:c r="AU10" s="521"/>
      <x:c r="AV10" s="521"/>
      <x:c r="AW10" s="521"/>
      <x:c r="AX10" s="521"/>
      <x:c r="AY10" s="521"/>
      <x:c r="AZ10" s="522"/>
      <x:c r="BA10" s="502"/>
      <x:c r="BB10" s="502"/>
      <x:c r="BC10" s="502"/>
      <x:c r="BD10" s="502"/>
      <x:c r="BE10" s="502"/>
      <x:c r="BF10" s="502"/>
      <x:c r="BG10" s="502"/>
      <x:c r="BH10" s="502"/>
      <x:c r="BI10" s="502"/>
      <x:c r="BJ10" s="502"/>
      <x:c r="BK10" s="502"/>
      <x:c r="BL10" s="502"/>
      <x:c r="BM10" s="502"/>
      <x:c r="BN10" s="502"/>
      <x:c r="BO10" s="502"/>
      <x:c r="BP10" s="502"/>
      <x:c r="BQ10" s="502"/>
      <x:c r="BR10" s="502"/>
      <x:c r="BS10" s="502"/>
      <x:c r="BT10" s="502"/>
      <x:c r="BU10" s="502"/>
      <x:c r="BV10" s="502"/>
    </x:row>
    <x:row r="11" spans="1:109" ht="8.1" customHeight="1" s="143" customFormat="1">
      <x:c r="A11" s="502"/>
      <x:c r="B11" s="514" t="s">
        <x:v>49</x:v>
      </x:c>
      <x:c r="C11" s="515"/>
      <x:c r="D11" s="515"/>
      <x:c r="E11" s="515"/>
      <x:c r="F11" s="515"/>
      <x:c r="G11" s="515"/>
      <x:c r="H11" s="515"/>
      <x:c r="I11" s="515"/>
      <x:c r="J11" s="516" t="s">
        <x:v>47</x:v>
      </x:c>
      <x:c r="K11" s="523" t="s">
        <x:v>164</x:v>
      </x:c>
      <x:c r="L11" s="523"/>
      <x:c r="M11" s="523"/>
      <x:c r="N11" s="523"/>
      <x:c r="O11" s="523"/>
      <x:c r="P11" s="523"/>
      <x:c r="Q11" s="523"/>
      <x:c r="R11" s="523"/>
      <x:c r="S11" s="523"/>
      <x:c r="T11" s="523"/>
      <x:c r="U11" s="523"/>
      <x:c r="V11" s="523"/>
      <x:c r="W11" s="523"/>
      <x:c r="X11" s="523"/>
      <x:c r="Y11" s="523"/>
      <x:c r="Z11" s="523"/>
      <x:c r="AA11" s="523"/>
      <x:c r="AB11" s="515" t="s">
        <x:v>50</x:v>
      </x:c>
      <x:c r="AC11" s="515"/>
      <x:c r="AD11" s="515"/>
      <x:c r="AE11" s="515"/>
      <x:c r="AF11" s="515"/>
      <x:c r="AG11" s="515"/>
      <x:c r="AH11" s="515"/>
      <x:c r="AI11" s="515"/>
      <x:c r="AJ11" s="515"/>
      <x:c r="AK11" s="516" t="s">
        <x:v>47</x:v>
      </x:c>
      <x:c r="AL11" s="524" t="s">
        <x:v>168</x:v>
      </x:c>
      <x:c r="AM11" s="524"/>
      <x:c r="AN11" s="524"/>
      <x:c r="AO11" s="524"/>
      <x:c r="AP11" s="524"/>
      <x:c r="AQ11" s="524"/>
      <x:c r="AR11" s="524"/>
      <x:c r="AS11" s="524"/>
      <x:c r="AT11" s="524"/>
      <x:c r="AU11" s="524"/>
      <x:c r="AV11" s="524"/>
      <x:c r="AW11" s="524"/>
      <x:c r="AX11" s="524"/>
      <x:c r="AY11" s="524"/>
      <x:c r="AZ11" s="525"/>
      <x:c r="BA11" s="502"/>
      <x:c r="BB11" s="502"/>
      <x:c r="BC11" s="502"/>
      <x:c r="BD11" s="502"/>
      <x:c r="BE11" s="502"/>
      <x:c r="BF11" s="502"/>
      <x:c r="BG11" s="502"/>
      <x:c r="BH11" s="502"/>
      <x:c r="BI11" s="502"/>
      <x:c r="BJ11" s="502"/>
      <x:c r="BK11" s="502"/>
      <x:c r="BL11" s="502"/>
      <x:c r="BM11" s="502"/>
      <x:c r="BN11" s="502"/>
      <x:c r="BO11" s="502"/>
      <x:c r="BP11" s="502"/>
      <x:c r="BQ11" s="502"/>
      <x:c r="BR11" s="502"/>
      <x:c r="BS11" s="502"/>
      <x:c r="BT11" s="502"/>
      <x:c r="BU11" s="502"/>
      <x:c r="BV11" s="502"/>
    </x:row>
    <x:row r="12" spans="1:109" ht="8.1" customHeight="1" s="143" customFormat="1">
      <x:c r="A12" s="502"/>
      <x:c r="B12" s="514"/>
      <x:c r="C12" s="515"/>
      <x:c r="D12" s="515"/>
      <x:c r="E12" s="515"/>
      <x:c r="F12" s="515"/>
      <x:c r="G12" s="515"/>
      <x:c r="H12" s="515"/>
      <x:c r="I12" s="515"/>
      <x:c r="J12" s="516"/>
      <x:c r="K12" s="526"/>
      <x:c r="L12" s="526"/>
      <x:c r="M12" s="526"/>
      <x:c r="N12" s="526"/>
      <x:c r="O12" s="526"/>
      <x:c r="P12" s="526"/>
      <x:c r="Q12" s="526"/>
      <x:c r="R12" s="526"/>
      <x:c r="S12" s="526"/>
      <x:c r="T12" s="526"/>
      <x:c r="U12" s="526"/>
      <x:c r="V12" s="526"/>
      <x:c r="W12" s="526"/>
      <x:c r="X12" s="526"/>
      <x:c r="Y12" s="526"/>
      <x:c r="Z12" s="526"/>
      <x:c r="AA12" s="526"/>
      <x:c r="AB12" s="515"/>
      <x:c r="AC12" s="515"/>
      <x:c r="AD12" s="515"/>
      <x:c r="AE12" s="515"/>
      <x:c r="AF12" s="515"/>
      <x:c r="AG12" s="515"/>
      <x:c r="AH12" s="515"/>
      <x:c r="AI12" s="515"/>
      <x:c r="AJ12" s="515"/>
      <x:c r="AK12" s="516"/>
      <x:c r="AL12" s="521"/>
      <x:c r="AM12" s="521"/>
      <x:c r="AN12" s="521"/>
      <x:c r="AO12" s="521"/>
      <x:c r="AP12" s="521"/>
      <x:c r="AQ12" s="521"/>
      <x:c r="AR12" s="521"/>
      <x:c r="AS12" s="521"/>
      <x:c r="AT12" s="521"/>
      <x:c r="AU12" s="521"/>
      <x:c r="AV12" s="521"/>
      <x:c r="AW12" s="521"/>
      <x:c r="AX12" s="521"/>
      <x:c r="AY12" s="521"/>
      <x:c r="AZ12" s="522"/>
      <x:c r="BA12" s="502"/>
      <x:c r="BB12" s="502"/>
      <x:c r="BC12" s="502"/>
      <x:c r="BD12" s="502"/>
      <x:c r="BE12" s="502"/>
      <x:c r="BF12" s="502"/>
      <x:c r="BG12" s="502"/>
      <x:c r="BH12" s="502"/>
      <x:c r="BI12" s="502"/>
      <x:c r="BJ12" s="502"/>
      <x:c r="BK12" s="502"/>
      <x:c r="BL12" s="502"/>
      <x:c r="BM12" s="502"/>
      <x:c r="BN12" s="502"/>
      <x:c r="BO12" s="502"/>
      <x:c r="BP12" s="502"/>
      <x:c r="BQ12" s="502"/>
      <x:c r="BR12" s="502"/>
      <x:c r="BS12" s="502"/>
      <x:c r="BT12" s="502"/>
      <x:c r="BU12" s="502"/>
      <x:c r="BV12" s="502"/>
    </x:row>
    <x:row r="13" spans="1:109" ht="8.1" customHeight="1" s="143" customFormat="1">
      <x:c r="A13" s="502"/>
      <x:c r="B13" s="514" t="s">
        <x:v>51</x:v>
      </x:c>
      <x:c r="C13" s="515"/>
      <x:c r="D13" s="515"/>
      <x:c r="E13" s="515"/>
      <x:c r="F13" s="515"/>
      <x:c r="G13" s="515"/>
      <x:c r="H13" s="515"/>
      <x:c r="I13" s="515"/>
      <x:c r="J13" s="516" t="s">
        <x:v>47</x:v>
      </x:c>
      <x:c r="K13" s="523" t="s">
        <x:v>164</x:v>
      </x:c>
      <x:c r="L13" s="523"/>
      <x:c r="M13" s="523"/>
      <x:c r="N13" s="523"/>
      <x:c r="O13" s="523"/>
      <x:c r="P13" s="523"/>
      <x:c r="Q13" s="523"/>
      <x:c r="R13" s="523"/>
      <x:c r="S13" s="523"/>
      <x:c r="T13" s="523"/>
      <x:c r="U13" s="523"/>
      <x:c r="V13" s="523"/>
      <x:c r="W13" s="523"/>
      <x:c r="X13" s="523"/>
      <x:c r="Y13" s="523"/>
      <x:c r="Z13" s="523"/>
      <x:c r="AA13" s="523"/>
      <x:c r="AB13" s="515" t="s">
        <x:v>52</x:v>
      </x:c>
      <x:c r="AC13" s="515"/>
      <x:c r="AD13" s="515"/>
      <x:c r="AE13" s="515"/>
      <x:c r="AF13" s="515"/>
      <x:c r="AG13" s="515"/>
      <x:c r="AH13" s="515"/>
      <x:c r="AI13" s="515"/>
      <x:c r="AJ13" s="515"/>
      <x:c r="AK13" s="516" t="s">
        <x:v>47</x:v>
      </x:c>
      <x:c r="AL13" s="523" t="s">
        <x:v>165</x:v>
      </x:c>
      <x:c r="AM13" s="523"/>
      <x:c r="AN13" s="523"/>
      <x:c r="AO13" s="523"/>
      <x:c r="AP13" s="523"/>
      <x:c r="AQ13" s="523"/>
      <x:c r="AR13" s="523"/>
      <x:c r="AS13" s="523"/>
      <x:c r="AT13" s="523"/>
      <x:c r="AU13" s="523"/>
      <x:c r="AV13" s="523"/>
      <x:c r="AW13" s="523"/>
      <x:c r="AX13" s="523"/>
      <x:c r="AY13" s="523"/>
      <x:c r="AZ13" s="527"/>
      <x:c r="BA13" s="502"/>
      <x:c r="BB13" s="502"/>
      <x:c r="BC13" s="502"/>
      <x:c r="BD13" s="502"/>
      <x:c r="BE13" s="502"/>
      <x:c r="BF13" s="502"/>
      <x:c r="BG13" s="502"/>
      <x:c r="BH13" s="502"/>
      <x:c r="BI13" s="502"/>
      <x:c r="BJ13" s="502"/>
      <x:c r="BK13" s="502"/>
      <x:c r="BL13" s="502"/>
      <x:c r="BM13" s="502"/>
      <x:c r="BN13" s="502"/>
      <x:c r="BO13" s="502"/>
      <x:c r="BP13" s="502"/>
      <x:c r="BQ13" s="502"/>
      <x:c r="BR13" s="502"/>
      <x:c r="BS13" s="502"/>
      <x:c r="BT13" s="502"/>
      <x:c r="BU13" s="502"/>
      <x:c r="BV13" s="502"/>
    </x:row>
    <x:row r="14" spans="1:109" ht="8.1" customHeight="1" s="143" customFormat="1">
      <x:c r="A14" s="502"/>
      <x:c r="B14" s="514"/>
      <x:c r="C14" s="515"/>
      <x:c r="D14" s="515"/>
      <x:c r="E14" s="515"/>
      <x:c r="F14" s="515"/>
      <x:c r="G14" s="515"/>
      <x:c r="H14" s="515"/>
      <x:c r="I14" s="515"/>
      <x:c r="J14" s="516"/>
      <x:c r="K14" s="526"/>
      <x:c r="L14" s="526"/>
      <x:c r="M14" s="526"/>
      <x:c r="N14" s="526"/>
      <x:c r="O14" s="526"/>
      <x:c r="P14" s="526"/>
      <x:c r="Q14" s="526"/>
      <x:c r="R14" s="526"/>
      <x:c r="S14" s="526"/>
      <x:c r="T14" s="526"/>
      <x:c r="U14" s="526"/>
      <x:c r="V14" s="526"/>
      <x:c r="W14" s="526"/>
      <x:c r="X14" s="526"/>
      <x:c r="Y14" s="526"/>
      <x:c r="Z14" s="526"/>
      <x:c r="AA14" s="526"/>
      <x:c r="AB14" s="515"/>
      <x:c r="AC14" s="515"/>
      <x:c r="AD14" s="515"/>
      <x:c r="AE14" s="515"/>
      <x:c r="AF14" s="515"/>
      <x:c r="AG14" s="515"/>
      <x:c r="AH14" s="515"/>
      <x:c r="AI14" s="515"/>
      <x:c r="AJ14" s="515"/>
      <x:c r="AK14" s="516"/>
      <x:c r="AL14" s="526"/>
      <x:c r="AM14" s="526"/>
      <x:c r="AN14" s="526"/>
      <x:c r="AO14" s="526"/>
      <x:c r="AP14" s="526"/>
      <x:c r="AQ14" s="526"/>
      <x:c r="AR14" s="526"/>
      <x:c r="AS14" s="526"/>
      <x:c r="AT14" s="526"/>
      <x:c r="AU14" s="526"/>
      <x:c r="AV14" s="526"/>
      <x:c r="AW14" s="526"/>
      <x:c r="AX14" s="526"/>
      <x:c r="AY14" s="526"/>
      <x:c r="AZ14" s="528"/>
      <x:c r="BA14" s="502"/>
      <x:c r="BB14" s="502"/>
      <x:c r="BC14" s="502"/>
      <x:c r="BD14" s="502"/>
      <x:c r="BE14" s="502"/>
      <x:c r="BF14" s="502"/>
      <x:c r="BG14" s="502"/>
      <x:c r="BH14" s="502"/>
      <x:c r="BI14" s="502"/>
      <x:c r="BJ14" s="502"/>
      <x:c r="BK14" s="502"/>
      <x:c r="BL14" s="502"/>
      <x:c r="BM14" s="502"/>
      <x:c r="BN14" s="502"/>
      <x:c r="BO14" s="502"/>
      <x:c r="BP14" s="502"/>
      <x:c r="BQ14" s="502"/>
      <x:c r="BR14" s="502"/>
      <x:c r="BS14" s="502"/>
      <x:c r="BT14" s="502"/>
      <x:c r="BU14" s="502"/>
      <x:c r="BV14" s="502"/>
    </x:row>
    <x:row r="15" spans="1:109" ht="8.1" customHeight="1" s="143" customFormat="1">
      <x:c r="A15" s="502"/>
      <x:c r="B15" s="514" t="s">
        <x:v>53</x:v>
      </x:c>
      <x:c r="C15" s="515"/>
      <x:c r="D15" s="515"/>
      <x:c r="E15" s="515"/>
      <x:c r="F15" s="515"/>
      <x:c r="G15" s="515"/>
      <x:c r="H15" s="515"/>
      <x:c r="I15" s="515"/>
      <x:c r="J15" s="516" t="s">
        <x:v>47</x:v>
      </x:c>
      <x:c r="K15" s="529" t="s">
        <x:v>165</x:v>
      </x:c>
      <x:c r="L15" s="523"/>
      <x:c r="M15" s="523"/>
      <x:c r="N15" s="523"/>
      <x:c r="O15" s="523"/>
      <x:c r="P15" s="523"/>
      <x:c r="Q15" s="523"/>
      <x:c r="R15" s="523"/>
      <x:c r="S15" s="523"/>
      <x:c r="T15" s="523"/>
      <x:c r="U15" s="523"/>
      <x:c r="V15" s="523"/>
      <x:c r="W15" s="523"/>
      <x:c r="X15" s="523"/>
      <x:c r="Y15" s="523"/>
      <x:c r="Z15" s="523"/>
      <x:c r="AA15" s="523"/>
      <x:c r="AB15" s="515" t="s">
        <x:v>54</x:v>
      </x:c>
      <x:c r="AC15" s="515"/>
      <x:c r="AD15" s="515"/>
      <x:c r="AE15" s="515"/>
      <x:c r="AF15" s="515"/>
      <x:c r="AG15" s="515"/>
      <x:c r="AH15" s="515"/>
      <x:c r="AI15" s="515"/>
      <x:c r="AJ15" s="515"/>
      <x:c r="AK15" s="516" t="s">
        <x:v>47</x:v>
      </x:c>
      <x:c r="AL15" s="523" t="s">
        <x:v>165</x:v>
      </x:c>
      <x:c r="AM15" s="523"/>
      <x:c r="AN15" s="523"/>
      <x:c r="AO15" s="523"/>
      <x:c r="AP15" s="523"/>
      <x:c r="AQ15" s="523"/>
      <x:c r="AR15" s="523"/>
      <x:c r="AS15" s="523"/>
      <x:c r="AT15" s="523"/>
      <x:c r="AU15" s="523"/>
      <x:c r="AV15" s="523"/>
      <x:c r="AW15" s="523"/>
      <x:c r="AX15" s="523"/>
      <x:c r="AY15" s="523"/>
      <x:c r="AZ15" s="527"/>
      <x:c r="BA15" s="502"/>
      <x:c r="BB15" s="502"/>
      <x:c r="BC15" s="502"/>
      <x:c r="BD15" s="502"/>
      <x:c r="BE15" s="502"/>
      <x:c r="BF15" s="502"/>
      <x:c r="BG15" s="502"/>
      <x:c r="BH15" s="502"/>
      <x:c r="BI15" s="502"/>
      <x:c r="BJ15" s="502"/>
      <x:c r="BK15" s="502"/>
      <x:c r="BL15" s="502"/>
      <x:c r="BM15" s="502"/>
      <x:c r="BN15" s="502"/>
      <x:c r="BO15" s="502"/>
      <x:c r="BP15" s="502"/>
      <x:c r="BQ15" s="502"/>
      <x:c r="BR15" s="502"/>
      <x:c r="BS15" s="502"/>
      <x:c r="BT15" s="502"/>
      <x:c r="BU15" s="502"/>
      <x:c r="BV15" s="502"/>
    </x:row>
    <x:row r="16" spans="1:109" ht="8.1" customHeight="1" s="143" customFormat="1">
      <x:c r="A16" s="502"/>
      <x:c r="B16" s="514"/>
      <x:c r="C16" s="515"/>
      <x:c r="D16" s="515"/>
      <x:c r="E16" s="515"/>
      <x:c r="F16" s="515"/>
      <x:c r="G16" s="515"/>
      <x:c r="H16" s="515"/>
      <x:c r="I16" s="515"/>
      <x:c r="J16" s="516"/>
      <x:c r="K16" s="526"/>
      <x:c r="L16" s="526"/>
      <x:c r="M16" s="526"/>
      <x:c r="N16" s="526"/>
      <x:c r="O16" s="526"/>
      <x:c r="P16" s="526"/>
      <x:c r="Q16" s="526"/>
      <x:c r="R16" s="526"/>
      <x:c r="S16" s="526"/>
      <x:c r="T16" s="526"/>
      <x:c r="U16" s="526"/>
      <x:c r="V16" s="526"/>
      <x:c r="W16" s="526"/>
      <x:c r="X16" s="526"/>
      <x:c r="Y16" s="526"/>
      <x:c r="Z16" s="526"/>
      <x:c r="AA16" s="526"/>
      <x:c r="AB16" s="515"/>
      <x:c r="AC16" s="515"/>
      <x:c r="AD16" s="515"/>
      <x:c r="AE16" s="515"/>
      <x:c r="AF16" s="515"/>
      <x:c r="AG16" s="515"/>
      <x:c r="AH16" s="515"/>
      <x:c r="AI16" s="515"/>
      <x:c r="AJ16" s="515"/>
      <x:c r="AK16" s="516"/>
      <x:c r="AL16" s="526"/>
      <x:c r="AM16" s="526"/>
      <x:c r="AN16" s="526"/>
      <x:c r="AO16" s="526"/>
      <x:c r="AP16" s="526"/>
      <x:c r="AQ16" s="526"/>
      <x:c r="AR16" s="526"/>
      <x:c r="AS16" s="526"/>
      <x:c r="AT16" s="526"/>
      <x:c r="AU16" s="526"/>
      <x:c r="AV16" s="526"/>
      <x:c r="AW16" s="526"/>
      <x:c r="AX16" s="526"/>
      <x:c r="AY16" s="526"/>
      <x:c r="AZ16" s="528"/>
      <x:c r="BA16" s="502"/>
      <x:c r="BB16" s="502"/>
      <x:c r="BC16" s="502"/>
      <x:c r="BD16" s="502"/>
      <x:c r="BE16" s="502"/>
      <x:c r="BF16" s="502"/>
      <x:c r="BG16" s="502"/>
      <x:c r="BH16" s="502"/>
      <x:c r="BI16" s="502"/>
      <x:c r="BJ16" s="502"/>
      <x:c r="BK16" s="502"/>
      <x:c r="BL16" s="502"/>
      <x:c r="BM16" s="502"/>
      <x:c r="BN16" s="502"/>
      <x:c r="BO16" s="502"/>
      <x:c r="BP16" s="502"/>
      <x:c r="BQ16" s="502"/>
      <x:c r="BR16" s="502"/>
      <x:c r="BS16" s="502"/>
      <x:c r="BT16" s="502"/>
      <x:c r="BU16" s="502"/>
      <x:c r="BV16" s="502"/>
    </x:row>
    <x:row r="17" spans="1:109" ht="8.1" customHeight="1" s="143" customFormat="1">
      <x:c r="A17" s="502"/>
      <x:c r="B17" s="514" t="s">
        <x:v>37</x:v>
      </x:c>
      <x:c r="C17" s="515"/>
      <x:c r="D17" s="515"/>
      <x:c r="E17" s="515"/>
      <x:c r="F17" s="515"/>
      <x:c r="G17" s="515"/>
      <x:c r="H17" s="515"/>
      <x:c r="I17" s="515"/>
      <x:c r="J17" s="516" t="s">
        <x:v>47</x:v>
      </x:c>
      <x:c r="K17" s="523" t="s">
        <x:v>166</x:v>
      </x:c>
      <x:c r="L17" s="523"/>
      <x:c r="M17" s="523"/>
      <x:c r="N17" s="523"/>
      <x:c r="O17" s="523"/>
      <x:c r="P17" s="523"/>
      <x:c r="Q17" s="523"/>
      <x:c r="R17" s="523"/>
      <x:c r="S17" s="523"/>
      <x:c r="T17" s="523"/>
      <x:c r="U17" s="523"/>
      <x:c r="V17" s="523"/>
      <x:c r="W17" s="523"/>
      <x:c r="X17" s="523"/>
      <x:c r="Y17" s="523"/>
      <x:c r="Z17" s="523"/>
      <x:c r="AA17" s="523"/>
      <x:c r="AB17" s="515" t="s">
        <x:v>55</x:v>
      </x:c>
      <x:c r="AC17" s="515"/>
      <x:c r="AD17" s="515"/>
      <x:c r="AE17" s="515"/>
      <x:c r="AF17" s="515"/>
      <x:c r="AG17" s="515"/>
      <x:c r="AH17" s="515"/>
      <x:c r="AI17" s="515"/>
      <x:c r="AJ17" s="504"/>
      <x:c r="AK17" s="516" t="s">
        <x:v>47</x:v>
      </x:c>
      <x:c r="AL17" s="523" t="s">
        <x:v>165</x:v>
      </x:c>
      <x:c r="AM17" s="523"/>
      <x:c r="AN17" s="523"/>
      <x:c r="AO17" s="523"/>
      <x:c r="AP17" s="523"/>
      <x:c r="AQ17" s="523"/>
      <x:c r="AR17" s="523"/>
      <x:c r="AS17" s="523"/>
      <x:c r="AT17" s="523"/>
      <x:c r="AU17" s="523"/>
      <x:c r="AV17" s="523"/>
      <x:c r="AW17" s="523"/>
      <x:c r="AX17" s="523"/>
      <x:c r="AY17" s="523"/>
      <x:c r="AZ17" s="527"/>
      <x:c r="BA17" s="502"/>
      <x:c r="BB17" s="502"/>
      <x:c r="BC17" s="502"/>
      <x:c r="BD17" s="502"/>
      <x:c r="BE17" s="502"/>
      <x:c r="BF17" s="502"/>
      <x:c r="BG17" s="502"/>
      <x:c r="BH17" s="502"/>
      <x:c r="BI17" s="502"/>
      <x:c r="BJ17" s="502"/>
      <x:c r="BK17" s="502"/>
      <x:c r="BL17" s="502"/>
      <x:c r="BM17" s="502"/>
      <x:c r="BN17" s="502"/>
      <x:c r="BO17" s="502"/>
      <x:c r="BP17" s="502"/>
      <x:c r="BQ17" s="502"/>
      <x:c r="BR17" s="502"/>
      <x:c r="BS17" s="502"/>
      <x:c r="BT17" s="502"/>
      <x:c r="BU17" s="502"/>
      <x:c r="BV17" s="502"/>
    </x:row>
    <x:row r="18" spans="1:109" ht="8.1" customHeight="1" s="143" customFormat="1">
      <x:c r="A18" s="502"/>
      <x:c r="B18" s="514"/>
      <x:c r="C18" s="515"/>
      <x:c r="D18" s="515"/>
      <x:c r="E18" s="515"/>
      <x:c r="F18" s="515"/>
      <x:c r="G18" s="515"/>
      <x:c r="H18" s="515"/>
      <x:c r="I18" s="515"/>
      <x:c r="J18" s="516"/>
      <x:c r="K18" s="526"/>
      <x:c r="L18" s="526"/>
      <x:c r="M18" s="526"/>
      <x:c r="N18" s="526"/>
      <x:c r="O18" s="526"/>
      <x:c r="P18" s="526"/>
      <x:c r="Q18" s="526"/>
      <x:c r="R18" s="526"/>
      <x:c r="S18" s="526"/>
      <x:c r="T18" s="526"/>
      <x:c r="U18" s="526"/>
      <x:c r="V18" s="526"/>
      <x:c r="W18" s="526"/>
      <x:c r="X18" s="526"/>
      <x:c r="Y18" s="526"/>
      <x:c r="Z18" s="526"/>
      <x:c r="AA18" s="526"/>
      <x:c r="AB18" s="515"/>
      <x:c r="AC18" s="515"/>
      <x:c r="AD18" s="515"/>
      <x:c r="AE18" s="515"/>
      <x:c r="AF18" s="515"/>
      <x:c r="AG18" s="515"/>
      <x:c r="AH18" s="515"/>
      <x:c r="AI18" s="515"/>
      <x:c r="AJ18" s="504"/>
      <x:c r="AK18" s="516"/>
      <x:c r="AL18" s="526"/>
      <x:c r="AM18" s="526"/>
      <x:c r="AN18" s="526"/>
      <x:c r="AO18" s="526"/>
      <x:c r="AP18" s="526"/>
      <x:c r="AQ18" s="526"/>
      <x:c r="AR18" s="526"/>
      <x:c r="AS18" s="526"/>
      <x:c r="AT18" s="526"/>
      <x:c r="AU18" s="526"/>
      <x:c r="AV18" s="526"/>
      <x:c r="AW18" s="526"/>
      <x:c r="AX18" s="526"/>
      <x:c r="AY18" s="526"/>
      <x:c r="AZ18" s="528"/>
      <x:c r="BA18" s="502"/>
      <x:c r="BB18" s="502"/>
      <x:c r="BC18" s="502"/>
      <x:c r="BD18" s="502"/>
      <x:c r="BE18" s="502"/>
      <x:c r="BF18" s="502"/>
      <x:c r="BG18" s="502"/>
      <x:c r="BH18" s="502"/>
      <x:c r="BI18" s="502"/>
      <x:c r="BJ18" s="502"/>
      <x:c r="BK18" s="502"/>
      <x:c r="BL18" s="502"/>
      <x:c r="BM18" s="502"/>
      <x:c r="BN18" s="502"/>
      <x:c r="BO18" s="502"/>
      <x:c r="BP18" s="502"/>
      <x:c r="BQ18" s="502"/>
      <x:c r="BR18" s="502"/>
      <x:c r="BS18" s="502"/>
      <x:c r="BT18" s="502"/>
      <x:c r="BU18" s="502"/>
      <x:c r="BV18" s="502"/>
    </x:row>
    <x:row r="19" spans="1:109" ht="8.1" customHeight="1" s="143" customFormat="1">
      <x:c r="A19" s="502"/>
      <x:c r="B19" s="514" t="s">
        <x:v>56</x:v>
      </x:c>
      <x:c r="C19" s="515"/>
      <x:c r="D19" s="515"/>
      <x:c r="E19" s="515"/>
      <x:c r="F19" s="515"/>
      <x:c r="G19" s="515"/>
      <x:c r="H19" s="515"/>
      <x:c r="I19" s="515"/>
      <x:c r="J19" s="516" t="s">
        <x:v>47</x:v>
      </x:c>
      <x:c r="K19" s="523" t="s">
        <x:v>166</x:v>
      </x:c>
      <x:c r="L19" s="523"/>
      <x:c r="M19" s="523"/>
      <x:c r="N19" s="523"/>
      <x:c r="O19" s="523"/>
      <x:c r="P19" s="523"/>
      <x:c r="Q19" s="523"/>
      <x:c r="R19" s="523"/>
      <x:c r="S19" s="523"/>
      <x:c r="T19" s="523"/>
      <x:c r="U19" s="523"/>
      <x:c r="V19" s="523"/>
      <x:c r="W19" s="523"/>
      <x:c r="X19" s="523"/>
      <x:c r="Y19" s="523"/>
      <x:c r="Z19" s="523"/>
      <x:c r="AA19" s="523"/>
      <x:c r="AB19" s="515" t="s">
        <x:v>57</x:v>
      </x:c>
      <x:c r="AC19" s="515"/>
      <x:c r="AD19" s="515"/>
      <x:c r="AE19" s="515"/>
      <x:c r="AF19" s="515"/>
      <x:c r="AG19" s="515"/>
      <x:c r="AH19" s="515"/>
      <x:c r="AI19" s="515"/>
      <x:c r="AJ19" s="515"/>
      <x:c r="AK19" s="516" t="s">
        <x:v>47</x:v>
      </x:c>
      <x:c r="AL19" s="523" t="s">
        <x:v>166</x:v>
      </x:c>
      <x:c r="AM19" s="523"/>
      <x:c r="AN19" s="523"/>
      <x:c r="AO19" s="523"/>
      <x:c r="AP19" s="523"/>
      <x:c r="AQ19" s="523"/>
      <x:c r="AR19" s="523"/>
      <x:c r="AS19" s="523"/>
      <x:c r="AT19" s="523"/>
      <x:c r="AU19" s="523"/>
      <x:c r="AV19" s="523"/>
      <x:c r="AW19" s="523"/>
      <x:c r="AX19" s="523"/>
      <x:c r="AY19" s="523"/>
      <x:c r="AZ19" s="527"/>
      <x:c r="BA19" s="502"/>
      <x:c r="BB19" s="502"/>
      <x:c r="BC19" s="502"/>
      <x:c r="BD19" s="502"/>
      <x:c r="BE19" s="502"/>
      <x:c r="BF19" s="502"/>
      <x:c r="BG19" s="502"/>
      <x:c r="BH19" s="502"/>
      <x:c r="BI19" s="502"/>
      <x:c r="BJ19" s="502"/>
      <x:c r="BK19" s="502"/>
      <x:c r="BL19" s="502"/>
      <x:c r="BM19" s="502"/>
      <x:c r="BN19" s="502"/>
      <x:c r="BO19" s="502"/>
      <x:c r="BP19" s="502"/>
      <x:c r="BQ19" s="502"/>
      <x:c r="BR19" s="502"/>
      <x:c r="BS19" s="502"/>
      <x:c r="BT19" s="502"/>
      <x:c r="BU19" s="502"/>
      <x:c r="BV19" s="502"/>
    </x:row>
    <x:row r="20" spans="1:109" ht="8.1" customHeight="1" s="143" customFormat="1">
      <x:c r="A20" s="502"/>
      <x:c r="B20" s="514"/>
      <x:c r="C20" s="515"/>
      <x:c r="D20" s="515"/>
      <x:c r="E20" s="515"/>
      <x:c r="F20" s="515"/>
      <x:c r="G20" s="515"/>
      <x:c r="H20" s="515"/>
      <x:c r="I20" s="515"/>
      <x:c r="J20" s="516"/>
      <x:c r="K20" s="526"/>
      <x:c r="L20" s="526"/>
      <x:c r="M20" s="526"/>
      <x:c r="N20" s="526"/>
      <x:c r="O20" s="526"/>
      <x:c r="P20" s="526"/>
      <x:c r="Q20" s="526"/>
      <x:c r="R20" s="526"/>
      <x:c r="S20" s="526"/>
      <x:c r="T20" s="526"/>
      <x:c r="U20" s="526"/>
      <x:c r="V20" s="526"/>
      <x:c r="W20" s="526"/>
      <x:c r="X20" s="526"/>
      <x:c r="Y20" s="526"/>
      <x:c r="Z20" s="526"/>
      <x:c r="AA20" s="526"/>
      <x:c r="AB20" s="515"/>
      <x:c r="AC20" s="515"/>
      <x:c r="AD20" s="515"/>
      <x:c r="AE20" s="515"/>
      <x:c r="AF20" s="515"/>
      <x:c r="AG20" s="515"/>
      <x:c r="AH20" s="515"/>
      <x:c r="AI20" s="515"/>
      <x:c r="AJ20" s="515"/>
      <x:c r="AK20" s="516"/>
      <x:c r="AL20" s="526"/>
      <x:c r="AM20" s="526"/>
      <x:c r="AN20" s="526"/>
      <x:c r="AO20" s="526"/>
      <x:c r="AP20" s="526"/>
      <x:c r="AQ20" s="526"/>
      <x:c r="AR20" s="526"/>
      <x:c r="AS20" s="526"/>
      <x:c r="AT20" s="526"/>
      <x:c r="AU20" s="526"/>
      <x:c r="AV20" s="526"/>
      <x:c r="AW20" s="526"/>
      <x:c r="AX20" s="526"/>
      <x:c r="AY20" s="526"/>
      <x:c r="AZ20" s="528"/>
      <x:c r="BA20" s="502"/>
      <x:c r="BB20" s="502"/>
      <x:c r="BC20" s="502"/>
      <x:c r="BD20" s="502"/>
      <x:c r="BE20" s="502"/>
      <x:c r="BF20" s="502"/>
      <x:c r="BG20" s="502"/>
      <x:c r="BH20" s="502"/>
      <x:c r="BI20" s="502"/>
      <x:c r="BJ20" s="502"/>
      <x:c r="BK20" s="502"/>
      <x:c r="BL20" s="502"/>
      <x:c r="BM20" s="502"/>
      <x:c r="BN20" s="502"/>
      <x:c r="BO20" s="502"/>
      <x:c r="BP20" s="502"/>
      <x:c r="BQ20" s="502"/>
      <x:c r="BR20" s="502"/>
      <x:c r="BS20" s="502"/>
      <x:c r="BT20" s="502"/>
      <x:c r="BU20" s="502"/>
      <x:c r="BV20" s="502"/>
    </x:row>
    <x:row r="21" spans="1:109" ht="8.1" customHeight="1" s="143" customFormat="1">
      <x:c r="A21" s="502"/>
      <x:c r="B21" s="514" t="s">
        <x:v>58</x:v>
      </x:c>
      <x:c r="C21" s="515"/>
      <x:c r="D21" s="515"/>
      <x:c r="E21" s="515"/>
      <x:c r="F21" s="515"/>
      <x:c r="G21" s="515"/>
      <x:c r="H21" s="515"/>
      <x:c r="I21" s="515"/>
      <x:c r="J21" s="516" t="s">
        <x:v>47</x:v>
      </x:c>
      <x:c r="K21" s="523" t="s">
        <x:v>167</x:v>
      </x:c>
      <x:c r="L21" s="523"/>
      <x:c r="M21" s="523"/>
      <x:c r="N21" s="523"/>
      <x:c r="O21" s="523"/>
      <x:c r="P21" s="523"/>
      <x:c r="Q21" s="523"/>
      <x:c r="R21" s="523"/>
      <x:c r="S21" s="523"/>
      <x:c r="T21" s="523"/>
      <x:c r="U21" s="523"/>
      <x:c r="V21" s="523"/>
      <x:c r="W21" s="523"/>
      <x:c r="X21" s="523"/>
      <x:c r="Y21" s="523"/>
      <x:c r="Z21" s="523"/>
      <x:c r="AA21" s="523"/>
      <x:c r="AB21" s="515" t="s">
        <x:v>59</x:v>
      </x:c>
      <x:c r="AC21" s="515"/>
      <x:c r="AD21" s="515"/>
      <x:c r="AE21" s="515"/>
      <x:c r="AF21" s="515"/>
      <x:c r="AG21" s="515"/>
      <x:c r="AH21" s="515"/>
      <x:c r="AI21" s="515"/>
      <x:c r="AJ21" s="515"/>
      <x:c r="AK21" s="516" t="s">
        <x:v>47</x:v>
      </x:c>
      <x:c r="AL21" s="523" t="s">
        <x:v>167</x:v>
      </x:c>
      <x:c r="AM21" s="523"/>
      <x:c r="AN21" s="523"/>
      <x:c r="AO21" s="523"/>
      <x:c r="AP21" s="523"/>
      <x:c r="AQ21" s="523"/>
      <x:c r="AR21" s="523"/>
      <x:c r="AS21" s="523"/>
      <x:c r="AT21" s="523"/>
      <x:c r="AU21" s="523"/>
      <x:c r="AV21" s="523"/>
      <x:c r="AW21" s="523"/>
      <x:c r="AX21" s="523"/>
      <x:c r="AY21" s="523"/>
      <x:c r="AZ21" s="527"/>
      <x:c r="BA21" s="502"/>
      <x:c r="BB21" s="502"/>
      <x:c r="BC21" s="502"/>
      <x:c r="BD21" s="502"/>
      <x:c r="BE21" s="502"/>
      <x:c r="BF21" s="502"/>
      <x:c r="BG21" s="502"/>
      <x:c r="BH21" s="502"/>
      <x:c r="BI21" s="502"/>
      <x:c r="BJ21" s="502"/>
      <x:c r="BK21" s="502"/>
      <x:c r="BL21" s="502"/>
      <x:c r="BM21" s="502"/>
      <x:c r="BN21" s="502"/>
      <x:c r="BO21" s="502"/>
      <x:c r="BP21" s="502"/>
      <x:c r="BQ21" s="502"/>
      <x:c r="BR21" s="502"/>
      <x:c r="BS21" s="502"/>
      <x:c r="BT21" s="502"/>
      <x:c r="BU21" s="502"/>
      <x:c r="BV21" s="502"/>
    </x:row>
    <x:row r="22" spans="1:109" ht="7.5" customHeight="1" s="143" customFormat="1">
      <x:c r="A22" s="502"/>
      <x:c r="B22" s="514"/>
      <x:c r="C22" s="515"/>
      <x:c r="D22" s="515"/>
      <x:c r="E22" s="515"/>
      <x:c r="F22" s="515"/>
      <x:c r="G22" s="515"/>
      <x:c r="H22" s="515"/>
      <x:c r="I22" s="515"/>
      <x:c r="J22" s="516"/>
      <x:c r="K22" s="526"/>
      <x:c r="L22" s="526"/>
      <x:c r="M22" s="526"/>
      <x:c r="N22" s="526"/>
      <x:c r="O22" s="526"/>
      <x:c r="P22" s="526"/>
      <x:c r="Q22" s="526"/>
      <x:c r="R22" s="526"/>
      <x:c r="S22" s="526"/>
      <x:c r="T22" s="526"/>
      <x:c r="U22" s="526"/>
      <x:c r="V22" s="526"/>
      <x:c r="W22" s="526"/>
      <x:c r="X22" s="526"/>
      <x:c r="Y22" s="526"/>
      <x:c r="Z22" s="526"/>
      <x:c r="AA22" s="526"/>
      <x:c r="AB22" s="515"/>
      <x:c r="AC22" s="515"/>
      <x:c r="AD22" s="515"/>
      <x:c r="AE22" s="515"/>
      <x:c r="AF22" s="515"/>
      <x:c r="AG22" s="515"/>
      <x:c r="AH22" s="515"/>
      <x:c r="AI22" s="515"/>
      <x:c r="AJ22" s="515"/>
      <x:c r="AK22" s="516"/>
      <x:c r="AL22" s="526"/>
      <x:c r="AM22" s="526"/>
      <x:c r="AN22" s="526"/>
      <x:c r="AO22" s="526"/>
      <x:c r="AP22" s="526"/>
      <x:c r="AQ22" s="526"/>
      <x:c r="AR22" s="526"/>
      <x:c r="AS22" s="526"/>
      <x:c r="AT22" s="526"/>
      <x:c r="AU22" s="526"/>
      <x:c r="AV22" s="526"/>
      <x:c r="AW22" s="526"/>
      <x:c r="AX22" s="526"/>
      <x:c r="AY22" s="526"/>
      <x:c r="AZ22" s="528"/>
      <x:c r="BA22" s="502"/>
      <x:c r="BB22" s="502"/>
      <x:c r="BC22" s="502"/>
      <x:c r="BD22" s="502"/>
      <x:c r="BE22" s="502"/>
      <x:c r="BF22" s="502"/>
      <x:c r="BG22" s="502"/>
      <x:c r="BH22" s="502"/>
      <x:c r="BI22" s="502"/>
      <x:c r="BJ22" s="502"/>
      <x:c r="BK22" s="502"/>
      <x:c r="BL22" s="502"/>
      <x:c r="BM22" s="502"/>
      <x:c r="BN22" s="502"/>
      <x:c r="BO22" s="502"/>
      <x:c r="BP22" s="502"/>
      <x:c r="BQ22" s="502"/>
      <x:c r="BR22" s="502"/>
      <x:c r="BS22" s="502"/>
      <x:c r="BT22" s="502"/>
      <x:c r="BU22" s="502"/>
      <x:c r="BV22" s="502"/>
    </x:row>
    <x:row r="23" spans="1:109" ht="3" customHeight="1" s="143" customFormat="1">
      <x:c r="A23" s="502"/>
      <x:c r="B23" s="514"/>
      <x:c r="C23" s="515"/>
      <x:c r="D23" s="515"/>
      <x:c r="E23" s="515"/>
      <x:c r="F23" s="515"/>
      <x:c r="G23" s="515"/>
      <x:c r="H23" s="515"/>
      <x:c r="I23" s="515"/>
      <x:c r="J23" s="516"/>
      <x:c r="K23" s="515"/>
      <x:c r="L23" s="515"/>
      <x:c r="M23" s="515"/>
      <x:c r="N23" s="515"/>
      <x:c r="O23" s="515"/>
      <x:c r="P23" s="515"/>
      <x:c r="Q23" s="515"/>
      <x:c r="R23" s="515"/>
      <x:c r="S23" s="515"/>
      <x:c r="T23" s="515"/>
      <x:c r="U23" s="515"/>
      <x:c r="V23" s="515"/>
      <x:c r="W23" s="515"/>
      <x:c r="X23" s="515"/>
      <x:c r="Y23" s="515"/>
      <x:c r="Z23" s="515"/>
      <x:c r="AA23" s="515"/>
      <x:c r="AB23" s="515"/>
      <x:c r="AC23" s="515"/>
      <x:c r="AD23" s="515"/>
      <x:c r="AE23" s="515"/>
      <x:c r="AF23" s="515"/>
      <x:c r="AG23" s="515"/>
      <x:c r="AH23" s="515"/>
      <x:c r="AI23" s="515"/>
      <x:c r="AJ23" s="515"/>
      <x:c r="AK23" s="516"/>
      <x:c r="AL23" s="515"/>
      <x:c r="AM23" s="515"/>
      <x:c r="AN23" s="515"/>
      <x:c r="AO23" s="515"/>
      <x:c r="AP23" s="515"/>
      <x:c r="AQ23" s="515"/>
      <x:c r="AR23" s="515"/>
      <x:c r="AS23" s="515"/>
      <x:c r="AT23" s="515"/>
      <x:c r="AU23" s="515"/>
      <x:c r="AV23" s="515"/>
      <x:c r="AW23" s="515"/>
      <x:c r="AX23" s="515"/>
      <x:c r="AY23" s="515"/>
      <x:c r="AZ23" s="530"/>
      <x:c r="BA23" s="502"/>
      <x:c r="BB23" s="502"/>
      <x:c r="BC23" s="502"/>
      <x:c r="BD23" s="502"/>
      <x:c r="BE23" s="502"/>
      <x:c r="BF23" s="502"/>
      <x:c r="BG23" s="502"/>
      <x:c r="BH23" s="502"/>
      <x:c r="BI23" s="502"/>
      <x:c r="BJ23" s="502"/>
      <x:c r="BK23" s="502"/>
      <x:c r="BL23" s="502"/>
      <x:c r="BM23" s="502"/>
      <x:c r="BN23" s="502"/>
      <x:c r="BO23" s="502"/>
      <x:c r="BP23" s="502"/>
      <x:c r="BQ23" s="502"/>
      <x:c r="BR23" s="502"/>
      <x:c r="BS23" s="502"/>
      <x:c r="BT23" s="502"/>
      <x:c r="BU23" s="502"/>
      <x:c r="BV23" s="502"/>
    </x:row>
    <x:row r="24" spans="1:109" ht="13.5" customHeight="1" s="143" customFormat="1">
      <x:c r="A24" s="502"/>
      <x:c r="B24" s="531" t="s">
        <x:v>60</x:v>
      </x:c>
      <x:c r="C24" s="532"/>
      <x:c r="D24" s="532"/>
      <x:c r="E24" s="532"/>
      <x:c r="F24" s="532"/>
      <x:c r="G24" s="532"/>
      <x:c r="H24" s="532"/>
      <x:c r="I24" s="532"/>
      <x:c r="J24" s="532"/>
      <x:c r="K24" s="532"/>
      <x:c r="L24" s="532"/>
      <x:c r="M24" s="532"/>
      <x:c r="N24" s="532"/>
      <x:c r="O24" s="532"/>
      <x:c r="P24" s="532"/>
      <x:c r="Q24" s="532"/>
      <x:c r="R24" s="532"/>
      <x:c r="S24" s="532"/>
      <x:c r="T24" s="532"/>
      <x:c r="U24" s="532"/>
      <x:c r="V24" s="532"/>
      <x:c r="W24" s="532"/>
      <x:c r="X24" s="532"/>
      <x:c r="Y24" s="532"/>
      <x:c r="Z24" s="532"/>
      <x:c r="AA24" s="532"/>
      <x:c r="AB24" s="532" t="s">
        <x:v>61</x:v>
      </x:c>
      <x:c r="AC24" s="532"/>
      <x:c r="AD24" s="532"/>
      <x:c r="AE24" s="532"/>
      <x:c r="AF24" s="532"/>
      <x:c r="AG24" s="532"/>
      <x:c r="AH24" s="532"/>
      <x:c r="AI24" s="532"/>
      <x:c r="AJ24" s="532"/>
      <x:c r="AK24" s="532"/>
      <x:c r="AL24" s="532"/>
      <x:c r="AM24" s="532"/>
      <x:c r="AN24" s="532"/>
      <x:c r="AO24" s="532"/>
      <x:c r="AP24" s="532"/>
      <x:c r="AQ24" s="532"/>
      <x:c r="AR24" s="532"/>
      <x:c r="AS24" s="532"/>
      <x:c r="AT24" s="532"/>
      <x:c r="AU24" s="532"/>
      <x:c r="AV24" s="532"/>
      <x:c r="AW24" s="532"/>
      <x:c r="AX24" s="532"/>
      <x:c r="AY24" s="532"/>
      <x:c r="AZ24" s="533"/>
      <x:c r="BA24" s="502"/>
      <x:c r="BB24" s="502"/>
      <x:c r="BC24" s="502"/>
      <x:c r="BD24" s="502"/>
      <x:c r="BE24" s="502"/>
      <x:c r="BF24" s="502"/>
      <x:c r="BG24" s="502"/>
      <x:c r="BH24" s="502"/>
      <x:c r="BI24" s="502"/>
      <x:c r="BJ24" s="502"/>
      <x:c r="BK24" s="502"/>
      <x:c r="BL24" s="502"/>
      <x:c r="BM24" s="502"/>
      <x:c r="BN24" s="502"/>
      <x:c r="BO24" s="502"/>
      <x:c r="BP24" s="502"/>
      <x:c r="BQ24" s="502"/>
      <x:c r="BR24" s="502"/>
      <x:c r="BS24" s="502"/>
      <x:c r="BT24" s="502"/>
      <x:c r="BU24" s="502"/>
      <x:c r="BV24" s="502"/>
    </x:row>
    <x:row r="25" spans="1:109" ht="7.5" customHeight="1" s="143" customFormat="1">
      <x:c r="A25" s="502"/>
      <x:c r="B25" s="514" t="s">
        <x:v>62</x:v>
      </x:c>
      <x:c r="C25" s="515"/>
      <x:c r="D25" s="515"/>
      <x:c r="E25" s="515"/>
      <x:c r="F25" s="515"/>
      <x:c r="G25" s="516" t="s">
        <x:v>47</x:v>
      </x:c>
      <x:c r="H25" s="534" t="s">
        <x:v>143</x:v>
      </x:c>
      <x:c r="I25" s="534"/>
      <x:c r="J25" s="534"/>
      <x:c r="K25" s="534"/>
      <x:c r="L25" s="534"/>
      <x:c r="M25" s="534"/>
      <x:c r="N25" s="534"/>
      <x:c r="O25" s="534"/>
      <x:c r="P25" s="534"/>
      <x:c r="Q25" s="534"/>
      <x:c r="R25" s="534"/>
      <x:c r="S25" s="534"/>
      <x:c r="T25" s="534"/>
      <x:c r="U25" s="534"/>
      <x:c r="V25" s="534"/>
      <x:c r="W25" s="534"/>
      <x:c r="X25" s="534"/>
      <x:c r="Y25" s="534"/>
      <x:c r="Z25" s="534"/>
      <x:c r="AA25" s="535"/>
      <x:c r="AB25" s="536"/>
      <x:c r="AC25" s="504"/>
      <x:c r="AD25" s="504"/>
      <x:c r="AE25" s="537" t="s">
        <x:v>169</x:v>
      </x:c>
      <x:c r="AF25" s="504"/>
      <x:c r="AG25" s="515" t="s">
        <x:v>63</x:v>
      </x:c>
      <x:c r="AH25" s="515"/>
      <x:c r="AI25" s="515"/>
      <x:c r="AJ25" s="515"/>
      <x:c r="AK25" s="515"/>
      <x:c r="AL25" s="515"/>
      <x:c r="AM25" s="515"/>
      <x:c r="AN25" s="515"/>
      <x:c r="AO25" s="515"/>
      <x:c r="AP25" s="515"/>
      <x:c r="AQ25" s="515"/>
      <x:c r="AR25" s="515"/>
      <x:c r="AS25" s="515"/>
      <x:c r="AT25" s="515"/>
      <x:c r="AU25" s="515"/>
      <x:c r="AV25" s="515"/>
      <x:c r="AW25" s="515"/>
      <x:c r="AX25" s="515"/>
      <x:c r="AY25" s="515"/>
      <x:c r="AZ25" s="530"/>
      <x:c r="BA25" s="502"/>
      <x:c r="BB25" s="502"/>
      <x:c r="BC25" s="502"/>
      <x:c r="BD25" s="502"/>
      <x:c r="BE25" s="502"/>
      <x:c r="BF25" s="502"/>
      <x:c r="BG25" s="502"/>
      <x:c r="BH25" s="502"/>
      <x:c r="BI25" s="502"/>
      <x:c r="BJ25" s="502"/>
      <x:c r="BK25" s="502"/>
      <x:c r="BL25" s="502"/>
      <x:c r="BM25" s="502"/>
      <x:c r="BN25" s="502"/>
      <x:c r="BO25" s="502"/>
      <x:c r="BP25" s="502"/>
      <x:c r="BQ25" s="502"/>
      <x:c r="BR25" s="502"/>
      <x:c r="BS25" s="502"/>
      <x:c r="BT25" s="502"/>
      <x:c r="BU25" s="502"/>
      <x:c r="BV25" s="502"/>
    </x:row>
    <x:row r="26" spans="1:109" ht="7.5" customHeight="1" s="143" customFormat="1">
      <x:c r="A26" s="502"/>
      <x:c r="B26" s="514"/>
      <x:c r="C26" s="515"/>
      <x:c r="D26" s="515"/>
      <x:c r="E26" s="515"/>
      <x:c r="F26" s="515"/>
      <x:c r="G26" s="516"/>
      <x:c r="H26" s="538"/>
      <x:c r="I26" s="538"/>
      <x:c r="J26" s="538"/>
      <x:c r="K26" s="538"/>
      <x:c r="L26" s="538"/>
      <x:c r="M26" s="538"/>
      <x:c r="N26" s="538"/>
      <x:c r="O26" s="538"/>
      <x:c r="P26" s="538"/>
      <x:c r="Q26" s="538"/>
      <x:c r="R26" s="538"/>
      <x:c r="S26" s="538"/>
      <x:c r="T26" s="538"/>
      <x:c r="U26" s="538"/>
      <x:c r="V26" s="538"/>
      <x:c r="W26" s="538"/>
      <x:c r="X26" s="538"/>
      <x:c r="Y26" s="538"/>
      <x:c r="Z26" s="538"/>
      <x:c r="AA26" s="539"/>
      <x:c r="AB26" s="540"/>
      <x:c r="AC26" s="504"/>
      <x:c r="AD26" s="504"/>
      <x:c r="AE26" s="537"/>
      <x:c r="AF26" s="504"/>
      <x:c r="AG26" s="515"/>
      <x:c r="AH26" s="515"/>
      <x:c r="AI26" s="515"/>
      <x:c r="AJ26" s="515"/>
      <x:c r="AK26" s="515"/>
      <x:c r="AL26" s="515"/>
      <x:c r="AM26" s="515"/>
      <x:c r="AN26" s="515"/>
      <x:c r="AO26" s="515"/>
      <x:c r="AP26" s="515"/>
      <x:c r="AQ26" s="515"/>
      <x:c r="AR26" s="515"/>
      <x:c r="AS26" s="515"/>
      <x:c r="AT26" s="515"/>
      <x:c r="AU26" s="515"/>
      <x:c r="AV26" s="515"/>
      <x:c r="AW26" s="515"/>
      <x:c r="AX26" s="515"/>
      <x:c r="AY26" s="515"/>
      <x:c r="AZ26" s="530"/>
      <x:c r="BA26" s="502"/>
      <x:c r="BB26" s="502"/>
      <x:c r="BC26" s="502"/>
      <x:c r="BD26" s="502"/>
      <x:c r="BE26" s="502"/>
      <x:c r="BF26" s="502"/>
      <x:c r="BG26" s="502"/>
      <x:c r="BH26" s="502"/>
      <x:c r="BI26" s="502"/>
      <x:c r="BJ26" s="502"/>
      <x:c r="BK26" s="502"/>
      <x:c r="BL26" s="502"/>
      <x:c r="BM26" s="502"/>
      <x:c r="BN26" s="502"/>
      <x:c r="BO26" s="502"/>
      <x:c r="BP26" s="502"/>
      <x:c r="BQ26" s="502"/>
      <x:c r="BR26" s="502"/>
      <x:c r="BS26" s="502"/>
      <x:c r="BT26" s="502"/>
      <x:c r="BU26" s="502"/>
      <x:c r="BV26" s="502"/>
    </x:row>
    <x:row r="27" spans="1:109" ht="7.5" customHeight="1" s="143" customFormat="1">
      <x:c r="A27" s="502"/>
      <x:c r="B27" s="514" t="s">
        <x:v>64</x:v>
      </x:c>
      <x:c r="C27" s="515"/>
      <x:c r="D27" s="515"/>
      <x:c r="E27" s="515"/>
      <x:c r="F27" s="515"/>
      <x:c r="G27" s="516" t="s">
        <x:v>47</x:v>
      </x:c>
      <x:c r="H27" s="541" t="s">
        <x:v>143</x:v>
      </x:c>
      <x:c r="I27" s="541"/>
      <x:c r="J27" s="541"/>
      <x:c r="K27" s="541"/>
      <x:c r="L27" s="541"/>
      <x:c r="M27" s="541"/>
      <x:c r="N27" s="541"/>
      <x:c r="O27" s="541"/>
      <x:c r="P27" s="541"/>
      <x:c r="Q27" s="541"/>
      <x:c r="R27" s="541"/>
      <x:c r="S27" s="541"/>
      <x:c r="T27" s="541"/>
      <x:c r="U27" s="541"/>
      <x:c r="V27" s="541"/>
      <x:c r="W27" s="541"/>
      <x:c r="X27" s="541"/>
      <x:c r="Y27" s="541"/>
      <x:c r="Z27" s="541"/>
      <x:c r="AA27" s="539"/>
      <x:c r="AB27" s="540"/>
      <x:c r="AC27" s="504"/>
      <x:c r="AD27" s="504"/>
      <x:c r="AE27" s="537" t="s">
        <x:v>170</x:v>
      </x:c>
      <x:c r="AF27" s="504"/>
      <x:c r="AG27" s="515" t="s">
        <x:v>65</x:v>
      </x:c>
      <x:c r="AH27" s="515"/>
      <x:c r="AI27" s="515"/>
      <x:c r="AJ27" s="515"/>
      <x:c r="AK27" s="515"/>
      <x:c r="AL27" s="515"/>
      <x:c r="AM27" s="515"/>
      <x:c r="AN27" s="515"/>
      <x:c r="AO27" s="515"/>
      <x:c r="AP27" s="515"/>
      <x:c r="AQ27" s="515"/>
      <x:c r="AR27" s="515"/>
      <x:c r="AS27" s="515"/>
      <x:c r="AT27" s="515"/>
      <x:c r="AU27" s="515"/>
      <x:c r="AV27" s="515"/>
      <x:c r="AW27" s="515"/>
      <x:c r="AX27" s="515"/>
      <x:c r="AY27" s="515"/>
      <x:c r="AZ27" s="530"/>
      <x:c r="BA27" s="502"/>
      <x:c r="BB27" s="502"/>
      <x:c r="BC27" s="502"/>
      <x:c r="BD27" s="502"/>
      <x:c r="BE27" s="502"/>
      <x:c r="BF27" s="502"/>
      <x:c r="BG27" s="502"/>
      <x:c r="BH27" s="502"/>
      <x:c r="BI27" s="502"/>
      <x:c r="BJ27" s="502"/>
      <x:c r="BK27" s="502"/>
      <x:c r="BL27" s="502"/>
      <x:c r="BM27" s="502"/>
      <x:c r="BN27" s="502"/>
      <x:c r="BO27" s="542"/>
      <x:c r="BP27" s="542"/>
      <x:c r="BQ27" s="502"/>
      <x:c r="BR27" s="502"/>
      <x:c r="BS27" s="502"/>
      <x:c r="BT27" s="502"/>
      <x:c r="BU27" s="502"/>
      <x:c r="BV27" s="502"/>
    </x:row>
    <x:row r="28" spans="1:109" ht="7.5" customHeight="1" s="143" customFormat="1">
      <x:c r="A28" s="502"/>
      <x:c r="B28" s="514"/>
      <x:c r="C28" s="515"/>
      <x:c r="D28" s="515"/>
      <x:c r="E28" s="515"/>
      <x:c r="F28" s="515"/>
      <x:c r="G28" s="516"/>
      <x:c r="H28" s="543"/>
      <x:c r="I28" s="543"/>
      <x:c r="J28" s="543"/>
      <x:c r="K28" s="543"/>
      <x:c r="L28" s="543"/>
      <x:c r="M28" s="543"/>
      <x:c r="N28" s="543"/>
      <x:c r="O28" s="543"/>
      <x:c r="P28" s="543"/>
      <x:c r="Q28" s="543"/>
      <x:c r="R28" s="543"/>
      <x:c r="S28" s="543"/>
      <x:c r="T28" s="543"/>
      <x:c r="U28" s="543"/>
      <x:c r="V28" s="543"/>
      <x:c r="W28" s="543"/>
      <x:c r="X28" s="543"/>
      <x:c r="Y28" s="543"/>
      <x:c r="Z28" s="543"/>
      <x:c r="AA28" s="539"/>
      <x:c r="AB28" s="540"/>
      <x:c r="AC28" s="504"/>
      <x:c r="AD28" s="504"/>
      <x:c r="AE28" s="537"/>
      <x:c r="AF28" s="504"/>
      <x:c r="AG28" s="515"/>
      <x:c r="AH28" s="515"/>
      <x:c r="AI28" s="515"/>
      <x:c r="AJ28" s="515"/>
      <x:c r="AK28" s="515"/>
      <x:c r="AL28" s="515"/>
      <x:c r="AM28" s="515"/>
      <x:c r="AN28" s="515"/>
      <x:c r="AO28" s="515"/>
      <x:c r="AP28" s="515"/>
      <x:c r="AQ28" s="515"/>
      <x:c r="AR28" s="515"/>
      <x:c r="AS28" s="515"/>
      <x:c r="AT28" s="515"/>
      <x:c r="AU28" s="515"/>
      <x:c r="AV28" s="515"/>
      <x:c r="AW28" s="515"/>
      <x:c r="AX28" s="515"/>
      <x:c r="AY28" s="515"/>
      <x:c r="AZ28" s="530"/>
      <x:c r="BA28" s="502"/>
      <x:c r="BB28" s="502"/>
      <x:c r="BC28" s="502"/>
      <x:c r="BD28" s="502"/>
      <x:c r="BE28" s="502"/>
      <x:c r="BF28" s="502"/>
      <x:c r="BG28" s="502"/>
      <x:c r="BH28" s="502"/>
      <x:c r="BI28" s="502"/>
      <x:c r="BJ28" s="502"/>
      <x:c r="BK28" s="502"/>
      <x:c r="BL28" s="502"/>
      <x:c r="BM28" s="502"/>
      <x:c r="BN28" s="502"/>
      <x:c r="BO28" s="542"/>
      <x:c r="BP28" s="542"/>
      <x:c r="BQ28" s="502"/>
      <x:c r="BR28" s="502"/>
      <x:c r="BS28" s="502"/>
      <x:c r="BT28" s="502"/>
      <x:c r="BU28" s="502"/>
      <x:c r="BV28" s="502"/>
    </x:row>
    <x:row r="29" spans="1:109" ht="13.5" customHeight="1" s="143" customFormat="1">
      <x:c r="A29" s="502"/>
      <x:c r="B29" s="503"/>
      <x:c r="C29" s="504"/>
      <x:c r="D29" s="504"/>
      <x:c r="E29" s="504"/>
      <x:c r="F29" s="504"/>
      <x:c r="G29" s="504"/>
      <x:c r="H29" s="543"/>
      <x:c r="I29" s="543"/>
      <x:c r="J29" s="543"/>
      <x:c r="K29" s="543"/>
      <x:c r="L29" s="543"/>
      <x:c r="M29" s="543"/>
      <x:c r="N29" s="543"/>
      <x:c r="O29" s="543"/>
      <x:c r="P29" s="543"/>
      <x:c r="Q29" s="543"/>
      <x:c r="R29" s="543"/>
      <x:c r="S29" s="543"/>
      <x:c r="T29" s="543"/>
      <x:c r="U29" s="543"/>
      <x:c r="V29" s="543"/>
      <x:c r="W29" s="543"/>
      <x:c r="X29" s="543"/>
      <x:c r="Y29" s="543"/>
      <x:c r="Z29" s="543"/>
      <x:c r="AA29" s="539"/>
      <x:c r="AB29" s="540"/>
      <x:c r="AC29" s="504"/>
      <x:c r="AD29" s="504"/>
      <x:c r="AE29" s="504"/>
      <x:c r="AF29" s="504"/>
      <x:c r="AG29" s="526" t="s">
        <x:v>170</x:v>
      </x:c>
      <x:c r="AH29" s="526"/>
      <x:c r="AI29" s="526"/>
      <x:c r="AJ29" s="526"/>
      <x:c r="AK29" s="526"/>
      <x:c r="AL29" s="526"/>
      <x:c r="AM29" s="526"/>
      <x:c r="AN29" s="526"/>
      <x:c r="AO29" s="526"/>
      <x:c r="AP29" s="526"/>
      <x:c r="AQ29" s="526"/>
      <x:c r="AR29" s="526"/>
      <x:c r="AS29" s="526"/>
      <x:c r="AT29" s="526"/>
      <x:c r="AU29" s="526"/>
      <x:c r="AV29" s="526"/>
      <x:c r="AW29" s="526"/>
      <x:c r="AX29" s="526"/>
      <x:c r="AY29" s="504"/>
      <x:c r="AZ29" s="509"/>
      <x:c r="BA29" s="502"/>
      <x:c r="BB29" s="502"/>
      <x:c r="BC29" s="502"/>
      <x:c r="BD29" s="502"/>
      <x:c r="BE29" s="502"/>
      <x:c r="BF29" s="502"/>
      <x:c r="BG29" s="502"/>
      <x:c r="BH29" s="502"/>
      <x:c r="BI29" s="502"/>
      <x:c r="BJ29" s="502"/>
      <x:c r="BK29" s="502"/>
      <x:c r="BL29" s="502"/>
      <x:c r="BM29" s="502"/>
      <x:c r="BN29" s="502"/>
      <x:c r="BO29" s="502"/>
      <x:c r="BP29" s="502"/>
      <x:c r="BQ29" s="502"/>
      <x:c r="BR29" s="502"/>
      <x:c r="BS29" s="502"/>
      <x:c r="BT29" s="502"/>
      <x:c r="BU29" s="502"/>
      <x:c r="BV29" s="502"/>
    </x:row>
    <x:row r="30" spans="1:109" ht="2.25" customHeight="1" s="143" customFormat="1">
      <x:c r="A30" s="502"/>
      <x:c r="B30" s="503"/>
      <x:c r="C30" s="504"/>
      <x:c r="D30" s="504"/>
      <x:c r="E30" s="504"/>
      <x:c r="F30" s="504"/>
      <x:c r="G30" s="504"/>
      <x:c r="H30" s="544"/>
      <x:c r="I30" s="544"/>
      <x:c r="J30" s="544"/>
      <x:c r="K30" s="544"/>
      <x:c r="L30" s="544"/>
      <x:c r="M30" s="544"/>
      <x:c r="N30" s="544"/>
      <x:c r="O30" s="544"/>
      <x:c r="P30" s="544"/>
      <x:c r="Q30" s="544"/>
      <x:c r="R30" s="544"/>
      <x:c r="S30" s="544"/>
      <x:c r="T30" s="544"/>
      <x:c r="U30" s="544"/>
      <x:c r="V30" s="544"/>
      <x:c r="W30" s="544"/>
      <x:c r="X30" s="544"/>
      <x:c r="Y30" s="544"/>
      <x:c r="Z30" s="544"/>
      <x:c r="AA30" s="545"/>
      <x:c r="AB30" s="546"/>
      <x:c r="AC30" s="504"/>
      <x:c r="AD30" s="504"/>
      <x:c r="AE30" s="504"/>
      <x:c r="AF30" s="504"/>
      <x:c r="AG30" s="504"/>
      <x:c r="AH30" s="504"/>
      <x:c r="AI30" s="504"/>
      <x:c r="AJ30" s="504"/>
      <x:c r="AK30" s="504"/>
      <x:c r="AL30" s="504"/>
      <x:c r="AM30" s="504"/>
      <x:c r="AN30" s="504"/>
      <x:c r="AO30" s="504"/>
      <x:c r="AP30" s="504"/>
      <x:c r="AQ30" s="504"/>
      <x:c r="AR30" s="504"/>
      <x:c r="AS30" s="504"/>
      <x:c r="AT30" s="504"/>
      <x:c r="AU30" s="504"/>
      <x:c r="AV30" s="504"/>
      <x:c r="AW30" s="504"/>
      <x:c r="AX30" s="504"/>
      <x:c r="AY30" s="504"/>
      <x:c r="AZ30" s="509"/>
      <x:c r="BA30" s="502"/>
      <x:c r="BB30" s="502"/>
      <x:c r="BC30" s="502"/>
      <x:c r="BD30" s="502"/>
      <x:c r="BE30" s="502"/>
      <x:c r="BF30" s="502"/>
      <x:c r="BG30" s="502"/>
      <x:c r="BH30" s="502"/>
      <x:c r="BI30" s="502"/>
      <x:c r="BJ30" s="502"/>
      <x:c r="BK30" s="502"/>
      <x:c r="BL30" s="502"/>
      <x:c r="BM30" s="502"/>
      <x:c r="BN30" s="502"/>
      <x:c r="BO30" s="502"/>
      <x:c r="BP30" s="502"/>
      <x:c r="BQ30" s="502"/>
      <x:c r="BR30" s="502"/>
      <x:c r="BS30" s="502"/>
      <x:c r="BT30" s="502"/>
      <x:c r="BU30" s="502"/>
      <x:c r="BV30" s="502"/>
    </x:row>
    <x:row r="31" spans="1:109" ht="13.5" customHeight="1" s="143" customFormat="1">
      <x:c r="A31" s="502"/>
      <x:c r="B31" s="531" t="s">
        <x:v>66</x:v>
      </x:c>
      <x:c r="C31" s="532"/>
      <x:c r="D31" s="532"/>
      <x:c r="E31" s="532"/>
      <x:c r="F31" s="532"/>
      <x:c r="G31" s="532"/>
      <x:c r="H31" s="532"/>
      <x:c r="I31" s="532"/>
      <x:c r="J31" s="532"/>
      <x:c r="K31" s="532"/>
      <x:c r="L31" s="532"/>
      <x:c r="M31" s="532"/>
      <x:c r="N31" s="532"/>
      <x:c r="O31" s="532"/>
      <x:c r="P31" s="532"/>
      <x:c r="Q31" s="532"/>
      <x:c r="R31" s="532"/>
      <x:c r="S31" s="532"/>
      <x:c r="T31" s="532"/>
      <x:c r="U31" s="532"/>
      <x:c r="V31" s="532"/>
      <x:c r="W31" s="532"/>
      <x:c r="X31" s="532"/>
      <x:c r="Y31" s="532"/>
      <x:c r="Z31" s="532"/>
      <x:c r="AA31" s="532"/>
      <x:c r="AB31" s="532"/>
      <x:c r="AC31" s="532"/>
      <x:c r="AD31" s="532"/>
      <x:c r="AE31" s="532"/>
      <x:c r="AF31" s="532"/>
      <x:c r="AG31" s="532"/>
      <x:c r="AH31" s="532"/>
      <x:c r="AI31" s="532"/>
      <x:c r="AJ31" s="532"/>
      <x:c r="AK31" s="532"/>
      <x:c r="AL31" s="532"/>
      <x:c r="AM31" s="532"/>
      <x:c r="AN31" s="532"/>
      <x:c r="AO31" s="532"/>
      <x:c r="AP31" s="532"/>
      <x:c r="AQ31" s="532"/>
      <x:c r="AR31" s="532"/>
      <x:c r="AS31" s="532"/>
      <x:c r="AT31" s="532"/>
      <x:c r="AU31" s="532"/>
      <x:c r="AV31" s="532"/>
      <x:c r="AW31" s="532"/>
      <x:c r="AX31" s="532"/>
      <x:c r="AY31" s="532"/>
      <x:c r="AZ31" s="533"/>
      <x:c r="BA31" s="502"/>
      <x:c r="BB31" s="502"/>
      <x:c r="BC31" s="502"/>
      <x:c r="BD31" s="502"/>
      <x:c r="BE31" s="502"/>
      <x:c r="BF31" s="502"/>
      <x:c r="BG31" s="502"/>
      <x:c r="BH31" s="502"/>
      <x:c r="BI31" s="502"/>
      <x:c r="BJ31" s="502"/>
      <x:c r="BK31" s="502"/>
      <x:c r="BL31" s="502"/>
      <x:c r="BM31" s="502"/>
      <x:c r="BN31" s="502"/>
      <x:c r="BO31" s="502"/>
      <x:c r="BP31" s="502"/>
      <x:c r="BQ31" s="502"/>
      <x:c r="BR31" s="502"/>
      <x:c r="BS31" s="502"/>
      <x:c r="BT31" s="502"/>
      <x:c r="BU31" s="502"/>
      <x:c r="BV31" s="502"/>
    </x:row>
    <x:row r="32" spans="1:109" ht="12.75" customHeight="1" s="143" customFormat="1">
      <x:c r="A32" s="502"/>
      <x:c r="B32" s="547" t="s">
        <x:v>23</x:v>
      </x:c>
      <x:c r="C32" s="537"/>
      <x:c r="D32" s="537"/>
      <x:c r="E32" s="537"/>
      <x:c r="F32" s="537"/>
      <x:c r="G32" s="537"/>
      <x:c r="H32" s="537"/>
      <x:c r="I32" s="537"/>
      <x:c r="J32" s="537"/>
      <x:c r="K32" s="537"/>
      <x:c r="L32" s="537"/>
      <x:c r="M32" s="537"/>
      <x:c r="N32" s="537"/>
      <x:c r="O32" s="537"/>
      <x:c r="P32" s="537"/>
      <x:c r="Q32" s="548" t="s">
        <x:v>24</x:v>
      </x:c>
      <x:c r="R32" s="537"/>
      <x:c r="S32" s="537"/>
      <x:c r="T32" s="537"/>
      <x:c r="U32" s="537"/>
      <x:c r="V32" s="537"/>
      <x:c r="W32" s="537"/>
      <x:c r="X32" s="537"/>
      <x:c r="Y32" s="537"/>
      <x:c r="Z32" s="537"/>
      <x:c r="AA32" s="549"/>
      <x:c r="AB32" s="537" t="s">
        <x:v>25</x:v>
      </x:c>
      <x:c r="AC32" s="537"/>
      <x:c r="AD32" s="537"/>
      <x:c r="AE32" s="537"/>
      <x:c r="AF32" s="537"/>
      <x:c r="AG32" s="537"/>
      <x:c r="AH32" s="537"/>
      <x:c r="AI32" s="537"/>
      <x:c r="AJ32" s="537"/>
      <x:c r="AK32" s="537"/>
      <x:c r="AL32" s="537"/>
      <x:c r="AM32" s="537"/>
      <x:c r="AN32" s="549"/>
      <x:c r="AO32" s="537" t="s">
        <x:v>26</x:v>
      </x:c>
      <x:c r="AP32" s="537"/>
      <x:c r="AQ32" s="537"/>
      <x:c r="AR32" s="537"/>
      <x:c r="AS32" s="537"/>
      <x:c r="AT32" s="537"/>
      <x:c r="AU32" s="537"/>
      <x:c r="AV32" s="537"/>
      <x:c r="AW32" s="537"/>
      <x:c r="AX32" s="537"/>
      <x:c r="AY32" s="537"/>
      <x:c r="AZ32" s="550"/>
      <x:c r="BA32" s="502"/>
      <x:c r="BB32" s="502"/>
      <x:c r="BC32" s="502"/>
      <x:c r="BD32" s="502"/>
      <x:c r="BE32" s="502"/>
      <x:c r="BF32" s="502"/>
      <x:c r="BG32" s="502"/>
      <x:c r="BH32" s="502"/>
      <x:c r="BI32" s="502"/>
      <x:c r="BJ32" s="502"/>
      <x:c r="BK32" s="502"/>
      <x:c r="BL32" s="502"/>
      <x:c r="BM32" s="502"/>
      <x:c r="BN32" s="502"/>
      <x:c r="BO32" s="502"/>
      <x:c r="BP32" s="502"/>
      <x:c r="BQ32" s="502"/>
      <x:c r="BR32" s="502"/>
      <x:c r="BS32" s="502"/>
      <x:c r="BT32" s="502"/>
      <x:c r="BU32" s="502"/>
      <x:c r="BV32" s="502"/>
    </x:row>
    <x:row r="33" spans="1:109" ht="13.5" customHeight="1" s="143" customFormat="1">
      <x:c r="A33" s="502" t="s">
        <x:v>171</x:v>
      </x:c>
      <x:c r="B33" s="551"/>
      <x:c r="C33" s="552"/>
      <x:c r="D33" s="552"/>
      <x:c r="E33" s="552"/>
      <x:c r="F33" s="552"/>
      <x:c r="G33" s="552"/>
      <x:c r="H33" s="552"/>
      <x:c r="I33" s="552"/>
      <x:c r="J33" s="552"/>
      <x:c r="K33" s="552"/>
      <x:c r="L33" s="552"/>
      <x:c r="M33" s="552"/>
      <x:c r="N33" s="552"/>
      <x:c r="O33" s="552"/>
      <x:c r="P33" s="553"/>
      <x:c r="Q33" s="554" t="s">
        <x:v>172</x:v>
      </x:c>
      <x:c r="R33" s="552"/>
      <x:c r="S33" s="552"/>
      <x:c r="T33" s="552"/>
      <x:c r="U33" s="552"/>
      <x:c r="V33" s="552"/>
      <x:c r="W33" s="552"/>
      <x:c r="X33" s="552"/>
      <x:c r="Y33" s="552"/>
      <x:c r="Z33" s="552"/>
      <x:c r="AA33" s="553"/>
      <x:c r="AB33" s="555" t="s">
        <x:v>173</x:v>
      </x:c>
      <x:c r="AC33" s="556"/>
      <x:c r="AD33" s="556"/>
      <x:c r="AE33" s="556"/>
      <x:c r="AF33" s="556"/>
      <x:c r="AG33" s="556"/>
      <x:c r="AH33" s="556"/>
      <x:c r="AI33" s="556"/>
      <x:c r="AJ33" s="556"/>
      <x:c r="AK33" s="556"/>
      <x:c r="AL33" s="556"/>
      <x:c r="AM33" s="556"/>
      <x:c r="AN33" s="557"/>
      <x:c r="AO33" s="558" t="s">
        <x:v>168</x:v>
      </x:c>
      <x:c r="AP33" s="559"/>
      <x:c r="AQ33" s="559"/>
      <x:c r="AR33" s="559"/>
      <x:c r="AS33" s="559"/>
      <x:c r="AT33" s="559"/>
      <x:c r="AU33" s="559"/>
      <x:c r="AV33" s="559"/>
      <x:c r="AW33" s="559"/>
      <x:c r="AX33" s="559"/>
      <x:c r="AY33" s="559"/>
      <x:c r="AZ33" s="560"/>
      <x:c r="BA33" s="502"/>
      <x:c r="BB33" s="502"/>
      <x:c r="BC33" s="502"/>
      <x:c r="BD33" s="502"/>
      <x:c r="BE33" s="502"/>
      <x:c r="BF33" s="502"/>
      <x:c r="BG33" s="502"/>
      <x:c r="BH33" s="502"/>
      <x:c r="BI33" s="502"/>
      <x:c r="BJ33" s="502"/>
      <x:c r="BK33" s="502"/>
      <x:c r="BL33" s="502"/>
      <x:c r="BM33" s="502"/>
      <x:c r="BN33" s="502"/>
      <x:c r="BO33" s="502"/>
      <x:c r="BP33" s="502"/>
      <x:c r="BQ33" s="502"/>
      <x:c r="BR33" s="502"/>
      <x:c r="BS33" s="502"/>
      <x:c r="BT33" s="502"/>
      <x:c r="BU33" s="502"/>
      <x:c r="BV33" s="502"/>
    </x:row>
    <x:row r="34" spans="1:109" ht="14.25" customHeight="1" s="143" customFormat="1">
      <x:c r="A34" s="502" t="s">
        <x:v>170</x:v>
      </x:c>
      <x:c r="B34" s="561"/>
      <x:c r="C34" s="562"/>
      <x:c r="D34" s="562"/>
      <x:c r="E34" s="562"/>
      <x:c r="F34" s="562"/>
      <x:c r="G34" s="562"/>
      <x:c r="H34" s="562"/>
      <x:c r="I34" s="562"/>
      <x:c r="J34" s="562"/>
      <x:c r="K34" s="562"/>
      <x:c r="L34" s="562"/>
      <x:c r="M34" s="562"/>
      <x:c r="N34" s="562"/>
      <x:c r="O34" s="562"/>
      <x:c r="P34" s="562"/>
      <x:c r="Q34" s="563" t="s">
        <x:v>170</x:v>
      </x:c>
      <x:c r="R34" s="562"/>
      <x:c r="S34" s="562"/>
      <x:c r="T34" s="562"/>
      <x:c r="U34" s="562"/>
      <x:c r="V34" s="562"/>
      <x:c r="W34" s="562"/>
      <x:c r="X34" s="562"/>
      <x:c r="Y34" s="562"/>
      <x:c r="Z34" s="562"/>
      <x:c r="AA34" s="564"/>
      <x:c r="AB34" s="562" t="s">
        <x:v>170</x:v>
      </x:c>
      <x:c r="AC34" s="562"/>
      <x:c r="AD34" s="562"/>
      <x:c r="AE34" s="562"/>
      <x:c r="AF34" s="562"/>
      <x:c r="AG34" s="562"/>
      <x:c r="AH34" s="562"/>
      <x:c r="AI34" s="562"/>
      <x:c r="AJ34" s="562"/>
      <x:c r="AK34" s="562"/>
      <x:c r="AL34" s="562"/>
      <x:c r="AM34" s="562"/>
      <x:c r="AN34" s="564"/>
      <x:c r="AO34" s="565" t="s">
        <x:v>170</x:v>
      </x:c>
      <x:c r="AP34" s="562"/>
      <x:c r="AQ34" s="562"/>
      <x:c r="AR34" s="562"/>
      <x:c r="AS34" s="562"/>
      <x:c r="AT34" s="562"/>
      <x:c r="AU34" s="562"/>
      <x:c r="AV34" s="562"/>
      <x:c r="AW34" s="562"/>
      <x:c r="AX34" s="562"/>
      <x:c r="AY34" s="562"/>
      <x:c r="AZ34" s="566"/>
      <x:c r="BA34" s="502"/>
      <x:c r="BB34" s="502"/>
      <x:c r="BC34" s="502"/>
      <x:c r="BD34" s="502"/>
      <x:c r="BE34" s="502"/>
      <x:c r="BF34" s="502"/>
      <x:c r="BG34" s="502"/>
      <x:c r="BH34" s="502"/>
      <x:c r="BI34" s="502"/>
      <x:c r="BJ34" s="502"/>
      <x:c r="BK34" s="502"/>
      <x:c r="BL34" s="502"/>
      <x:c r="BM34" s="502"/>
      <x:c r="BN34" s="502"/>
      <x:c r="BO34" s="502"/>
      <x:c r="BP34" s="502"/>
      <x:c r="BQ34" s="502"/>
      <x:c r="BR34" s="502"/>
      <x:c r="BS34" s="502"/>
      <x:c r="BT34" s="502"/>
      <x:c r="BU34" s="502"/>
      <x:c r="BV34" s="502"/>
    </x:row>
    <x:row r="35" spans="1:109" ht="13.5" customHeight="1" s="143" customFormat="1">
      <x:c r="A35" s="502"/>
      <x:c r="B35" s="511" t="s">
        <x:v>67</x:v>
      </x:c>
      <x:c r="C35" s="512"/>
      <x:c r="D35" s="512"/>
      <x:c r="E35" s="512"/>
      <x:c r="F35" s="512"/>
      <x:c r="G35" s="512"/>
      <x:c r="H35" s="512"/>
      <x:c r="I35" s="512"/>
      <x:c r="J35" s="512"/>
      <x:c r="K35" s="512"/>
      <x:c r="L35" s="512"/>
      <x:c r="M35" s="512"/>
      <x:c r="N35" s="512"/>
      <x:c r="O35" s="512"/>
      <x:c r="P35" s="512"/>
      <x:c r="Q35" s="512"/>
      <x:c r="R35" s="512"/>
      <x:c r="S35" s="512"/>
      <x:c r="T35" s="512"/>
      <x:c r="U35" s="512"/>
      <x:c r="V35" s="512"/>
      <x:c r="W35" s="512"/>
      <x:c r="X35" s="512"/>
      <x:c r="Y35" s="512"/>
      <x:c r="Z35" s="512"/>
      <x:c r="AA35" s="512"/>
      <x:c r="AB35" s="512"/>
      <x:c r="AC35" s="512"/>
      <x:c r="AD35" s="512"/>
      <x:c r="AE35" s="512"/>
      <x:c r="AF35" s="512"/>
      <x:c r="AG35" s="512"/>
      <x:c r="AH35" s="512"/>
      <x:c r="AI35" s="512"/>
      <x:c r="AJ35" s="512"/>
      <x:c r="AK35" s="512"/>
      <x:c r="AL35" s="512"/>
      <x:c r="AM35" s="512"/>
      <x:c r="AN35" s="512"/>
      <x:c r="AO35" s="512"/>
      <x:c r="AP35" s="512"/>
      <x:c r="AQ35" s="512"/>
      <x:c r="AR35" s="512"/>
      <x:c r="AS35" s="512"/>
      <x:c r="AT35" s="512"/>
      <x:c r="AU35" s="512"/>
      <x:c r="AV35" s="512"/>
      <x:c r="AW35" s="512"/>
      <x:c r="AX35" s="512"/>
      <x:c r="AY35" s="512"/>
      <x:c r="AZ35" s="513"/>
      <x:c r="BA35" s="502"/>
      <x:c r="BB35" s="502"/>
      <x:c r="BC35" s="502"/>
      <x:c r="BD35" s="502"/>
      <x:c r="BE35" s="502"/>
      <x:c r="BF35" s="502"/>
      <x:c r="BG35" s="502"/>
      <x:c r="BH35" s="502"/>
      <x:c r="BI35" s="502"/>
      <x:c r="BJ35" s="502"/>
      <x:c r="BK35" s="502"/>
      <x:c r="BL35" s="502"/>
      <x:c r="BM35" s="502"/>
      <x:c r="BN35" s="502"/>
      <x:c r="BO35" s="502"/>
      <x:c r="BP35" s="502"/>
      <x:c r="BQ35" s="502"/>
      <x:c r="BR35" s="502"/>
      <x:c r="BS35" s="502"/>
      <x:c r="BT35" s="502"/>
      <x:c r="BU35" s="502"/>
      <x:c r="BV35" s="502"/>
    </x:row>
    <x:row r="36" spans="1:109" ht="12.75" customHeight="1" s="143" customFormat="1">
      <x:c r="A36" s="502"/>
      <x:c r="B36" s="547" t="s">
        <x:v>23</x:v>
      </x:c>
      <x:c r="C36" s="537"/>
      <x:c r="D36" s="537"/>
      <x:c r="E36" s="537"/>
      <x:c r="F36" s="537"/>
      <x:c r="G36" s="537"/>
      <x:c r="H36" s="537"/>
      <x:c r="I36" s="537"/>
      <x:c r="J36" s="537"/>
      <x:c r="K36" s="537"/>
      <x:c r="L36" s="537"/>
      <x:c r="M36" s="537"/>
      <x:c r="N36" s="537"/>
      <x:c r="O36" s="537"/>
      <x:c r="P36" s="537"/>
      <x:c r="Q36" s="548" t="s">
        <x:v>24</x:v>
      </x:c>
      <x:c r="R36" s="537"/>
      <x:c r="S36" s="537"/>
      <x:c r="T36" s="537"/>
      <x:c r="U36" s="537"/>
      <x:c r="V36" s="537"/>
      <x:c r="W36" s="537"/>
      <x:c r="X36" s="537"/>
      <x:c r="Y36" s="537"/>
      <x:c r="Z36" s="537"/>
      <x:c r="AA36" s="549"/>
      <x:c r="AB36" s="537" t="s">
        <x:v>68</x:v>
      </x:c>
      <x:c r="AC36" s="537"/>
      <x:c r="AD36" s="537"/>
      <x:c r="AE36" s="537"/>
      <x:c r="AF36" s="537"/>
      <x:c r="AG36" s="537"/>
      <x:c r="AH36" s="537"/>
      <x:c r="AI36" s="537"/>
      <x:c r="AJ36" s="537"/>
      <x:c r="AK36" s="537"/>
      <x:c r="AL36" s="537"/>
      <x:c r="AM36" s="537"/>
      <x:c r="AN36" s="549"/>
      <x:c r="AO36" s="537" t="s">
        <x:v>51</x:v>
      </x:c>
      <x:c r="AP36" s="537"/>
      <x:c r="AQ36" s="537"/>
      <x:c r="AR36" s="537"/>
      <x:c r="AS36" s="537"/>
      <x:c r="AT36" s="537"/>
      <x:c r="AU36" s="537"/>
      <x:c r="AV36" s="537"/>
      <x:c r="AW36" s="537"/>
      <x:c r="AX36" s="537"/>
      <x:c r="AY36" s="537"/>
      <x:c r="AZ36" s="550"/>
      <x:c r="BA36" s="502"/>
      <x:c r="BB36" s="502"/>
      <x:c r="BC36" s="502"/>
      <x:c r="BD36" s="502"/>
      <x:c r="BE36" s="502"/>
      <x:c r="BF36" s="502"/>
      <x:c r="BG36" s="502"/>
      <x:c r="BH36" s="502"/>
      <x:c r="BI36" s="502"/>
      <x:c r="BJ36" s="502"/>
      <x:c r="BK36" s="502"/>
      <x:c r="BL36" s="502"/>
      <x:c r="BM36" s="502"/>
      <x:c r="BN36" s="502"/>
      <x:c r="BO36" s="502"/>
      <x:c r="BP36" s="502"/>
      <x:c r="BQ36" s="502"/>
      <x:c r="BR36" s="502"/>
      <x:c r="BS36" s="502"/>
      <x:c r="BT36" s="502"/>
      <x:c r="BU36" s="502"/>
      <x:c r="BV36" s="502"/>
    </x:row>
    <x:row r="37" spans="1:109" ht="12.75" customHeight="1" s="143" customFormat="1">
      <x:c r="A37" s="502"/>
      <x:c r="B37" s="567" t="s">
        <x:v>174</x:v>
      </x:c>
      <x:c r="C37" s="568"/>
      <x:c r="D37" s="568"/>
      <x:c r="E37" s="568"/>
      <x:c r="F37" s="568"/>
      <x:c r="G37" s="568"/>
      <x:c r="H37" s="568"/>
      <x:c r="I37" s="568"/>
      <x:c r="J37" s="568"/>
      <x:c r="K37" s="568"/>
      <x:c r="L37" s="568"/>
      <x:c r="M37" s="568"/>
      <x:c r="N37" s="568"/>
      <x:c r="O37" s="568"/>
      <x:c r="P37" s="568"/>
      <x:c r="Q37" s="569" t="s">
        <x:v>175</x:v>
      </x:c>
      <x:c r="R37" s="568"/>
      <x:c r="S37" s="568"/>
      <x:c r="T37" s="568"/>
      <x:c r="U37" s="568"/>
      <x:c r="V37" s="568"/>
      <x:c r="W37" s="568"/>
      <x:c r="X37" s="568"/>
      <x:c r="Y37" s="568"/>
      <x:c r="Z37" s="568"/>
      <x:c r="AA37" s="570"/>
      <x:c r="AB37" s="571" t="s">
        <x:v>176</x:v>
      </x:c>
      <x:c r="AC37" s="568"/>
      <x:c r="AD37" s="568"/>
      <x:c r="AE37" s="568"/>
      <x:c r="AF37" s="568"/>
      <x:c r="AG37" s="568"/>
      <x:c r="AH37" s="568"/>
      <x:c r="AI37" s="568"/>
      <x:c r="AJ37" s="568"/>
      <x:c r="AK37" s="568"/>
      <x:c r="AL37" s="568"/>
      <x:c r="AM37" s="568"/>
      <x:c r="AN37" s="570"/>
      <x:c r="AO37" s="571" t="s">
        <x:v>177</x:v>
      </x:c>
      <x:c r="AP37" s="568"/>
      <x:c r="AQ37" s="568"/>
      <x:c r="AR37" s="568"/>
      <x:c r="AS37" s="568"/>
      <x:c r="AT37" s="568"/>
      <x:c r="AU37" s="568"/>
      <x:c r="AV37" s="568"/>
      <x:c r="AW37" s="568"/>
      <x:c r="AX37" s="568"/>
      <x:c r="AY37" s="568"/>
      <x:c r="AZ37" s="572"/>
      <x:c r="BA37" s="502"/>
      <x:c r="BB37" s="502"/>
      <x:c r="BC37" s="502"/>
      <x:c r="BD37" s="502"/>
      <x:c r="BE37" s="502"/>
      <x:c r="BF37" s="502"/>
      <x:c r="BG37" s="502"/>
      <x:c r="BH37" s="502"/>
      <x:c r="BI37" s="502"/>
      <x:c r="BJ37" s="502"/>
      <x:c r="BK37" s="502"/>
      <x:c r="BL37" s="502"/>
      <x:c r="BM37" s="502"/>
      <x:c r="BN37" s="502"/>
      <x:c r="BO37" s="502"/>
      <x:c r="BP37" s="502"/>
      <x:c r="BQ37" s="502"/>
      <x:c r="BR37" s="502"/>
      <x:c r="BS37" s="502"/>
      <x:c r="BT37" s="502"/>
      <x:c r="BU37" s="502"/>
      <x:c r="BV37" s="502"/>
    </x:row>
    <x:row r="38" spans="1:109" ht="13.5" customHeight="1" s="143" customFormat="1">
      <x:c r="A38" s="502"/>
      <x:c r="B38" s="573" t="s">
        <x:v>170</x:v>
      </x:c>
      <x:c r="C38" s="568"/>
      <x:c r="D38" s="568"/>
      <x:c r="E38" s="568"/>
      <x:c r="F38" s="568"/>
      <x:c r="G38" s="568"/>
      <x:c r="H38" s="568"/>
      <x:c r="I38" s="568"/>
      <x:c r="J38" s="568"/>
      <x:c r="K38" s="568"/>
      <x:c r="L38" s="568"/>
      <x:c r="M38" s="568"/>
      <x:c r="N38" s="568"/>
      <x:c r="O38" s="568"/>
      <x:c r="P38" s="568"/>
      <x:c r="Q38" s="574" t="s">
        <x:v>170</x:v>
      </x:c>
      <x:c r="R38" s="568"/>
      <x:c r="S38" s="568"/>
      <x:c r="T38" s="568"/>
      <x:c r="U38" s="568"/>
      <x:c r="V38" s="568"/>
      <x:c r="W38" s="568"/>
      <x:c r="X38" s="568"/>
      <x:c r="Y38" s="568"/>
      <x:c r="Z38" s="568"/>
      <x:c r="AA38" s="570"/>
      <x:c r="AB38" s="568" t="s">
        <x:v>170</x:v>
      </x:c>
      <x:c r="AC38" s="568"/>
      <x:c r="AD38" s="568"/>
      <x:c r="AE38" s="568"/>
      <x:c r="AF38" s="568"/>
      <x:c r="AG38" s="568"/>
      <x:c r="AH38" s="568"/>
      <x:c r="AI38" s="568"/>
      <x:c r="AJ38" s="568"/>
      <x:c r="AK38" s="568"/>
      <x:c r="AL38" s="568"/>
      <x:c r="AM38" s="568"/>
      <x:c r="AN38" s="570"/>
      <x:c r="AO38" s="568" t="s">
        <x:v>170</x:v>
      </x:c>
      <x:c r="AP38" s="568"/>
      <x:c r="AQ38" s="568"/>
      <x:c r="AR38" s="568"/>
      <x:c r="AS38" s="568"/>
      <x:c r="AT38" s="568"/>
      <x:c r="AU38" s="568"/>
      <x:c r="AV38" s="568"/>
      <x:c r="AW38" s="568"/>
      <x:c r="AX38" s="568"/>
      <x:c r="AY38" s="568"/>
      <x:c r="AZ38" s="572"/>
      <x:c r="BA38" s="502"/>
      <x:c r="BB38" s="502"/>
      <x:c r="BC38" s="502"/>
      <x:c r="BD38" s="502"/>
      <x:c r="BE38" s="502"/>
      <x:c r="BF38" s="502"/>
      <x:c r="BG38" s="502"/>
      <x:c r="BH38" s="502"/>
      <x:c r="BI38" s="502"/>
      <x:c r="BJ38" s="502"/>
      <x:c r="BK38" s="502"/>
      <x:c r="BL38" s="502"/>
      <x:c r="BM38" s="502"/>
      <x:c r="BN38" s="502"/>
      <x:c r="BO38" s="502"/>
      <x:c r="BP38" s="502"/>
      <x:c r="BQ38" s="502"/>
      <x:c r="BR38" s="502"/>
      <x:c r="BS38" s="502"/>
      <x:c r="BT38" s="502"/>
      <x:c r="BU38" s="502"/>
      <x:c r="BV38" s="502"/>
    </x:row>
    <x:row r="39" spans="1:109" ht="15" customHeight="1" s="143" customFormat="1">
      <x:c r="A39" s="502"/>
      <x:c r="B39" s="531" t="s">
        <x:v>69</x:v>
      </x:c>
      <x:c r="C39" s="532"/>
      <x:c r="D39" s="532"/>
      <x:c r="E39" s="532"/>
      <x:c r="F39" s="532"/>
      <x:c r="G39" s="532"/>
      <x:c r="H39" s="532"/>
      <x:c r="I39" s="532"/>
      <x:c r="J39" s="532"/>
      <x:c r="K39" s="532"/>
      <x:c r="L39" s="532"/>
      <x:c r="M39" s="532"/>
      <x:c r="N39" s="532"/>
      <x:c r="O39" s="532"/>
      <x:c r="P39" s="532"/>
      <x:c r="Q39" s="532"/>
      <x:c r="R39" s="532"/>
      <x:c r="S39" s="532"/>
      <x:c r="T39" s="532"/>
      <x:c r="U39" s="532"/>
      <x:c r="V39" s="532"/>
      <x:c r="W39" s="532"/>
      <x:c r="X39" s="532"/>
      <x:c r="Y39" s="532"/>
      <x:c r="Z39" s="532"/>
      <x:c r="AA39" s="532"/>
      <x:c r="AB39" s="532" t="s">
        <x:v>70</x:v>
      </x:c>
      <x:c r="AC39" s="532"/>
      <x:c r="AD39" s="532"/>
      <x:c r="AE39" s="532"/>
      <x:c r="AF39" s="532"/>
      <x:c r="AG39" s="532"/>
      <x:c r="AH39" s="532"/>
      <x:c r="AI39" s="532"/>
      <x:c r="AJ39" s="532"/>
      <x:c r="AK39" s="532"/>
      <x:c r="AL39" s="532"/>
      <x:c r="AM39" s="532"/>
      <x:c r="AN39" s="532"/>
      <x:c r="AO39" s="532"/>
      <x:c r="AP39" s="532"/>
      <x:c r="AQ39" s="532"/>
      <x:c r="AR39" s="532"/>
      <x:c r="AS39" s="532"/>
      <x:c r="AT39" s="532"/>
      <x:c r="AU39" s="532"/>
      <x:c r="AV39" s="532"/>
      <x:c r="AW39" s="532"/>
      <x:c r="AX39" s="532"/>
      <x:c r="AY39" s="532"/>
      <x:c r="AZ39" s="533"/>
      <x:c r="BA39" s="502"/>
      <x:c r="BB39" s="502"/>
      <x:c r="BC39" s="502"/>
      <x:c r="BD39" s="502"/>
      <x:c r="BE39" s="502"/>
      <x:c r="BF39" s="502"/>
      <x:c r="BG39" s="502"/>
      <x:c r="BH39" s="502"/>
      <x:c r="BI39" s="502"/>
      <x:c r="BJ39" s="502"/>
      <x:c r="BK39" s="502"/>
      <x:c r="BL39" s="502"/>
      <x:c r="BM39" s="502"/>
      <x:c r="BN39" s="502"/>
      <x:c r="BO39" s="502"/>
      <x:c r="BP39" s="502"/>
      <x:c r="BQ39" s="502"/>
      <x:c r="BR39" s="502"/>
      <x:c r="BS39" s="502"/>
      <x:c r="BT39" s="502"/>
      <x:c r="BU39" s="502"/>
      <x:c r="BV39" s="502"/>
    </x:row>
    <x:row r="40" spans="1:109" ht="13.5" customHeight="1" s="143" customFormat="1">
      <x:c r="A40" s="502"/>
      <x:c r="B40" s="503"/>
      <x:c r="C40" s="575"/>
      <x:c r="D40" s="575"/>
      <x:c r="E40" s="575"/>
      <x:c r="F40" s="575"/>
      <x:c r="G40" s="575"/>
      <x:c r="H40" s="504"/>
      <x:c r="I40" s="515" t="s">
        <x:v>71</x:v>
      </x:c>
      <x:c r="J40" s="504"/>
      <x:c r="K40" s="575"/>
      <x:c r="L40" s="504"/>
      <x:c r="M40" s="504"/>
      <x:c r="N40" s="575"/>
      <x:c r="O40" s="575"/>
      <x:c r="P40" s="504"/>
      <x:c r="Q40" s="504" t="s">
        <x:v>72</x:v>
      </x:c>
      <x:c r="R40" s="504"/>
      <x:c r="S40" s="504"/>
      <x:c r="T40" s="504"/>
      <x:c r="U40" s="504"/>
      <x:c r="V40" s="575"/>
      <x:c r="W40" s="504"/>
      <x:c r="X40" s="504"/>
      <x:c r="Y40" s="575"/>
      <x:c r="Z40" s="504"/>
      <x:c r="AA40" s="504"/>
      <x:c r="AB40" s="576" t="s">
        <x:v>73</x:v>
      </x:c>
      <x:c r="AC40" s="577"/>
      <x:c r="AD40" s="577"/>
      <x:c r="AE40" s="577"/>
      <x:c r="AF40" s="577"/>
      <x:c r="AG40" s="577"/>
      <x:c r="AH40" s="577"/>
      <x:c r="AI40" s="577"/>
      <x:c r="AJ40" s="577"/>
      <x:c r="AK40" s="577"/>
      <x:c r="AL40" s="577"/>
      <x:c r="AM40" s="577"/>
      <x:c r="AN40" s="577"/>
      <x:c r="AO40" s="577"/>
      <x:c r="AP40" s="577"/>
      <x:c r="AQ40" s="577"/>
      <x:c r="AR40" s="577"/>
      <x:c r="AS40" s="577"/>
      <x:c r="AT40" s="577"/>
      <x:c r="AU40" s="577"/>
      <x:c r="AV40" s="577"/>
      <x:c r="AW40" s="577"/>
      <x:c r="AX40" s="577"/>
      <x:c r="AY40" s="577"/>
      <x:c r="AZ40" s="578"/>
      <x:c r="BA40" s="502"/>
      <x:c r="BB40" s="502"/>
      <x:c r="BC40" s="502"/>
      <x:c r="BD40" s="502"/>
      <x:c r="BE40" s="502"/>
      <x:c r="BF40" s="502"/>
      <x:c r="BG40" s="502"/>
      <x:c r="BH40" s="502"/>
      <x:c r="BI40" s="502"/>
      <x:c r="BJ40" s="502"/>
      <x:c r="BK40" s="502"/>
      <x:c r="BL40" s="502"/>
      <x:c r="BM40" s="502"/>
      <x:c r="BN40" s="502"/>
      <x:c r="BO40" s="502"/>
      <x:c r="BP40" s="502"/>
      <x:c r="BQ40" s="502"/>
      <x:c r="BR40" s="502"/>
      <x:c r="BS40" s="502"/>
      <x:c r="BT40" s="502"/>
      <x:c r="BU40" s="502"/>
      <x:c r="BV40" s="502"/>
    </x:row>
    <x:row r="41" spans="1:109" ht="15" customHeight="1" s="143" customFormat="1">
      <x:c r="A41" s="502"/>
      <x:c r="B41" s="503"/>
      <x:c r="C41" s="575"/>
      <x:c r="D41" s="575"/>
      <x:c r="E41" s="575"/>
      <x:c r="F41" s="575"/>
      <x:c r="G41" s="575"/>
      <x:c r="H41" s="575"/>
      <x:c r="I41" s="504"/>
      <x:c r="J41" s="579" t="s">
        <x:v>74</x:v>
      </x:c>
      <x:c r="K41" s="580" t="s">
        <x:v>178</x:v>
      </x:c>
      <x:c r="L41" s="580"/>
      <x:c r="M41" s="504" t="s">
        <x:v>76</x:v>
      </x:c>
      <x:c r="N41" s="575"/>
      <x:c r="O41" s="575"/>
      <x:c r="P41" s="504"/>
      <x:c r="Q41" s="575"/>
      <x:c r="R41" s="575"/>
      <x:c r="S41" s="579" t="s">
        <x:v>74</x:v>
      </x:c>
      <x:c r="T41" s="580" t="s">
        <x:v>180</x:v>
      </x:c>
      <x:c r="U41" s="580"/>
      <x:c r="V41" s="504" t="s">
        <x:v>75</x:v>
      </x:c>
      <x:c r="W41" s="581"/>
      <x:c r="X41" s="505"/>
      <x:c r="Y41" s="504"/>
      <x:c r="Z41" s="504"/>
      <x:c r="AA41" s="504"/>
      <x:c r="AB41" s="576"/>
      <x:c r="AC41" s="577"/>
      <x:c r="AD41" s="577"/>
      <x:c r="AE41" s="577"/>
      <x:c r="AF41" s="577"/>
      <x:c r="AG41" s="577"/>
      <x:c r="AH41" s="577"/>
      <x:c r="AI41" s="577"/>
      <x:c r="AJ41" s="577"/>
      <x:c r="AK41" s="577"/>
      <x:c r="AL41" s="577"/>
      <x:c r="AM41" s="577"/>
      <x:c r="AN41" s="577"/>
      <x:c r="AO41" s="577"/>
      <x:c r="AP41" s="577"/>
      <x:c r="AQ41" s="577"/>
      <x:c r="AR41" s="577"/>
      <x:c r="AS41" s="577"/>
      <x:c r="AT41" s="577"/>
      <x:c r="AU41" s="577"/>
      <x:c r="AV41" s="577"/>
      <x:c r="AW41" s="577"/>
      <x:c r="AX41" s="577"/>
      <x:c r="AY41" s="577"/>
      <x:c r="AZ41" s="578"/>
      <x:c r="BA41" s="502"/>
      <x:c r="BB41" s="502"/>
      <x:c r="BC41" s="502"/>
      <x:c r="BD41" s="502"/>
      <x:c r="BE41" s="502"/>
      <x:c r="BF41" s="502"/>
      <x:c r="BG41" s="502"/>
      <x:c r="BH41" s="502"/>
      <x:c r="BI41" s="502"/>
      <x:c r="BJ41" s="502"/>
      <x:c r="BK41" s="502"/>
      <x:c r="BL41" s="502"/>
      <x:c r="BM41" s="502"/>
      <x:c r="BN41" s="502"/>
      <x:c r="BO41" s="502"/>
      <x:c r="BP41" s="502"/>
      <x:c r="BQ41" s="502"/>
      <x:c r="BR41" s="502"/>
      <x:c r="BS41" s="502"/>
      <x:c r="BT41" s="502"/>
      <x:c r="BU41" s="502"/>
      <x:c r="BV41" s="502"/>
    </x:row>
    <x:row r="42" spans="1:109" ht="15.75" customHeight="1" s="143" customFormat="1">
      <x:c r="A42" s="502"/>
      <x:c r="B42" s="503"/>
      <x:c r="C42" s="575"/>
      <x:c r="D42" s="575"/>
      <x:c r="E42" s="575"/>
      <x:c r="F42" s="575"/>
      <x:c r="G42" s="575"/>
      <x:c r="H42" s="575"/>
      <x:c r="I42" s="504"/>
      <x:c r="J42" s="579" t="s">
        <x:v>77</x:v>
      </x:c>
      <x:c r="K42" s="582" t="s">
        <x:v>179</x:v>
      </x:c>
      <x:c r="L42" s="582"/>
      <x:c r="M42" s="504" t="s">
        <x:v>76</x:v>
      </x:c>
      <x:c r="N42" s="575"/>
      <x:c r="O42" s="575"/>
      <x:c r="P42" s="504"/>
      <x:c r="Q42" s="575"/>
      <x:c r="R42" s="575"/>
      <x:c r="S42" s="579" t="s">
        <x:v>77</x:v>
      </x:c>
      <x:c r="T42" s="582" t="s">
        <x:v>181</x:v>
      </x:c>
      <x:c r="U42" s="582"/>
      <x:c r="V42" s="504" t="s">
        <x:v>75</x:v>
      </x:c>
      <x:c r="W42" s="583"/>
      <x:c r="X42" s="584"/>
      <x:c r="Y42" s="504"/>
      <x:c r="Z42" s="504"/>
      <x:c r="AA42" s="504"/>
      <x:c r="AB42" s="576"/>
      <x:c r="AC42" s="577"/>
      <x:c r="AD42" s="577"/>
      <x:c r="AE42" s="577"/>
      <x:c r="AF42" s="577"/>
      <x:c r="AG42" s="577"/>
      <x:c r="AH42" s="577"/>
      <x:c r="AI42" s="577"/>
      <x:c r="AJ42" s="577"/>
      <x:c r="AK42" s="577"/>
      <x:c r="AL42" s="577"/>
      <x:c r="AM42" s="577"/>
      <x:c r="AN42" s="577"/>
      <x:c r="AO42" s="577"/>
      <x:c r="AP42" s="577"/>
      <x:c r="AQ42" s="577"/>
      <x:c r="AR42" s="577"/>
      <x:c r="AS42" s="577"/>
      <x:c r="AT42" s="577"/>
      <x:c r="AU42" s="577"/>
      <x:c r="AV42" s="577"/>
      <x:c r="AW42" s="577"/>
      <x:c r="AX42" s="577"/>
      <x:c r="AY42" s="577"/>
      <x:c r="AZ42" s="578"/>
      <x:c r="BA42" s="502"/>
      <x:c r="BB42" s="502"/>
      <x:c r="BC42" s="502"/>
      <x:c r="BD42" s="502"/>
      <x:c r="BE42" s="502"/>
      <x:c r="BF42" s="502"/>
      <x:c r="BG42" s="502"/>
      <x:c r="BH42" s="502"/>
      <x:c r="BI42" s="502"/>
      <x:c r="BJ42" s="502"/>
      <x:c r="BK42" s="502"/>
      <x:c r="BL42" s="502"/>
      <x:c r="BM42" s="502"/>
      <x:c r="BN42" s="502"/>
      <x:c r="BO42" s="502"/>
      <x:c r="BP42" s="502"/>
      <x:c r="BQ42" s="502"/>
      <x:c r="BR42" s="502"/>
      <x:c r="BS42" s="502"/>
      <x:c r="BT42" s="502"/>
      <x:c r="BU42" s="502"/>
      <x:c r="BV42" s="502"/>
    </x:row>
    <x:row r="43" spans="1:109" ht="3.75" customHeight="1" s="143" customFormat="1">
      <x:c r="A43" s="502"/>
      <x:c r="B43" s="503"/>
      <x:c r="C43" s="504"/>
      <x:c r="D43" s="504"/>
      <x:c r="E43" s="504"/>
      <x:c r="F43" s="504"/>
      <x:c r="G43" s="504"/>
      <x:c r="H43" s="504"/>
      <x:c r="I43" s="504"/>
      <x:c r="J43" s="504"/>
      <x:c r="K43" s="504"/>
      <x:c r="L43" s="504"/>
      <x:c r="M43" s="504"/>
      <x:c r="N43" s="504"/>
      <x:c r="O43" s="504"/>
      <x:c r="P43" s="504"/>
      <x:c r="Q43" s="504"/>
      <x:c r="R43" s="504"/>
      <x:c r="S43" s="504"/>
      <x:c r="T43" s="504"/>
      <x:c r="U43" s="504"/>
      <x:c r="V43" s="504"/>
      <x:c r="W43" s="504"/>
      <x:c r="X43" s="504"/>
      <x:c r="Y43" s="504"/>
      <x:c r="Z43" s="504"/>
      <x:c r="AA43" s="585"/>
      <x:c r="AB43" s="576"/>
      <x:c r="AC43" s="577"/>
      <x:c r="AD43" s="577"/>
      <x:c r="AE43" s="577"/>
      <x:c r="AF43" s="577"/>
      <x:c r="AG43" s="577"/>
      <x:c r="AH43" s="577"/>
      <x:c r="AI43" s="577"/>
      <x:c r="AJ43" s="577"/>
      <x:c r="AK43" s="577"/>
      <x:c r="AL43" s="577"/>
      <x:c r="AM43" s="577"/>
      <x:c r="AN43" s="577"/>
      <x:c r="AO43" s="577"/>
      <x:c r="AP43" s="577"/>
      <x:c r="AQ43" s="577"/>
      <x:c r="AR43" s="577"/>
      <x:c r="AS43" s="577"/>
      <x:c r="AT43" s="577"/>
      <x:c r="AU43" s="577"/>
      <x:c r="AV43" s="577"/>
      <x:c r="AW43" s="577"/>
      <x:c r="AX43" s="577"/>
      <x:c r="AY43" s="577"/>
      <x:c r="AZ43" s="578"/>
      <x:c r="BA43" s="502"/>
      <x:c r="BB43" s="502"/>
      <x:c r="BC43" s="502"/>
      <x:c r="BD43" s="502"/>
      <x:c r="BE43" s="502"/>
      <x:c r="BF43" s="502"/>
      <x:c r="BG43" s="502"/>
      <x:c r="BH43" s="502"/>
      <x:c r="BI43" s="502"/>
      <x:c r="BJ43" s="502"/>
      <x:c r="BK43" s="502"/>
      <x:c r="BL43" s="502"/>
      <x:c r="BM43" s="502"/>
      <x:c r="BN43" s="502"/>
      <x:c r="BO43" s="502"/>
      <x:c r="BP43" s="502"/>
      <x:c r="BQ43" s="502"/>
      <x:c r="BR43" s="502"/>
      <x:c r="BS43" s="502"/>
      <x:c r="BT43" s="502"/>
      <x:c r="BU43" s="502"/>
      <x:c r="BV43" s="502"/>
    </x:row>
    <x:row r="44" spans="1:109" ht="15" customHeight="1" s="143" customFormat="1">
      <x:c r="A44" s="502"/>
      <x:c r="B44" s="586" t="s">
        <x:v>78</x:v>
      </x:c>
      <x:c r="C44" s="587"/>
      <x:c r="D44" s="587"/>
      <x:c r="E44" s="587"/>
      <x:c r="F44" s="587"/>
      <x:c r="G44" s="587"/>
      <x:c r="H44" s="587"/>
      <x:c r="I44" s="587"/>
      <x:c r="J44" s="587"/>
      <x:c r="K44" s="587"/>
      <x:c r="L44" s="587"/>
      <x:c r="M44" s="587"/>
      <x:c r="N44" s="587"/>
      <x:c r="O44" s="587"/>
      <x:c r="P44" s="587"/>
      <x:c r="Q44" s="587"/>
      <x:c r="R44" s="587"/>
      <x:c r="S44" s="587"/>
      <x:c r="T44" s="587"/>
      <x:c r="U44" s="587"/>
      <x:c r="V44" s="587"/>
      <x:c r="W44" s="587"/>
      <x:c r="X44" s="587"/>
      <x:c r="Y44" s="587"/>
      <x:c r="Z44" s="587"/>
      <x:c r="AA44" s="587"/>
      <x:c r="AB44" s="587"/>
      <x:c r="AC44" s="587"/>
      <x:c r="AD44" s="587"/>
      <x:c r="AE44" s="587"/>
      <x:c r="AF44" s="587"/>
      <x:c r="AG44" s="587"/>
      <x:c r="AH44" s="587"/>
      <x:c r="AI44" s="587"/>
      <x:c r="AJ44" s="587"/>
      <x:c r="AK44" s="587"/>
      <x:c r="AL44" s="587"/>
      <x:c r="AM44" s="587"/>
      <x:c r="AN44" s="587"/>
      <x:c r="AO44" s="587"/>
      <x:c r="AP44" s="587"/>
      <x:c r="AQ44" s="587"/>
      <x:c r="AR44" s="587"/>
      <x:c r="AS44" s="587"/>
      <x:c r="AT44" s="587"/>
      <x:c r="AU44" s="587"/>
      <x:c r="AV44" s="587"/>
      <x:c r="AW44" s="587"/>
      <x:c r="AX44" s="587"/>
      <x:c r="AY44" s="587"/>
      <x:c r="AZ44" s="588"/>
      <x:c r="BA44" s="502"/>
      <x:c r="BB44" s="502"/>
      <x:c r="BC44" s="502"/>
      <x:c r="BD44" s="502"/>
      <x:c r="BE44" s="502"/>
      <x:c r="BF44" s="502"/>
      <x:c r="BG44" s="502"/>
      <x:c r="BH44" s="502"/>
      <x:c r="BI44" s="502"/>
      <x:c r="BJ44" s="502"/>
      <x:c r="BK44" s="502"/>
      <x:c r="BL44" s="502"/>
      <x:c r="BM44" s="502"/>
      <x:c r="BN44" s="502"/>
      <x:c r="BO44" s="502"/>
      <x:c r="BP44" s="502"/>
      <x:c r="BQ44" s="502"/>
      <x:c r="BR44" s="502"/>
      <x:c r="BS44" s="502"/>
      <x:c r="BT44" s="502"/>
      <x:c r="BU44" s="502"/>
      <x:c r="BV44" s="502"/>
    </x:row>
    <x:row r="45" spans="1:109" ht="15" customHeight="1" s="143" customFormat="1">
      <x:c r="A45" s="502"/>
      <x:c r="B45" s="503"/>
      <x:c r="C45" s="589" t="s">
        <x:v>79</x:v>
      </x:c>
      <x:c r="D45" s="589"/>
      <x:c r="E45" s="589"/>
      <x:c r="F45" s="589"/>
      <x:c r="G45" s="589"/>
      <x:c r="H45" s="589"/>
      <x:c r="I45" s="589"/>
      <x:c r="J45" s="589"/>
      <x:c r="K45" s="589"/>
      <x:c r="L45" s="589"/>
      <x:c r="M45" s="589"/>
      <x:c r="N45" s="589"/>
      <x:c r="O45" s="589"/>
      <x:c r="P45" s="589"/>
      <x:c r="Q45" s="589"/>
      <x:c r="R45" s="589"/>
      <x:c r="S45" s="589"/>
      <x:c r="T45" s="589"/>
      <x:c r="U45" s="589"/>
      <x:c r="V45" s="589"/>
      <x:c r="W45" s="589"/>
      <x:c r="X45" s="589"/>
      <x:c r="Y45" s="589"/>
      <x:c r="Z45" s="589"/>
      <x:c r="AA45" s="589"/>
      <x:c r="AB45" s="589"/>
      <x:c r="AC45" s="589"/>
      <x:c r="AD45" s="589"/>
      <x:c r="AE45" s="589"/>
      <x:c r="AF45" s="589"/>
      <x:c r="AG45" s="589"/>
      <x:c r="AH45" s="589"/>
      <x:c r="AI45" s="589"/>
      <x:c r="AJ45" s="589"/>
      <x:c r="AK45" s="589"/>
      <x:c r="AL45" s="589"/>
      <x:c r="AM45" s="589"/>
      <x:c r="AN45" s="589"/>
      <x:c r="AO45" s="589"/>
      <x:c r="AP45" s="589"/>
      <x:c r="AQ45" s="589"/>
      <x:c r="AR45" s="589"/>
      <x:c r="AS45" s="589"/>
      <x:c r="AT45" s="504"/>
      <x:c r="AU45" s="504" t="s">
        <x:v>80</x:v>
      </x:c>
      <x:c r="AV45" s="504"/>
      <x:c r="AW45" s="504"/>
      <x:c r="AX45" s="504"/>
      <x:c r="AY45" s="504"/>
      <x:c r="AZ45" s="509"/>
      <x:c r="BA45" s="502"/>
      <x:c r="BB45" s="502"/>
      <x:c r="BC45" s="502"/>
      <x:c r="BD45" s="502"/>
      <x:c r="BE45" s="502"/>
      <x:c r="BF45" s="502"/>
      <x:c r="BG45" s="502"/>
      <x:c r="BH45" s="502"/>
      <x:c r="BI45" s="502"/>
      <x:c r="BJ45" s="502"/>
      <x:c r="BK45" s="502"/>
      <x:c r="BL45" s="502"/>
      <x:c r="BM45" s="502"/>
      <x:c r="BN45" s="502"/>
      <x:c r="BO45" s="502"/>
      <x:c r="BP45" s="502"/>
      <x:c r="BQ45" s="502"/>
      <x:c r="BR45" s="502"/>
      <x:c r="BS45" s="502"/>
      <x:c r="BT45" s="502"/>
      <x:c r="BU45" s="502"/>
      <x:c r="BV45" s="502"/>
    </x:row>
    <x:row r="46" spans="1:109" ht="15" customHeight="1" s="143" customFormat="1">
      <x:c r="A46" s="502"/>
      <x:c r="B46" s="503"/>
      <x:c r="C46" s="590" t="s">
        <x:v>81</x:v>
      </x:c>
      <x:c r="D46" s="589"/>
      <x:c r="E46" s="589"/>
      <x:c r="F46" s="589"/>
      <x:c r="G46" s="589"/>
      <x:c r="H46" s="589"/>
      <x:c r="I46" s="589"/>
      <x:c r="J46" s="589"/>
      <x:c r="K46" s="589"/>
      <x:c r="L46" s="589"/>
      <x:c r="M46" s="589"/>
      <x:c r="N46" s="589"/>
      <x:c r="O46" s="589"/>
      <x:c r="P46" s="589"/>
      <x:c r="Q46" s="589"/>
      <x:c r="R46" s="589"/>
      <x:c r="S46" s="589"/>
      <x:c r="T46" s="589"/>
      <x:c r="U46" s="589"/>
      <x:c r="V46" s="589"/>
      <x:c r="W46" s="589"/>
      <x:c r="X46" s="589"/>
      <x:c r="Y46" s="589"/>
      <x:c r="Z46" s="589"/>
      <x:c r="AA46" s="589"/>
      <x:c r="AB46" s="589"/>
      <x:c r="AC46" s="589"/>
      <x:c r="AD46" s="589"/>
      <x:c r="AE46" s="589"/>
      <x:c r="AF46" s="589"/>
      <x:c r="AG46" s="589"/>
      <x:c r="AH46" s="589"/>
      <x:c r="AI46" s="589"/>
      <x:c r="AJ46" s="589"/>
      <x:c r="AK46" s="589"/>
      <x:c r="AL46" s="589"/>
      <x:c r="AM46" s="589"/>
      <x:c r="AN46" s="589"/>
      <x:c r="AO46" s="589"/>
      <x:c r="AP46" s="589"/>
      <x:c r="AQ46" s="589"/>
      <x:c r="AR46" s="589"/>
      <x:c r="AS46" s="589"/>
      <x:c r="AT46" s="504"/>
      <x:c r="AU46" s="591" t="s">
        <x:v>82</x:v>
      </x:c>
      <x:c r="AV46" s="504"/>
      <x:c r="AW46" s="504"/>
      <x:c r="AX46" s="504"/>
      <x:c r="AY46" s="504"/>
      <x:c r="AZ46" s="509"/>
      <x:c r="BA46" s="502"/>
      <x:c r="BB46" s="502"/>
      <x:c r="BC46" s="502"/>
      <x:c r="BD46" s="502"/>
      <x:c r="BE46" s="502"/>
      <x:c r="BF46" s="502"/>
      <x:c r="BG46" s="502"/>
      <x:c r="BH46" s="502"/>
      <x:c r="BI46" s="502"/>
      <x:c r="BJ46" s="502"/>
      <x:c r="BK46" s="502"/>
      <x:c r="BL46" s="502"/>
      <x:c r="BM46" s="502"/>
      <x:c r="BN46" s="502"/>
      <x:c r="BO46" s="502"/>
      <x:c r="BP46" s="502"/>
      <x:c r="BQ46" s="502"/>
      <x:c r="BR46" s="502"/>
      <x:c r="BS46" s="502"/>
      <x:c r="BT46" s="502"/>
      <x:c r="BU46" s="502"/>
      <x:c r="BV46" s="502"/>
    </x:row>
    <x:row r="47" spans="1:109" ht="12.75" customHeight="1" s="143" customFormat="1">
      <x:c r="A47" s="502"/>
      <x:c r="B47" s="503"/>
      <x:c r="C47" s="589" t="s">
        <x:v>81</x:v>
      </x:c>
      <x:c r="D47" s="589"/>
      <x:c r="E47" s="589"/>
      <x:c r="F47" s="589"/>
      <x:c r="G47" s="589"/>
      <x:c r="H47" s="589"/>
      <x:c r="I47" s="589"/>
      <x:c r="J47" s="589"/>
      <x:c r="K47" s="589"/>
      <x:c r="L47" s="589"/>
      <x:c r="M47" s="589"/>
      <x:c r="N47" s="589"/>
      <x:c r="O47" s="589"/>
      <x:c r="P47" s="589"/>
      <x:c r="Q47" s="589"/>
      <x:c r="R47" s="589"/>
      <x:c r="S47" s="589"/>
      <x:c r="T47" s="589"/>
      <x:c r="U47" s="589"/>
      <x:c r="V47" s="589"/>
      <x:c r="W47" s="589"/>
      <x:c r="X47" s="589"/>
      <x:c r="Y47" s="589"/>
      <x:c r="Z47" s="589"/>
      <x:c r="AA47" s="589"/>
      <x:c r="AB47" s="589"/>
      <x:c r="AC47" s="589"/>
      <x:c r="AD47" s="589"/>
      <x:c r="AE47" s="589"/>
      <x:c r="AF47" s="589"/>
      <x:c r="AG47" s="589"/>
      <x:c r="AH47" s="589"/>
      <x:c r="AI47" s="589"/>
      <x:c r="AJ47" s="589"/>
      <x:c r="AK47" s="589"/>
      <x:c r="AL47" s="589"/>
      <x:c r="AM47" s="589"/>
      <x:c r="AN47" s="589"/>
      <x:c r="AO47" s="589"/>
      <x:c r="AP47" s="589"/>
      <x:c r="AQ47" s="589"/>
      <x:c r="AR47" s="589"/>
      <x:c r="AS47" s="589"/>
      <x:c r="AT47" s="504"/>
      <x:c r="AU47" s="504"/>
      <x:c r="AV47" s="592"/>
      <x:c r="AW47" s="592"/>
      <x:c r="AX47" s="504" t="s">
        <x:v>83</x:v>
      </x:c>
      <x:c r="AY47" s="504"/>
      <x:c r="AZ47" s="509"/>
      <x:c r="BA47" s="502"/>
      <x:c r="BB47" s="502"/>
      <x:c r="BC47" s="502"/>
      <x:c r="BD47" s="502"/>
      <x:c r="BE47" s="502"/>
      <x:c r="BF47" s="502"/>
      <x:c r="BG47" s="502"/>
      <x:c r="BH47" s="502"/>
      <x:c r="BI47" s="502"/>
      <x:c r="BJ47" s="502"/>
      <x:c r="BK47" s="502"/>
      <x:c r="BL47" s="502"/>
      <x:c r="BM47" s="502"/>
      <x:c r="BN47" s="502"/>
      <x:c r="BO47" s="502"/>
      <x:c r="BP47" s="502"/>
      <x:c r="BQ47" s="502"/>
      <x:c r="BR47" s="502"/>
      <x:c r="BS47" s="502"/>
      <x:c r="BT47" s="502"/>
      <x:c r="BU47" s="502"/>
      <x:c r="BV47" s="502"/>
    </x:row>
    <x:row r="48" spans="1:109" ht="15" customHeight="1" s="143" customFormat="1">
      <x:c r="A48" s="502"/>
      <x:c r="B48" s="503"/>
      <x:c r="C48" s="589" t="s">
        <x:v>81</x:v>
      </x:c>
      <x:c r="D48" s="589"/>
      <x:c r="E48" s="589"/>
      <x:c r="F48" s="589"/>
      <x:c r="G48" s="589"/>
      <x:c r="H48" s="589"/>
      <x:c r="I48" s="589"/>
      <x:c r="J48" s="589"/>
      <x:c r="K48" s="589"/>
      <x:c r="L48" s="589"/>
      <x:c r="M48" s="589"/>
      <x:c r="N48" s="589"/>
      <x:c r="O48" s="589"/>
      <x:c r="P48" s="589"/>
      <x:c r="Q48" s="589"/>
      <x:c r="R48" s="589"/>
      <x:c r="S48" s="589"/>
      <x:c r="T48" s="589"/>
      <x:c r="U48" s="589"/>
      <x:c r="V48" s="589"/>
      <x:c r="W48" s="589"/>
      <x:c r="X48" s="589"/>
      <x:c r="Y48" s="589"/>
      <x:c r="Z48" s="589"/>
      <x:c r="AA48" s="589"/>
      <x:c r="AB48" s="589"/>
      <x:c r="AC48" s="589"/>
      <x:c r="AD48" s="589"/>
      <x:c r="AE48" s="589"/>
      <x:c r="AF48" s="589"/>
      <x:c r="AG48" s="589"/>
      <x:c r="AH48" s="589"/>
      <x:c r="AI48" s="589"/>
      <x:c r="AJ48" s="589"/>
      <x:c r="AK48" s="589"/>
      <x:c r="AL48" s="589"/>
      <x:c r="AM48" s="589"/>
      <x:c r="AN48" s="589"/>
      <x:c r="AO48" s="589"/>
      <x:c r="AP48" s="589"/>
      <x:c r="AQ48" s="589"/>
      <x:c r="AR48" s="589"/>
      <x:c r="AS48" s="589"/>
      <x:c r="AT48" s="504"/>
      <x:c r="AU48" s="504"/>
      <x:c r="AV48" s="504"/>
      <x:c r="AW48" s="592"/>
      <x:c r="AX48" s="504" t="s">
        <x:v>84</x:v>
      </x:c>
      <x:c r="AY48" s="504"/>
      <x:c r="AZ48" s="509"/>
      <x:c r="BA48" s="502"/>
      <x:c r="BB48" s="502"/>
      <x:c r="BC48" s="502"/>
      <x:c r="BD48" s="502"/>
      <x:c r="BE48" s="502"/>
      <x:c r="BF48" s="502"/>
      <x:c r="BG48" s="502"/>
      <x:c r="BH48" s="502"/>
      <x:c r="BI48" s="502"/>
      <x:c r="BJ48" s="502"/>
      <x:c r="BK48" s="502"/>
      <x:c r="BL48" s="502"/>
      <x:c r="BM48" s="502"/>
      <x:c r="BN48" s="502"/>
      <x:c r="BO48" s="502"/>
      <x:c r="BP48" s="502"/>
      <x:c r="BQ48" s="502"/>
      <x:c r="BR48" s="502"/>
      <x:c r="BS48" s="502"/>
      <x:c r="BT48" s="502"/>
      <x:c r="BU48" s="502"/>
      <x:c r="BV48" s="502"/>
    </x:row>
    <x:row r="49" spans="1:109" ht="3.75" customHeight="1" s="143" customFormat="1">
      <x:c r="A49" s="502"/>
      <x:c r="B49" s="503"/>
      <x:c r="C49" s="593"/>
      <x:c r="D49" s="593"/>
      <x:c r="E49" s="593"/>
      <x:c r="F49" s="593"/>
      <x:c r="G49" s="593"/>
      <x:c r="H49" s="593"/>
      <x:c r="I49" s="593"/>
      <x:c r="J49" s="593"/>
      <x:c r="K49" s="593"/>
      <x:c r="L49" s="593"/>
      <x:c r="M49" s="593"/>
      <x:c r="N49" s="593"/>
      <x:c r="O49" s="593"/>
      <x:c r="P49" s="593"/>
      <x:c r="Q49" s="593"/>
      <x:c r="R49" s="593"/>
      <x:c r="S49" s="593"/>
      <x:c r="T49" s="593"/>
      <x:c r="U49" s="593"/>
      <x:c r="V49" s="593"/>
      <x:c r="W49" s="593"/>
      <x:c r="X49" s="593"/>
      <x:c r="Y49" s="593"/>
      <x:c r="Z49" s="593"/>
      <x:c r="AA49" s="593"/>
      <x:c r="AB49" s="593"/>
      <x:c r="AC49" s="593"/>
      <x:c r="AD49" s="593"/>
      <x:c r="AE49" s="593"/>
      <x:c r="AF49" s="593"/>
      <x:c r="AG49" s="593"/>
      <x:c r="AH49" s="593"/>
      <x:c r="AI49" s="593"/>
      <x:c r="AJ49" s="593"/>
      <x:c r="AK49" s="593"/>
      <x:c r="AL49" s="593"/>
      <x:c r="AM49" s="593"/>
      <x:c r="AN49" s="593"/>
      <x:c r="AO49" s="593"/>
      <x:c r="AP49" s="593"/>
      <x:c r="AQ49" s="593"/>
      <x:c r="AR49" s="593"/>
      <x:c r="AS49" s="593"/>
      <x:c r="AT49" s="504"/>
      <x:c r="AU49" s="504"/>
      <x:c r="AV49" s="504"/>
      <x:c r="AW49" s="504"/>
      <x:c r="AX49" s="504"/>
      <x:c r="AY49" s="504"/>
      <x:c r="AZ49" s="509"/>
      <x:c r="BA49" s="502"/>
      <x:c r="BB49" s="502"/>
      <x:c r="BC49" s="502"/>
      <x:c r="BD49" s="502"/>
      <x:c r="BE49" s="502"/>
      <x:c r="BF49" s="502"/>
      <x:c r="BG49" s="502"/>
      <x:c r="BH49" s="502"/>
      <x:c r="BI49" s="502"/>
      <x:c r="BJ49" s="502"/>
      <x:c r="BK49" s="502"/>
      <x:c r="BL49" s="502"/>
      <x:c r="BM49" s="502"/>
      <x:c r="BN49" s="502"/>
      <x:c r="BO49" s="502"/>
      <x:c r="BP49" s="502"/>
      <x:c r="BQ49" s="502"/>
      <x:c r="BR49" s="502"/>
      <x:c r="BS49" s="502"/>
      <x:c r="BT49" s="502"/>
      <x:c r="BU49" s="502"/>
      <x:c r="BV49" s="502"/>
    </x:row>
    <x:row r="50" spans="1:109" ht="13.5" customHeight="1" s="143" customFormat="1">
      <x:c r="A50" s="502"/>
      <x:c r="B50" s="594" t="s">
        <x:v>85</x:v>
      </x:c>
      <x:c r="C50" s="595"/>
      <x:c r="D50" s="595"/>
      <x:c r="E50" s="595"/>
      <x:c r="F50" s="595"/>
      <x:c r="G50" s="595"/>
      <x:c r="H50" s="595"/>
      <x:c r="I50" s="595"/>
      <x:c r="J50" s="595"/>
      <x:c r="K50" s="595"/>
      <x:c r="L50" s="595"/>
      <x:c r="M50" s="595"/>
      <x:c r="N50" s="595"/>
      <x:c r="O50" s="595"/>
      <x:c r="P50" s="595"/>
      <x:c r="Q50" s="595"/>
      <x:c r="R50" s="595"/>
      <x:c r="S50" s="595"/>
      <x:c r="T50" s="595"/>
      <x:c r="U50" s="595"/>
      <x:c r="V50" s="595"/>
      <x:c r="W50" s="595"/>
      <x:c r="X50" s="595"/>
      <x:c r="Y50" s="595"/>
      <x:c r="Z50" s="595"/>
      <x:c r="AA50" s="595"/>
      <x:c r="AB50" s="595"/>
      <x:c r="AC50" s="595"/>
      <x:c r="AD50" s="595"/>
      <x:c r="AE50" s="595"/>
      <x:c r="AF50" s="595"/>
      <x:c r="AG50" s="595"/>
      <x:c r="AH50" s="595"/>
      <x:c r="AI50" s="595"/>
      <x:c r="AJ50" s="595"/>
      <x:c r="AK50" s="595"/>
      <x:c r="AL50" s="595"/>
      <x:c r="AM50" s="595"/>
      <x:c r="AN50" s="595"/>
      <x:c r="AO50" s="595"/>
      <x:c r="AP50" s="595"/>
      <x:c r="AQ50" s="595"/>
      <x:c r="AR50" s="595"/>
      <x:c r="AS50" s="595"/>
      <x:c r="AT50" s="595"/>
      <x:c r="AU50" s="595"/>
      <x:c r="AV50" s="595"/>
      <x:c r="AW50" s="595"/>
      <x:c r="AX50" s="595"/>
      <x:c r="AY50" s="595"/>
      <x:c r="AZ50" s="596"/>
      <x:c r="BA50" s="502"/>
      <x:c r="BB50" s="502"/>
      <x:c r="BC50" s="502"/>
      <x:c r="BD50" s="502"/>
      <x:c r="BE50" s="502"/>
      <x:c r="BF50" s="502"/>
      <x:c r="BG50" s="502"/>
      <x:c r="BH50" s="502"/>
      <x:c r="BI50" s="502"/>
      <x:c r="BJ50" s="502"/>
      <x:c r="BK50" s="502"/>
      <x:c r="BL50" s="502"/>
      <x:c r="BM50" s="502"/>
      <x:c r="BN50" s="502"/>
      <x:c r="BO50" s="502"/>
      <x:c r="BP50" s="502"/>
      <x:c r="BQ50" s="502"/>
      <x:c r="BR50" s="502"/>
      <x:c r="BS50" s="502"/>
      <x:c r="BT50" s="502"/>
      <x:c r="BU50" s="502"/>
      <x:c r="BV50" s="502"/>
    </x:row>
    <x:row r="51" spans="1:109" ht="12.75" customHeight="1" s="143" customFormat="1">
      <x:c r="A51" s="502"/>
      <x:c r="B51" s="597"/>
      <x:c r="C51" s="598"/>
      <x:c r="D51" s="598"/>
      <x:c r="E51" s="598"/>
      <x:c r="F51" s="598"/>
      <x:c r="G51" s="598"/>
      <x:c r="H51" s="598"/>
      <x:c r="I51" s="598"/>
      <x:c r="J51" s="598"/>
      <x:c r="K51" s="598"/>
      <x:c r="L51" s="598"/>
      <x:c r="M51" s="598"/>
      <x:c r="N51" s="598"/>
      <x:c r="O51" s="598"/>
      <x:c r="P51" s="598"/>
      <x:c r="Q51" s="598"/>
      <x:c r="R51" s="598"/>
      <x:c r="S51" s="598"/>
      <x:c r="T51" s="598"/>
      <x:c r="U51" s="598"/>
      <x:c r="V51" s="598"/>
      <x:c r="W51" s="598"/>
      <x:c r="X51" s="598"/>
      <x:c r="Y51" s="598"/>
      <x:c r="Z51" s="598"/>
      <x:c r="AA51" s="598"/>
      <x:c r="AB51" s="598"/>
      <x:c r="AC51" s="598"/>
      <x:c r="AD51" s="598"/>
      <x:c r="AE51" s="598"/>
      <x:c r="AF51" s="598"/>
      <x:c r="AG51" s="598"/>
      <x:c r="AH51" s="598"/>
      <x:c r="AI51" s="598"/>
      <x:c r="AJ51" s="598"/>
      <x:c r="AK51" s="598"/>
      <x:c r="AL51" s="598"/>
      <x:c r="AM51" s="598"/>
      <x:c r="AN51" s="598"/>
      <x:c r="AO51" s="598"/>
      <x:c r="AP51" s="598"/>
      <x:c r="AQ51" s="598"/>
      <x:c r="AR51" s="598"/>
      <x:c r="AS51" s="598"/>
      <x:c r="AT51" s="598"/>
      <x:c r="AU51" s="598"/>
      <x:c r="AV51" s="598"/>
      <x:c r="AW51" s="598"/>
      <x:c r="AX51" s="598"/>
      <x:c r="AY51" s="598"/>
      <x:c r="AZ51" s="599"/>
      <x:c r="BA51" s="502"/>
      <x:c r="BB51" s="502"/>
      <x:c r="BC51" s="502"/>
      <x:c r="BD51" s="502"/>
      <x:c r="BE51" s="502"/>
      <x:c r="BF51" s="502"/>
      <x:c r="BG51" s="502"/>
      <x:c r="BH51" s="502"/>
      <x:c r="BI51" s="502"/>
      <x:c r="BJ51" s="502"/>
      <x:c r="BK51" s="502"/>
      <x:c r="BL51" s="502"/>
      <x:c r="BM51" s="502"/>
      <x:c r="BN51" s="502"/>
      <x:c r="BO51" s="502"/>
      <x:c r="BP51" s="502"/>
      <x:c r="BQ51" s="502"/>
      <x:c r="BR51" s="502"/>
      <x:c r="BS51" s="502"/>
      <x:c r="BT51" s="502"/>
      <x:c r="BU51" s="502"/>
      <x:c r="BV51" s="502"/>
      <x:c r="DB51" s="373"/>
      <x:c r="DC51" s="374"/>
    </x:row>
    <x:row r="52" spans="1:109" ht="12.75" customHeight="1" s="7" customFormat="1">
      <x:c r="A52" s="600"/>
      <x:c r="B52" s="601"/>
      <x:c r="C52" s="505"/>
      <x:c r="D52" s="504"/>
      <x:c r="E52" s="505"/>
      <x:c r="F52" s="602" t="s">
        <x:v>86</x:v>
      </x:c>
      <x:c r="G52" s="505"/>
      <x:c r="H52" s="505"/>
      <x:c r="I52" s="505"/>
      <x:c r="J52" s="505"/>
      <x:c r="K52" s="505"/>
      <x:c r="L52" s="505"/>
      <x:c r="M52" s="505"/>
      <x:c r="N52" s="505"/>
      <x:c r="O52" s="505"/>
      <x:c r="P52" s="505"/>
      <x:c r="Q52" s="505"/>
      <x:c r="R52" s="505"/>
      <x:c r="S52" s="505"/>
      <x:c r="T52" s="505"/>
      <x:c r="U52" s="505"/>
      <x:c r="V52" s="505"/>
      <x:c r="W52" s="505"/>
      <x:c r="X52" s="505"/>
      <x:c r="Y52" s="505"/>
      <x:c r="Z52" s="505"/>
      <x:c r="AA52" s="505"/>
      <x:c r="AB52" s="505"/>
      <x:c r="AC52" s="505"/>
      <x:c r="AD52" s="505"/>
      <x:c r="AE52" s="505"/>
      <x:c r="AF52" s="505"/>
      <x:c r="AG52" s="505"/>
      <x:c r="AH52" s="505"/>
      <x:c r="AI52" s="505"/>
      <x:c r="AJ52" s="505"/>
      <x:c r="AK52" s="505"/>
      <x:c r="AL52" s="505"/>
      <x:c r="AM52" s="505"/>
      <x:c r="AN52" s="505"/>
      <x:c r="AO52" s="505"/>
      <x:c r="AP52" s="505"/>
      <x:c r="AQ52" s="505"/>
      <x:c r="AR52" s="505"/>
      <x:c r="AS52" s="505"/>
      <x:c r="AT52" s="505"/>
      <x:c r="AU52" s="505"/>
      <x:c r="AV52" s="505"/>
      <x:c r="AW52" s="505"/>
      <x:c r="AX52" s="505"/>
      <x:c r="AY52" s="505"/>
      <x:c r="AZ52" s="603"/>
      <x:c r="BA52" s="600"/>
      <x:c r="BB52" s="604" t="s">
        <x:v>87</x:v>
      </x:c>
      <x:c r="BC52" s="604"/>
      <x:c r="BD52" s="604"/>
      <x:c r="BE52" s="604"/>
      <x:c r="BF52" s="604"/>
      <x:c r="BG52" s="604"/>
      <x:c r="BH52" s="604"/>
      <x:c r="BI52" s="604"/>
      <x:c r="BJ52" s="604"/>
      <x:c r="BK52" s="604"/>
      <x:c r="BL52" s="604"/>
      <x:c r="BM52" s="604"/>
      <x:c r="BN52" s="604"/>
      <x:c r="BO52" s="604"/>
      <x:c r="BP52" s="604"/>
      <x:c r="BQ52" s="604"/>
      <x:c r="BR52" s="604"/>
      <x:c r="BS52" s="604"/>
      <x:c r="BT52" s="604"/>
      <x:c r="BU52" s="604"/>
      <x:c r="BV52" s="600"/>
      <x:c r="BX52" s="370" t="s">
        <x:v>88</x:v>
      </x:c>
      <x:c r="BY52" s="371"/>
      <x:c r="BZ52" s="371"/>
      <x:c r="CA52" s="371"/>
      <x:c r="CB52" s="372"/>
      <x:c r="CC52" s="2"/>
      <x:c r="CD52" s="370" t="s">
        <x:v>88</x:v>
      </x:c>
      <x:c r="CE52" s="371"/>
      <x:c r="CF52" s="371"/>
      <x:c r="CG52" s="371"/>
      <x:c r="CH52" s="372"/>
      <x:c r="CI52" s="2"/>
      <x:c r="CJ52" s="370" t="s">
        <x:v>89</x:v>
      </x:c>
      <x:c r="CK52" s="371"/>
      <x:c r="CL52" s="371"/>
      <x:c r="CM52" s="371"/>
      <x:c r="CN52" s="372"/>
      <x:c r="CO52" s="2"/>
      <x:c r="CP52" s="370" t="s">
        <x:v>89</x:v>
      </x:c>
      <x:c r="CQ52" s="371"/>
      <x:c r="CR52" s="371"/>
      <x:c r="CS52" s="371"/>
      <x:c r="CT52" s="372"/>
      <x:c r="CV52" s="370" t="s">
        <x:v>90</x:v>
      </x:c>
      <x:c r="CW52" s="371"/>
      <x:c r="CX52" s="371"/>
      <x:c r="CY52" s="371"/>
      <x:c r="CZ52" s="372"/>
      <x:c r="DB52" s="375" t="s">
        <x:v>91</x:v>
      </x:c>
      <x:c r="DC52" s="376"/>
      <x:c r="DD52" s="360" t="s">
        <x:v>92</x:v>
      </x:c>
      <x:c r="DE52" s="360"/>
    </x:row>
    <x:row r="53" spans="1:109" ht="18" customHeight="1" s="8" customFormat="1">
      <x:c r="A53" s="605"/>
      <x:c r="B53" s="601"/>
      <x:c r="C53" s="505"/>
      <x:c r="D53" s="505"/>
      <x:c r="E53" s="505"/>
      <x:c r="F53" s="606" t="s">
        <x:v>37</x:v>
      </x:c>
      <x:c r="G53" s="606"/>
      <x:c r="H53" s="606"/>
      <x:c r="I53" s="606"/>
      <x:c r="J53" s="606"/>
      <x:c r="K53" s="606"/>
      <x:c r="L53" s="606" t="s">
        <x:v>38</x:v>
      </x:c>
      <x:c r="M53" s="606"/>
      <x:c r="N53" s="606"/>
      <x:c r="O53" s="606"/>
      <x:c r="P53" s="606"/>
      <x:c r="Q53" s="606"/>
      <x:c r="R53" s="606"/>
      <x:c r="S53" s="606" t="s">
        <x:v>93</x:v>
      </x:c>
      <x:c r="T53" s="606"/>
      <x:c r="U53" s="606"/>
      <x:c r="V53" s="606"/>
      <x:c r="W53" s="606"/>
      <x:c r="X53" s="606" t="s">
        <x:v>39</x:v>
      </x:c>
      <x:c r="Y53" s="606"/>
      <x:c r="Z53" s="606"/>
      <x:c r="AA53" s="606"/>
      <x:c r="AB53" s="606"/>
      <x:c r="AC53" s="606"/>
      <x:c r="AD53" s="606"/>
      <x:c r="AE53" s="606"/>
      <x:c r="AF53" s="606"/>
      <x:c r="AG53" s="606"/>
      <x:c r="AH53" s="606"/>
      <x:c r="AI53" s="606"/>
      <x:c r="AJ53" s="606"/>
      <x:c r="AK53" s="606"/>
      <x:c r="AL53" s="606"/>
      <x:c r="AM53" s="606" t="s">
        <x:v>94</x:v>
      </x:c>
      <x:c r="AN53" s="606"/>
      <x:c r="AO53" s="606"/>
      <x:c r="AP53" s="606"/>
      <x:c r="AQ53" s="606"/>
      <x:c r="AR53" s="606" t="s">
        <x:v>40</x:v>
      </x:c>
      <x:c r="AS53" s="606"/>
      <x:c r="AT53" s="606"/>
      <x:c r="AU53" s="606"/>
      <x:c r="AV53" s="606"/>
      <x:c r="AW53" s="505"/>
      <x:c r="AX53" s="505"/>
      <x:c r="AY53" s="505"/>
      <x:c r="AZ53" s="603"/>
      <x:c r="BA53" s="605"/>
      <x:c r="BB53" s="606" t="s">
        <x:v>95</x:v>
      </x:c>
      <x:c r="BC53" s="606"/>
      <x:c r="BD53" s="606"/>
      <x:c r="BE53" s="606"/>
      <x:c r="BF53" s="606"/>
      <x:c r="BG53" s="606" t="s">
        <x:v>96</x:v>
      </x:c>
      <x:c r="BH53" s="606"/>
      <x:c r="BI53" s="606"/>
      <x:c r="BJ53" s="606"/>
      <x:c r="BK53" s="606"/>
      <x:c r="BL53" s="606" t="s">
        <x:v>97</x:v>
      </x:c>
      <x:c r="BM53" s="606"/>
      <x:c r="BN53" s="606"/>
      <x:c r="BO53" s="606"/>
      <x:c r="BP53" s="606"/>
      <x:c r="BQ53" s="606" t="s">
        <x:v>98</x:v>
      </x:c>
      <x:c r="BR53" s="606"/>
      <x:c r="BS53" s="606"/>
      <x:c r="BT53" s="606"/>
      <x:c r="BU53" s="606"/>
      <x:c r="BV53" s="605"/>
      <x:c r="BX53" s="119" t="s">
        <x:v>99</x:v>
      </x:c>
      <x:c r="BY53" s="362" t="s">
        <x:v>41</x:v>
      </x:c>
      <x:c r="BZ53" s="362" t="s">
        <x:v>100</x:v>
      </x:c>
      <x:c r="CA53" s="121" t="s">
        <x:v>101</x:v>
      </x:c>
      <x:c r="CB53" s="368" t="s">
        <x:v>102</x:v>
      </x:c>
      <x:c r="CC53" s="2"/>
      <x:c r="CD53" s="119" t="s">
        <x:v>99</x:v>
      </x:c>
      <x:c r="CE53" s="362" t="s">
        <x:v>41</x:v>
      </x:c>
      <x:c r="CF53" s="362" t="s">
        <x:v>100</x:v>
      </x:c>
      <x:c r="CG53" s="121" t="s">
        <x:v>101</x:v>
      </x:c>
      <x:c r="CH53" s="368" t="s">
        <x:v>102</x:v>
      </x:c>
      <x:c r="CI53" s="2"/>
      <x:c r="CJ53" s="119" t="s">
        <x:v>99</x:v>
      </x:c>
      <x:c r="CK53" s="362" t="s">
        <x:v>41</x:v>
      </x:c>
      <x:c r="CL53" s="362" t="s">
        <x:v>100</x:v>
      </x:c>
      <x:c r="CM53" s="121" t="s">
        <x:v>101</x:v>
      </x:c>
      <x:c r="CN53" s="368" t="s">
        <x:v>102</x:v>
      </x:c>
      <x:c r="CO53" s="2"/>
      <x:c r="CP53" s="119" t="s">
        <x:v>99</x:v>
      </x:c>
      <x:c r="CQ53" s="362" t="s">
        <x:v>41</x:v>
      </x:c>
      <x:c r="CR53" s="362" t="s">
        <x:v>100</x:v>
      </x:c>
      <x:c r="CS53" s="121" t="s">
        <x:v>101</x:v>
      </x:c>
      <x:c r="CT53" s="368" t="s">
        <x:v>102</x:v>
      </x:c>
      <x:c r="CV53" s="119" t="s">
        <x:v>103</x:v>
      </x:c>
      <x:c r="CW53" s="101" t="s">
        <x:v>104</x:v>
      </x:c>
      <x:c r="CX53" s="121" t="s">
        <x:v>105</x:v>
      </x:c>
      <x:c r="CY53" s="119" t="s">
        <x:v>106</x:v>
      </x:c>
      <x:c r="CZ53" s="377"/>
      <x:c r="DB53" s="375"/>
      <x:c r="DC53" s="376"/>
      <x:c r="DD53" s="360"/>
      <x:c r="DE53" s="360"/>
    </x:row>
    <x:row r="54" spans="1:109" ht="18" customHeight="1" s="8" customFormat="1">
      <x:c r="A54" s="605"/>
      <x:c r="B54" s="601"/>
      <x:c r="C54" s="505"/>
      <x:c r="D54" s="505"/>
      <x:c r="E54" s="505"/>
      <x:c r="F54" s="606"/>
      <x:c r="G54" s="606"/>
      <x:c r="H54" s="606"/>
      <x:c r="I54" s="606"/>
      <x:c r="J54" s="606"/>
      <x:c r="K54" s="606"/>
      <x:c r="L54" s="606"/>
      <x:c r="M54" s="606"/>
      <x:c r="N54" s="606"/>
      <x:c r="O54" s="606"/>
      <x:c r="P54" s="606"/>
      <x:c r="Q54" s="606"/>
      <x:c r="R54" s="606"/>
      <x:c r="S54" s="606"/>
      <x:c r="T54" s="606"/>
      <x:c r="U54" s="606"/>
      <x:c r="V54" s="606"/>
      <x:c r="W54" s="606"/>
      <x:c r="X54" s="606">
        <x:v>1</x:v>
      </x:c>
      <x:c r="Y54" s="606"/>
      <x:c r="Z54" s="606"/>
      <x:c r="AA54" s="606"/>
      <x:c r="AB54" s="606"/>
      <x:c r="AC54" s="606">
        <x:v>2</x:v>
      </x:c>
      <x:c r="AD54" s="606"/>
      <x:c r="AE54" s="606"/>
      <x:c r="AF54" s="606"/>
      <x:c r="AG54" s="606"/>
      <x:c r="AH54" s="606">
        <x:v>3</x:v>
      </x:c>
      <x:c r="AI54" s="606"/>
      <x:c r="AJ54" s="606"/>
      <x:c r="AK54" s="606"/>
      <x:c r="AL54" s="606"/>
      <x:c r="AM54" s="606"/>
      <x:c r="AN54" s="606"/>
      <x:c r="AO54" s="606"/>
      <x:c r="AP54" s="606"/>
      <x:c r="AQ54" s="606"/>
      <x:c r="AR54" s="606"/>
      <x:c r="AS54" s="606"/>
      <x:c r="AT54" s="606"/>
      <x:c r="AU54" s="606"/>
      <x:c r="AV54" s="606"/>
      <x:c r="AW54" s="505"/>
      <x:c r="AX54" s="505"/>
      <x:c r="AY54" s="505"/>
      <x:c r="AZ54" s="603"/>
      <x:c r="BA54" s="605"/>
      <x:c r="BB54" s="606"/>
      <x:c r="BC54" s="606"/>
      <x:c r="BD54" s="606"/>
      <x:c r="BE54" s="606"/>
      <x:c r="BF54" s="606"/>
      <x:c r="BG54" s="606"/>
      <x:c r="BH54" s="606"/>
      <x:c r="BI54" s="606"/>
      <x:c r="BJ54" s="606"/>
      <x:c r="BK54" s="606"/>
      <x:c r="BL54" s="606"/>
      <x:c r="BM54" s="606"/>
      <x:c r="BN54" s="606"/>
      <x:c r="BO54" s="606"/>
      <x:c r="BP54" s="606"/>
      <x:c r="BQ54" s="606"/>
      <x:c r="BR54" s="606"/>
      <x:c r="BS54" s="606"/>
      <x:c r="BT54" s="606"/>
      <x:c r="BU54" s="606"/>
      <x:c r="BV54" s="605"/>
      <x:c r="BX54" s="120"/>
      <x:c r="BY54" s="363"/>
      <x:c r="BZ54" s="363"/>
      <x:c r="CA54" s="122"/>
      <x:c r="CB54" s="369"/>
      <x:c r="CC54" s="2"/>
      <x:c r="CD54" s="120"/>
      <x:c r="CE54" s="363"/>
      <x:c r="CF54" s="363"/>
      <x:c r="CG54" s="122"/>
      <x:c r="CH54" s="369"/>
      <x:c r="CI54" s="2"/>
      <x:c r="CJ54" s="120"/>
      <x:c r="CK54" s="363"/>
      <x:c r="CL54" s="363"/>
      <x:c r="CM54" s="122"/>
      <x:c r="CN54" s="369"/>
      <x:c r="CO54" s="2"/>
      <x:c r="CP54" s="120"/>
      <x:c r="CQ54" s="363"/>
      <x:c r="CR54" s="363"/>
      <x:c r="CS54" s="122"/>
      <x:c r="CT54" s="369"/>
      <x:c r="CV54" s="120" t="s">
        <x:v>107</x:v>
      </x:c>
      <x:c r="CW54" s="102" t="s">
        <x:v>108</x:v>
      </x:c>
      <x:c r="CX54" s="122" t="s">
        <x:v>109</x:v>
      </x:c>
      <x:c r="CY54" s="120" t="s">
        <x:v>110</x:v>
      </x:c>
      <x:c r="CZ54" s="378"/>
      <x:c r="DB54" s="375"/>
      <x:c r="DC54" s="376"/>
      <x:c r="DD54" s="360"/>
      <x:c r="DE54" s="360"/>
    </x:row>
    <x:row r="55" spans="1:109" ht="18" customHeight="1" s="8" customFormat="1">
      <x:c r="A55" s="605"/>
      <x:c r="B55" s="601"/>
      <x:c r="C55" s="505"/>
      <x:c r="D55" s="505"/>
      <x:c r="E55" s="505"/>
      <x:c r="F55" s="607" t="s">
        <x:v>111</x:v>
      </x:c>
      <x:c r="G55" s="608"/>
      <x:c r="H55" s="608"/>
      <x:c r="I55" s="608"/>
      <x:c r="J55" s="608"/>
      <x:c r="K55" s="609"/>
      <x:c r="L55" s="610">
        <x:f>600*10%</x:f>
      </x:c>
      <x:c r="M55" s="611"/>
      <x:c r="N55" s="611"/>
      <x:c r="O55" s="611"/>
      <x:c r="P55" s="612" t="s">
        <x:v>112</x:v>
      </x:c>
      <x:c r="Q55" s="612"/>
      <x:c r="R55" s="613"/>
      <x:c r="S55" s="614" t="s">
        <x:v>81</x:v>
      </x:c>
      <x:c r="T55" s="614"/>
      <x:c r="U55" s="614"/>
      <x:c r="V55" s="614"/>
      <x:c r="W55" s="614"/>
      <x:c r="X55" s="615"/>
      <x:c r="Y55" s="615"/>
      <x:c r="Z55" s="615"/>
      <x:c r="AA55" s="615"/>
      <x:c r="AB55" s="615"/>
      <x:c r="AC55" s="615"/>
      <x:c r="AD55" s="615"/>
      <x:c r="AE55" s="615"/>
      <x:c r="AF55" s="615"/>
      <x:c r="AG55" s="615"/>
      <x:c r="AH55" s="615"/>
      <x:c r="AI55" s="615"/>
      <x:c r="AJ55" s="615"/>
      <x:c r="AK55" s="615"/>
      <x:c r="AL55" s="615"/>
      <x:c r="AM55" s="615">
        <x:f>AVERAGE(X55:AL55)</x:f>
      </x:c>
      <x:c r="AN55" s="615"/>
      <x:c r="AO55" s="615"/>
      <x:c r="AP55" s="615"/>
      <x:c r="AQ55" s="615"/>
      <x:c r="AR55" s="615">
        <x:f>AM55-L55</x:f>
      </x:c>
      <x:c r="AS55" s="615"/>
      <x:c r="AT55" s="615"/>
      <x:c r="AU55" s="615"/>
      <x:c r="AV55" s="615"/>
      <x:c r="AW55" s="505"/>
      <x:c r="AX55" s="505"/>
      <x:c r="AY55" s="505"/>
      <x:c r="AZ55" s="603"/>
      <x:c r="BA55" s="605"/>
      <x:c r="BB55" s="616">
        <x:f>ABS(AM55*0.1%)+(1*CK55)</x:f>
      </x:c>
      <x:c r="BC55" s="616"/>
      <x:c r="BD55" s="616"/>
      <x:c r="BE55" s="616"/>
      <x:c r="BF55" s="616"/>
      <x:c r="BG55" s="616">
        <x:f>L55+BB55</x:f>
      </x:c>
      <x:c r="BH55" s="616"/>
      <x:c r="BI55" s="616"/>
      <x:c r="BJ55" s="616"/>
      <x:c r="BK55" s="616"/>
      <x:c r="BL55" s="616">
        <x:f>L55-BB55</x:f>
      </x:c>
      <x:c r="BM55" s="616"/>
      <x:c r="BN55" s="616"/>
      <x:c r="BO55" s="616"/>
      <x:c r="BP55" s="616"/>
      <x:c r="BQ55" s="617">
        <x:f>IF(AND(AM55&lt;=BG55,AM55&gt;=BL55),"PASS","FAIL")</x:f>
      </x:c>
      <x:c r="BR55" s="617"/>
      <x:c r="BS55" s="617"/>
      <x:c r="BT55" s="617"/>
      <x:c r="BU55" s="617"/>
      <x:c r="BV55" s="605"/>
      <x:c r="BX55" s="75" t="s">
        <x:v>113</x:v>
      </x:c>
      <x:c r="BY55" s="221">
        <x:v>0.00077</x:v>
      </x:c>
      <x:c r="BZ55" s="76">
        <x:f>P55</x:f>
      </x:c>
      <x:c r="CA55" s="175">
        <x:v>2</x:v>
      </x:c>
      <x:c r="CB55" s="77">
        <x:f>BY55/CA55</x:f>
      </x:c>
      <x:c r="CC55" s="4"/>
      <x:c r="CD55" s="70" t="s">
        <x:v>114</x:v>
      </x:c>
      <x:c r="CE55" s="90">
        <x:v>0</x:v>
      </x:c>
      <x:c r="CF55" s="91">
        <x:f>BZ55</x:f>
      </x:c>
      <x:c r="CG55" s="80">
        <x:f>SQRT(3)</x:f>
      </x:c>
      <x:c r="CH55" s="77">
        <x:f>CE55/CG55</x:f>
      </x:c>
      <x:c r="CI55" s="4"/>
      <x:c r="CJ55" s="70" t="s">
        <x:v>115</x:v>
      </x:c>
      <x:c r="CK55" s="176">
        <x:v>0.1</x:v>
      </x:c>
      <x:c r="CL55" s="71">
        <x:f>P55</x:f>
      </x:c>
      <x:c r="CM55" s="80">
        <x:f>SQRT(12)</x:f>
      </x:c>
      <x:c r="CN55" s="77">
        <x:f>CK55/CM55</x:f>
      </x:c>
      <x:c r="CO55" s="4"/>
      <x:c r="CP55" s="70" t="s">
        <x:v>116</x:v>
      </x:c>
      <x:c r="CQ55" s="83">
        <x:f>STDEV(X55:AL55)</x:f>
      </x:c>
      <x:c r="CR55" s="71">
        <x:f>P55</x:f>
      </x:c>
      <x:c r="CS55" s="80">
        <x:f>SQRT(3)</x:f>
      </x:c>
      <x:c r="CT55" s="85">
        <x:f>CQ55/CS55</x:f>
      </x:c>
      <x:c r="CV55" s="92">
        <x:f>SQRT(SUMSQ(CT55,CN55,CH55,CB55))</x:f>
      </x:c>
      <x:c r="CW55" s="88">
        <x:f>(CV55^4)/(((CT55^4)/2)+((CN55^4)/200)+((CH55^4)/200)+((CB55^4)/200))</x:f>
      </x:c>
      <x:c r="CX55" s="93">
        <x:f>ROUND(TINV(0.05,CW55),0)</x:f>
      </x:c>
      <x:c r="CY55" s="103">
        <x:f>(CV55*CX55)</x:f>
      </x:c>
      <x:c r="CZ55" s="104">
        <x:f>P55</x:f>
      </x:c>
      <x:c r="DB55" s="177">
        <x:v>0.0016</x:v>
      </x:c>
      <x:c r="DC55" s="178">
        <x:f>CZ55</x:f>
      </x:c>
      <x:c r="DD55" s="220">
        <x:f>MAX(DB55,CY55)</x:f>
      </x:c>
      <x:c r="DE55" s="178">
        <x:f>DC55</x:f>
      </x:c>
    </x:row>
    <x:row r="56" spans="1:109" ht="18" customHeight="1" s="8" customFormat="1">
      <x:c r="A56" s="605"/>
      <x:c r="B56" s="601"/>
      <x:c r="C56" s="505"/>
      <x:c r="D56" s="505"/>
      <x:c r="E56" s="505"/>
      <x:c r="F56" s="618"/>
      <x:c r="G56" s="619"/>
      <x:c r="H56" s="619"/>
      <x:c r="I56" s="619"/>
      <x:c r="J56" s="619"/>
      <x:c r="K56" s="620"/>
      <x:c r="L56" s="610">
        <x:f>600*90%</x:f>
      </x:c>
      <x:c r="M56" s="611"/>
      <x:c r="N56" s="611"/>
      <x:c r="O56" s="611"/>
      <x:c r="P56" s="612" t="s">
        <x:v>112</x:v>
      </x:c>
      <x:c r="Q56" s="612"/>
      <x:c r="R56" s="613"/>
      <x:c r="S56" s="614" t="s">
        <x:v>81</x:v>
      </x:c>
      <x:c r="T56" s="614"/>
      <x:c r="U56" s="614"/>
      <x:c r="V56" s="614"/>
      <x:c r="W56" s="614"/>
      <x:c r="X56" s="621"/>
      <x:c r="Y56" s="622"/>
      <x:c r="Z56" s="622"/>
      <x:c r="AA56" s="622"/>
      <x:c r="AB56" s="622"/>
      <x:c r="AC56" s="621"/>
      <x:c r="AD56" s="622"/>
      <x:c r="AE56" s="622"/>
      <x:c r="AF56" s="622"/>
      <x:c r="AG56" s="622"/>
      <x:c r="AH56" s="621"/>
      <x:c r="AI56" s="622"/>
      <x:c r="AJ56" s="622"/>
      <x:c r="AK56" s="622"/>
      <x:c r="AL56" s="622"/>
      <x:c r="AM56" s="621">
        <x:f>AVERAGE(X56:AL56)</x:f>
      </x:c>
      <x:c r="AN56" s="622"/>
      <x:c r="AO56" s="622"/>
      <x:c r="AP56" s="622"/>
      <x:c r="AQ56" s="623"/>
      <x:c r="AR56" s="621">
        <x:f>AM56-L56</x:f>
      </x:c>
      <x:c r="AS56" s="622"/>
      <x:c r="AT56" s="622"/>
      <x:c r="AU56" s="622"/>
      <x:c r="AV56" s="623"/>
      <x:c r="AW56" s="505"/>
      <x:c r="AX56" s="505"/>
      <x:c r="AY56" s="505"/>
      <x:c r="AZ56" s="603"/>
      <x:c r="BA56" s="605"/>
      <x:c r="BB56" s="616">
        <x:f>ABS(AM56*0.1%)+(1*CK56)</x:f>
      </x:c>
      <x:c r="BC56" s="616"/>
      <x:c r="BD56" s="616"/>
      <x:c r="BE56" s="616"/>
      <x:c r="BF56" s="616"/>
      <x:c r="BG56" s="615">
        <x:f>L56+BB56</x:f>
      </x:c>
      <x:c r="BH56" s="615"/>
      <x:c r="BI56" s="615"/>
      <x:c r="BJ56" s="615"/>
      <x:c r="BK56" s="615"/>
      <x:c r="BL56" s="615">
        <x:f>L56-BB56</x:f>
      </x:c>
      <x:c r="BM56" s="615"/>
      <x:c r="BN56" s="615"/>
      <x:c r="BO56" s="615"/>
      <x:c r="BP56" s="615"/>
      <x:c r="BQ56" s="617">
        <x:f>IF(AND(AM56&lt;=BG56,AM56&gt;=BL56),"PASS","FAIL")</x:f>
      </x:c>
      <x:c r="BR56" s="617"/>
      <x:c r="BS56" s="617"/>
      <x:c r="BT56" s="617"/>
      <x:c r="BU56" s="617"/>
      <x:c r="BV56" s="605"/>
      <x:c r="BX56" s="72" t="s">
        <x:v>113</x:v>
      </x:c>
      <x:c r="BY56" s="179">
        <x:v>0.0021</x:v>
      </x:c>
      <x:c r="BZ56" s="1">
        <x:f>P56</x:f>
      </x:c>
      <x:c r="CA56" s="180">
        <x:v>2</x:v>
      </x:c>
      <x:c r="CB56" s="78">
        <x:f>BY56/CA56</x:f>
      </x:c>
      <x:c r="CC56" s="4"/>
      <x:c r="CD56" s="72" t="s">
        <x:v>114</x:v>
      </x:c>
      <x:c r="CE56" s="5">
        <x:v>0</x:v>
      </x:c>
      <x:c r="CF56" s="1">
        <x:f>BZ56</x:f>
      </x:c>
      <x:c r="CG56" s="81">
        <x:f>SQRT(3)</x:f>
      </x:c>
      <x:c r="CH56" s="78">
        <x:f>CE56/CG56</x:f>
      </x:c>
      <x:c r="CI56" s="4"/>
      <x:c r="CJ56" s="72" t="s">
        <x:v>115</x:v>
      </x:c>
      <x:c r="CK56" s="181">
        <x:v>0.1</x:v>
      </x:c>
      <x:c r="CL56" s="1">
        <x:f>P56</x:f>
      </x:c>
      <x:c r="CM56" s="81">
        <x:f>SQRT(12)</x:f>
      </x:c>
      <x:c r="CN56" s="78">
        <x:f>CK56/CM56</x:f>
      </x:c>
      <x:c r="CO56" s="4"/>
      <x:c r="CP56" s="72" t="s">
        <x:v>116</x:v>
      </x:c>
      <x:c r="CQ56" s="6">
        <x:f>STDEV(X56:AL56)</x:f>
      </x:c>
      <x:c r="CR56" s="1">
        <x:f>P56</x:f>
      </x:c>
      <x:c r="CS56" s="81">
        <x:f>SQRT(3)</x:f>
      </x:c>
      <x:c r="CT56" s="86">
        <x:f>CQ56/CS56</x:f>
      </x:c>
      <x:c r="CV56" s="94">
        <x:f>SQRT(SUMSQ(CT56,CN56,CH56,CB56))</x:f>
      </x:c>
      <x:c r="CW56" s="5">
        <x:f>(CV56^4)/(((CT56^4)/2)+((CN56^4)/200)+((CH56^4)/200)+((CB56^4)/200))</x:f>
      </x:c>
      <x:c r="CX56" s="95">
        <x:f>ROUND(TINV(0.05,CW56),0)</x:f>
      </x:c>
      <x:c r="CY56" s="105">
        <x:f>(CV56*CX56)</x:f>
      </x:c>
      <x:c r="CZ56" s="106">
        <x:f>P56</x:f>
      </x:c>
      <x:c r="DB56" s="177">
        <x:v>0.0018</x:v>
      </x:c>
      <x:c r="DC56" s="178">
        <x:f>CZ56</x:f>
      </x:c>
      <x:c r="DD56" s="220">
        <x:f>MAX(DB56,CY56)</x:f>
      </x:c>
      <x:c r="DE56" s="178">
        <x:f>DC56</x:f>
      </x:c>
    </x:row>
    <x:row r="57" spans="1:109" ht="18" customHeight="1" s="8" customFormat="1">
      <x:c r="A57" s="605"/>
      <x:c r="B57" s="601"/>
      <x:c r="C57" s="505"/>
      <x:c r="D57" s="505"/>
      <x:c r="E57" s="505"/>
      <x:c r="F57" s="624"/>
      <x:c r="G57" s="625"/>
      <x:c r="H57" s="625"/>
      <x:c r="I57" s="625"/>
      <x:c r="J57" s="625"/>
      <x:c r="K57" s="626"/>
      <x:c r="L57" s="610">
        <x:f>600*-90%</x:f>
      </x:c>
      <x:c r="M57" s="611"/>
      <x:c r="N57" s="611"/>
      <x:c r="O57" s="611"/>
      <x:c r="P57" s="612" t="s">
        <x:v>112</x:v>
      </x:c>
      <x:c r="Q57" s="612"/>
      <x:c r="R57" s="613"/>
      <x:c r="S57" s="614" t="s">
        <x:v>81</x:v>
      </x:c>
      <x:c r="T57" s="614"/>
      <x:c r="U57" s="614"/>
      <x:c r="V57" s="614"/>
      <x:c r="W57" s="614"/>
      <x:c r="X57" s="615"/>
      <x:c r="Y57" s="615"/>
      <x:c r="Z57" s="615"/>
      <x:c r="AA57" s="615"/>
      <x:c r="AB57" s="615"/>
      <x:c r="AC57" s="615"/>
      <x:c r="AD57" s="615"/>
      <x:c r="AE57" s="615"/>
      <x:c r="AF57" s="615"/>
      <x:c r="AG57" s="615"/>
      <x:c r="AH57" s="615"/>
      <x:c r="AI57" s="615"/>
      <x:c r="AJ57" s="615"/>
      <x:c r="AK57" s="615"/>
      <x:c r="AL57" s="615"/>
      <x:c r="AM57" s="615">
        <x:f>AVERAGE(X57:AL57)</x:f>
      </x:c>
      <x:c r="AN57" s="615"/>
      <x:c r="AO57" s="615"/>
      <x:c r="AP57" s="615"/>
      <x:c r="AQ57" s="615"/>
      <x:c r="AR57" s="615">
        <x:f>AM57-L57</x:f>
      </x:c>
      <x:c r="AS57" s="615"/>
      <x:c r="AT57" s="615"/>
      <x:c r="AU57" s="615"/>
      <x:c r="AV57" s="615"/>
      <x:c r="AW57" s="505"/>
      <x:c r="AX57" s="505"/>
      <x:c r="AY57" s="505"/>
      <x:c r="AZ57" s="603"/>
      <x:c r="BA57" s="605"/>
      <x:c r="BB57" s="616">
        <x:f>ABS(AM57*0.1%)+(1*CK57)</x:f>
      </x:c>
      <x:c r="BC57" s="616"/>
      <x:c r="BD57" s="616"/>
      <x:c r="BE57" s="616"/>
      <x:c r="BF57" s="616"/>
      <x:c r="BG57" s="615">
        <x:f>L57+BB57</x:f>
      </x:c>
      <x:c r="BH57" s="615"/>
      <x:c r="BI57" s="615"/>
      <x:c r="BJ57" s="615"/>
      <x:c r="BK57" s="615"/>
      <x:c r="BL57" s="615">
        <x:f>L57-BB57</x:f>
      </x:c>
      <x:c r="BM57" s="615"/>
      <x:c r="BN57" s="615"/>
      <x:c r="BO57" s="615"/>
      <x:c r="BP57" s="615"/>
      <x:c r="BQ57" s="617">
        <x:f>IF(AND(AM57&lt;=BG57,AM57&gt;=BL57),"PASS","FAIL")</x:f>
      </x:c>
      <x:c r="BR57" s="617"/>
      <x:c r="BS57" s="617"/>
      <x:c r="BT57" s="617"/>
      <x:c r="BU57" s="617"/>
      <x:c r="BV57" s="605"/>
      <x:c r="BX57" s="72" t="s">
        <x:v>113</x:v>
      </x:c>
      <x:c r="BY57" s="179">
        <x:v>0.0021</x:v>
      </x:c>
      <x:c r="BZ57" s="1">
        <x:f>P57</x:f>
      </x:c>
      <x:c r="CA57" s="180">
        <x:v>2</x:v>
      </x:c>
      <x:c r="CB57" s="78">
        <x:f>BY57/CA57</x:f>
      </x:c>
      <x:c r="CC57" s="4"/>
      <x:c r="CD57" s="72" t="s">
        <x:v>114</x:v>
      </x:c>
      <x:c r="CE57" s="5">
        <x:v>0</x:v>
      </x:c>
      <x:c r="CF57" s="1">
        <x:f>BZ57</x:f>
      </x:c>
      <x:c r="CG57" s="81">
        <x:f>SQRT(3)</x:f>
      </x:c>
      <x:c r="CH57" s="78">
        <x:f>CE57/CG57</x:f>
      </x:c>
      <x:c r="CI57" s="4"/>
      <x:c r="CJ57" s="72" t="s">
        <x:v>115</x:v>
      </x:c>
      <x:c r="CK57" s="181">
        <x:v>0.1</x:v>
      </x:c>
      <x:c r="CL57" s="1">
        <x:f>P57</x:f>
      </x:c>
      <x:c r="CM57" s="81">
        <x:f>SQRT(12)</x:f>
      </x:c>
      <x:c r="CN57" s="78">
        <x:f>CK57/CM57</x:f>
      </x:c>
      <x:c r="CO57" s="4"/>
      <x:c r="CP57" s="72" t="s">
        <x:v>116</x:v>
      </x:c>
      <x:c r="CQ57" s="6">
        <x:f>STDEV(X57:AL57)</x:f>
      </x:c>
      <x:c r="CR57" s="1">
        <x:f>P57</x:f>
      </x:c>
      <x:c r="CS57" s="81">
        <x:f>SQRT(3)</x:f>
      </x:c>
      <x:c r="CT57" s="86">
        <x:f>CQ57/CS57</x:f>
      </x:c>
      <x:c r="CV57" s="94">
        <x:f>SQRT(SUMSQ(CT57,CN57,CH57,CB57))</x:f>
      </x:c>
      <x:c r="CW57" s="5">
        <x:f>(CV57^4)/(((CT57^4)/2)+((CN57^4)/200)+((CH57^4)/200)+((CB57^4)/200))</x:f>
      </x:c>
      <x:c r="CX57" s="95">
        <x:f>ROUND(TINV(0.05,CW57),0)</x:f>
      </x:c>
      <x:c r="CY57" s="105">
        <x:f>(CV57*CX57)</x:f>
      </x:c>
      <x:c r="CZ57" s="106">
        <x:f>P57</x:f>
      </x:c>
      <x:c r="DB57" s="177">
        <x:v>0.0018</x:v>
      </x:c>
      <x:c r="DC57" s="178">
        <x:f>CZ57</x:f>
      </x:c>
      <x:c r="DD57" s="220">
        <x:f>MAX(DB57,CY57)</x:f>
      </x:c>
      <x:c r="DE57" s="178">
        <x:f>DC57</x:f>
      </x:c>
    </x:row>
    <x:row r="58" spans="1:109" ht="18" customHeight="1" s="8" customFormat="1">
      <x:c r="A58" s="605"/>
      <x:c r="B58" s="601"/>
      <x:c r="C58" s="505"/>
      <x:c r="D58" s="505"/>
      <x:c r="E58" s="505"/>
      <x:c r="F58" s="607" t="s">
        <x:v>117</x:v>
      </x:c>
      <x:c r="G58" s="608"/>
      <x:c r="H58" s="608"/>
      <x:c r="I58" s="608"/>
      <x:c r="J58" s="608"/>
      <x:c r="K58" s="609"/>
      <x:c r="L58" s="610">
        <x:f>6*10%</x:f>
      </x:c>
      <x:c r="M58" s="611"/>
      <x:c r="N58" s="611"/>
      <x:c r="O58" s="611"/>
      <x:c r="P58" s="612" t="s">
        <x:v>118</x:v>
      </x:c>
      <x:c r="Q58" s="612"/>
      <x:c r="R58" s="613"/>
      <x:c r="S58" s="614" t="s">
        <x:v>81</x:v>
      </x:c>
      <x:c r="T58" s="614"/>
      <x:c r="U58" s="614"/>
      <x:c r="V58" s="614"/>
      <x:c r="W58" s="614"/>
      <x:c r="X58" s="627"/>
      <x:c r="Y58" s="628"/>
      <x:c r="Z58" s="628"/>
      <x:c r="AA58" s="628"/>
      <x:c r="AB58" s="629"/>
      <x:c r="AC58" s="627"/>
      <x:c r="AD58" s="628"/>
      <x:c r="AE58" s="628"/>
      <x:c r="AF58" s="628"/>
      <x:c r="AG58" s="629"/>
      <x:c r="AH58" s="627"/>
      <x:c r="AI58" s="628"/>
      <x:c r="AJ58" s="628"/>
      <x:c r="AK58" s="628"/>
      <x:c r="AL58" s="629"/>
      <x:c r="AM58" s="630">
        <x:f>AVERAGE(X58:AL58)</x:f>
      </x:c>
      <x:c r="AN58" s="630"/>
      <x:c r="AO58" s="630"/>
      <x:c r="AP58" s="630"/>
      <x:c r="AQ58" s="630"/>
      <x:c r="AR58" s="630">
        <x:f>AM58-L58</x:f>
      </x:c>
      <x:c r="AS58" s="630"/>
      <x:c r="AT58" s="630"/>
      <x:c r="AU58" s="630"/>
      <x:c r="AV58" s="630"/>
      <x:c r="AW58" s="505"/>
      <x:c r="AX58" s="505"/>
      <x:c r="AY58" s="505"/>
      <x:c r="AZ58" s="603"/>
      <x:c r="BA58" s="605"/>
      <x:c r="BB58" s="616">
        <x:f>ABS(AM58*0.05%)+(1*CK58)</x:f>
      </x:c>
      <x:c r="BC58" s="616"/>
      <x:c r="BD58" s="616"/>
      <x:c r="BE58" s="616"/>
      <x:c r="BF58" s="616"/>
      <x:c r="BG58" s="630">
        <x:f>L58+BB58</x:f>
      </x:c>
      <x:c r="BH58" s="630"/>
      <x:c r="BI58" s="630"/>
      <x:c r="BJ58" s="630"/>
      <x:c r="BK58" s="630"/>
      <x:c r="BL58" s="630">
        <x:f>L58-BB58</x:f>
      </x:c>
      <x:c r="BM58" s="630"/>
      <x:c r="BN58" s="630"/>
      <x:c r="BO58" s="630"/>
      <x:c r="BP58" s="630"/>
      <x:c r="BQ58" s="617">
        <x:f>IF(AND(AM58&lt;=BG58,AM58&gt;=BL58),"PASS","FAIL")</x:f>
      </x:c>
      <x:c r="BR58" s="617"/>
      <x:c r="BS58" s="617"/>
      <x:c r="BT58" s="617"/>
      <x:c r="BU58" s="617"/>
      <x:c r="BV58" s="605"/>
      <x:c r="BX58" s="72" t="s">
        <x:v>113</x:v>
      </x:c>
      <x:c r="BY58" s="222">
        <x:v>2.1E-06</x:v>
      </x:c>
      <x:c r="BZ58" s="1">
        <x:f>P58</x:f>
      </x:c>
      <x:c r="CA58" s="180">
        <x:v>2</x:v>
      </x:c>
      <x:c r="CB58" s="78">
        <x:f>BY58/CA58</x:f>
      </x:c>
      <x:c r="CC58" s="4"/>
      <x:c r="CD58" s="72" t="s">
        <x:v>114</x:v>
      </x:c>
      <x:c r="CE58" s="5">
        <x:v>0</x:v>
      </x:c>
      <x:c r="CF58" s="1">
        <x:f>BZ58</x:f>
      </x:c>
      <x:c r="CG58" s="81">
        <x:f>SQRT(3)</x:f>
      </x:c>
      <x:c r="CH58" s="78">
        <x:f>CE58/CG58</x:f>
      </x:c>
      <x:c r="CI58" s="4"/>
      <x:c r="CJ58" s="72" t="s">
        <x:v>115</x:v>
      </x:c>
      <x:c r="CK58" s="181">
        <x:v>0.001</x:v>
      </x:c>
      <x:c r="CL58" s="1">
        <x:f>P58</x:f>
      </x:c>
      <x:c r="CM58" s="81">
        <x:f>SQRT(12)</x:f>
      </x:c>
      <x:c r="CN58" s="78">
        <x:f>CK58/CM58</x:f>
      </x:c>
      <x:c r="CO58" s="4"/>
      <x:c r="CP58" s="72" t="s">
        <x:v>116</x:v>
      </x:c>
      <x:c r="CQ58" s="6">
        <x:f>STDEV(X58:AL58)</x:f>
      </x:c>
      <x:c r="CR58" s="1">
        <x:f>P58</x:f>
      </x:c>
      <x:c r="CS58" s="81">
        <x:f>SQRT(3)</x:f>
      </x:c>
      <x:c r="CT58" s="86">
        <x:f>CQ58/CS58</x:f>
      </x:c>
      <x:c r="CV58" s="94">
        <x:f>SQRT(SUMSQ(CT58,CN58,CH58,CB58))</x:f>
      </x:c>
      <x:c r="CW58" s="5">
        <x:f>(CV58^4)/(((CT58^4)/2)+((CN58^4)/200)+((CH58^4)/200)+((CB58^4)/200))</x:f>
      </x:c>
      <x:c r="CX58" s="95">
        <x:f>ROUND(TINV(0.05,CW58),0)</x:f>
      </x:c>
      <x:c r="CY58" s="110">
        <x:f>(CV58*CX58)</x:f>
      </x:c>
      <x:c r="CZ58" s="106">
        <x:f>P58</x:f>
      </x:c>
      <x:c r="DB58" s="203">
        <x:v>1.8E-06</x:v>
      </x:c>
      <x:c r="DC58" s="178">
        <x:f>CZ58</x:f>
      </x:c>
      <x:c r="DD58" s="220">
        <x:f>MAX(DB58,CY58)</x:f>
      </x:c>
      <x:c r="DE58" s="178">
        <x:f>DC58</x:f>
      </x:c>
    </x:row>
    <x:row r="59" spans="1:109" ht="18" customHeight="1" s="8" customFormat="1">
      <x:c r="A59" s="605"/>
      <x:c r="B59" s="601"/>
      <x:c r="C59" s="505"/>
      <x:c r="D59" s="505"/>
      <x:c r="E59" s="505"/>
      <x:c r="F59" s="618"/>
      <x:c r="G59" s="619"/>
      <x:c r="H59" s="619"/>
      <x:c r="I59" s="619"/>
      <x:c r="J59" s="619"/>
      <x:c r="K59" s="620"/>
      <x:c r="L59" s="610">
        <x:f>6*90%</x:f>
      </x:c>
      <x:c r="M59" s="611"/>
      <x:c r="N59" s="611"/>
      <x:c r="O59" s="611"/>
      <x:c r="P59" s="612" t="s">
        <x:v>118</x:v>
      </x:c>
      <x:c r="Q59" s="612"/>
      <x:c r="R59" s="613"/>
      <x:c r="S59" s="614" t="s">
        <x:v>81</x:v>
      </x:c>
      <x:c r="T59" s="614"/>
      <x:c r="U59" s="614"/>
      <x:c r="V59" s="614"/>
      <x:c r="W59" s="614"/>
      <x:c r="X59" s="630"/>
      <x:c r="Y59" s="630"/>
      <x:c r="Z59" s="630"/>
      <x:c r="AA59" s="630"/>
      <x:c r="AB59" s="630"/>
      <x:c r="AC59" s="630"/>
      <x:c r="AD59" s="630"/>
      <x:c r="AE59" s="630"/>
      <x:c r="AF59" s="630"/>
      <x:c r="AG59" s="630"/>
      <x:c r="AH59" s="630"/>
      <x:c r="AI59" s="630"/>
      <x:c r="AJ59" s="630"/>
      <x:c r="AK59" s="630"/>
      <x:c r="AL59" s="630"/>
      <x:c r="AM59" s="630">
        <x:f>AVERAGE(X59:AL59)</x:f>
      </x:c>
      <x:c r="AN59" s="630"/>
      <x:c r="AO59" s="630"/>
      <x:c r="AP59" s="630"/>
      <x:c r="AQ59" s="630"/>
      <x:c r="AR59" s="630">
        <x:f>AM59-L59</x:f>
      </x:c>
      <x:c r="AS59" s="630"/>
      <x:c r="AT59" s="630"/>
      <x:c r="AU59" s="630"/>
      <x:c r="AV59" s="630"/>
      <x:c r="AW59" s="505"/>
      <x:c r="AX59" s="505"/>
      <x:c r="AY59" s="505"/>
      <x:c r="AZ59" s="603"/>
      <x:c r="BA59" s="605"/>
      <x:c r="BB59" s="616">
        <x:f>ABS(AM59*0.05%)+(1*CK59)</x:f>
      </x:c>
      <x:c r="BC59" s="616"/>
      <x:c r="BD59" s="616"/>
      <x:c r="BE59" s="616"/>
      <x:c r="BF59" s="616"/>
      <x:c r="BG59" s="630">
        <x:f>L59+BB59</x:f>
      </x:c>
      <x:c r="BH59" s="630"/>
      <x:c r="BI59" s="630"/>
      <x:c r="BJ59" s="630"/>
      <x:c r="BK59" s="630"/>
      <x:c r="BL59" s="630">
        <x:f>L59-BB59</x:f>
      </x:c>
      <x:c r="BM59" s="630"/>
      <x:c r="BN59" s="630"/>
      <x:c r="BO59" s="630"/>
      <x:c r="BP59" s="630"/>
      <x:c r="BQ59" s="617">
        <x:f>IF(AND(AM59&lt;=BG59,AM59&gt;=BL59),"PASS","FAIL")</x:f>
      </x:c>
      <x:c r="BR59" s="617"/>
      <x:c r="BS59" s="617"/>
      <x:c r="BT59" s="617"/>
      <x:c r="BU59" s="617"/>
      <x:c r="BV59" s="605"/>
      <x:c r="BX59" s="72" t="s">
        <x:v>113</x:v>
      </x:c>
      <x:c r="BY59" s="5">
        <x:v>1.8E-05</x:v>
      </x:c>
      <x:c r="BZ59" s="1">
        <x:f>P59</x:f>
      </x:c>
      <x:c r="CA59" s="180">
        <x:v>2</x:v>
      </x:c>
      <x:c r="CB59" s="78">
        <x:f>BY59/CA59</x:f>
      </x:c>
      <x:c r="CC59" s="4"/>
      <x:c r="CD59" s="72" t="s">
        <x:v>114</x:v>
      </x:c>
      <x:c r="CE59" s="5">
        <x:v>0</x:v>
      </x:c>
      <x:c r="CF59" s="1">
        <x:f>BZ59</x:f>
      </x:c>
      <x:c r="CG59" s="81">
        <x:f>SQRT(3)</x:f>
      </x:c>
      <x:c r="CH59" s="78">
        <x:f>CE59/CG59</x:f>
      </x:c>
      <x:c r="CI59" s="4"/>
      <x:c r="CJ59" s="72" t="s">
        <x:v>115</x:v>
      </x:c>
      <x:c r="CK59" s="181">
        <x:v>0.001</x:v>
      </x:c>
      <x:c r="CL59" s="1">
        <x:f>P59</x:f>
      </x:c>
      <x:c r="CM59" s="81">
        <x:f>SQRT(12)</x:f>
      </x:c>
      <x:c r="CN59" s="78">
        <x:f>CK59/CM59</x:f>
      </x:c>
      <x:c r="CO59" s="4"/>
      <x:c r="CP59" s="72" t="s">
        <x:v>116</x:v>
      </x:c>
      <x:c r="CQ59" s="6">
        <x:f>STDEV(X59:AL59)</x:f>
      </x:c>
      <x:c r="CR59" s="1">
        <x:f>P59</x:f>
      </x:c>
      <x:c r="CS59" s="81">
        <x:f>SQRT(3)</x:f>
      </x:c>
      <x:c r="CT59" s="86">
        <x:f>CQ59/CS59</x:f>
      </x:c>
      <x:c r="CV59" s="94">
        <x:f>SQRT(SUMSQ(CT59,CN59,CH59,CB59))</x:f>
      </x:c>
      <x:c r="CW59" s="5">
        <x:f>(CV59^4)/(((CT59^4)/2)+((CN59^4)/200)+((CH59^4)/200)+((CB59^4)/200))</x:f>
      </x:c>
      <x:c r="CX59" s="95">
        <x:f>ROUND(TINV(0.05,CW59),0)</x:f>
      </x:c>
      <x:c r="CY59" s="111">
        <x:f>(CV59*CX59)</x:f>
      </x:c>
      <x:c r="CZ59" s="106">
        <x:f>P59</x:f>
      </x:c>
      <x:c r="DB59" s="177">
        <x:v>1E-05</x:v>
      </x:c>
      <x:c r="DC59" s="178">
        <x:f>CZ59</x:f>
      </x:c>
      <x:c r="DD59" s="220">
        <x:f>MAX(DB59,CY59)</x:f>
      </x:c>
      <x:c r="DE59" s="178">
        <x:f>DC59</x:f>
      </x:c>
    </x:row>
    <x:row r="60" spans="1:109" ht="18" customHeight="1" s="8" customFormat="1">
      <x:c r="A60" s="605"/>
      <x:c r="B60" s="601"/>
      <x:c r="C60" s="505"/>
      <x:c r="D60" s="505"/>
      <x:c r="E60" s="505"/>
      <x:c r="F60" s="624"/>
      <x:c r="G60" s="625"/>
      <x:c r="H60" s="625"/>
      <x:c r="I60" s="625"/>
      <x:c r="J60" s="625"/>
      <x:c r="K60" s="626"/>
      <x:c r="L60" s="610">
        <x:f>6*-90%</x:f>
      </x:c>
      <x:c r="M60" s="611"/>
      <x:c r="N60" s="611"/>
      <x:c r="O60" s="611"/>
      <x:c r="P60" s="612" t="s">
        <x:v>118</x:v>
      </x:c>
      <x:c r="Q60" s="612"/>
      <x:c r="R60" s="613"/>
      <x:c r="S60" s="614" t="s">
        <x:v>81</x:v>
      </x:c>
      <x:c r="T60" s="614"/>
      <x:c r="U60" s="614"/>
      <x:c r="V60" s="614"/>
      <x:c r="W60" s="614"/>
      <x:c r="X60" s="630"/>
      <x:c r="Y60" s="630"/>
      <x:c r="Z60" s="630"/>
      <x:c r="AA60" s="630"/>
      <x:c r="AB60" s="630"/>
      <x:c r="AC60" s="630"/>
      <x:c r="AD60" s="630"/>
      <x:c r="AE60" s="630"/>
      <x:c r="AF60" s="630"/>
      <x:c r="AG60" s="630"/>
      <x:c r="AH60" s="630"/>
      <x:c r="AI60" s="630"/>
      <x:c r="AJ60" s="630"/>
      <x:c r="AK60" s="630"/>
      <x:c r="AL60" s="630"/>
      <x:c r="AM60" s="630">
        <x:f>AVERAGE(X60:AL60)</x:f>
      </x:c>
      <x:c r="AN60" s="630"/>
      <x:c r="AO60" s="630"/>
      <x:c r="AP60" s="630"/>
      <x:c r="AQ60" s="630"/>
      <x:c r="AR60" s="630">
        <x:f>AM60-L60</x:f>
      </x:c>
      <x:c r="AS60" s="630"/>
      <x:c r="AT60" s="630"/>
      <x:c r="AU60" s="630"/>
      <x:c r="AV60" s="630"/>
      <x:c r="AW60" s="505"/>
      <x:c r="AX60" s="505"/>
      <x:c r="AY60" s="505"/>
      <x:c r="AZ60" s="603"/>
      <x:c r="BA60" s="605"/>
      <x:c r="BB60" s="616">
        <x:f>ABS(AM60*0.05%)+(1*CK60)</x:f>
      </x:c>
      <x:c r="BC60" s="616"/>
      <x:c r="BD60" s="616"/>
      <x:c r="BE60" s="616"/>
      <x:c r="BF60" s="616"/>
      <x:c r="BG60" s="630">
        <x:f>L60+BB60</x:f>
      </x:c>
      <x:c r="BH60" s="630"/>
      <x:c r="BI60" s="630"/>
      <x:c r="BJ60" s="630"/>
      <x:c r="BK60" s="630"/>
      <x:c r="BL60" s="630">
        <x:f>L60-BB60</x:f>
      </x:c>
      <x:c r="BM60" s="630"/>
      <x:c r="BN60" s="630"/>
      <x:c r="BO60" s="630"/>
      <x:c r="BP60" s="630"/>
      <x:c r="BQ60" s="617">
        <x:f>IF(AND(AM60&lt;=BG60,AM60&gt;=BL60),"PASS","FAIL")</x:f>
      </x:c>
      <x:c r="BR60" s="617"/>
      <x:c r="BS60" s="617"/>
      <x:c r="BT60" s="617"/>
      <x:c r="BU60" s="617"/>
      <x:c r="BV60" s="605"/>
      <x:c r="BX60" s="72" t="s">
        <x:v>113</x:v>
      </x:c>
      <x:c r="BY60" s="5">
        <x:v>1.8E-05</x:v>
      </x:c>
      <x:c r="BZ60" s="1">
        <x:f>P60</x:f>
      </x:c>
      <x:c r="CA60" s="180">
        <x:v>2</x:v>
      </x:c>
      <x:c r="CB60" s="78">
        <x:f>BY60/CA60</x:f>
      </x:c>
      <x:c r="CC60" s="4"/>
      <x:c r="CD60" s="72" t="s">
        <x:v>114</x:v>
      </x:c>
      <x:c r="CE60" s="5">
        <x:v>0</x:v>
      </x:c>
      <x:c r="CF60" s="1">
        <x:f>BZ60</x:f>
      </x:c>
      <x:c r="CG60" s="81">
        <x:f>SQRT(3)</x:f>
      </x:c>
      <x:c r="CH60" s="78">
        <x:f>CE60/CG60</x:f>
      </x:c>
      <x:c r="CI60" s="4"/>
      <x:c r="CJ60" s="72" t="s">
        <x:v>115</x:v>
      </x:c>
      <x:c r="CK60" s="181">
        <x:v>0.001</x:v>
      </x:c>
      <x:c r="CL60" s="1">
        <x:f>P60</x:f>
      </x:c>
      <x:c r="CM60" s="81">
        <x:f>SQRT(12)</x:f>
      </x:c>
      <x:c r="CN60" s="78">
        <x:f>CK60/CM60</x:f>
      </x:c>
      <x:c r="CO60" s="4"/>
      <x:c r="CP60" s="72" t="s">
        <x:v>116</x:v>
      </x:c>
      <x:c r="CQ60" s="6">
        <x:f>STDEV(X60:AL60)</x:f>
      </x:c>
      <x:c r="CR60" s="1">
        <x:f>P60</x:f>
      </x:c>
      <x:c r="CS60" s="81">
        <x:f>SQRT(3)</x:f>
      </x:c>
      <x:c r="CT60" s="86">
        <x:f>CQ60/CS60</x:f>
      </x:c>
      <x:c r="CV60" s="94">
        <x:f>SQRT(SUMSQ(CT60,CN60,CH60,CB60))</x:f>
      </x:c>
      <x:c r="CW60" s="5">
        <x:f>(CV60^4)/(((CT60^4)/2)+((CN60^4)/200)+((CH60^4)/200)+((CB60^4)/200))</x:f>
      </x:c>
      <x:c r="CX60" s="95">
        <x:f>ROUND(TINV(0.05,CW60),0)</x:f>
      </x:c>
      <x:c r="CY60" s="111">
        <x:f>(CV60*CX60)</x:f>
      </x:c>
      <x:c r="CZ60" s="106">
        <x:f>P60</x:f>
      </x:c>
      <x:c r="DB60" s="177">
        <x:v>1E-05</x:v>
      </x:c>
      <x:c r="DC60" s="178">
        <x:f>CZ60</x:f>
      </x:c>
      <x:c r="DD60" s="220">
        <x:f>MAX(DB60,CY60)</x:f>
      </x:c>
      <x:c r="DE60" s="178">
        <x:f>DC60</x:f>
      </x:c>
    </x:row>
    <x:row r="61" spans="1:109" ht="18" customHeight="1" s="8" customFormat="1">
      <x:c r="A61" s="605"/>
      <x:c r="B61" s="601"/>
      <x:c r="C61" s="505"/>
      <x:c r="D61" s="505"/>
      <x:c r="E61" s="505"/>
      <x:c r="F61" s="607" t="s">
        <x:v>119</x:v>
      </x:c>
      <x:c r="G61" s="608"/>
      <x:c r="H61" s="608"/>
      <x:c r="I61" s="608"/>
      <x:c r="J61" s="608"/>
      <x:c r="K61" s="609"/>
      <x:c r="L61" s="610">
        <x:f>60*10%</x:f>
      </x:c>
      <x:c r="M61" s="611"/>
      <x:c r="N61" s="611"/>
      <x:c r="O61" s="611"/>
      <x:c r="P61" s="612" t="s">
        <x:v>118</x:v>
      </x:c>
      <x:c r="Q61" s="612"/>
      <x:c r="R61" s="613"/>
      <x:c r="S61" s="614" t="s">
        <x:v>81</x:v>
      </x:c>
      <x:c r="T61" s="614"/>
      <x:c r="U61" s="614"/>
      <x:c r="V61" s="614"/>
      <x:c r="W61" s="614"/>
      <x:c r="X61" s="616"/>
      <x:c r="Y61" s="616"/>
      <x:c r="Z61" s="616"/>
      <x:c r="AA61" s="616"/>
      <x:c r="AB61" s="616"/>
      <x:c r="AC61" s="616"/>
      <x:c r="AD61" s="616"/>
      <x:c r="AE61" s="616"/>
      <x:c r="AF61" s="616"/>
      <x:c r="AG61" s="616"/>
      <x:c r="AH61" s="616"/>
      <x:c r="AI61" s="616"/>
      <x:c r="AJ61" s="616"/>
      <x:c r="AK61" s="616"/>
      <x:c r="AL61" s="616"/>
      <x:c r="AM61" s="616">
        <x:f>AVERAGE(X61:AL61)</x:f>
      </x:c>
      <x:c r="AN61" s="616"/>
      <x:c r="AO61" s="616"/>
      <x:c r="AP61" s="616"/>
      <x:c r="AQ61" s="616"/>
      <x:c r="AR61" s="616">
        <x:f>AM61-L61</x:f>
      </x:c>
      <x:c r="AS61" s="616"/>
      <x:c r="AT61" s="616"/>
      <x:c r="AU61" s="616"/>
      <x:c r="AV61" s="616"/>
      <x:c r="AW61" s="505"/>
      <x:c r="AX61" s="505"/>
      <x:c r="AY61" s="505"/>
      <x:c r="AZ61" s="603"/>
      <x:c r="BA61" s="605"/>
      <x:c r="BB61" s="616">
        <x:f>ABS(AM61*0.05%)+(1*CK61)</x:f>
      </x:c>
      <x:c r="BC61" s="616"/>
      <x:c r="BD61" s="616"/>
      <x:c r="BE61" s="616"/>
      <x:c r="BF61" s="616"/>
      <x:c r="BG61" s="616">
        <x:f>L61+BB61</x:f>
      </x:c>
      <x:c r="BH61" s="616"/>
      <x:c r="BI61" s="616"/>
      <x:c r="BJ61" s="616"/>
      <x:c r="BK61" s="616"/>
      <x:c r="BL61" s="616">
        <x:f>L61-BB61</x:f>
      </x:c>
      <x:c r="BM61" s="616"/>
      <x:c r="BN61" s="616"/>
      <x:c r="BO61" s="616"/>
      <x:c r="BP61" s="616"/>
      <x:c r="BQ61" s="617">
        <x:f>IF(AND(AM61&lt;=BG61,AM61&gt;=BL61),"PASS","FAIL")</x:f>
      </x:c>
      <x:c r="BR61" s="617"/>
      <x:c r="BS61" s="617"/>
      <x:c r="BT61" s="617"/>
      <x:c r="BU61" s="617"/>
      <x:c r="BV61" s="605"/>
      <x:c r="BX61" s="72" t="s">
        <x:v>113</x:v>
      </x:c>
      <x:c r="BY61" s="5">
        <x:v>1.8E-05</x:v>
      </x:c>
      <x:c r="BZ61" s="1">
        <x:f>P61</x:f>
      </x:c>
      <x:c r="CA61" s="180">
        <x:v>2</x:v>
      </x:c>
      <x:c r="CB61" s="78">
        <x:f>BY61/CA61</x:f>
      </x:c>
      <x:c r="CC61" s="4"/>
      <x:c r="CD61" s="72" t="s">
        <x:v>114</x:v>
      </x:c>
      <x:c r="CE61" s="5">
        <x:v>0</x:v>
      </x:c>
      <x:c r="CF61" s="1">
        <x:f>BZ61</x:f>
      </x:c>
      <x:c r="CG61" s="81">
        <x:f>SQRT(3)</x:f>
      </x:c>
      <x:c r="CH61" s="78">
        <x:f>CE61/CG61</x:f>
      </x:c>
      <x:c r="CI61" s="4"/>
      <x:c r="CJ61" s="72" t="s">
        <x:v>115</x:v>
      </x:c>
      <x:c r="CK61" s="181">
        <x:v>0.01</x:v>
      </x:c>
      <x:c r="CL61" s="1">
        <x:f>P61</x:f>
      </x:c>
      <x:c r="CM61" s="81">
        <x:f>SQRT(12)</x:f>
      </x:c>
      <x:c r="CN61" s="78">
        <x:f>CK61/CM61</x:f>
      </x:c>
      <x:c r="CO61" s="4"/>
      <x:c r="CP61" s="72" t="s">
        <x:v>116</x:v>
      </x:c>
      <x:c r="CQ61" s="6">
        <x:f>STDEV(X61:AL61)</x:f>
      </x:c>
      <x:c r="CR61" s="1">
        <x:f>P61</x:f>
      </x:c>
      <x:c r="CS61" s="81">
        <x:f>SQRT(3)</x:f>
      </x:c>
      <x:c r="CT61" s="86">
        <x:f>CQ61/CS61</x:f>
      </x:c>
      <x:c r="CV61" s="94">
        <x:f>SQRT(SUMSQ(CT61,CN61,CH61,CB61))</x:f>
      </x:c>
      <x:c r="CW61" s="5">
        <x:f>(CV61^4)/(((CT61^4)/2)+((CN61^4)/200)+((CH61^4)/200)+((CB61^4)/200))</x:f>
      </x:c>
      <x:c r="CX61" s="95">
        <x:f>ROUND(TINV(0.05,CW61),0)</x:f>
      </x:c>
      <x:c r="CY61" s="110">
        <x:f>(CV61*CX61)</x:f>
      </x:c>
      <x:c r="CZ61" s="106">
        <x:f>P61</x:f>
      </x:c>
      <x:c r="DB61" s="177">
        <x:v>1E-05</x:v>
      </x:c>
      <x:c r="DC61" s="178">
        <x:f>CZ61</x:f>
      </x:c>
      <x:c r="DD61" s="220">
        <x:f>MAX(DB61,CY61)</x:f>
      </x:c>
      <x:c r="DE61" s="178">
        <x:f>DC61</x:f>
      </x:c>
    </x:row>
    <x:row r="62" spans="1:109" ht="18" customHeight="1" s="8" customFormat="1">
      <x:c r="A62" s="605"/>
      <x:c r="B62" s="601"/>
      <x:c r="C62" s="505"/>
      <x:c r="D62" s="505"/>
      <x:c r="E62" s="505"/>
      <x:c r="F62" s="618"/>
      <x:c r="G62" s="619"/>
      <x:c r="H62" s="619"/>
      <x:c r="I62" s="619"/>
      <x:c r="J62" s="619"/>
      <x:c r="K62" s="620"/>
      <x:c r="L62" s="610">
        <x:f>60*50%</x:f>
      </x:c>
      <x:c r="M62" s="611"/>
      <x:c r="N62" s="611"/>
      <x:c r="O62" s="611"/>
      <x:c r="P62" s="612" t="s">
        <x:v>118</x:v>
      </x:c>
      <x:c r="Q62" s="612"/>
      <x:c r="R62" s="613"/>
      <x:c r="S62" s="614" t="s">
        <x:v>81</x:v>
      </x:c>
      <x:c r="T62" s="614"/>
      <x:c r="U62" s="614"/>
      <x:c r="V62" s="614"/>
      <x:c r="W62" s="614"/>
      <x:c r="X62" s="616"/>
      <x:c r="Y62" s="616"/>
      <x:c r="Z62" s="616"/>
      <x:c r="AA62" s="616"/>
      <x:c r="AB62" s="616"/>
      <x:c r="AC62" s="616"/>
      <x:c r="AD62" s="616"/>
      <x:c r="AE62" s="616"/>
      <x:c r="AF62" s="616"/>
      <x:c r="AG62" s="616"/>
      <x:c r="AH62" s="616"/>
      <x:c r="AI62" s="616"/>
      <x:c r="AJ62" s="616"/>
      <x:c r="AK62" s="616"/>
      <x:c r="AL62" s="616"/>
      <x:c r="AM62" s="616">
        <x:f>AVERAGE(X62:AL62)</x:f>
      </x:c>
      <x:c r="AN62" s="616"/>
      <x:c r="AO62" s="616"/>
      <x:c r="AP62" s="616"/>
      <x:c r="AQ62" s="616"/>
      <x:c r="AR62" s="616">
        <x:f>AM62-L62</x:f>
      </x:c>
      <x:c r="AS62" s="616"/>
      <x:c r="AT62" s="616"/>
      <x:c r="AU62" s="616"/>
      <x:c r="AV62" s="616"/>
      <x:c r="AW62" s="505"/>
      <x:c r="AX62" s="505"/>
      <x:c r="AY62" s="505"/>
      <x:c r="AZ62" s="603"/>
      <x:c r="BA62" s="605"/>
      <x:c r="BB62" s="616">
        <x:f>ABS(AM62*0.05%)+(1*CK62)</x:f>
      </x:c>
      <x:c r="BC62" s="616"/>
      <x:c r="BD62" s="616"/>
      <x:c r="BE62" s="616"/>
      <x:c r="BF62" s="616"/>
      <x:c r="BG62" s="616">
        <x:f>L62+BB62</x:f>
      </x:c>
      <x:c r="BH62" s="616"/>
      <x:c r="BI62" s="616"/>
      <x:c r="BJ62" s="616"/>
      <x:c r="BK62" s="616"/>
      <x:c r="BL62" s="616">
        <x:f>L62-BB62</x:f>
      </x:c>
      <x:c r="BM62" s="616"/>
      <x:c r="BN62" s="616"/>
      <x:c r="BO62" s="616"/>
      <x:c r="BP62" s="616"/>
      <x:c r="BQ62" s="617">
        <x:f>IF(AND(AM62&lt;=BG62,AM62&gt;=BL62),"PASS","FAIL")</x:f>
      </x:c>
      <x:c r="BR62" s="617"/>
      <x:c r="BS62" s="617"/>
      <x:c r="BT62" s="617"/>
      <x:c r="BU62" s="617"/>
      <x:c r="BV62" s="605"/>
      <x:c r="BX62" s="72" t="s">
        <x:v>113</x:v>
      </x:c>
      <x:c r="BY62" s="5">
        <x:v>0.0001</x:v>
      </x:c>
      <x:c r="BZ62" s="1">
        <x:f>P62</x:f>
      </x:c>
      <x:c r="CA62" s="180">
        <x:v>2</x:v>
      </x:c>
      <x:c r="CB62" s="78">
        <x:f>BY62/CA62</x:f>
      </x:c>
      <x:c r="CC62" s="4"/>
      <x:c r="CD62" s="72" t="s">
        <x:v>114</x:v>
      </x:c>
      <x:c r="CE62" s="5">
        <x:v>0</x:v>
      </x:c>
      <x:c r="CF62" s="1">
        <x:f>BZ62</x:f>
      </x:c>
      <x:c r="CG62" s="81">
        <x:f>SQRT(3)</x:f>
      </x:c>
      <x:c r="CH62" s="78">
        <x:f>CE62/CG62</x:f>
      </x:c>
      <x:c r="CI62" s="4"/>
      <x:c r="CJ62" s="72" t="s">
        <x:v>115</x:v>
      </x:c>
      <x:c r="CK62" s="181">
        <x:v>0.01</x:v>
      </x:c>
      <x:c r="CL62" s="1">
        <x:f>P62</x:f>
      </x:c>
      <x:c r="CM62" s="81">
        <x:f>SQRT(12)</x:f>
      </x:c>
      <x:c r="CN62" s="78">
        <x:f>CK62/CM62</x:f>
      </x:c>
      <x:c r="CO62" s="4"/>
      <x:c r="CP62" s="72" t="s">
        <x:v>116</x:v>
      </x:c>
      <x:c r="CQ62" s="6">
        <x:f>STDEV(X62:AL62)</x:f>
      </x:c>
      <x:c r="CR62" s="1">
        <x:f>P62</x:f>
      </x:c>
      <x:c r="CS62" s="81">
        <x:f>SQRT(3)</x:f>
      </x:c>
      <x:c r="CT62" s="86">
        <x:f>CQ62/CS62</x:f>
      </x:c>
      <x:c r="CV62" s="94">
        <x:f>SQRT(SUMSQ(CT62,CN62,CH62,CB62))</x:f>
      </x:c>
      <x:c r="CW62" s="5">
        <x:f>(CV62^4)/(((CT62^4)/2)+((CN62^4)/200)+((CH62^4)/200)+((CB62^4)/200))</x:f>
      </x:c>
      <x:c r="CX62" s="95">
        <x:f>ROUND(TINV(0.05,CW62),0)</x:f>
      </x:c>
      <x:c r="CY62" s="110">
        <x:f>(CV62*CX62)</x:f>
      </x:c>
      <x:c r="CZ62" s="106">
        <x:f>P62</x:f>
      </x:c>
      <x:c r="DB62" s="177">
        <x:v>1E-05</x:v>
      </x:c>
      <x:c r="DC62" s="178">
        <x:f>CZ62</x:f>
      </x:c>
      <x:c r="DD62" s="220">
        <x:f>MAX(DB62,CY62)</x:f>
      </x:c>
      <x:c r="DE62" s="178">
        <x:f>DC62</x:f>
      </x:c>
    </x:row>
    <x:row r="63" spans="1:109" ht="18" customHeight="1" s="8" customFormat="1">
      <x:c r="A63" s="605"/>
      <x:c r="B63" s="601"/>
      <x:c r="C63" s="505"/>
      <x:c r="D63" s="505"/>
      <x:c r="E63" s="505"/>
      <x:c r="F63" s="618"/>
      <x:c r="G63" s="619"/>
      <x:c r="H63" s="619"/>
      <x:c r="I63" s="619"/>
      <x:c r="J63" s="619"/>
      <x:c r="K63" s="620"/>
      <x:c r="L63" s="610">
        <x:f>60*90%</x:f>
      </x:c>
      <x:c r="M63" s="611"/>
      <x:c r="N63" s="611"/>
      <x:c r="O63" s="611"/>
      <x:c r="P63" s="612" t="s">
        <x:v>118</x:v>
      </x:c>
      <x:c r="Q63" s="612"/>
      <x:c r="R63" s="613"/>
      <x:c r="S63" s="614" t="s">
        <x:v>81</x:v>
      </x:c>
      <x:c r="T63" s="614"/>
      <x:c r="U63" s="614"/>
      <x:c r="V63" s="614"/>
      <x:c r="W63" s="614"/>
      <x:c r="X63" s="616"/>
      <x:c r="Y63" s="616"/>
      <x:c r="Z63" s="616"/>
      <x:c r="AA63" s="616"/>
      <x:c r="AB63" s="616"/>
      <x:c r="AC63" s="616"/>
      <x:c r="AD63" s="616"/>
      <x:c r="AE63" s="616"/>
      <x:c r="AF63" s="616"/>
      <x:c r="AG63" s="616"/>
      <x:c r="AH63" s="616"/>
      <x:c r="AI63" s="616"/>
      <x:c r="AJ63" s="616"/>
      <x:c r="AK63" s="616"/>
      <x:c r="AL63" s="616"/>
      <x:c r="AM63" s="616">
        <x:f>AVERAGE(X63:AL63)</x:f>
      </x:c>
      <x:c r="AN63" s="616"/>
      <x:c r="AO63" s="616"/>
      <x:c r="AP63" s="616"/>
      <x:c r="AQ63" s="616"/>
      <x:c r="AR63" s="616">
        <x:f>AM63-L63</x:f>
      </x:c>
      <x:c r="AS63" s="616"/>
      <x:c r="AT63" s="616"/>
      <x:c r="AU63" s="616"/>
      <x:c r="AV63" s="616"/>
      <x:c r="AW63" s="505"/>
      <x:c r="AX63" s="505"/>
      <x:c r="AY63" s="505"/>
      <x:c r="AZ63" s="603"/>
      <x:c r="BA63" s="605"/>
      <x:c r="BB63" s="616">
        <x:f>ABS(AM63*0.05%)+(1*CK63)</x:f>
      </x:c>
      <x:c r="BC63" s="616"/>
      <x:c r="BD63" s="616"/>
      <x:c r="BE63" s="616"/>
      <x:c r="BF63" s="616"/>
      <x:c r="BG63" s="616">
        <x:f>L63+BB63</x:f>
      </x:c>
      <x:c r="BH63" s="616"/>
      <x:c r="BI63" s="616"/>
      <x:c r="BJ63" s="616"/>
      <x:c r="BK63" s="616"/>
      <x:c r="BL63" s="616">
        <x:f>L63-BB63</x:f>
      </x:c>
      <x:c r="BM63" s="616"/>
      <x:c r="BN63" s="616"/>
      <x:c r="BO63" s="616"/>
      <x:c r="BP63" s="616"/>
      <x:c r="BQ63" s="617">
        <x:f>IF(AND(AM63&lt;=BG63,AM63&gt;=BL63),"PASS","FAIL")</x:f>
      </x:c>
      <x:c r="BR63" s="617"/>
      <x:c r="BS63" s="617"/>
      <x:c r="BT63" s="617"/>
      <x:c r="BU63" s="617"/>
      <x:c r="BV63" s="605"/>
      <x:c r="BX63" s="72" t="s">
        <x:v>113</x:v>
      </x:c>
      <x:c r="BY63" s="5">
        <x:v>0.00031</x:v>
      </x:c>
      <x:c r="BZ63" s="1">
        <x:f>P63</x:f>
      </x:c>
      <x:c r="CA63" s="180">
        <x:v>2</x:v>
      </x:c>
      <x:c r="CB63" s="78">
        <x:f>BY63/CA63</x:f>
      </x:c>
      <x:c r="CC63" s="4"/>
      <x:c r="CD63" s="72" t="s">
        <x:v>114</x:v>
      </x:c>
      <x:c r="CE63" s="5">
        <x:v>0</x:v>
      </x:c>
      <x:c r="CF63" s="1">
        <x:f>BZ63</x:f>
      </x:c>
      <x:c r="CG63" s="81">
        <x:f>SQRT(3)</x:f>
      </x:c>
      <x:c r="CH63" s="78">
        <x:f>CE63/CG63</x:f>
      </x:c>
      <x:c r="CI63" s="4"/>
      <x:c r="CJ63" s="72" t="s">
        <x:v>115</x:v>
      </x:c>
      <x:c r="CK63" s="181">
        <x:v>0.01</x:v>
      </x:c>
      <x:c r="CL63" s="1">
        <x:f>P63</x:f>
      </x:c>
      <x:c r="CM63" s="81">
        <x:f>SQRT(12)</x:f>
      </x:c>
      <x:c r="CN63" s="78">
        <x:f>CK63/CM63</x:f>
      </x:c>
      <x:c r="CO63" s="4"/>
      <x:c r="CP63" s="72" t="s">
        <x:v>116</x:v>
      </x:c>
      <x:c r="CQ63" s="6">
        <x:f>STDEV(X63:AL63)</x:f>
      </x:c>
      <x:c r="CR63" s="1">
        <x:f>P63</x:f>
      </x:c>
      <x:c r="CS63" s="81">
        <x:f>SQRT(3)</x:f>
      </x:c>
      <x:c r="CT63" s="86">
        <x:f>CQ63/CS63</x:f>
      </x:c>
      <x:c r="CV63" s="94">
        <x:f>SQRT(SUMSQ(CT63,CN63,CH63,CB63))</x:f>
      </x:c>
      <x:c r="CW63" s="5">
        <x:f>(CV63^4)/(((CT63^4)/2)+((CN63^4)/200)+((CH63^4)/200)+((CB63^4)/200))</x:f>
      </x:c>
      <x:c r="CX63" s="95">
        <x:f>ROUND(TINV(0.05,CW63),0)</x:f>
      </x:c>
      <x:c r="CY63" s="110">
        <x:f>(CV63*CX63)</x:f>
      </x:c>
      <x:c r="CZ63" s="106">
        <x:f>P63</x:f>
      </x:c>
      <x:c r="DB63" s="177">
        <x:v>0.00018</x:v>
      </x:c>
      <x:c r="DC63" s="178">
        <x:f>CZ63</x:f>
      </x:c>
      <x:c r="DD63" s="220">
        <x:f>MAX(DB63,CY63)</x:f>
      </x:c>
      <x:c r="DE63" s="178">
        <x:f>DC63</x:f>
      </x:c>
    </x:row>
    <x:row r="64" spans="1:109" ht="18" customHeight="1" s="8" customFormat="1">
      <x:c r="A64" s="605"/>
      <x:c r="B64" s="601"/>
      <x:c r="C64" s="505"/>
      <x:c r="D64" s="505"/>
      <x:c r="E64" s="505"/>
      <x:c r="F64" s="618"/>
      <x:c r="G64" s="619"/>
      <x:c r="H64" s="619"/>
      <x:c r="I64" s="619"/>
      <x:c r="J64" s="619"/>
      <x:c r="K64" s="620"/>
      <x:c r="L64" s="610">
        <x:f>60*-10%</x:f>
      </x:c>
      <x:c r="M64" s="611"/>
      <x:c r="N64" s="611"/>
      <x:c r="O64" s="611"/>
      <x:c r="P64" s="612" t="s">
        <x:v>118</x:v>
      </x:c>
      <x:c r="Q64" s="612"/>
      <x:c r="R64" s="613"/>
      <x:c r="S64" s="614" t="s">
        <x:v>81</x:v>
      </x:c>
      <x:c r="T64" s="614"/>
      <x:c r="U64" s="614"/>
      <x:c r="V64" s="614"/>
      <x:c r="W64" s="614"/>
      <x:c r="X64" s="616"/>
      <x:c r="Y64" s="616"/>
      <x:c r="Z64" s="616"/>
      <x:c r="AA64" s="616"/>
      <x:c r="AB64" s="616"/>
      <x:c r="AC64" s="616"/>
      <x:c r="AD64" s="616"/>
      <x:c r="AE64" s="616"/>
      <x:c r="AF64" s="616"/>
      <x:c r="AG64" s="616"/>
      <x:c r="AH64" s="616"/>
      <x:c r="AI64" s="616"/>
      <x:c r="AJ64" s="616"/>
      <x:c r="AK64" s="616"/>
      <x:c r="AL64" s="616"/>
      <x:c r="AM64" s="616">
        <x:f>AVERAGE(X64:AL64)</x:f>
      </x:c>
      <x:c r="AN64" s="616"/>
      <x:c r="AO64" s="616"/>
      <x:c r="AP64" s="616"/>
      <x:c r="AQ64" s="616"/>
      <x:c r="AR64" s="616">
        <x:f>AM64-L64</x:f>
      </x:c>
      <x:c r="AS64" s="616"/>
      <x:c r="AT64" s="616"/>
      <x:c r="AU64" s="616"/>
      <x:c r="AV64" s="616"/>
      <x:c r="AW64" s="505"/>
      <x:c r="AX64" s="505"/>
      <x:c r="AY64" s="505"/>
      <x:c r="AZ64" s="603"/>
      <x:c r="BA64" s="605"/>
      <x:c r="BB64" s="616">
        <x:f>ABS(AM64*0.05%)+(1*CK64)</x:f>
      </x:c>
      <x:c r="BC64" s="616"/>
      <x:c r="BD64" s="616"/>
      <x:c r="BE64" s="616"/>
      <x:c r="BF64" s="616"/>
      <x:c r="BG64" s="615">
        <x:f>L64+BB64</x:f>
      </x:c>
      <x:c r="BH64" s="615"/>
      <x:c r="BI64" s="615"/>
      <x:c r="BJ64" s="615"/>
      <x:c r="BK64" s="615"/>
      <x:c r="BL64" s="615">
        <x:f>L64-BB64</x:f>
      </x:c>
      <x:c r="BM64" s="615"/>
      <x:c r="BN64" s="615"/>
      <x:c r="BO64" s="615"/>
      <x:c r="BP64" s="615"/>
      <x:c r="BQ64" s="617">
        <x:f>IF(AND(AM64&lt;=BG64,AM64&gt;=BL64),"PASS","FAIL")</x:f>
      </x:c>
      <x:c r="BR64" s="617"/>
      <x:c r="BS64" s="617"/>
      <x:c r="BT64" s="617"/>
      <x:c r="BU64" s="617"/>
      <x:c r="BV64" s="605"/>
      <x:c r="BX64" s="72" t="s">
        <x:v>113</x:v>
      </x:c>
      <x:c r="BY64" s="5">
        <x:v>1.8E-05</x:v>
      </x:c>
      <x:c r="BZ64" s="1">
        <x:f>P64</x:f>
      </x:c>
      <x:c r="CA64" s="180">
        <x:v>2</x:v>
      </x:c>
      <x:c r="CB64" s="78">
        <x:f>BY64/CA64</x:f>
      </x:c>
      <x:c r="CC64" s="4"/>
      <x:c r="CD64" s="72" t="s">
        <x:v>114</x:v>
      </x:c>
      <x:c r="CE64" s="5">
        <x:v>0</x:v>
      </x:c>
      <x:c r="CF64" s="1">
        <x:f>BZ64</x:f>
      </x:c>
      <x:c r="CG64" s="81">
        <x:f>SQRT(3)</x:f>
      </x:c>
      <x:c r="CH64" s="78">
        <x:f>CE64/CG64</x:f>
      </x:c>
      <x:c r="CI64" s="4"/>
      <x:c r="CJ64" s="72" t="s">
        <x:v>115</x:v>
      </x:c>
      <x:c r="CK64" s="181">
        <x:v>0.01</x:v>
      </x:c>
      <x:c r="CL64" s="1">
        <x:f>P64</x:f>
      </x:c>
      <x:c r="CM64" s="81">
        <x:f>SQRT(12)</x:f>
      </x:c>
      <x:c r="CN64" s="78">
        <x:f>CK64/CM64</x:f>
      </x:c>
      <x:c r="CO64" s="4"/>
      <x:c r="CP64" s="72" t="s">
        <x:v>116</x:v>
      </x:c>
      <x:c r="CQ64" s="6">
        <x:f>STDEV(X64:AL64)</x:f>
      </x:c>
      <x:c r="CR64" s="1">
        <x:f>P64</x:f>
      </x:c>
      <x:c r="CS64" s="81">
        <x:f>SQRT(3)</x:f>
      </x:c>
      <x:c r="CT64" s="86">
        <x:f>CQ64/CS64</x:f>
      </x:c>
      <x:c r="CV64" s="94">
        <x:f>SQRT(SUMSQ(CT64,CN64,CH64,CB64))</x:f>
      </x:c>
      <x:c r="CW64" s="5">
        <x:f>(CV64^4)/(((CT64^4)/2)+((CN64^4)/200)+((CH64^4)/200)+((CB64^4)/200))</x:f>
      </x:c>
      <x:c r="CX64" s="95">
        <x:f>ROUND(TINV(0.05,CW64),0)</x:f>
      </x:c>
      <x:c r="CY64" s="110">
        <x:f>(CV64*CX64)</x:f>
      </x:c>
      <x:c r="CZ64" s="106">
        <x:f>P64</x:f>
      </x:c>
      <x:c r="DB64" s="177">
        <x:v>1E-05</x:v>
      </x:c>
      <x:c r="DC64" s="178">
        <x:f>CZ64</x:f>
      </x:c>
      <x:c r="DD64" s="220">
        <x:f>MAX(DB64,CY64)</x:f>
      </x:c>
      <x:c r="DE64" s="178">
        <x:f>DC64</x:f>
      </x:c>
    </x:row>
    <x:row r="65" spans="1:109" ht="18" customHeight="1" s="8" customFormat="1">
      <x:c r="A65" s="605"/>
      <x:c r="B65" s="601"/>
      <x:c r="C65" s="505"/>
      <x:c r="D65" s="505"/>
      <x:c r="E65" s="505"/>
      <x:c r="F65" s="624"/>
      <x:c r="G65" s="625"/>
      <x:c r="H65" s="625"/>
      <x:c r="I65" s="625"/>
      <x:c r="J65" s="625"/>
      <x:c r="K65" s="626"/>
      <x:c r="L65" s="610">
        <x:f>60*-90%</x:f>
      </x:c>
      <x:c r="M65" s="611"/>
      <x:c r="N65" s="611"/>
      <x:c r="O65" s="611"/>
      <x:c r="P65" s="612" t="s">
        <x:v>118</x:v>
      </x:c>
      <x:c r="Q65" s="612"/>
      <x:c r="R65" s="613"/>
      <x:c r="S65" s="614" t="s">
        <x:v>81</x:v>
      </x:c>
      <x:c r="T65" s="614"/>
      <x:c r="U65" s="614"/>
      <x:c r="V65" s="614"/>
      <x:c r="W65" s="614"/>
      <x:c r="X65" s="616"/>
      <x:c r="Y65" s="616"/>
      <x:c r="Z65" s="616"/>
      <x:c r="AA65" s="616"/>
      <x:c r="AB65" s="616"/>
      <x:c r="AC65" s="616"/>
      <x:c r="AD65" s="616"/>
      <x:c r="AE65" s="616"/>
      <x:c r="AF65" s="616"/>
      <x:c r="AG65" s="616"/>
      <x:c r="AH65" s="616"/>
      <x:c r="AI65" s="616"/>
      <x:c r="AJ65" s="616"/>
      <x:c r="AK65" s="616"/>
      <x:c r="AL65" s="616"/>
      <x:c r="AM65" s="616">
        <x:f>AVERAGE(X65:AL65)</x:f>
      </x:c>
      <x:c r="AN65" s="616"/>
      <x:c r="AO65" s="616"/>
      <x:c r="AP65" s="616"/>
      <x:c r="AQ65" s="616"/>
      <x:c r="AR65" s="616">
        <x:f>AM65-L65</x:f>
      </x:c>
      <x:c r="AS65" s="616"/>
      <x:c r="AT65" s="616"/>
      <x:c r="AU65" s="616"/>
      <x:c r="AV65" s="616"/>
      <x:c r="AW65" s="505"/>
      <x:c r="AX65" s="505"/>
      <x:c r="AY65" s="505"/>
      <x:c r="AZ65" s="603"/>
      <x:c r="BA65" s="605"/>
      <x:c r="BB65" s="616">
        <x:f>ABS(AM65*0.05%)+(1*CK65)</x:f>
      </x:c>
      <x:c r="BC65" s="616"/>
      <x:c r="BD65" s="616"/>
      <x:c r="BE65" s="616"/>
      <x:c r="BF65" s="616"/>
      <x:c r="BG65" s="615">
        <x:f>L65+BB65</x:f>
      </x:c>
      <x:c r="BH65" s="615"/>
      <x:c r="BI65" s="615"/>
      <x:c r="BJ65" s="615"/>
      <x:c r="BK65" s="615"/>
      <x:c r="BL65" s="615">
        <x:f>L65-BB65</x:f>
      </x:c>
      <x:c r="BM65" s="615"/>
      <x:c r="BN65" s="615"/>
      <x:c r="BO65" s="615"/>
      <x:c r="BP65" s="615"/>
      <x:c r="BQ65" s="617">
        <x:f>IF(AND(AM65&lt;=BG65,AM65&gt;=BL65),"PASS","FAIL")</x:f>
      </x:c>
      <x:c r="BR65" s="617"/>
      <x:c r="BS65" s="617"/>
      <x:c r="BT65" s="617"/>
      <x:c r="BU65" s="617"/>
      <x:c r="BV65" s="605"/>
      <x:c r="BX65" s="72" t="s">
        <x:v>113</x:v>
      </x:c>
      <x:c r="BY65" s="5">
        <x:v>0.00031</x:v>
      </x:c>
      <x:c r="BZ65" s="1">
        <x:f>P65</x:f>
      </x:c>
      <x:c r="CA65" s="180">
        <x:v>2</x:v>
      </x:c>
      <x:c r="CB65" s="78">
        <x:f>BY65/CA65</x:f>
      </x:c>
      <x:c r="CC65" s="4"/>
      <x:c r="CD65" s="72" t="s">
        <x:v>114</x:v>
      </x:c>
      <x:c r="CE65" s="5">
        <x:v>0</x:v>
      </x:c>
      <x:c r="CF65" s="1">
        <x:f>BZ65</x:f>
      </x:c>
      <x:c r="CG65" s="81">
        <x:f>SQRT(3)</x:f>
      </x:c>
      <x:c r="CH65" s="78">
        <x:f>CE65/CG65</x:f>
      </x:c>
      <x:c r="CI65" s="4"/>
      <x:c r="CJ65" s="72" t="s">
        <x:v>115</x:v>
      </x:c>
      <x:c r="CK65" s="181">
        <x:v>0.01</x:v>
      </x:c>
      <x:c r="CL65" s="1">
        <x:f>P65</x:f>
      </x:c>
      <x:c r="CM65" s="81">
        <x:f>SQRT(12)</x:f>
      </x:c>
      <x:c r="CN65" s="78">
        <x:f>CK65/CM65</x:f>
      </x:c>
      <x:c r="CO65" s="4"/>
      <x:c r="CP65" s="72" t="s">
        <x:v>116</x:v>
      </x:c>
      <x:c r="CQ65" s="6">
        <x:f>STDEV(X65:AL65)</x:f>
      </x:c>
      <x:c r="CR65" s="1">
        <x:f>P65</x:f>
      </x:c>
      <x:c r="CS65" s="81">
        <x:f>SQRT(3)</x:f>
      </x:c>
      <x:c r="CT65" s="86">
        <x:f>CQ65/CS65</x:f>
      </x:c>
      <x:c r="CV65" s="94">
        <x:f>SQRT(SUMSQ(CT65,CN65,CH65,CB65))</x:f>
      </x:c>
      <x:c r="CW65" s="5">
        <x:f>(CV65^4)/(((CT65^4)/2)+((CN65^4)/200)+((CH65^4)/200)+((CB65^4)/200))</x:f>
      </x:c>
      <x:c r="CX65" s="95">
        <x:f>ROUND(TINV(0.05,CW65),0)</x:f>
      </x:c>
      <x:c r="CY65" s="110">
        <x:f>(CV65*CX65)</x:f>
      </x:c>
      <x:c r="CZ65" s="106">
        <x:f>P65</x:f>
      </x:c>
      <x:c r="DB65" s="177">
        <x:v>0.00018</x:v>
      </x:c>
      <x:c r="DC65" s="178">
        <x:f>CZ65</x:f>
      </x:c>
      <x:c r="DD65" s="220">
        <x:f>MAX(DB65,CY65)</x:f>
      </x:c>
      <x:c r="DE65" s="178">
        <x:f>DC65</x:f>
      </x:c>
    </x:row>
    <x:row r="66" spans="1:109" ht="18" customHeight="1" s="8" customFormat="1">
      <x:c r="A66" s="605"/>
      <x:c r="B66" s="601"/>
      <x:c r="C66" s="505"/>
      <x:c r="D66" s="505"/>
      <x:c r="E66" s="505"/>
      <x:c r="F66" s="607" t="s">
        <x:v>120</x:v>
      </x:c>
      <x:c r="G66" s="608"/>
      <x:c r="H66" s="608"/>
      <x:c r="I66" s="608"/>
      <x:c r="J66" s="608"/>
      <x:c r="K66" s="609"/>
      <x:c r="L66" s="610">
        <x:v>60</x:v>
      </x:c>
      <x:c r="M66" s="611"/>
      <x:c r="N66" s="611"/>
      <x:c r="O66" s="611"/>
      <x:c r="P66" s="612" t="s">
        <x:v>118</x:v>
      </x:c>
      <x:c r="Q66" s="612"/>
      <x:c r="R66" s="613"/>
      <x:c r="S66" s="614" t="s">
        <x:v>81</x:v>
      </x:c>
      <x:c r="T66" s="614"/>
      <x:c r="U66" s="614"/>
      <x:c r="V66" s="614"/>
      <x:c r="W66" s="614"/>
      <x:c r="X66" s="615"/>
      <x:c r="Y66" s="615"/>
      <x:c r="Z66" s="615"/>
      <x:c r="AA66" s="615"/>
      <x:c r="AB66" s="615"/>
      <x:c r="AC66" s="615"/>
      <x:c r="AD66" s="615"/>
      <x:c r="AE66" s="615"/>
      <x:c r="AF66" s="615"/>
      <x:c r="AG66" s="615"/>
      <x:c r="AH66" s="615"/>
      <x:c r="AI66" s="615"/>
      <x:c r="AJ66" s="615"/>
      <x:c r="AK66" s="615"/>
      <x:c r="AL66" s="615"/>
      <x:c r="AM66" s="615">
        <x:f>AVERAGE(X66:AL66)</x:f>
      </x:c>
      <x:c r="AN66" s="615"/>
      <x:c r="AO66" s="615"/>
      <x:c r="AP66" s="615"/>
      <x:c r="AQ66" s="615"/>
      <x:c r="AR66" s="615">
        <x:f>AM66-L66</x:f>
      </x:c>
      <x:c r="AS66" s="615"/>
      <x:c r="AT66" s="615"/>
      <x:c r="AU66" s="615"/>
      <x:c r="AV66" s="615"/>
      <x:c r="AW66" s="505"/>
      <x:c r="AX66" s="505"/>
      <x:c r="AY66" s="505"/>
      <x:c r="AZ66" s="603"/>
      <x:c r="BA66" s="605"/>
      <x:c r="BB66" s="616">
        <x:f>ABS(AM66*0.05%)+(1*CK66)</x:f>
      </x:c>
      <x:c r="BC66" s="616"/>
      <x:c r="BD66" s="616"/>
      <x:c r="BE66" s="616"/>
      <x:c r="BF66" s="616"/>
      <x:c r="BG66" s="631">
        <x:f>L66+BB66</x:f>
      </x:c>
      <x:c r="BH66" s="631"/>
      <x:c r="BI66" s="631"/>
      <x:c r="BJ66" s="631"/>
      <x:c r="BK66" s="631"/>
      <x:c r="BL66" s="631">
        <x:f>L66-BB66</x:f>
      </x:c>
      <x:c r="BM66" s="631"/>
      <x:c r="BN66" s="631"/>
      <x:c r="BO66" s="631"/>
      <x:c r="BP66" s="631"/>
      <x:c r="BQ66" s="617">
        <x:f>IF(AND(AM66&lt;=BG66,AM66&gt;=BL66),"PASS","FAIL")</x:f>
      </x:c>
      <x:c r="BR66" s="617"/>
      <x:c r="BS66" s="617"/>
      <x:c r="BT66" s="617"/>
      <x:c r="BU66" s="617"/>
      <x:c r="BV66" s="605"/>
      <x:c r="BX66" s="72" t="s">
        <x:v>113</x:v>
      </x:c>
      <x:c r="BY66" s="5">
        <x:v>0.00031</x:v>
      </x:c>
      <x:c r="BZ66" s="1">
        <x:f>P66</x:f>
      </x:c>
      <x:c r="CA66" s="180">
        <x:v>2</x:v>
      </x:c>
      <x:c r="CB66" s="78">
        <x:f>BY66/CA66</x:f>
      </x:c>
      <x:c r="CC66" s="4"/>
      <x:c r="CD66" s="72" t="s">
        <x:v>114</x:v>
      </x:c>
      <x:c r="CE66" s="5">
        <x:v>0</x:v>
      </x:c>
      <x:c r="CF66" s="1">
        <x:f>BZ66</x:f>
      </x:c>
      <x:c r="CG66" s="81">
        <x:f>SQRT(3)</x:f>
      </x:c>
      <x:c r="CH66" s="78">
        <x:f>CE66/CG66</x:f>
      </x:c>
      <x:c r="CI66" s="4"/>
      <x:c r="CJ66" s="72" t="s">
        <x:v>115</x:v>
      </x:c>
      <x:c r="CK66" s="181">
        <x:v>0.1</x:v>
      </x:c>
      <x:c r="CL66" s="1">
        <x:f>P66</x:f>
      </x:c>
      <x:c r="CM66" s="81">
        <x:f>SQRT(12)</x:f>
      </x:c>
      <x:c r="CN66" s="78">
        <x:f>CK66/CM66</x:f>
      </x:c>
      <x:c r="CO66" s="4"/>
      <x:c r="CP66" s="72" t="s">
        <x:v>116</x:v>
      </x:c>
      <x:c r="CQ66" s="6">
        <x:f>STDEV(X66:AL66)</x:f>
      </x:c>
      <x:c r="CR66" s="1">
        <x:f>P66</x:f>
      </x:c>
      <x:c r="CS66" s="81">
        <x:f>SQRT(3)</x:f>
      </x:c>
      <x:c r="CT66" s="86">
        <x:f>CQ66/CS66</x:f>
      </x:c>
      <x:c r="CV66" s="94">
        <x:f>SQRT(SUMSQ(CT66,CN66,CH66,CB66))</x:f>
      </x:c>
      <x:c r="CW66" s="5">
        <x:f>(CV66^4)/(((CT66^4)/2)+((CN66^4)/200)+((CH66^4)/200)+((CB66^4)/200))</x:f>
      </x:c>
      <x:c r="CX66" s="95">
        <x:f>ROUND(TINV(0.05,CW66),0)</x:f>
      </x:c>
      <x:c r="CY66" s="112">
        <x:f>(CV66*CX66)</x:f>
      </x:c>
      <x:c r="CZ66" s="106">
        <x:f>P66</x:f>
      </x:c>
      <x:c r="DB66" s="177">
        <x:v>0.00018</x:v>
      </x:c>
      <x:c r="DC66" s="178">
        <x:f>CZ66</x:f>
      </x:c>
      <x:c r="DD66" s="220">
        <x:f>MAX(DB66,CY66)</x:f>
      </x:c>
      <x:c r="DE66" s="178">
        <x:f>DC66</x:f>
      </x:c>
    </x:row>
    <x:row r="67" spans="1:109" ht="18" customHeight="1" s="8" customFormat="1">
      <x:c r="A67" s="605"/>
      <x:c r="B67" s="601"/>
      <x:c r="C67" s="505"/>
      <x:c r="D67" s="505"/>
      <x:c r="E67" s="505"/>
      <x:c r="F67" s="618"/>
      <x:c r="G67" s="619"/>
      <x:c r="H67" s="619"/>
      <x:c r="I67" s="619"/>
      <x:c r="J67" s="619"/>
      <x:c r="K67" s="620"/>
      <x:c r="L67" s="610">
        <x:v>540</x:v>
      </x:c>
      <x:c r="M67" s="611"/>
      <x:c r="N67" s="611"/>
      <x:c r="O67" s="611"/>
      <x:c r="P67" s="612" t="s">
        <x:v>118</x:v>
      </x:c>
      <x:c r="Q67" s="612"/>
      <x:c r="R67" s="613"/>
      <x:c r="S67" s="614" t="s">
        <x:v>81</x:v>
      </x:c>
      <x:c r="T67" s="614"/>
      <x:c r="U67" s="614"/>
      <x:c r="V67" s="614"/>
      <x:c r="W67" s="614"/>
      <x:c r="X67" s="621"/>
      <x:c r="Y67" s="622"/>
      <x:c r="Z67" s="622"/>
      <x:c r="AA67" s="622"/>
      <x:c r="AB67" s="623"/>
      <x:c r="AC67" s="621"/>
      <x:c r="AD67" s="622"/>
      <x:c r="AE67" s="622"/>
      <x:c r="AF67" s="622"/>
      <x:c r="AG67" s="623"/>
      <x:c r="AH67" s="621"/>
      <x:c r="AI67" s="622"/>
      <x:c r="AJ67" s="622"/>
      <x:c r="AK67" s="622"/>
      <x:c r="AL67" s="623"/>
      <x:c r="AM67" s="615">
        <x:f>AVERAGE(X67:AL67)</x:f>
      </x:c>
      <x:c r="AN67" s="615"/>
      <x:c r="AO67" s="615"/>
      <x:c r="AP67" s="615"/>
      <x:c r="AQ67" s="615"/>
      <x:c r="AR67" s="615">
        <x:f>AM67-L67</x:f>
      </x:c>
      <x:c r="AS67" s="615"/>
      <x:c r="AT67" s="615"/>
      <x:c r="AU67" s="615"/>
      <x:c r="AV67" s="615"/>
      <x:c r="AW67" s="505"/>
      <x:c r="AX67" s="505"/>
      <x:c r="AY67" s="505"/>
      <x:c r="AZ67" s="603"/>
      <x:c r="BA67" s="605"/>
      <x:c r="BB67" s="616">
        <x:f>ABS(AM67*0.05%)+(1*CK67)</x:f>
      </x:c>
      <x:c r="BC67" s="616"/>
      <x:c r="BD67" s="616"/>
      <x:c r="BE67" s="616"/>
      <x:c r="BF67" s="616"/>
      <x:c r="BG67" s="631">
        <x:f>L67+BB67</x:f>
      </x:c>
      <x:c r="BH67" s="631"/>
      <x:c r="BI67" s="631"/>
      <x:c r="BJ67" s="631"/>
      <x:c r="BK67" s="631"/>
      <x:c r="BL67" s="631">
        <x:f>L67-BB67</x:f>
      </x:c>
      <x:c r="BM67" s="631"/>
      <x:c r="BN67" s="631"/>
      <x:c r="BO67" s="631"/>
      <x:c r="BP67" s="631"/>
      <x:c r="BQ67" s="617">
        <x:f>IF(AND(AM67&lt;=BG67,AM67&gt;=BL67),"PASS","FAIL")</x:f>
      </x:c>
      <x:c r="BR67" s="617"/>
      <x:c r="BS67" s="617"/>
      <x:c r="BT67" s="617"/>
      <x:c r="BU67" s="617"/>
      <x:c r="BV67" s="605"/>
      <x:c r="BX67" s="72" t="s">
        <x:v>113</x:v>
      </x:c>
      <x:c r="BY67" s="179">
        <x:v>0.0033</x:v>
      </x:c>
      <x:c r="BZ67" s="1">
        <x:f>P67</x:f>
      </x:c>
      <x:c r="CA67" s="180">
        <x:v>2</x:v>
      </x:c>
      <x:c r="CB67" s="78">
        <x:f>BY67/CA67</x:f>
      </x:c>
      <x:c r="CC67" s="4"/>
      <x:c r="CD67" s="72" t="s">
        <x:v>114</x:v>
      </x:c>
      <x:c r="CE67" s="5">
        <x:v>0</x:v>
      </x:c>
      <x:c r="CF67" s="1">
        <x:f>BZ67</x:f>
      </x:c>
      <x:c r="CG67" s="81">
        <x:f>SQRT(3)</x:f>
      </x:c>
      <x:c r="CH67" s="78">
        <x:f>CE67/CG67</x:f>
      </x:c>
      <x:c r="CI67" s="4"/>
      <x:c r="CJ67" s="72" t="s">
        <x:v>115</x:v>
      </x:c>
      <x:c r="CK67" s="181">
        <x:v>0.1</x:v>
      </x:c>
      <x:c r="CL67" s="1">
        <x:f>P67</x:f>
      </x:c>
      <x:c r="CM67" s="81">
        <x:f>SQRT(12)</x:f>
      </x:c>
      <x:c r="CN67" s="78">
        <x:f>CK67/CM67</x:f>
      </x:c>
      <x:c r="CO67" s="4"/>
      <x:c r="CP67" s="72" t="s">
        <x:v>116</x:v>
      </x:c>
      <x:c r="CQ67" s="6">
        <x:f>STDEV(X67:AL67)</x:f>
      </x:c>
      <x:c r="CR67" s="1">
        <x:f>P67</x:f>
      </x:c>
      <x:c r="CS67" s="81">
        <x:f>SQRT(3)</x:f>
      </x:c>
      <x:c r="CT67" s="86">
        <x:f>CQ67/CS67</x:f>
      </x:c>
      <x:c r="CV67" s="94">
        <x:f>SQRT(SUMSQ(CT67,CN67,CH67,CB67))</x:f>
      </x:c>
      <x:c r="CW67" s="5">
        <x:f>(CV67^4)/(((CT67^4)/2)+((CN67^4)/200)+((CH67^4)/200)+((CB67^4)/200))</x:f>
      </x:c>
      <x:c r="CX67" s="95">
        <x:f>ROUND(TINV(0.05,CW67),0)</x:f>
      </x:c>
      <x:c r="CY67" s="112">
        <x:f>(CV67*CX67)</x:f>
      </x:c>
      <x:c r="CZ67" s="106">
        <x:f>P67</x:f>
      </x:c>
      <x:c r="DB67" s="177">
        <x:v>0.0014</x:v>
      </x:c>
      <x:c r="DC67" s="178">
        <x:f>CZ67</x:f>
      </x:c>
      <x:c r="DD67" s="220">
        <x:f>MAX(DB67,CY67)</x:f>
      </x:c>
      <x:c r="DE67" s="178">
        <x:f>DC67</x:f>
      </x:c>
    </x:row>
    <x:row r="68" spans="1:109" ht="18" customHeight="1" s="8" customFormat="1">
      <x:c r="A68" s="605"/>
      <x:c r="B68" s="601"/>
      <x:c r="C68" s="505"/>
      <x:c r="D68" s="505"/>
      <x:c r="E68" s="505"/>
      <x:c r="F68" s="624"/>
      <x:c r="G68" s="625"/>
      <x:c r="H68" s="625"/>
      <x:c r="I68" s="625"/>
      <x:c r="J68" s="625"/>
      <x:c r="K68" s="626"/>
      <x:c r="L68" s="610">
        <x:v>-540</x:v>
      </x:c>
      <x:c r="M68" s="611"/>
      <x:c r="N68" s="611"/>
      <x:c r="O68" s="611"/>
      <x:c r="P68" s="612" t="s">
        <x:v>118</x:v>
      </x:c>
      <x:c r="Q68" s="612"/>
      <x:c r="R68" s="613"/>
      <x:c r="S68" s="614" t="s">
        <x:v>81</x:v>
      </x:c>
      <x:c r="T68" s="614"/>
      <x:c r="U68" s="614"/>
      <x:c r="V68" s="614"/>
      <x:c r="W68" s="614"/>
      <x:c r="X68" s="615"/>
      <x:c r="Y68" s="615"/>
      <x:c r="Z68" s="615"/>
      <x:c r="AA68" s="615"/>
      <x:c r="AB68" s="615"/>
      <x:c r="AC68" s="615"/>
      <x:c r="AD68" s="615"/>
      <x:c r="AE68" s="615"/>
      <x:c r="AF68" s="615"/>
      <x:c r="AG68" s="615"/>
      <x:c r="AH68" s="615"/>
      <x:c r="AI68" s="615"/>
      <x:c r="AJ68" s="615"/>
      <x:c r="AK68" s="615"/>
      <x:c r="AL68" s="615"/>
      <x:c r="AM68" s="615">
        <x:f>AVERAGE(X68:AL68)</x:f>
      </x:c>
      <x:c r="AN68" s="615"/>
      <x:c r="AO68" s="615"/>
      <x:c r="AP68" s="615"/>
      <x:c r="AQ68" s="615"/>
      <x:c r="AR68" s="615">
        <x:f>AM68-L68</x:f>
      </x:c>
      <x:c r="AS68" s="615"/>
      <x:c r="AT68" s="615"/>
      <x:c r="AU68" s="615"/>
      <x:c r="AV68" s="615"/>
      <x:c r="AW68" s="505"/>
      <x:c r="AX68" s="505"/>
      <x:c r="AY68" s="505"/>
      <x:c r="AZ68" s="603"/>
      <x:c r="BA68" s="605"/>
      <x:c r="BB68" s="616">
        <x:f>ABS(AM68*0.05%)+(1*CK68)</x:f>
      </x:c>
      <x:c r="BC68" s="616"/>
      <x:c r="BD68" s="616"/>
      <x:c r="BE68" s="616"/>
      <x:c r="BF68" s="616"/>
      <x:c r="BG68" s="631">
        <x:f>L68+BB68</x:f>
      </x:c>
      <x:c r="BH68" s="631"/>
      <x:c r="BI68" s="631"/>
      <x:c r="BJ68" s="631"/>
      <x:c r="BK68" s="631"/>
      <x:c r="BL68" s="631">
        <x:f>L68-BB68</x:f>
      </x:c>
      <x:c r="BM68" s="631"/>
      <x:c r="BN68" s="631"/>
      <x:c r="BO68" s="631"/>
      <x:c r="BP68" s="631"/>
      <x:c r="BQ68" s="617">
        <x:f>IF(AND(AM68&lt;=BG68,AM68&gt;=BL68),"PASS","FAIL")</x:f>
      </x:c>
      <x:c r="BR68" s="617"/>
      <x:c r="BS68" s="617"/>
      <x:c r="BT68" s="617"/>
      <x:c r="BU68" s="617"/>
      <x:c r="BV68" s="605"/>
      <x:c r="BX68" s="72" t="s">
        <x:v>113</x:v>
      </x:c>
      <x:c r="BY68" s="179">
        <x:v>0.0033</x:v>
      </x:c>
      <x:c r="BZ68" s="1">
        <x:f>P68</x:f>
      </x:c>
      <x:c r="CA68" s="206">
        <x:v>2</x:v>
      </x:c>
      <x:c r="CB68" s="207">
        <x:f>BY68/CA68</x:f>
      </x:c>
      <x:c r="CC68" s="4"/>
      <x:c r="CD68" s="73" t="s">
        <x:v>114</x:v>
      </x:c>
      <x:c r="CE68" s="89">
        <x:v>0</x:v>
      </x:c>
      <x:c r="CF68" s="74">
        <x:f>BZ68</x:f>
      </x:c>
      <x:c r="CG68" s="82">
        <x:f>SQRT(3)</x:f>
      </x:c>
      <x:c r="CH68" s="79">
        <x:f>CE68/CG68</x:f>
      </x:c>
      <x:c r="CI68" s="4"/>
      <x:c r="CJ68" s="73" t="s">
        <x:v>115</x:v>
      </x:c>
      <x:c r="CK68" s="183">
        <x:v>0.1</x:v>
      </x:c>
      <x:c r="CL68" s="74">
        <x:f>P68</x:f>
      </x:c>
      <x:c r="CM68" s="82">
        <x:f>SQRT(12)</x:f>
      </x:c>
      <x:c r="CN68" s="79">
        <x:f>CK68/CM68</x:f>
      </x:c>
      <x:c r="CO68" s="4"/>
      <x:c r="CP68" s="73" t="s">
        <x:v>116</x:v>
      </x:c>
      <x:c r="CQ68" s="84">
        <x:f>STDEV(X68:AL68)</x:f>
      </x:c>
      <x:c r="CR68" s="74">
        <x:f>P68</x:f>
      </x:c>
      <x:c r="CS68" s="82">
        <x:f>SQRT(3)</x:f>
      </x:c>
      <x:c r="CT68" s="87">
        <x:f>CQ68/CS68</x:f>
      </x:c>
      <x:c r="CV68" s="96">
        <x:f>SQRT(SUMSQ(CT68,CN68,CH68,CB68))</x:f>
      </x:c>
      <x:c r="CW68" s="89">
        <x:f>(CV68^4)/(((CT68^4)/2)+((CN68^4)/200)+((CH68^4)/200)+((CB68^4)/200))</x:f>
      </x:c>
      <x:c r="CX68" s="97">
        <x:f>ROUND(TINV(0.05,CW68),0)</x:f>
      </x:c>
      <x:c r="CY68" s="113">
        <x:f>(CV68*CX68)</x:f>
      </x:c>
      <x:c r="CZ68" s="108">
        <x:f>P68</x:f>
      </x:c>
      <x:c r="DB68" s="177">
        <x:v>0.0014</x:v>
      </x:c>
      <x:c r="DC68" s="178">
        <x:f>CZ68</x:f>
      </x:c>
      <x:c r="DD68" s="220">
        <x:f>MAX(DB68,CY68)</x:f>
      </x:c>
      <x:c r="DE68" s="178">
        <x:f>DC68</x:f>
      </x:c>
    </x:row>
    <x:row r="69" spans="1:109" ht="18" customHeight="1" s="8" customFormat="1">
      <x:c r="A69" s="605"/>
      <x:c r="B69" s="601"/>
      <x:c r="C69" s="505"/>
      <x:c r="D69" s="505"/>
      <x:c r="E69" s="505"/>
      <x:c r="F69" s="607" t="s">
        <x:v>121</x:v>
      </x:c>
      <x:c r="G69" s="608"/>
      <x:c r="H69" s="608"/>
      <x:c r="I69" s="608"/>
      <x:c r="J69" s="608"/>
      <x:c r="K69" s="609"/>
      <x:c r="L69" s="610">
        <x:f>1000*10%</x:f>
      </x:c>
      <x:c r="M69" s="611"/>
      <x:c r="N69" s="611"/>
      <x:c r="O69" s="611"/>
      <x:c r="P69" s="612" t="s">
        <x:v>118</x:v>
      </x:c>
      <x:c r="Q69" s="612"/>
      <x:c r="R69" s="613"/>
      <x:c r="S69" s="614" t="s">
        <x:v>81</x:v>
      </x:c>
      <x:c r="T69" s="614"/>
      <x:c r="U69" s="614"/>
      <x:c r="V69" s="614"/>
      <x:c r="W69" s="614"/>
      <x:c r="X69" s="631"/>
      <x:c r="Y69" s="631"/>
      <x:c r="Z69" s="631"/>
      <x:c r="AA69" s="631"/>
      <x:c r="AB69" s="631"/>
      <x:c r="AC69" s="631"/>
      <x:c r="AD69" s="631"/>
      <x:c r="AE69" s="631"/>
      <x:c r="AF69" s="631"/>
      <x:c r="AG69" s="631"/>
      <x:c r="AH69" s="631"/>
      <x:c r="AI69" s="631"/>
      <x:c r="AJ69" s="631"/>
      <x:c r="AK69" s="631"/>
      <x:c r="AL69" s="631"/>
      <x:c r="AM69" s="631">
        <x:f>AVERAGE(X69:AL69)</x:f>
      </x:c>
      <x:c r="AN69" s="631"/>
      <x:c r="AO69" s="631"/>
      <x:c r="AP69" s="631"/>
      <x:c r="AQ69" s="631"/>
      <x:c r="AR69" s="631">
        <x:f>AM69-L69</x:f>
      </x:c>
      <x:c r="AS69" s="631"/>
      <x:c r="AT69" s="631"/>
      <x:c r="AU69" s="631"/>
      <x:c r="AV69" s="631"/>
      <x:c r="AW69" s="505"/>
      <x:c r="AX69" s="505"/>
      <x:c r="AY69" s="505"/>
      <x:c r="AZ69" s="603"/>
      <x:c r="BA69" s="605"/>
      <x:c r="BB69" s="616">
        <x:f>ABS(AM69*0.05%)+(1*CK69)</x:f>
      </x:c>
      <x:c r="BC69" s="616"/>
      <x:c r="BD69" s="616"/>
      <x:c r="BE69" s="616"/>
      <x:c r="BF69" s="616"/>
      <x:c r="BG69" s="631">
        <x:f>L69+BB69</x:f>
      </x:c>
      <x:c r="BH69" s="631"/>
      <x:c r="BI69" s="631"/>
      <x:c r="BJ69" s="631"/>
      <x:c r="BK69" s="631"/>
      <x:c r="BL69" s="631">
        <x:f>L69-BB69</x:f>
      </x:c>
      <x:c r="BM69" s="631"/>
      <x:c r="BN69" s="631"/>
      <x:c r="BO69" s="631"/>
      <x:c r="BP69" s="631"/>
      <x:c r="BQ69" s="617">
        <x:f>IF(AND(AM69&lt;=BG69,AM69&gt;=BL69),"PASS","FAIL")</x:f>
      </x:c>
      <x:c r="BR69" s="617"/>
      <x:c r="BS69" s="617"/>
      <x:c r="BT69" s="617"/>
      <x:c r="BU69" s="617"/>
      <x:c r="BV69" s="605"/>
      <x:c r="BX69" s="75" t="s">
        <x:v>113</x:v>
      </x:c>
      <x:c r="BY69" s="221">
        <x:v>0.00031</x:v>
      </x:c>
      <x:c r="BZ69" s="76">
        <x:f>P69</x:f>
      </x:c>
      <x:c r="CA69" s="180">
        <x:v>2</x:v>
      </x:c>
      <x:c r="CB69" s="78">
        <x:f>BY69/CA69</x:f>
      </x:c>
      <x:c r="CC69" s="4"/>
      <x:c r="CD69" s="72" t="s">
        <x:v>114</x:v>
      </x:c>
      <x:c r="CE69" s="5">
        <x:v>0</x:v>
      </x:c>
      <x:c r="CF69" s="1">
        <x:f>BZ69</x:f>
      </x:c>
      <x:c r="CG69" s="81">
        <x:f>SQRT(3)</x:f>
      </x:c>
      <x:c r="CH69" s="78">
        <x:f>CE69/CG69</x:f>
      </x:c>
      <x:c r="CI69" s="4"/>
      <x:c r="CJ69" s="72" t="s">
        <x:v>115</x:v>
      </x:c>
      <x:c r="CK69" s="181">
        <x:v>1</x:v>
      </x:c>
      <x:c r="CL69" s="1">
        <x:f>P69</x:f>
      </x:c>
      <x:c r="CM69" s="81">
        <x:f>SQRT(12)</x:f>
      </x:c>
      <x:c r="CN69" s="78">
        <x:f>CK69/CM69</x:f>
      </x:c>
      <x:c r="CO69" s="4"/>
      <x:c r="CP69" s="72" t="s">
        <x:v>116</x:v>
      </x:c>
      <x:c r="CQ69" s="6">
        <x:f>STDEV(X69:AL69)</x:f>
      </x:c>
      <x:c r="CR69" s="1">
        <x:f>P69</x:f>
      </x:c>
      <x:c r="CS69" s="81">
        <x:f>SQRT(3)</x:f>
      </x:c>
      <x:c r="CT69" s="86">
        <x:f>CQ69/CS69</x:f>
      </x:c>
      <x:c r="CV69" s="94">
        <x:f>SQRT(SUMSQ(CT69,CN69,CH69,CB69))</x:f>
      </x:c>
      <x:c r="CW69" s="5">
        <x:f>(CV69^4)/(((CT69^4)/2)+((CN69^4)/200)+((CH69^4)/200)+((CB69^4)/200))</x:f>
      </x:c>
      <x:c r="CX69" s="95">
        <x:f>ROUND(TINV(0.05,CW69),0)</x:f>
      </x:c>
      <x:c r="CY69" s="112">
        <x:f>(CV69*CX69)</x:f>
      </x:c>
      <x:c r="CZ69" s="106">
        <x:f>P69</x:f>
      </x:c>
      <x:c r="DB69" s="177">
        <x:v>0.00018</x:v>
      </x:c>
      <x:c r="DC69" s="178">
        <x:f>CZ69</x:f>
      </x:c>
      <x:c r="DD69" s="220">
        <x:f>MAX(DB69,CY69)</x:f>
      </x:c>
      <x:c r="DE69" s="178">
        <x:f>DC69</x:f>
      </x:c>
    </x:row>
    <x:row r="70" spans="1:109" ht="18" customHeight="1" s="8" customFormat="1">
      <x:c r="A70" s="605"/>
      <x:c r="B70" s="601"/>
      <x:c r="C70" s="505"/>
      <x:c r="D70" s="505"/>
      <x:c r="E70" s="505"/>
      <x:c r="F70" s="618"/>
      <x:c r="G70" s="619"/>
      <x:c r="H70" s="619"/>
      <x:c r="I70" s="619"/>
      <x:c r="J70" s="619"/>
      <x:c r="K70" s="620"/>
      <x:c r="L70" s="610">
        <x:f>1000*90%</x:f>
      </x:c>
      <x:c r="M70" s="611"/>
      <x:c r="N70" s="611"/>
      <x:c r="O70" s="611"/>
      <x:c r="P70" s="612" t="s">
        <x:v>118</x:v>
      </x:c>
      <x:c r="Q70" s="612"/>
      <x:c r="R70" s="613"/>
      <x:c r="S70" s="614" t="s">
        <x:v>81</x:v>
      </x:c>
      <x:c r="T70" s="614"/>
      <x:c r="U70" s="614"/>
      <x:c r="V70" s="614"/>
      <x:c r="W70" s="614"/>
      <x:c r="X70" s="632"/>
      <x:c r="Y70" s="633"/>
      <x:c r="Z70" s="633"/>
      <x:c r="AA70" s="633"/>
      <x:c r="AB70" s="634"/>
      <x:c r="AC70" s="632"/>
      <x:c r="AD70" s="633"/>
      <x:c r="AE70" s="633"/>
      <x:c r="AF70" s="633"/>
      <x:c r="AG70" s="634"/>
      <x:c r="AH70" s="632"/>
      <x:c r="AI70" s="633"/>
      <x:c r="AJ70" s="633"/>
      <x:c r="AK70" s="633"/>
      <x:c r="AL70" s="634"/>
      <x:c r="AM70" s="631">
        <x:f>AVERAGE(X70:AL70)</x:f>
      </x:c>
      <x:c r="AN70" s="631"/>
      <x:c r="AO70" s="631"/>
      <x:c r="AP70" s="631"/>
      <x:c r="AQ70" s="631"/>
      <x:c r="AR70" s="631">
        <x:f>AM70-L70</x:f>
      </x:c>
      <x:c r="AS70" s="631"/>
      <x:c r="AT70" s="631"/>
      <x:c r="AU70" s="631"/>
      <x:c r="AV70" s="631"/>
      <x:c r="AW70" s="505"/>
      <x:c r="AX70" s="505"/>
      <x:c r="AY70" s="505"/>
      <x:c r="AZ70" s="603"/>
      <x:c r="BA70" s="605"/>
      <x:c r="BB70" s="616">
        <x:f>ABS(AM70*0.05%)+(1*CK70)</x:f>
      </x:c>
      <x:c r="BC70" s="616"/>
      <x:c r="BD70" s="616"/>
      <x:c r="BE70" s="616"/>
      <x:c r="BF70" s="616"/>
      <x:c r="BG70" s="631">
        <x:f>L70+BB70</x:f>
      </x:c>
      <x:c r="BH70" s="631"/>
      <x:c r="BI70" s="631"/>
      <x:c r="BJ70" s="631"/>
      <x:c r="BK70" s="631"/>
      <x:c r="BL70" s="631">
        <x:f>L70-BB70</x:f>
      </x:c>
      <x:c r="BM70" s="631"/>
      <x:c r="BN70" s="631"/>
      <x:c r="BO70" s="631"/>
      <x:c r="BP70" s="631"/>
      <x:c r="BQ70" s="617">
        <x:f>IF(AND(AM70&lt;=BG70,AM70&gt;=BL70),"PASS","FAIL")</x:f>
      </x:c>
      <x:c r="BR70" s="617"/>
      <x:c r="BS70" s="617"/>
      <x:c r="BT70" s="617"/>
      <x:c r="BU70" s="617"/>
      <x:c r="BV70" s="605"/>
      <x:c r="BX70" s="72" t="s">
        <x:v>113</x:v>
      </x:c>
      <x:c r="BY70" s="179">
        <x:v>0.0033</x:v>
      </x:c>
      <x:c r="BZ70" s="1">
        <x:f>P70</x:f>
      </x:c>
      <x:c r="CA70" s="180">
        <x:v>2</x:v>
      </x:c>
      <x:c r="CB70" s="78">
        <x:f>BY70/CA70</x:f>
      </x:c>
      <x:c r="CC70" s="4"/>
      <x:c r="CD70" s="72" t="s">
        <x:v>114</x:v>
      </x:c>
      <x:c r="CE70" s="5">
        <x:v>0</x:v>
      </x:c>
      <x:c r="CF70" s="1">
        <x:f>BZ70</x:f>
      </x:c>
      <x:c r="CG70" s="81">
        <x:f>SQRT(3)</x:f>
      </x:c>
      <x:c r="CH70" s="78">
        <x:f>CE70/CG70</x:f>
      </x:c>
      <x:c r="CI70" s="4"/>
      <x:c r="CJ70" s="72" t="s">
        <x:v>115</x:v>
      </x:c>
      <x:c r="CK70" s="181">
        <x:v>1</x:v>
      </x:c>
      <x:c r="CL70" s="1">
        <x:f>P70</x:f>
      </x:c>
      <x:c r="CM70" s="81">
        <x:f>SQRT(12)</x:f>
      </x:c>
      <x:c r="CN70" s="78">
        <x:f>CK70/CM70</x:f>
      </x:c>
      <x:c r="CO70" s="4"/>
      <x:c r="CP70" s="72" t="s">
        <x:v>116</x:v>
      </x:c>
      <x:c r="CQ70" s="6">
        <x:f>STDEV(X70:AL70)</x:f>
      </x:c>
      <x:c r="CR70" s="1">
        <x:f>P70</x:f>
      </x:c>
      <x:c r="CS70" s="81">
        <x:f>SQRT(3)</x:f>
      </x:c>
      <x:c r="CT70" s="86">
        <x:f>CQ70/CS70</x:f>
      </x:c>
      <x:c r="CV70" s="94">
        <x:f>SQRT(SUMSQ(CT70,CN70,CH70,CB70))</x:f>
      </x:c>
      <x:c r="CW70" s="5">
        <x:f>(CV70^4)/(((CT70^4)/2)+((CN70^4)/200)+((CH70^4)/200)+((CB70^4)/200))</x:f>
      </x:c>
      <x:c r="CX70" s="95">
        <x:f>ROUND(TINV(0.05,CW70),0)</x:f>
      </x:c>
      <x:c r="CY70" s="112">
        <x:f>(CV70*CX70)</x:f>
      </x:c>
      <x:c r="CZ70" s="106">
        <x:f>P70</x:f>
      </x:c>
      <x:c r="DB70" s="177">
        <x:v>0.0014</x:v>
      </x:c>
      <x:c r="DC70" s="178">
        <x:f>CZ70</x:f>
      </x:c>
      <x:c r="DD70" s="220">
        <x:f>MAX(DB70,CY70)</x:f>
      </x:c>
      <x:c r="DE70" s="178">
        <x:f>DC70</x:f>
      </x:c>
    </x:row>
    <x:row r="71" spans="1:109" ht="18" customHeight="1" s="8" customFormat="1">
      <x:c r="A71" s="605"/>
      <x:c r="B71" s="601"/>
      <x:c r="C71" s="505"/>
      <x:c r="D71" s="505"/>
      <x:c r="E71" s="505"/>
      <x:c r="F71" s="624"/>
      <x:c r="G71" s="625"/>
      <x:c r="H71" s="625"/>
      <x:c r="I71" s="625"/>
      <x:c r="J71" s="625"/>
      <x:c r="K71" s="626"/>
      <x:c r="L71" s="610">
        <x:f>1000*-90%</x:f>
      </x:c>
      <x:c r="M71" s="611"/>
      <x:c r="N71" s="611"/>
      <x:c r="O71" s="611"/>
      <x:c r="P71" s="612" t="s">
        <x:v>118</x:v>
      </x:c>
      <x:c r="Q71" s="612"/>
      <x:c r="R71" s="613"/>
      <x:c r="S71" s="614" t="s">
        <x:v>81</x:v>
      </x:c>
      <x:c r="T71" s="614"/>
      <x:c r="U71" s="614"/>
      <x:c r="V71" s="614"/>
      <x:c r="W71" s="614"/>
      <x:c r="X71" s="631"/>
      <x:c r="Y71" s="631"/>
      <x:c r="Z71" s="631"/>
      <x:c r="AA71" s="631"/>
      <x:c r="AB71" s="631"/>
      <x:c r="AC71" s="631"/>
      <x:c r="AD71" s="631"/>
      <x:c r="AE71" s="631"/>
      <x:c r="AF71" s="631"/>
      <x:c r="AG71" s="631"/>
      <x:c r="AH71" s="631"/>
      <x:c r="AI71" s="631"/>
      <x:c r="AJ71" s="631"/>
      <x:c r="AK71" s="631"/>
      <x:c r="AL71" s="631"/>
      <x:c r="AM71" s="631">
        <x:f>AVERAGE(X71:AL71)</x:f>
      </x:c>
      <x:c r="AN71" s="631"/>
      <x:c r="AO71" s="631"/>
      <x:c r="AP71" s="631"/>
      <x:c r="AQ71" s="631"/>
      <x:c r="AR71" s="631">
        <x:f>AM71-L71</x:f>
      </x:c>
      <x:c r="AS71" s="631"/>
      <x:c r="AT71" s="631"/>
      <x:c r="AU71" s="631"/>
      <x:c r="AV71" s="631"/>
      <x:c r="AW71" s="505"/>
      <x:c r="AX71" s="505"/>
      <x:c r="AY71" s="505"/>
      <x:c r="AZ71" s="603"/>
      <x:c r="BA71" s="605"/>
      <x:c r="BB71" s="616">
        <x:f>ABS(AM71*0.05%)+(1*CK71)</x:f>
      </x:c>
      <x:c r="BC71" s="616"/>
      <x:c r="BD71" s="616"/>
      <x:c r="BE71" s="616"/>
      <x:c r="BF71" s="616"/>
      <x:c r="BG71" s="631">
        <x:f>L71+BB71</x:f>
      </x:c>
      <x:c r="BH71" s="631"/>
      <x:c r="BI71" s="631"/>
      <x:c r="BJ71" s="631"/>
      <x:c r="BK71" s="631"/>
      <x:c r="BL71" s="631">
        <x:f>L71-BB71</x:f>
      </x:c>
      <x:c r="BM71" s="631"/>
      <x:c r="BN71" s="631"/>
      <x:c r="BO71" s="631"/>
      <x:c r="BP71" s="631"/>
      <x:c r="BQ71" s="617">
        <x:f>IF(AND(AM71&lt;=BG71,AM71&gt;=BL71),"PASS","FAIL")</x:f>
      </x:c>
      <x:c r="BR71" s="617"/>
      <x:c r="BS71" s="617"/>
      <x:c r="BT71" s="617"/>
      <x:c r="BU71" s="617"/>
      <x:c r="BV71" s="605"/>
      <x:c r="BX71" s="73" t="s">
        <x:v>113</x:v>
      </x:c>
      <x:c r="BY71" s="223">
        <x:v>0.0033</x:v>
      </x:c>
      <x:c r="BZ71" s="74">
        <x:f>P71</x:f>
      </x:c>
      <x:c r="CA71" s="182">
        <x:v>2</x:v>
      </x:c>
      <x:c r="CB71" s="79">
        <x:f>BY71/CA71</x:f>
      </x:c>
      <x:c r="CC71" s="4"/>
      <x:c r="CD71" s="73" t="s">
        <x:v>114</x:v>
      </x:c>
      <x:c r="CE71" s="89">
        <x:v>0</x:v>
      </x:c>
      <x:c r="CF71" s="74">
        <x:f>BZ71</x:f>
      </x:c>
      <x:c r="CG71" s="82">
        <x:f>SQRT(3)</x:f>
      </x:c>
      <x:c r="CH71" s="79">
        <x:f>CE71/CG71</x:f>
      </x:c>
      <x:c r="CI71" s="4"/>
      <x:c r="CJ71" s="73" t="s">
        <x:v>115</x:v>
      </x:c>
      <x:c r="CK71" s="183">
        <x:v>1</x:v>
      </x:c>
      <x:c r="CL71" s="74">
        <x:f>P71</x:f>
      </x:c>
      <x:c r="CM71" s="82">
        <x:f>SQRT(12)</x:f>
      </x:c>
      <x:c r="CN71" s="79">
        <x:f>CK71/CM71</x:f>
      </x:c>
      <x:c r="CO71" s="4"/>
      <x:c r="CP71" s="73" t="s">
        <x:v>116</x:v>
      </x:c>
      <x:c r="CQ71" s="84">
        <x:f>STDEV(X71:AL71)</x:f>
      </x:c>
      <x:c r="CR71" s="74">
        <x:f>P71</x:f>
      </x:c>
      <x:c r="CS71" s="82">
        <x:f>SQRT(3)</x:f>
      </x:c>
      <x:c r="CT71" s="87">
        <x:f>CQ71/CS71</x:f>
      </x:c>
      <x:c r="CV71" s="96">
        <x:f>SQRT(SUMSQ(CT71,CN71,CH71,CB71))</x:f>
      </x:c>
      <x:c r="CW71" s="89">
        <x:f>(CV71^4)/(((CT71^4)/2)+((CN71^4)/200)+((CH71^4)/200)+((CB71^4)/200))</x:f>
      </x:c>
      <x:c r="CX71" s="97">
        <x:f>ROUND(TINV(0.05,CW71),0)</x:f>
      </x:c>
      <x:c r="CY71" s="113">
        <x:f>(CV71*CX71)</x:f>
      </x:c>
      <x:c r="CZ71" s="108">
        <x:f>P71</x:f>
      </x:c>
      <x:c r="DB71" s="177">
        <x:v>0.0014</x:v>
      </x:c>
      <x:c r="DC71" s="178">
        <x:f>CZ71</x:f>
      </x:c>
      <x:c r="DD71" s="220">
        <x:f>MAX(DB71,CY71)</x:f>
      </x:c>
      <x:c r="DE71" s="178">
        <x:f>DC71</x:f>
      </x:c>
    </x:row>
    <x:row r="72" spans="1:109" ht="14.25" customHeight="1" s="143" customFormat="1">
      <x:c r="A72" s="502"/>
      <x:c r="B72" s="597"/>
      <x:c r="C72" s="598"/>
      <x:c r="D72" s="598"/>
      <x:c r="E72" s="598"/>
      <x:c r="F72" s="635"/>
      <x:c r="G72" s="635"/>
      <x:c r="H72" s="635"/>
      <x:c r="I72" s="635"/>
      <x:c r="J72" s="635"/>
      <x:c r="K72" s="635"/>
      <x:c r="L72" s="636"/>
      <x:c r="M72" s="636"/>
      <x:c r="N72" s="636"/>
      <x:c r="O72" s="636"/>
      <x:c r="P72" s="637"/>
      <x:c r="Q72" s="637"/>
      <x:c r="R72" s="637"/>
      <x:c r="S72" s="638"/>
      <x:c r="T72" s="638"/>
      <x:c r="U72" s="638"/>
      <x:c r="V72" s="638"/>
      <x:c r="W72" s="638"/>
      <x:c r="X72" s="639"/>
      <x:c r="Y72" s="639"/>
      <x:c r="Z72" s="639"/>
      <x:c r="AA72" s="639"/>
      <x:c r="AB72" s="639"/>
      <x:c r="AC72" s="639"/>
      <x:c r="AD72" s="639"/>
      <x:c r="AE72" s="639"/>
      <x:c r="AF72" s="639"/>
      <x:c r="AG72" s="639"/>
      <x:c r="AH72" s="639"/>
      <x:c r="AI72" s="639"/>
      <x:c r="AJ72" s="639"/>
      <x:c r="AK72" s="639"/>
      <x:c r="AL72" s="639"/>
      <x:c r="AM72" s="639"/>
      <x:c r="AN72" s="639"/>
      <x:c r="AO72" s="639"/>
      <x:c r="AP72" s="639"/>
      <x:c r="AQ72" s="639"/>
      <x:c r="AR72" s="639"/>
      <x:c r="AS72" s="639"/>
      <x:c r="AT72" s="639"/>
      <x:c r="AU72" s="639"/>
      <x:c r="AV72" s="639"/>
      <x:c r="AW72" s="598"/>
      <x:c r="AX72" s="598"/>
      <x:c r="AY72" s="598"/>
      <x:c r="AZ72" s="599"/>
      <x:c r="BA72" s="502"/>
      <x:c r="BB72" s="502"/>
      <x:c r="BC72" s="502"/>
      <x:c r="BD72" s="502"/>
      <x:c r="BE72" s="502"/>
      <x:c r="BF72" s="502"/>
      <x:c r="BG72" s="640"/>
      <x:c r="BH72" s="640"/>
      <x:c r="BI72" s="640"/>
      <x:c r="BJ72" s="640"/>
      <x:c r="BK72" s="640"/>
      <x:c r="BL72" s="640"/>
      <x:c r="BM72" s="640"/>
      <x:c r="BN72" s="640"/>
      <x:c r="BO72" s="640"/>
      <x:c r="BP72" s="640"/>
      <x:c r="BQ72" s="641"/>
      <x:c r="BR72" s="641"/>
      <x:c r="BS72" s="641"/>
      <x:c r="BT72" s="641"/>
      <x:c r="BU72" s="641"/>
      <x:c r="BV72" s="502"/>
      <x:c r="BX72" s="9"/>
      <x:c r="BY72" s="12"/>
      <x:c r="BZ72" s="10"/>
      <x:c r="CA72" s="9"/>
      <x:c r="CB72" s="11"/>
      <x:c r="CC72" s="11"/>
      <x:c r="CD72" s="9"/>
      <x:c r="CE72" s="12"/>
      <x:c r="CF72" s="10"/>
      <x:c r="CG72" s="13"/>
      <x:c r="CH72" s="11"/>
      <x:c r="CI72" s="11"/>
      <x:c r="CJ72" s="9"/>
      <x:c r="CK72" s="9"/>
      <x:c r="CL72" s="10"/>
      <x:c r="CM72" s="13"/>
      <x:c r="CN72" s="11"/>
      <x:c r="CO72" s="11"/>
      <x:c r="CP72" s="9"/>
      <x:c r="CQ72" s="14"/>
      <x:c r="CR72" s="10"/>
      <x:c r="CS72" s="13"/>
      <x:c r="CT72" s="14"/>
      <x:c r="CU72" s="15"/>
      <x:c r="CV72" s="11"/>
      <x:c r="CW72" s="12"/>
      <x:c r="CX72" s="16"/>
      <x:c r="CY72" s="17"/>
      <x:c r="CZ72" s="18"/>
      <x:c r="DA72" s="15"/>
    </x:row>
    <x:row r="73" spans="1:109" ht="12.75" customHeight="1" s="7" customFormat="1">
      <x:c r="A73" s="600"/>
      <x:c r="B73" s="601"/>
      <x:c r="C73" s="505"/>
      <x:c r="D73" s="504"/>
      <x:c r="E73" s="505"/>
      <x:c r="F73" s="602" t="s">
        <x:v>122</x:v>
      </x:c>
      <x:c r="G73" s="505"/>
      <x:c r="H73" s="505"/>
      <x:c r="I73" s="505"/>
      <x:c r="J73" s="505"/>
      <x:c r="K73" s="505"/>
      <x:c r="L73" s="505"/>
      <x:c r="M73" s="505"/>
      <x:c r="N73" s="505"/>
      <x:c r="O73" s="505"/>
      <x:c r="P73" s="505"/>
      <x:c r="Q73" s="505"/>
      <x:c r="R73" s="505"/>
      <x:c r="S73" s="505"/>
      <x:c r="T73" s="505"/>
      <x:c r="U73" s="505"/>
      <x:c r="V73" s="505"/>
      <x:c r="W73" s="505"/>
      <x:c r="X73" s="505"/>
      <x:c r="Y73" s="505"/>
      <x:c r="Z73" s="505"/>
      <x:c r="AA73" s="505"/>
      <x:c r="AB73" s="505"/>
      <x:c r="AC73" s="505"/>
      <x:c r="AD73" s="505"/>
      <x:c r="AE73" s="505"/>
      <x:c r="AF73" s="505"/>
      <x:c r="AG73" s="505"/>
      <x:c r="AH73" s="505"/>
      <x:c r="AI73" s="505"/>
      <x:c r="AJ73" s="505"/>
      <x:c r="AK73" s="505"/>
      <x:c r="AL73" s="505"/>
      <x:c r="AM73" s="505"/>
      <x:c r="AN73" s="505"/>
      <x:c r="AO73" s="505"/>
      <x:c r="AP73" s="505"/>
      <x:c r="AQ73" s="505"/>
      <x:c r="AR73" s="505"/>
      <x:c r="AS73" s="505"/>
      <x:c r="AT73" s="505"/>
      <x:c r="AU73" s="505"/>
      <x:c r="AV73" s="505"/>
      <x:c r="AW73" s="505"/>
      <x:c r="AX73" s="505"/>
      <x:c r="AY73" s="505"/>
      <x:c r="AZ73" s="603"/>
      <x:c r="BA73" s="600"/>
      <x:c r="BB73" s="604" t="s">
        <x:v>87</x:v>
      </x:c>
      <x:c r="BC73" s="604"/>
      <x:c r="BD73" s="604"/>
      <x:c r="BE73" s="604"/>
      <x:c r="BF73" s="604"/>
      <x:c r="BG73" s="604"/>
      <x:c r="BH73" s="604"/>
      <x:c r="BI73" s="604"/>
      <x:c r="BJ73" s="604"/>
      <x:c r="BK73" s="604"/>
      <x:c r="BL73" s="604"/>
      <x:c r="BM73" s="604"/>
      <x:c r="BN73" s="604"/>
      <x:c r="BO73" s="604"/>
      <x:c r="BP73" s="604"/>
      <x:c r="BQ73" s="604"/>
      <x:c r="BR73" s="604"/>
      <x:c r="BS73" s="604"/>
      <x:c r="BT73" s="604"/>
      <x:c r="BU73" s="604"/>
      <x:c r="BV73" s="600"/>
      <x:c r="BX73" s="370" t="s">
        <x:v>88</x:v>
      </x:c>
      <x:c r="BY73" s="371"/>
      <x:c r="BZ73" s="371"/>
      <x:c r="CA73" s="371"/>
      <x:c r="CB73" s="372"/>
      <x:c r="CC73" s="2"/>
      <x:c r="CD73" s="370" t="s">
        <x:v>88</x:v>
      </x:c>
      <x:c r="CE73" s="371"/>
      <x:c r="CF73" s="371"/>
      <x:c r="CG73" s="371"/>
      <x:c r="CH73" s="372"/>
      <x:c r="CI73" s="2"/>
      <x:c r="CJ73" s="370" t="s">
        <x:v>89</x:v>
      </x:c>
      <x:c r="CK73" s="371"/>
      <x:c r="CL73" s="371"/>
      <x:c r="CM73" s="371"/>
      <x:c r="CN73" s="372"/>
      <x:c r="CO73" s="2"/>
      <x:c r="CP73" s="370" t="s">
        <x:v>89</x:v>
      </x:c>
      <x:c r="CQ73" s="371"/>
      <x:c r="CR73" s="371"/>
      <x:c r="CS73" s="371"/>
      <x:c r="CT73" s="372"/>
      <x:c r="CV73" s="370" t="s">
        <x:v>90</x:v>
      </x:c>
      <x:c r="CW73" s="371"/>
      <x:c r="CX73" s="371"/>
      <x:c r="CY73" s="371"/>
      <x:c r="CZ73" s="372"/>
      <x:c r="DB73" s="361" t="s">
        <x:v>91</x:v>
      </x:c>
      <x:c r="DC73" s="359"/>
      <x:c r="DD73" s="361" t="s">
        <x:v>92</x:v>
      </x:c>
      <x:c r="DE73" s="361"/>
    </x:row>
    <x:row r="74" spans="1:109" ht="18" customHeight="1" s="8" customFormat="1">
      <x:c r="A74" s="605"/>
      <x:c r="B74" s="601"/>
      <x:c r="C74" s="505"/>
      <x:c r="D74" s="505"/>
      <x:c r="E74" s="505"/>
      <x:c r="F74" s="606" t="s">
        <x:v>37</x:v>
      </x:c>
      <x:c r="G74" s="606"/>
      <x:c r="H74" s="606"/>
      <x:c r="I74" s="606"/>
      <x:c r="J74" s="606"/>
      <x:c r="K74" s="606"/>
      <x:c r="L74" s="606" t="s">
        <x:v>38</x:v>
      </x:c>
      <x:c r="M74" s="606"/>
      <x:c r="N74" s="606"/>
      <x:c r="O74" s="606"/>
      <x:c r="P74" s="606"/>
      <x:c r="Q74" s="606"/>
      <x:c r="R74" s="606"/>
      <x:c r="S74" s="606" t="s">
        <x:v>93</x:v>
      </x:c>
      <x:c r="T74" s="606"/>
      <x:c r="U74" s="606"/>
      <x:c r="V74" s="606"/>
      <x:c r="W74" s="606"/>
      <x:c r="X74" s="606" t="s">
        <x:v>39</x:v>
      </x:c>
      <x:c r="Y74" s="606"/>
      <x:c r="Z74" s="606"/>
      <x:c r="AA74" s="606"/>
      <x:c r="AB74" s="606"/>
      <x:c r="AC74" s="606"/>
      <x:c r="AD74" s="606"/>
      <x:c r="AE74" s="606"/>
      <x:c r="AF74" s="606"/>
      <x:c r="AG74" s="606"/>
      <x:c r="AH74" s="606"/>
      <x:c r="AI74" s="606"/>
      <x:c r="AJ74" s="606"/>
      <x:c r="AK74" s="606"/>
      <x:c r="AL74" s="606"/>
      <x:c r="AM74" s="606" t="s">
        <x:v>94</x:v>
      </x:c>
      <x:c r="AN74" s="606"/>
      <x:c r="AO74" s="606"/>
      <x:c r="AP74" s="606"/>
      <x:c r="AQ74" s="606"/>
      <x:c r="AR74" s="606" t="s">
        <x:v>40</x:v>
      </x:c>
      <x:c r="AS74" s="606"/>
      <x:c r="AT74" s="606"/>
      <x:c r="AU74" s="606"/>
      <x:c r="AV74" s="606"/>
      <x:c r="AW74" s="505"/>
      <x:c r="AX74" s="505"/>
      <x:c r="AY74" s="505"/>
      <x:c r="AZ74" s="603"/>
      <x:c r="BA74" s="605"/>
      <x:c r="BB74" s="606" t="s">
        <x:v>95</x:v>
      </x:c>
      <x:c r="BC74" s="606"/>
      <x:c r="BD74" s="606"/>
      <x:c r="BE74" s="606"/>
      <x:c r="BF74" s="606"/>
      <x:c r="BG74" s="606" t="s">
        <x:v>96</x:v>
      </x:c>
      <x:c r="BH74" s="606"/>
      <x:c r="BI74" s="606"/>
      <x:c r="BJ74" s="606"/>
      <x:c r="BK74" s="606"/>
      <x:c r="BL74" s="606" t="s">
        <x:v>97</x:v>
      </x:c>
      <x:c r="BM74" s="606"/>
      <x:c r="BN74" s="606"/>
      <x:c r="BO74" s="606"/>
      <x:c r="BP74" s="606"/>
      <x:c r="BQ74" s="606" t="s">
        <x:v>98</x:v>
      </x:c>
      <x:c r="BR74" s="606"/>
      <x:c r="BS74" s="606"/>
      <x:c r="BT74" s="606"/>
      <x:c r="BU74" s="606"/>
      <x:c r="BV74" s="605"/>
      <x:c r="BX74" s="119" t="s">
        <x:v>99</x:v>
      </x:c>
      <x:c r="BY74" s="362" t="s">
        <x:v>41</x:v>
      </x:c>
      <x:c r="BZ74" s="362" t="s">
        <x:v>100</x:v>
      </x:c>
      <x:c r="CA74" s="121" t="s">
        <x:v>101</x:v>
      </x:c>
      <x:c r="CB74" s="368" t="s">
        <x:v>102</x:v>
      </x:c>
      <x:c r="CC74" s="2"/>
      <x:c r="CD74" s="119" t="s">
        <x:v>99</x:v>
      </x:c>
      <x:c r="CE74" s="362" t="s">
        <x:v>41</x:v>
      </x:c>
      <x:c r="CF74" s="362" t="s">
        <x:v>100</x:v>
      </x:c>
      <x:c r="CG74" s="121" t="s">
        <x:v>101</x:v>
      </x:c>
      <x:c r="CH74" s="368" t="s">
        <x:v>102</x:v>
      </x:c>
      <x:c r="CI74" s="2"/>
      <x:c r="CJ74" s="119" t="s">
        <x:v>99</x:v>
      </x:c>
      <x:c r="CK74" s="362" t="s">
        <x:v>41</x:v>
      </x:c>
      <x:c r="CL74" s="362" t="s">
        <x:v>100</x:v>
      </x:c>
      <x:c r="CM74" s="121" t="s">
        <x:v>101</x:v>
      </x:c>
      <x:c r="CN74" s="368" t="s">
        <x:v>102</x:v>
      </x:c>
      <x:c r="CO74" s="2"/>
      <x:c r="CP74" s="119" t="s">
        <x:v>99</x:v>
      </x:c>
      <x:c r="CQ74" s="362" t="s">
        <x:v>41</x:v>
      </x:c>
      <x:c r="CR74" s="362" t="s">
        <x:v>100</x:v>
      </x:c>
      <x:c r="CS74" s="121" t="s">
        <x:v>101</x:v>
      </x:c>
      <x:c r="CT74" s="368" t="s">
        <x:v>102</x:v>
      </x:c>
      <x:c r="CV74" s="119" t="s">
        <x:v>103</x:v>
      </x:c>
      <x:c r="CW74" s="101" t="s">
        <x:v>104</x:v>
      </x:c>
      <x:c r="CX74" s="121" t="s">
        <x:v>105</x:v>
      </x:c>
      <x:c r="CY74" s="119" t="s">
        <x:v>106</x:v>
      </x:c>
      <x:c r="CZ74" s="377"/>
      <x:c r="DB74" s="361"/>
      <x:c r="DC74" s="359"/>
      <x:c r="DD74" s="361"/>
      <x:c r="DE74" s="361"/>
    </x:row>
    <x:row r="75" spans="1:109" ht="18" customHeight="1" s="8" customFormat="1">
      <x:c r="A75" s="605"/>
      <x:c r="B75" s="601"/>
      <x:c r="C75" s="505"/>
      <x:c r="D75" s="505"/>
      <x:c r="E75" s="505"/>
      <x:c r="F75" s="606"/>
      <x:c r="G75" s="606"/>
      <x:c r="H75" s="606"/>
      <x:c r="I75" s="606"/>
      <x:c r="J75" s="606"/>
      <x:c r="K75" s="606"/>
      <x:c r="L75" s="606"/>
      <x:c r="M75" s="606"/>
      <x:c r="N75" s="606"/>
      <x:c r="O75" s="606"/>
      <x:c r="P75" s="606"/>
      <x:c r="Q75" s="606"/>
      <x:c r="R75" s="606"/>
      <x:c r="S75" s="606"/>
      <x:c r="T75" s="606"/>
      <x:c r="U75" s="606"/>
      <x:c r="V75" s="606"/>
      <x:c r="W75" s="606"/>
      <x:c r="X75" s="606">
        <x:v>1</x:v>
      </x:c>
      <x:c r="Y75" s="606"/>
      <x:c r="Z75" s="606"/>
      <x:c r="AA75" s="606"/>
      <x:c r="AB75" s="606"/>
      <x:c r="AC75" s="606">
        <x:v>2</x:v>
      </x:c>
      <x:c r="AD75" s="606"/>
      <x:c r="AE75" s="606"/>
      <x:c r="AF75" s="606"/>
      <x:c r="AG75" s="606"/>
      <x:c r="AH75" s="606">
        <x:v>3</x:v>
      </x:c>
      <x:c r="AI75" s="606"/>
      <x:c r="AJ75" s="606"/>
      <x:c r="AK75" s="606"/>
      <x:c r="AL75" s="606"/>
      <x:c r="AM75" s="606"/>
      <x:c r="AN75" s="606"/>
      <x:c r="AO75" s="606"/>
      <x:c r="AP75" s="606"/>
      <x:c r="AQ75" s="606"/>
      <x:c r="AR75" s="606"/>
      <x:c r="AS75" s="606"/>
      <x:c r="AT75" s="606"/>
      <x:c r="AU75" s="606"/>
      <x:c r="AV75" s="606"/>
      <x:c r="AW75" s="505"/>
      <x:c r="AX75" s="505"/>
      <x:c r="AY75" s="505"/>
      <x:c r="AZ75" s="603"/>
      <x:c r="BA75" s="605"/>
      <x:c r="BB75" s="606"/>
      <x:c r="BC75" s="606"/>
      <x:c r="BD75" s="606"/>
      <x:c r="BE75" s="606"/>
      <x:c r="BF75" s="606"/>
      <x:c r="BG75" s="606"/>
      <x:c r="BH75" s="606"/>
      <x:c r="BI75" s="606"/>
      <x:c r="BJ75" s="606"/>
      <x:c r="BK75" s="606"/>
      <x:c r="BL75" s="606"/>
      <x:c r="BM75" s="606"/>
      <x:c r="BN75" s="606"/>
      <x:c r="BO75" s="606"/>
      <x:c r="BP75" s="606"/>
      <x:c r="BQ75" s="606"/>
      <x:c r="BR75" s="606"/>
      <x:c r="BS75" s="606"/>
      <x:c r="BT75" s="606"/>
      <x:c r="BU75" s="606"/>
      <x:c r="BV75" s="605"/>
      <x:c r="BX75" s="120"/>
      <x:c r="BY75" s="363"/>
      <x:c r="BZ75" s="363"/>
      <x:c r="CA75" s="122"/>
      <x:c r="CB75" s="369"/>
      <x:c r="CC75" s="2"/>
      <x:c r="CD75" s="120"/>
      <x:c r="CE75" s="363"/>
      <x:c r="CF75" s="363"/>
      <x:c r="CG75" s="122"/>
      <x:c r="CH75" s="369"/>
      <x:c r="CI75" s="2"/>
      <x:c r="CJ75" s="120"/>
      <x:c r="CK75" s="363"/>
      <x:c r="CL75" s="363"/>
      <x:c r="CM75" s="122"/>
      <x:c r="CN75" s="369"/>
      <x:c r="CO75" s="2"/>
      <x:c r="CP75" s="120"/>
      <x:c r="CQ75" s="363"/>
      <x:c r="CR75" s="363"/>
      <x:c r="CS75" s="122"/>
      <x:c r="CT75" s="369"/>
      <x:c r="CV75" s="120" t="s">
        <x:v>107</x:v>
      </x:c>
      <x:c r="CW75" s="102" t="s">
        <x:v>108</x:v>
      </x:c>
      <x:c r="CX75" s="122" t="s">
        <x:v>109</x:v>
      </x:c>
      <x:c r="CY75" s="120" t="s">
        <x:v>110</x:v>
      </x:c>
      <x:c r="CZ75" s="378"/>
      <x:c r="DB75" s="361"/>
      <x:c r="DC75" s="359"/>
      <x:c r="DD75" s="361"/>
      <x:c r="DE75" s="361"/>
    </x:row>
    <x:row r="76" spans="1:109" ht="18" customHeight="1" s="8" customFormat="1">
      <x:c r="A76" s="605"/>
      <x:c r="B76" s="601"/>
      <x:c r="C76" s="505"/>
      <x:c r="D76" s="505"/>
      <x:c r="E76" s="505"/>
      <x:c r="F76" s="607" t="s">
        <x:v>111</x:v>
      </x:c>
      <x:c r="G76" s="608"/>
      <x:c r="H76" s="608"/>
      <x:c r="I76" s="608"/>
      <x:c r="J76" s="608"/>
      <x:c r="K76" s="609"/>
      <x:c r="L76" s="610">
        <x:f>600*10%</x:f>
      </x:c>
      <x:c r="M76" s="611"/>
      <x:c r="N76" s="611"/>
      <x:c r="O76" s="611"/>
      <x:c r="P76" s="612" t="s">
        <x:v>112</x:v>
      </x:c>
      <x:c r="Q76" s="612"/>
      <x:c r="R76" s="613"/>
      <x:c r="S76" s="181" t="s">
        <x:v>123</x:v>
      </x:c>
      <x:c r="T76" s="181"/>
      <x:c r="U76" s="181"/>
      <x:c r="V76" s="181"/>
      <x:c r="W76" s="181"/>
      <x:c r="X76" s="621"/>
      <x:c r="Y76" s="622"/>
      <x:c r="Z76" s="622"/>
      <x:c r="AA76" s="622"/>
      <x:c r="AB76" s="623"/>
      <x:c r="AC76" s="621"/>
      <x:c r="AD76" s="622"/>
      <x:c r="AE76" s="622"/>
      <x:c r="AF76" s="622"/>
      <x:c r="AG76" s="623"/>
      <x:c r="AH76" s="621"/>
      <x:c r="AI76" s="622"/>
      <x:c r="AJ76" s="622"/>
      <x:c r="AK76" s="622"/>
      <x:c r="AL76" s="623"/>
      <x:c r="AM76" s="615">
        <x:f>AVERAGE(X76:AL76)</x:f>
      </x:c>
      <x:c r="AN76" s="615"/>
      <x:c r="AO76" s="615"/>
      <x:c r="AP76" s="615"/>
      <x:c r="AQ76" s="615"/>
      <x:c r="AR76" s="615">
        <x:f>AM76-L76</x:f>
      </x:c>
      <x:c r="AS76" s="615"/>
      <x:c r="AT76" s="615"/>
      <x:c r="AU76" s="615"/>
      <x:c r="AV76" s="615"/>
      <x:c r="AW76" s="505"/>
      <x:c r="AX76" s="505"/>
      <x:c r="AY76" s="505"/>
      <x:c r="AZ76" s="603"/>
      <x:c r="BA76" s="605"/>
      <x:c r="BB76" s="630">
        <x:f>(AM76*0.7%)+(4*CK76)</x:f>
      </x:c>
      <x:c r="BC76" s="630"/>
      <x:c r="BD76" s="630"/>
      <x:c r="BE76" s="630"/>
      <x:c r="BF76" s="630"/>
      <x:c r="BG76" s="630">
        <x:f>L76+BB76</x:f>
      </x:c>
      <x:c r="BH76" s="630"/>
      <x:c r="BI76" s="630"/>
      <x:c r="BJ76" s="630"/>
      <x:c r="BK76" s="630"/>
      <x:c r="BL76" s="630">
        <x:f>L76-BB76</x:f>
      </x:c>
      <x:c r="BM76" s="630"/>
      <x:c r="BN76" s="630"/>
      <x:c r="BO76" s="630"/>
      <x:c r="BP76" s="630"/>
      <x:c r="BQ76" s="617">
        <x:f>IF(AND(AM76&lt;=BG76,AM76&gt;=BL76),"PASS","FAIL")</x:f>
      </x:c>
      <x:c r="BR76" s="617"/>
      <x:c r="BS76" s="617"/>
      <x:c r="BT76" s="617"/>
      <x:c r="BU76" s="617"/>
      <x:c r="BV76" s="605"/>
      <x:c r="BX76" s="70" t="s">
        <x:v>113</x:v>
      </x:c>
      <x:c r="BY76" s="83">
        <x:v>0.07</x:v>
      </x:c>
      <x:c r="BZ76" s="71">
        <x:f>P76</x:f>
      </x:c>
      <x:c r="CA76" s="191">
        <x:v>2</x:v>
      </x:c>
      <x:c r="CB76" s="77">
        <x:f>BY76/CA76</x:f>
      </x:c>
      <x:c r="CC76" s="4"/>
      <x:c r="CD76" s="70" t="s">
        <x:v>114</x:v>
      </x:c>
      <x:c r="CE76" s="88">
        <x:v>0</x:v>
      </x:c>
      <x:c r="CF76" s="71">
        <x:f>BZ76</x:f>
      </x:c>
      <x:c r="CG76" s="80">
        <x:f>SQRT(3)</x:f>
      </x:c>
      <x:c r="CH76" s="77">
        <x:f>CE76/CG76</x:f>
      </x:c>
      <x:c r="CI76" s="4"/>
      <x:c r="CJ76" s="70" t="s">
        <x:v>115</x:v>
      </x:c>
      <x:c r="CK76" s="176">
        <x:v>0.1</x:v>
      </x:c>
      <x:c r="CL76" s="71">
        <x:f>P76</x:f>
      </x:c>
      <x:c r="CM76" s="80">
        <x:f>SQRT(12)</x:f>
      </x:c>
      <x:c r="CN76" s="77">
        <x:f>CK76/CM76</x:f>
      </x:c>
      <x:c r="CO76" s="4"/>
      <x:c r="CP76" s="70" t="s">
        <x:v>116</x:v>
      </x:c>
      <x:c r="CQ76" s="83">
        <x:f>STDEV(X76:AL76)</x:f>
      </x:c>
      <x:c r="CR76" s="71">
        <x:f>P76</x:f>
      </x:c>
      <x:c r="CS76" s="80">
        <x:f>SQRT(3)</x:f>
      </x:c>
      <x:c r="CT76" s="85">
        <x:f>CQ76/CS76</x:f>
      </x:c>
      <x:c r="CV76" s="92">
        <x:f>SQRT(SUMSQ(CT76,CN76,CH76,CB76))</x:f>
      </x:c>
      <x:c r="CW76" s="88">
        <x:f>(CV76^4)/(((CT76^4)/2)+((CN76^4)/200)+((CH76^4)/200)+((CB76^4)/200))</x:f>
      </x:c>
      <x:c r="CX76" s="93">
        <x:f>ROUND(TINV(0.05,CW76),0)</x:f>
      </x:c>
      <x:c r="CY76" s="118">
        <x:f>(CV76*CX76)</x:f>
      </x:c>
      <x:c r="CZ76" s="104">
        <x:f>P76</x:f>
      </x:c>
      <x:c r="DB76" s="177">
        <x:v>0.01</x:v>
      </x:c>
      <x:c r="DC76" s="178">
        <x:f>CZ76</x:f>
      </x:c>
      <x:c r="DD76" s="220">
        <x:f>MAX(DB76,CY76)</x:f>
      </x:c>
      <x:c r="DE76" s="178">
        <x:f>DC76</x:f>
      </x:c>
    </x:row>
    <x:row r="77" spans="1:109" ht="18" customHeight="1" s="8" customFormat="1">
      <x:c r="A77" s="605"/>
      <x:c r="B77" s="601"/>
      <x:c r="C77" s="505"/>
      <x:c r="D77" s="505"/>
      <x:c r="E77" s="505"/>
      <x:c r="F77" s="618"/>
      <x:c r="G77" s="619"/>
      <x:c r="H77" s="619"/>
      <x:c r="I77" s="619"/>
      <x:c r="J77" s="619"/>
      <x:c r="K77" s="620"/>
      <x:c r="L77" s="610">
        <x:f>600*10%</x:f>
      </x:c>
      <x:c r="M77" s="611"/>
      <x:c r="N77" s="611"/>
      <x:c r="O77" s="611"/>
      <x:c r="P77" s="612" t="s">
        <x:v>112</x:v>
      </x:c>
      <x:c r="Q77" s="612"/>
      <x:c r="R77" s="613"/>
      <x:c r="S77" s="181" t="s">
        <x:v>124</x:v>
      </x:c>
      <x:c r="T77" s="181"/>
      <x:c r="U77" s="181"/>
      <x:c r="V77" s="181"/>
      <x:c r="W77" s="181"/>
      <x:c r="X77" s="621"/>
      <x:c r="Y77" s="622"/>
      <x:c r="Z77" s="622"/>
      <x:c r="AA77" s="622"/>
      <x:c r="AB77" s="623"/>
      <x:c r="AC77" s="621"/>
      <x:c r="AD77" s="622"/>
      <x:c r="AE77" s="622"/>
      <x:c r="AF77" s="622"/>
      <x:c r="AG77" s="623"/>
      <x:c r="AH77" s="621"/>
      <x:c r="AI77" s="622"/>
      <x:c r="AJ77" s="622"/>
      <x:c r="AK77" s="622"/>
      <x:c r="AL77" s="623"/>
      <x:c r="AM77" s="615">
        <x:f>AVERAGE(X77:AL77)</x:f>
      </x:c>
      <x:c r="AN77" s="615"/>
      <x:c r="AO77" s="615"/>
      <x:c r="AP77" s="615"/>
      <x:c r="AQ77" s="615"/>
      <x:c r="AR77" s="615">
        <x:f>AM77-L77</x:f>
      </x:c>
      <x:c r="AS77" s="615"/>
      <x:c r="AT77" s="615"/>
      <x:c r="AU77" s="615"/>
      <x:c r="AV77" s="615"/>
      <x:c r="AW77" s="505"/>
      <x:c r="AX77" s="505"/>
      <x:c r="AY77" s="505"/>
      <x:c r="AZ77" s="603"/>
      <x:c r="BA77" s="605"/>
      <x:c r="BB77" s="630">
        <x:f>(AM77*1%)+(4*CK77)</x:f>
      </x:c>
      <x:c r="BC77" s="630"/>
      <x:c r="BD77" s="630"/>
      <x:c r="BE77" s="630"/>
      <x:c r="BF77" s="630"/>
      <x:c r="BG77" s="630">
        <x:f>L77+BB77</x:f>
      </x:c>
      <x:c r="BH77" s="630"/>
      <x:c r="BI77" s="630"/>
      <x:c r="BJ77" s="630"/>
      <x:c r="BK77" s="630"/>
      <x:c r="BL77" s="630">
        <x:f>L77-BB77</x:f>
      </x:c>
      <x:c r="BM77" s="630"/>
      <x:c r="BN77" s="630"/>
      <x:c r="BO77" s="630"/>
      <x:c r="BP77" s="630"/>
      <x:c r="BQ77" s="617">
        <x:f>IF(AND(AM77&lt;=BG77,AM77&gt;=BL77),"PASS","FAIL")</x:f>
      </x:c>
      <x:c r="BR77" s="617"/>
      <x:c r="BS77" s="617"/>
      <x:c r="BT77" s="617"/>
      <x:c r="BU77" s="617"/>
      <x:c r="BV77" s="605"/>
      <x:c r="BX77" s="72" t="s">
        <x:v>113</x:v>
      </x:c>
      <x:c r="BY77" s="6">
        <x:v>0.07</x:v>
      </x:c>
      <x:c r="BZ77" s="1">
        <x:f>P77</x:f>
      </x:c>
      <x:c r="CA77" s="180">
        <x:v>2</x:v>
      </x:c>
      <x:c r="CB77" s="78">
        <x:f>BY77/CA77</x:f>
      </x:c>
      <x:c r="CC77" s="4"/>
      <x:c r="CD77" s="72" t="s">
        <x:v>114</x:v>
      </x:c>
      <x:c r="CE77" s="5">
        <x:v>0</x:v>
      </x:c>
      <x:c r="CF77" s="1">
        <x:f>BZ77</x:f>
      </x:c>
      <x:c r="CG77" s="81">
        <x:f>SQRT(3)</x:f>
      </x:c>
      <x:c r="CH77" s="78">
        <x:f>CE77/CG77</x:f>
      </x:c>
      <x:c r="CI77" s="4"/>
      <x:c r="CJ77" s="72" t="s">
        <x:v>115</x:v>
      </x:c>
      <x:c r="CK77" s="181">
        <x:v>0.1</x:v>
      </x:c>
      <x:c r="CL77" s="1">
        <x:f>P77</x:f>
      </x:c>
      <x:c r="CM77" s="81">
        <x:f>SQRT(12)</x:f>
      </x:c>
      <x:c r="CN77" s="78">
        <x:f>CK77/CM77</x:f>
      </x:c>
      <x:c r="CO77" s="4"/>
      <x:c r="CP77" s="72" t="s">
        <x:v>116</x:v>
      </x:c>
      <x:c r="CQ77" s="6">
        <x:f>STDEV(X77:AL77)</x:f>
      </x:c>
      <x:c r="CR77" s="1">
        <x:f>P77</x:f>
      </x:c>
      <x:c r="CS77" s="81">
        <x:f>SQRT(3)</x:f>
      </x:c>
      <x:c r="CT77" s="86">
        <x:f>CQ77/CS77</x:f>
      </x:c>
      <x:c r="CV77" s="94">
        <x:f>SQRT(SUMSQ(CT77,CN77,CH77,CB77))</x:f>
      </x:c>
      <x:c r="CW77" s="5">
        <x:f>(CV77^4)/(((CT77^4)/2)+((CN77^4)/200)+((CH77^4)/200)+((CB77^4)/200))</x:f>
      </x:c>
      <x:c r="CX77" s="95">
        <x:f>ROUND(TINV(0.05,CW77),0)</x:f>
      </x:c>
      <x:c r="CY77" s="111">
        <x:f>(CV77*CX77)</x:f>
      </x:c>
      <x:c r="CZ77" s="106">
        <x:f>P77</x:f>
      </x:c>
      <x:c r="DB77" s="177">
        <x:v>0.01</x:v>
      </x:c>
      <x:c r="DC77" s="178">
        <x:f>CZ77</x:f>
      </x:c>
      <x:c r="DD77" s="220">
        <x:f>MAX(DB77,CY77)</x:f>
      </x:c>
      <x:c r="DE77" s="178">
        <x:f>DC77</x:f>
      </x:c>
    </x:row>
    <x:row r="78" spans="1:109" ht="18" customHeight="1" s="8" customFormat="1">
      <x:c r="A78" s="605"/>
      <x:c r="B78" s="601"/>
      <x:c r="C78" s="505"/>
      <x:c r="D78" s="505"/>
      <x:c r="E78" s="505"/>
      <x:c r="F78" s="618"/>
      <x:c r="G78" s="619"/>
      <x:c r="H78" s="619"/>
      <x:c r="I78" s="619"/>
      <x:c r="J78" s="619"/>
      <x:c r="K78" s="620"/>
      <x:c r="L78" s="610">
        <x:f>600*90%</x:f>
      </x:c>
      <x:c r="M78" s="611"/>
      <x:c r="N78" s="611"/>
      <x:c r="O78" s="611"/>
      <x:c r="P78" s="612" t="s">
        <x:v>112</x:v>
      </x:c>
      <x:c r="Q78" s="612"/>
      <x:c r="R78" s="613"/>
      <x:c r="S78" s="181" t="s">
        <x:v>123</x:v>
      </x:c>
      <x:c r="T78" s="181"/>
      <x:c r="U78" s="181"/>
      <x:c r="V78" s="181"/>
      <x:c r="W78" s="181"/>
      <x:c r="X78" s="621"/>
      <x:c r="Y78" s="622"/>
      <x:c r="Z78" s="622"/>
      <x:c r="AA78" s="622"/>
      <x:c r="AB78" s="623"/>
      <x:c r="AC78" s="621"/>
      <x:c r="AD78" s="622"/>
      <x:c r="AE78" s="622"/>
      <x:c r="AF78" s="622"/>
      <x:c r="AG78" s="623"/>
      <x:c r="AH78" s="621"/>
      <x:c r="AI78" s="622"/>
      <x:c r="AJ78" s="622"/>
      <x:c r="AK78" s="622"/>
      <x:c r="AL78" s="623"/>
      <x:c r="AM78" s="615">
        <x:f>AVERAGE(X78:AL78)</x:f>
      </x:c>
      <x:c r="AN78" s="615"/>
      <x:c r="AO78" s="615"/>
      <x:c r="AP78" s="615"/>
      <x:c r="AQ78" s="615"/>
      <x:c r="AR78" s="615">
        <x:f>AM78-L78</x:f>
      </x:c>
      <x:c r="AS78" s="615"/>
      <x:c r="AT78" s="615"/>
      <x:c r="AU78" s="615"/>
      <x:c r="AV78" s="615"/>
      <x:c r="AW78" s="505"/>
      <x:c r="AX78" s="505"/>
      <x:c r="AY78" s="505"/>
      <x:c r="AZ78" s="603"/>
      <x:c r="BA78" s="605"/>
      <x:c r="BB78" s="630">
        <x:f>(AM78*0.7%)+(4*CK78)</x:f>
      </x:c>
      <x:c r="BC78" s="630"/>
      <x:c r="BD78" s="630"/>
      <x:c r="BE78" s="630"/>
      <x:c r="BF78" s="630"/>
      <x:c r="BG78" s="630">
        <x:f>L78+BB78</x:f>
      </x:c>
      <x:c r="BH78" s="630"/>
      <x:c r="BI78" s="630"/>
      <x:c r="BJ78" s="630"/>
      <x:c r="BK78" s="630"/>
      <x:c r="BL78" s="630">
        <x:f>L78-BB78</x:f>
      </x:c>
      <x:c r="BM78" s="630"/>
      <x:c r="BN78" s="630"/>
      <x:c r="BO78" s="630"/>
      <x:c r="BP78" s="630"/>
      <x:c r="BQ78" s="617">
        <x:f>IF(AND(AM78&lt;=BG78,AM78&gt;=BL78),"PASS","FAIL")</x:f>
      </x:c>
      <x:c r="BR78" s="617"/>
      <x:c r="BS78" s="617"/>
      <x:c r="BT78" s="617"/>
      <x:c r="BU78" s="617"/>
      <x:c r="BV78" s="605"/>
      <x:c r="BX78" s="72" t="s">
        <x:v>113</x:v>
      </x:c>
      <x:c r="BY78" s="179">
        <x:v>0.91</x:v>
      </x:c>
      <x:c r="BZ78" s="1">
        <x:f>P78</x:f>
      </x:c>
      <x:c r="CA78" s="180">
        <x:v>2</x:v>
      </x:c>
      <x:c r="CB78" s="78">
        <x:f>BY78/CA78</x:f>
      </x:c>
      <x:c r="CC78" s="4"/>
      <x:c r="CD78" s="72" t="s">
        <x:v>114</x:v>
      </x:c>
      <x:c r="CE78" s="5">
        <x:v>0</x:v>
      </x:c>
      <x:c r="CF78" s="1">
        <x:f>BZ78</x:f>
      </x:c>
      <x:c r="CG78" s="81">
        <x:f>SQRT(3)</x:f>
      </x:c>
      <x:c r="CH78" s="78">
        <x:f>CE78/CG78</x:f>
      </x:c>
      <x:c r="CI78" s="4"/>
      <x:c r="CJ78" s="72" t="s">
        <x:v>115</x:v>
      </x:c>
      <x:c r="CK78" s="181">
        <x:v>0.1</x:v>
      </x:c>
      <x:c r="CL78" s="1">
        <x:f>P78</x:f>
      </x:c>
      <x:c r="CM78" s="81">
        <x:f>SQRT(12)</x:f>
      </x:c>
      <x:c r="CN78" s="78">
        <x:f>CK78/CM78</x:f>
      </x:c>
      <x:c r="CO78" s="4"/>
      <x:c r="CP78" s="72" t="s">
        <x:v>116</x:v>
      </x:c>
      <x:c r="CQ78" s="6">
        <x:f>STDEV(X78:AL78)</x:f>
      </x:c>
      <x:c r="CR78" s="1">
        <x:f>P78</x:f>
      </x:c>
      <x:c r="CS78" s="81">
        <x:f>SQRT(3)</x:f>
      </x:c>
      <x:c r="CT78" s="86">
        <x:f>CQ78/CS78</x:f>
      </x:c>
      <x:c r="CV78" s="94">
        <x:f>SQRT(SUMSQ(CT78,CN78,CH78,CB78))</x:f>
      </x:c>
      <x:c r="CW78" s="5">
        <x:f>(CV78^4)/(((CT78^4)/2)+((CN78^4)/200)+((CH78^4)/200)+((CB78^4)/200))</x:f>
      </x:c>
      <x:c r="CX78" s="95">
        <x:f>ROUND(TINV(0.05,CW78),0)</x:f>
      </x:c>
      <x:c r="CY78" s="111">
        <x:f>(CV78*CX78)</x:f>
      </x:c>
      <x:c r="CZ78" s="106">
        <x:f>P78</x:f>
      </x:c>
      <x:c r="DB78" s="177">
        <x:v>0.085</x:v>
      </x:c>
      <x:c r="DC78" s="178">
        <x:f>CZ78</x:f>
      </x:c>
      <x:c r="DD78" s="220">
        <x:f>MAX(DB78,CY78)</x:f>
      </x:c>
      <x:c r="DE78" s="178">
        <x:f>DC78</x:f>
      </x:c>
    </x:row>
    <x:row r="79" spans="1:109" ht="18" customHeight="1" s="8" customFormat="1">
      <x:c r="A79" s="605"/>
      <x:c r="B79" s="601"/>
      <x:c r="C79" s="505"/>
      <x:c r="D79" s="505"/>
      <x:c r="E79" s="505"/>
      <x:c r="F79" s="624"/>
      <x:c r="G79" s="625"/>
      <x:c r="H79" s="625"/>
      <x:c r="I79" s="625"/>
      <x:c r="J79" s="625"/>
      <x:c r="K79" s="626"/>
      <x:c r="L79" s="610">
        <x:f>600*90%</x:f>
      </x:c>
      <x:c r="M79" s="611"/>
      <x:c r="N79" s="611"/>
      <x:c r="O79" s="611"/>
      <x:c r="P79" s="612" t="s">
        <x:v>112</x:v>
      </x:c>
      <x:c r="Q79" s="612"/>
      <x:c r="R79" s="613"/>
      <x:c r="S79" s="181" t="s">
        <x:v>124</x:v>
      </x:c>
      <x:c r="T79" s="181"/>
      <x:c r="U79" s="181"/>
      <x:c r="V79" s="181"/>
      <x:c r="W79" s="181"/>
      <x:c r="X79" s="621"/>
      <x:c r="Y79" s="622"/>
      <x:c r="Z79" s="622"/>
      <x:c r="AA79" s="622"/>
      <x:c r="AB79" s="623"/>
      <x:c r="AC79" s="621"/>
      <x:c r="AD79" s="622"/>
      <x:c r="AE79" s="622"/>
      <x:c r="AF79" s="622"/>
      <x:c r="AG79" s="623"/>
      <x:c r="AH79" s="621"/>
      <x:c r="AI79" s="622"/>
      <x:c r="AJ79" s="622"/>
      <x:c r="AK79" s="622"/>
      <x:c r="AL79" s="623"/>
      <x:c r="AM79" s="615">
        <x:f>AVERAGE(X79:AL79)</x:f>
      </x:c>
      <x:c r="AN79" s="615"/>
      <x:c r="AO79" s="615"/>
      <x:c r="AP79" s="615"/>
      <x:c r="AQ79" s="615"/>
      <x:c r="AR79" s="615">
        <x:f>AM79-L79</x:f>
      </x:c>
      <x:c r="AS79" s="615"/>
      <x:c r="AT79" s="615"/>
      <x:c r="AU79" s="615"/>
      <x:c r="AV79" s="615"/>
      <x:c r="AW79" s="505"/>
      <x:c r="AX79" s="505"/>
      <x:c r="AY79" s="505"/>
      <x:c r="AZ79" s="603"/>
      <x:c r="BA79" s="605"/>
      <x:c r="BB79" s="630">
        <x:f>(AM79*1%)+(4*CK79)</x:f>
      </x:c>
      <x:c r="BC79" s="630"/>
      <x:c r="BD79" s="630"/>
      <x:c r="BE79" s="630"/>
      <x:c r="BF79" s="630"/>
      <x:c r="BG79" s="630">
        <x:f>L79+BB79</x:f>
      </x:c>
      <x:c r="BH79" s="630"/>
      <x:c r="BI79" s="630"/>
      <x:c r="BJ79" s="630"/>
      <x:c r="BK79" s="630"/>
      <x:c r="BL79" s="630">
        <x:f>L79-BB79</x:f>
      </x:c>
      <x:c r="BM79" s="630"/>
      <x:c r="BN79" s="630"/>
      <x:c r="BO79" s="630"/>
      <x:c r="BP79" s="630"/>
      <x:c r="BQ79" s="617">
        <x:f>IF(AND(AM79&lt;=BG79,AM79&gt;=BL79),"PASS","FAIL")</x:f>
      </x:c>
      <x:c r="BR79" s="617"/>
      <x:c r="BS79" s="617"/>
      <x:c r="BT79" s="617"/>
      <x:c r="BU79" s="617"/>
      <x:c r="BV79" s="605"/>
      <x:c r="BX79" s="72" t="s">
        <x:v>113</x:v>
      </x:c>
      <x:c r="BY79" s="179">
        <x:v>0.91</x:v>
      </x:c>
      <x:c r="BZ79" s="208">
        <x:f>P79</x:f>
      </x:c>
      <x:c r="CA79" s="180">
        <x:v>2</x:v>
      </x:c>
      <x:c r="CB79" s="78">
        <x:f>BY79/CA79</x:f>
      </x:c>
      <x:c r="CC79" s="4"/>
      <x:c r="CD79" s="72" t="s">
        <x:v>114</x:v>
      </x:c>
      <x:c r="CE79" s="5">
        <x:v>0</x:v>
      </x:c>
      <x:c r="CF79" s="1">
        <x:f>BZ79</x:f>
      </x:c>
      <x:c r="CG79" s="81">
        <x:f>SQRT(3)</x:f>
      </x:c>
      <x:c r="CH79" s="78">
        <x:f>CE79/CG79</x:f>
      </x:c>
      <x:c r="CI79" s="4"/>
      <x:c r="CJ79" s="72" t="s">
        <x:v>115</x:v>
      </x:c>
      <x:c r="CK79" s="181">
        <x:v>0.1</x:v>
      </x:c>
      <x:c r="CL79" s="1">
        <x:f>P79</x:f>
      </x:c>
      <x:c r="CM79" s="81">
        <x:f>SQRT(12)</x:f>
      </x:c>
      <x:c r="CN79" s="78">
        <x:f>CK79/CM79</x:f>
      </x:c>
      <x:c r="CO79" s="4"/>
      <x:c r="CP79" s="72" t="s">
        <x:v>116</x:v>
      </x:c>
      <x:c r="CQ79" s="6">
        <x:f>STDEV(X79:AL79)</x:f>
      </x:c>
      <x:c r="CR79" s="1">
        <x:f>P79</x:f>
      </x:c>
      <x:c r="CS79" s="81">
        <x:f>SQRT(3)</x:f>
      </x:c>
      <x:c r="CT79" s="86">
        <x:f>CQ79/CS79</x:f>
      </x:c>
      <x:c r="CV79" s="94">
        <x:f>SQRT(SUMSQ(CT79,CN79,CH79,CB79))</x:f>
      </x:c>
      <x:c r="CW79" s="5">
        <x:f>(CV79^4)/(((CT79^4)/2)+((CN79^4)/200)+((CH79^4)/200)+((CB79^4)/200))</x:f>
      </x:c>
      <x:c r="CX79" s="95">
        <x:f>ROUND(TINV(0.05,CW79),0)</x:f>
      </x:c>
      <x:c r="CY79" s="111">
        <x:f>(CV79*CX79)</x:f>
      </x:c>
      <x:c r="CZ79" s="106">
        <x:f>P79</x:f>
      </x:c>
      <x:c r="DB79" s="177">
        <x:v>0.085</x:v>
      </x:c>
      <x:c r="DC79" s="178">
        <x:f>CZ79</x:f>
      </x:c>
      <x:c r="DD79" s="220">
        <x:f>MAX(DB79,CY79)</x:f>
      </x:c>
      <x:c r="DE79" s="178">
        <x:f>DC79</x:f>
      </x:c>
    </x:row>
    <x:row r="80" spans="1:109" ht="18" customHeight="1" s="8" customFormat="1">
      <x:c r="A80" s="605"/>
      <x:c r="B80" s="601"/>
      <x:c r="C80" s="505"/>
      <x:c r="D80" s="505"/>
      <x:c r="E80" s="505"/>
      <x:c r="F80" s="607" t="s">
        <x:v>117</x:v>
      </x:c>
      <x:c r="G80" s="608"/>
      <x:c r="H80" s="608"/>
      <x:c r="I80" s="608"/>
      <x:c r="J80" s="608"/>
      <x:c r="K80" s="609"/>
      <x:c r="L80" s="610">
        <x:f>6*10%</x:f>
      </x:c>
      <x:c r="M80" s="611"/>
      <x:c r="N80" s="611"/>
      <x:c r="O80" s="611"/>
      <x:c r="P80" s="612" t="s">
        <x:v>118</x:v>
      </x:c>
      <x:c r="Q80" s="612"/>
      <x:c r="R80" s="613"/>
      <x:c r="S80" s="181" t="s">
        <x:v>123</x:v>
      </x:c>
      <x:c r="T80" s="181"/>
      <x:c r="U80" s="181"/>
      <x:c r="V80" s="181"/>
      <x:c r="W80" s="181"/>
      <x:c r="X80" s="627"/>
      <x:c r="Y80" s="628"/>
      <x:c r="Z80" s="628"/>
      <x:c r="AA80" s="628"/>
      <x:c r="AB80" s="629"/>
      <x:c r="AC80" s="627"/>
      <x:c r="AD80" s="628"/>
      <x:c r="AE80" s="628"/>
      <x:c r="AF80" s="628"/>
      <x:c r="AG80" s="629"/>
      <x:c r="AH80" s="627"/>
      <x:c r="AI80" s="628"/>
      <x:c r="AJ80" s="628"/>
      <x:c r="AK80" s="628"/>
      <x:c r="AL80" s="629"/>
      <x:c r="AM80" s="630">
        <x:f>AVERAGE(X80:AL80)</x:f>
      </x:c>
      <x:c r="AN80" s="630"/>
      <x:c r="AO80" s="630"/>
      <x:c r="AP80" s="630"/>
      <x:c r="AQ80" s="630"/>
      <x:c r="AR80" s="630">
        <x:f>AM80-L80</x:f>
      </x:c>
      <x:c r="AS80" s="630"/>
      <x:c r="AT80" s="630"/>
      <x:c r="AU80" s="630"/>
      <x:c r="AV80" s="630"/>
      <x:c r="AW80" s="505"/>
      <x:c r="AX80" s="505"/>
      <x:c r="AY80" s="505"/>
      <x:c r="AZ80" s="603"/>
      <x:c r="BA80" s="605"/>
      <x:c r="BB80" s="630">
        <x:f>(AM80*0.7%)+(2*CK80)</x:f>
      </x:c>
      <x:c r="BC80" s="630"/>
      <x:c r="BD80" s="630"/>
      <x:c r="BE80" s="630"/>
      <x:c r="BF80" s="630"/>
      <x:c r="BG80" s="630">
        <x:f>L80+BB80</x:f>
      </x:c>
      <x:c r="BH80" s="630"/>
      <x:c r="BI80" s="630"/>
      <x:c r="BJ80" s="630"/>
      <x:c r="BK80" s="630"/>
      <x:c r="BL80" s="630">
        <x:f>L80-BB80</x:f>
      </x:c>
      <x:c r="BM80" s="630"/>
      <x:c r="BN80" s="630"/>
      <x:c r="BO80" s="630"/>
      <x:c r="BP80" s="630"/>
      <x:c r="BQ80" s="617">
        <x:f>IF(AND(AM80&lt;=BG80,AM80&gt;=BL80),"PASS","FAIL")</x:f>
      </x:c>
      <x:c r="BR80" s="617"/>
      <x:c r="BS80" s="617"/>
      <x:c r="BT80" s="617"/>
      <x:c r="BU80" s="617"/>
      <x:c r="BV80" s="605"/>
      <x:c r="BX80" s="75" t="s">
        <x:v>113</x:v>
      </x:c>
      <x:c r="BY80" s="6">
        <x:v>0.00091</x:v>
      </x:c>
      <x:c r="BZ80" s="1">
        <x:f>P80</x:f>
      </x:c>
      <x:c r="CA80" s="175">
        <x:v>2</x:v>
      </x:c>
      <x:c r="CB80" s="209">
        <x:f>BY80/CA80</x:f>
      </x:c>
      <x:c r="CC80" s="4"/>
      <x:c r="CD80" s="70" t="s">
        <x:v>114</x:v>
      </x:c>
      <x:c r="CE80" s="88">
        <x:v>0</x:v>
      </x:c>
      <x:c r="CF80" s="71">
        <x:f>BZ80</x:f>
      </x:c>
      <x:c r="CG80" s="80">
        <x:f>SQRT(3)</x:f>
      </x:c>
      <x:c r="CH80" s="77">
        <x:f>CE80/CG80</x:f>
      </x:c>
      <x:c r="CI80" s="4"/>
      <x:c r="CJ80" s="70" t="s">
        <x:v>115</x:v>
      </x:c>
      <x:c r="CK80" s="176">
        <x:v>0.001</x:v>
      </x:c>
      <x:c r="CL80" s="71">
        <x:f>P80</x:f>
      </x:c>
      <x:c r="CM80" s="80">
        <x:f>SQRT(12)</x:f>
      </x:c>
      <x:c r="CN80" s="77">
        <x:f>CK80/CM80</x:f>
      </x:c>
      <x:c r="CO80" s="4"/>
      <x:c r="CP80" s="70" t="s">
        <x:v>116</x:v>
      </x:c>
      <x:c r="CQ80" s="83">
        <x:f>STDEV(X80:AL80)</x:f>
      </x:c>
      <x:c r="CR80" s="71">
        <x:f>P80</x:f>
      </x:c>
      <x:c r="CS80" s="80">
        <x:f>SQRT(3)</x:f>
      </x:c>
      <x:c r="CT80" s="85">
        <x:f>CQ80/CS80</x:f>
      </x:c>
      <x:c r="CV80" s="92">
        <x:f>SQRT(SUMSQ(CT80,CN80,CH80,CB80))</x:f>
      </x:c>
      <x:c r="CW80" s="88">
        <x:f>(CV80^4)/(((CT80^4)/2)+((CN80^4)/200)+((CH80^4)/200)+((CB80^4)/200))</x:f>
      </x:c>
      <x:c r="CX80" s="93">
        <x:f>ROUND(TINV(0.05,CW80),0)</x:f>
      </x:c>
      <x:c r="CY80" s="118">
        <x:f>(CV80*CX80)</x:f>
      </x:c>
      <x:c r="CZ80" s="104">
        <x:f>P80</x:f>
      </x:c>
      <x:c r="DB80" s="177">
        <x:v>8.5E-05</x:v>
      </x:c>
      <x:c r="DC80" s="178">
        <x:f>CZ80</x:f>
      </x:c>
      <x:c r="DD80" s="220">
        <x:f>MAX(DB80,CY80)</x:f>
      </x:c>
      <x:c r="DE80" s="178">
        <x:f>DC80</x:f>
      </x:c>
    </x:row>
    <x:row r="81" spans="1:109" ht="18" customHeight="1" s="8" customFormat="1">
      <x:c r="A81" s="605"/>
      <x:c r="B81" s="601"/>
      <x:c r="C81" s="505"/>
      <x:c r="D81" s="505"/>
      <x:c r="E81" s="505"/>
      <x:c r="F81" s="618"/>
      <x:c r="G81" s="619"/>
      <x:c r="H81" s="619"/>
      <x:c r="I81" s="619"/>
      <x:c r="J81" s="619"/>
      <x:c r="K81" s="620"/>
      <x:c r="L81" s="610">
        <x:f>6*10%</x:f>
      </x:c>
      <x:c r="M81" s="611"/>
      <x:c r="N81" s="611"/>
      <x:c r="O81" s="611"/>
      <x:c r="P81" s="612" t="s">
        <x:v>118</x:v>
      </x:c>
      <x:c r="Q81" s="612"/>
      <x:c r="R81" s="613"/>
      <x:c r="S81" s="181" t="s">
        <x:v>124</x:v>
      </x:c>
      <x:c r="T81" s="181"/>
      <x:c r="U81" s="181"/>
      <x:c r="V81" s="181"/>
      <x:c r="W81" s="181"/>
      <x:c r="X81" s="627"/>
      <x:c r="Y81" s="628"/>
      <x:c r="Z81" s="628"/>
      <x:c r="AA81" s="628"/>
      <x:c r="AB81" s="629"/>
      <x:c r="AC81" s="627"/>
      <x:c r="AD81" s="628"/>
      <x:c r="AE81" s="628"/>
      <x:c r="AF81" s="628"/>
      <x:c r="AG81" s="629"/>
      <x:c r="AH81" s="627"/>
      <x:c r="AI81" s="628"/>
      <x:c r="AJ81" s="628"/>
      <x:c r="AK81" s="628"/>
      <x:c r="AL81" s="629"/>
      <x:c r="AM81" s="630">
        <x:f>AVERAGE(X81:AL81)</x:f>
      </x:c>
      <x:c r="AN81" s="630"/>
      <x:c r="AO81" s="630"/>
      <x:c r="AP81" s="630"/>
      <x:c r="AQ81" s="630"/>
      <x:c r="AR81" s="630">
        <x:f>AM81-L81</x:f>
      </x:c>
      <x:c r="AS81" s="630"/>
      <x:c r="AT81" s="630"/>
      <x:c r="AU81" s="630"/>
      <x:c r="AV81" s="630"/>
      <x:c r="AW81" s="505"/>
      <x:c r="AX81" s="505"/>
      <x:c r="AY81" s="505"/>
      <x:c r="AZ81" s="603"/>
      <x:c r="BA81" s="605"/>
      <x:c r="BB81" s="630">
        <x:f>(AM81*1%)+(4*CK81)</x:f>
      </x:c>
      <x:c r="BC81" s="630"/>
      <x:c r="BD81" s="630"/>
      <x:c r="BE81" s="630"/>
      <x:c r="BF81" s="630"/>
      <x:c r="BG81" s="630">
        <x:f>L81+BB81</x:f>
      </x:c>
      <x:c r="BH81" s="630"/>
      <x:c r="BI81" s="630"/>
      <x:c r="BJ81" s="630"/>
      <x:c r="BK81" s="630"/>
      <x:c r="BL81" s="630">
        <x:f>L81-BB81</x:f>
      </x:c>
      <x:c r="BM81" s="630"/>
      <x:c r="BN81" s="630"/>
      <x:c r="BO81" s="630"/>
      <x:c r="BP81" s="630"/>
      <x:c r="BQ81" s="617">
        <x:f>IF(AND(AM81&lt;=BG81,AM81&gt;=BL81),"PASS","FAIL")</x:f>
      </x:c>
      <x:c r="BR81" s="617"/>
      <x:c r="BS81" s="617"/>
      <x:c r="BT81" s="617"/>
      <x:c r="BU81" s="617"/>
      <x:c r="BV81" s="605"/>
      <x:c r="BX81" s="72" t="s">
        <x:v>113</x:v>
      </x:c>
      <x:c r="BY81" s="6">
        <x:v>0.00091</x:v>
      </x:c>
      <x:c r="BZ81" s="1">
        <x:f>P81</x:f>
      </x:c>
      <x:c r="CA81" s="180">
        <x:v>2</x:v>
      </x:c>
      <x:c r="CB81" s="78">
        <x:f>BY81/CA81</x:f>
      </x:c>
      <x:c r="CC81" s="4"/>
      <x:c r="CD81" s="72" t="s">
        <x:v>114</x:v>
      </x:c>
      <x:c r="CE81" s="5">
        <x:v>0</x:v>
      </x:c>
      <x:c r="CF81" s="1">
        <x:f>BZ81</x:f>
      </x:c>
      <x:c r="CG81" s="81">
        <x:f>SQRT(3)</x:f>
      </x:c>
      <x:c r="CH81" s="78">
        <x:f>CE81/CG81</x:f>
      </x:c>
      <x:c r="CI81" s="4"/>
      <x:c r="CJ81" s="72" t="s">
        <x:v>115</x:v>
      </x:c>
      <x:c r="CK81" s="181">
        <x:v>0.001</x:v>
      </x:c>
      <x:c r="CL81" s="1">
        <x:f>P81</x:f>
      </x:c>
      <x:c r="CM81" s="81">
        <x:f>SQRT(12)</x:f>
      </x:c>
      <x:c r="CN81" s="78">
        <x:f>CK81/CM81</x:f>
      </x:c>
      <x:c r="CO81" s="4"/>
      <x:c r="CP81" s="72" t="s">
        <x:v>116</x:v>
      </x:c>
      <x:c r="CQ81" s="6">
        <x:f>STDEV(X81:AL81)</x:f>
      </x:c>
      <x:c r="CR81" s="1">
        <x:f>P81</x:f>
      </x:c>
      <x:c r="CS81" s="81">
        <x:f>SQRT(3)</x:f>
      </x:c>
      <x:c r="CT81" s="86">
        <x:f>CQ81/CS81</x:f>
      </x:c>
      <x:c r="CV81" s="94">
        <x:f>SQRT(SUMSQ(CT81,CN81,CH81,CB81))</x:f>
      </x:c>
      <x:c r="CW81" s="5">
        <x:f>(CV81^4)/(((CT81^4)/2)+((CN81^4)/200)+((CH81^4)/200)+((CB81^4)/200))</x:f>
      </x:c>
      <x:c r="CX81" s="95">
        <x:f>ROUND(TINV(0.05,CW81),0)</x:f>
      </x:c>
      <x:c r="CY81" s="111">
        <x:f>(CV81*CX81)</x:f>
      </x:c>
      <x:c r="CZ81" s="106">
        <x:f>P81</x:f>
      </x:c>
      <x:c r="DB81" s="177">
        <x:v>8.5E-05</x:v>
      </x:c>
      <x:c r="DC81" s="178">
        <x:f>CZ81</x:f>
      </x:c>
      <x:c r="DD81" s="220">
        <x:f>MAX(DB81,CY81)</x:f>
      </x:c>
      <x:c r="DE81" s="178">
        <x:f>DC81</x:f>
      </x:c>
    </x:row>
    <x:row r="82" spans="1:109" ht="18" customHeight="1" s="8" customFormat="1">
      <x:c r="A82" s="605"/>
      <x:c r="B82" s="601"/>
      <x:c r="C82" s="505"/>
      <x:c r="D82" s="505"/>
      <x:c r="E82" s="505"/>
      <x:c r="F82" s="618"/>
      <x:c r="G82" s="619"/>
      <x:c r="H82" s="619"/>
      <x:c r="I82" s="619"/>
      <x:c r="J82" s="619"/>
      <x:c r="K82" s="620"/>
      <x:c r="L82" s="610">
        <x:f>6*90%</x:f>
      </x:c>
      <x:c r="M82" s="611"/>
      <x:c r="N82" s="611"/>
      <x:c r="O82" s="611"/>
      <x:c r="P82" s="612" t="s">
        <x:v>118</x:v>
      </x:c>
      <x:c r="Q82" s="612"/>
      <x:c r="R82" s="613"/>
      <x:c r="S82" s="181" t="s">
        <x:v>123</x:v>
      </x:c>
      <x:c r="T82" s="181"/>
      <x:c r="U82" s="181"/>
      <x:c r="V82" s="181"/>
      <x:c r="W82" s="181"/>
      <x:c r="X82" s="627"/>
      <x:c r="Y82" s="628"/>
      <x:c r="Z82" s="628"/>
      <x:c r="AA82" s="628"/>
      <x:c r="AB82" s="629"/>
      <x:c r="AC82" s="627"/>
      <x:c r="AD82" s="628"/>
      <x:c r="AE82" s="628"/>
      <x:c r="AF82" s="628"/>
      <x:c r="AG82" s="629"/>
      <x:c r="AH82" s="627"/>
      <x:c r="AI82" s="628"/>
      <x:c r="AJ82" s="628"/>
      <x:c r="AK82" s="628"/>
      <x:c r="AL82" s="629"/>
      <x:c r="AM82" s="630">
        <x:f>AVERAGE(X82:AL82)</x:f>
      </x:c>
      <x:c r="AN82" s="630"/>
      <x:c r="AO82" s="630"/>
      <x:c r="AP82" s="630"/>
      <x:c r="AQ82" s="630"/>
      <x:c r="AR82" s="630">
        <x:f>AM82-L82</x:f>
      </x:c>
      <x:c r="AS82" s="630"/>
      <x:c r="AT82" s="630"/>
      <x:c r="AU82" s="630"/>
      <x:c r="AV82" s="630"/>
      <x:c r="AW82" s="505"/>
      <x:c r="AX82" s="505"/>
      <x:c r="AY82" s="505"/>
      <x:c r="AZ82" s="603"/>
      <x:c r="BA82" s="605"/>
      <x:c r="BB82" s="630">
        <x:f>(AM82*0.7%)+(2*CK82)</x:f>
      </x:c>
      <x:c r="BC82" s="630"/>
      <x:c r="BD82" s="630"/>
      <x:c r="BE82" s="630"/>
      <x:c r="BF82" s="630"/>
      <x:c r="BG82" s="630">
        <x:f>L82+BB82</x:f>
      </x:c>
      <x:c r="BH82" s="630"/>
      <x:c r="BI82" s="630"/>
      <x:c r="BJ82" s="630"/>
      <x:c r="BK82" s="630"/>
      <x:c r="BL82" s="630">
        <x:f>L82-BB82</x:f>
      </x:c>
      <x:c r="BM82" s="630"/>
      <x:c r="BN82" s="630"/>
      <x:c r="BO82" s="630"/>
      <x:c r="BP82" s="630"/>
      <x:c r="BQ82" s="617">
        <x:f>IF(AND(AM82&lt;=BG82,AM82&gt;=BL82),"PASS","FAIL")</x:f>
      </x:c>
      <x:c r="BR82" s="617"/>
      <x:c r="BS82" s="617"/>
      <x:c r="BT82" s="617"/>
      <x:c r="BU82" s="617"/>
      <x:c r="BV82" s="605"/>
      <x:c r="BX82" s="72" t="s">
        <x:v>113</x:v>
      </x:c>
      <x:c r="BY82" s="179">
        <x:v>0.0073</x:v>
      </x:c>
      <x:c r="BZ82" s="1">
        <x:f>P82</x:f>
      </x:c>
      <x:c r="CA82" s="180">
        <x:v>2</x:v>
      </x:c>
      <x:c r="CB82" s="78">
        <x:f>BY82/CA82</x:f>
      </x:c>
      <x:c r="CC82" s="4"/>
      <x:c r="CD82" s="72" t="s">
        <x:v>114</x:v>
      </x:c>
      <x:c r="CE82" s="5">
        <x:v>0</x:v>
      </x:c>
      <x:c r="CF82" s="1">
        <x:f>BZ82</x:f>
      </x:c>
      <x:c r="CG82" s="81">
        <x:f>SQRT(3)</x:f>
      </x:c>
      <x:c r="CH82" s="78">
        <x:f>CE82/CG82</x:f>
      </x:c>
      <x:c r="CI82" s="4"/>
      <x:c r="CJ82" s="72" t="s">
        <x:v>115</x:v>
      </x:c>
      <x:c r="CK82" s="181">
        <x:v>0.001</x:v>
      </x:c>
      <x:c r="CL82" s="1">
        <x:f>P82</x:f>
      </x:c>
      <x:c r="CM82" s="81">
        <x:f>SQRT(12)</x:f>
      </x:c>
      <x:c r="CN82" s="78">
        <x:f>CK82/CM82</x:f>
      </x:c>
      <x:c r="CO82" s="4"/>
      <x:c r="CP82" s="72" t="s">
        <x:v>116</x:v>
      </x:c>
      <x:c r="CQ82" s="6">
        <x:f>STDEV(X82:AL82)</x:f>
      </x:c>
      <x:c r="CR82" s="1">
        <x:f>P82</x:f>
      </x:c>
      <x:c r="CS82" s="81">
        <x:f>SQRT(3)</x:f>
      </x:c>
      <x:c r="CT82" s="86">
        <x:f>CQ82/CS82</x:f>
      </x:c>
      <x:c r="CV82" s="94">
        <x:f>SQRT(SUMSQ(CT82,CN82,CH82,CB82))</x:f>
      </x:c>
      <x:c r="CW82" s="5">
        <x:f>(CV82^4)/(((CT82^4)/2)+((CN82^4)/200)+((CH82^4)/200)+((CB82^4)/200))</x:f>
      </x:c>
      <x:c r="CX82" s="95">
        <x:f>ROUND(TINV(0.05,CW82),0)</x:f>
      </x:c>
      <x:c r="CY82" s="111">
        <x:f>(CV82*CX82)</x:f>
      </x:c>
      <x:c r="CZ82" s="106">
        <x:f>P82</x:f>
      </x:c>
      <x:c r="DB82" s="177">
        <x:v>0.00085</x:v>
      </x:c>
      <x:c r="DC82" s="178">
        <x:f>CZ82</x:f>
      </x:c>
      <x:c r="DD82" s="220">
        <x:f>MAX(DB82,CY82)</x:f>
      </x:c>
      <x:c r="DE82" s="178">
        <x:f>DC82</x:f>
      </x:c>
    </x:row>
    <x:row r="83" spans="1:109" ht="18" customHeight="1" s="8" customFormat="1">
      <x:c r="A83" s="605"/>
      <x:c r="B83" s="601"/>
      <x:c r="C83" s="505"/>
      <x:c r="D83" s="505"/>
      <x:c r="E83" s="505"/>
      <x:c r="F83" s="624"/>
      <x:c r="G83" s="625"/>
      <x:c r="H83" s="625"/>
      <x:c r="I83" s="625"/>
      <x:c r="J83" s="625"/>
      <x:c r="K83" s="626"/>
      <x:c r="L83" s="610">
        <x:f>6*90%</x:f>
      </x:c>
      <x:c r="M83" s="611"/>
      <x:c r="N83" s="611"/>
      <x:c r="O83" s="611"/>
      <x:c r="P83" s="612" t="s">
        <x:v>118</x:v>
      </x:c>
      <x:c r="Q83" s="612"/>
      <x:c r="R83" s="613"/>
      <x:c r="S83" s="181" t="s">
        <x:v>124</x:v>
      </x:c>
      <x:c r="T83" s="181"/>
      <x:c r="U83" s="181"/>
      <x:c r="V83" s="181"/>
      <x:c r="W83" s="181"/>
      <x:c r="X83" s="627"/>
      <x:c r="Y83" s="628"/>
      <x:c r="Z83" s="628"/>
      <x:c r="AA83" s="628"/>
      <x:c r="AB83" s="629"/>
      <x:c r="AC83" s="627"/>
      <x:c r="AD83" s="628"/>
      <x:c r="AE83" s="628"/>
      <x:c r="AF83" s="628"/>
      <x:c r="AG83" s="629"/>
      <x:c r="AH83" s="627"/>
      <x:c r="AI83" s="628"/>
      <x:c r="AJ83" s="628"/>
      <x:c r="AK83" s="628"/>
      <x:c r="AL83" s="629"/>
      <x:c r="AM83" s="630">
        <x:f>AVERAGE(X83:AL83)</x:f>
      </x:c>
      <x:c r="AN83" s="630"/>
      <x:c r="AO83" s="630"/>
      <x:c r="AP83" s="630"/>
      <x:c r="AQ83" s="630"/>
      <x:c r="AR83" s="630">
        <x:f>AM83-L83</x:f>
      </x:c>
      <x:c r="AS83" s="630"/>
      <x:c r="AT83" s="630"/>
      <x:c r="AU83" s="630"/>
      <x:c r="AV83" s="630"/>
      <x:c r="AW83" s="505"/>
      <x:c r="AX83" s="505"/>
      <x:c r="AY83" s="505"/>
      <x:c r="AZ83" s="603"/>
      <x:c r="BA83" s="605"/>
      <x:c r="BB83" s="630">
        <x:f>(AM83*1%)+(4*CK83)</x:f>
      </x:c>
      <x:c r="BC83" s="630"/>
      <x:c r="BD83" s="630"/>
      <x:c r="BE83" s="630"/>
      <x:c r="BF83" s="630"/>
      <x:c r="BG83" s="630">
        <x:f>L83+BB83</x:f>
      </x:c>
      <x:c r="BH83" s="630"/>
      <x:c r="BI83" s="630"/>
      <x:c r="BJ83" s="630"/>
      <x:c r="BK83" s="630"/>
      <x:c r="BL83" s="630">
        <x:f>L83-BB83</x:f>
      </x:c>
      <x:c r="BM83" s="630"/>
      <x:c r="BN83" s="630"/>
      <x:c r="BO83" s="630"/>
      <x:c r="BP83" s="630"/>
      <x:c r="BQ83" s="617">
        <x:f>IF(AND(AM83&lt;=BG83,AM83&gt;=BL83),"PASS","FAIL")</x:f>
      </x:c>
      <x:c r="BR83" s="617"/>
      <x:c r="BS83" s="617"/>
      <x:c r="BT83" s="617"/>
      <x:c r="BU83" s="617"/>
      <x:c r="BV83" s="605"/>
      <x:c r="BX83" s="72" t="s">
        <x:v>113</x:v>
      </x:c>
      <x:c r="BY83" s="179">
        <x:v>0.0073</x:v>
      </x:c>
      <x:c r="BZ83" s="1">
        <x:f>P83</x:f>
      </x:c>
      <x:c r="CA83" s="180">
        <x:v>2</x:v>
      </x:c>
      <x:c r="CB83" s="78">
        <x:f>BY83/CA83</x:f>
      </x:c>
      <x:c r="CC83" s="4"/>
      <x:c r="CD83" s="72" t="s">
        <x:v>114</x:v>
      </x:c>
      <x:c r="CE83" s="5">
        <x:v>0</x:v>
      </x:c>
      <x:c r="CF83" s="1">
        <x:f>BZ83</x:f>
      </x:c>
      <x:c r="CG83" s="81">
        <x:f>SQRT(3)</x:f>
      </x:c>
      <x:c r="CH83" s="78">
        <x:f>CE83/CG83</x:f>
      </x:c>
      <x:c r="CI83" s="4"/>
      <x:c r="CJ83" s="72" t="s">
        <x:v>115</x:v>
      </x:c>
      <x:c r="CK83" s="181">
        <x:v>0.001</x:v>
      </x:c>
      <x:c r="CL83" s="1">
        <x:f>P83</x:f>
      </x:c>
      <x:c r="CM83" s="81">
        <x:f>SQRT(12)</x:f>
      </x:c>
      <x:c r="CN83" s="78">
        <x:f>CK83/CM83</x:f>
      </x:c>
      <x:c r="CO83" s="4"/>
      <x:c r="CP83" s="72" t="s">
        <x:v>116</x:v>
      </x:c>
      <x:c r="CQ83" s="6">
        <x:f>STDEV(X83:AL83)</x:f>
      </x:c>
      <x:c r="CR83" s="1">
        <x:f>P83</x:f>
      </x:c>
      <x:c r="CS83" s="81">
        <x:f>SQRT(3)</x:f>
      </x:c>
      <x:c r="CT83" s="86">
        <x:f>CQ83/CS83</x:f>
      </x:c>
      <x:c r="CV83" s="94">
        <x:f>SQRT(SUMSQ(CT83,CN83,CH83,CB83))</x:f>
      </x:c>
      <x:c r="CW83" s="5">
        <x:f>(CV83^4)/(((CT83^4)/2)+((CN83^4)/200)+((CH83^4)/200)+((CB83^4)/200))</x:f>
      </x:c>
      <x:c r="CX83" s="95">
        <x:f>ROUND(TINV(0.05,CW83),0)</x:f>
      </x:c>
      <x:c r="CY83" s="111">
        <x:f>(CV83*CX83)</x:f>
      </x:c>
      <x:c r="CZ83" s="106">
        <x:f>P83</x:f>
      </x:c>
      <x:c r="DB83" s="177">
        <x:v>0.00085</x:v>
      </x:c>
      <x:c r="DC83" s="178">
        <x:f>CZ83</x:f>
      </x:c>
      <x:c r="DD83" s="220">
        <x:f>MAX(DB83,CY83)</x:f>
      </x:c>
      <x:c r="DE83" s="178">
        <x:f>DC83</x:f>
      </x:c>
    </x:row>
    <x:row r="84" spans="1:109" ht="18" customHeight="1" s="8" customFormat="1">
      <x:c r="A84" s="605"/>
      <x:c r="B84" s="601"/>
      <x:c r="C84" s="505"/>
      <x:c r="D84" s="505"/>
      <x:c r="E84" s="505"/>
      <x:c r="F84" s="607" t="s">
        <x:v>119</x:v>
      </x:c>
      <x:c r="G84" s="608"/>
      <x:c r="H84" s="608"/>
      <x:c r="I84" s="608"/>
      <x:c r="J84" s="608"/>
      <x:c r="K84" s="609"/>
      <x:c r="L84" s="610">
        <x:f>60*10%</x:f>
      </x:c>
      <x:c r="M84" s="611"/>
      <x:c r="N84" s="611"/>
      <x:c r="O84" s="611"/>
      <x:c r="P84" s="612" t="s">
        <x:v>118</x:v>
      </x:c>
      <x:c r="Q84" s="612"/>
      <x:c r="R84" s="613"/>
      <x:c r="S84" s="181" t="s">
        <x:v>123</x:v>
      </x:c>
      <x:c r="T84" s="181"/>
      <x:c r="U84" s="181"/>
      <x:c r="V84" s="181"/>
      <x:c r="W84" s="181"/>
      <x:c r="X84" s="616"/>
      <x:c r="Y84" s="616"/>
      <x:c r="Z84" s="616"/>
      <x:c r="AA84" s="616"/>
      <x:c r="AB84" s="616"/>
      <x:c r="AC84" s="616"/>
      <x:c r="AD84" s="616"/>
      <x:c r="AE84" s="616"/>
      <x:c r="AF84" s="616"/>
      <x:c r="AG84" s="616"/>
      <x:c r="AH84" s="616"/>
      <x:c r="AI84" s="616"/>
      <x:c r="AJ84" s="616"/>
      <x:c r="AK84" s="616"/>
      <x:c r="AL84" s="616"/>
      <x:c r="AM84" s="616">
        <x:f>AVERAGE(X84:AL84)</x:f>
      </x:c>
      <x:c r="AN84" s="616"/>
      <x:c r="AO84" s="616"/>
      <x:c r="AP84" s="616"/>
      <x:c r="AQ84" s="616"/>
      <x:c r="AR84" s="616">
        <x:f>AM84-L84</x:f>
      </x:c>
      <x:c r="AS84" s="616"/>
      <x:c r="AT84" s="616"/>
      <x:c r="AU84" s="616"/>
      <x:c r="AV84" s="616"/>
      <x:c r="AW84" s="505"/>
      <x:c r="AX84" s="505"/>
      <x:c r="AY84" s="505"/>
      <x:c r="AZ84" s="603"/>
      <x:c r="BA84" s="605"/>
      <x:c r="BB84" s="630">
        <x:f>(AM84*0.7%)+(2*CK84)</x:f>
      </x:c>
      <x:c r="BC84" s="630"/>
      <x:c r="BD84" s="630"/>
      <x:c r="BE84" s="630"/>
      <x:c r="BF84" s="630"/>
      <x:c r="BG84" s="616">
        <x:f>L84+BB84</x:f>
      </x:c>
      <x:c r="BH84" s="616"/>
      <x:c r="BI84" s="616"/>
      <x:c r="BJ84" s="616"/>
      <x:c r="BK84" s="616"/>
      <x:c r="BL84" s="616">
        <x:f>L84-BB84</x:f>
      </x:c>
      <x:c r="BM84" s="616"/>
      <x:c r="BN84" s="616"/>
      <x:c r="BO84" s="616"/>
      <x:c r="BP84" s="616"/>
      <x:c r="BQ84" s="617">
        <x:f>IF(AND(AM84&lt;=BG84,AM84&gt;=BL84),"PASS","FAIL")</x:f>
      </x:c>
      <x:c r="BR84" s="617"/>
      <x:c r="BS84" s="617"/>
      <x:c r="BT84" s="617"/>
      <x:c r="BU84" s="617"/>
      <x:c r="BV84" s="605"/>
      <x:c r="BX84" s="72" t="s">
        <x:v>113</x:v>
      </x:c>
      <x:c r="BY84" s="179">
        <x:v>0.0073</x:v>
      </x:c>
      <x:c r="BZ84" s="1">
        <x:f>P84</x:f>
      </x:c>
      <x:c r="CA84" s="180">
        <x:v>2</x:v>
      </x:c>
      <x:c r="CB84" s="78">
        <x:f>BY84/CA84</x:f>
      </x:c>
      <x:c r="CC84" s="4"/>
      <x:c r="CD84" s="72" t="s">
        <x:v>114</x:v>
      </x:c>
      <x:c r="CE84" s="5">
        <x:v>0</x:v>
      </x:c>
      <x:c r="CF84" s="1">
        <x:f>BZ84</x:f>
      </x:c>
      <x:c r="CG84" s="81">
        <x:f>SQRT(3)</x:f>
      </x:c>
      <x:c r="CH84" s="78">
        <x:f>CE84/CG84</x:f>
      </x:c>
      <x:c r="CI84" s="4"/>
      <x:c r="CJ84" s="72" t="s">
        <x:v>115</x:v>
      </x:c>
      <x:c r="CK84" s="181">
        <x:v>0.01</x:v>
      </x:c>
      <x:c r="CL84" s="1">
        <x:f>P84</x:f>
      </x:c>
      <x:c r="CM84" s="81">
        <x:f>SQRT(12)</x:f>
      </x:c>
      <x:c r="CN84" s="78">
        <x:f>CK84/CM84</x:f>
      </x:c>
      <x:c r="CO84" s="4"/>
      <x:c r="CP84" s="72" t="s">
        <x:v>116</x:v>
      </x:c>
      <x:c r="CQ84" s="6">
        <x:f>STDEV(X84:AL84)</x:f>
      </x:c>
      <x:c r="CR84" s="1">
        <x:f>P84</x:f>
      </x:c>
      <x:c r="CS84" s="81">
        <x:f>SQRT(3)</x:f>
      </x:c>
      <x:c r="CT84" s="86">
        <x:f>CQ84/CS84</x:f>
      </x:c>
      <x:c r="CV84" s="94">
        <x:f>SQRT(SUMSQ(CT84,CN84,CH84,CB84))</x:f>
      </x:c>
      <x:c r="CW84" s="5">
        <x:f>(CV84^4)/(((CT84^4)/2)+((CN84^4)/200)+((CH84^4)/200)+((CB84^4)/200))</x:f>
      </x:c>
      <x:c r="CX84" s="95">
        <x:f>ROUND(TINV(0.05,CW84),0)</x:f>
      </x:c>
      <x:c r="CY84" s="110">
        <x:f>(CV84*CX84)</x:f>
      </x:c>
      <x:c r="CZ84" s="106">
        <x:f>P84</x:f>
      </x:c>
      <x:c r="DB84" s="177">
        <x:v>0.00085</x:v>
      </x:c>
      <x:c r="DC84" s="178">
        <x:f>CZ84</x:f>
      </x:c>
      <x:c r="DD84" s="220">
        <x:f>MAX(DB84,CY84)</x:f>
      </x:c>
      <x:c r="DE84" s="178">
        <x:f>DC84</x:f>
      </x:c>
    </x:row>
    <x:row r="85" spans="1:109" ht="18" customHeight="1" s="8" customFormat="1">
      <x:c r="A85" s="605"/>
      <x:c r="B85" s="601"/>
      <x:c r="C85" s="505"/>
      <x:c r="D85" s="505"/>
      <x:c r="E85" s="505"/>
      <x:c r="F85" s="618"/>
      <x:c r="G85" s="619"/>
      <x:c r="H85" s="619"/>
      <x:c r="I85" s="619"/>
      <x:c r="J85" s="619"/>
      <x:c r="K85" s="620"/>
      <x:c r="L85" s="610">
        <x:f>60*10%</x:f>
      </x:c>
      <x:c r="M85" s="611"/>
      <x:c r="N85" s="611"/>
      <x:c r="O85" s="611"/>
      <x:c r="P85" s="612" t="s">
        <x:v>118</x:v>
      </x:c>
      <x:c r="Q85" s="612"/>
      <x:c r="R85" s="613"/>
      <x:c r="S85" s="181" t="s">
        <x:v>124</x:v>
      </x:c>
      <x:c r="T85" s="181"/>
      <x:c r="U85" s="181"/>
      <x:c r="V85" s="181"/>
      <x:c r="W85" s="181"/>
      <x:c r="X85" s="616"/>
      <x:c r="Y85" s="616"/>
      <x:c r="Z85" s="616"/>
      <x:c r="AA85" s="616"/>
      <x:c r="AB85" s="616"/>
      <x:c r="AC85" s="616"/>
      <x:c r="AD85" s="616"/>
      <x:c r="AE85" s="616"/>
      <x:c r="AF85" s="616"/>
      <x:c r="AG85" s="616"/>
      <x:c r="AH85" s="616"/>
      <x:c r="AI85" s="616"/>
      <x:c r="AJ85" s="616"/>
      <x:c r="AK85" s="616"/>
      <x:c r="AL85" s="616"/>
      <x:c r="AM85" s="616">
        <x:f>AVERAGE(X85:AL85)</x:f>
      </x:c>
      <x:c r="AN85" s="616"/>
      <x:c r="AO85" s="616"/>
      <x:c r="AP85" s="616"/>
      <x:c r="AQ85" s="616"/>
      <x:c r="AR85" s="616">
        <x:f>AM85-L85</x:f>
      </x:c>
      <x:c r="AS85" s="616"/>
      <x:c r="AT85" s="616"/>
      <x:c r="AU85" s="616"/>
      <x:c r="AV85" s="616"/>
      <x:c r="AW85" s="505"/>
      <x:c r="AX85" s="505"/>
      <x:c r="AY85" s="505"/>
      <x:c r="AZ85" s="603"/>
      <x:c r="BA85" s="605"/>
      <x:c r="BB85" s="630">
        <x:f>(AM85*1%)+(4*CK85)</x:f>
      </x:c>
      <x:c r="BC85" s="630"/>
      <x:c r="BD85" s="630"/>
      <x:c r="BE85" s="630"/>
      <x:c r="BF85" s="630"/>
      <x:c r="BG85" s="616">
        <x:f>L85+BB85</x:f>
      </x:c>
      <x:c r="BH85" s="616"/>
      <x:c r="BI85" s="616"/>
      <x:c r="BJ85" s="616"/>
      <x:c r="BK85" s="616"/>
      <x:c r="BL85" s="616">
        <x:f>L85-BB85</x:f>
      </x:c>
      <x:c r="BM85" s="616"/>
      <x:c r="BN85" s="616"/>
      <x:c r="BO85" s="616"/>
      <x:c r="BP85" s="616"/>
      <x:c r="BQ85" s="617">
        <x:f>IF(AND(AM85&lt;=BG85,AM85&gt;=BL85),"PASS","FAIL")</x:f>
      </x:c>
      <x:c r="BR85" s="617"/>
      <x:c r="BS85" s="617"/>
      <x:c r="BT85" s="617"/>
      <x:c r="BU85" s="617"/>
      <x:c r="BV85" s="605"/>
      <x:c r="BX85" s="72" t="s">
        <x:v>113</x:v>
      </x:c>
      <x:c r="BY85" s="179">
        <x:v>0.0073</x:v>
      </x:c>
      <x:c r="BZ85" s="1">
        <x:f>P85</x:f>
      </x:c>
      <x:c r="CA85" s="180">
        <x:v>2</x:v>
      </x:c>
      <x:c r="CB85" s="78">
        <x:f>BY85/CA85</x:f>
      </x:c>
      <x:c r="CC85" s="4"/>
      <x:c r="CD85" s="72" t="s">
        <x:v>114</x:v>
      </x:c>
      <x:c r="CE85" s="5">
        <x:v>0</x:v>
      </x:c>
      <x:c r="CF85" s="1">
        <x:f>BZ85</x:f>
      </x:c>
      <x:c r="CG85" s="81">
        <x:f>SQRT(3)</x:f>
      </x:c>
      <x:c r="CH85" s="78">
        <x:f>CE85/CG85</x:f>
      </x:c>
      <x:c r="CI85" s="4"/>
      <x:c r="CJ85" s="72" t="s">
        <x:v>115</x:v>
      </x:c>
      <x:c r="CK85" s="181">
        <x:v>0.01</x:v>
      </x:c>
      <x:c r="CL85" s="1">
        <x:f>P85</x:f>
      </x:c>
      <x:c r="CM85" s="81">
        <x:f>SQRT(12)</x:f>
      </x:c>
      <x:c r="CN85" s="78">
        <x:f>CK85/CM85</x:f>
      </x:c>
      <x:c r="CO85" s="4"/>
      <x:c r="CP85" s="72" t="s">
        <x:v>116</x:v>
      </x:c>
      <x:c r="CQ85" s="6">
        <x:f>STDEV(X85:AL85)</x:f>
      </x:c>
      <x:c r="CR85" s="1">
        <x:f>P85</x:f>
      </x:c>
      <x:c r="CS85" s="81">
        <x:f>SQRT(3)</x:f>
      </x:c>
      <x:c r="CT85" s="86">
        <x:f>CQ85/CS85</x:f>
      </x:c>
      <x:c r="CV85" s="94">
        <x:f>SQRT(SUMSQ(CT85,CN85,CH85,CB85))</x:f>
      </x:c>
      <x:c r="CW85" s="5">
        <x:f>(CV85^4)/(((CT85^4)/2)+((CN85^4)/200)+((CH85^4)/200)+((CB85^4)/200))</x:f>
      </x:c>
      <x:c r="CX85" s="95">
        <x:f>ROUND(TINV(0.05,CW85),0)</x:f>
      </x:c>
      <x:c r="CY85" s="110">
        <x:f>(CV85*CX85)</x:f>
      </x:c>
      <x:c r="CZ85" s="106">
        <x:f>P85</x:f>
      </x:c>
      <x:c r="DB85" s="177">
        <x:v>0.00085</x:v>
      </x:c>
      <x:c r="DC85" s="178">
        <x:f>CZ85</x:f>
      </x:c>
      <x:c r="DD85" s="220">
        <x:f>MAX(DB85,CY85)</x:f>
      </x:c>
      <x:c r="DE85" s="178">
        <x:f>DC85</x:f>
      </x:c>
    </x:row>
    <x:row r="86" spans="1:109" ht="18" customHeight="1" s="8" customFormat="1">
      <x:c r="A86" s="605"/>
      <x:c r="B86" s="601"/>
      <x:c r="C86" s="505"/>
      <x:c r="D86" s="505"/>
      <x:c r="E86" s="505"/>
      <x:c r="F86" s="618"/>
      <x:c r="G86" s="619"/>
      <x:c r="H86" s="619"/>
      <x:c r="I86" s="619"/>
      <x:c r="J86" s="619"/>
      <x:c r="K86" s="620"/>
      <x:c r="L86" s="610">
        <x:f>60*50%</x:f>
      </x:c>
      <x:c r="M86" s="611"/>
      <x:c r="N86" s="611"/>
      <x:c r="O86" s="611"/>
      <x:c r="P86" s="612" t="s">
        <x:v>118</x:v>
      </x:c>
      <x:c r="Q86" s="612"/>
      <x:c r="R86" s="613"/>
      <x:c r="S86" s="181" t="s">
        <x:v>123</x:v>
      </x:c>
      <x:c r="T86" s="181"/>
      <x:c r="U86" s="181"/>
      <x:c r="V86" s="181"/>
      <x:c r="W86" s="181"/>
      <x:c r="X86" s="642"/>
      <x:c r="Y86" s="643"/>
      <x:c r="Z86" s="643"/>
      <x:c r="AA86" s="643"/>
      <x:c r="AB86" s="644"/>
      <x:c r="AC86" s="642"/>
      <x:c r="AD86" s="643"/>
      <x:c r="AE86" s="643"/>
      <x:c r="AF86" s="643"/>
      <x:c r="AG86" s="644"/>
      <x:c r="AH86" s="642"/>
      <x:c r="AI86" s="643"/>
      <x:c r="AJ86" s="643"/>
      <x:c r="AK86" s="643"/>
      <x:c r="AL86" s="644"/>
      <x:c r="AM86" s="616">
        <x:f>AVERAGE(X86:AL86)</x:f>
      </x:c>
      <x:c r="AN86" s="616"/>
      <x:c r="AO86" s="616"/>
      <x:c r="AP86" s="616"/>
      <x:c r="AQ86" s="616"/>
      <x:c r="AR86" s="616">
        <x:f>AM86-L86</x:f>
      </x:c>
      <x:c r="AS86" s="616"/>
      <x:c r="AT86" s="616"/>
      <x:c r="AU86" s="616"/>
      <x:c r="AV86" s="616"/>
      <x:c r="AW86" s="505"/>
      <x:c r="AX86" s="505"/>
      <x:c r="AY86" s="505"/>
      <x:c r="AZ86" s="603"/>
      <x:c r="BA86" s="605"/>
      <x:c r="BB86" s="630">
        <x:f>(AM86*0.7%)+(2*CK86)</x:f>
      </x:c>
      <x:c r="BC86" s="630"/>
      <x:c r="BD86" s="630"/>
      <x:c r="BE86" s="630"/>
      <x:c r="BF86" s="630"/>
      <x:c r="BG86" s="616">
        <x:f>L86+BB86</x:f>
      </x:c>
      <x:c r="BH86" s="616"/>
      <x:c r="BI86" s="616"/>
      <x:c r="BJ86" s="616"/>
      <x:c r="BK86" s="616"/>
      <x:c r="BL86" s="616">
        <x:f>L86-BB86</x:f>
      </x:c>
      <x:c r="BM86" s="616"/>
      <x:c r="BN86" s="616"/>
      <x:c r="BO86" s="616"/>
      <x:c r="BP86" s="616"/>
      <x:c r="BQ86" s="617">
        <x:f>IF(AND(AM86&lt;=BG86,AM86&gt;=BL86),"PASS","FAIL")</x:f>
      </x:c>
      <x:c r="BR86" s="617"/>
      <x:c r="BS86" s="617"/>
      <x:c r="BT86" s="617"/>
      <x:c r="BU86" s="617"/>
      <x:c r="BV86" s="605"/>
      <x:c r="BX86" s="72" t="s">
        <x:v>113</x:v>
      </x:c>
      <x:c r="BY86" s="179">
        <x:v>0.0073</x:v>
      </x:c>
      <x:c r="BZ86" s="1">
        <x:f>P86</x:f>
      </x:c>
      <x:c r="CA86" s="180">
        <x:v>2</x:v>
      </x:c>
      <x:c r="CB86" s="78">
        <x:f>BY86/CA86</x:f>
      </x:c>
      <x:c r="CC86" s="4"/>
      <x:c r="CD86" s="72" t="s">
        <x:v>114</x:v>
      </x:c>
      <x:c r="CE86" s="5">
        <x:v>0</x:v>
      </x:c>
      <x:c r="CF86" s="1">
        <x:f>BZ86</x:f>
      </x:c>
      <x:c r="CG86" s="81">
        <x:f>SQRT(3)</x:f>
      </x:c>
      <x:c r="CH86" s="78">
        <x:f>CE86/CG86</x:f>
      </x:c>
      <x:c r="CI86" s="4"/>
      <x:c r="CJ86" s="72" t="s">
        <x:v>115</x:v>
      </x:c>
      <x:c r="CK86" s="181">
        <x:v>0.01</x:v>
      </x:c>
      <x:c r="CL86" s="1">
        <x:f>P86</x:f>
      </x:c>
      <x:c r="CM86" s="81">
        <x:f>SQRT(12)</x:f>
      </x:c>
      <x:c r="CN86" s="78">
        <x:f>CK86/CM86</x:f>
      </x:c>
      <x:c r="CO86" s="4"/>
      <x:c r="CP86" s="72" t="s">
        <x:v>116</x:v>
      </x:c>
      <x:c r="CQ86" s="6">
        <x:f>STDEV(X86:AL86)</x:f>
      </x:c>
      <x:c r="CR86" s="1">
        <x:f>P86</x:f>
      </x:c>
      <x:c r="CS86" s="81">
        <x:f>SQRT(3)</x:f>
      </x:c>
      <x:c r="CT86" s="86">
        <x:f>CQ86/CS86</x:f>
      </x:c>
      <x:c r="CV86" s="94">
        <x:f>SQRT(SUMSQ(CT86,CN86,CH86,CB86))</x:f>
      </x:c>
      <x:c r="CW86" s="5">
        <x:f>(CV86^4)/(((CT86^4)/2)+((CN86^4)/200)+((CH86^4)/200)+((CB86^4)/200))</x:f>
      </x:c>
      <x:c r="CX86" s="95">
        <x:f>ROUND(TINV(0.05,CW86),0)</x:f>
      </x:c>
      <x:c r="CY86" s="110">
        <x:f>(CV86*CX86)</x:f>
      </x:c>
      <x:c r="CZ86" s="106">
        <x:f>P86</x:f>
      </x:c>
      <x:c r="DB86" s="177">
        <x:v>0.00085</x:v>
      </x:c>
      <x:c r="DC86" s="178">
        <x:f>CZ86</x:f>
      </x:c>
      <x:c r="DD86" s="220">
        <x:f>MAX(DB86,CY86)</x:f>
      </x:c>
      <x:c r="DE86" s="178">
        <x:f>DC86</x:f>
      </x:c>
    </x:row>
    <x:row r="87" spans="1:109" ht="18" customHeight="1" s="8" customFormat="1">
      <x:c r="A87" s="605"/>
      <x:c r="B87" s="601"/>
      <x:c r="C87" s="505"/>
      <x:c r="D87" s="505"/>
      <x:c r="E87" s="505"/>
      <x:c r="F87" s="618"/>
      <x:c r="G87" s="619"/>
      <x:c r="H87" s="619"/>
      <x:c r="I87" s="619"/>
      <x:c r="J87" s="619"/>
      <x:c r="K87" s="620"/>
      <x:c r="L87" s="610">
        <x:f>60*50%</x:f>
      </x:c>
      <x:c r="M87" s="611"/>
      <x:c r="N87" s="611"/>
      <x:c r="O87" s="611"/>
      <x:c r="P87" s="612" t="s">
        <x:v>118</x:v>
      </x:c>
      <x:c r="Q87" s="612"/>
      <x:c r="R87" s="613"/>
      <x:c r="S87" s="181" t="s">
        <x:v>124</x:v>
      </x:c>
      <x:c r="T87" s="181"/>
      <x:c r="U87" s="181"/>
      <x:c r="V87" s="181"/>
      <x:c r="W87" s="181"/>
      <x:c r="X87" s="642"/>
      <x:c r="Y87" s="643"/>
      <x:c r="Z87" s="643"/>
      <x:c r="AA87" s="643"/>
      <x:c r="AB87" s="644"/>
      <x:c r="AC87" s="642"/>
      <x:c r="AD87" s="643"/>
      <x:c r="AE87" s="643"/>
      <x:c r="AF87" s="643"/>
      <x:c r="AG87" s="644"/>
      <x:c r="AH87" s="642"/>
      <x:c r="AI87" s="643"/>
      <x:c r="AJ87" s="643"/>
      <x:c r="AK87" s="643"/>
      <x:c r="AL87" s="644"/>
      <x:c r="AM87" s="616">
        <x:f>AVERAGE(X87:AL87)</x:f>
      </x:c>
      <x:c r="AN87" s="616"/>
      <x:c r="AO87" s="616"/>
      <x:c r="AP87" s="616"/>
      <x:c r="AQ87" s="616"/>
      <x:c r="AR87" s="616">
        <x:f>AM87-L87</x:f>
      </x:c>
      <x:c r="AS87" s="616"/>
      <x:c r="AT87" s="616"/>
      <x:c r="AU87" s="616"/>
      <x:c r="AV87" s="616"/>
      <x:c r="AW87" s="505"/>
      <x:c r="AX87" s="505"/>
      <x:c r="AY87" s="505"/>
      <x:c r="AZ87" s="603"/>
      <x:c r="BA87" s="605"/>
      <x:c r="BB87" s="630">
        <x:f>(AM87*1%)+(4*CK87)</x:f>
      </x:c>
      <x:c r="BC87" s="630"/>
      <x:c r="BD87" s="630"/>
      <x:c r="BE87" s="630"/>
      <x:c r="BF87" s="630"/>
      <x:c r="BG87" s="616">
        <x:f>L87+BB87</x:f>
      </x:c>
      <x:c r="BH87" s="616"/>
      <x:c r="BI87" s="616"/>
      <x:c r="BJ87" s="616"/>
      <x:c r="BK87" s="616"/>
      <x:c r="BL87" s="616">
        <x:f>L87-BB87</x:f>
      </x:c>
      <x:c r="BM87" s="616"/>
      <x:c r="BN87" s="616"/>
      <x:c r="BO87" s="616"/>
      <x:c r="BP87" s="616"/>
      <x:c r="BQ87" s="617">
        <x:f>IF(AND(AM87&lt;=BG87,AM87&gt;=BL87),"PASS","FAIL")</x:f>
      </x:c>
      <x:c r="BR87" s="617"/>
      <x:c r="BS87" s="617"/>
      <x:c r="BT87" s="617"/>
      <x:c r="BU87" s="617"/>
      <x:c r="BV87" s="605"/>
      <x:c r="BX87" s="72" t="s">
        <x:v>113</x:v>
      </x:c>
      <x:c r="BY87" s="179">
        <x:v>0.0073</x:v>
      </x:c>
      <x:c r="BZ87" s="1">
        <x:f>P87</x:f>
      </x:c>
      <x:c r="CA87" s="180">
        <x:v>2</x:v>
      </x:c>
      <x:c r="CB87" s="78">
        <x:f>BY87/CA87</x:f>
      </x:c>
      <x:c r="CC87" s="4"/>
      <x:c r="CD87" s="72" t="s">
        <x:v>114</x:v>
      </x:c>
      <x:c r="CE87" s="5">
        <x:v>0</x:v>
      </x:c>
      <x:c r="CF87" s="1">
        <x:f>BZ87</x:f>
      </x:c>
      <x:c r="CG87" s="81">
        <x:f>SQRT(3)</x:f>
      </x:c>
      <x:c r="CH87" s="78">
        <x:f>CE87/CG87</x:f>
      </x:c>
      <x:c r="CI87" s="4"/>
      <x:c r="CJ87" s="72" t="s">
        <x:v>115</x:v>
      </x:c>
      <x:c r="CK87" s="181">
        <x:v>0.01</x:v>
      </x:c>
      <x:c r="CL87" s="1">
        <x:f>P87</x:f>
      </x:c>
      <x:c r="CM87" s="81">
        <x:f>SQRT(12)</x:f>
      </x:c>
      <x:c r="CN87" s="78">
        <x:f>CK87/CM87</x:f>
      </x:c>
      <x:c r="CO87" s="4"/>
      <x:c r="CP87" s="72" t="s">
        <x:v>116</x:v>
      </x:c>
      <x:c r="CQ87" s="6">
        <x:f>STDEV(X87:AL87)</x:f>
      </x:c>
      <x:c r="CR87" s="1">
        <x:f>P87</x:f>
      </x:c>
      <x:c r="CS87" s="81">
        <x:f>SQRT(3)</x:f>
      </x:c>
      <x:c r="CT87" s="86">
        <x:f>CQ87/CS87</x:f>
      </x:c>
      <x:c r="CV87" s="94">
        <x:f>SQRT(SUMSQ(CT87,CN87,CH87,CB87))</x:f>
      </x:c>
      <x:c r="CW87" s="5">
        <x:f>(CV87^4)/(((CT87^4)/2)+((CN87^4)/200)+((CH87^4)/200)+((CB87^4)/200))</x:f>
      </x:c>
      <x:c r="CX87" s="95">
        <x:f>ROUND(TINV(0.05,CW87),0)</x:f>
      </x:c>
      <x:c r="CY87" s="110">
        <x:f>(CV87*CX87)</x:f>
      </x:c>
      <x:c r="CZ87" s="106">
        <x:f>P87</x:f>
      </x:c>
      <x:c r="DB87" s="177">
        <x:v>0.00085</x:v>
      </x:c>
      <x:c r="DC87" s="178">
        <x:f>CZ87</x:f>
      </x:c>
      <x:c r="DD87" s="220">
        <x:f>MAX(DB87,CY87)</x:f>
      </x:c>
      <x:c r="DE87" s="178">
        <x:f>DC87</x:f>
      </x:c>
    </x:row>
    <x:row r="88" spans="1:109" ht="18" customHeight="1" s="8" customFormat="1">
      <x:c r="A88" s="605"/>
      <x:c r="B88" s="601"/>
      <x:c r="C88" s="505"/>
      <x:c r="D88" s="505"/>
      <x:c r="E88" s="505"/>
      <x:c r="F88" s="618"/>
      <x:c r="G88" s="619"/>
      <x:c r="H88" s="619"/>
      <x:c r="I88" s="619"/>
      <x:c r="J88" s="619"/>
      <x:c r="K88" s="620"/>
      <x:c r="L88" s="610">
        <x:f>60*90%</x:f>
      </x:c>
      <x:c r="M88" s="611"/>
      <x:c r="N88" s="611"/>
      <x:c r="O88" s="611"/>
      <x:c r="P88" s="612" t="s">
        <x:v>118</x:v>
      </x:c>
      <x:c r="Q88" s="612"/>
      <x:c r="R88" s="613"/>
      <x:c r="S88" s="181" t="s">
        <x:v>123</x:v>
      </x:c>
      <x:c r="T88" s="181"/>
      <x:c r="U88" s="181"/>
      <x:c r="V88" s="181"/>
      <x:c r="W88" s="181"/>
      <x:c r="X88" s="616"/>
      <x:c r="Y88" s="616"/>
      <x:c r="Z88" s="616"/>
      <x:c r="AA88" s="616"/>
      <x:c r="AB88" s="616"/>
      <x:c r="AC88" s="616"/>
      <x:c r="AD88" s="616"/>
      <x:c r="AE88" s="616"/>
      <x:c r="AF88" s="616"/>
      <x:c r="AG88" s="616"/>
      <x:c r="AH88" s="616"/>
      <x:c r="AI88" s="616"/>
      <x:c r="AJ88" s="616"/>
      <x:c r="AK88" s="616"/>
      <x:c r="AL88" s="616"/>
      <x:c r="AM88" s="616">
        <x:f>AVERAGE(X88:AL88)</x:f>
      </x:c>
      <x:c r="AN88" s="616"/>
      <x:c r="AO88" s="616"/>
      <x:c r="AP88" s="616"/>
      <x:c r="AQ88" s="616"/>
      <x:c r="AR88" s="616">
        <x:f>AM88-L88</x:f>
      </x:c>
      <x:c r="AS88" s="616"/>
      <x:c r="AT88" s="616"/>
      <x:c r="AU88" s="616"/>
      <x:c r="AV88" s="616"/>
      <x:c r="AW88" s="505"/>
      <x:c r="AX88" s="505"/>
      <x:c r="AY88" s="505"/>
      <x:c r="AZ88" s="603"/>
      <x:c r="BA88" s="605"/>
      <x:c r="BB88" s="630">
        <x:f>(AM88*0.7%)+(2*CK88)</x:f>
      </x:c>
      <x:c r="BC88" s="630"/>
      <x:c r="BD88" s="630"/>
      <x:c r="BE88" s="630"/>
      <x:c r="BF88" s="630"/>
      <x:c r="BG88" s="615">
        <x:f>L88+BB88</x:f>
      </x:c>
      <x:c r="BH88" s="615"/>
      <x:c r="BI88" s="615"/>
      <x:c r="BJ88" s="615"/>
      <x:c r="BK88" s="615"/>
      <x:c r="BL88" s="615">
        <x:f>L88-BB88</x:f>
      </x:c>
      <x:c r="BM88" s="615"/>
      <x:c r="BN88" s="615"/>
      <x:c r="BO88" s="615"/>
      <x:c r="BP88" s="615"/>
      <x:c r="BQ88" s="617">
        <x:f>IF(AND(AM88&lt;=BG88,AM88&gt;=BL88),"PASS","FAIL")</x:f>
      </x:c>
      <x:c r="BR88" s="617"/>
      <x:c r="BS88" s="617"/>
      <x:c r="BT88" s="617"/>
      <x:c r="BU88" s="617"/>
      <x:c r="BV88" s="605"/>
      <x:c r="BX88" s="72" t="s">
        <x:v>113</x:v>
      </x:c>
      <x:c r="BY88" s="179">
        <x:v>0.071</x:v>
      </x:c>
      <x:c r="BZ88" s="1">
        <x:f>P88</x:f>
      </x:c>
      <x:c r="CA88" s="180">
        <x:v>2</x:v>
      </x:c>
      <x:c r="CB88" s="78">
        <x:f>BY88/CA88</x:f>
      </x:c>
      <x:c r="CC88" s="4"/>
      <x:c r="CD88" s="72" t="s">
        <x:v>114</x:v>
      </x:c>
      <x:c r="CE88" s="5">
        <x:v>0</x:v>
      </x:c>
      <x:c r="CF88" s="1">
        <x:f>BZ88</x:f>
      </x:c>
      <x:c r="CG88" s="81">
        <x:f>SQRT(3)</x:f>
      </x:c>
      <x:c r="CH88" s="78">
        <x:f>CE88/CG88</x:f>
      </x:c>
      <x:c r="CI88" s="4"/>
      <x:c r="CJ88" s="72" t="s">
        <x:v>115</x:v>
      </x:c>
      <x:c r="CK88" s="181">
        <x:v>0.01</x:v>
      </x:c>
      <x:c r="CL88" s="1">
        <x:f>P88</x:f>
      </x:c>
      <x:c r="CM88" s="81">
        <x:f>SQRT(12)</x:f>
      </x:c>
      <x:c r="CN88" s="78">
        <x:f>CK88/CM88</x:f>
      </x:c>
      <x:c r="CO88" s="4"/>
      <x:c r="CP88" s="72" t="s">
        <x:v>116</x:v>
      </x:c>
      <x:c r="CQ88" s="6">
        <x:f>STDEV(X88:AL88)</x:f>
      </x:c>
      <x:c r="CR88" s="1">
        <x:f>P88</x:f>
      </x:c>
      <x:c r="CS88" s="81">
        <x:f>SQRT(3)</x:f>
      </x:c>
      <x:c r="CT88" s="86">
        <x:f>CQ88/CS88</x:f>
      </x:c>
      <x:c r="CV88" s="94">
        <x:f>SQRT(SUMSQ(CT88,CN88,CH88,CB88))</x:f>
      </x:c>
      <x:c r="CW88" s="5">
        <x:f>(CV88^4)/(((CT88^4)/2)+((CN88^4)/200)+((CH88^4)/200)+((CB88^4)/200))</x:f>
      </x:c>
      <x:c r="CX88" s="95">
        <x:f>ROUND(TINV(0.05,CW88),0)</x:f>
      </x:c>
      <x:c r="CY88" s="110">
        <x:f>(CV88*CX88)</x:f>
      </x:c>
      <x:c r="CZ88" s="106">
        <x:f>P88</x:f>
      </x:c>
      <x:c r="DB88" s="177">
        <x:v>0.0064</x:v>
      </x:c>
      <x:c r="DC88" s="178">
        <x:f>CZ88</x:f>
      </x:c>
      <x:c r="DD88" s="220">
        <x:f>MAX(DB88,CY88)</x:f>
      </x:c>
      <x:c r="DE88" s="178">
        <x:f>DC88</x:f>
      </x:c>
    </x:row>
    <x:row r="89" spans="1:109" ht="18" customHeight="1" s="8" customFormat="1">
      <x:c r="A89" s="605"/>
      <x:c r="B89" s="601"/>
      <x:c r="C89" s="505"/>
      <x:c r="D89" s="505"/>
      <x:c r="E89" s="505"/>
      <x:c r="F89" s="624"/>
      <x:c r="G89" s="625"/>
      <x:c r="H89" s="625"/>
      <x:c r="I89" s="625"/>
      <x:c r="J89" s="625"/>
      <x:c r="K89" s="626"/>
      <x:c r="L89" s="610">
        <x:f>60*90%</x:f>
      </x:c>
      <x:c r="M89" s="611"/>
      <x:c r="N89" s="611"/>
      <x:c r="O89" s="611"/>
      <x:c r="P89" s="612" t="s">
        <x:v>118</x:v>
      </x:c>
      <x:c r="Q89" s="612"/>
      <x:c r="R89" s="613"/>
      <x:c r="S89" s="181" t="s">
        <x:v>124</x:v>
      </x:c>
      <x:c r="T89" s="181"/>
      <x:c r="U89" s="181"/>
      <x:c r="V89" s="181"/>
      <x:c r="W89" s="181"/>
      <x:c r="X89" s="616"/>
      <x:c r="Y89" s="616"/>
      <x:c r="Z89" s="616"/>
      <x:c r="AA89" s="616"/>
      <x:c r="AB89" s="616"/>
      <x:c r="AC89" s="616"/>
      <x:c r="AD89" s="616"/>
      <x:c r="AE89" s="616"/>
      <x:c r="AF89" s="616"/>
      <x:c r="AG89" s="616"/>
      <x:c r="AH89" s="616"/>
      <x:c r="AI89" s="616"/>
      <x:c r="AJ89" s="616"/>
      <x:c r="AK89" s="616"/>
      <x:c r="AL89" s="616"/>
      <x:c r="AM89" s="616">
        <x:f>AVERAGE(X89:AL89)</x:f>
      </x:c>
      <x:c r="AN89" s="616"/>
      <x:c r="AO89" s="616"/>
      <x:c r="AP89" s="616"/>
      <x:c r="AQ89" s="616"/>
      <x:c r="AR89" s="616">
        <x:f>AM89-L89</x:f>
      </x:c>
      <x:c r="AS89" s="616"/>
      <x:c r="AT89" s="616"/>
      <x:c r="AU89" s="616"/>
      <x:c r="AV89" s="616"/>
      <x:c r="AW89" s="505"/>
      <x:c r="AX89" s="505"/>
      <x:c r="AY89" s="505"/>
      <x:c r="AZ89" s="603"/>
      <x:c r="BA89" s="605"/>
      <x:c r="BB89" s="630">
        <x:f>(AM89*1%)+(4*CK89)</x:f>
      </x:c>
      <x:c r="BC89" s="630"/>
      <x:c r="BD89" s="630"/>
      <x:c r="BE89" s="630"/>
      <x:c r="BF89" s="630"/>
      <x:c r="BG89" s="615">
        <x:f>L89+BB89</x:f>
      </x:c>
      <x:c r="BH89" s="615"/>
      <x:c r="BI89" s="615"/>
      <x:c r="BJ89" s="615"/>
      <x:c r="BK89" s="615"/>
      <x:c r="BL89" s="615">
        <x:f>L89-BB89</x:f>
      </x:c>
      <x:c r="BM89" s="615"/>
      <x:c r="BN89" s="615"/>
      <x:c r="BO89" s="615"/>
      <x:c r="BP89" s="615"/>
      <x:c r="BQ89" s="617">
        <x:f>IF(AND(AM89&lt;=BG89,AM89&gt;=BL89),"PASS","FAIL")</x:f>
      </x:c>
      <x:c r="BR89" s="617"/>
      <x:c r="BS89" s="617"/>
      <x:c r="BT89" s="617"/>
      <x:c r="BU89" s="617"/>
      <x:c r="BV89" s="605"/>
      <x:c r="BX89" s="72" t="s">
        <x:v>113</x:v>
      </x:c>
      <x:c r="BY89" s="179">
        <x:v>0.071</x:v>
      </x:c>
      <x:c r="BZ89" s="1">
        <x:f>P89</x:f>
      </x:c>
      <x:c r="CA89" s="180">
        <x:v>2</x:v>
      </x:c>
      <x:c r="CB89" s="78">
        <x:f>BY89/CA89</x:f>
      </x:c>
      <x:c r="CC89" s="4"/>
      <x:c r="CD89" s="72" t="s">
        <x:v>114</x:v>
      </x:c>
      <x:c r="CE89" s="5">
        <x:v>0</x:v>
      </x:c>
      <x:c r="CF89" s="1">
        <x:f>BZ89</x:f>
      </x:c>
      <x:c r="CG89" s="81">
        <x:f>SQRT(3)</x:f>
      </x:c>
      <x:c r="CH89" s="78">
        <x:f>CE89/CG89</x:f>
      </x:c>
      <x:c r="CI89" s="4"/>
      <x:c r="CJ89" s="72" t="s">
        <x:v>115</x:v>
      </x:c>
      <x:c r="CK89" s="181">
        <x:v>0.01</x:v>
      </x:c>
      <x:c r="CL89" s="1">
        <x:f>P89</x:f>
      </x:c>
      <x:c r="CM89" s="81">
        <x:f>SQRT(12)</x:f>
      </x:c>
      <x:c r="CN89" s="78">
        <x:f>CK89/CM89</x:f>
      </x:c>
      <x:c r="CO89" s="4"/>
      <x:c r="CP89" s="72" t="s">
        <x:v>116</x:v>
      </x:c>
      <x:c r="CQ89" s="6">
        <x:f>STDEV(X89:AL89)</x:f>
      </x:c>
      <x:c r="CR89" s="1">
        <x:f>P89</x:f>
      </x:c>
      <x:c r="CS89" s="81">
        <x:f>SQRT(3)</x:f>
      </x:c>
      <x:c r="CT89" s="86">
        <x:f>CQ89/CS89</x:f>
      </x:c>
      <x:c r="CV89" s="94">
        <x:f>SQRT(SUMSQ(CT89,CN89,CH89,CB89))</x:f>
      </x:c>
      <x:c r="CW89" s="5">
        <x:f>(CV89^4)/(((CT89^4)/2)+((CN89^4)/200)+((CH89^4)/200)+((CB89^4)/200))</x:f>
      </x:c>
      <x:c r="CX89" s="95">
        <x:f>ROUND(TINV(0.05,CW89),0)</x:f>
      </x:c>
      <x:c r="CY89" s="110">
        <x:f>(CV89*CX89)</x:f>
      </x:c>
      <x:c r="CZ89" s="106">
        <x:f>P89</x:f>
      </x:c>
      <x:c r="DB89" s="177">
        <x:v>0.0064</x:v>
      </x:c>
      <x:c r="DC89" s="178">
        <x:f>CZ89</x:f>
      </x:c>
      <x:c r="DD89" s="220">
        <x:f>MAX(DB89,CY89)</x:f>
      </x:c>
      <x:c r="DE89" s="178">
        <x:f>DC89</x:f>
      </x:c>
    </x:row>
    <x:row r="90" spans="1:109" ht="18" customHeight="1" s="8" customFormat="1">
      <x:c r="A90" s="605"/>
      <x:c r="B90" s="601"/>
      <x:c r="C90" s="505"/>
      <x:c r="D90" s="505"/>
      <x:c r="E90" s="505"/>
      <x:c r="F90" s="607" t="s">
        <x:v>120</x:v>
      </x:c>
      <x:c r="G90" s="608"/>
      <x:c r="H90" s="608"/>
      <x:c r="I90" s="608"/>
      <x:c r="J90" s="608"/>
      <x:c r="K90" s="609"/>
      <x:c r="L90" s="610">
        <x:v>60</x:v>
      </x:c>
      <x:c r="M90" s="611"/>
      <x:c r="N90" s="611"/>
      <x:c r="O90" s="611"/>
      <x:c r="P90" s="612" t="s">
        <x:v>118</x:v>
      </x:c>
      <x:c r="Q90" s="612"/>
      <x:c r="R90" s="613"/>
      <x:c r="S90" s="181" t="s">
        <x:v>123</x:v>
      </x:c>
      <x:c r="T90" s="181"/>
      <x:c r="U90" s="181"/>
      <x:c r="V90" s="181"/>
      <x:c r="W90" s="181"/>
      <x:c r="X90" s="615"/>
      <x:c r="Y90" s="615"/>
      <x:c r="Z90" s="615"/>
      <x:c r="AA90" s="615"/>
      <x:c r="AB90" s="615"/>
      <x:c r="AC90" s="615"/>
      <x:c r="AD90" s="615"/>
      <x:c r="AE90" s="615"/>
      <x:c r="AF90" s="615"/>
      <x:c r="AG90" s="615"/>
      <x:c r="AH90" s="615"/>
      <x:c r="AI90" s="615"/>
      <x:c r="AJ90" s="615"/>
      <x:c r="AK90" s="615"/>
      <x:c r="AL90" s="615"/>
      <x:c r="AM90" s="615">
        <x:f>AVERAGE(X90:AL90)</x:f>
      </x:c>
      <x:c r="AN90" s="615"/>
      <x:c r="AO90" s="615"/>
      <x:c r="AP90" s="615"/>
      <x:c r="AQ90" s="615"/>
      <x:c r="AR90" s="615">
        <x:f>AM90-L90</x:f>
      </x:c>
      <x:c r="AS90" s="615"/>
      <x:c r="AT90" s="615"/>
      <x:c r="AU90" s="615"/>
      <x:c r="AV90" s="615"/>
      <x:c r="AW90" s="505"/>
      <x:c r="AX90" s="505"/>
      <x:c r="AY90" s="505"/>
      <x:c r="AZ90" s="603"/>
      <x:c r="BA90" s="605"/>
      <x:c r="BB90" s="630">
        <x:f>(AM90*0.7%)+(2*CK90)</x:f>
      </x:c>
      <x:c r="BC90" s="630"/>
      <x:c r="BD90" s="630"/>
      <x:c r="BE90" s="630"/>
      <x:c r="BF90" s="630"/>
      <x:c r="BG90" s="631">
        <x:f>L90+BB90</x:f>
      </x:c>
      <x:c r="BH90" s="631"/>
      <x:c r="BI90" s="631"/>
      <x:c r="BJ90" s="631"/>
      <x:c r="BK90" s="631"/>
      <x:c r="BL90" s="631">
        <x:f>L90-BB90</x:f>
      </x:c>
      <x:c r="BM90" s="631"/>
      <x:c r="BN90" s="631"/>
      <x:c r="BO90" s="631"/>
      <x:c r="BP90" s="631"/>
      <x:c r="BQ90" s="617">
        <x:f>IF(AND(AM90&lt;=BG90,AM90&gt;=BL90),"PASS","FAIL")</x:f>
      </x:c>
      <x:c r="BR90" s="617"/>
      <x:c r="BS90" s="617"/>
      <x:c r="BT90" s="617"/>
      <x:c r="BU90" s="617"/>
      <x:c r="BV90" s="605"/>
      <x:c r="BX90" s="72" t="s">
        <x:v>113</x:v>
      </x:c>
      <x:c r="BY90" s="179">
        <x:v>0.071</x:v>
      </x:c>
      <x:c r="BZ90" s="1">
        <x:f>P90</x:f>
      </x:c>
      <x:c r="CA90" s="180">
        <x:v>2</x:v>
      </x:c>
      <x:c r="CB90" s="78">
        <x:f>BY90/CA90</x:f>
      </x:c>
      <x:c r="CC90" s="4"/>
      <x:c r="CD90" s="72" t="s">
        <x:v>114</x:v>
      </x:c>
      <x:c r="CE90" s="5">
        <x:v>0</x:v>
      </x:c>
      <x:c r="CF90" s="1">
        <x:f>BZ90</x:f>
      </x:c>
      <x:c r="CG90" s="81">
        <x:f>SQRT(3)</x:f>
      </x:c>
      <x:c r="CH90" s="78">
        <x:f>CE90/CG90</x:f>
      </x:c>
      <x:c r="CI90" s="4"/>
      <x:c r="CJ90" s="72" t="s">
        <x:v>115</x:v>
      </x:c>
      <x:c r="CK90" s="181">
        <x:v>0.1</x:v>
      </x:c>
      <x:c r="CL90" s="1">
        <x:f>P90</x:f>
      </x:c>
      <x:c r="CM90" s="81">
        <x:f>SQRT(12)</x:f>
      </x:c>
      <x:c r="CN90" s="78">
        <x:f>CK90/CM90</x:f>
      </x:c>
      <x:c r="CO90" s="4"/>
      <x:c r="CP90" s="72" t="s">
        <x:v>116</x:v>
      </x:c>
      <x:c r="CQ90" s="6">
        <x:f>STDEV(X90:AL90)</x:f>
      </x:c>
      <x:c r="CR90" s="1">
        <x:f>P90</x:f>
      </x:c>
      <x:c r="CS90" s="81">
        <x:f>SQRT(3)</x:f>
      </x:c>
      <x:c r="CT90" s="86">
        <x:f>CQ90/CS90</x:f>
      </x:c>
      <x:c r="CV90" s="94">
        <x:f>SQRT(SUMSQ(CT90,CN90,CH90,CB90))</x:f>
      </x:c>
      <x:c r="CW90" s="5">
        <x:f>(CV90^4)/(((CT90^4)/2)+((CN90^4)/200)+((CH90^4)/200)+((CB90^4)/200))</x:f>
      </x:c>
      <x:c r="CX90" s="95">
        <x:f>ROUND(TINV(0.05,CW90),0)</x:f>
      </x:c>
      <x:c r="CY90" s="112">
        <x:f>(CV90*CX90)</x:f>
      </x:c>
      <x:c r="CZ90" s="106">
        <x:f>P90</x:f>
      </x:c>
      <x:c r="DB90" s="177">
        <x:v>0.0064</x:v>
      </x:c>
      <x:c r="DC90" s="178">
        <x:f>CZ90</x:f>
      </x:c>
      <x:c r="DD90" s="220">
        <x:f>MAX(DB90,CY90)</x:f>
      </x:c>
      <x:c r="DE90" s="178">
        <x:f>DC90</x:f>
      </x:c>
    </x:row>
    <x:row r="91" spans="1:109" ht="18" customHeight="1" s="8" customFormat="1">
      <x:c r="A91" s="605"/>
      <x:c r="B91" s="601"/>
      <x:c r="C91" s="505"/>
      <x:c r="D91" s="505"/>
      <x:c r="E91" s="505"/>
      <x:c r="F91" s="618"/>
      <x:c r="G91" s="619"/>
      <x:c r="H91" s="619"/>
      <x:c r="I91" s="619"/>
      <x:c r="J91" s="619"/>
      <x:c r="K91" s="620"/>
      <x:c r="L91" s="610">
        <x:v>60</x:v>
      </x:c>
      <x:c r="M91" s="611"/>
      <x:c r="N91" s="611"/>
      <x:c r="O91" s="611"/>
      <x:c r="P91" s="612" t="s">
        <x:v>118</x:v>
      </x:c>
      <x:c r="Q91" s="612"/>
      <x:c r="R91" s="613"/>
      <x:c r="S91" s="181" t="s">
        <x:v>124</x:v>
      </x:c>
      <x:c r="T91" s="181"/>
      <x:c r="U91" s="181"/>
      <x:c r="V91" s="181"/>
      <x:c r="W91" s="181"/>
      <x:c r="X91" s="615"/>
      <x:c r="Y91" s="615"/>
      <x:c r="Z91" s="615"/>
      <x:c r="AA91" s="615"/>
      <x:c r="AB91" s="615"/>
      <x:c r="AC91" s="615"/>
      <x:c r="AD91" s="615"/>
      <x:c r="AE91" s="615"/>
      <x:c r="AF91" s="615"/>
      <x:c r="AG91" s="615"/>
      <x:c r="AH91" s="615"/>
      <x:c r="AI91" s="615"/>
      <x:c r="AJ91" s="615"/>
      <x:c r="AK91" s="615"/>
      <x:c r="AL91" s="615"/>
      <x:c r="AM91" s="615">
        <x:f>AVERAGE(X91:AL91)</x:f>
      </x:c>
      <x:c r="AN91" s="615"/>
      <x:c r="AO91" s="615"/>
      <x:c r="AP91" s="615"/>
      <x:c r="AQ91" s="615"/>
      <x:c r="AR91" s="615">
        <x:f>AM91-L91</x:f>
      </x:c>
      <x:c r="AS91" s="615"/>
      <x:c r="AT91" s="615"/>
      <x:c r="AU91" s="615"/>
      <x:c r="AV91" s="615"/>
      <x:c r="AW91" s="505"/>
      <x:c r="AX91" s="505"/>
      <x:c r="AY91" s="505"/>
      <x:c r="AZ91" s="603"/>
      <x:c r="BA91" s="605"/>
      <x:c r="BB91" s="630">
        <x:f>(AM91*1%)+(4*CK91)</x:f>
      </x:c>
      <x:c r="BC91" s="630"/>
      <x:c r="BD91" s="630"/>
      <x:c r="BE91" s="630"/>
      <x:c r="BF91" s="630"/>
      <x:c r="BG91" s="631">
        <x:f>L91+BB91</x:f>
      </x:c>
      <x:c r="BH91" s="631"/>
      <x:c r="BI91" s="631"/>
      <x:c r="BJ91" s="631"/>
      <x:c r="BK91" s="631"/>
      <x:c r="BL91" s="631">
        <x:f>L91-BB91</x:f>
      </x:c>
      <x:c r="BM91" s="631"/>
      <x:c r="BN91" s="631"/>
      <x:c r="BO91" s="631"/>
      <x:c r="BP91" s="631"/>
      <x:c r="BQ91" s="617">
        <x:f>IF(AND(AM91&lt;=BG91,AM91&gt;=BL91),"PASS","FAIL")</x:f>
      </x:c>
      <x:c r="BR91" s="617"/>
      <x:c r="BS91" s="617"/>
      <x:c r="BT91" s="617"/>
      <x:c r="BU91" s="617"/>
      <x:c r="BV91" s="605"/>
      <x:c r="BX91" s="72" t="s">
        <x:v>113</x:v>
      </x:c>
      <x:c r="BY91" s="179">
        <x:v>0.071</x:v>
      </x:c>
      <x:c r="BZ91" s="1">
        <x:f>P91</x:f>
      </x:c>
      <x:c r="CA91" s="180">
        <x:v>2</x:v>
      </x:c>
      <x:c r="CB91" s="78">
        <x:f>BY91/CA91</x:f>
      </x:c>
      <x:c r="CC91" s="4"/>
      <x:c r="CD91" s="72" t="s">
        <x:v>114</x:v>
      </x:c>
      <x:c r="CE91" s="5">
        <x:v>0</x:v>
      </x:c>
      <x:c r="CF91" s="1">
        <x:f>BZ91</x:f>
      </x:c>
      <x:c r="CG91" s="81">
        <x:f>SQRT(3)</x:f>
      </x:c>
      <x:c r="CH91" s="78">
        <x:f>CE91/CG91</x:f>
      </x:c>
      <x:c r="CI91" s="4"/>
      <x:c r="CJ91" s="72" t="s">
        <x:v>115</x:v>
      </x:c>
      <x:c r="CK91" s="181">
        <x:v>0.1</x:v>
      </x:c>
      <x:c r="CL91" s="1">
        <x:f>P91</x:f>
      </x:c>
      <x:c r="CM91" s="81">
        <x:f>SQRT(12)</x:f>
      </x:c>
      <x:c r="CN91" s="78">
        <x:f>CK91/CM91</x:f>
      </x:c>
      <x:c r="CO91" s="4"/>
      <x:c r="CP91" s="72" t="s">
        <x:v>116</x:v>
      </x:c>
      <x:c r="CQ91" s="6">
        <x:f>STDEV(X91:AL91)</x:f>
      </x:c>
      <x:c r="CR91" s="1">
        <x:f>P91</x:f>
      </x:c>
      <x:c r="CS91" s="81">
        <x:f>SQRT(3)</x:f>
      </x:c>
      <x:c r="CT91" s="86">
        <x:f>CQ91/CS91</x:f>
      </x:c>
      <x:c r="CV91" s="94">
        <x:f>SQRT(SUMSQ(CT91,CN91,CH91,CB91))</x:f>
      </x:c>
      <x:c r="CW91" s="5">
        <x:f>(CV91^4)/(((CT91^4)/2)+((CN91^4)/200)+((CH91^4)/200)+((CB91^4)/200))</x:f>
      </x:c>
      <x:c r="CX91" s="95">
        <x:f>ROUND(TINV(0.05,CW91),0)</x:f>
      </x:c>
      <x:c r="CY91" s="112">
        <x:f>(CV91*CX91)</x:f>
      </x:c>
      <x:c r="CZ91" s="106">
        <x:f>P91</x:f>
      </x:c>
      <x:c r="DB91" s="177">
        <x:v>0.0064</x:v>
      </x:c>
      <x:c r="DC91" s="178">
        <x:f>CZ91</x:f>
      </x:c>
      <x:c r="DD91" s="220">
        <x:f>MAX(DB91,CY91)</x:f>
      </x:c>
      <x:c r="DE91" s="178">
        <x:f>DC91</x:f>
      </x:c>
    </x:row>
    <x:row r="92" spans="1:109" ht="18" customHeight="1" s="8" customFormat="1">
      <x:c r="A92" s="605"/>
      <x:c r="B92" s="601"/>
      <x:c r="C92" s="505"/>
      <x:c r="D92" s="505"/>
      <x:c r="E92" s="505"/>
      <x:c r="F92" s="618"/>
      <x:c r="G92" s="619"/>
      <x:c r="H92" s="619"/>
      <x:c r="I92" s="619"/>
      <x:c r="J92" s="619"/>
      <x:c r="K92" s="620"/>
      <x:c r="L92" s="610">
        <x:v>540</x:v>
      </x:c>
      <x:c r="M92" s="611"/>
      <x:c r="N92" s="611"/>
      <x:c r="O92" s="611"/>
      <x:c r="P92" s="612" t="s">
        <x:v>118</x:v>
      </x:c>
      <x:c r="Q92" s="612"/>
      <x:c r="R92" s="613"/>
      <x:c r="S92" s="181" t="s">
        <x:v>123</x:v>
      </x:c>
      <x:c r="T92" s="181"/>
      <x:c r="U92" s="181"/>
      <x:c r="V92" s="181"/>
      <x:c r="W92" s="181"/>
      <x:c r="X92" s="615"/>
      <x:c r="Y92" s="615"/>
      <x:c r="Z92" s="615"/>
      <x:c r="AA92" s="615"/>
      <x:c r="AB92" s="615"/>
      <x:c r="AC92" s="615"/>
      <x:c r="AD92" s="615"/>
      <x:c r="AE92" s="615"/>
      <x:c r="AF92" s="615"/>
      <x:c r="AG92" s="615"/>
      <x:c r="AH92" s="615"/>
      <x:c r="AI92" s="615"/>
      <x:c r="AJ92" s="615"/>
      <x:c r="AK92" s="615"/>
      <x:c r="AL92" s="615"/>
      <x:c r="AM92" s="615">
        <x:f>AVERAGE(X92:AL92)</x:f>
      </x:c>
      <x:c r="AN92" s="615"/>
      <x:c r="AO92" s="615"/>
      <x:c r="AP92" s="615"/>
      <x:c r="AQ92" s="615"/>
      <x:c r="AR92" s="615">
        <x:f>AM92-L92</x:f>
      </x:c>
      <x:c r="AS92" s="615"/>
      <x:c r="AT92" s="615"/>
      <x:c r="AU92" s="615"/>
      <x:c r="AV92" s="615"/>
      <x:c r="AW92" s="505"/>
      <x:c r="AX92" s="505"/>
      <x:c r="AY92" s="505"/>
      <x:c r="AZ92" s="603"/>
      <x:c r="BA92" s="605"/>
      <x:c r="BB92" s="630">
        <x:f>(AM92*0.7%)+(2*CK92)</x:f>
      </x:c>
      <x:c r="BC92" s="630"/>
      <x:c r="BD92" s="630"/>
      <x:c r="BE92" s="630"/>
      <x:c r="BF92" s="630"/>
      <x:c r="BG92" s="631">
        <x:f>L92+BB92</x:f>
      </x:c>
      <x:c r="BH92" s="631"/>
      <x:c r="BI92" s="631"/>
      <x:c r="BJ92" s="631"/>
      <x:c r="BK92" s="631"/>
      <x:c r="BL92" s="631">
        <x:f>L92-BB92</x:f>
      </x:c>
      <x:c r="BM92" s="631"/>
      <x:c r="BN92" s="631"/>
      <x:c r="BO92" s="631"/>
      <x:c r="BP92" s="631"/>
      <x:c r="BQ92" s="617">
        <x:f>IF(AND(AM92&lt;=BG92,AM92&gt;=BL92),"PASS","FAIL")</x:f>
      </x:c>
      <x:c r="BR92" s="617"/>
      <x:c r="BS92" s="617"/>
      <x:c r="BT92" s="617"/>
      <x:c r="BU92" s="617"/>
      <x:c r="BV92" s="605"/>
      <x:c r="BX92" s="72" t="s">
        <x:v>113</x:v>
      </x:c>
      <x:c r="BY92" s="224">
        <x:v>0.071</x:v>
      </x:c>
      <x:c r="BZ92" s="1">
        <x:f>P92</x:f>
      </x:c>
      <x:c r="CA92" s="180">
        <x:v>2</x:v>
      </x:c>
      <x:c r="CB92" s="78">
        <x:f>BY92/CA92</x:f>
      </x:c>
      <x:c r="CC92" s="4"/>
      <x:c r="CD92" s="72" t="s">
        <x:v>114</x:v>
      </x:c>
      <x:c r="CE92" s="5">
        <x:v>0</x:v>
      </x:c>
      <x:c r="CF92" s="1">
        <x:f>BZ92</x:f>
      </x:c>
      <x:c r="CG92" s="81">
        <x:f>SQRT(3)</x:f>
      </x:c>
      <x:c r="CH92" s="78">
        <x:f>CE92/CG92</x:f>
      </x:c>
      <x:c r="CI92" s="4"/>
      <x:c r="CJ92" s="72" t="s">
        <x:v>115</x:v>
      </x:c>
      <x:c r="CK92" s="181">
        <x:v>0.1</x:v>
      </x:c>
      <x:c r="CL92" s="1">
        <x:f>P92</x:f>
      </x:c>
      <x:c r="CM92" s="81">
        <x:f>SQRT(12)</x:f>
      </x:c>
      <x:c r="CN92" s="78">
        <x:f>CK92/CM92</x:f>
      </x:c>
      <x:c r="CO92" s="4"/>
      <x:c r="CP92" s="72" t="s">
        <x:v>116</x:v>
      </x:c>
      <x:c r="CQ92" s="6">
        <x:f>STDEV(X92:AL92)</x:f>
      </x:c>
      <x:c r="CR92" s="1">
        <x:f>P92</x:f>
      </x:c>
      <x:c r="CS92" s="81">
        <x:f>SQRT(3)</x:f>
      </x:c>
      <x:c r="CT92" s="86">
        <x:f>CQ92/CS92</x:f>
      </x:c>
      <x:c r="CV92" s="94">
        <x:f>SQRT(SUMSQ(CT92,CN92,CH92,CB92))</x:f>
      </x:c>
      <x:c r="CW92" s="5">
        <x:f>(CV92^4)/(((CT92^4)/2)+((CN92^4)/200)+((CH92^4)/200)+((CB92^4)/200))</x:f>
      </x:c>
      <x:c r="CX92" s="95">
        <x:f>ROUND(TINV(0.05,CW92),0)</x:f>
      </x:c>
      <x:c r="CY92" s="112">
        <x:f>(CV92*CX92)</x:f>
      </x:c>
      <x:c r="CZ92" s="106">
        <x:f>P92</x:f>
      </x:c>
      <x:c r="DB92" s="177">
        <x:v>0.084</x:v>
      </x:c>
      <x:c r="DC92" s="178">
        <x:f>CZ92</x:f>
      </x:c>
      <x:c r="DD92" s="220">
        <x:f>MAX(DB92,CY92)</x:f>
      </x:c>
      <x:c r="DE92" s="178">
        <x:f>DC92</x:f>
      </x:c>
    </x:row>
    <x:row r="93" spans="1:109" ht="18" customHeight="1" s="8" customFormat="1">
      <x:c r="A93" s="605"/>
      <x:c r="B93" s="601"/>
      <x:c r="C93" s="505"/>
      <x:c r="D93" s="505"/>
      <x:c r="E93" s="505"/>
      <x:c r="F93" s="624"/>
      <x:c r="G93" s="625"/>
      <x:c r="H93" s="625"/>
      <x:c r="I93" s="625"/>
      <x:c r="J93" s="625"/>
      <x:c r="K93" s="626"/>
      <x:c r="L93" s="610">
        <x:v>540</x:v>
      </x:c>
      <x:c r="M93" s="611"/>
      <x:c r="N93" s="611"/>
      <x:c r="O93" s="611"/>
      <x:c r="P93" s="612" t="s">
        <x:v>118</x:v>
      </x:c>
      <x:c r="Q93" s="612"/>
      <x:c r="R93" s="613"/>
      <x:c r="S93" s="181" t="s">
        <x:v>124</x:v>
      </x:c>
      <x:c r="T93" s="181"/>
      <x:c r="U93" s="181"/>
      <x:c r="V93" s="181"/>
      <x:c r="W93" s="181"/>
      <x:c r="X93" s="615"/>
      <x:c r="Y93" s="615"/>
      <x:c r="Z93" s="615"/>
      <x:c r="AA93" s="615"/>
      <x:c r="AB93" s="615"/>
      <x:c r="AC93" s="615"/>
      <x:c r="AD93" s="615"/>
      <x:c r="AE93" s="615"/>
      <x:c r="AF93" s="615"/>
      <x:c r="AG93" s="615"/>
      <x:c r="AH93" s="615"/>
      <x:c r="AI93" s="615"/>
      <x:c r="AJ93" s="615"/>
      <x:c r="AK93" s="615"/>
      <x:c r="AL93" s="615"/>
      <x:c r="AM93" s="615">
        <x:f>AVERAGE(X93:AL93)</x:f>
      </x:c>
      <x:c r="AN93" s="615"/>
      <x:c r="AO93" s="615"/>
      <x:c r="AP93" s="615"/>
      <x:c r="AQ93" s="615"/>
      <x:c r="AR93" s="615">
        <x:f>AM93-L93</x:f>
      </x:c>
      <x:c r="AS93" s="615"/>
      <x:c r="AT93" s="615"/>
      <x:c r="AU93" s="615"/>
      <x:c r="AV93" s="615"/>
      <x:c r="AW93" s="505"/>
      <x:c r="AX93" s="505"/>
      <x:c r="AY93" s="505"/>
      <x:c r="AZ93" s="603"/>
      <x:c r="BA93" s="605"/>
      <x:c r="BB93" s="630">
        <x:f>(AM93*1%)+(4*CK93)</x:f>
      </x:c>
      <x:c r="BC93" s="630"/>
      <x:c r="BD93" s="630"/>
      <x:c r="BE93" s="630"/>
      <x:c r="BF93" s="630"/>
      <x:c r="BG93" s="631">
        <x:f>L93+BB93</x:f>
      </x:c>
      <x:c r="BH93" s="631"/>
      <x:c r="BI93" s="631"/>
      <x:c r="BJ93" s="631"/>
      <x:c r="BK93" s="631"/>
      <x:c r="BL93" s="631">
        <x:f>L93-BB93</x:f>
      </x:c>
      <x:c r="BM93" s="631"/>
      <x:c r="BN93" s="631"/>
      <x:c r="BO93" s="631"/>
      <x:c r="BP93" s="631"/>
      <x:c r="BQ93" s="617">
        <x:f>IF(AND(AM93&lt;=BG93,AM93&gt;=BL93),"PASS","FAIL")</x:f>
      </x:c>
      <x:c r="BR93" s="617"/>
      <x:c r="BS93" s="617"/>
      <x:c r="BT93" s="617"/>
      <x:c r="BU93" s="617"/>
      <x:c r="BV93" s="605"/>
      <x:c r="BX93" s="210" t="s">
        <x:v>113</x:v>
      </x:c>
      <x:c r="BY93" s="224">
        <x:v>0.071</x:v>
      </x:c>
      <x:c r="BZ93" s="1">
        <x:f>P93</x:f>
      </x:c>
      <x:c r="CA93" s="180">
        <x:v>2</x:v>
      </x:c>
      <x:c r="CB93" s="78">
        <x:f>BY93/CA93</x:f>
      </x:c>
      <x:c r="CC93" s="4"/>
      <x:c r="CD93" s="73" t="s">
        <x:v>114</x:v>
      </x:c>
      <x:c r="CE93" s="89">
        <x:v>0</x:v>
      </x:c>
      <x:c r="CF93" s="74">
        <x:f>BZ93</x:f>
      </x:c>
      <x:c r="CG93" s="82">
        <x:f>SQRT(3)</x:f>
      </x:c>
      <x:c r="CH93" s="79">
        <x:f>CE93/CG93</x:f>
      </x:c>
      <x:c r="CI93" s="4"/>
      <x:c r="CJ93" s="73" t="s">
        <x:v>115</x:v>
      </x:c>
      <x:c r="CK93" s="183">
        <x:v>0.1</x:v>
      </x:c>
      <x:c r="CL93" s="74">
        <x:f>P93</x:f>
      </x:c>
      <x:c r="CM93" s="82">
        <x:f>SQRT(12)</x:f>
      </x:c>
      <x:c r="CN93" s="79">
        <x:f>CK93/CM93</x:f>
      </x:c>
      <x:c r="CO93" s="4"/>
      <x:c r="CP93" s="73" t="s">
        <x:v>116</x:v>
      </x:c>
      <x:c r="CQ93" s="84">
        <x:f>STDEV(X93:AL93)</x:f>
      </x:c>
      <x:c r="CR93" s="74">
        <x:f>P93</x:f>
      </x:c>
      <x:c r="CS93" s="82">
        <x:f>SQRT(3)</x:f>
      </x:c>
      <x:c r="CT93" s="87">
        <x:f>CQ93/CS93</x:f>
      </x:c>
      <x:c r="CV93" s="96">
        <x:f>SQRT(SUMSQ(CT93,CN93,CH93,CB93))</x:f>
      </x:c>
      <x:c r="CW93" s="89">
        <x:f>(CV93^4)/(((CT93^4)/2)+((CN93^4)/200)+((CH93^4)/200)+((CB93^4)/200))</x:f>
      </x:c>
      <x:c r="CX93" s="97">
        <x:f>ROUND(TINV(0.05,CW93),0)</x:f>
      </x:c>
      <x:c r="CY93" s="113">
        <x:f>(CV93*CX93)</x:f>
      </x:c>
      <x:c r="CZ93" s="108">
        <x:f>P93</x:f>
      </x:c>
      <x:c r="DB93" s="177">
        <x:v>0.084</x:v>
      </x:c>
      <x:c r="DC93" s="178">
        <x:f>CZ93</x:f>
      </x:c>
      <x:c r="DD93" s="220">
        <x:f>MAX(DB93,CY93)</x:f>
      </x:c>
      <x:c r="DE93" s="178">
        <x:f>DC93</x:f>
      </x:c>
    </x:row>
    <x:row r="94" spans="1:109" ht="18" customHeight="1" s="8" customFormat="1">
      <x:c r="A94" s="605"/>
      <x:c r="B94" s="601"/>
      <x:c r="C94" s="505"/>
      <x:c r="D94" s="505"/>
      <x:c r="E94" s="505"/>
      <x:c r="F94" s="607" t="s">
        <x:v>121</x:v>
      </x:c>
      <x:c r="G94" s="608"/>
      <x:c r="H94" s="608"/>
      <x:c r="I94" s="608"/>
      <x:c r="J94" s="608"/>
      <x:c r="K94" s="609"/>
      <x:c r="L94" s="610">
        <x:f>1000*10%</x:f>
      </x:c>
      <x:c r="M94" s="611"/>
      <x:c r="N94" s="611"/>
      <x:c r="O94" s="611"/>
      <x:c r="P94" s="612" t="s">
        <x:v>118</x:v>
      </x:c>
      <x:c r="Q94" s="612"/>
      <x:c r="R94" s="613"/>
      <x:c r="S94" s="181" t="s">
        <x:v>123</x:v>
      </x:c>
      <x:c r="T94" s="181"/>
      <x:c r="U94" s="181"/>
      <x:c r="V94" s="181"/>
      <x:c r="W94" s="181"/>
      <x:c r="X94" s="631"/>
      <x:c r="Y94" s="631"/>
      <x:c r="Z94" s="631"/>
      <x:c r="AA94" s="631"/>
      <x:c r="AB94" s="631"/>
      <x:c r="AC94" s="631"/>
      <x:c r="AD94" s="631"/>
      <x:c r="AE94" s="631"/>
      <x:c r="AF94" s="631"/>
      <x:c r="AG94" s="631"/>
      <x:c r="AH94" s="631"/>
      <x:c r="AI94" s="631"/>
      <x:c r="AJ94" s="631"/>
      <x:c r="AK94" s="631"/>
      <x:c r="AL94" s="631"/>
      <x:c r="AM94" s="631">
        <x:f>AVERAGE(X94:AL94)</x:f>
      </x:c>
      <x:c r="AN94" s="631"/>
      <x:c r="AO94" s="631"/>
      <x:c r="AP94" s="631"/>
      <x:c r="AQ94" s="631"/>
      <x:c r="AR94" s="631">
        <x:f>AM94-L94</x:f>
      </x:c>
      <x:c r="AS94" s="631"/>
      <x:c r="AT94" s="631"/>
      <x:c r="AU94" s="631"/>
      <x:c r="AV94" s="631"/>
      <x:c r="AW94" s="505"/>
      <x:c r="AX94" s="505"/>
      <x:c r="AY94" s="505"/>
      <x:c r="AZ94" s="603"/>
      <x:c r="BA94" s="605"/>
      <x:c r="BB94" s="630">
        <x:f>(AM94*0.7%)+(2*CK94)</x:f>
      </x:c>
      <x:c r="BC94" s="630"/>
      <x:c r="BD94" s="630"/>
      <x:c r="BE94" s="630"/>
      <x:c r="BF94" s="630"/>
      <x:c r="BG94" s="631">
        <x:f>L94+BB94</x:f>
      </x:c>
      <x:c r="BH94" s="631"/>
      <x:c r="BI94" s="631"/>
      <x:c r="BJ94" s="631"/>
      <x:c r="BK94" s="631"/>
      <x:c r="BL94" s="631">
        <x:f>L94-BB94</x:f>
      </x:c>
      <x:c r="BM94" s="631"/>
      <x:c r="BN94" s="631"/>
      <x:c r="BO94" s="631"/>
      <x:c r="BP94" s="631"/>
      <x:c r="BQ94" s="617">
        <x:f>IF(AND(AM94&lt;=BG94,AM94&gt;=BL94),"PASS","FAIL")</x:f>
      </x:c>
      <x:c r="BR94" s="617"/>
      <x:c r="BS94" s="617"/>
      <x:c r="BT94" s="617"/>
      <x:c r="BU94" s="617"/>
      <x:c r="BV94" s="605"/>
      <x:c r="BX94" s="72" t="s">
        <x:v>113</x:v>
      </x:c>
      <x:c r="BY94" s="224">
        <x:v>0.071</x:v>
      </x:c>
      <x:c r="BZ94" s="76">
        <x:f>P94</x:f>
      </x:c>
      <x:c r="CA94" s="175">
        <x:v>2</x:v>
      </x:c>
      <x:c r="CB94" s="209">
        <x:f>BY94/CA94</x:f>
      </x:c>
      <x:c r="CC94" s="4"/>
      <x:c r="CD94" s="72" t="s">
        <x:v>114</x:v>
      </x:c>
      <x:c r="CE94" s="5">
        <x:v>0</x:v>
      </x:c>
      <x:c r="CF94" s="1">
        <x:f>BZ94</x:f>
      </x:c>
      <x:c r="CG94" s="81">
        <x:f>SQRT(3)</x:f>
      </x:c>
      <x:c r="CH94" s="78">
        <x:f>CE94/CG94</x:f>
      </x:c>
      <x:c r="CI94" s="4"/>
      <x:c r="CJ94" s="72" t="s">
        <x:v>115</x:v>
      </x:c>
      <x:c r="CK94" s="181">
        <x:v>1</x:v>
      </x:c>
      <x:c r="CL94" s="1">
        <x:f>P94</x:f>
      </x:c>
      <x:c r="CM94" s="81">
        <x:f>SQRT(12)</x:f>
      </x:c>
      <x:c r="CN94" s="78">
        <x:f>CK94/CM94</x:f>
      </x:c>
      <x:c r="CO94" s="4"/>
      <x:c r="CP94" s="72" t="s">
        <x:v>116</x:v>
      </x:c>
      <x:c r="CQ94" s="6">
        <x:f>STDEV(X94:AL94)</x:f>
      </x:c>
      <x:c r="CR94" s="1">
        <x:f>P94</x:f>
      </x:c>
      <x:c r="CS94" s="81">
        <x:f>SQRT(3)</x:f>
      </x:c>
      <x:c r="CT94" s="86">
        <x:f>CQ94/CS94</x:f>
      </x:c>
      <x:c r="CV94" s="94">
        <x:f>SQRT(SUMSQ(CT94,CN94,CH94,CB94))</x:f>
      </x:c>
      <x:c r="CW94" s="5">
        <x:f>(CV94^4)/(((CT94^4)/2)+((CN94^4)/200)+((CH94^4)/200)+((CB94^4)/200))</x:f>
      </x:c>
      <x:c r="CX94" s="95">
        <x:f>ROUND(TINV(0.05,CW94),0)</x:f>
      </x:c>
      <x:c r="CY94" s="112">
        <x:f>(CV94*CX94)</x:f>
      </x:c>
      <x:c r="CZ94" s="106">
        <x:f>P94</x:f>
      </x:c>
      <x:c r="DB94" s="177">
        <x:v>0.0064</x:v>
      </x:c>
      <x:c r="DC94" s="178">
        <x:f>CZ94</x:f>
      </x:c>
      <x:c r="DD94" s="220">
        <x:f>MAX(DB94,CY94)</x:f>
      </x:c>
      <x:c r="DE94" s="178">
        <x:f>DC94</x:f>
      </x:c>
    </x:row>
    <x:row r="95" spans="1:109" ht="18" customHeight="1" s="8" customFormat="1">
      <x:c r="A95" s="605"/>
      <x:c r="B95" s="601"/>
      <x:c r="C95" s="505"/>
      <x:c r="D95" s="505"/>
      <x:c r="E95" s="505"/>
      <x:c r="F95" s="618"/>
      <x:c r="G95" s="619"/>
      <x:c r="H95" s="619"/>
      <x:c r="I95" s="619"/>
      <x:c r="J95" s="619"/>
      <x:c r="K95" s="620"/>
      <x:c r="L95" s="610">
        <x:f>1000*10%</x:f>
      </x:c>
      <x:c r="M95" s="611"/>
      <x:c r="N95" s="611"/>
      <x:c r="O95" s="611"/>
      <x:c r="P95" s="612" t="s">
        <x:v>118</x:v>
      </x:c>
      <x:c r="Q95" s="612"/>
      <x:c r="R95" s="613"/>
      <x:c r="S95" s="181" t="s">
        <x:v>124</x:v>
      </x:c>
      <x:c r="T95" s="181"/>
      <x:c r="U95" s="181"/>
      <x:c r="V95" s="181"/>
      <x:c r="W95" s="181"/>
      <x:c r="X95" s="631"/>
      <x:c r="Y95" s="631"/>
      <x:c r="Z95" s="631"/>
      <x:c r="AA95" s="631"/>
      <x:c r="AB95" s="631"/>
      <x:c r="AC95" s="631"/>
      <x:c r="AD95" s="631"/>
      <x:c r="AE95" s="631"/>
      <x:c r="AF95" s="631"/>
      <x:c r="AG95" s="631"/>
      <x:c r="AH95" s="631"/>
      <x:c r="AI95" s="631"/>
      <x:c r="AJ95" s="631"/>
      <x:c r="AK95" s="631"/>
      <x:c r="AL95" s="631"/>
      <x:c r="AM95" s="631">
        <x:f>AVERAGE(X95:AL95)</x:f>
      </x:c>
      <x:c r="AN95" s="631"/>
      <x:c r="AO95" s="631"/>
      <x:c r="AP95" s="631"/>
      <x:c r="AQ95" s="631"/>
      <x:c r="AR95" s="631">
        <x:f>AM95-L95</x:f>
      </x:c>
      <x:c r="AS95" s="631"/>
      <x:c r="AT95" s="631"/>
      <x:c r="AU95" s="631"/>
      <x:c r="AV95" s="631"/>
      <x:c r="AW95" s="505"/>
      <x:c r="AX95" s="505"/>
      <x:c r="AY95" s="505"/>
      <x:c r="AZ95" s="603"/>
      <x:c r="BA95" s="605"/>
      <x:c r="BB95" s="630">
        <x:f>(AM95*1%)+(4*CK95)</x:f>
      </x:c>
      <x:c r="BC95" s="630"/>
      <x:c r="BD95" s="630"/>
      <x:c r="BE95" s="630"/>
      <x:c r="BF95" s="630"/>
      <x:c r="BG95" s="631">
        <x:f>L95+BB95</x:f>
      </x:c>
      <x:c r="BH95" s="631"/>
      <x:c r="BI95" s="631"/>
      <x:c r="BJ95" s="631"/>
      <x:c r="BK95" s="631"/>
      <x:c r="BL95" s="631">
        <x:f>L95-BB95</x:f>
      </x:c>
      <x:c r="BM95" s="631"/>
      <x:c r="BN95" s="631"/>
      <x:c r="BO95" s="631"/>
      <x:c r="BP95" s="631"/>
      <x:c r="BQ95" s="617">
        <x:f>IF(AND(AM95&lt;=BG95,AM95&gt;=BL95),"PASS","FAIL")</x:f>
      </x:c>
      <x:c r="BR95" s="617"/>
      <x:c r="BS95" s="617"/>
      <x:c r="BT95" s="617"/>
      <x:c r="BU95" s="617"/>
      <x:c r="BV95" s="605"/>
      <x:c r="BX95" s="72" t="s">
        <x:v>113</x:v>
      </x:c>
      <x:c r="BY95" s="224">
        <x:v>0.071</x:v>
      </x:c>
      <x:c r="BZ95" s="1">
        <x:f>P95</x:f>
      </x:c>
      <x:c r="CA95" s="180">
        <x:v>2</x:v>
      </x:c>
      <x:c r="CB95" s="78">
        <x:f>BY95/CA95</x:f>
      </x:c>
      <x:c r="CC95" s="4"/>
      <x:c r="CD95" s="72" t="s">
        <x:v>114</x:v>
      </x:c>
      <x:c r="CE95" s="5">
        <x:v>0</x:v>
      </x:c>
      <x:c r="CF95" s="1">
        <x:f>BZ95</x:f>
      </x:c>
      <x:c r="CG95" s="81">
        <x:f>SQRT(3)</x:f>
      </x:c>
      <x:c r="CH95" s="78">
        <x:f>CE95/CG95</x:f>
      </x:c>
      <x:c r="CI95" s="4"/>
      <x:c r="CJ95" s="72" t="s">
        <x:v>115</x:v>
      </x:c>
      <x:c r="CK95" s="181">
        <x:v>1</x:v>
      </x:c>
      <x:c r="CL95" s="1">
        <x:f>P95</x:f>
      </x:c>
      <x:c r="CM95" s="81">
        <x:f>SQRT(12)</x:f>
      </x:c>
      <x:c r="CN95" s="78">
        <x:f>CK95/CM95</x:f>
      </x:c>
      <x:c r="CO95" s="4"/>
      <x:c r="CP95" s="72" t="s">
        <x:v>116</x:v>
      </x:c>
      <x:c r="CQ95" s="6">
        <x:f>STDEV(X95:AL95)</x:f>
      </x:c>
      <x:c r="CR95" s="1">
        <x:f>P95</x:f>
      </x:c>
      <x:c r="CS95" s="81">
        <x:f>SQRT(3)</x:f>
      </x:c>
      <x:c r="CT95" s="86">
        <x:f>CQ95/CS95</x:f>
      </x:c>
      <x:c r="CV95" s="94">
        <x:f>SQRT(SUMSQ(CT95,CN95,CH95,CB95))</x:f>
      </x:c>
      <x:c r="CW95" s="5">
        <x:f>(CV95^4)/(((CT95^4)/2)+((CN95^4)/200)+((CH95^4)/200)+((CB95^4)/200))</x:f>
      </x:c>
      <x:c r="CX95" s="95">
        <x:f>ROUND(TINV(0.05,CW95),0)</x:f>
      </x:c>
      <x:c r="CY95" s="112">
        <x:f>(CV95*CX95)</x:f>
      </x:c>
      <x:c r="CZ95" s="106">
        <x:f>P95</x:f>
      </x:c>
      <x:c r="DB95" s="177">
        <x:v>0.0064</x:v>
      </x:c>
      <x:c r="DC95" s="178">
        <x:f>CZ95</x:f>
      </x:c>
      <x:c r="DD95" s="220">
        <x:f>MAX(DB95,CY95)</x:f>
      </x:c>
      <x:c r="DE95" s="178">
        <x:f>DC95</x:f>
      </x:c>
    </x:row>
    <x:row r="96" spans="1:109" ht="18" customHeight="1" s="8" customFormat="1">
      <x:c r="A96" s="605"/>
      <x:c r="B96" s="601"/>
      <x:c r="C96" s="505"/>
      <x:c r="D96" s="505"/>
      <x:c r="E96" s="505"/>
      <x:c r="F96" s="618"/>
      <x:c r="G96" s="619"/>
      <x:c r="H96" s="619"/>
      <x:c r="I96" s="619"/>
      <x:c r="J96" s="619"/>
      <x:c r="K96" s="620"/>
      <x:c r="L96" s="610">
        <x:f>1000*90%</x:f>
      </x:c>
      <x:c r="M96" s="611"/>
      <x:c r="N96" s="611"/>
      <x:c r="O96" s="611"/>
      <x:c r="P96" s="612" t="s">
        <x:v>118</x:v>
      </x:c>
      <x:c r="Q96" s="612"/>
      <x:c r="R96" s="613"/>
      <x:c r="S96" s="181" t="s">
        <x:v>123</x:v>
      </x:c>
      <x:c r="T96" s="181"/>
      <x:c r="U96" s="181"/>
      <x:c r="V96" s="181"/>
      <x:c r="W96" s="181"/>
      <x:c r="X96" s="631"/>
      <x:c r="Y96" s="631"/>
      <x:c r="Z96" s="631"/>
      <x:c r="AA96" s="631"/>
      <x:c r="AB96" s="631"/>
      <x:c r="AC96" s="631"/>
      <x:c r="AD96" s="631"/>
      <x:c r="AE96" s="631"/>
      <x:c r="AF96" s="631"/>
      <x:c r="AG96" s="631"/>
      <x:c r="AH96" s="631"/>
      <x:c r="AI96" s="631"/>
      <x:c r="AJ96" s="631"/>
      <x:c r="AK96" s="631"/>
      <x:c r="AL96" s="631"/>
      <x:c r="AM96" s="631">
        <x:f>AVERAGE(X96:AL96)</x:f>
      </x:c>
      <x:c r="AN96" s="631"/>
      <x:c r="AO96" s="631"/>
      <x:c r="AP96" s="631"/>
      <x:c r="AQ96" s="631"/>
      <x:c r="AR96" s="631">
        <x:f>AM96-L96</x:f>
      </x:c>
      <x:c r="AS96" s="631"/>
      <x:c r="AT96" s="631"/>
      <x:c r="AU96" s="631"/>
      <x:c r="AV96" s="631"/>
      <x:c r="AW96" s="505"/>
      <x:c r="AX96" s="505"/>
      <x:c r="AY96" s="505"/>
      <x:c r="AZ96" s="603"/>
      <x:c r="BA96" s="605"/>
      <x:c r="BB96" s="630">
        <x:f>(AM96*0.7%)+(2*CK96)</x:f>
      </x:c>
      <x:c r="BC96" s="630"/>
      <x:c r="BD96" s="630"/>
      <x:c r="BE96" s="630"/>
      <x:c r="BF96" s="630"/>
      <x:c r="BG96" s="631">
        <x:f>L96+BB96</x:f>
      </x:c>
      <x:c r="BH96" s="631"/>
      <x:c r="BI96" s="631"/>
      <x:c r="BJ96" s="631"/>
      <x:c r="BK96" s="631"/>
      <x:c r="BL96" s="631">
        <x:f>L96-BB96</x:f>
      </x:c>
      <x:c r="BM96" s="631"/>
      <x:c r="BN96" s="631"/>
      <x:c r="BO96" s="631"/>
      <x:c r="BP96" s="631"/>
      <x:c r="BQ96" s="617">
        <x:f>IF(AND(AM96&lt;=BG96,AM96&gt;=BL96),"PASS","FAIL")</x:f>
      </x:c>
      <x:c r="BR96" s="617"/>
      <x:c r="BS96" s="617"/>
      <x:c r="BT96" s="617"/>
      <x:c r="BU96" s="617"/>
      <x:c r="BV96" s="605"/>
      <x:c r="BX96" s="72" t="s">
        <x:v>113</x:v>
      </x:c>
      <x:c r="BY96" s="224">
        <x:v>0.071</x:v>
      </x:c>
      <x:c r="BZ96" s="1">
        <x:f>P96</x:f>
      </x:c>
      <x:c r="CA96" s="180">
        <x:v>2</x:v>
      </x:c>
      <x:c r="CB96" s="78">
        <x:f>BY96/CA96</x:f>
      </x:c>
      <x:c r="CC96" s="4"/>
      <x:c r="CD96" s="72" t="s">
        <x:v>114</x:v>
      </x:c>
      <x:c r="CE96" s="5">
        <x:v>0</x:v>
      </x:c>
      <x:c r="CF96" s="1">
        <x:f>BZ96</x:f>
      </x:c>
      <x:c r="CG96" s="81">
        <x:f>SQRT(3)</x:f>
      </x:c>
      <x:c r="CH96" s="78">
        <x:f>CE96/CG96</x:f>
      </x:c>
      <x:c r="CI96" s="4"/>
      <x:c r="CJ96" s="72" t="s">
        <x:v>115</x:v>
      </x:c>
      <x:c r="CK96" s="181">
        <x:v>1</x:v>
      </x:c>
      <x:c r="CL96" s="1">
        <x:f>P96</x:f>
      </x:c>
      <x:c r="CM96" s="81">
        <x:f>SQRT(12)</x:f>
      </x:c>
      <x:c r="CN96" s="78">
        <x:f>CK96/CM96</x:f>
      </x:c>
      <x:c r="CO96" s="4"/>
      <x:c r="CP96" s="72" t="s">
        <x:v>116</x:v>
      </x:c>
      <x:c r="CQ96" s="6">
        <x:f>STDEV(X96:AL96)</x:f>
      </x:c>
      <x:c r="CR96" s="1">
        <x:f>P96</x:f>
      </x:c>
      <x:c r="CS96" s="81">
        <x:f>SQRT(3)</x:f>
      </x:c>
      <x:c r="CT96" s="86">
        <x:f>CQ96/CS96</x:f>
      </x:c>
      <x:c r="CV96" s="94">
        <x:f>SQRT(SUMSQ(CT96,CN96,CH96,CB96))</x:f>
      </x:c>
      <x:c r="CW96" s="5">
        <x:f>(CV96^4)/(((CT96^4)/2)+((CN96^4)/200)+((CH96^4)/200)+((CB96^4)/200))</x:f>
      </x:c>
      <x:c r="CX96" s="95">
        <x:f>ROUND(TINV(0.05,CW96),0)</x:f>
      </x:c>
      <x:c r="CY96" s="112">
        <x:f>(CV96*CX96)</x:f>
      </x:c>
      <x:c r="CZ96" s="106">
        <x:f>P96</x:f>
      </x:c>
      <x:c r="DB96" s="177">
        <x:v>0.084</x:v>
      </x:c>
      <x:c r="DC96" s="178">
        <x:f>CZ96</x:f>
      </x:c>
      <x:c r="DD96" s="220">
        <x:f>MAX(DB96,CY96)</x:f>
      </x:c>
      <x:c r="DE96" s="178">
        <x:f>DC96</x:f>
      </x:c>
    </x:row>
    <x:row r="97" spans="1:109" ht="18" customHeight="1" s="8" customFormat="1">
      <x:c r="A97" s="605"/>
      <x:c r="B97" s="601"/>
      <x:c r="C97" s="505"/>
      <x:c r="D97" s="505"/>
      <x:c r="E97" s="505"/>
      <x:c r="F97" s="624"/>
      <x:c r="G97" s="625"/>
      <x:c r="H97" s="625"/>
      <x:c r="I97" s="625"/>
      <x:c r="J97" s="625"/>
      <x:c r="K97" s="626"/>
      <x:c r="L97" s="610">
        <x:f>1000*90%</x:f>
      </x:c>
      <x:c r="M97" s="611"/>
      <x:c r="N97" s="611"/>
      <x:c r="O97" s="611"/>
      <x:c r="P97" s="612" t="s">
        <x:v>118</x:v>
      </x:c>
      <x:c r="Q97" s="612"/>
      <x:c r="R97" s="613"/>
      <x:c r="S97" s="181" t="s">
        <x:v>124</x:v>
      </x:c>
      <x:c r="T97" s="181"/>
      <x:c r="U97" s="181"/>
      <x:c r="V97" s="181"/>
      <x:c r="W97" s="181"/>
      <x:c r="X97" s="631"/>
      <x:c r="Y97" s="631"/>
      <x:c r="Z97" s="631"/>
      <x:c r="AA97" s="631"/>
      <x:c r="AB97" s="631"/>
      <x:c r="AC97" s="631"/>
      <x:c r="AD97" s="631"/>
      <x:c r="AE97" s="631"/>
      <x:c r="AF97" s="631"/>
      <x:c r="AG97" s="631"/>
      <x:c r="AH97" s="631"/>
      <x:c r="AI97" s="631"/>
      <x:c r="AJ97" s="631"/>
      <x:c r="AK97" s="631"/>
      <x:c r="AL97" s="631"/>
      <x:c r="AM97" s="631">
        <x:f>AVERAGE(X97:AL97)</x:f>
      </x:c>
      <x:c r="AN97" s="631"/>
      <x:c r="AO97" s="631"/>
      <x:c r="AP97" s="631"/>
      <x:c r="AQ97" s="631"/>
      <x:c r="AR97" s="631">
        <x:f>AM97-L97</x:f>
      </x:c>
      <x:c r="AS97" s="631"/>
      <x:c r="AT97" s="631"/>
      <x:c r="AU97" s="631"/>
      <x:c r="AV97" s="631"/>
      <x:c r="AW97" s="505"/>
      <x:c r="AX97" s="505"/>
      <x:c r="AY97" s="505"/>
      <x:c r="AZ97" s="603"/>
      <x:c r="BA97" s="605"/>
      <x:c r="BB97" s="630">
        <x:f>(AM97*1%)+(4*CK97)</x:f>
      </x:c>
      <x:c r="BC97" s="630"/>
      <x:c r="BD97" s="630"/>
      <x:c r="BE97" s="630"/>
      <x:c r="BF97" s="630"/>
      <x:c r="BG97" s="631">
        <x:f>L97+BB97</x:f>
      </x:c>
      <x:c r="BH97" s="631"/>
      <x:c r="BI97" s="631"/>
      <x:c r="BJ97" s="631"/>
      <x:c r="BK97" s="631"/>
      <x:c r="BL97" s="631">
        <x:f>L97-BB97</x:f>
      </x:c>
      <x:c r="BM97" s="631"/>
      <x:c r="BN97" s="631"/>
      <x:c r="BO97" s="631"/>
      <x:c r="BP97" s="631"/>
      <x:c r="BQ97" s="617">
        <x:f>IF(AND(AM97&lt;=BG97,AM97&gt;=BL97),"PASS","FAIL")</x:f>
      </x:c>
      <x:c r="BR97" s="617"/>
      <x:c r="BS97" s="617"/>
      <x:c r="BT97" s="617"/>
      <x:c r="BU97" s="617"/>
      <x:c r="BV97" s="605"/>
      <x:c r="BX97" s="73" t="s">
        <x:v>113</x:v>
      </x:c>
      <x:c r="BY97" s="225">
        <x:v>0.071</x:v>
      </x:c>
      <x:c r="BZ97" s="74">
        <x:f>P97</x:f>
      </x:c>
      <x:c r="CA97" s="182">
        <x:v>2</x:v>
      </x:c>
      <x:c r="CB97" s="79">
        <x:f>BY97/CA97</x:f>
      </x:c>
      <x:c r="CC97" s="4"/>
      <x:c r="CD97" s="73" t="s">
        <x:v>114</x:v>
      </x:c>
      <x:c r="CE97" s="89">
        <x:v>0</x:v>
      </x:c>
      <x:c r="CF97" s="74">
        <x:f>BZ97</x:f>
      </x:c>
      <x:c r="CG97" s="82">
        <x:f>SQRT(3)</x:f>
      </x:c>
      <x:c r="CH97" s="79">
        <x:f>CE97/CG97</x:f>
      </x:c>
      <x:c r="CI97" s="4"/>
      <x:c r="CJ97" s="73" t="s">
        <x:v>115</x:v>
      </x:c>
      <x:c r="CK97" s="183">
        <x:v>1</x:v>
      </x:c>
      <x:c r="CL97" s="74">
        <x:f>P97</x:f>
      </x:c>
      <x:c r="CM97" s="82">
        <x:f>SQRT(12)</x:f>
      </x:c>
      <x:c r="CN97" s="79">
        <x:f>CK97/CM97</x:f>
      </x:c>
      <x:c r="CO97" s="4"/>
      <x:c r="CP97" s="73" t="s">
        <x:v>116</x:v>
      </x:c>
      <x:c r="CQ97" s="84">
        <x:f>STDEV(X97:AL97)</x:f>
      </x:c>
      <x:c r="CR97" s="74">
        <x:f>P97</x:f>
      </x:c>
      <x:c r="CS97" s="82">
        <x:f>SQRT(3)</x:f>
      </x:c>
      <x:c r="CT97" s="87">
        <x:f>CQ97/CS97</x:f>
      </x:c>
      <x:c r="CV97" s="96">
        <x:f>SQRT(SUMSQ(CT97,CN97,CH97,CB97))</x:f>
      </x:c>
      <x:c r="CW97" s="89">
        <x:f>(CV97^4)/(((CT97^4)/2)+((CN97^4)/200)+((CH97^4)/200)+((CB97^4)/200))</x:f>
      </x:c>
      <x:c r="CX97" s="97">
        <x:f>ROUND(TINV(0.05,CW97),0)</x:f>
      </x:c>
      <x:c r="CY97" s="113">
        <x:f>(CV97*CX97)</x:f>
      </x:c>
      <x:c r="CZ97" s="108">
        <x:f>P97</x:f>
      </x:c>
      <x:c r="DB97" s="177">
        <x:v>0.084</x:v>
      </x:c>
      <x:c r="DC97" s="178">
        <x:f>CZ97</x:f>
      </x:c>
      <x:c r="DD97" s="220">
        <x:f>MAX(DB97,CY97)</x:f>
      </x:c>
      <x:c r="DE97" s="178">
        <x:f>DC97</x:f>
      </x:c>
    </x:row>
    <x:row r="98" spans="1:109" ht="14.25" customHeight="1" s="143" customFormat="1">
      <x:c r="A98" s="502"/>
      <x:c r="B98" s="597"/>
      <x:c r="C98" s="598"/>
      <x:c r="D98" s="598"/>
      <x:c r="E98" s="598"/>
      <x:c r="F98" s="635"/>
      <x:c r="G98" s="635"/>
      <x:c r="H98" s="635"/>
      <x:c r="I98" s="635"/>
      <x:c r="J98" s="635"/>
      <x:c r="K98" s="635"/>
      <x:c r="L98" s="636"/>
      <x:c r="M98" s="636"/>
      <x:c r="N98" s="636"/>
      <x:c r="O98" s="636"/>
      <x:c r="P98" s="637"/>
      <x:c r="Q98" s="637"/>
      <x:c r="R98" s="637"/>
      <x:c r="S98" s="638"/>
      <x:c r="T98" s="638"/>
      <x:c r="U98" s="638"/>
      <x:c r="V98" s="638"/>
      <x:c r="W98" s="638"/>
      <x:c r="X98" s="639"/>
      <x:c r="Y98" s="639"/>
      <x:c r="Z98" s="639"/>
      <x:c r="AA98" s="639"/>
      <x:c r="AB98" s="639"/>
      <x:c r="AC98" s="639"/>
      <x:c r="AD98" s="639"/>
      <x:c r="AE98" s="639"/>
      <x:c r="AF98" s="639"/>
      <x:c r="AG98" s="639"/>
      <x:c r="AH98" s="639"/>
      <x:c r="AI98" s="639"/>
      <x:c r="AJ98" s="639"/>
      <x:c r="AK98" s="639"/>
      <x:c r="AL98" s="639"/>
      <x:c r="AM98" s="639"/>
      <x:c r="AN98" s="639"/>
      <x:c r="AO98" s="639"/>
      <x:c r="AP98" s="639"/>
      <x:c r="AQ98" s="639"/>
      <x:c r="AR98" s="639"/>
      <x:c r="AS98" s="639"/>
      <x:c r="AT98" s="639"/>
      <x:c r="AU98" s="639"/>
      <x:c r="AV98" s="639"/>
      <x:c r="AW98" s="598"/>
      <x:c r="AX98" s="598"/>
      <x:c r="AY98" s="598"/>
      <x:c r="AZ98" s="599"/>
      <x:c r="BA98" s="502"/>
      <x:c r="BB98" s="502"/>
      <x:c r="BC98" s="502"/>
      <x:c r="BD98" s="502"/>
      <x:c r="BE98" s="502"/>
      <x:c r="BF98" s="502"/>
      <x:c r="BG98" s="640"/>
      <x:c r="BH98" s="640"/>
      <x:c r="BI98" s="640"/>
      <x:c r="BJ98" s="640"/>
      <x:c r="BK98" s="640"/>
      <x:c r="BL98" s="640"/>
      <x:c r="BM98" s="640"/>
      <x:c r="BN98" s="640"/>
      <x:c r="BO98" s="640"/>
      <x:c r="BP98" s="640"/>
      <x:c r="BQ98" s="641"/>
      <x:c r="BR98" s="641"/>
      <x:c r="BS98" s="641"/>
      <x:c r="BT98" s="641"/>
      <x:c r="BU98" s="641"/>
      <x:c r="BV98" s="502"/>
      <x:c r="BX98" s="9"/>
      <x:c r="BY98" s="12"/>
      <x:c r="BZ98" s="10"/>
      <x:c r="CA98" s="9"/>
      <x:c r="CB98" s="11"/>
      <x:c r="CC98" s="11"/>
      <x:c r="CD98" s="9"/>
      <x:c r="CE98" s="12"/>
      <x:c r="CF98" s="10"/>
      <x:c r="CG98" s="13"/>
      <x:c r="CH98" s="11"/>
      <x:c r="CI98" s="11"/>
      <x:c r="CJ98" s="9"/>
      <x:c r="CK98" s="9"/>
      <x:c r="CL98" s="10"/>
      <x:c r="CM98" s="13"/>
      <x:c r="CN98" s="11"/>
      <x:c r="CO98" s="11"/>
      <x:c r="CP98" s="9"/>
      <x:c r="CQ98" s="14"/>
      <x:c r="CR98" s="10"/>
      <x:c r="CS98" s="13"/>
      <x:c r="CT98" s="14"/>
      <x:c r="CU98" s="15"/>
      <x:c r="CV98" s="11"/>
      <x:c r="CW98" s="12"/>
      <x:c r="CX98" s="16"/>
      <x:c r="CY98" s="17"/>
      <x:c r="CZ98" s="18"/>
      <x:c r="DA98" s="15"/>
    </x:row>
    <x:row r="99" spans="1:109" ht="12.75" customHeight="1" s="7" customFormat="1">
      <x:c r="A99" s="600"/>
      <x:c r="B99" s="601"/>
      <x:c r="C99" s="505"/>
      <x:c r="D99" s="504"/>
      <x:c r="E99" s="505"/>
      <x:c r="F99" s="602" t="s">
        <x:v>125</x:v>
      </x:c>
      <x:c r="G99" s="505"/>
      <x:c r="H99" s="505"/>
      <x:c r="I99" s="505"/>
      <x:c r="J99" s="505"/>
      <x:c r="K99" s="505"/>
      <x:c r="L99" s="505"/>
      <x:c r="M99" s="505"/>
      <x:c r="N99" s="505"/>
      <x:c r="O99" s="505"/>
      <x:c r="P99" s="505"/>
      <x:c r="Q99" s="505"/>
      <x:c r="R99" s="505"/>
      <x:c r="S99" s="505"/>
      <x:c r="T99" s="505"/>
      <x:c r="U99" s="505"/>
      <x:c r="V99" s="505"/>
      <x:c r="W99" s="505"/>
      <x:c r="X99" s="505"/>
      <x:c r="Y99" s="505"/>
      <x:c r="Z99" s="505"/>
      <x:c r="AA99" s="505"/>
      <x:c r="AB99" s="505"/>
      <x:c r="AC99" s="505"/>
      <x:c r="AD99" s="505"/>
      <x:c r="AE99" s="505"/>
      <x:c r="AF99" s="505"/>
      <x:c r="AG99" s="505"/>
      <x:c r="AH99" s="505"/>
      <x:c r="AI99" s="505"/>
      <x:c r="AJ99" s="505"/>
      <x:c r="AK99" s="505"/>
      <x:c r="AL99" s="505"/>
      <x:c r="AM99" s="505"/>
      <x:c r="AN99" s="505"/>
      <x:c r="AO99" s="505"/>
      <x:c r="AP99" s="505"/>
      <x:c r="AQ99" s="505"/>
      <x:c r="AR99" s="505"/>
      <x:c r="AS99" s="505"/>
      <x:c r="AT99" s="505"/>
      <x:c r="AU99" s="505"/>
      <x:c r="AV99" s="505"/>
      <x:c r="AW99" s="505"/>
      <x:c r="AX99" s="505"/>
      <x:c r="AY99" s="505"/>
      <x:c r="AZ99" s="603"/>
      <x:c r="BA99" s="600"/>
      <x:c r="BB99" s="604" t="s">
        <x:v>87</x:v>
      </x:c>
      <x:c r="BC99" s="604"/>
      <x:c r="BD99" s="604"/>
      <x:c r="BE99" s="604"/>
      <x:c r="BF99" s="604"/>
      <x:c r="BG99" s="604"/>
      <x:c r="BH99" s="604"/>
      <x:c r="BI99" s="604"/>
      <x:c r="BJ99" s="604"/>
      <x:c r="BK99" s="604"/>
      <x:c r="BL99" s="604"/>
      <x:c r="BM99" s="604"/>
      <x:c r="BN99" s="604"/>
      <x:c r="BO99" s="604"/>
      <x:c r="BP99" s="604"/>
      <x:c r="BQ99" s="604"/>
      <x:c r="BR99" s="604"/>
      <x:c r="BS99" s="604"/>
      <x:c r="BT99" s="604"/>
      <x:c r="BU99" s="604"/>
      <x:c r="BV99" s="600"/>
      <x:c r="BX99" s="370" t="s">
        <x:v>88</x:v>
      </x:c>
      <x:c r="BY99" s="371"/>
      <x:c r="BZ99" s="371"/>
      <x:c r="CA99" s="371"/>
      <x:c r="CB99" s="372"/>
      <x:c r="CC99" s="2"/>
      <x:c r="CD99" s="370" t="s">
        <x:v>88</x:v>
      </x:c>
      <x:c r="CE99" s="371"/>
      <x:c r="CF99" s="371"/>
      <x:c r="CG99" s="371"/>
      <x:c r="CH99" s="372"/>
      <x:c r="CI99" s="2"/>
      <x:c r="CJ99" s="370" t="s">
        <x:v>89</x:v>
      </x:c>
      <x:c r="CK99" s="371"/>
      <x:c r="CL99" s="371"/>
      <x:c r="CM99" s="371"/>
      <x:c r="CN99" s="372"/>
      <x:c r="CO99" s="2"/>
      <x:c r="CP99" s="370" t="s">
        <x:v>89</x:v>
      </x:c>
      <x:c r="CQ99" s="371"/>
      <x:c r="CR99" s="371"/>
      <x:c r="CS99" s="371"/>
      <x:c r="CT99" s="372"/>
      <x:c r="CV99" s="370" t="s">
        <x:v>90</x:v>
      </x:c>
      <x:c r="CW99" s="371"/>
      <x:c r="CX99" s="371"/>
      <x:c r="CY99" s="371"/>
      <x:c r="CZ99" s="372"/>
      <x:c r="DB99" s="361" t="s">
        <x:v>91</x:v>
      </x:c>
      <x:c r="DC99" s="359"/>
      <x:c r="DD99" s="361" t="s">
        <x:v>92</x:v>
      </x:c>
      <x:c r="DE99" s="361"/>
    </x:row>
    <x:row r="100" spans="1:109" ht="18" customHeight="1" s="8" customFormat="1">
      <x:c r="A100" s="605"/>
      <x:c r="B100" s="601"/>
      <x:c r="C100" s="505"/>
      <x:c r="D100" s="505"/>
      <x:c r="E100" s="505"/>
      <x:c r="F100" s="606" t="s">
        <x:v>37</x:v>
      </x:c>
      <x:c r="G100" s="606"/>
      <x:c r="H100" s="606"/>
      <x:c r="I100" s="606"/>
      <x:c r="J100" s="606"/>
      <x:c r="K100" s="606"/>
      <x:c r="L100" s="606" t="s">
        <x:v>38</x:v>
      </x:c>
      <x:c r="M100" s="606"/>
      <x:c r="N100" s="606"/>
      <x:c r="O100" s="606"/>
      <x:c r="P100" s="606"/>
      <x:c r="Q100" s="606"/>
      <x:c r="R100" s="606"/>
      <x:c r="S100" s="606" t="s">
        <x:v>93</x:v>
      </x:c>
      <x:c r="T100" s="606"/>
      <x:c r="U100" s="606"/>
      <x:c r="V100" s="606"/>
      <x:c r="W100" s="606"/>
      <x:c r="X100" s="606" t="s">
        <x:v>39</x:v>
      </x:c>
      <x:c r="Y100" s="606"/>
      <x:c r="Z100" s="606"/>
      <x:c r="AA100" s="606"/>
      <x:c r="AB100" s="606"/>
      <x:c r="AC100" s="606"/>
      <x:c r="AD100" s="606"/>
      <x:c r="AE100" s="606"/>
      <x:c r="AF100" s="606"/>
      <x:c r="AG100" s="606"/>
      <x:c r="AH100" s="606"/>
      <x:c r="AI100" s="606"/>
      <x:c r="AJ100" s="606"/>
      <x:c r="AK100" s="606"/>
      <x:c r="AL100" s="606"/>
      <x:c r="AM100" s="606" t="s">
        <x:v>94</x:v>
      </x:c>
      <x:c r="AN100" s="606"/>
      <x:c r="AO100" s="606"/>
      <x:c r="AP100" s="606"/>
      <x:c r="AQ100" s="606"/>
      <x:c r="AR100" s="606" t="s">
        <x:v>40</x:v>
      </x:c>
      <x:c r="AS100" s="606"/>
      <x:c r="AT100" s="606"/>
      <x:c r="AU100" s="606"/>
      <x:c r="AV100" s="606"/>
      <x:c r="AW100" s="505"/>
      <x:c r="AX100" s="505"/>
      <x:c r="AY100" s="505"/>
      <x:c r="AZ100" s="603"/>
      <x:c r="BA100" s="605"/>
      <x:c r="BB100" s="606" t="s">
        <x:v>95</x:v>
      </x:c>
      <x:c r="BC100" s="606"/>
      <x:c r="BD100" s="606"/>
      <x:c r="BE100" s="606"/>
      <x:c r="BF100" s="606"/>
      <x:c r="BG100" s="606" t="s">
        <x:v>96</x:v>
      </x:c>
      <x:c r="BH100" s="606"/>
      <x:c r="BI100" s="606"/>
      <x:c r="BJ100" s="606"/>
      <x:c r="BK100" s="606"/>
      <x:c r="BL100" s="606" t="s">
        <x:v>97</x:v>
      </x:c>
      <x:c r="BM100" s="606"/>
      <x:c r="BN100" s="606"/>
      <x:c r="BO100" s="606"/>
      <x:c r="BP100" s="606"/>
      <x:c r="BQ100" s="606" t="s">
        <x:v>98</x:v>
      </x:c>
      <x:c r="BR100" s="606"/>
      <x:c r="BS100" s="606"/>
      <x:c r="BT100" s="606"/>
      <x:c r="BU100" s="606"/>
      <x:c r="BV100" s="605"/>
      <x:c r="BX100" s="119" t="s">
        <x:v>99</x:v>
      </x:c>
      <x:c r="BY100" s="362" t="s">
        <x:v>41</x:v>
      </x:c>
      <x:c r="BZ100" s="362" t="s">
        <x:v>100</x:v>
      </x:c>
      <x:c r="CA100" s="121" t="s">
        <x:v>101</x:v>
      </x:c>
      <x:c r="CB100" s="368" t="s">
        <x:v>102</x:v>
      </x:c>
      <x:c r="CC100" s="2"/>
      <x:c r="CD100" s="119" t="s">
        <x:v>99</x:v>
      </x:c>
      <x:c r="CE100" s="362" t="s">
        <x:v>41</x:v>
      </x:c>
      <x:c r="CF100" s="362" t="s">
        <x:v>100</x:v>
      </x:c>
      <x:c r="CG100" s="121" t="s">
        <x:v>101</x:v>
      </x:c>
      <x:c r="CH100" s="368" t="s">
        <x:v>102</x:v>
      </x:c>
      <x:c r="CI100" s="2"/>
      <x:c r="CJ100" s="119" t="s">
        <x:v>99</x:v>
      </x:c>
      <x:c r="CK100" s="362" t="s">
        <x:v>41</x:v>
      </x:c>
      <x:c r="CL100" s="362" t="s">
        <x:v>100</x:v>
      </x:c>
      <x:c r="CM100" s="121" t="s">
        <x:v>101</x:v>
      </x:c>
      <x:c r="CN100" s="368" t="s">
        <x:v>102</x:v>
      </x:c>
      <x:c r="CO100" s="2"/>
      <x:c r="CP100" s="119" t="s">
        <x:v>99</x:v>
      </x:c>
      <x:c r="CQ100" s="362" t="s">
        <x:v>41</x:v>
      </x:c>
      <x:c r="CR100" s="362" t="s">
        <x:v>100</x:v>
      </x:c>
      <x:c r="CS100" s="121" t="s">
        <x:v>101</x:v>
      </x:c>
      <x:c r="CT100" s="368" t="s">
        <x:v>102</x:v>
      </x:c>
      <x:c r="CV100" s="119" t="s">
        <x:v>103</x:v>
      </x:c>
      <x:c r="CW100" s="101" t="s">
        <x:v>104</x:v>
      </x:c>
      <x:c r="CX100" s="121" t="s">
        <x:v>105</x:v>
      </x:c>
      <x:c r="CY100" s="119" t="s">
        <x:v>106</x:v>
      </x:c>
      <x:c r="CZ100" s="377"/>
      <x:c r="DB100" s="361"/>
      <x:c r="DC100" s="359"/>
      <x:c r="DD100" s="361"/>
      <x:c r="DE100" s="361"/>
    </x:row>
    <x:row r="101" spans="1:109" ht="18" customHeight="1" s="8" customFormat="1">
      <x:c r="A101" s="605"/>
      <x:c r="B101" s="601"/>
      <x:c r="C101" s="505"/>
      <x:c r="D101" s="505"/>
      <x:c r="E101" s="505"/>
      <x:c r="F101" s="606"/>
      <x:c r="G101" s="606"/>
      <x:c r="H101" s="606"/>
      <x:c r="I101" s="606"/>
      <x:c r="J101" s="606"/>
      <x:c r="K101" s="606"/>
      <x:c r="L101" s="606"/>
      <x:c r="M101" s="606"/>
      <x:c r="N101" s="606"/>
      <x:c r="O101" s="606"/>
      <x:c r="P101" s="606"/>
      <x:c r="Q101" s="606"/>
      <x:c r="R101" s="606"/>
      <x:c r="S101" s="606"/>
      <x:c r="T101" s="606"/>
      <x:c r="U101" s="606"/>
      <x:c r="V101" s="606"/>
      <x:c r="W101" s="606"/>
      <x:c r="X101" s="606">
        <x:v>1</x:v>
      </x:c>
      <x:c r="Y101" s="606"/>
      <x:c r="Z101" s="606"/>
      <x:c r="AA101" s="606"/>
      <x:c r="AB101" s="606"/>
      <x:c r="AC101" s="606">
        <x:v>2</x:v>
      </x:c>
      <x:c r="AD101" s="606"/>
      <x:c r="AE101" s="606"/>
      <x:c r="AF101" s="606"/>
      <x:c r="AG101" s="606"/>
      <x:c r="AH101" s="606">
        <x:v>3</x:v>
      </x:c>
      <x:c r="AI101" s="606"/>
      <x:c r="AJ101" s="606"/>
      <x:c r="AK101" s="606"/>
      <x:c r="AL101" s="606"/>
      <x:c r="AM101" s="606"/>
      <x:c r="AN101" s="606"/>
      <x:c r="AO101" s="606"/>
      <x:c r="AP101" s="606"/>
      <x:c r="AQ101" s="606"/>
      <x:c r="AR101" s="606"/>
      <x:c r="AS101" s="606"/>
      <x:c r="AT101" s="606"/>
      <x:c r="AU101" s="606"/>
      <x:c r="AV101" s="606"/>
      <x:c r="AW101" s="505"/>
      <x:c r="AX101" s="505"/>
      <x:c r="AY101" s="505"/>
      <x:c r="AZ101" s="603"/>
      <x:c r="BA101" s="605"/>
      <x:c r="BB101" s="606"/>
      <x:c r="BC101" s="606"/>
      <x:c r="BD101" s="606"/>
      <x:c r="BE101" s="606"/>
      <x:c r="BF101" s="606"/>
      <x:c r="BG101" s="606"/>
      <x:c r="BH101" s="606"/>
      <x:c r="BI101" s="606"/>
      <x:c r="BJ101" s="606"/>
      <x:c r="BK101" s="606"/>
      <x:c r="BL101" s="606"/>
      <x:c r="BM101" s="606"/>
      <x:c r="BN101" s="606"/>
      <x:c r="BO101" s="606"/>
      <x:c r="BP101" s="606"/>
      <x:c r="BQ101" s="606"/>
      <x:c r="BR101" s="606"/>
      <x:c r="BS101" s="606"/>
      <x:c r="BT101" s="606"/>
      <x:c r="BU101" s="606"/>
      <x:c r="BV101" s="605"/>
      <x:c r="BX101" s="120"/>
      <x:c r="BY101" s="363"/>
      <x:c r="BZ101" s="363"/>
      <x:c r="CA101" s="122"/>
      <x:c r="CB101" s="369"/>
      <x:c r="CC101" s="2"/>
      <x:c r="CD101" s="120"/>
      <x:c r="CE101" s="363"/>
      <x:c r="CF101" s="363"/>
      <x:c r="CG101" s="122"/>
      <x:c r="CH101" s="369"/>
      <x:c r="CI101" s="2"/>
      <x:c r="CJ101" s="120"/>
      <x:c r="CK101" s="363"/>
      <x:c r="CL101" s="363"/>
      <x:c r="CM101" s="122"/>
      <x:c r="CN101" s="369"/>
      <x:c r="CO101" s="2"/>
      <x:c r="CP101" s="120"/>
      <x:c r="CQ101" s="363"/>
      <x:c r="CR101" s="363"/>
      <x:c r="CS101" s="122"/>
      <x:c r="CT101" s="369"/>
      <x:c r="CV101" s="120" t="s">
        <x:v>107</x:v>
      </x:c>
      <x:c r="CW101" s="102" t="s">
        <x:v>108</x:v>
      </x:c>
      <x:c r="CX101" s="122" t="s">
        <x:v>109</x:v>
      </x:c>
      <x:c r="CY101" s="120" t="s">
        <x:v>110</x:v>
      </x:c>
      <x:c r="CZ101" s="378"/>
      <x:c r="DB101" s="361"/>
      <x:c r="DC101" s="359"/>
      <x:c r="DD101" s="361"/>
      <x:c r="DE101" s="361"/>
    </x:row>
    <x:row r="102" spans="1:109" ht="18" customHeight="1" s="8" customFormat="1">
      <x:c r="A102" s="605"/>
      <x:c r="B102" s="601"/>
      <x:c r="C102" s="505"/>
      <x:c r="D102" s="505"/>
      <x:c r="E102" s="505"/>
      <x:c r="F102" s="645" t="s">
        <x:v>126</x:v>
      </x:c>
      <x:c r="G102" s="646"/>
      <x:c r="H102" s="646"/>
      <x:c r="I102" s="646"/>
      <x:c r="J102" s="646"/>
      <x:c r="K102" s="647"/>
      <x:c r="L102" s="610">
        <x:v>0</x:v>
      </x:c>
      <x:c r="M102" s="611"/>
      <x:c r="N102" s="611"/>
      <x:c r="O102" s="611"/>
      <x:c r="P102" s="612" t="s">
        <x:v>127</x:v>
      </x:c>
      <x:c r="Q102" s="612"/>
      <x:c r="R102" s="613"/>
      <x:c r="S102" s="614" t="s">
        <x:v>81</x:v>
      </x:c>
      <x:c r="T102" s="614"/>
      <x:c r="U102" s="614"/>
      <x:c r="V102" s="614"/>
      <x:c r="W102" s="614"/>
      <x:c r="X102" s="621"/>
      <x:c r="Y102" s="622"/>
      <x:c r="Z102" s="622"/>
      <x:c r="AA102" s="622"/>
      <x:c r="AB102" s="622"/>
      <x:c r="AC102" s="621"/>
      <x:c r="AD102" s="622"/>
      <x:c r="AE102" s="622"/>
      <x:c r="AF102" s="622"/>
      <x:c r="AG102" s="622"/>
      <x:c r="AH102" s="621"/>
      <x:c r="AI102" s="622"/>
      <x:c r="AJ102" s="622"/>
      <x:c r="AK102" s="622"/>
      <x:c r="AL102" s="622"/>
      <x:c r="AM102" s="615">
        <x:f>AVERAGE(X102:AL102)</x:f>
      </x:c>
      <x:c r="AN102" s="615"/>
      <x:c r="AO102" s="615"/>
      <x:c r="AP102" s="615"/>
      <x:c r="AQ102" s="615"/>
      <x:c r="AR102" s="615">
        <x:f>AM102-L102</x:f>
      </x:c>
      <x:c r="AS102" s="615"/>
      <x:c r="AT102" s="615"/>
      <x:c r="AU102" s="615"/>
      <x:c r="AV102" s="615"/>
      <x:c r="AW102" s="505"/>
      <x:c r="AX102" s="505"/>
      <x:c r="AY102" s="505"/>
      <x:c r="AZ102" s="603"/>
      <x:c r="BA102" s="605"/>
      <x:c r="BB102" s="615">
        <x:f>(AM102*0.2%)+(2*CK102)</x:f>
      </x:c>
      <x:c r="BC102" s="615"/>
      <x:c r="BD102" s="615"/>
      <x:c r="BE102" s="615"/>
      <x:c r="BF102" s="615"/>
      <x:c r="BG102" s="615">
        <x:f>L102+BB102</x:f>
      </x:c>
      <x:c r="BH102" s="615"/>
      <x:c r="BI102" s="615"/>
      <x:c r="BJ102" s="615"/>
      <x:c r="BK102" s="615"/>
      <x:c r="BL102" s="615">
        <x:f>L102-BB102</x:f>
      </x:c>
      <x:c r="BM102" s="615"/>
      <x:c r="BN102" s="615"/>
      <x:c r="BO102" s="615"/>
      <x:c r="BP102" s="615"/>
      <x:c r="BQ102" s="617">
        <x:f>IF(AND(AM102&lt;=BG102,AM102&gt;=BL102),"PASS","FAIL")</x:f>
      </x:c>
      <x:c r="BR102" s="617"/>
      <x:c r="BS102" s="617"/>
      <x:c r="BT102" s="617"/>
      <x:c r="BU102" s="617"/>
      <x:c r="BV102" s="605"/>
      <x:c r="BX102" s="70" t="s">
        <x:v>113</x:v>
      </x:c>
      <x:c r="BY102" s="88">
        <x:v>7.7E-05</x:v>
      </x:c>
      <x:c r="BZ102" s="71">
        <x:f>P102</x:f>
      </x:c>
      <x:c r="CA102" s="191">
        <x:v>2</x:v>
      </x:c>
      <x:c r="CB102" s="77">
        <x:f>BY102/CA102</x:f>
      </x:c>
      <x:c r="CC102" s="4"/>
      <x:c r="CD102" s="70" t="s">
        <x:v>114</x:v>
      </x:c>
      <x:c r="CE102" s="88">
        <x:v>0</x:v>
      </x:c>
      <x:c r="CF102" s="71">
        <x:f>BZ102</x:f>
      </x:c>
      <x:c r="CG102" s="80">
        <x:f>SQRT(3)</x:f>
      </x:c>
      <x:c r="CH102" s="77">
        <x:f>CE102/CG102</x:f>
      </x:c>
      <x:c r="CI102" s="4"/>
      <x:c r="CJ102" s="70" t="s">
        <x:v>115</x:v>
      </x:c>
      <x:c r="CK102" s="176">
        <x:v>0.1</x:v>
      </x:c>
      <x:c r="CL102" s="71">
        <x:f>P102</x:f>
      </x:c>
      <x:c r="CM102" s="80">
        <x:f>SQRT(12)</x:f>
      </x:c>
      <x:c r="CN102" s="77">
        <x:f>CK102/CM102</x:f>
      </x:c>
      <x:c r="CO102" s="4"/>
      <x:c r="CP102" s="70" t="s">
        <x:v>116</x:v>
      </x:c>
      <x:c r="CQ102" s="83">
        <x:f>STDEV(X102:AL102)</x:f>
      </x:c>
      <x:c r="CR102" s="71">
        <x:f>P102</x:f>
      </x:c>
      <x:c r="CS102" s="80">
        <x:f>SQRT(3)</x:f>
      </x:c>
      <x:c r="CT102" s="85">
        <x:f>CQ102/CS102</x:f>
      </x:c>
      <x:c r="CV102" s="92">
        <x:f>SQRT(SUMSQ(CT102,CN102,CH102,CB102))</x:f>
      </x:c>
      <x:c r="CW102" s="88">
        <x:f>(CV102^4)/(((CT102^4)/2)+((CN102^4)/200)+((CH102^4)/200)+((CB102^4)/200))</x:f>
      </x:c>
      <x:c r="CX102" s="114">
        <x:f>ROUND(TINV(0.05,CW102),0)</x:f>
      </x:c>
      <x:c r="CY102" s="103">
        <x:f>(CV102*CX102)</x:f>
      </x:c>
      <x:c r="CZ102" s="104">
        <x:f>P102</x:f>
      </x:c>
      <x:c r="DB102" s="177">
        <x:v>0.0078</x:v>
      </x:c>
      <x:c r="DC102" s="178">
        <x:f>CZ102</x:f>
      </x:c>
      <x:c r="DD102" s="220">
        <x:f>MAX(DB102,CY102)</x:f>
      </x:c>
      <x:c r="DE102" s="178">
        <x:f>DC102</x:f>
      </x:c>
    </x:row>
    <x:row r="103" spans="1:109" ht="18" customHeight="1" s="8" customFormat="1">
      <x:c r="A103" s="605"/>
      <x:c r="B103" s="601"/>
      <x:c r="C103" s="505"/>
      <x:c r="D103" s="505"/>
      <x:c r="E103" s="505"/>
      <x:c r="F103" s="645"/>
      <x:c r="G103" s="646"/>
      <x:c r="H103" s="646"/>
      <x:c r="I103" s="646"/>
      <x:c r="J103" s="646"/>
      <x:c r="K103" s="647"/>
      <x:c r="L103" s="610">
        <x:f>600*90%</x:f>
      </x:c>
      <x:c r="M103" s="611"/>
      <x:c r="N103" s="611"/>
      <x:c r="O103" s="611"/>
      <x:c r="P103" s="612" t="s">
        <x:v>127</x:v>
      </x:c>
      <x:c r="Q103" s="612"/>
      <x:c r="R103" s="613"/>
      <x:c r="S103" s="614" t="s">
        <x:v>81</x:v>
      </x:c>
      <x:c r="T103" s="614"/>
      <x:c r="U103" s="614"/>
      <x:c r="V103" s="614"/>
      <x:c r="W103" s="614"/>
      <x:c r="X103" s="621"/>
      <x:c r="Y103" s="622"/>
      <x:c r="Z103" s="622"/>
      <x:c r="AA103" s="622"/>
      <x:c r="AB103" s="622"/>
      <x:c r="AC103" s="621"/>
      <x:c r="AD103" s="622"/>
      <x:c r="AE103" s="622"/>
      <x:c r="AF103" s="622"/>
      <x:c r="AG103" s="622"/>
      <x:c r="AH103" s="621"/>
      <x:c r="AI103" s="622"/>
      <x:c r="AJ103" s="622"/>
      <x:c r="AK103" s="622"/>
      <x:c r="AL103" s="622"/>
      <x:c r="AM103" s="615">
        <x:f>AVERAGE(X103:AL103)</x:f>
      </x:c>
      <x:c r="AN103" s="615"/>
      <x:c r="AO103" s="615"/>
      <x:c r="AP103" s="615"/>
      <x:c r="AQ103" s="615"/>
      <x:c r="AR103" s="615">
        <x:f>AM103-L103</x:f>
      </x:c>
      <x:c r="AS103" s="615"/>
      <x:c r="AT103" s="615"/>
      <x:c r="AU103" s="615"/>
      <x:c r="AV103" s="615"/>
      <x:c r="AW103" s="505"/>
      <x:c r="AX103" s="505"/>
      <x:c r="AY103" s="505"/>
      <x:c r="AZ103" s="603"/>
      <x:c r="BA103" s="605"/>
      <x:c r="BB103" s="615">
        <x:f>(AM103*0.2%)+(2*CK103)</x:f>
      </x:c>
      <x:c r="BC103" s="615"/>
      <x:c r="BD103" s="615"/>
      <x:c r="BE103" s="615"/>
      <x:c r="BF103" s="615"/>
      <x:c r="BG103" s="615">
        <x:f>L103+BB103</x:f>
      </x:c>
      <x:c r="BH103" s="615"/>
      <x:c r="BI103" s="615"/>
      <x:c r="BJ103" s="615"/>
      <x:c r="BK103" s="615"/>
      <x:c r="BL103" s="615">
        <x:f>L103-BB103</x:f>
      </x:c>
      <x:c r="BM103" s="615"/>
      <x:c r="BN103" s="615"/>
      <x:c r="BO103" s="615"/>
      <x:c r="BP103" s="615"/>
      <x:c r="BQ103" s="617">
        <x:f>IF(AND(AM103&lt;=BG103,AM103&gt;=BL103),"PASS","FAIL")</x:f>
      </x:c>
      <x:c r="BR103" s="617"/>
      <x:c r="BS103" s="617"/>
      <x:c r="BT103" s="617"/>
      <x:c r="BU103" s="617"/>
      <x:c r="BV103" s="605"/>
      <x:c r="BX103" s="72" t="s">
        <x:v>113</x:v>
      </x:c>
      <x:c r="BY103" s="179">
        <x:v>0.003</x:v>
      </x:c>
      <x:c r="BZ103" s="1">
        <x:f>P103</x:f>
      </x:c>
      <x:c r="CA103" s="180">
        <x:v>2</x:v>
      </x:c>
      <x:c r="CB103" s="78">
        <x:f>BY103/CA103</x:f>
      </x:c>
      <x:c r="CC103" s="4"/>
      <x:c r="CD103" s="72" t="s">
        <x:v>114</x:v>
      </x:c>
      <x:c r="CE103" s="5">
        <x:v>0</x:v>
      </x:c>
      <x:c r="CF103" s="1">
        <x:f>BZ103</x:f>
      </x:c>
      <x:c r="CG103" s="81">
        <x:f>SQRT(3)</x:f>
      </x:c>
      <x:c r="CH103" s="78">
        <x:f>CE103/CG103</x:f>
      </x:c>
      <x:c r="CI103" s="4"/>
      <x:c r="CJ103" s="72" t="s">
        <x:v>115</x:v>
      </x:c>
      <x:c r="CK103" s="181">
        <x:v>0.1</x:v>
      </x:c>
      <x:c r="CL103" s="1">
        <x:f>P103</x:f>
      </x:c>
      <x:c r="CM103" s="81">
        <x:f>SQRT(12)</x:f>
      </x:c>
      <x:c r="CN103" s="78">
        <x:f>CK103/CM103</x:f>
      </x:c>
      <x:c r="CO103" s="4"/>
      <x:c r="CP103" s="72" t="s">
        <x:v>116</x:v>
      </x:c>
      <x:c r="CQ103" s="6">
        <x:f>STDEV(X103:AL103)</x:f>
      </x:c>
      <x:c r="CR103" s="1">
        <x:f>P103</x:f>
      </x:c>
      <x:c r="CS103" s="81">
        <x:f>SQRT(3)</x:f>
      </x:c>
      <x:c r="CT103" s="86">
        <x:f>CQ103/CS103</x:f>
      </x:c>
      <x:c r="CV103" s="94">
        <x:f>SQRT(SUMSQ(CT103,CN103,CH103,CB103))</x:f>
      </x:c>
      <x:c r="CW103" s="5">
        <x:f>(CV103^4)/(((CT103^4)/2)+((CN103^4)/200)+((CH103^4)/200)+((CB103^4)/200))</x:f>
      </x:c>
      <x:c r="CX103" s="109">
        <x:f>ROUND(TINV(0.05,CW103),0)</x:f>
      </x:c>
      <x:c r="CY103" s="105">
        <x:f>(CV103*CX103)</x:f>
      </x:c>
      <x:c r="CZ103" s="106">
        <x:f>P103</x:f>
      </x:c>
      <x:c r="DB103" s="177">
        <x:v>0.023</x:v>
      </x:c>
      <x:c r="DC103" s="178">
        <x:f>CZ103</x:f>
      </x:c>
      <x:c r="DD103" s="220">
        <x:f>MAX(DB103,CY103)</x:f>
      </x:c>
      <x:c r="DE103" s="178">
        <x:f>DC103</x:f>
      </x:c>
    </x:row>
    <x:row r="104" spans="1:109" ht="18" customHeight="1" s="8" customFormat="1">
      <x:c r="A104" s="605"/>
      <x:c r="B104" s="601"/>
      <x:c r="C104" s="505"/>
      <x:c r="D104" s="505"/>
      <x:c r="E104" s="505"/>
      <x:c r="F104" s="645" t="s">
        <x:v>128</x:v>
      </x:c>
      <x:c r="G104" s="646"/>
      <x:c r="H104" s="646"/>
      <x:c r="I104" s="646"/>
      <x:c r="J104" s="646"/>
      <x:c r="K104" s="647"/>
      <x:c r="L104" s="610">
        <x:f>6*90%</x:f>
      </x:c>
      <x:c r="M104" s="611"/>
      <x:c r="N104" s="611"/>
      <x:c r="O104" s="611"/>
      <x:c r="P104" s="612" t="s">
        <x:v>129</x:v>
      </x:c>
      <x:c r="Q104" s="612"/>
      <x:c r="R104" s="613"/>
      <x:c r="S104" s="614" t="s">
        <x:v>81</x:v>
      </x:c>
      <x:c r="T104" s="614"/>
      <x:c r="U104" s="614"/>
      <x:c r="V104" s="614"/>
      <x:c r="W104" s="614"/>
      <x:c r="X104" s="627"/>
      <x:c r="Y104" s="628"/>
      <x:c r="Z104" s="628"/>
      <x:c r="AA104" s="628"/>
      <x:c r="AB104" s="628"/>
      <x:c r="AC104" s="627"/>
      <x:c r="AD104" s="628"/>
      <x:c r="AE104" s="628"/>
      <x:c r="AF104" s="628"/>
      <x:c r="AG104" s="628"/>
      <x:c r="AH104" s="627"/>
      <x:c r="AI104" s="628"/>
      <x:c r="AJ104" s="628"/>
      <x:c r="AK104" s="628"/>
      <x:c r="AL104" s="628"/>
      <x:c r="AM104" s="630">
        <x:f>AVERAGE(X104:AL104)</x:f>
      </x:c>
      <x:c r="AN104" s="630"/>
      <x:c r="AO104" s="630"/>
      <x:c r="AP104" s="630"/>
      <x:c r="AQ104" s="630"/>
      <x:c r="AR104" s="630">
        <x:f>AM104-L104</x:f>
      </x:c>
      <x:c r="AS104" s="630"/>
      <x:c r="AT104" s="630"/>
      <x:c r="AU104" s="630"/>
      <x:c r="AV104" s="630"/>
      <x:c r="AW104" s="505"/>
      <x:c r="AX104" s="505"/>
      <x:c r="AY104" s="505"/>
      <x:c r="AZ104" s="603"/>
      <x:c r="BA104" s="605"/>
      <x:c r="BB104" s="615">
        <x:f>(AM104*0.2%)+(1*CK104)</x:f>
      </x:c>
      <x:c r="BC104" s="615"/>
      <x:c r="BD104" s="615"/>
      <x:c r="BE104" s="615"/>
      <x:c r="BF104" s="615"/>
      <x:c r="BG104" s="630">
        <x:f>L104+BB104</x:f>
      </x:c>
      <x:c r="BH104" s="630"/>
      <x:c r="BI104" s="630"/>
      <x:c r="BJ104" s="630"/>
      <x:c r="BK104" s="630"/>
      <x:c r="BL104" s="630">
        <x:f>L104-BB104</x:f>
      </x:c>
      <x:c r="BM104" s="630"/>
      <x:c r="BN104" s="630"/>
      <x:c r="BO104" s="630"/>
      <x:c r="BP104" s="630"/>
      <x:c r="BQ104" s="617">
        <x:f>IF(AND(AM104&lt;=BG104,AM104&gt;=BL104),"PASS","FAIL")</x:f>
      </x:c>
      <x:c r="BR104" s="617"/>
      <x:c r="BS104" s="617"/>
      <x:c r="BT104" s="617"/>
      <x:c r="BU104" s="617"/>
      <x:c r="BV104" s="605"/>
      <x:c r="BX104" s="72" t="s">
        <x:v>113</x:v>
      </x:c>
      <x:c r="BY104" s="222">
        <x:v>5.5E-05</x:v>
      </x:c>
      <x:c r="BZ104" s="1">
        <x:f>P104</x:f>
      </x:c>
      <x:c r="CA104" s="180">
        <x:v>2</x:v>
      </x:c>
      <x:c r="CB104" s="78">
        <x:f>BY104/CA104</x:f>
      </x:c>
      <x:c r="CC104" s="4"/>
      <x:c r="CD104" s="72" t="s">
        <x:v>114</x:v>
      </x:c>
      <x:c r="CE104" s="5">
        <x:v>0</x:v>
      </x:c>
      <x:c r="CF104" s="1">
        <x:f>BZ104</x:f>
      </x:c>
      <x:c r="CG104" s="81">
        <x:f>SQRT(3)</x:f>
      </x:c>
      <x:c r="CH104" s="78">
        <x:f>CE104/CG104</x:f>
      </x:c>
      <x:c r="CI104" s="4"/>
      <x:c r="CJ104" s="72" t="s">
        <x:v>115</x:v>
      </x:c>
      <x:c r="CK104" s="181">
        <x:v>0.001</x:v>
      </x:c>
      <x:c r="CL104" s="1">
        <x:f>P104</x:f>
      </x:c>
      <x:c r="CM104" s="81">
        <x:f>SQRT(12)</x:f>
      </x:c>
      <x:c r="CN104" s="78">
        <x:f>CK104/CM104</x:f>
      </x:c>
      <x:c r="CO104" s="4"/>
      <x:c r="CP104" s="72" t="s">
        <x:v>116</x:v>
      </x:c>
      <x:c r="CQ104" s="6">
        <x:f>STDEV(X104:AL104)</x:f>
      </x:c>
      <x:c r="CR104" s="1">
        <x:f>P104</x:f>
      </x:c>
      <x:c r="CS104" s="81">
        <x:f>SQRT(3)</x:f>
      </x:c>
      <x:c r="CT104" s="86">
        <x:f>CQ104/CS104</x:f>
      </x:c>
      <x:c r="CV104" s="94">
        <x:f>SQRT(SUMSQ(CT104,CN104,CH104,CB104))</x:f>
      </x:c>
      <x:c r="CW104" s="5">
        <x:f>(CV104^4)/(((CT104^4)/2)+((CN104^4)/200)+((CH104^4)/200)+((CB104^4)/200))</x:f>
      </x:c>
      <x:c r="CX104" s="109">
        <x:f>ROUND(TINV(0.05,CW104),0)</x:f>
      </x:c>
      <x:c r="CY104" s="111">
        <x:f>(CV104*CX104)</x:f>
      </x:c>
      <x:c r="CZ104" s="106">
        <x:f>P104</x:f>
      </x:c>
      <x:c r="DB104" s="177">
        <x:v>0.00023</x:v>
      </x:c>
      <x:c r="DC104" s="178">
        <x:f>CZ104</x:f>
      </x:c>
      <x:c r="DD104" s="220">
        <x:f>MAX(DB104,CY104)</x:f>
      </x:c>
      <x:c r="DE104" s="178">
        <x:f>DC104</x:f>
      </x:c>
    </x:row>
    <x:row r="105" spans="1:109" ht="18" customHeight="1" s="8" customFormat="1">
      <x:c r="A105" s="605"/>
      <x:c r="B105" s="601"/>
      <x:c r="C105" s="505"/>
      <x:c r="D105" s="505"/>
      <x:c r="E105" s="505"/>
      <x:c r="F105" s="645" t="s">
        <x:v>130</x:v>
      </x:c>
      <x:c r="G105" s="646"/>
      <x:c r="H105" s="646"/>
      <x:c r="I105" s="646"/>
      <x:c r="J105" s="646"/>
      <x:c r="K105" s="647"/>
      <x:c r="L105" s="610">
        <x:f>60*90%</x:f>
      </x:c>
      <x:c r="M105" s="611"/>
      <x:c r="N105" s="611"/>
      <x:c r="O105" s="611"/>
      <x:c r="P105" s="612" t="s">
        <x:v>129</x:v>
      </x:c>
      <x:c r="Q105" s="612"/>
      <x:c r="R105" s="613"/>
      <x:c r="S105" s="614" t="s">
        <x:v>81</x:v>
      </x:c>
      <x:c r="T105" s="614"/>
      <x:c r="U105" s="614"/>
      <x:c r="V105" s="614"/>
      <x:c r="W105" s="614"/>
      <x:c r="X105" s="642"/>
      <x:c r="Y105" s="643"/>
      <x:c r="Z105" s="643"/>
      <x:c r="AA105" s="643"/>
      <x:c r="AB105" s="644"/>
      <x:c r="AC105" s="642"/>
      <x:c r="AD105" s="643"/>
      <x:c r="AE105" s="643"/>
      <x:c r="AF105" s="643"/>
      <x:c r="AG105" s="644"/>
      <x:c r="AH105" s="642"/>
      <x:c r="AI105" s="643"/>
      <x:c r="AJ105" s="643"/>
      <x:c r="AK105" s="643"/>
      <x:c r="AL105" s="644"/>
      <x:c r="AM105" s="616">
        <x:f>AVERAGE(X105:AL105)</x:f>
      </x:c>
      <x:c r="AN105" s="616"/>
      <x:c r="AO105" s="616"/>
      <x:c r="AP105" s="616"/>
      <x:c r="AQ105" s="616"/>
      <x:c r="AR105" s="616">
        <x:f>AM105-L105</x:f>
      </x:c>
      <x:c r="AS105" s="616"/>
      <x:c r="AT105" s="616"/>
      <x:c r="AU105" s="616"/>
      <x:c r="AV105" s="616"/>
      <x:c r="AW105" s="505"/>
      <x:c r="AX105" s="505"/>
      <x:c r="AY105" s="505"/>
      <x:c r="AZ105" s="603"/>
      <x:c r="BA105" s="605"/>
      <x:c r="BB105" s="615">
        <x:f>(AM105*0.2%)+(1*CK105)</x:f>
      </x:c>
      <x:c r="BC105" s="615"/>
      <x:c r="BD105" s="615"/>
      <x:c r="BE105" s="615"/>
      <x:c r="BF105" s="615"/>
      <x:c r="BG105" s="616">
        <x:f>L105+BB105</x:f>
      </x:c>
      <x:c r="BH105" s="616"/>
      <x:c r="BI105" s="616"/>
      <x:c r="BJ105" s="616"/>
      <x:c r="BK105" s="616"/>
      <x:c r="BL105" s="616">
        <x:f>L105-BB105</x:f>
      </x:c>
      <x:c r="BM105" s="616"/>
      <x:c r="BN105" s="616"/>
      <x:c r="BO105" s="616"/>
      <x:c r="BP105" s="616"/>
      <x:c r="BQ105" s="617">
        <x:f>IF(AND(AM105&lt;=BG105,AM105&gt;=BL105),"PASS","FAIL")</x:f>
      </x:c>
      <x:c r="BR105" s="617"/>
      <x:c r="BS105" s="617"/>
      <x:c r="BT105" s="617"/>
      <x:c r="BU105" s="617"/>
      <x:c r="BV105" s="605"/>
      <x:c r="BX105" s="72" t="s">
        <x:v>113</x:v>
      </x:c>
      <x:c r="BY105" s="6">
        <x:v>0.00081</x:v>
      </x:c>
      <x:c r="BZ105" s="1">
        <x:f>P105</x:f>
      </x:c>
      <x:c r="CA105" s="180">
        <x:v>2</x:v>
      </x:c>
      <x:c r="CB105" s="78">
        <x:f>BY105/CA105</x:f>
      </x:c>
      <x:c r="CC105" s="4"/>
      <x:c r="CD105" s="72" t="s">
        <x:v>114</x:v>
      </x:c>
      <x:c r="CE105" s="5">
        <x:v>0</x:v>
      </x:c>
      <x:c r="CF105" s="1">
        <x:f>BZ105</x:f>
      </x:c>
      <x:c r="CG105" s="81">
        <x:f>SQRT(3)</x:f>
      </x:c>
      <x:c r="CH105" s="78">
        <x:f>CE105/CG105</x:f>
      </x:c>
      <x:c r="CI105" s="4"/>
      <x:c r="CJ105" s="72" t="s">
        <x:v>115</x:v>
      </x:c>
      <x:c r="CK105" s="181">
        <x:v>0.01</x:v>
      </x:c>
      <x:c r="CL105" s="1">
        <x:f>P105</x:f>
      </x:c>
      <x:c r="CM105" s="81">
        <x:f>SQRT(12)</x:f>
      </x:c>
      <x:c r="CN105" s="78">
        <x:f>CK105/CM105</x:f>
      </x:c>
      <x:c r="CO105" s="4"/>
      <x:c r="CP105" s="72" t="s">
        <x:v>116</x:v>
      </x:c>
      <x:c r="CQ105" s="6">
        <x:f>STDEV(X105:AL105)</x:f>
      </x:c>
      <x:c r="CR105" s="1">
        <x:f>P105</x:f>
      </x:c>
      <x:c r="CS105" s="81">
        <x:f>SQRT(3)</x:f>
      </x:c>
      <x:c r="CT105" s="86">
        <x:f>CQ105/CS105</x:f>
      </x:c>
      <x:c r="CV105" s="94">
        <x:f>SQRT(SUMSQ(CT105,CN105,CH105,CB105))</x:f>
      </x:c>
      <x:c r="CW105" s="5">
        <x:f>(CV105^4)/(((CT105^4)/2)+((CN105^4)/200)+((CH105^4)/200)+((CB105^4)/200))</x:f>
      </x:c>
      <x:c r="CX105" s="109">
        <x:f>ROUND(TINV(0.05,CW105),0)</x:f>
      </x:c>
      <x:c r="CY105" s="110">
        <x:f>(CV105*CX105)</x:f>
      </x:c>
      <x:c r="CZ105" s="106">
        <x:f>P105</x:f>
      </x:c>
      <x:c r="DB105" s="177">
        <x:v>0.0015</x:v>
      </x:c>
      <x:c r="DC105" s="178">
        <x:f>CZ105</x:f>
      </x:c>
      <x:c r="DD105" s="220">
        <x:f>MAX(DB105,CY105)</x:f>
      </x:c>
      <x:c r="DE105" s="178">
        <x:f>DC105</x:f>
      </x:c>
    </x:row>
    <x:row r="106" spans="1:109" ht="18" customHeight="1" s="8" customFormat="1">
      <x:c r="A106" s="605"/>
      <x:c r="B106" s="601"/>
      <x:c r="C106" s="505"/>
      <x:c r="D106" s="505"/>
      <x:c r="E106" s="505"/>
      <x:c r="F106" s="645" t="s">
        <x:v>131</x:v>
      </x:c>
      <x:c r="G106" s="646"/>
      <x:c r="H106" s="646"/>
      <x:c r="I106" s="646"/>
      <x:c r="J106" s="646"/>
      <x:c r="K106" s="647"/>
      <x:c r="L106" s="610">
        <x:f>600*90%</x:f>
      </x:c>
      <x:c r="M106" s="611"/>
      <x:c r="N106" s="611"/>
      <x:c r="O106" s="611"/>
      <x:c r="P106" s="612" t="s">
        <x:v>129</x:v>
      </x:c>
      <x:c r="Q106" s="612"/>
      <x:c r="R106" s="613"/>
      <x:c r="S106" s="614" t="s">
        <x:v>81</x:v>
      </x:c>
      <x:c r="T106" s="614"/>
      <x:c r="U106" s="614"/>
      <x:c r="V106" s="614"/>
      <x:c r="W106" s="614"/>
      <x:c r="X106" s="615"/>
      <x:c r="Y106" s="615"/>
      <x:c r="Z106" s="615"/>
      <x:c r="AA106" s="615"/>
      <x:c r="AB106" s="615"/>
      <x:c r="AC106" s="615"/>
      <x:c r="AD106" s="615"/>
      <x:c r="AE106" s="615"/>
      <x:c r="AF106" s="615"/>
      <x:c r="AG106" s="615"/>
      <x:c r="AH106" s="615"/>
      <x:c r="AI106" s="615"/>
      <x:c r="AJ106" s="615"/>
      <x:c r="AK106" s="615"/>
      <x:c r="AL106" s="615"/>
      <x:c r="AM106" s="615">
        <x:f>AVERAGE(X106:AL106)</x:f>
      </x:c>
      <x:c r="AN106" s="615"/>
      <x:c r="AO106" s="615"/>
      <x:c r="AP106" s="615"/>
      <x:c r="AQ106" s="615"/>
      <x:c r="AR106" s="615">
        <x:f>AM106-L106</x:f>
      </x:c>
      <x:c r="AS106" s="615"/>
      <x:c r="AT106" s="615"/>
      <x:c r="AU106" s="615"/>
      <x:c r="AV106" s="615"/>
      <x:c r="AW106" s="505"/>
      <x:c r="AX106" s="505"/>
      <x:c r="AY106" s="505"/>
      <x:c r="AZ106" s="603"/>
      <x:c r="BA106" s="605"/>
      <x:c r="BB106" s="615">
        <x:f>(AM106*0.6%)+(1*CK106)</x:f>
      </x:c>
      <x:c r="BC106" s="615"/>
      <x:c r="BD106" s="615"/>
      <x:c r="BE106" s="615"/>
      <x:c r="BF106" s="615"/>
      <x:c r="BG106" s="615">
        <x:f>L106+BB106</x:f>
      </x:c>
      <x:c r="BH106" s="615"/>
      <x:c r="BI106" s="615"/>
      <x:c r="BJ106" s="615"/>
      <x:c r="BK106" s="615"/>
      <x:c r="BL106" s="615">
        <x:f>L106-BB106</x:f>
      </x:c>
      <x:c r="BM106" s="615"/>
      <x:c r="BN106" s="615"/>
      <x:c r="BO106" s="615"/>
      <x:c r="BP106" s="615"/>
      <x:c r="BQ106" s="617">
        <x:f>IF(AND(AM106&lt;=BG106,AM106&gt;=BL106),"PASS","FAIL")</x:f>
      </x:c>
      <x:c r="BR106" s="617"/>
      <x:c r="BS106" s="617"/>
      <x:c r="BT106" s="617"/>
      <x:c r="BU106" s="617"/>
      <x:c r="BV106" s="605"/>
      <x:c r="BX106" s="72" t="s">
        <x:v>113</x:v>
      </x:c>
      <x:c r="BY106" s="179">
        <x:v>0.0066</x:v>
      </x:c>
      <x:c r="BZ106" s="1">
        <x:f>P106</x:f>
      </x:c>
      <x:c r="CA106" s="180">
        <x:v>2</x:v>
      </x:c>
      <x:c r="CB106" s="78">
        <x:f>BY106/CA106</x:f>
      </x:c>
      <x:c r="CC106" s="4"/>
      <x:c r="CD106" s="72" t="s">
        <x:v>114</x:v>
      </x:c>
      <x:c r="CE106" s="5">
        <x:v>0</x:v>
      </x:c>
      <x:c r="CF106" s="1">
        <x:f>BZ106</x:f>
      </x:c>
      <x:c r="CG106" s="81">
        <x:f>SQRT(3)</x:f>
      </x:c>
      <x:c r="CH106" s="78">
        <x:f>CE106/CG106</x:f>
      </x:c>
      <x:c r="CI106" s="4"/>
      <x:c r="CJ106" s="72" t="s">
        <x:v>115</x:v>
      </x:c>
      <x:c r="CK106" s="181">
        <x:v>0.1</x:v>
      </x:c>
      <x:c r="CL106" s="1">
        <x:f>P106</x:f>
      </x:c>
      <x:c r="CM106" s="81">
        <x:f>SQRT(12)</x:f>
      </x:c>
      <x:c r="CN106" s="78">
        <x:f>CK106/CM106</x:f>
      </x:c>
      <x:c r="CO106" s="4"/>
      <x:c r="CP106" s="72" t="s">
        <x:v>116</x:v>
      </x:c>
      <x:c r="CQ106" s="6">
        <x:f>STDEV(X106:AL106)</x:f>
      </x:c>
      <x:c r="CR106" s="1">
        <x:f>P106</x:f>
      </x:c>
      <x:c r="CS106" s="81">
        <x:f>SQRT(3)</x:f>
      </x:c>
      <x:c r="CT106" s="86">
        <x:f>CQ106/CS106</x:f>
      </x:c>
      <x:c r="CV106" s="94">
        <x:f>SQRT(SUMSQ(CT106,CN106,CH106,CB106))</x:f>
      </x:c>
      <x:c r="CW106" s="5">
        <x:f>(CV106^4)/(((CT106^4)/2)+((CN106^4)/200)+((CH106^4)/200)+((CB106^4)/200))</x:f>
      </x:c>
      <x:c r="CX106" s="109">
        <x:f>ROUND(TINV(0.05,CW106),0)</x:f>
      </x:c>
      <x:c r="CY106" s="105">
        <x:f>(CV106*CX106)</x:f>
      </x:c>
      <x:c r="CZ106" s="106">
        <x:f>P106</x:f>
      </x:c>
      <x:c r="DB106" s="177">
        <x:v>0.016</x:v>
      </x:c>
      <x:c r="DC106" s="178">
        <x:f>CZ106</x:f>
      </x:c>
      <x:c r="DD106" s="220">
        <x:f>MAX(DB106,CY106)</x:f>
      </x:c>
      <x:c r="DE106" s="178">
        <x:f>DC106</x:f>
      </x:c>
    </x:row>
    <x:row r="107" spans="1:109" ht="18" customHeight="1" s="8" customFormat="1">
      <x:c r="A107" s="605"/>
      <x:c r="B107" s="601"/>
      <x:c r="C107" s="505"/>
      <x:c r="D107" s="505"/>
      <x:c r="E107" s="505"/>
      <x:c r="F107" s="645" t="s">
        <x:v>132</x:v>
      </x:c>
      <x:c r="G107" s="646"/>
      <x:c r="H107" s="646"/>
      <x:c r="I107" s="646"/>
      <x:c r="J107" s="646"/>
      <x:c r="K107" s="647"/>
      <x:c r="L107" s="610">
        <x:f>6*90%</x:f>
      </x:c>
      <x:c r="M107" s="611"/>
      <x:c r="N107" s="611"/>
      <x:c r="O107" s="611"/>
      <x:c r="P107" s="612" t="s">
        <x:v>133</x:v>
      </x:c>
      <x:c r="Q107" s="612"/>
      <x:c r="R107" s="613"/>
      <x:c r="S107" s="614" t="s">
        <x:v>81</x:v>
      </x:c>
      <x:c r="T107" s="614"/>
      <x:c r="U107" s="614"/>
      <x:c r="V107" s="614"/>
      <x:c r="W107" s="614"/>
      <x:c r="X107" s="630"/>
      <x:c r="Y107" s="630"/>
      <x:c r="Z107" s="630"/>
      <x:c r="AA107" s="630"/>
      <x:c r="AB107" s="630"/>
      <x:c r="AC107" s="630"/>
      <x:c r="AD107" s="630"/>
      <x:c r="AE107" s="630"/>
      <x:c r="AF107" s="630"/>
      <x:c r="AG107" s="630"/>
      <x:c r="AH107" s="630"/>
      <x:c r="AI107" s="630"/>
      <x:c r="AJ107" s="630"/>
      <x:c r="AK107" s="630"/>
      <x:c r="AL107" s="630"/>
      <x:c r="AM107" s="630">
        <x:f>AVERAGE(X107:AL107)</x:f>
      </x:c>
      <x:c r="AN107" s="630"/>
      <x:c r="AO107" s="630"/>
      <x:c r="AP107" s="630"/>
      <x:c r="AQ107" s="630"/>
      <x:c r="AR107" s="630">
        <x:f>AM107-L107</x:f>
      </x:c>
      <x:c r="AS107" s="630"/>
      <x:c r="AT107" s="630"/>
      <x:c r="AU107" s="630"/>
      <x:c r="AV107" s="630"/>
      <x:c r="AW107" s="505"/>
      <x:c r="AX107" s="505"/>
      <x:c r="AY107" s="505"/>
      <x:c r="AZ107" s="603"/>
      <x:c r="BA107" s="605"/>
      <x:c r="BB107" s="615">
        <x:f>(AM107*0.6%)+(1*CK107)</x:f>
      </x:c>
      <x:c r="BC107" s="615"/>
      <x:c r="BD107" s="615"/>
      <x:c r="BE107" s="615"/>
      <x:c r="BF107" s="615"/>
      <x:c r="BG107" s="615">
        <x:f>L107+BB107</x:f>
      </x:c>
      <x:c r="BH107" s="615"/>
      <x:c r="BI107" s="615"/>
      <x:c r="BJ107" s="615"/>
      <x:c r="BK107" s="615"/>
      <x:c r="BL107" s="615">
        <x:f>L107-BB107</x:f>
      </x:c>
      <x:c r="BM107" s="615"/>
      <x:c r="BN107" s="615"/>
      <x:c r="BO107" s="615"/>
      <x:c r="BP107" s="615"/>
      <x:c r="BQ107" s="617">
        <x:f>IF(AND(AM107&lt;=BG107,AM107&gt;=BL107),"PASS","FAIL")</x:f>
      </x:c>
      <x:c r="BR107" s="617"/>
      <x:c r="BS107" s="617"/>
      <x:c r="BT107" s="617"/>
      <x:c r="BU107" s="617"/>
      <x:c r="BV107" s="605"/>
      <x:c r="BX107" s="72" t="s">
        <x:v>113</x:v>
      </x:c>
      <x:c r="BY107" s="6">
        <x:v>0.00048</x:v>
      </x:c>
      <x:c r="BZ107" s="1">
        <x:f>P107</x:f>
      </x:c>
      <x:c r="CA107" s="180">
        <x:v>2</x:v>
      </x:c>
      <x:c r="CB107" s="78">
        <x:f>BY107/CA107</x:f>
      </x:c>
      <x:c r="CC107" s="4"/>
      <x:c r="CD107" s="72" t="s">
        <x:v>114</x:v>
      </x:c>
      <x:c r="CE107" s="5">
        <x:v>0</x:v>
      </x:c>
      <x:c r="CF107" s="1">
        <x:f>BZ107</x:f>
      </x:c>
      <x:c r="CG107" s="81">
        <x:f>SQRT(3)</x:f>
      </x:c>
      <x:c r="CH107" s="78">
        <x:f>CE107/CG107</x:f>
      </x:c>
      <x:c r="CI107" s="4"/>
      <x:c r="CJ107" s="72" t="s">
        <x:v>115</x:v>
      </x:c>
      <x:c r="CK107" s="181">
        <x:v>0.001</x:v>
      </x:c>
      <x:c r="CL107" s="1">
        <x:f>P107</x:f>
      </x:c>
      <x:c r="CM107" s="81">
        <x:f>SQRT(12)</x:f>
      </x:c>
      <x:c r="CN107" s="78">
        <x:f>CK107/CM107</x:f>
      </x:c>
      <x:c r="CO107" s="4"/>
      <x:c r="CP107" s="72" t="s">
        <x:v>116</x:v>
      </x:c>
      <x:c r="CQ107" s="6">
        <x:f>STDEV(X107:AL107)</x:f>
      </x:c>
      <x:c r="CR107" s="1">
        <x:f>P107</x:f>
      </x:c>
      <x:c r="CS107" s="81">
        <x:f>SQRT(3)</x:f>
      </x:c>
      <x:c r="CT107" s="86">
        <x:f>CQ107/CS107</x:f>
      </x:c>
      <x:c r="CV107" s="94">
        <x:f>SQRT(SUMSQ(CT107,CN107,CH107,CB107))</x:f>
      </x:c>
      <x:c r="CW107" s="5">
        <x:f>(CV107^4)/(((CT107^4)/2)+((CN107^4)/200)+((CH107^4)/200)+((CB107^4)/200))</x:f>
      </x:c>
      <x:c r="CX107" s="109">
        <x:f>ROUND(TINV(0.05,CW107),0)</x:f>
      </x:c>
      <x:c r="CY107" s="105">
        <x:f>(CV107*CX107)</x:f>
      </x:c>
      <x:c r="CZ107" s="106">
        <x:f>P107</x:f>
      </x:c>
      <x:c r="DB107" s="177">
        <x:v>0.00053</x:v>
      </x:c>
      <x:c r="DC107" s="178">
        <x:f>CZ107</x:f>
      </x:c>
      <x:c r="DD107" s="220">
        <x:f>MAX(DB107,CY107)</x:f>
      </x:c>
      <x:c r="DE107" s="178">
        <x:f>DC107</x:f>
      </x:c>
    </x:row>
    <x:row r="108" spans="1:109" ht="18" customHeight="1" s="8" customFormat="1">
      <x:c r="A108" s="605"/>
      <x:c r="B108" s="601"/>
      <x:c r="C108" s="505"/>
      <x:c r="D108" s="505"/>
      <x:c r="E108" s="505"/>
      <x:c r="F108" s="645" t="s">
        <x:v>134</x:v>
      </x:c>
      <x:c r="G108" s="646"/>
      <x:c r="H108" s="646"/>
      <x:c r="I108" s="646"/>
      <x:c r="J108" s="646"/>
      <x:c r="K108" s="647"/>
      <x:c r="L108" s="610">
        <x:f>50*90%</x:f>
      </x:c>
      <x:c r="M108" s="611"/>
      <x:c r="N108" s="611"/>
      <x:c r="O108" s="611"/>
      <x:c r="P108" s="612" t="s">
        <x:v>133</x:v>
      </x:c>
      <x:c r="Q108" s="612"/>
      <x:c r="R108" s="613"/>
      <x:c r="S108" s="614" t="s">
        <x:v>81</x:v>
      </x:c>
      <x:c r="T108" s="614"/>
      <x:c r="U108" s="614"/>
      <x:c r="V108" s="614"/>
      <x:c r="W108" s="614"/>
      <x:c r="X108" s="642"/>
      <x:c r="Y108" s="643"/>
      <x:c r="Z108" s="643"/>
      <x:c r="AA108" s="643"/>
      <x:c r="AB108" s="643"/>
      <x:c r="AC108" s="642"/>
      <x:c r="AD108" s="643"/>
      <x:c r="AE108" s="643"/>
      <x:c r="AF108" s="643"/>
      <x:c r="AG108" s="643"/>
      <x:c r="AH108" s="642"/>
      <x:c r="AI108" s="643"/>
      <x:c r="AJ108" s="643"/>
      <x:c r="AK108" s="643"/>
      <x:c r="AL108" s="643"/>
      <x:c r="AM108" s="616">
        <x:f>AVERAGE(X108:AL108)</x:f>
      </x:c>
      <x:c r="AN108" s="616"/>
      <x:c r="AO108" s="616"/>
      <x:c r="AP108" s="616"/>
      <x:c r="AQ108" s="616"/>
      <x:c r="AR108" s="616">
        <x:f>AM108-L108</x:f>
      </x:c>
      <x:c r="AS108" s="616"/>
      <x:c r="AT108" s="616"/>
      <x:c r="AU108" s="616"/>
      <x:c r="AV108" s="616"/>
      <x:c r="AW108" s="505"/>
      <x:c r="AX108" s="505"/>
      <x:c r="AY108" s="505"/>
      <x:c r="AZ108" s="603"/>
      <x:c r="BA108" s="605"/>
      <x:c r="BB108" s="616">
        <x:f>(AM108*1%)+(10*CK108)</x:f>
      </x:c>
      <x:c r="BC108" s="616"/>
      <x:c r="BD108" s="616"/>
      <x:c r="BE108" s="616"/>
      <x:c r="BF108" s="616"/>
      <x:c r="BG108" s="615">
        <x:f>L108+BB108</x:f>
      </x:c>
      <x:c r="BH108" s="615"/>
      <x:c r="BI108" s="615"/>
      <x:c r="BJ108" s="615"/>
      <x:c r="BK108" s="615"/>
      <x:c r="BL108" s="615">
        <x:f>L108-BB108</x:f>
      </x:c>
      <x:c r="BM108" s="615"/>
      <x:c r="BN108" s="615"/>
      <x:c r="BO108" s="615"/>
      <x:c r="BP108" s="615"/>
      <x:c r="BQ108" s="617">
        <x:f>IF(AND(AM108&lt;=BG108,AM108&gt;=BL108),"PASS","FAIL")</x:f>
      </x:c>
      <x:c r="BR108" s="617"/>
      <x:c r="BS108" s="617"/>
      <x:c r="BT108" s="617"/>
      <x:c r="BU108" s="617"/>
      <x:c r="BV108" s="605"/>
      <x:c r="BX108" s="73" t="s">
        <x:v>113</x:v>
      </x:c>
      <x:c r="BY108" s="223">
        <x:v>0.0047</x:v>
      </x:c>
      <x:c r="BZ108" s="74">
        <x:f>P108</x:f>
      </x:c>
      <x:c r="CA108" s="182">
        <x:v>2</x:v>
      </x:c>
      <x:c r="CB108" s="79">
        <x:f>BY108/CA108</x:f>
      </x:c>
      <x:c r="CC108" s="4"/>
      <x:c r="CD108" s="73" t="s">
        <x:v>114</x:v>
      </x:c>
      <x:c r="CE108" s="89">
        <x:v>0</x:v>
      </x:c>
      <x:c r="CF108" s="74">
        <x:f>BZ108</x:f>
      </x:c>
      <x:c r="CG108" s="82">
        <x:f>SQRT(3)</x:f>
      </x:c>
      <x:c r="CH108" s="79">
        <x:f>CE108/CG108</x:f>
      </x:c>
      <x:c r="CI108" s="4"/>
      <x:c r="CJ108" s="73" t="s">
        <x:v>115</x:v>
      </x:c>
      <x:c r="CK108" s="183">
        <x:v>0.01</x:v>
      </x:c>
      <x:c r="CL108" s="74">
        <x:f>P108</x:f>
      </x:c>
      <x:c r="CM108" s="82">
        <x:f>SQRT(12)</x:f>
      </x:c>
      <x:c r="CN108" s="79">
        <x:f>CK108/CM108</x:f>
      </x:c>
      <x:c r="CO108" s="4"/>
      <x:c r="CP108" s="73" t="s">
        <x:v>116</x:v>
      </x:c>
      <x:c r="CQ108" s="84">
        <x:f>STDEV(X108:AL108)</x:f>
      </x:c>
      <x:c r="CR108" s="74">
        <x:f>P108</x:f>
      </x:c>
      <x:c r="CS108" s="82">
        <x:f>SQRT(3)</x:f>
      </x:c>
      <x:c r="CT108" s="87">
        <x:f>CQ108/CS108</x:f>
      </x:c>
      <x:c r="CV108" s="96">
        <x:f>SQRT(SUMSQ(CT108,CN108,CH108,CB108))</x:f>
      </x:c>
      <x:c r="CW108" s="89">
        <x:f>(CV108^4)/(((CT108^4)/2)+((CN108^4)/200)+((CH108^4)/200)+((CB108^4)/200))</x:f>
      </x:c>
      <x:c r="CX108" s="115">
        <x:f>ROUND(TINV(0.05,CW108),0)</x:f>
      </x:c>
      <x:c r="CY108" s="116">
        <x:f>(CV108*CX108)</x:f>
      </x:c>
      <x:c r="CZ108" s="108">
        <x:f>P108</x:f>
      </x:c>
      <x:c r="DB108" s="177">
        <x:v>0.015</x:v>
      </x:c>
      <x:c r="DC108" s="178">
        <x:f>CZ108</x:f>
      </x:c>
      <x:c r="DD108" s="220">
        <x:f>MAX(DB108,CY108)</x:f>
      </x:c>
      <x:c r="DE108" s="178">
        <x:f>DC108</x:f>
      </x:c>
    </x:row>
    <x:row r="109" spans="1:109" ht="13.5" customHeight="1" s="143" customFormat="1">
      <x:c r="A109" s="502"/>
      <x:c r="B109" s="597"/>
      <x:c r="C109" s="598"/>
      <x:c r="D109" s="598"/>
      <x:c r="E109" s="598"/>
      <x:c r="F109" s="598"/>
      <x:c r="G109" s="598"/>
      <x:c r="H109" s="598"/>
      <x:c r="I109" s="598"/>
      <x:c r="J109" s="598"/>
      <x:c r="K109" s="598"/>
      <x:c r="L109" s="598"/>
      <x:c r="M109" s="598"/>
      <x:c r="N109" s="598"/>
      <x:c r="O109" s="598"/>
      <x:c r="P109" s="598"/>
      <x:c r="Q109" s="598"/>
      <x:c r="R109" s="598"/>
      <x:c r="S109" s="598"/>
      <x:c r="T109" s="598"/>
      <x:c r="U109" s="598"/>
      <x:c r="V109" s="598"/>
      <x:c r="W109" s="598"/>
      <x:c r="X109" s="598"/>
      <x:c r="Y109" s="598"/>
      <x:c r="Z109" s="598"/>
      <x:c r="AA109" s="598"/>
      <x:c r="AB109" s="598"/>
      <x:c r="AC109" s="598"/>
      <x:c r="AD109" s="598"/>
      <x:c r="AE109" s="598"/>
      <x:c r="AF109" s="598"/>
      <x:c r="AG109" s="598"/>
      <x:c r="AH109" s="598"/>
      <x:c r="AI109" s="598"/>
      <x:c r="AJ109" s="598"/>
      <x:c r="AK109" s="598"/>
      <x:c r="AL109" s="598"/>
      <x:c r="AM109" s="598"/>
      <x:c r="AN109" s="598"/>
      <x:c r="AO109" s="598"/>
      <x:c r="AP109" s="598"/>
      <x:c r="AQ109" s="598"/>
      <x:c r="AR109" s="598"/>
      <x:c r="AS109" s="598"/>
      <x:c r="AT109" s="598"/>
      <x:c r="AU109" s="598"/>
      <x:c r="AV109" s="598"/>
      <x:c r="AW109" s="598"/>
      <x:c r="AX109" s="598"/>
      <x:c r="AY109" s="598"/>
      <x:c r="AZ109" s="599"/>
      <x:c r="BA109" s="502"/>
      <x:c r="BB109" s="502"/>
      <x:c r="BC109" s="502"/>
      <x:c r="BD109" s="502"/>
      <x:c r="BE109" s="502"/>
      <x:c r="BF109" s="502"/>
      <x:c r="BG109" s="502"/>
      <x:c r="BH109" s="502"/>
      <x:c r="BI109" s="502"/>
      <x:c r="BJ109" s="502"/>
      <x:c r="BK109" s="502"/>
      <x:c r="BL109" s="502"/>
      <x:c r="BM109" s="502"/>
      <x:c r="BN109" s="502"/>
      <x:c r="BO109" s="502"/>
      <x:c r="BP109" s="502"/>
      <x:c r="BQ109" s="502"/>
      <x:c r="BR109" s="502"/>
      <x:c r="BS109" s="502"/>
      <x:c r="BT109" s="502"/>
      <x:c r="BU109" s="502"/>
      <x:c r="BV109" s="502"/>
    </x:row>
    <x:row r="110" spans="1:109" ht="12.75" customHeight="1" s="7" customFormat="1">
      <x:c r="A110" s="600"/>
      <x:c r="B110" s="601"/>
      <x:c r="C110" s="505"/>
      <x:c r="D110" s="504"/>
      <x:c r="E110" s="505"/>
      <x:c r="F110" s="602" t="s">
        <x:v>135</x:v>
      </x:c>
      <x:c r="G110" s="505"/>
      <x:c r="H110" s="505"/>
      <x:c r="I110" s="505"/>
      <x:c r="J110" s="505"/>
      <x:c r="K110" s="505"/>
      <x:c r="L110" s="505"/>
      <x:c r="M110" s="505"/>
      <x:c r="N110" s="505"/>
      <x:c r="O110" s="505"/>
      <x:c r="P110" s="505"/>
      <x:c r="Q110" s="505"/>
      <x:c r="R110" s="505"/>
      <x:c r="S110" s="505"/>
      <x:c r="T110" s="505"/>
      <x:c r="U110" s="505"/>
      <x:c r="V110" s="505"/>
      <x:c r="W110" s="505"/>
      <x:c r="X110" s="505"/>
      <x:c r="Y110" s="505"/>
      <x:c r="Z110" s="505"/>
      <x:c r="AA110" s="505"/>
      <x:c r="AB110" s="505"/>
      <x:c r="AC110" s="505"/>
      <x:c r="AD110" s="505"/>
      <x:c r="AE110" s="505"/>
      <x:c r="AF110" s="505"/>
      <x:c r="AG110" s="505"/>
      <x:c r="AH110" s="505"/>
      <x:c r="AI110" s="505"/>
      <x:c r="AJ110" s="505"/>
      <x:c r="AK110" s="505"/>
      <x:c r="AL110" s="505"/>
      <x:c r="AM110" s="505"/>
      <x:c r="AN110" s="505"/>
      <x:c r="AO110" s="505"/>
      <x:c r="AP110" s="505"/>
      <x:c r="AQ110" s="505"/>
      <x:c r="AR110" s="505"/>
      <x:c r="AS110" s="505"/>
      <x:c r="AT110" s="505"/>
      <x:c r="AU110" s="505"/>
      <x:c r="AV110" s="505"/>
      <x:c r="AW110" s="505"/>
      <x:c r="AX110" s="505"/>
      <x:c r="AY110" s="505"/>
      <x:c r="AZ110" s="603"/>
      <x:c r="BA110" s="600"/>
      <x:c r="BB110" s="604" t="s">
        <x:v>87</x:v>
      </x:c>
      <x:c r="BC110" s="604"/>
      <x:c r="BD110" s="604"/>
      <x:c r="BE110" s="604"/>
      <x:c r="BF110" s="604"/>
      <x:c r="BG110" s="604"/>
      <x:c r="BH110" s="604"/>
      <x:c r="BI110" s="604"/>
      <x:c r="BJ110" s="604"/>
      <x:c r="BK110" s="604"/>
      <x:c r="BL110" s="604"/>
      <x:c r="BM110" s="604"/>
      <x:c r="BN110" s="604"/>
      <x:c r="BO110" s="604"/>
      <x:c r="BP110" s="604"/>
      <x:c r="BQ110" s="604"/>
      <x:c r="BR110" s="604"/>
      <x:c r="BS110" s="604"/>
      <x:c r="BT110" s="604"/>
      <x:c r="BU110" s="604"/>
      <x:c r="BV110" s="600"/>
      <x:c r="BX110" s="370" t="s">
        <x:v>88</x:v>
      </x:c>
      <x:c r="BY110" s="371"/>
      <x:c r="BZ110" s="371"/>
      <x:c r="CA110" s="371"/>
      <x:c r="CB110" s="372"/>
      <x:c r="CC110" s="2"/>
      <x:c r="CD110" s="370" t="s">
        <x:v>88</x:v>
      </x:c>
      <x:c r="CE110" s="371"/>
      <x:c r="CF110" s="371"/>
      <x:c r="CG110" s="371"/>
      <x:c r="CH110" s="372"/>
      <x:c r="CI110" s="2"/>
      <x:c r="CJ110" s="370" t="s">
        <x:v>89</x:v>
      </x:c>
      <x:c r="CK110" s="371"/>
      <x:c r="CL110" s="371"/>
      <x:c r="CM110" s="371"/>
      <x:c r="CN110" s="372"/>
      <x:c r="CO110" s="2"/>
      <x:c r="CP110" s="370" t="s">
        <x:v>89</x:v>
      </x:c>
      <x:c r="CQ110" s="371"/>
      <x:c r="CR110" s="371"/>
      <x:c r="CS110" s="371"/>
      <x:c r="CT110" s="372"/>
      <x:c r="CV110" s="370" t="s">
        <x:v>90</x:v>
      </x:c>
      <x:c r="CW110" s="371"/>
      <x:c r="CX110" s="371"/>
      <x:c r="CY110" s="371"/>
      <x:c r="CZ110" s="372"/>
      <x:c r="DB110" s="361" t="s">
        <x:v>91</x:v>
      </x:c>
      <x:c r="DC110" s="359"/>
      <x:c r="DD110" s="361" t="s">
        <x:v>92</x:v>
      </x:c>
      <x:c r="DE110" s="361"/>
    </x:row>
    <x:row r="111" spans="1:109" ht="18" customHeight="1" s="8" customFormat="1">
      <x:c r="A111" s="605"/>
      <x:c r="B111" s="601"/>
      <x:c r="C111" s="505"/>
      <x:c r="D111" s="505"/>
      <x:c r="E111" s="505"/>
      <x:c r="F111" s="606" t="s">
        <x:v>37</x:v>
      </x:c>
      <x:c r="G111" s="606"/>
      <x:c r="H111" s="606"/>
      <x:c r="I111" s="606"/>
      <x:c r="J111" s="606"/>
      <x:c r="K111" s="606"/>
      <x:c r="L111" s="606" t="s">
        <x:v>38</x:v>
      </x:c>
      <x:c r="M111" s="606"/>
      <x:c r="N111" s="606"/>
      <x:c r="O111" s="606"/>
      <x:c r="P111" s="606"/>
      <x:c r="Q111" s="606"/>
      <x:c r="R111" s="606"/>
      <x:c r="S111" s="606" t="s">
        <x:v>93</x:v>
      </x:c>
      <x:c r="T111" s="606"/>
      <x:c r="U111" s="606"/>
      <x:c r="V111" s="606"/>
      <x:c r="W111" s="606"/>
      <x:c r="X111" s="606" t="s">
        <x:v>39</x:v>
      </x:c>
      <x:c r="Y111" s="606"/>
      <x:c r="Z111" s="606"/>
      <x:c r="AA111" s="606"/>
      <x:c r="AB111" s="606"/>
      <x:c r="AC111" s="606"/>
      <x:c r="AD111" s="606"/>
      <x:c r="AE111" s="606"/>
      <x:c r="AF111" s="606"/>
      <x:c r="AG111" s="606"/>
      <x:c r="AH111" s="606"/>
      <x:c r="AI111" s="606"/>
      <x:c r="AJ111" s="606"/>
      <x:c r="AK111" s="606"/>
      <x:c r="AL111" s="606"/>
      <x:c r="AM111" s="606" t="s">
        <x:v>94</x:v>
      </x:c>
      <x:c r="AN111" s="606"/>
      <x:c r="AO111" s="606"/>
      <x:c r="AP111" s="606"/>
      <x:c r="AQ111" s="606"/>
      <x:c r="AR111" s="606" t="s">
        <x:v>40</x:v>
      </x:c>
      <x:c r="AS111" s="606"/>
      <x:c r="AT111" s="606"/>
      <x:c r="AU111" s="606"/>
      <x:c r="AV111" s="606"/>
      <x:c r="AW111" s="505"/>
      <x:c r="AX111" s="505"/>
      <x:c r="AY111" s="505"/>
      <x:c r="AZ111" s="603"/>
      <x:c r="BA111" s="605"/>
      <x:c r="BB111" s="606" t="s">
        <x:v>95</x:v>
      </x:c>
      <x:c r="BC111" s="606"/>
      <x:c r="BD111" s="606"/>
      <x:c r="BE111" s="606"/>
      <x:c r="BF111" s="606"/>
      <x:c r="BG111" s="606" t="s">
        <x:v>96</x:v>
      </x:c>
      <x:c r="BH111" s="606"/>
      <x:c r="BI111" s="606"/>
      <x:c r="BJ111" s="606"/>
      <x:c r="BK111" s="606"/>
      <x:c r="BL111" s="606" t="s">
        <x:v>97</x:v>
      </x:c>
      <x:c r="BM111" s="606"/>
      <x:c r="BN111" s="606"/>
      <x:c r="BO111" s="606"/>
      <x:c r="BP111" s="606"/>
      <x:c r="BQ111" s="606" t="s">
        <x:v>98</x:v>
      </x:c>
      <x:c r="BR111" s="606"/>
      <x:c r="BS111" s="606"/>
      <x:c r="BT111" s="606"/>
      <x:c r="BU111" s="606"/>
      <x:c r="BV111" s="605"/>
      <x:c r="BX111" s="119" t="s">
        <x:v>99</x:v>
      </x:c>
      <x:c r="BY111" s="362" t="s">
        <x:v>41</x:v>
      </x:c>
      <x:c r="BZ111" s="362" t="s">
        <x:v>100</x:v>
      </x:c>
      <x:c r="CA111" s="121" t="s">
        <x:v>101</x:v>
      </x:c>
      <x:c r="CB111" s="368" t="s">
        <x:v>102</x:v>
      </x:c>
      <x:c r="CC111" s="2"/>
      <x:c r="CD111" s="119" t="s">
        <x:v>99</x:v>
      </x:c>
      <x:c r="CE111" s="362" t="s">
        <x:v>41</x:v>
      </x:c>
      <x:c r="CF111" s="362" t="s">
        <x:v>100</x:v>
      </x:c>
      <x:c r="CG111" s="121" t="s">
        <x:v>101</x:v>
      </x:c>
      <x:c r="CH111" s="368" t="s">
        <x:v>102</x:v>
      </x:c>
      <x:c r="CI111" s="2"/>
      <x:c r="CJ111" s="119" t="s">
        <x:v>99</x:v>
      </x:c>
      <x:c r="CK111" s="362" t="s">
        <x:v>41</x:v>
      </x:c>
      <x:c r="CL111" s="362" t="s">
        <x:v>100</x:v>
      </x:c>
      <x:c r="CM111" s="121" t="s">
        <x:v>101</x:v>
      </x:c>
      <x:c r="CN111" s="368" t="s">
        <x:v>102</x:v>
      </x:c>
      <x:c r="CO111" s="2"/>
      <x:c r="CP111" s="119" t="s">
        <x:v>99</x:v>
      </x:c>
      <x:c r="CQ111" s="362" t="s">
        <x:v>41</x:v>
      </x:c>
      <x:c r="CR111" s="362" t="s">
        <x:v>100</x:v>
      </x:c>
      <x:c r="CS111" s="121" t="s">
        <x:v>101</x:v>
      </x:c>
      <x:c r="CT111" s="368" t="s">
        <x:v>102</x:v>
      </x:c>
      <x:c r="CV111" s="119" t="s">
        <x:v>103</x:v>
      </x:c>
      <x:c r="CW111" s="101" t="s">
        <x:v>104</x:v>
      </x:c>
      <x:c r="CX111" s="121" t="s">
        <x:v>105</x:v>
      </x:c>
      <x:c r="CY111" s="119" t="s">
        <x:v>106</x:v>
      </x:c>
      <x:c r="CZ111" s="377"/>
      <x:c r="DB111" s="361"/>
      <x:c r="DC111" s="359"/>
      <x:c r="DD111" s="361"/>
      <x:c r="DE111" s="361"/>
    </x:row>
    <x:row r="112" spans="1:109" ht="18" customHeight="1" s="8" customFormat="1">
      <x:c r="A112" s="605"/>
      <x:c r="B112" s="601"/>
      <x:c r="C112" s="505"/>
      <x:c r="D112" s="505"/>
      <x:c r="E112" s="505"/>
      <x:c r="F112" s="606"/>
      <x:c r="G112" s="606"/>
      <x:c r="H112" s="606"/>
      <x:c r="I112" s="606"/>
      <x:c r="J112" s="606"/>
      <x:c r="K112" s="606"/>
      <x:c r="L112" s="606"/>
      <x:c r="M112" s="606"/>
      <x:c r="N112" s="606"/>
      <x:c r="O112" s="606"/>
      <x:c r="P112" s="606"/>
      <x:c r="Q112" s="606"/>
      <x:c r="R112" s="606"/>
      <x:c r="S112" s="606"/>
      <x:c r="T112" s="606"/>
      <x:c r="U112" s="606"/>
      <x:c r="V112" s="606"/>
      <x:c r="W112" s="606"/>
      <x:c r="X112" s="606">
        <x:v>1</x:v>
      </x:c>
      <x:c r="Y112" s="606"/>
      <x:c r="Z112" s="606"/>
      <x:c r="AA112" s="606"/>
      <x:c r="AB112" s="606"/>
      <x:c r="AC112" s="606">
        <x:v>2</x:v>
      </x:c>
      <x:c r="AD112" s="606"/>
      <x:c r="AE112" s="606"/>
      <x:c r="AF112" s="606"/>
      <x:c r="AG112" s="606"/>
      <x:c r="AH112" s="606">
        <x:v>3</x:v>
      </x:c>
      <x:c r="AI112" s="606"/>
      <x:c r="AJ112" s="606"/>
      <x:c r="AK112" s="606"/>
      <x:c r="AL112" s="606"/>
      <x:c r="AM112" s="606"/>
      <x:c r="AN112" s="606"/>
      <x:c r="AO112" s="606"/>
      <x:c r="AP112" s="606"/>
      <x:c r="AQ112" s="606"/>
      <x:c r="AR112" s="606"/>
      <x:c r="AS112" s="606"/>
      <x:c r="AT112" s="606"/>
      <x:c r="AU112" s="606"/>
      <x:c r="AV112" s="606"/>
      <x:c r="AW112" s="505"/>
      <x:c r="AX112" s="505"/>
      <x:c r="AY112" s="505"/>
      <x:c r="AZ112" s="603"/>
      <x:c r="BA112" s="605"/>
      <x:c r="BB112" s="606"/>
      <x:c r="BC112" s="606"/>
      <x:c r="BD112" s="606"/>
      <x:c r="BE112" s="606"/>
      <x:c r="BF112" s="606"/>
      <x:c r="BG112" s="606"/>
      <x:c r="BH112" s="606"/>
      <x:c r="BI112" s="606"/>
      <x:c r="BJ112" s="606"/>
      <x:c r="BK112" s="606"/>
      <x:c r="BL112" s="606"/>
      <x:c r="BM112" s="606"/>
      <x:c r="BN112" s="606"/>
      <x:c r="BO112" s="606"/>
      <x:c r="BP112" s="606"/>
      <x:c r="BQ112" s="606"/>
      <x:c r="BR112" s="606"/>
      <x:c r="BS112" s="606"/>
      <x:c r="BT112" s="606"/>
      <x:c r="BU112" s="606"/>
      <x:c r="BV112" s="605"/>
      <x:c r="BX112" s="120"/>
      <x:c r="BY112" s="363"/>
      <x:c r="BZ112" s="363"/>
      <x:c r="CA112" s="122"/>
      <x:c r="CB112" s="369"/>
      <x:c r="CC112" s="2"/>
      <x:c r="CD112" s="120"/>
      <x:c r="CE112" s="363"/>
      <x:c r="CF112" s="363"/>
      <x:c r="CG112" s="122"/>
      <x:c r="CH112" s="369"/>
      <x:c r="CI112" s="2"/>
      <x:c r="CJ112" s="120"/>
      <x:c r="CK112" s="363"/>
      <x:c r="CL112" s="363"/>
      <x:c r="CM112" s="122"/>
      <x:c r="CN112" s="369"/>
      <x:c r="CO112" s="2"/>
      <x:c r="CP112" s="120"/>
      <x:c r="CQ112" s="363"/>
      <x:c r="CR112" s="363"/>
      <x:c r="CS112" s="122"/>
      <x:c r="CT112" s="369"/>
      <x:c r="CV112" s="120" t="s">
        <x:v>107</x:v>
      </x:c>
      <x:c r="CW112" s="102" t="s">
        <x:v>108</x:v>
      </x:c>
      <x:c r="CX112" s="122" t="s">
        <x:v>109</x:v>
      </x:c>
      <x:c r="CY112" s="120" t="s">
        <x:v>110</x:v>
      </x:c>
      <x:c r="CZ112" s="378"/>
      <x:c r="DB112" s="361"/>
      <x:c r="DC112" s="359"/>
      <x:c r="DD112" s="361"/>
      <x:c r="DE112" s="361"/>
    </x:row>
    <x:row r="113" spans="1:109" ht="18" customHeight="1" s="8" customFormat="1">
      <x:c r="A113" s="605"/>
      <x:c r="B113" s="601"/>
      <x:c r="C113" s="505"/>
      <x:c r="D113" s="505"/>
      <x:c r="E113" s="505"/>
      <x:c r="F113" s="648" t="s">
        <x:v>137</x:v>
      </x:c>
      <x:c r="G113" s="646"/>
      <x:c r="H113" s="646"/>
      <x:c r="I113" s="646"/>
      <x:c r="J113" s="646"/>
      <x:c r="K113" s="647"/>
      <x:c r="L113" s="610">
        <x:f>600*90%</x:f>
      </x:c>
      <x:c r="M113" s="611"/>
      <x:c r="N113" s="611"/>
      <x:c r="O113" s="611"/>
      <x:c r="P113" s="612" t="s">
        <x:v>136</x:v>
      </x:c>
      <x:c r="Q113" s="612"/>
      <x:c r="R113" s="613"/>
      <x:c r="S113" s="614" t="s">
        <x:v>81</x:v>
      </x:c>
      <x:c r="T113" s="614"/>
      <x:c r="U113" s="614"/>
      <x:c r="V113" s="614"/>
      <x:c r="W113" s="614"/>
      <x:c r="X113" s="615"/>
      <x:c r="Y113" s="615"/>
      <x:c r="Z113" s="615"/>
      <x:c r="AA113" s="615"/>
      <x:c r="AB113" s="615"/>
      <x:c r="AC113" s="615"/>
      <x:c r="AD113" s="615"/>
      <x:c r="AE113" s="615"/>
      <x:c r="AF113" s="615"/>
      <x:c r="AG113" s="615"/>
      <x:c r="AH113" s="615"/>
      <x:c r="AI113" s="615"/>
      <x:c r="AJ113" s="615"/>
      <x:c r="AK113" s="615"/>
      <x:c r="AL113" s="615"/>
      <x:c r="AM113" s="615">
        <x:f>AVERAGE(X113:AL113)</x:f>
      </x:c>
      <x:c r="AN113" s="615"/>
      <x:c r="AO113" s="615"/>
      <x:c r="AP113" s="615"/>
      <x:c r="AQ113" s="615"/>
      <x:c r="AR113" s="615">
        <x:f>AM113-L113</x:f>
      </x:c>
      <x:c r="AS113" s="615"/>
      <x:c r="AT113" s="615"/>
      <x:c r="AU113" s="615"/>
      <x:c r="AV113" s="615"/>
      <x:c r="AW113" s="505"/>
      <x:c r="AX113" s="505"/>
      <x:c r="AY113" s="505"/>
      <x:c r="AZ113" s="603"/>
      <x:c r="BA113" s="605"/>
      <x:c r="BB113" s="616">
        <x:f>(AM113*0.2%)+(4*CK113)</x:f>
      </x:c>
      <x:c r="BC113" s="616"/>
      <x:c r="BD113" s="616"/>
      <x:c r="BE113" s="616"/>
      <x:c r="BF113" s="616"/>
      <x:c r="BG113" s="616">
        <x:f>L113+BB113</x:f>
      </x:c>
      <x:c r="BH113" s="616"/>
      <x:c r="BI113" s="616"/>
      <x:c r="BJ113" s="616"/>
      <x:c r="BK113" s="616"/>
      <x:c r="BL113" s="616">
        <x:f>L113-BB113</x:f>
      </x:c>
      <x:c r="BM113" s="616"/>
      <x:c r="BN113" s="616"/>
      <x:c r="BO113" s="616"/>
      <x:c r="BP113" s="616"/>
      <x:c r="BQ113" s="617">
        <x:f>IF(AND(AM113&lt;=BG113,AM113&gt;=BL113),"PASS","FAIL")</x:f>
      </x:c>
      <x:c r="BR113" s="617"/>
      <x:c r="BS113" s="617"/>
      <x:c r="BT113" s="617"/>
      <x:c r="BU113" s="617"/>
      <x:c r="BV113" s="605"/>
      <x:c r="BX113" s="70" t="s">
        <x:v>113</x:v>
      </x:c>
      <x:c r="BY113" s="202">
        <x:v>0.09</x:v>
      </x:c>
      <x:c r="BZ113" s="71">
        <x:f>P113</x:f>
      </x:c>
      <x:c r="CA113" s="191">
        <x:v>2</x:v>
      </x:c>
      <x:c r="CB113" s="77">
        <x:f>BY113/CA113</x:f>
      </x:c>
      <x:c r="CC113" s="4"/>
      <x:c r="CD113" s="70" t="s">
        <x:v>114</x:v>
      </x:c>
      <x:c r="CE113" s="88">
        <x:v>0</x:v>
      </x:c>
      <x:c r="CF113" s="71">
        <x:f>BZ113</x:f>
      </x:c>
      <x:c r="CG113" s="80">
        <x:f>SQRT(3)</x:f>
      </x:c>
      <x:c r="CH113" s="77">
        <x:f>CE113/CG113</x:f>
      </x:c>
      <x:c r="CI113" s="4"/>
      <x:c r="CJ113" s="70" t="s">
        <x:v>115</x:v>
      </x:c>
      <x:c r="CK113" s="176">
        <x:v>0.1</x:v>
      </x:c>
      <x:c r="CL113" s="71">
        <x:f>P113</x:f>
      </x:c>
      <x:c r="CM113" s="80">
        <x:f>SQRT(12)</x:f>
      </x:c>
      <x:c r="CN113" s="77">
        <x:f>CK113/CM113</x:f>
      </x:c>
      <x:c r="CO113" s="4"/>
      <x:c r="CP113" s="70" t="s">
        <x:v>116</x:v>
      </x:c>
      <x:c r="CQ113" s="83">
        <x:f>STDEV(X113:AL113)</x:f>
      </x:c>
      <x:c r="CR113" s="71">
        <x:f>P113</x:f>
      </x:c>
      <x:c r="CS113" s="80">
        <x:f>SQRT(3)</x:f>
      </x:c>
      <x:c r="CT113" s="85">
        <x:f>CQ113/CS113</x:f>
      </x:c>
      <x:c r="CV113" s="92">
        <x:f>SQRT(SUMSQ(CT113,CN113,CH113,CB113))</x:f>
      </x:c>
      <x:c r="CW113" s="88">
        <x:f>(CV113^4)/(((CT113^4)/2)+((CN113^4)/200)+((CH113^4)/200)+((CB113^4)/200))</x:f>
      </x:c>
      <x:c r="CX113" s="93">
        <x:f>ROUND(TINV(0.05,CW113),0)</x:f>
      </x:c>
      <x:c r="CY113" s="117">
        <x:f>(CV113*CX113)</x:f>
      </x:c>
      <x:c r="CZ113" s="104">
        <x:f>P113</x:f>
      </x:c>
      <x:c r="DB113" s="177">
        <x:v>0.064</x:v>
      </x:c>
      <x:c r="DC113" s="178">
        <x:f>CZ113</x:f>
      </x:c>
      <x:c r="DD113" s="220">
        <x:f>MAX(DB113,CY113)</x:f>
      </x:c>
      <x:c r="DE113" s="178">
        <x:f>DC113</x:f>
      </x:c>
    </x:row>
    <x:row r="114" spans="1:109" ht="18" customHeight="1" s="8" customFormat="1">
      <x:c r="A114" s="605"/>
      <x:c r="B114" s="601"/>
      <x:c r="C114" s="505"/>
      <x:c r="D114" s="505"/>
      <x:c r="E114" s="505"/>
      <x:c r="F114" s="648" t="s">
        <x:v>139</x:v>
      </x:c>
      <x:c r="G114" s="646"/>
      <x:c r="H114" s="646"/>
      <x:c r="I114" s="646"/>
      <x:c r="J114" s="646"/>
      <x:c r="K114" s="647"/>
      <x:c r="L114" s="610">
        <x:f>6000*90%</x:f>
      </x:c>
      <x:c r="M114" s="611"/>
      <x:c r="N114" s="611"/>
      <x:c r="O114" s="611"/>
      <x:c r="P114" s="612" t="s">
        <x:v>136</x:v>
      </x:c>
      <x:c r="Q114" s="612"/>
      <x:c r="R114" s="613"/>
      <x:c r="S114" s="614" t="s">
        <x:v>81</x:v>
      </x:c>
      <x:c r="T114" s="614"/>
      <x:c r="U114" s="614"/>
      <x:c r="V114" s="614"/>
      <x:c r="W114" s="614"/>
      <x:c r="X114" s="631"/>
      <x:c r="Y114" s="631"/>
      <x:c r="Z114" s="631"/>
      <x:c r="AA114" s="631"/>
      <x:c r="AB114" s="631"/>
      <x:c r="AC114" s="631"/>
      <x:c r="AD114" s="631"/>
      <x:c r="AE114" s="631"/>
      <x:c r="AF114" s="631"/>
      <x:c r="AG114" s="631"/>
      <x:c r="AH114" s="631"/>
      <x:c r="AI114" s="631"/>
      <x:c r="AJ114" s="631"/>
      <x:c r="AK114" s="631"/>
      <x:c r="AL114" s="631"/>
      <x:c r="AM114" s="631">
        <x:f>AVERAGE(X114:AL114)</x:f>
      </x:c>
      <x:c r="AN114" s="631"/>
      <x:c r="AO114" s="631"/>
      <x:c r="AP114" s="631"/>
      <x:c r="AQ114" s="631"/>
      <x:c r="AR114" s="631">
        <x:f>AM114-L114</x:f>
      </x:c>
      <x:c r="AS114" s="631"/>
      <x:c r="AT114" s="631"/>
      <x:c r="AU114" s="631"/>
      <x:c r="AV114" s="631"/>
      <x:c r="AW114" s="505"/>
      <x:c r="AX114" s="505"/>
      <x:c r="AY114" s="505"/>
      <x:c r="AZ114" s="603"/>
      <x:c r="BA114" s="605"/>
      <x:c r="BB114" s="616">
        <x:f>(AM114*0.2%)+(2*CK114)</x:f>
      </x:c>
      <x:c r="BC114" s="616"/>
      <x:c r="BD114" s="616"/>
      <x:c r="BE114" s="616"/>
      <x:c r="BF114" s="616"/>
      <x:c r="BG114" s="615">
        <x:f>L114+BB114</x:f>
      </x:c>
      <x:c r="BH114" s="615"/>
      <x:c r="BI114" s="615"/>
      <x:c r="BJ114" s="615"/>
      <x:c r="BK114" s="615"/>
      <x:c r="BL114" s="615">
        <x:f>L114-BB114</x:f>
      </x:c>
      <x:c r="BM114" s="615"/>
      <x:c r="BN114" s="615"/>
      <x:c r="BO114" s="615"/>
      <x:c r="BP114" s="615"/>
      <x:c r="BQ114" s="617">
        <x:f>IF(AND(AM114&lt;=BG114,AM114&gt;=BL114),"PASS","FAIL")</x:f>
      </x:c>
      <x:c r="BR114" s="617"/>
      <x:c r="BS114" s="617"/>
      <x:c r="BT114" s="617"/>
      <x:c r="BU114" s="617"/>
      <x:c r="BV114" s="605"/>
      <x:c r="BX114" s="72" t="s">
        <x:v>113</x:v>
      </x:c>
      <x:c r="BY114" s="211">
        <x:v>0.38</x:v>
      </x:c>
      <x:c r="BZ114" s="208">
        <x:f>P114</x:f>
      </x:c>
      <x:c r="CA114" s="206">
        <x:v>2</x:v>
      </x:c>
      <x:c r="CB114" s="78">
        <x:f>BY114/CA114</x:f>
      </x:c>
      <x:c r="CC114" s="4"/>
      <x:c r="CD114" s="73" t="s">
        <x:v>114</x:v>
      </x:c>
      <x:c r="CE114" s="89">
        <x:v>0</x:v>
      </x:c>
      <x:c r="CF114" s="74">
        <x:f>BZ114</x:f>
      </x:c>
      <x:c r="CG114" s="82">
        <x:f>SQRT(3)</x:f>
      </x:c>
      <x:c r="CH114" s="79">
        <x:f>CE114/CG114</x:f>
      </x:c>
      <x:c r="CI114" s="4"/>
      <x:c r="CJ114" s="73" t="s">
        <x:v>115</x:v>
      </x:c>
      <x:c r="CK114" s="183">
        <x:v>1</x:v>
      </x:c>
      <x:c r="CL114" s="74">
        <x:f>P114</x:f>
      </x:c>
      <x:c r="CM114" s="82">
        <x:f>SQRT(12)</x:f>
      </x:c>
      <x:c r="CN114" s="79">
        <x:f>CK114/CM114</x:f>
      </x:c>
      <x:c r="CO114" s="4"/>
      <x:c r="CP114" s="73" t="s">
        <x:v>116</x:v>
      </x:c>
      <x:c r="CQ114" s="84">
        <x:f>STDEV(X114:AL114)</x:f>
      </x:c>
      <x:c r="CR114" s="74">
        <x:f>P114</x:f>
      </x:c>
      <x:c r="CS114" s="82">
        <x:f>SQRT(3)</x:f>
      </x:c>
      <x:c r="CT114" s="87">
        <x:f>CQ114/CS114</x:f>
      </x:c>
      <x:c r="CV114" s="96">
        <x:f>SQRT(SUMSQ(CT114,CN114,CH114,CB114))</x:f>
      </x:c>
      <x:c r="CW114" s="89">
        <x:f>(CV114^4)/(((CT114^4)/2)+((CN114^4)/200)+((CH114^4)/200)+((CB114^4)/200))</x:f>
      </x:c>
      <x:c r="CX114" s="97">
        <x:f>ROUND(TINV(0.05,CW114),0)</x:f>
      </x:c>
      <x:c r="CY114" s="107">
        <x:f>(CV114*CX114)</x:f>
      </x:c>
      <x:c r="CZ114" s="108">
        <x:f>P114</x:f>
      </x:c>
      <x:c r="DB114" s="177">
        <x:v>0.45</x:v>
      </x:c>
      <x:c r="DC114" s="178">
        <x:f>CZ114</x:f>
      </x:c>
      <x:c r="DD114" s="220">
        <x:f>MAX(DB114,CY114)</x:f>
      </x:c>
      <x:c r="DE114" s="178">
        <x:f>DC114</x:f>
      </x:c>
    </x:row>
    <x:row r="115" spans="1:109" ht="18" customHeight="1" s="8" customFormat="1">
      <x:c r="A115" s="605"/>
      <x:c r="B115" s="601"/>
      <x:c r="C115" s="505"/>
      <x:c r="D115" s="505"/>
      <x:c r="E115" s="505"/>
      <x:c r="F115" s="648" t="s">
        <x:v>138</x:v>
      </x:c>
      <x:c r="G115" s="646"/>
      <x:c r="H115" s="646"/>
      <x:c r="I115" s="646"/>
      <x:c r="J115" s="646"/>
      <x:c r="K115" s="647"/>
      <x:c r="L115" s="610">
        <x:f>60*90%</x:f>
      </x:c>
      <x:c r="M115" s="611"/>
      <x:c r="N115" s="611"/>
      <x:c r="O115" s="611"/>
      <x:c r="P115" s="612" t="s">
        <x:v>140</x:v>
      </x:c>
      <x:c r="Q115" s="612"/>
      <x:c r="R115" s="613"/>
      <x:c r="S115" s="614" t="s">
        <x:v>81</x:v>
      </x:c>
      <x:c r="T115" s="614"/>
      <x:c r="U115" s="614"/>
      <x:c r="V115" s="614"/>
      <x:c r="W115" s="614"/>
      <x:c r="X115" s="616"/>
      <x:c r="Y115" s="616"/>
      <x:c r="Z115" s="616"/>
      <x:c r="AA115" s="616"/>
      <x:c r="AB115" s="616"/>
      <x:c r="AC115" s="616"/>
      <x:c r="AD115" s="616"/>
      <x:c r="AE115" s="616"/>
      <x:c r="AF115" s="616"/>
      <x:c r="AG115" s="616"/>
      <x:c r="AH115" s="616"/>
      <x:c r="AI115" s="616"/>
      <x:c r="AJ115" s="616"/>
      <x:c r="AK115" s="616"/>
      <x:c r="AL115" s="616"/>
      <x:c r="AM115" s="616">
        <x:f>AVERAGE(X115:AL115)</x:f>
      </x:c>
      <x:c r="AN115" s="616"/>
      <x:c r="AO115" s="616"/>
      <x:c r="AP115" s="616"/>
      <x:c r="AQ115" s="616"/>
      <x:c r="AR115" s="616">
        <x:f>AM115-L115</x:f>
      </x:c>
      <x:c r="AS115" s="616"/>
      <x:c r="AT115" s="616"/>
      <x:c r="AU115" s="616"/>
      <x:c r="AV115" s="616"/>
      <x:c r="AW115" s="505"/>
      <x:c r="AX115" s="505"/>
      <x:c r="AY115" s="505"/>
      <x:c r="AZ115" s="603"/>
      <x:c r="BA115" s="605"/>
      <x:c r="BB115" s="616">
        <x:f>(AM115*0.2%)+(4*CK115)</x:f>
      </x:c>
      <x:c r="BC115" s="616"/>
      <x:c r="BD115" s="616"/>
      <x:c r="BE115" s="616"/>
      <x:c r="BF115" s="616"/>
      <x:c r="BG115" s="616">
        <x:f>L115+BB115</x:f>
      </x:c>
      <x:c r="BH115" s="616"/>
      <x:c r="BI115" s="616"/>
      <x:c r="BJ115" s="616"/>
      <x:c r="BK115" s="616"/>
      <x:c r="BL115" s="616">
        <x:f>L115-BB115</x:f>
      </x:c>
      <x:c r="BM115" s="616"/>
      <x:c r="BN115" s="616"/>
      <x:c r="BO115" s="616"/>
      <x:c r="BP115" s="616"/>
      <x:c r="BQ115" s="617">
        <x:f>IF(AND(AM115&lt;=BG115,AM115&gt;=BL115),"PASS","FAIL")</x:f>
      </x:c>
      <x:c r="BR115" s="617"/>
      <x:c r="BS115" s="617"/>
      <x:c r="BT115" s="617"/>
      <x:c r="BU115" s="617"/>
      <x:c r="BV115" s="605"/>
      <x:c r="BX115" s="75" t="s">
        <x:v>113</x:v>
      </x:c>
      <x:c r="BY115" s="214">
        <x:v>0.0014</x:v>
      </x:c>
      <x:c r="BZ115" s="1">
        <x:f>P115</x:f>
      </x:c>
      <x:c r="CA115" s="180">
        <x:v>2</x:v>
      </x:c>
      <x:c r="CB115" s="209">
        <x:f>BY115/CA115</x:f>
      </x:c>
      <x:c r="CC115" s="4"/>
      <x:c r="CD115" s="70" t="s">
        <x:v>114</x:v>
      </x:c>
      <x:c r="CE115" s="88">
        <x:v>0</x:v>
      </x:c>
      <x:c r="CF115" s="71">
        <x:f>BZ115</x:f>
      </x:c>
      <x:c r="CG115" s="80">
        <x:f>SQRT(3)</x:f>
      </x:c>
      <x:c r="CH115" s="77">
        <x:f>CE115/CG115</x:f>
      </x:c>
      <x:c r="CI115" s="4"/>
      <x:c r="CJ115" s="70" t="s">
        <x:v>115</x:v>
      </x:c>
      <x:c r="CK115" s="176">
        <x:v>0.01</x:v>
      </x:c>
      <x:c r="CL115" s="71">
        <x:f>P115</x:f>
      </x:c>
      <x:c r="CM115" s="80">
        <x:f>SQRT(12)</x:f>
      </x:c>
      <x:c r="CN115" s="77">
        <x:f>CK115/CM115</x:f>
      </x:c>
      <x:c r="CO115" s="4"/>
      <x:c r="CP115" s="70" t="s">
        <x:v>116</x:v>
      </x:c>
      <x:c r="CQ115" s="83">
        <x:f>STDEV(X115:AL115)</x:f>
      </x:c>
      <x:c r="CR115" s="71">
        <x:f>P115</x:f>
      </x:c>
      <x:c r="CS115" s="80">
        <x:f>SQRT(3)</x:f>
      </x:c>
      <x:c r="CT115" s="85">
        <x:f>CQ115/CS115</x:f>
      </x:c>
      <x:c r="CV115" s="92">
        <x:f>SQRT(SUMSQ(CT115,CN115,CH115,CB115))</x:f>
      </x:c>
      <x:c r="CW115" s="88">
        <x:f>(CV115^4)/(((CT115^4)/2)+((CN115^4)/200)+((CH115^4)/200)+((CB115^4)/200))</x:f>
      </x:c>
      <x:c r="CX115" s="93">
        <x:f>ROUND(TINV(0.05,CW115),0)</x:f>
      </x:c>
      <x:c r="CY115" s="117">
        <x:f>(CV115*CX115)</x:f>
      </x:c>
      <x:c r="CZ115" s="104">
        <x:f>P115</x:f>
      </x:c>
      <x:c r="DB115" s="177">
        <x:v>0.0043</x:v>
      </x:c>
      <x:c r="DC115" s="178">
        <x:f>CZ115</x:f>
      </x:c>
      <x:c r="DD115" s="220">
        <x:f>MAX(DB115,CY115)</x:f>
      </x:c>
      <x:c r="DE115" s="178">
        <x:f>DC115</x:f>
      </x:c>
    </x:row>
    <x:row r="116" spans="1:109" ht="18" customHeight="1" s="8" customFormat="1">
      <x:c r="A116" s="605"/>
      <x:c r="B116" s="601"/>
      <x:c r="C116" s="505"/>
      <x:c r="D116" s="505"/>
      <x:c r="E116" s="505"/>
      <x:c r="F116" s="645"/>
      <x:c r="G116" s="646"/>
      <x:c r="H116" s="646"/>
      <x:c r="I116" s="646"/>
      <x:c r="J116" s="646"/>
      <x:c r="K116" s="647"/>
      <x:c r="L116" s="610">
        <x:f>60*-90%</x:f>
      </x:c>
      <x:c r="M116" s="611"/>
      <x:c r="N116" s="611"/>
      <x:c r="O116" s="611"/>
      <x:c r="P116" s="612" t="s">
        <x:v>140</x:v>
      </x:c>
      <x:c r="Q116" s="612"/>
      <x:c r="R116" s="613"/>
      <x:c r="S116" s="614" t="s">
        <x:v>81</x:v>
      </x:c>
      <x:c r="T116" s="614"/>
      <x:c r="U116" s="614"/>
      <x:c r="V116" s="614"/>
      <x:c r="W116" s="614"/>
      <x:c r="X116" s="616"/>
      <x:c r="Y116" s="616"/>
      <x:c r="Z116" s="616"/>
      <x:c r="AA116" s="616"/>
      <x:c r="AB116" s="616"/>
      <x:c r="AC116" s="616"/>
      <x:c r="AD116" s="616"/>
      <x:c r="AE116" s="616"/>
      <x:c r="AF116" s="616"/>
      <x:c r="AG116" s="616"/>
      <x:c r="AH116" s="616"/>
      <x:c r="AI116" s="616"/>
      <x:c r="AJ116" s="616"/>
      <x:c r="AK116" s="616"/>
      <x:c r="AL116" s="616"/>
      <x:c r="AM116" s="616">
        <x:f>AVERAGE(X116:AL116)</x:f>
      </x:c>
      <x:c r="AN116" s="616"/>
      <x:c r="AO116" s="616"/>
      <x:c r="AP116" s="616"/>
      <x:c r="AQ116" s="616"/>
      <x:c r="AR116" s="616">
        <x:f>AM116-L116</x:f>
      </x:c>
      <x:c r="AS116" s="616"/>
      <x:c r="AT116" s="616"/>
      <x:c r="AU116" s="616"/>
      <x:c r="AV116" s="616"/>
      <x:c r="AW116" s="505"/>
      <x:c r="AX116" s="505"/>
      <x:c r="AY116" s="505"/>
      <x:c r="AZ116" s="603"/>
      <x:c r="BA116" s="605"/>
      <x:c r="BB116" s="616">
        <x:f>ABS(AM116*0.2%)+(4*CK116)</x:f>
      </x:c>
      <x:c r="BC116" s="616"/>
      <x:c r="BD116" s="616"/>
      <x:c r="BE116" s="616"/>
      <x:c r="BF116" s="616"/>
      <x:c r="BG116" s="616">
        <x:f>L116+BB116</x:f>
      </x:c>
      <x:c r="BH116" s="616"/>
      <x:c r="BI116" s="616"/>
      <x:c r="BJ116" s="616"/>
      <x:c r="BK116" s="616"/>
      <x:c r="BL116" s="616">
        <x:f>L116-BB116</x:f>
      </x:c>
      <x:c r="BM116" s="616"/>
      <x:c r="BN116" s="616"/>
      <x:c r="BO116" s="616"/>
      <x:c r="BP116" s="616"/>
      <x:c r="BQ116" s="617">
        <x:f>IF(AND(AM116&lt;=BG116,AM116&gt;=BL116),"PASS","FAIL")</x:f>
      </x:c>
      <x:c r="BR116" s="617"/>
      <x:c r="BS116" s="617"/>
      <x:c r="BT116" s="617"/>
      <x:c r="BU116" s="617"/>
      <x:c r="BV116" s="605"/>
      <x:c r="BX116" s="72" t="s">
        <x:v>113</x:v>
      </x:c>
      <x:c r="BY116" s="214">
        <x:v>0.0014</x:v>
      </x:c>
      <x:c r="BZ116" s="1">
        <x:f>P116</x:f>
      </x:c>
      <x:c r="CA116" s="180">
        <x:v>2</x:v>
      </x:c>
      <x:c r="CB116" s="78">
        <x:f>BY116/CA116</x:f>
      </x:c>
      <x:c r="CC116" s="4"/>
      <x:c r="CD116" s="72" t="s">
        <x:v>114</x:v>
      </x:c>
      <x:c r="CE116" s="5">
        <x:v>0</x:v>
      </x:c>
      <x:c r="CF116" s="1">
        <x:f>BZ116</x:f>
      </x:c>
      <x:c r="CG116" s="81">
        <x:f>SQRT(3)</x:f>
      </x:c>
      <x:c r="CH116" s="78">
        <x:f>CE116/CG116</x:f>
      </x:c>
      <x:c r="CI116" s="4"/>
      <x:c r="CJ116" s="72" t="s">
        <x:v>115</x:v>
      </x:c>
      <x:c r="CK116" s="181">
        <x:v>0.01</x:v>
      </x:c>
      <x:c r="CL116" s="1">
        <x:f>P116</x:f>
      </x:c>
      <x:c r="CM116" s="81">
        <x:f>SQRT(12)</x:f>
      </x:c>
      <x:c r="CN116" s="78">
        <x:f>CK116/CM116</x:f>
      </x:c>
      <x:c r="CO116" s="4"/>
      <x:c r="CP116" s="72" t="s">
        <x:v>116</x:v>
      </x:c>
      <x:c r="CQ116" s="6">
        <x:f>STDEV(X116:AL116)</x:f>
      </x:c>
      <x:c r="CR116" s="1">
        <x:f>P116</x:f>
      </x:c>
      <x:c r="CS116" s="81">
        <x:f>SQRT(3)</x:f>
      </x:c>
      <x:c r="CT116" s="86">
        <x:f>CQ116/CS116</x:f>
      </x:c>
      <x:c r="CV116" s="94">
        <x:f>SQRT(SUMSQ(CT116,CN116,CH116,CB116))</x:f>
      </x:c>
      <x:c r="CW116" s="5">
        <x:f>(CV116^4)/(((CT116^4)/2)+((CN116^4)/200)+((CH116^4)/200)+((CB116^4)/200))</x:f>
      </x:c>
      <x:c r="CX116" s="95">
        <x:f>ROUND(TINV(0.05,CW116),0)</x:f>
      </x:c>
      <x:c r="CY116" s="110">
        <x:f>(CV116*CX116)</x:f>
      </x:c>
      <x:c r="CZ116" s="106">
        <x:f>P116</x:f>
      </x:c>
      <x:c r="DB116" s="177">
        <x:v>0.0043</x:v>
      </x:c>
      <x:c r="DC116" s="178">
        <x:f>CZ116</x:f>
      </x:c>
      <x:c r="DD116" s="220">
        <x:f>MAX(DB116,CY116)</x:f>
      </x:c>
      <x:c r="DE116" s="178">
        <x:f>DC116</x:f>
      </x:c>
    </x:row>
    <x:row r="117" spans="1:109" ht="18" customHeight="1" s="8" customFormat="1">
      <x:c r="A117" s="605"/>
      <x:c r="B117" s="601"/>
      <x:c r="C117" s="505"/>
      <x:c r="D117" s="505"/>
      <x:c r="E117" s="505"/>
      <x:c r="F117" s="649" t="s">
        <x:v>141</x:v>
      </x:c>
      <x:c r="G117" s="650"/>
      <x:c r="H117" s="650"/>
      <x:c r="I117" s="650"/>
      <x:c r="J117" s="650"/>
      <x:c r="K117" s="651"/>
      <x:c r="L117" s="610">
        <x:f>400*90%</x:f>
      </x:c>
      <x:c r="M117" s="611"/>
      <x:c r="N117" s="611"/>
      <x:c r="O117" s="611"/>
      <x:c r="P117" s="612" t="s">
        <x:v>140</x:v>
      </x:c>
      <x:c r="Q117" s="612"/>
      <x:c r="R117" s="613"/>
      <x:c r="S117" s="614" t="s">
        <x:v>81</x:v>
      </x:c>
      <x:c r="T117" s="614"/>
      <x:c r="U117" s="614"/>
      <x:c r="V117" s="614"/>
      <x:c r="W117" s="614"/>
      <x:c r="X117" s="615"/>
      <x:c r="Y117" s="615"/>
      <x:c r="Z117" s="615"/>
      <x:c r="AA117" s="615"/>
      <x:c r="AB117" s="615"/>
      <x:c r="AC117" s="615"/>
      <x:c r="AD117" s="615"/>
      <x:c r="AE117" s="615"/>
      <x:c r="AF117" s="615"/>
      <x:c r="AG117" s="615"/>
      <x:c r="AH117" s="615"/>
      <x:c r="AI117" s="615"/>
      <x:c r="AJ117" s="615"/>
      <x:c r="AK117" s="615"/>
      <x:c r="AL117" s="615"/>
      <x:c r="AM117" s="615">
        <x:f>AVERAGE(X117:AL117)</x:f>
      </x:c>
      <x:c r="AN117" s="615"/>
      <x:c r="AO117" s="615"/>
      <x:c r="AP117" s="615"/>
      <x:c r="AQ117" s="615"/>
      <x:c r="AR117" s="615">
        <x:f>AM117-L117</x:f>
      </x:c>
      <x:c r="AS117" s="615"/>
      <x:c r="AT117" s="615"/>
      <x:c r="AU117" s="615"/>
      <x:c r="AV117" s="615"/>
      <x:c r="AW117" s="505"/>
      <x:c r="AX117" s="505"/>
      <x:c r="AY117" s="505"/>
      <x:c r="AZ117" s="603"/>
      <x:c r="BA117" s="605"/>
      <x:c r="BB117" s="616">
        <x:f>(AM117*0.2%)+(2*CK117)</x:f>
      </x:c>
      <x:c r="BC117" s="616"/>
      <x:c r="BD117" s="616"/>
      <x:c r="BE117" s="616"/>
      <x:c r="BF117" s="616"/>
      <x:c r="BG117" s="615">
        <x:f>L117+BB117</x:f>
      </x:c>
      <x:c r="BH117" s="615"/>
      <x:c r="BI117" s="615"/>
      <x:c r="BJ117" s="615"/>
      <x:c r="BK117" s="615"/>
      <x:c r="BL117" s="615">
        <x:f>L117-BB117</x:f>
      </x:c>
      <x:c r="BM117" s="615"/>
      <x:c r="BN117" s="615"/>
      <x:c r="BO117" s="615"/>
      <x:c r="BP117" s="615"/>
      <x:c r="BQ117" s="617">
        <x:f>IF(AND(AM117&lt;=BG117,AM117&gt;=BL117),"PASS","FAIL")</x:f>
      </x:c>
      <x:c r="BR117" s="617"/>
      <x:c r="BS117" s="617"/>
      <x:c r="BT117" s="617"/>
      <x:c r="BU117" s="617"/>
      <x:c r="BV117" s="605"/>
      <x:c r="BX117" s="72" t="s">
        <x:v>113</x:v>
      </x:c>
      <x:c r="BY117" s="211">
        <x:v>0.027</x:v>
      </x:c>
      <x:c r="BZ117" s="1">
        <x:f>P117</x:f>
      </x:c>
      <x:c r="CA117" s="180">
        <x:v>2</x:v>
      </x:c>
      <x:c r="CB117" s="78">
        <x:f>BY117/CA117</x:f>
      </x:c>
      <x:c r="CC117" s="4"/>
      <x:c r="CD117" s="73" t="s">
        <x:v>114</x:v>
      </x:c>
      <x:c r="CE117" s="89">
        <x:v>0</x:v>
      </x:c>
      <x:c r="CF117" s="74">
        <x:f>BZ117</x:f>
      </x:c>
      <x:c r="CG117" s="82">
        <x:f>SQRT(3)</x:f>
      </x:c>
      <x:c r="CH117" s="79">
        <x:f>CE117/CG117</x:f>
      </x:c>
      <x:c r="CI117" s="4"/>
      <x:c r="CJ117" s="73" t="s">
        <x:v>115</x:v>
      </x:c>
      <x:c r="CK117" s="183">
        <x:v>0.1</x:v>
      </x:c>
      <x:c r="CL117" s="74">
        <x:f>P117</x:f>
      </x:c>
      <x:c r="CM117" s="82">
        <x:f>SQRT(12)</x:f>
      </x:c>
      <x:c r="CN117" s="79">
        <x:f>CK117/CM117</x:f>
      </x:c>
      <x:c r="CO117" s="4"/>
      <x:c r="CP117" s="73" t="s">
        <x:v>116</x:v>
      </x:c>
      <x:c r="CQ117" s="84">
        <x:f>STDEV(X117:AL117)</x:f>
      </x:c>
      <x:c r="CR117" s="74">
        <x:f>P117</x:f>
      </x:c>
      <x:c r="CS117" s="82">
        <x:f>SQRT(3)</x:f>
      </x:c>
      <x:c r="CT117" s="87">
        <x:f>CQ117/CS117</x:f>
      </x:c>
      <x:c r="CV117" s="96">
        <x:f>SQRT(SUMSQ(CT117,CN117,CH117,CB117))</x:f>
      </x:c>
      <x:c r="CW117" s="89">
        <x:f>(CV117^4)/(((CT117^4)/2)+((CN117^4)/200)+((CH117^4)/200)+((CB117^4)/200))</x:f>
      </x:c>
      <x:c r="CX117" s="97">
        <x:f>ROUND(TINV(0.05,CW117),0)</x:f>
      </x:c>
      <x:c r="CY117" s="107">
        <x:f>(CV117*CX117)</x:f>
      </x:c>
      <x:c r="CZ117" s="108">
        <x:f>P117</x:f>
      </x:c>
      <x:c r="DB117" s="177">
        <x:v>0.082</x:v>
      </x:c>
      <x:c r="DC117" s="178">
        <x:f>CZ117</x:f>
      </x:c>
      <x:c r="DD117" s="220">
        <x:f>MAX(DB117,CY117)</x:f>
      </x:c>
      <x:c r="DE117" s="178">
        <x:f>DC117</x:f>
      </x:c>
    </x:row>
    <x:row r="118" spans="1:109" ht="18" customHeight="1" s="8" customFormat="1">
      <x:c r="A118" s="605"/>
      <x:c r="B118" s="601"/>
      <x:c r="C118" s="505"/>
      <x:c r="D118" s="505"/>
      <x:c r="E118" s="505"/>
      <x:c r="F118" s="648" t="s">
        <x:v>142</x:v>
      </x:c>
      <x:c r="G118" s="646"/>
      <x:c r="H118" s="646"/>
      <x:c r="I118" s="646"/>
      <x:c r="J118" s="646"/>
      <x:c r="K118" s="647"/>
      <x:c r="L118" s="610">
        <x:f>6*50%</x:f>
      </x:c>
      <x:c r="M118" s="611"/>
      <x:c r="N118" s="611"/>
      <x:c r="O118" s="611"/>
      <x:c r="P118" s="612" t="s">
        <x:v>143</x:v>
      </x:c>
      <x:c r="Q118" s="612"/>
      <x:c r="R118" s="613"/>
      <x:c r="S118" s="614" t="s">
        <x:v>81</x:v>
      </x:c>
      <x:c r="T118" s="614"/>
      <x:c r="U118" s="614"/>
      <x:c r="V118" s="614"/>
      <x:c r="W118" s="614"/>
      <x:c r="X118" s="652"/>
      <x:c r="Y118" s="630"/>
      <x:c r="Z118" s="630"/>
      <x:c r="AA118" s="630"/>
      <x:c r="AB118" s="630"/>
      <x:c r="AC118" s="652"/>
      <x:c r="AD118" s="630"/>
      <x:c r="AE118" s="630"/>
      <x:c r="AF118" s="630"/>
      <x:c r="AG118" s="630"/>
      <x:c r="AH118" s="652"/>
      <x:c r="AI118" s="630"/>
      <x:c r="AJ118" s="630"/>
      <x:c r="AK118" s="630"/>
      <x:c r="AL118" s="630"/>
      <x:c r="AM118" s="630">
        <x:f>AVERAGE(X118:AL118)</x:f>
      </x:c>
      <x:c r="AN118" s="630"/>
      <x:c r="AO118" s="630"/>
      <x:c r="AP118" s="630"/>
      <x:c r="AQ118" s="630"/>
      <x:c r="AR118" s="630">
        <x:f>AM118-L118</x:f>
      </x:c>
      <x:c r="AS118" s="630"/>
      <x:c r="AT118" s="630"/>
      <x:c r="AU118" s="630"/>
      <x:c r="AV118" s="630"/>
      <x:c r="AW118" s="505"/>
      <x:c r="AX118" s="505"/>
      <x:c r="AY118" s="505"/>
      <x:c r="AZ118" s="603"/>
      <x:c r="BA118" s="605"/>
      <x:c r="BB118" s="616">
        <x:f>(AM118*0.2%)+(4*CK118)</x:f>
      </x:c>
      <x:c r="BC118" s="616"/>
      <x:c r="BD118" s="616"/>
      <x:c r="BE118" s="616"/>
      <x:c r="BF118" s="616"/>
      <x:c r="BG118" s="616">
        <x:f>L118+BB118</x:f>
      </x:c>
      <x:c r="BH118" s="616"/>
      <x:c r="BI118" s="616"/>
      <x:c r="BJ118" s="616"/>
      <x:c r="BK118" s="616"/>
      <x:c r="BL118" s="616">
        <x:f>L118-BB118</x:f>
      </x:c>
      <x:c r="BM118" s="616"/>
      <x:c r="BN118" s="616"/>
      <x:c r="BO118" s="616"/>
      <x:c r="BP118" s="616"/>
      <x:c r="BQ118" s="617">
        <x:f>IF(AND(AM118&lt;=BG118,AM118&gt;=BL118),"PASS","FAIL")</x:f>
      </x:c>
      <x:c r="BR118" s="617"/>
      <x:c r="BS118" s="617"/>
      <x:c r="BT118" s="617"/>
      <x:c r="BU118" s="617"/>
      <x:c r="BV118" s="605"/>
      <x:c r="BX118" s="75" t="s">
        <x:v>113</x:v>
      </x:c>
      <x:c r="BY118" s="6">
        <x:v>0.0014</x:v>
      </x:c>
      <x:c r="BZ118" s="76">
        <x:f>P118</x:f>
      </x:c>
      <x:c r="CA118" s="175">
        <x:v>2</x:v>
      </x:c>
      <x:c r="CB118" s="209">
        <x:f>BY118/CA118</x:f>
      </x:c>
      <x:c r="CC118" s="4"/>
      <x:c r="CD118" s="70" t="s">
        <x:v>114</x:v>
      </x:c>
      <x:c r="CE118" s="88">
        <x:v>0</x:v>
      </x:c>
      <x:c r="CF118" s="71">
        <x:f>BZ118</x:f>
      </x:c>
      <x:c r="CG118" s="80">
        <x:f>SQRT(3)</x:f>
      </x:c>
      <x:c r="CH118" s="77">
        <x:f>CE118/CG118</x:f>
      </x:c>
      <x:c r="CI118" s="4"/>
      <x:c r="CJ118" s="70" t="s">
        <x:v>115</x:v>
      </x:c>
      <x:c r="CK118" s="176">
        <x:v>0.001</x:v>
      </x:c>
      <x:c r="CL118" s="71">
        <x:f>P118</x:f>
      </x:c>
      <x:c r="CM118" s="80">
        <x:f>SQRT(12)</x:f>
      </x:c>
      <x:c r="CN118" s="77">
        <x:f>CK118/CM118</x:f>
      </x:c>
      <x:c r="CO118" s="4"/>
      <x:c r="CP118" s="70" t="s">
        <x:v>116</x:v>
      </x:c>
      <x:c r="CQ118" s="83">
        <x:f>STDEV(X118:AL118)</x:f>
      </x:c>
      <x:c r="CR118" s="71">
        <x:f>P118</x:f>
      </x:c>
      <x:c r="CS118" s="80">
        <x:f>SQRT(3)</x:f>
      </x:c>
      <x:c r="CT118" s="85">
        <x:f>CQ118/CS118</x:f>
      </x:c>
      <x:c r="CV118" s="92">
        <x:f>SQRT(SUMSQ(CT118,CN118,CH118,CB118))</x:f>
      </x:c>
      <x:c r="CW118" s="88">
        <x:f>(CV118^4)/(((CT118^4)/2)+((CN118^4)/200)+((CH118^4)/200)+((CB118^4)/200))</x:f>
      </x:c>
      <x:c r="CX118" s="93">
        <x:f>ROUND(TINV(0.05,CW118),0)</x:f>
      </x:c>
      <x:c r="CY118" s="117">
        <x:f>(CV118*CX118)</x:f>
      </x:c>
      <x:c r="CZ118" s="104">
        <x:f>P118</x:f>
      </x:c>
      <x:c r="DB118" s="177">
        <x:v>0.0016</x:v>
      </x:c>
      <x:c r="DC118" s="178">
        <x:f>CZ118</x:f>
      </x:c>
      <x:c r="DD118" s="220">
        <x:f>MAX(DB118,CY118)</x:f>
      </x:c>
      <x:c r="DE118" s="178">
        <x:f>DC118</x:f>
      </x:c>
    </x:row>
    <x:row r="119" spans="1:109" ht="18" customHeight="1" s="8" customFormat="1">
      <x:c r="A119" s="605"/>
      <x:c r="B119" s="601"/>
      <x:c r="C119" s="505"/>
      <x:c r="D119" s="505"/>
      <x:c r="E119" s="505"/>
      <x:c r="F119" s="645"/>
      <x:c r="G119" s="646"/>
      <x:c r="H119" s="646"/>
      <x:c r="I119" s="646"/>
      <x:c r="J119" s="646"/>
      <x:c r="K119" s="647"/>
      <x:c r="L119" s="610">
        <x:f>6*90%</x:f>
      </x:c>
      <x:c r="M119" s="611"/>
      <x:c r="N119" s="611"/>
      <x:c r="O119" s="611"/>
      <x:c r="P119" s="612" t="s">
        <x:v>143</x:v>
      </x:c>
      <x:c r="Q119" s="612"/>
      <x:c r="R119" s="613"/>
      <x:c r="S119" s="614" t="s">
        <x:v>81</x:v>
      </x:c>
      <x:c r="T119" s="614"/>
      <x:c r="U119" s="614"/>
      <x:c r="V119" s="614"/>
      <x:c r="W119" s="614"/>
      <x:c r="X119" s="652"/>
      <x:c r="Y119" s="630"/>
      <x:c r="Z119" s="630"/>
      <x:c r="AA119" s="630"/>
      <x:c r="AB119" s="630"/>
      <x:c r="AC119" s="652"/>
      <x:c r="AD119" s="630"/>
      <x:c r="AE119" s="630"/>
      <x:c r="AF119" s="630"/>
      <x:c r="AG119" s="630"/>
      <x:c r="AH119" s="652"/>
      <x:c r="AI119" s="630"/>
      <x:c r="AJ119" s="630"/>
      <x:c r="AK119" s="630"/>
      <x:c r="AL119" s="630"/>
      <x:c r="AM119" s="630">
        <x:f>AVERAGE(X119:AL119)</x:f>
      </x:c>
      <x:c r="AN119" s="630"/>
      <x:c r="AO119" s="630"/>
      <x:c r="AP119" s="630"/>
      <x:c r="AQ119" s="630"/>
      <x:c r="AR119" s="630">
        <x:f>AM119-L119</x:f>
      </x:c>
      <x:c r="AS119" s="630"/>
      <x:c r="AT119" s="630"/>
      <x:c r="AU119" s="630"/>
      <x:c r="AV119" s="630"/>
      <x:c r="AW119" s="505"/>
      <x:c r="AX119" s="505"/>
      <x:c r="AY119" s="505"/>
      <x:c r="AZ119" s="603"/>
      <x:c r="BA119" s="605"/>
      <x:c r="BB119" s="616">
        <x:f>(AM119*0.2%)+(4*CK119)</x:f>
      </x:c>
      <x:c r="BC119" s="616"/>
      <x:c r="BD119" s="616"/>
      <x:c r="BE119" s="616"/>
      <x:c r="BF119" s="616"/>
      <x:c r="BG119" s="616">
        <x:f>L119+BB119</x:f>
      </x:c>
      <x:c r="BH119" s="616"/>
      <x:c r="BI119" s="616"/>
      <x:c r="BJ119" s="616"/>
      <x:c r="BK119" s="616"/>
      <x:c r="BL119" s="616">
        <x:f>L119-BB119</x:f>
      </x:c>
      <x:c r="BM119" s="616"/>
      <x:c r="BN119" s="616"/>
      <x:c r="BO119" s="616"/>
      <x:c r="BP119" s="616"/>
      <x:c r="BQ119" s="617">
        <x:f>IF(AND(AM119&lt;=BG119,AM119&gt;=BL119),"PASS","FAIL")</x:f>
      </x:c>
      <x:c r="BR119" s="617"/>
      <x:c r="BS119" s="617"/>
      <x:c r="BT119" s="617"/>
      <x:c r="BU119" s="617"/>
      <x:c r="BV119" s="605"/>
      <x:c r="BX119" s="72" t="s">
        <x:v>113</x:v>
      </x:c>
      <x:c r="BY119" s="6">
        <x:v>0.0014</x:v>
      </x:c>
      <x:c r="BZ119" s="1">
        <x:f>P119</x:f>
      </x:c>
      <x:c r="CA119" s="180">
        <x:v>2</x:v>
      </x:c>
      <x:c r="CB119" s="78">
        <x:f>BY119/CA119</x:f>
      </x:c>
      <x:c r="CC119" s="4"/>
      <x:c r="CD119" s="72" t="s">
        <x:v>114</x:v>
      </x:c>
      <x:c r="CE119" s="5">
        <x:v>0</x:v>
      </x:c>
      <x:c r="CF119" s="1">
        <x:f>BZ119</x:f>
      </x:c>
      <x:c r="CG119" s="81">
        <x:f>SQRT(3)</x:f>
      </x:c>
      <x:c r="CH119" s="78">
        <x:f>CE119/CG119</x:f>
      </x:c>
      <x:c r="CI119" s="4"/>
      <x:c r="CJ119" s="72" t="s">
        <x:v>115</x:v>
      </x:c>
      <x:c r="CK119" s="181">
        <x:v>0.001</x:v>
      </x:c>
      <x:c r="CL119" s="1">
        <x:f>P119</x:f>
      </x:c>
      <x:c r="CM119" s="81">
        <x:f>SQRT(12)</x:f>
      </x:c>
      <x:c r="CN119" s="78">
        <x:f>CK119/CM119</x:f>
      </x:c>
      <x:c r="CO119" s="4"/>
      <x:c r="CP119" s="72" t="s">
        <x:v>116</x:v>
      </x:c>
      <x:c r="CQ119" s="6">
        <x:f>STDEV(X119:AL119)</x:f>
      </x:c>
      <x:c r="CR119" s="1">
        <x:f>P119</x:f>
      </x:c>
      <x:c r="CS119" s="81">
        <x:f>SQRT(3)</x:f>
      </x:c>
      <x:c r="CT119" s="86">
        <x:f>CQ119/CS119</x:f>
      </x:c>
      <x:c r="CV119" s="94">
        <x:f>SQRT(SUMSQ(CT119,CN119,CH119,CB119))</x:f>
      </x:c>
      <x:c r="CW119" s="5">
        <x:f>(CV119^4)/(((CT119^4)/2)+((CN119^4)/200)+((CH119^4)/200)+((CB119^4)/200))</x:f>
      </x:c>
      <x:c r="CX119" s="95">
        <x:f>ROUND(TINV(0.05,CW119),0)</x:f>
      </x:c>
      <x:c r="CY119" s="110">
        <x:f>(CV119*CX119)</x:f>
      </x:c>
      <x:c r="CZ119" s="106">
        <x:f>P119</x:f>
      </x:c>
      <x:c r="DB119" s="177">
        <x:v>0.0016</x:v>
      </x:c>
      <x:c r="DC119" s="178">
        <x:f>CZ119</x:f>
      </x:c>
      <x:c r="DD119" s="220">
        <x:f>MAX(DB119,CY119)</x:f>
      </x:c>
      <x:c r="DE119" s="178">
        <x:f>DC119</x:f>
      </x:c>
    </x:row>
    <x:row r="120" spans="1:109" ht="18" customHeight="1" s="8" customFormat="1">
      <x:c r="A120" s="605"/>
      <x:c r="B120" s="601"/>
      <x:c r="C120" s="505"/>
      <x:c r="D120" s="505"/>
      <x:c r="E120" s="505"/>
      <x:c r="F120" s="649" t="s">
        <x:v>144</x:v>
      </x:c>
      <x:c r="G120" s="650"/>
      <x:c r="H120" s="650"/>
      <x:c r="I120" s="650"/>
      <x:c r="J120" s="650"/>
      <x:c r="K120" s="651"/>
      <x:c r="L120" s="610">
        <x:f>10*50%</x:f>
      </x:c>
      <x:c r="M120" s="611"/>
      <x:c r="N120" s="611"/>
      <x:c r="O120" s="611"/>
      <x:c r="P120" s="612" t="s">
        <x:v>143</x:v>
      </x:c>
      <x:c r="Q120" s="612"/>
      <x:c r="R120" s="613"/>
      <x:c r="S120" s="614" t="s">
        <x:v>81</x:v>
      </x:c>
      <x:c r="T120" s="614"/>
      <x:c r="U120" s="614"/>
      <x:c r="V120" s="614"/>
      <x:c r="W120" s="614"/>
      <x:c r="X120" s="653"/>
      <x:c r="Y120" s="616"/>
      <x:c r="Z120" s="616"/>
      <x:c r="AA120" s="616"/>
      <x:c r="AB120" s="616"/>
      <x:c r="AC120" s="653"/>
      <x:c r="AD120" s="616"/>
      <x:c r="AE120" s="616"/>
      <x:c r="AF120" s="616"/>
      <x:c r="AG120" s="616"/>
      <x:c r="AH120" s="653"/>
      <x:c r="AI120" s="616"/>
      <x:c r="AJ120" s="616"/>
      <x:c r="AK120" s="616"/>
      <x:c r="AL120" s="616"/>
      <x:c r="AM120" s="616">
        <x:f>AVERAGE(X120:AL120)</x:f>
      </x:c>
      <x:c r="AN120" s="616"/>
      <x:c r="AO120" s="616"/>
      <x:c r="AP120" s="616"/>
      <x:c r="AQ120" s="616"/>
      <x:c r="AR120" s="616">
        <x:f>AM120-L120</x:f>
      </x:c>
      <x:c r="AS120" s="616"/>
      <x:c r="AT120" s="616"/>
      <x:c r="AU120" s="616"/>
      <x:c r="AV120" s="616"/>
      <x:c r="AW120" s="505"/>
      <x:c r="AX120" s="505"/>
      <x:c r="AY120" s="505"/>
      <x:c r="AZ120" s="603"/>
      <x:c r="BA120" s="605"/>
      <x:c r="BB120" s="616">
        <x:f>(AM120*0.2%)+(2*CK120)</x:f>
      </x:c>
      <x:c r="BC120" s="616"/>
      <x:c r="BD120" s="616"/>
      <x:c r="BE120" s="616"/>
      <x:c r="BF120" s="616"/>
      <x:c r="BG120" s="615">
        <x:f>L120+BB120</x:f>
      </x:c>
      <x:c r="BH120" s="615"/>
      <x:c r="BI120" s="615"/>
      <x:c r="BJ120" s="615"/>
      <x:c r="BK120" s="615"/>
      <x:c r="BL120" s="615">
        <x:f>L120-BB120</x:f>
      </x:c>
      <x:c r="BM120" s="615"/>
      <x:c r="BN120" s="615"/>
      <x:c r="BO120" s="615"/>
      <x:c r="BP120" s="615"/>
      <x:c r="BQ120" s="617">
        <x:f>IF(AND(AM120&lt;=BG120,AM120&gt;=BL120),"PASS","FAIL")</x:f>
      </x:c>
      <x:c r="BR120" s="617"/>
      <x:c r="BS120" s="617"/>
      <x:c r="BT120" s="617"/>
      <x:c r="BU120" s="617"/>
      <x:c r="BV120" s="605"/>
      <x:c r="BX120" s="72" t="s">
        <x:v>113</x:v>
      </x:c>
      <x:c r="BY120" s="6">
        <x:v>0.0014</x:v>
      </x:c>
      <x:c r="BZ120" s="208">
        <x:f>P120</x:f>
      </x:c>
      <x:c r="CA120" s="180">
        <x:v>2</x:v>
      </x:c>
      <x:c r="CB120" s="78">
        <x:f>BY120/CA120</x:f>
      </x:c>
      <x:c r="CC120" s="4"/>
      <x:c r="CD120" s="73" t="s">
        <x:v>114</x:v>
      </x:c>
      <x:c r="CE120" s="89">
        <x:v>0</x:v>
      </x:c>
      <x:c r="CF120" s="74">
        <x:f>BZ120</x:f>
      </x:c>
      <x:c r="CG120" s="82">
        <x:f>SQRT(3)</x:f>
      </x:c>
      <x:c r="CH120" s="79">
        <x:f>CE120/CG120</x:f>
      </x:c>
      <x:c r="CI120" s="4"/>
      <x:c r="CJ120" s="73" t="s">
        <x:v>115</x:v>
      </x:c>
      <x:c r="CK120" s="183">
        <x:v>0.01</x:v>
      </x:c>
      <x:c r="CL120" s="74">
        <x:f>P120</x:f>
      </x:c>
      <x:c r="CM120" s="82">
        <x:f>SQRT(12)</x:f>
      </x:c>
      <x:c r="CN120" s="79">
        <x:f>CK120/CM120</x:f>
      </x:c>
      <x:c r="CO120" s="4"/>
      <x:c r="CP120" s="73" t="s">
        <x:v>116</x:v>
      </x:c>
      <x:c r="CQ120" s="84">
        <x:f>STDEV(X120:AL120)</x:f>
      </x:c>
      <x:c r="CR120" s="74">
        <x:f>P120</x:f>
      </x:c>
      <x:c r="CS120" s="82">
        <x:f>SQRT(3)</x:f>
      </x:c>
      <x:c r="CT120" s="87">
        <x:f>CQ120/CS120</x:f>
      </x:c>
      <x:c r="CV120" s="96">
        <x:f>SQRT(SUMSQ(CT120,CN120,CH120,CB120))</x:f>
      </x:c>
      <x:c r="CW120" s="89">
        <x:f>(CV120^4)/(((CT120^4)/2)+((CN120^4)/200)+((CH120^4)/200)+((CB120^4)/200))</x:f>
      </x:c>
      <x:c r="CX120" s="97">
        <x:f>ROUND(TINV(0.05,CW120),0)</x:f>
      </x:c>
      <x:c r="CY120" s="107">
        <x:f>(CV120*CX120)</x:f>
      </x:c>
      <x:c r="CZ120" s="108">
        <x:f>P120</x:f>
      </x:c>
      <x:c r="DB120" s="177">
        <x:v>0.0016</x:v>
      </x:c>
      <x:c r="DC120" s="178">
        <x:f>CZ120</x:f>
      </x:c>
      <x:c r="DD120" s="220">
        <x:f>MAX(DB120,CY120)</x:f>
      </x:c>
      <x:c r="DE120" s="178">
        <x:f>DC120</x:f>
      </x:c>
    </x:row>
    <x:row r="121" spans="1:109" ht="18" customHeight="1" s="8" customFormat="1">
      <x:c r="A121" s="605"/>
      <x:c r="B121" s="601"/>
      <x:c r="C121" s="505"/>
      <x:c r="D121" s="505"/>
      <x:c r="E121" s="505"/>
      <x:c r="F121" s="654"/>
      <x:c r="G121" s="655"/>
      <x:c r="H121" s="655"/>
      <x:c r="I121" s="655"/>
      <x:c r="J121" s="655"/>
      <x:c r="K121" s="656"/>
      <x:c r="L121" s="610">
        <x:f>10*90%</x:f>
      </x:c>
      <x:c r="M121" s="611"/>
      <x:c r="N121" s="611"/>
      <x:c r="O121" s="611"/>
      <x:c r="P121" s="612" t="s">
        <x:v>143</x:v>
      </x:c>
      <x:c r="Q121" s="612"/>
      <x:c r="R121" s="613"/>
      <x:c r="S121" s="614" t="s">
        <x:v>81</x:v>
      </x:c>
      <x:c r="T121" s="614"/>
      <x:c r="U121" s="614"/>
      <x:c r="V121" s="614"/>
      <x:c r="W121" s="614"/>
      <x:c r="X121" s="653"/>
      <x:c r="Y121" s="616"/>
      <x:c r="Z121" s="616"/>
      <x:c r="AA121" s="616"/>
      <x:c r="AB121" s="616"/>
      <x:c r="AC121" s="653"/>
      <x:c r="AD121" s="616"/>
      <x:c r="AE121" s="616"/>
      <x:c r="AF121" s="616"/>
      <x:c r="AG121" s="616"/>
      <x:c r="AH121" s="653"/>
      <x:c r="AI121" s="616"/>
      <x:c r="AJ121" s="616"/>
      <x:c r="AK121" s="616"/>
      <x:c r="AL121" s="616"/>
      <x:c r="AM121" s="616">
        <x:f>AVERAGE(X121:AL121)</x:f>
      </x:c>
      <x:c r="AN121" s="616"/>
      <x:c r="AO121" s="616"/>
      <x:c r="AP121" s="616"/>
      <x:c r="AQ121" s="616"/>
      <x:c r="AR121" s="616">
        <x:f>AM121-L121</x:f>
      </x:c>
      <x:c r="AS121" s="616"/>
      <x:c r="AT121" s="616"/>
      <x:c r="AU121" s="616"/>
      <x:c r="AV121" s="616"/>
      <x:c r="AW121" s="505"/>
      <x:c r="AX121" s="505"/>
      <x:c r="AY121" s="505"/>
      <x:c r="AZ121" s="603"/>
      <x:c r="BA121" s="605"/>
      <x:c r="BB121" s="616">
        <x:f>(AM121*0.2%)+(2*CK121)</x:f>
      </x:c>
      <x:c r="BC121" s="616"/>
      <x:c r="BD121" s="616"/>
      <x:c r="BE121" s="616"/>
      <x:c r="BF121" s="616"/>
      <x:c r="BG121" s="615">
        <x:f>L121+BB121</x:f>
      </x:c>
      <x:c r="BH121" s="615"/>
      <x:c r="BI121" s="615"/>
      <x:c r="BJ121" s="615"/>
      <x:c r="BK121" s="615"/>
      <x:c r="BL121" s="615">
        <x:f>L121-BB121</x:f>
      </x:c>
      <x:c r="BM121" s="615"/>
      <x:c r="BN121" s="615"/>
      <x:c r="BO121" s="615"/>
      <x:c r="BP121" s="615"/>
      <x:c r="BQ121" s="617">
        <x:f>IF(AND(AM121&lt;=BG121,AM121&gt;=BL121),"PASS","FAIL")</x:f>
      </x:c>
      <x:c r="BR121" s="617"/>
      <x:c r="BS121" s="617"/>
      <x:c r="BT121" s="617"/>
      <x:c r="BU121" s="617"/>
      <x:c r="BV121" s="605"/>
      <x:c r="BX121" s="216" t="s">
        <x:v>113</x:v>
      </x:c>
      <x:c r="BY121" s="215">
        <x:v>0.0014</x:v>
      </x:c>
      <x:c r="BZ121" s="74">
        <x:f>P121</x:f>
      </x:c>
      <x:c r="CA121" s="212">
        <x:v>2</x:v>
      </x:c>
      <x:c r="CB121" s="213">
        <x:f>BY121/CA121</x:f>
      </x:c>
      <x:c r="CC121" s="4"/>
      <x:c r="CD121" s="73" t="s">
        <x:v>114</x:v>
      </x:c>
      <x:c r="CE121" s="89">
        <x:v>0</x:v>
      </x:c>
      <x:c r="CF121" s="74">
        <x:f>BZ121</x:f>
      </x:c>
      <x:c r="CG121" s="82">
        <x:f>SQRT(3)</x:f>
      </x:c>
      <x:c r="CH121" s="79">
        <x:f>CE121/CG121</x:f>
      </x:c>
      <x:c r="CI121" s="4"/>
      <x:c r="CJ121" s="73" t="s">
        <x:v>115</x:v>
      </x:c>
      <x:c r="CK121" s="183">
        <x:v>0.01</x:v>
      </x:c>
      <x:c r="CL121" s="74">
        <x:f>P121</x:f>
      </x:c>
      <x:c r="CM121" s="82">
        <x:f>SQRT(12)</x:f>
      </x:c>
      <x:c r="CN121" s="79">
        <x:f>CK121/CM121</x:f>
      </x:c>
      <x:c r="CO121" s="4"/>
      <x:c r="CP121" s="73" t="s">
        <x:v>116</x:v>
      </x:c>
      <x:c r="CQ121" s="84">
        <x:f>STDEV(X121:AL121)</x:f>
      </x:c>
      <x:c r="CR121" s="74">
        <x:f>P121</x:f>
      </x:c>
      <x:c r="CS121" s="82">
        <x:f>SQRT(3)</x:f>
      </x:c>
      <x:c r="CT121" s="87">
        <x:f>CQ121/CS121</x:f>
      </x:c>
      <x:c r="CV121" s="96">
        <x:f>SQRT(SUMSQ(CT121,CN121,CH121,CB121))</x:f>
      </x:c>
      <x:c r="CW121" s="89">
        <x:f>(CV121^4)/(((CT121^4)/2)+((CN121^4)/200)+((CH121^4)/200)+((CB121^4)/200))</x:f>
      </x:c>
      <x:c r="CX121" s="97">
        <x:f>ROUND(TINV(0.05,CW121),0)</x:f>
      </x:c>
      <x:c r="CY121" s="107">
        <x:f>(CV121*CX121)</x:f>
      </x:c>
      <x:c r="CZ121" s="108">
        <x:f>P121</x:f>
      </x:c>
      <x:c r="DB121" s="177">
        <x:v>0.0016</x:v>
      </x:c>
      <x:c r="DC121" s="178">
        <x:f>CZ121</x:f>
      </x:c>
      <x:c r="DD121" s="220">
        <x:f>MAX(DB121,CY121)</x:f>
      </x:c>
      <x:c r="DE121" s="178">
        <x:f>DC121</x:f>
      </x:c>
    </x:row>
    <x:row r="122" spans="1:109" ht="13.5" customHeight="1" s="143" customFormat="1">
      <x:c r="A122" s="502"/>
      <x:c r="B122" s="597"/>
      <x:c r="C122" s="598"/>
      <x:c r="D122" s="598"/>
      <x:c r="E122" s="598"/>
      <x:c r="F122" s="598"/>
      <x:c r="G122" s="598"/>
      <x:c r="H122" s="598"/>
      <x:c r="I122" s="598"/>
      <x:c r="J122" s="598"/>
      <x:c r="K122" s="598"/>
      <x:c r="L122" s="598"/>
      <x:c r="M122" s="598"/>
      <x:c r="N122" s="598"/>
      <x:c r="O122" s="598"/>
      <x:c r="P122" s="598"/>
      <x:c r="Q122" s="598"/>
      <x:c r="R122" s="598"/>
      <x:c r="S122" s="598"/>
      <x:c r="T122" s="598"/>
      <x:c r="U122" s="598"/>
      <x:c r="V122" s="598"/>
      <x:c r="W122" s="598"/>
      <x:c r="X122" s="598"/>
      <x:c r="Y122" s="598"/>
      <x:c r="Z122" s="598"/>
      <x:c r="AA122" s="598"/>
      <x:c r="AB122" s="598"/>
      <x:c r="AC122" s="598"/>
      <x:c r="AD122" s="598"/>
      <x:c r="AE122" s="598"/>
      <x:c r="AF122" s="598"/>
      <x:c r="AG122" s="598"/>
      <x:c r="AH122" s="598"/>
      <x:c r="AI122" s="598"/>
      <x:c r="AJ122" s="598"/>
      <x:c r="AK122" s="598"/>
      <x:c r="AL122" s="598"/>
      <x:c r="AM122" s="598"/>
      <x:c r="AN122" s="598"/>
      <x:c r="AO122" s="598"/>
      <x:c r="AP122" s="598"/>
      <x:c r="AQ122" s="598"/>
      <x:c r="AR122" s="598"/>
      <x:c r="AS122" s="598"/>
      <x:c r="AT122" s="598"/>
      <x:c r="AU122" s="598"/>
      <x:c r="AV122" s="598"/>
      <x:c r="AW122" s="598"/>
      <x:c r="AX122" s="598"/>
      <x:c r="AY122" s="598"/>
      <x:c r="AZ122" s="599"/>
      <x:c r="BA122" s="502"/>
      <x:c r="BB122" s="502"/>
      <x:c r="BC122" s="502"/>
      <x:c r="BD122" s="502"/>
      <x:c r="BE122" s="502"/>
      <x:c r="BF122" s="502"/>
      <x:c r="BG122" s="502"/>
      <x:c r="BH122" s="502"/>
      <x:c r="BI122" s="502"/>
      <x:c r="BJ122" s="502"/>
      <x:c r="BK122" s="502"/>
      <x:c r="BL122" s="502"/>
      <x:c r="BM122" s="502"/>
      <x:c r="BN122" s="502"/>
      <x:c r="BO122" s="502"/>
      <x:c r="BP122" s="502"/>
      <x:c r="BQ122" s="502"/>
      <x:c r="BR122" s="502"/>
      <x:c r="BS122" s="502"/>
      <x:c r="BT122" s="502"/>
      <x:c r="BU122" s="502"/>
      <x:c r="BV122" s="502"/>
      <x:c r="BY122" s="218"/>
    </x:row>
    <x:row r="123" spans="1:109" ht="12.75" customHeight="1" s="7" customFormat="1">
      <x:c r="A123" s="600"/>
      <x:c r="B123" s="601"/>
      <x:c r="C123" s="505"/>
      <x:c r="D123" s="504"/>
      <x:c r="E123" s="505"/>
      <x:c r="F123" s="602" t="s">
        <x:v>145</x:v>
      </x:c>
      <x:c r="G123" s="505"/>
      <x:c r="H123" s="505"/>
      <x:c r="I123" s="505"/>
      <x:c r="J123" s="505"/>
      <x:c r="K123" s="505"/>
      <x:c r="L123" s="505"/>
      <x:c r="M123" s="505"/>
      <x:c r="N123" s="505"/>
      <x:c r="O123" s="505"/>
      <x:c r="P123" s="505"/>
      <x:c r="Q123" s="505"/>
      <x:c r="R123" s="505"/>
      <x:c r="S123" s="505"/>
      <x:c r="T123" s="505"/>
      <x:c r="U123" s="505"/>
      <x:c r="V123" s="505"/>
      <x:c r="W123" s="505"/>
      <x:c r="X123" s="505"/>
      <x:c r="Y123" s="505"/>
      <x:c r="Z123" s="505"/>
      <x:c r="AA123" s="505"/>
      <x:c r="AB123" s="505"/>
      <x:c r="AC123" s="505"/>
      <x:c r="AD123" s="505"/>
      <x:c r="AE123" s="505"/>
      <x:c r="AF123" s="505"/>
      <x:c r="AG123" s="505"/>
      <x:c r="AH123" s="505"/>
      <x:c r="AI123" s="505"/>
      <x:c r="AJ123" s="505"/>
      <x:c r="AK123" s="505"/>
      <x:c r="AL123" s="505"/>
      <x:c r="AM123" s="505"/>
      <x:c r="AN123" s="505"/>
      <x:c r="AO123" s="505"/>
      <x:c r="AP123" s="505"/>
      <x:c r="AQ123" s="505"/>
      <x:c r="AR123" s="505"/>
      <x:c r="AS123" s="505"/>
      <x:c r="AT123" s="505"/>
      <x:c r="AU123" s="505"/>
      <x:c r="AV123" s="505"/>
      <x:c r="AW123" s="505"/>
      <x:c r="AX123" s="505"/>
      <x:c r="AY123" s="505"/>
      <x:c r="AZ123" s="603"/>
      <x:c r="BA123" s="600"/>
      <x:c r="BB123" s="604" t="s">
        <x:v>87</x:v>
      </x:c>
      <x:c r="BC123" s="604"/>
      <x:c r="BD123" s="604"/>
      <x:c r="BE123" s="604"/>
      <x:c r="BF123" s="604"/>
      <x:c r="BG123" s="604"/>
      <x:c r="BH123" s="604"/>
      <x:c r="BI123" s="604"/>
      <x:c r="BJ123" s="604"/>
      <x:c r="BK123" s="604"/>
      <x:c r="BL123" s="604"/>
      <x:c r="BM123" s="604"/>
      <x:c r="BN123" s="604"/>
      <x:c r="BO123" s="604"/>
      <x:c r="BP123" s="604"/>
      <x:c r="BQ123" s="604"/>
      <x:c r="BR123" s="604"/>
      <x:c r="BS123" s="604"/>
      <x:c r="BT123" s="604"/>
      <x:c r="BU123" s="604"/>
      <x:c r="BV123" s="600"/>
      <x:c r="BX123" s="370" t="s">
        <x:v>88</x:v>
      </x:c>
      <x:c r="BY123" s="371"/>
      <x:c r="BZ123" s="371"/>
      <x:c r="CA123" s="371"/>
      <x:c r="CB123" s="372"/>
      <x:c r="CC123" s="2"/>
      <x:c r="CD123" s="370" t="s">
        <x:v>88</x:v>
      </x:c>
      <x:c r="CE123" s="371"/>
      <x:c r="CF123" s="371"/>
      <x:c r="CG123" s="371"/>
      <x:c r="CH123" s="372"/>
      <x:c r="CI123" s="2"/>
      <x:c r="CJ123" s="370" t="s">
        <x:v>89</x:v>
      </x:c>
      <x:c r="CK123" s="371"/>
      <x:c r="CL123" s="371"/>
      <x:c r="CM123" s="371"/>
      <x:c r="CN123" s="372"/>
      <x:c r="CO123" s="2"/>
      <x:c r="CP123" s="370" t="s">
        <x:v>89</x:v>
      </x:c>
      <x:c r="CQ123" s="371"/>
      <x:c r="CR123" s="371"/>
      <x:c r="CS123" s="371"/>
      <x:c r="CT123" s="372"/>
      <x:c r="CV123" s="370" t="s">
        <x:v>90</x:v>
      </x:c>
      <x:c r="CW123" s="371"/>
      <x:c r="CX123" s="371"/>
      <x:c r="CY123" s="371"/>
      <x:c r="CZ123" s="372"/>
      <x:c r="DB123" s="358" t="s">
        <x:v>91</x:v>
      </x:c>
      <x:c r="DC123" s="359"/>
      <x:c r="DD123" s="361" t="s">
        <x:v>92</x:v>
      </x:c>
      <x:c r="DE123" s="361"/>
    </x:row>
    <x:row r="124" spans="1:109" ht="18" customHeight="1" s="8" customFormat="1">
      <x:c r="A124" s="605"/>
      <x:c r="B124" s="601"/>
      <x:c r="C124" s="505"/>
      <x:c r="D124" s="505"/>
      <x:c r="E124" s="505"/>
      <x:c r="F124" s="606" t="s">
        <x:v>37</x:v>
      </x:c>
      <x:c r="G124" s="606"/>
      <x:c r="H124" s="606"/>
      <x:c r="I124" s="606"/>
      <x:c r="J124" s="606"/>
      <x:c r="K124" s="606"/>
      <x:c r="L124" s="606" t="s">
        <x:v>38</x:v>
      </x:c>
      <x:c r="M124" s="606"/>
      <x:c r="N124" s="606"/>
      <x:c r="O124" s="606"/>
      <x:c r="P124" s="606"/>
      <x:c r="Q124" s="606"/>
      <x:c r="R124" s="606"/>
      <x:c r="S124" s="606" t="s">
        <x:v>93</x:v>
      </x:c>
      <x:c r="T124" s="606"/>
      <x:c r="U124" s="606"/>
      <x:c r="V124" s="606"/>
      <x:c r="W124" s="606"/>
      <x:c r="X124" s="606" t="s">
        <x:v>39</x:v>
      </x:c>
      <x:c r="Y124" s="606"/>
      <x:c r="Z124" s="606"/>
      <x:c r="AA124" s="606"/>
      <x:c r="AB124" s="606"/>
      <x:c r="AC124" s="606"/>
      <x:c r="AD124" s="606"/>
      <x:c r="AE124" s="606"/>
      <x:c r="AF124" s="606"/>
      <x:c r="AG124" s="606"/>
      <x:c r="AH124" s="606"/>
      <x:c r="AI124" s="606"/>
      <x:c r="AJ124" s="606"/>
      <x:c r="AK124" s="606"/>
      <x:c r="AL124" s="606"/>
      <x:c r="AM124" s="606" t="s">
        <x:v>94</x:v>
      </x:c>
      <x:c r="AN124" s="606"/>
      <x:c r="AO124" s="606"/>
      <x:c r="AP124" s="606"/>
      <x:c r="AQ124" s="606"/>
      <x:c r="AR124" s="606" t="s">
        <x:v>40</x:v>
      </x:c>
      <x:c r="AS124" s="606"/>
      <x:c r="AT124" s="606"/>
      <x:c r="AU124" s="606"/>
      <x:c r="AV124" s="606"/>
      <x:c r="AW124" s="505"/>
      <x:c r="AX124" s="505"/>
      <x:c r="AY124" s="505"/>
      <x:c r="AZ124" s="603"/>
      <x:c r="BA124" s="605"/>
      <x:c r="BB124" s="606" t="s">
        <x:v>95</x:v>
      </x:c>
      <x:c r="BC124" s="606"/>
      <x:c r="BD124" s="606"/>
      <x:c r="BE124" s="606"/>
      <x:c r="BF124" s="606"/>
      <x:c r="BG124" s="606" t="s">
        <x:v>96</x:v>
      </x:c>
      <x:c r="BH124" s="606"/>
      <x:c r="BI124" s="606"/>
      <x:c r="BJ124" s="606"/>
      <x:c r="BK124" s="606"/>
      <x:c r="BL124" s="606" t="s">
        <x:v>97</x:v>
      </x:c>
      <x:c r="BM124" s="606"/>
      <x:c r="BN124" s="606"/>
      <x:c r="BO124" s="606"/>
      <x:c r="BP124" s="606"/>
      <x:c r="BQ124" s="606" t="s">
        <x:v>98</x:v>
      </x:c>
      <x:c r="BR124" s="606"/>
      <x:c r="BS124" s="606"/>
      <x:c r="BT124" s="606"/>
      <x:c r="BU124" s="606"/>
      <x:c r="BV124" s="605"/>
      <x:c r="BX124" s="119" t="s">
        <x:v>99</x:v>
      </x:c>
      <x:c r="BY124" s="362" t="s">
        <x:v>41</x:v>
      </x:c>
      <x:c r="BZ124" s="362" t="s">
        <x:v>100</x:v>
      </x:c>
      <x:c r="CA124" s="121" t="s">
        <x:v>101</x:v>
      </x:c>
      <x:c r="CB124" s="368" t="s">
        <x:v>102</x:v>
      </x:c>
      <x:c r="CC124" s="2"/>
      <x:c r="CD124" s="119" t="s">
        <x:v>99</x:v>
      </x:c>
      <x:c r="CE124" s="362" t="s">
        <x:v>41</x:v>
      </x:c>
      <x:c r="CF124" s="362" t="s">
        <x:v>100</x:v>
      </x:c>
      <x:c r="CG124" s="121" t="s">
        <x:v>101</x:v>
      </x:c>
      <x:c r="CH124" s="368" t="s">
        <x:v>102</x:v>
      </x:c>
      <x:c r="CI124" s="2"/>
      <x:c r="CJ124" s="119" t="s">
        <x:v>99</x:v>
      </x:c>
      <x:c r="CK124" s="362" t="s">
        <x:v>41</x:v>
      </x:c>
      <x:c r="CL124" s="362" t="s">
        <x:v>100</x:v>
      </x:c>
      <x:c r="CM124" s="121" t="s">
        <x:v>101</x:v>
      </x:c>
      <x:c r="CN124" s="368" t="s">
        <x:v>102</x:v>
      </x:c>
      <x:c r="CO124" s="2"/>
      <x:c r="CP124" s="119" t="s">
        <x:v>99</x:v>
      </x:c>
      <x:c r="CQ124" s="362" t="s">
        <x:v>41</x:v>
      </x:c>
      <x:c r="CR124" s="362" t="s">
        <x:v>100</x:v>
      </x:c>
      <x:c r="CS124" s="121" t="s">
        <x:v>101</x:v>
      </x:c>
      <x:c r="CT124" s="368" t="s">
        <x:v>102</x:v>
      </x:c>
      <x:c r="CV124" s="119" t="s">
        <x:v>103</x:v>
      </x:c>
      <x:c r="CW124" s="101" t="s">
        <x:v>104</x:v>
      </x:c>
      <x:c r="CX124" s="121" t="s">
        <x:v>105</x:v>
      </x:c>
      <x:c r="CY124" s="119" t="s">
        <x:v>106</x:v>
      </x:c>
      <x:c r="CZ124" s="377"/>
      <x:c r="DB124" s="358"/>
      <x:c r="DC124" s="359"/>
      <x:c r="DD124" s="361"/>
      <x:c r="DE124" s="361"/>
    </x:row>
    <x:row r="125" spans="1:109" ht="18" customHeight="1" s="8" customFormat="1">
      <x:c r="A125" s="605"/>
      <x:c r="B125" s="601"/>
      <x:c r="C125" s="505"/>
      <x:c r="D125" s="505"/>
      <x:c r="E125" s="505"/>
      <x:c r="F125" s="606"/>
      <x:c r="G125" s="606"/>
      <x:c r="H125" s="606"/>
      <x:c r="I125" s="606"/>
      <x:c r="J125" s="606"/>
      <x:c r="K125" s="606"/>
      <x:c r="L125" s="606"/>
      <x:c r="M125" s="606"/>
      <x:c r="N125" s="606"/>
      <x:c r="O125" s="606"/>
      <x:c r="P125" s="606"/>
      <x:c r="Q125" s="606"/>
      <x:c r="R125" s="606"/>
      <x:c r="S125" s="606"/>
      <x:c r="T125" s="606"/>
      <x:c r="U125" s="606"/>
      <x:c r="V125" s="606"/>
      <x:c r="W125" s="606"/>
      <x:c r="X125" s="606">
        <x:v>1</x:v>
      </x:c>
      <x:c r="Y125" s="606"/>
      <x:c r="Z125" s="606"/>
      <x:c r="AA125" s="606"/>
      <x:c r="AB125" s="606"/>
      <x:c r="AC125" s="606">
        <x:v>2</x:v>
      </x:c>
      <x:c r="AD125" s="606"/>
      <x:c r="AE125" s="606"/>
      <x:c r="AF125" s="606"/>
      <x:c r="AG125" s="606"/>
      <x:c r="AH125" s="606">
        <x:v>3</x:v>
      </x:c>
      <x:c r="AI125" s="606"/>
      <x:c r="AJ125" s="606"/>
      <x:c r="AK125" s="606"/>
      <x:c r="AL125" s="606"/>
      <x:c r="AM125" s="606"/>
      <x:c r="AN125" s="606"/>
      <x:c r="AO125" s="606"/>
      <x:c r="AP125" s="606"/>
      <x:c r="AQ125" s="606"/>
      <x:c r="AR125" s="606"/>
      <x:c r="AS125" s="606"/>
      <x:c r="AT125" s="606"/>
      <x:c r="AU125" s="606"/>
      <x:c r="AV125" s="606"/>
      <x:c r="AW125" s="505"/>
      <x:c r="AX125" s="505"/>
      <x:c r="AY125" s="505"/>
      <x:c r="AZ125" s="603"/>
      <x:c r="BA125" s="605"/>
      <x:c r="BB125" s="606"/>
      <x:c r="BC125" s="606"/>
      <x:c r="BD125" s="606"/>
      <x:c r="BE125" s="606"/>
      <x:c r="BF125" s="606"/>
      <x:c r="BG125" s="606"/>
      <x:c r="BH125" s="606"/>
      <x:c r="BI125" s="606"/>
      <x:c r="BJ125" s="606"/>
      <x:c r="BK125" s="606"/>
      <x:c r="BL125" s="606"/>
      <x:c r="BM125" s="606"/>
      <x:c r="BN125" s="606"/>
      <x:c r="BO125" s="606"/>
      <x:c r="BP125" s="606"/>
      <x:c r="BQ125" s="606"/>
      <x:c r="BR125" s="606"/>
      <x:c r="BS125" s="606"/>
      <x:c r="BT125" s="606"/>
      <x:c r="BU125" s="606"/>
      <x:c r="BV125" s="605"/>
      <x:c r="BX125" s="120"/>
      <x:c r="BY125" s="363"/>
      <x:c r="BZ125" s="411"/>
      <x:c r="CA125" s="122"/>
      <x:c r="CB125" s="369"/>
      <x:c r="CC125" s="2"/>
      <x:c r="CD125" s="120"/>
      <x:c r="CE125" s="363"/>
      <x:c r="CF125" s="363"/>
      <x:c r="CG125" s="122"/>
      <x:c r="CH125" s="369"/>
      <x:c r="CI125" s="2"/>
      <x:c r="CJ125" s="120"/>
      <x:c r="CK125" s="363"/>
      <x:c r="CL125" s="363"/>
      <x:c r="CM125" s="122"/>
      <x:c r="CN125" s="369"/>
      <x:c r="CO125" s="2"/>
      <x:c r="CP125" s="120"/>
      <x:c r="CQ125" s="363"/>
      <x:c r="CR125" s="363"/>
      <x:c r="CS125" s="122"/>
      <x:c r="CT125" s="369"/>
      <x:c r="CV125" s="120" t="s">
        <x:v>107</x:v>
      </x:c>
      <x:c r="CW125" s="102" t="s">
        <x:v>108</x:v>
      </x:c>
      <x:c r="CX125" s="122" t="s">
        <x:v>109</x:v>
      </x:c>
      <x:c r="CY125" s="120" t="s">
        <x:v>110</x:v>
      </x:c>
      <x:c r="CZ125" s="378"/>
      <x:c r="DB125" s="358"/>
      <x:c r="DC125" s="359"/>
      <x:c r="DD125" s="361"/>
      <x:c r="DE125" s="361"/>
    </x:row>
    <x:row r="126" spans="1:109" ht="18" customHeight="1" s="8" customFormat="1">
      <x:c r="A126" s="605"/>
      <x:c r="B126" s="601"/>
      <x:c r="C126" s="505"/>
      <x:c r="D126" s="505"/>
      <x:c r="E126" s="505"/>
      <x:c r="F126" s="648" t="s">
        <x:v>137</x:v>
      </x:c>
      <x:c r="G126" s="646"/>
      <x:c r="H126" s="646"/>
      <x:c r="I126" s="646"/>
      <x:c r="J126" s="646"/>
      <x:c r="K126" s="647"/>
      <x:c r="L126" s="610">
        <x:f>600*90%</x:f>
      </x:c>
      <x:c r="M126" s="611"/>
      <x:c r="N126" s="611"/>
      <x:c r="O126" s="611"/>
      <x:c r="P126" s="612" t="s">
        <x:v>136</x:v>
      </x:c>
      <x:c r="Q126" s="612"/>
      <x:c r="R126" s="613"/>
      <x:c r="S126" s="614" t="s">
        <x:v>123</x:v>
      </x:c>
      <x:c r="T126" s="614"/>
      <x:c r="U126" s="614"/>
      <x:c r="V126" s="614"/>
      <x:c r="W126" s="614"/>
      <x:c r="X126" s="621"/>
      <x:c r="Y126" s="622"/>
      <x:c r="Z126" s="622"/>
      <x:c r="AA126" s="622"/>
      <x:c r="AB126" s="623"/>
      <x:c r="AC126" s="621"/>
      <x:c r="AD126" s="622"/>
      <x:c r="AE126" s="622"/>
      <x:c r="AF126" s="622"/>
      <x:c r="AG126" s="623"/>
      <x:c r="AH126" s="621"/>
      <x:c r="AI126" s="622"/>
      <x:c r="AJ126" s="622"/>
      <x:c r="AK126" s="622"/>
      <x:c r="AL126" s="623"/>
      <x:c r="AM126" s="615">
        <x:f>AVERAGE(X126:AL126)</x:f>
      </x:c>
      <x:c r="AN126" s="615"/>
      <x:c r="AO126" s="615"/>
      <x:c r="AP126" s="615"/>
      <x:c r="AQ126" s="615"/>
      <x:c r="AR126" s="615">
        <x:f>AM126-L126</x:f>
      </x:c>
      <x:c r="AS126" s="615"/>
      <x:c r="AT126" s="615"/>
      <x:c r="AU126" s="615"/>
      <x:c r="AV126" s="615"/>
      <x:c r="AW126" s="505"/>
      <x:c r="AX126" s="505"/>
      <x:c r="AY126" s="505"/>
      <x:c r="AZ126" s="603"/>
      <x:c r="BA126" s="605"/>
      <x:c r="BB126" s="616">
        <x:f>(AM126*1%)+(2*CK126)</x:f>
      </x:c>
      <x:c r="BC126" s="616"/>
      <x:c r="BD126" s="616"/>
      <x:c r="BE126" s="616"/>
      <x:c r="BF126" s="616"/>
      <x:c r="BG126" s="616">
        <x:f>L126+BB126</x:f>
      </x:c>
      <x:c r="BH126" s="616"/>
      <x:c r="BI126" s="616"/>
      <x:c r="BJ126" s="616"/>
      <x:c r="BK126" s="616"/>
      <x:c r="BL126" s="616">
        <x:f>L126-BB126</x:f>
      </x:c>
      <x:c r="BM126" s="616"/>
      <x:c r="BN126" s="616"/>
      <x:c r="BO126" s="616"/>
      <x:c r="BP126" s="616"/>
      <x:c r="BQ126" s="617">
        <x:f>IF(AND(AM126&lt;=BG126,AM126&gt;=BL126),"PASS","FAIL")</x:f>
      </x:c>
      <x:c r="BR126" s="617"/>
      <x:c r="BS126" s="617"/>
      <x:c r="BT126" s="617"/>
      <x:c r="BU126" s="617"/>
      <x:c r="BV126" s="605"/>
      <x:c r="BX126" s="70" t="s">
        <x:v>113</x:v>
      </x:c>
      <x:c r="BY126" s="205">
        <x:v>1.7</x:v>
      </x:c>
      <x:c r="BZ126" s="71">
        <x:f>P126</x:f>
      </x:c>
      <x:c r="CA126" s="191">
        <x:v>2</x:v>
      </x:c>
      <x:c r="CB126" s="77">
        <x:f>BY126/CA126</x:f>
      </x:c>
      <x:c r="CC126" s="4"/>
      <x:c r="CD126" s="70" t="s">
        <x:v>114</x:v>
      </x:c>
      <x:c r="CE126" s="88">
        <x:v>0</x:v>
      </x:c>
      <x:c r="CF126" s="71">
        <x:f>BZ126</x:f>
      </x:c>
      <x:c r="CG126" s="80">
        <x:f>SQRT(3)</x:f>
      </x:c>
      <x:c r="CH126" s="77">
        <x:f>CE126/CG126</x:f>
      </x:c>
      <x:c r="CI126" s="4"/>
      <x:c r="CJ126" s="70" t="s">
        <x:v>115</x:v>
      </x:c>
      <x:c r="CK126" s="176">
        <x:v>0.1</x:v>
      </x:c>
      <x:c r="CL126" s="71">
        <x:f>P126</x:f>
      </x:c>
      <x:c r="CM126" s="80">
        <x:f>SQRT(12)</x:f>
      </x:c>
      <x:c r="CN126" s="77">
        <x:f>CK126/CM126</x:f>
      </x:c>
      <x:c r="CO126" s="4"/>
      <x:c r="CP126" s="70" t="s">
        <x:v>116</x:v>
      </x:c>
      <x:c r="CQ126" s="83">
        <x:f>STDEV(X126:AL126)</x:f>
      </x:c>
      <x:c r="CR126" s="71">
        <x:f>P126</x:f>
      </x:c>
      <x:c r="CS126" s="80">
        <x:f>SQRT(3)</x:f>
      </x:c>
      <x:c r="CT126" s="85">
        <x:f>CQ126/CS126</x:f>
      </x:c>
      <x:c r="CV126" s="98">
        <x:f>SQRT(SUMSQ(CT126,CN126,CH126,CB126))</x:f>
      </x:c>
      <x:c r="CW126" s="99">
        <x:f>(CV126^4)/(((CT126^4)/2)+((CN126^4)/200)+((CH126^4)/200)+((CB126^4)/200))</x:f>
      </x:c>
      <x:c r="CX126" s="100">
        <x:f>ROUND(TINV(0.05,CW126),0)</x:f>
      </x:c>
      <x:c r="CY126" s="103">
        <x:f>(CV126*CX126)</x:f>
      </x:c>
      <x:c r="CZ126" s="104">
        <x:f>P126</x:f>
      </x:c>
      <x:c r="DB126" s="177">
        <x:v>0.00037</x:v>
      </x:c>
      <x:c r="DC126" s="178">
        <x:f>CZ126</x:f>
      </x:c>
      <x:c r="DD126" s="220">
        <x:f>MAX(DB126,CY126)</x:f>
      </x:c>
      <x:c r="DE126" s="178">
        <x:f>DC126</x:f>
      </x:c>
    </x:row>
    <x:row r="127" spans="1:109" ht="18" customHeight="1" s="8" customFormat="1">
      <x:c r="A127" s="605"/>
      <x:c r="B127" s="601"/>
      <x:c r="C127" s="505"/>
      <x:c r="D127" s="505"/>
      <x:c r="E127" s="505"/>
      <x:c r="F127" s="645"/>
      <x:c r="G127" s="646"/>
      <x:c r="H127" s="646"/>
      <x:c r="I127" s="646"/>
      <x:c r="J127" s="646"/>
      <x:c r="K127" s="647"/>
      <x:c r="L127" s="610">
        <x:f>600*90%</x:f>
      </x:c>
      <x:c r="M127" s="611"/>
      <x:c r="N127" s="611"/>
      <x:c r="O127" s="611"/>
      <x:c r="P127" s="612" t="s">
        <x:v>136</x:v>
      </x:c>
      <x:c r="Q127" s="612"/>
      <x:c r="R127" s="613"/>
      <x:c r="S127" s="614" t="s">
        <x:v>124</x:v>
      </x:c>
      <x:c r="T127" s="614"/>
      <x:c r="U127" s="614"/>
      <x:c r="V127" s="614"/>
      <x:c r="W127" s="614"/>
      <x:c r="X127" s="621"/>
      <x:c r="Y127" s="622"/>
      <x:c r="Z127" s="622"/>
      <x:c r="AA127" s="622"/>
      <x:c r="AB127" s="623"/>
      <x:c r="AC127" s="621"/>
      <x:c r="AD127" s="622"/>
      <x:c r="AE127" s="622"/>
      <x:c r="AF127" s="622"/>
      <x:c r="AG127" s="623"/>
      <x:c r="AH127" s="621"/>
      <x:c r="AI127" s="622"/>
      <x:c r="AJ127" s="622"/>
      <x:c r="AK127" s="622"/>
      <x:c r="AL127" s="623"/>
      <x:c r="AM127" s="615">
        <x:f>AVERAGE(X127:AL127)</x:f>
      </x:c>
      <x:c r="AN127" s="615"/>
      <x:c r="AO127" s="615"/>
      <x:c r="AP127" s="615"/>
      <x:c r="AQ127" s="615"/>
      <x:c r="AR127" s="615">
        <x:f>AM127-L127</x:f>
      </x:c>
      <x:c r="AS127" s="615"/>
      <x:c r="AT127" s="615"/>
      <x:c r="AU127" s="615"/>
      <x:c r="AV127" s="615"/>
      <x:c r="AW127" s="505"/>
      <x:c r="AX127" s="505"/>
      <x:c r="AY127" s="505"/>
      <x:c r="AZ127" s="603"/>
      <x:c r="BA127" s="605"/>
      <x:c r="BB127" s="616">
        <x:f>(AM127*1%)+(2*CK127)</x:f>
      </x:c>
      <x:c r="BC127" s="616"/>
      <x:c r="BD127" s="616"/>
      <x:c r="BE127" s="616"/>
      <x:c r="BF127" s="616"/>
      <x:c r="BG127" s="615">
        <x:f>L127+BB127</x:f>
      </x:c>
      <x:c r="BH127" s="615"/>
      <x:c r="BI127" s="615"/>
      <x:c r="BJ127" s="615"/>
      <x:c r="BK127" s="615"/>
      <x:c r="BL127" s="615">
        <x:f>L127-BB127</x:f>
      </x:c>
      <x:c r="BM127" s="615"/>
      <x:c r="BN127" s="615"/>
      <x:c r="BO127" s="615"/>
      <x:c r="BP127" s="615"/>
      <x:c r="BQ127" s="617">
        <x:f>IF(AND(AM127&lt;=BG127,AM127&gt;=BL127),"PASS","FAIL")</x:f>
      </x:c>
      <x:c r="BR127" s="617"/>
      <x:c r="BS127" s="617"/>
      <x:c r="BT127" s="617"/>
      <x:c r="BU127" s="617"/>
      <x:c r="BV127" s="605"/>
      <x:c r="BX127" s="72" t="s">
        <x:v>113</x:v>
      </x:c>
      <x:c r="BY127" s="205">
        <x:v>1.7</x:v>
      </x:c>
      <x:c r="BZ127" s="1">
        <x:f>P127</x:f>
      </x:c>
      <x:c r="CA127" s="180">
        <x:v>2</x:v>
      </x:c>
      <x:c r="CB127" s="78">
        <x:f>BY127/CA127</x:f>
      </x:c>
      <x:c r="CC127" s="4"/>
      <x:c r="CD127" s="72" t="s">
        <x:v>114</x:v>
      </x:c>
      <x:c r="CE127" s="5">
        <x:v>0</x:v>
      </x:c>
      <x:c r="CF127" s="1">
        <x:f>BZ127</x:f>
      </x:c>
      <x:c r="CG127" s="81">
        <x:f>SQRT(3)</x:f>
      </x:c>
      <x:c r="CH127" s="78">
        <x:f>CE127/CG127</x:f>
      </x:c>
      <x:c r="CI127" s="4"/>
      <x:c r="CJ127" s="72" t="s">
        <x:v>115</x:v>
      </x:c>
      <x:c r="CK127" s="181">
        <x:v>0.1</x:v>
      </x:c>
      <x:c r="CL127" s="1">
        <x:f>P127</x:f>
      </x:c>
      <x:c r="CM127" s="81">
        <x:f>SQRT(12)</x:f>
      </x:c>
      <x:c r="CN127" s="78">
        <x:f>CK127/CM127</x:f>
      </x:c>
      <x:c r="CO127" s="4"/>
      <x:c r="CP127" s="72" t="s">
        <x:v>116</x:v>
      </x:c>
      <x:c r="CQ127" s="6">
        <x:f>STDEV(X127:AL127)</x:f>
      </x:c>
      <x:c r="CR127" s="1">
        <x:f>P127</x:f>
      </x:c>
      <x:c r="CS127" s="81">
        <x:f>SQRT(3)</x:f>
      </x:c>
      <x:c r="CT127" s="86">
        <x:f>CQ127/CS127</x:f>
      </x:c>
      <x:c r="CV127" s="94">
        <x:f>SQRT(SUMSQ(CT127,CN127,CH127,CB127))</x:f>
      </x:c>
      <x:c r="CW127" s="5">
        <x:f>(CV127^4)/(((CT127^4)/2)+((CN127^4)/200)+((CH127^4)/200)+((CB127^4)/200))</x:f>
      </x:c>
      <x:c r="CX127" s="95">
        <x:f>ROUND(TINV(0.05,CW127),0)</x:f>
      </x:c>
      <x:c r="CY127" s="105">
        <x:f>(CV127*CX127)</x:f>
      </x:c>
      <x:c r="CZ127" s="106">
        <x:f>P127</x:f>
      </x:c>
      <x:c r="DB127" s="177">
        <x:v>0.00037</x:v>
      </x:c>
      <x:c r="DC127" s="178">
        <x:f>CZ127</x:f>
      </x:c>
      <x:c r="DD127" s="220">
        <x:f>MAX(DB127,CY127)</x:f>
      </x:c>
      <x:c r="DE127" s="178">
        <x:f>DC127</x:f>
      </x:c>
    </x:row>
    <x:row r="128" spans="1:109" ht="18" customHeight="1" s="8" customFormat="1">
      <x:c r="A128" s="605"/>
      <x:c r="B128" s="601"/>
      <x:c r="C128" s="505"/>
      <x:c r="D128" s="505"/>
      <x:c r="E128" s="505"/>
      <x:c r="F128" s="648" t="s">
        <x:v>139</x:v>
      </x:c>
      <x:c r="G128" s="646"/>
      <x:c r="H128" s="646"/>
      <x:c r="I128" s="646"/>
      <x:c r="J128" s="646"/>
      <x:c r="K128" s="647"/>
      <x:c r="L128" s="610">
        <x:f>6000*90%</x:f>
      </x:c>
      <x:c r="M128" s="611"/>
      <x:c r="N128" s="611"/>
      <x:c r="O128" s="611"/>
      <x:c r="P128" s="612" t="s">
        <x:v>136</x:v>
      </x:c>
      <x:c r="Q128" s="612"/>
      <x:c r="R128" s="613"/>
      <x:c r="S128" s="614" t="s">
        <x:v>123</x:v>
      </x:c>
      <x:c r="T128" s="614"/>
      <x:c r="U128" s="614"/>
      <x:c r="V128" s="614"/>
      <x:c r="W128" s="614"/>
      <x:c r="X128" s="632"/>
      <x:c r="Y128" s="633"/>
      <x:c r="Z128" s="633"/>
      <x:c r="AA128" s="633"/>
      <x:c r="AB128" s="634"/>
      <x:c r="AC128" s="632"/>
      <x:c r="AD128" s="633"/>
      <x:c r="AE128" s="633"/>
      <x:c r="AF128" s="633"/>
      <x:c r="AG128" s="634"/>
      <x:c r="AH128" s="632"/>
      <x:c r="AI128" s="633"/>
      <x:c r="AJ128" s="633"/>
      <x:c r="AK128" s="633"/>
      <x:c r="AL128" s="634"/>
      <x:c r="AM128" s="631">
        <x:f>AVERAGE(X128:AL128)</x:f>
      </x:c>
      <x:c r="AN128" s="631"/>
      <x:c r="AO128" s="631"/>
      <x:c r="AP128" s="631"/>
      <x:c r="AQ128" s="631"/>
      <x:c r="AR128" s="631">
        <x:f>AM128-L128</x:f>
      </x:c>
      <x:c r="AS128" s="631"/>
      <x:c r="AT128" s="631"/>
      <x:c r="AU128" s="631"/>
      <x:c r="AV128" s="631"/>
      <x:c r="AW128" s="505"/>
      <x:c r="AX128" s="505"/>
      <x:c r="AY128" s="505"/>
      <x:c r="AZ128" s="603"/>
      <x:c r="BA128" s="605"/>
      <x:c r="BB128" s="616">
        <x:f>(AM128*1%)+(2*CK128)</x:f>
      </x:c>
      <x:c r="BC128" s="616"/>
      <x:c r="BD128" s="616"/>
      <x:c r="BE128" s="616"/>
      <x:c r="BF128" s="616"/>
      <x:c r="BG128" s="615">
        <x:f>L128+BB128</x:f>
      </x:c>
      <x:c r="BH128" s="615"/>
      <x:c r="BI128" s="615"/>
      <x:c r="BJ128" s="615"/>
      <x:c r="BK128" s="615"/>
      <x:c r="BL128" s="615">
        <x:f>L128-BB128</x:f>
      </x:c>
      <x:c r="BM128" s="615"/>
      <x:c r="BN128" s="615"/>
      <x:c r="BO128" s="615"/>
      <x:c r="BP128" s="615"/>
      <x:c r="BQ128" s="617">
        <x:f>IF(AND(AM128&lt;=BG128,AM128&gt;=BL128),"PASS","FAIL")</x:f>
      </x:c>
      <x:c r="BR128" s="617"/>
      <x:c r="BS128" s="617"/>
      <x:c r="BT128" s="617"/>
      <x:c r="BU128" s="617"/>
      <x:c r="BV128" s="605"/>
      <x:c r="BX128" s="72" t="s">
        <x:v>113</x:v>
      </x:c>
      <x:c r="BY128" s="192">
        <x:v>13</x:v>
      </x:c>
      <x:c r="BZ128" s="1">
        <x:f>P128</x:f>
      </x:c>
      <x:c r="CA128" s="180">
        <x:v>2</x:v>
      </x:c>
      <x:c r="CB128" s="78">
        <x:f>BY128/CA128</x:f>
      </x:c>
      <x:c r="CC128" s="4"/>
      <x:c r="CD128" s="72" t="s">
        <x:v>114</x:v>
      </x:c>
      <x:c r="CE128" s="5">
        <x:v>0</x:v>
      </x:c>
      <x:c r="CF128" s="1">
        <x:f>BZ128</x:f>
      </x:c>
      <x:c r="CG128" s="81">
        <x:f>SQRT(3)</x:f>
      </x:c>
      <x:c r="CH128" s="78">
        <x:f>CE128/CG128</x:f>
      </x:c>
      <x:c r="CI128" s="4"/>
      <x:c r="CJ128" s="72" t="s">
        <x:v>115</x:v>
      </x:c>
      <x:c r="CK128" s="181">
        <x:v>1</x:v>
      </x:c>
      <x:c r="CL128" s="1">
        <x:f>P128</x:f>
      </x:c>
      <x:c r="CM128" s="81">
        <x:f>SQRT(12)</x:f>
      </x:c>
      <x:c r="CN128" s="78">
        <x:f>CK128/CM128</x:f>
      </x:c>
      <x:c r="CO128" s="4"/>
      <x:c r="CP128" s="72" t="s">
        <x:v>116</x:v>
      </x:c>
      <x:c r="CQ128" s="6">
        <x:f>STDEV(X128:AL128)</x:f>
      </x:c>
      <x:c r="CR128" s="1">
        <x:f>P128</x:f>
      </x:c>
      <x:c r="CS128" s="81">
        <x:f>SQRT(3)</x:f>
      </x:c>
      <x:c r="CT128" s="86">
        <x:f>CQ128/CS128</x:f>
      </x:c>
      <x:c r="CV128" s="94">
        <x:f>SQRT(SUMSQ(CT128,CN128,CH128,CB128))</x:f>
      </x:c>
      <x:c r="CW128" s="5">
        <x:f>(CV128^4)/(((CT128^4)/2)+((CN128^4)/200)+((CH128^4)/200)+((CB128^4)/200))</x:f>
      </x:c>
      <x:c r="CX128" s="95">
        <x:f>ROUND(TINV(0.05,CW128),0)</x:f>
      </x:c>
      <x:c r="CY128" s="105">
        <x:f>(CV128*CX128)</x:f>
      </x:c>
      <x:c r="CZ128" s="106">
        <x:f>P128</x:f>
      </x:c>
      <x:c r="DB128" s="177">
        <x:v>2.6</x:v>
      </x:c>
      <x:c r="DC128" s="178">
        <x:f>CZ128</x:f>
      </x:c>
      <x:c r="DD128" s="220">
        <x:f>MAX(DB128,CY128)</x:f>
      </x:c>
      <x:c r="DE128" s="178">
        <x:f>DC128</x:f>
      </x:c>
    </x:row>
    <x:row r="129" spans="1:109" ht="18" customHeight="1" s="8" customFormat="1">
      <x:c r="A129" s="605"/>
      <x:c r="B129" s="601"/>
      <x:c r="C129" s="505"/>
      <x:c r="D129" s="505"/>
      <x:c r="E129" s="505"/>
      <x:c r="F129" s="645"/>
      <x:c r="G129" s="646"/>
      <x:c r="H129" s="646"/>
      <x:c r="I129" s="646"/>
      <x:c r="J129" s="646"/>
      <x:c r="K129" s="647"/>
      <x:c r="L129" s="610">
        <x:f>6000*90%</x:f>
      </x:c>
      <x:c r="M129" s="611"/>
      <x:c r="N129" s="611"/>
      <x:c r="O129" s="611"/>
      <x:c r="P129" s="612" t="s">
        <x:v>136</x:v>
      </x:c>
      <x:c r="Q129" s="612"/>
      <x:c r="R129" s="613"/>
      <x:c r="S129" s="614" t="s">
        <x:v>124</x:v>
      </x:c>
      <x:c r="T129" s="614"/>
      <x:c r="U129" s="614"/>
      <x:c r="V129" s="614"/>
      <x:c r="W129" s="614"/>
      <x:c r="X129" s="632"/>
      <x:c r="Y129" s="633"/>
      <x:c r="Z129" s="633"/>
      <x:c r="AA129" s="633"/>
      <x:c r="AB129" s="634"/>
      <x:c r="AC129" s="632"/>
      <x:c r="AD129" s="633"/>
      <x:c r="AE129" s="633"/>
      <x:c r="AF129" s="633"/>
      <x:c r="AG129" s="634"/>
      <x:c r="AH129" s="632"/>
      <x:c r="AI129" s="633"/>
      <x:c r="AJ129" s="633"/>
      <x:c r="AK129" s="633"/>
      <x:c r="AL129" s="634"/>
      <x:c r="AM129" s="631">
        <x:f>AVERAGE(X129:AL129)</x:f>
      </x:c>
      <x:c r="AN129" s="631"/>
      <x:c r="AO129" s="631"/>
      <x:c r="AP129" s="631"/>
      <x:c r="AQ129" s="631"/>
      <x:c r="AR129" s="631">
        <x:f>AM129-L129</x:f>
      </x:c>
      <x:c r="AS129" s="631"/>
      <x:c r="AT129" s="631"/>
      <x:c r="AU129" s="631"/>
      <x:c r="AV129" s="631"/>
      <x:c r="AW129" s="505"/>
      <x:c r="AX129" s="505"/>
      <x:c r="AY129" s="505"/>
      <x:c r="AZ129" s="603"/>
      <x:c r="BA129" s="605"/>
      <x:c r="BB129" s="616">
        <x:f>(AM129*1%)+(2*CK129)</x:f>
      </x:c>
      <x:c r="BC129" s="616"/>
      <x:c r="BD129" s="616"/>
      <x:c r="BE129" s="616"/>
      <x:c r="BF129" s="616"/>
      <x:c r="BG129" s="615">
        <x:f>L129+BB129</x:f>
      </x:c>
      <x:c r="BH129" s="615"/>
      <x:c r="BI129" s="615"/>
      <x:c r="BJ129" s="615"/>
      <x:c r="BK129" s="615"/>
      <x:c r="BL129" s="615">
        <x:f>L129-BB129</x:f>
      </x:c>
      <x:c r="BM129" s="615"/>
      <x:c r="BN129" s="615"/>
      <x:c r="BO129" s="615"/>
      <x:c r="BP129" s="615"/>
      <x:c r="BQ129" s="617">
        <x:f>IF(AND(AM129&lt;=BG129,AM129&gt;=BL129),"PASS","FAIL")</x:f>
      </x:c>
      <x:c r="BR129" s="617"/>
      <x:c r="BS129" s="617"/>
      <x:c r="BT129" s="617"/>
      <x:c r="BU129" s="617"/>
      <x:c r="BV129" s="605"/>
      <x:c r="BX129" s="72" t="s">
        <x:v>113</x:v>
      </x:c>
      <x:c r="BY129" s="192">
        <x:v>13</x:v>
      </x:c>
      <x:c r="BZ129" s="208">
        <x:f>P129</x:f>
      </x:c>
      <x:c r="CA129" s="206">
        <x:v>2</x:v>
      </x:c>
      <x:c r="CB129" s="78">
        <x:f>BY129/CA129</x:f>
      </x:c>
      <x:c r="CC129" s="4"/>
      <x:c r="CD129" s="73" t="s">
        <x:v>114</x:v>
      </x:c>
      <x:c r="CE129" s="89">
        <x:v>0</x:v>
      </x:c>
      <x:c r="CF129" s="74">
        <x:f>BZ129</x:f>
      </x:c>
      <x:c r="CG129" s="82">
        <x:f>SQRT(3)</x:f>
      </x:c>
      <x:c r="CH129" s="79">
        <x:f>CE129/CG129</x:f>
      </x:c>
      <x:c r="CI129" s="4"/>
      <x:c r="CJ129" s="73" t="s">
        <x:v>115</x:v>
      </x:c>
      <x:c r="CK129" s="183">
        <x:v>1</x:v>
      </x:c>
      <x:c r="CL129" s="74">
        <x:f>P129</x:f>
      </x:c>
      <x:c r="CM129" s="82">
        <x:f>SQRT(12)</x:f>
      </x:c>
      <x:c r="CN129" s="79">
        <x:f>CK129/CM129</x:f>
      </x:c>
      <x:c r="CO129" s="4"/>
      <x:c r="CP129" s="73" t="s">
        <x:v>116</x:v>
      </x:c>
      <x:c r="CQ129" s="84">
        <x:f>STDEV(X129:AL129)</x:f>
      </x:c>
      <x:c r="CR129" s="74">
        <x:f>P129</x:f>
      </x:c>
      <x:c r="CS129" s="82">
        <x:f>SQRT(3)</x:f>
      </x:c>
      <x:c r="CT129" s="87">
        <x:f>CQ129/CS129</x:f>
      </x:c>
      <x:c r="CV129" s="96">
        <x:f>SQRT(SUMSQ(CT129,CN129,CH129,CB129))</x:f>
      </x:c>
      <x:c r="CW129" s="89">
        <x:f>(CV129^4)/(((CT129^4)/2)+((CN129^4)/200)+((CH129^4)/200)+((CB129^4)/200))</x:f>
      </x:c>
      <x:c r="CX129" s="97">
        <x:f>ROUND(TINV(0.05,CW129),0)</x:f>
      </x:c>
      <x:c r="CY129" s="107">
        <x:f>(CV129*CX129)</x:f>
      </x:c>
      <x:c r="CZ129" s="108">
        <x:f>P129</x:f>
      </x:c>
      <x:c r="DB129" s="177">
        <x:v>2.6</x:v>
      </x:c>
      <x:c r="DC129" s="178">
        <x:f>CZ129</x:f>
      </x:c>
      <x:c r="DD129" s="220">
        <x:f>MAX(DB129,CY129)</x:f>
      </x:c>
      <x:c r="DE129" s="178">
        <x:f>DC129</x:f>
      </x:c>
    </x:row>
    <x:row r="130" spans="1:109" ht="18" customHeight="1" s="8" customFormat="1">
      <x:c r="A130" s="605"/>
      <x:c r="B130" s="601"/>
      <x:c r="C130" s="505"/>
      <x:c r="D130" s="505"/>
      <x:c r="E130" s="505"/>
      <x:c r="F130" s="648" t="s">
        <x:v>138</x:v>
      </x:c>
      <x:c r="G130" s="646"/>
      <x:c r="H130" s="646"/>
      <x:c r="I130" s="646"/>
      <x:c r="J130" s="646"/>
      <x:c r="K130" s="647"/>
      <x:c r="L130" s="610">
        <x:f>60*90%</x:f>
      </x:c>
      <x:c r="M130" s="611"/>
      <x:c r="N130" s="611"/>
      <x:c r="O130" s="611"/>
      <x:c r="P130" s="612" t="s">
        <x:v>140</x:v>
      </x:c>
      <x:c r="Q130" s="612"/>
      <x:c r="R130" s="613"/>
      <x:c r="S130" s="614" t="s">
        <x:v>123</x:v>
      </x:c>
      <x:c r="T130" s="614"/>
      <x:c r="U130" s="614"/>
      <x:c r="V130" s="614"/>
      <x:c r="W130" s="614"/>
      <x:c r="X130" s="642"/>
      <x:c r="Y130" s="643"/>
      <x:c r="Z130" s="643"/>
      <x:c r="AA130" s="643"/>
      <x:c r="AB130" s="644"/>
      <x:c r="AC130" s="642"/>
      <x:c r="AD130" s="643"/>
      <x:c r="AE130" s="643"/>
      <x:c r="AF130" s="643"/>
      <x:c r="AG130" s="644"/>
      <x:c r="AH130" s="642"/>
      <x:c r="AI130" s="643"/>
      <x:c r="AJ130" s="643"/>
      <x:c r="AK130" s="643"/>
      <x:c r="AL130" s="644"/>
      <x:c r="AM130" s="616">
        <x:f>AVERAGE(X130:AL130)</x:f>
      </x:c>
      <x:c r="AN130" s="616"/>
      <x:c r="AO130" s="616"/>
      <x:c r="AP130" s="616"/>
      <x:c r="AQ130" s="616"/>
      <x:c r="AR130" s="616">
        <x:f>AM130-L130</x:f>
      </x:c>
      <x:c r="AS130" s="616"/>
      <x:c r="AT130" s="616"/>
      <x:c r="AU130" s="616"/>
      <x:c r="AV130" s="616"/>
      <x:c r="AW130" s="505"/>
      <x:c r="AX130" s="505"/>
      <x:c r="AY130" s="505"/>
      <x:c r="AZ130" s="603"/>
      <x:c r="BA130" s="605"/>
      <x:c r="BB130" s="616">
        <x:f>(AM130*1%)+(2*CK130)</x:f>
      </x:c>
      <x:c r="BC130" s="616"/>
      <x:c r="BD130" s="616"/>
      <x:c r="BE130" s="616"/>
      <x:c r="BF130" s="616"/>
      <x:c r="BG130" s="616">
        <x:f>L130+BB130</x:f>
      </x:c>
      <x:c r="BH130" s="616"/>
      <x:c r="BI130" s="616"/>
      <x:c r="BJ130" s="616"/>
      <x:c r="BK130" s="616"/>
      <x:c r="BL130" s="616">
        <x:f>L130-BB130</x:f>
      </x:c>
      <x:c r="BM130" s="616"/>
      <x:c r="BN130" s="616"/>
      <x:c r="BO130" s="616"/>
      <x:c r="BP130" s="616"/>
      <x:c r="BQ130" s="617">
        <x:f>IF(AND(AM130&lt;=BG130,AM130&gt;=BL130),"PASS","FAIL")</x:f>
      </x:c>
      <x:c r="BR130" s="617"/>
      <x:c r="BS130" s="617"/>
      <x:c r="BT130" s="617"/>
      <x:c r="BU130" s="617"/>
      <x:c r="BV130" s="605"/>
      <x:c r="BX130" s="75" t="s">
        <x:v>113</x:v>
      </x:c>
      <x:c r="BY130" s="192">
        <x:v>0.22</x:v>
      </x:c>
      <x:c r="BZ130" s="1">
        <x:f>P130</x:f>
      </x:c>
      <x:c r="CA130" s="180">
        <x:v>2</x:v>
      </x:c>
      <x:c r="CB130" s="209">
        <x:f>BY130/CA130</x:f>
      </x:c>
      <x:c r="CC130" s="4"/>
      <x:c r="CD130" s="70" t="s">
        <x:v>114</x:v>
      </x:c>
      <x:c r="CE130" s="88">
        <x:v>0</x:v>
      </x:c>
      <x:c r="CF130" s="71">
        <x:f>BZ130</x:f>
      </x:c>
      <x:c r="CG130" s="80">
        <x:f>SQRT(3)</x:f>
      </x:c>
      <x:c r="CH130" s="77">
        <x:f>CE130/CG130</x:f>
      </x:c>
      <x:c r="CI130" s="4"/>
      <x:c r="CJ130" s="70" t="s">
        <x:v>115</x:v>
      </x:c>
      <x:c r="CK130" s="176">
        <x:v>0.01</x:v>
      </x:c>
      <x:c r="CL130" s="71">
        <x:f>P130</x:f>
      </x:c>
      <x:c r="CM130" s="80">
        <x:f>SQRT(12)</x:f>
      </x:c>
      <x:c r="CN130" s="77">
        <x:f>CK130/CM130</x:f>
      </x:c>
      <x:c r="CO130" s="4"/>
      <x:c r="CP130" s="70" t="s">
        <x:v>116</x:v>
      </x:c>
      <x:c r="CQ130" s="83">
        <x:f>STDEV(X130:AL130)</x:f>
      </x:c>
      <x:c r="CR130" s="71">
        <x:f>P130</x:f>
      </x:c>
      <x:c r="CS130" s="80">
        <x:f>SQRT(3)</x:f>
      </x:c>
      <x:c r="CT130" s="85">
        <x:f>CQ130/CS130</x:f>
      </x:c>
      <x:c r="CV130" s="98">
        <x:f>SQRT(SUMSQ(CT130,CN130,CH130,CB130))</x:f>
      </x:c>
      <x:c r="CW130" s="99">
        <x:f>(CV130^4)/(((CT130^4)/2)+((CN130^4)/200)+((CH130^4)/200)+((CB130^4)/200))</x:f>
      </x:c>
      <x:c r="CX130" s="100">
        <x:f>ROUND(TINV(0.05,CW130),0)</x:f>
      </x:c>
      <x:c r="CY130" s="103">
        <x:f>(CV130*CX130)</x:f>
      </x:c>
      <x:c r="CZ130" s="104">
        <x:f>P130</x:f>
      </x:c>
      <x:c r="DB130" s="177">
        <x:v>0.026</x:v>
      </x:c>
      <x:c r="DC130" s="178">
        <x:f>CZ130</x:f>
      </x:c>
      <x:c r="DD130" s="220">
        <x:f>MAX(DB130,CY130)</x:f>
      </x:c>
      <x:c r="DE130" s="178">
        <x:f>DC130</x:f>
      </x:c>
    </x:row>
    <x:row r="131" spans="1:109" ht="18" customHeight="1" s="8" customFormat="1">
      <x:c r="A131" s="605"/>
      <x:c r="B131" s="601"/>
      <x:c r="C131" s="505"/>
      <x:c r="D131" s="505"/>
      <x:c r="E131" s="505"/>
      <x:c r="F131" s="645"/>
      <x:c r="G131" s="646"/>
      <x:c r="H131" s="646"/>
      <x:c r="I131" s="646"/>
      <x:c r="J131" s="646"/>
      <x:c r="K131" s="647"/>
      <x:c r="L131" s="610">
        <x:f>60*90%</x:f>
      </x:c>
      <x:c r="M131" s="611"/>
      <x:c r="N131" s="611"/>
      <x:c r="O131" s="611"/>
      <x:c r="P131" s="612" t="s">
        <x:v>140</x:v>
      </x:c>
      <x:c r="Q131" s="612"/>
      <x:c r="R131" s="613"/>
      <x:c r="S131" s="614" t="s">
        <x:v>124</x:v>
      </x:c>
      <x:c r="T131" s="614"/>
      <x:c r="U131" s="614"/>
      <x:c r="V131" s="614"/>
      <x:c r="W131" s="614"/>
      <x:c r="X131" s="642"/>
      <x:c r="Y131" s="643"/>
      <x:c r="Z131" s="643"/>
      <x:c r="AA131" s="643"/>
      <x:c r="AB131" s="644"/>
      <x:c r="AC131" s="642"/>
      <x:c r="AD131" s="643"/>
      <x:c r="AE131" s="643"/>
      <x:c r="AF131" s="643"/>
      <x:c r="AG131" s="644"/>
      <x:c r="AH131" s="642"/>
      <x:c r="AI131" s="643"/>
      <x:c r="AJ131" s="643"/>
      <x:c r="AK131" s="643"/>
      <x:c r="AL131" s="644"/>
      <x:c r="AM131" s="616">
        <x:f>AVERAGE(X131:AL131)</x:f>
      </x:c>
      <x:c r="AN131" s="616"/>
      <x:c r="AO131" s="616"/>
      <x:c r="AP131" s="616"/>
      <x:c r="AQ131" s="616"/>
      <x:c r="AR131" s="616">
        <x:f>AM131-L131</x:f>
      </x:c>
      <x:c r="AS131" s="616"/>
      <x:c r="AT131" s="616"/>
      <x:c r="AU131" s="616"/>
      <x:c r="AV131" s="616"/>
      <x:c r="AW131" s="505"/>
      <x:c r="AX131" s="505"/>
      <x:c r="AY131" s="505"/>
      <x:c r="AZ131" s="603"/>
      <x:c r="BA131" s="605"/>
      <x:c r="BB131" s="616">
        <x:f>(AM131*1%)+(2*CK131)</x:f>
      </x:c>
      <x:c r="BC131" s="616"/>
      <x:c r="BD131" s="616"/>
      <x:c r="BE131" s="616"/>
      <x:c r="BF131" s="616"/>
      <x:c r="BG131" s="615">
        <x:f>L131+BB131</x:f>
      </x:c>
      <x:c r="BH131" s="615"/>
      <x:c r="BI131" s="615"/>
      <x:c r="BJ131" s="615"/>
      <x:c r="BK131" s="615"/>
      <x:c r="BL131" s="615">
        <x:f>L131-BB131</x:f>
      </x:c>
      <x:c r="BM131" s="615"/>
      <x:c r="BN131" s="615"/>
      <x:c r="BO131" s="615"/>
      <x:c r="BP131" s="615"/>
      <x:c r="BQ131" s="617">
        <x:f>IF(AND(AM131&lt;=BG131,AM131&gt;=BL131),"PASS","FAIL")</x:f>
      </x:c>
      <x:c r="BR131" s="617"/>
      <x:c r="BS131" s="617"/>
      <x:c r="BT131" s="617"/>
      <x:c r="BU131" s="617"/>
      <x:c r="BV131" s="605"/>
      <x:c r="BX131" s="72" t="s">
        <x:v>113</x:v>
      </x:c>
      <x:c r="BY131" s="192">
        <x:v>0.22</x:v>
      </x:c>
      <x:c r="BZ131" s="1">
        <x:f>P131</x:f>
      </x:c>
      <x:c r="CA131" s="180">
        <x:v>2</x:v>
      </x:c>
      <x:c r="CB131" s="78">
        <x:f>BY131/CA131</x:f>
      </x:c>
      <x:c r="CC131" s="4"/>
      <x:c r="CD131" s="72" t="s">
        <x:v>114</x:v>
      </x:c>
      <x:c r="CE131" s="5">
        <x:v>0</x:v>
      </x:c>
      <x:c r="CF131" s="1">
        <x:f>BZ131</x:f>
      </x:c>
      <x:c r="CG131" s="81">
        <x:f>SQRT(3)</x:f>
      </x:c>
      <x:c r="CH131" s="78">
        <x:f>CE131/CG131</x:f>
      </x:c>
      <x:c r="CI131" s="4"/>
      <x:c r="CJ131" s="72" t="s">
        <x:v>115</x:v>
      </x:c>
      <x:c r="CK131" s="181">
        <x:v>0.01</x:v>
      </x:c>
      <x:c r="CL131" s="1">
        <x:f>P131</x:f>
      </x:c>
      <x:c r="CM131" s="81">
        <x:f>SQRT(12)</x:f>
      </x:c>
      <x:c r="CN131" s="78">
        <x:f>CK131/CM131</x:f>
      </x:c>
      <x:c r="CO131" s="4"/>
      <x:c r="CP131" s="72" t="s">
        <x:v>116</x:v>
      </x:c>
      <x:c r="CQ131" s="6">
        <x:f>STDEV(X131:AL131)</x:f>
      </x:c>
      <x:c r="CR131" s="1">
        <x:f>P131</x:f>
      </x:c>
      <x:c r="CS131" s="81">
        <x:f>SQRT(3)</x:f>
      </x:c>
      <x:c r="CT131" s="86">
        <x:f>CQ131/CS131</x:f>
      </x:c>
      <x:c r="CV131" s="94">
        <x:f>SQRT(SUMSQ(CT131,CN131,CH131,CB131))</x:f>
      </x:c>
      <x:c r="CW131" s="5">
        <x:f>(CV131^4)/(((CT131^4)/2)+((CN131^4)/200)+((CH131^4)/200)+((CB131^4)/200))</x:f>
      </x:c>
      <x:c r="CX131" s="95">
        <x:f>ROUND(TINV(0.05,CW131),0)</x:f>
      </x:c>
      <x:c r="CY131" s="105">
        <x:f>(CV131*CX131)</x:f>
      </x:c>
      <x:c r="CZ131" s="106">
        <x:f>P131</x:f>
      </x:c>
      <x:c r="DB131" s="177">
        <x:v>0.026</x:v>
      </x:c>
      <x:c r="DC131" s="178">
        <x:f>CZ131</x:f>
      </x:c>
      <x:c r="DD131" s="220">
        <x:f>MAX(DB131,CY131)</x:f>
      </x:c>
      <x:c r="DE131" s="178">
        <x:f>DC131</x:f>
      </x:c>
    </x:row>
    <x:row r="132" spans="1:109" ht="18" customHeight="1" s="8" customFormat="1">
      <x:c r="A132" s="605"/>
      <x:c r="B132" s="601"/>
      <x:c r="C132" s="505"/>
      <x:c r="D132" s="505"/>
      <x:c r="E132" s="505"/>
      <x:c r="F132" s="649" t="s">
        <x:v>141</x:v>
      </x:c>
      <x:c r="G132" s="650"/>
      <x:c r="H132" s="650"/>
      <x:c r="I132" s="650"/>
      <x:c r="J132" s="650"/>
      <x:c r="K132" s="651"/>
      <x:c r="L132" s="610">
        <x:f>400*90%</x:f>
      </x:c>
      <x:c r="M132" s="611"/>
      <x:c r="N132" s="611"/>
      <x:c r="O132" s="611"/>
      <x:c r="P132" s="612" t="s">
        <x:v>140</x:v>
      </x:c>
      <x:c r="Q132" s="612"/>
      <x:c r="R132" s="613"/>
      <x:c r="S132" s="614" t="s">
        <x:v>123</x:v>
      </x:c>
      <x:c r="T132" s="614"/>
      <x:c r="U132" s="614"/>
      <x:c r="V132" s="614"/>
      <x:c r="W132" s="614"/>
      <x:c r="X132" s="621"/>
      <x:c r="Y132" s="622"/>
      <x:c r="Z132" s="622"/>
      <x:c r="AA132" s="622"/>
      <x:c r="AB132" s="623"/>
      <x:c r="AC132" s="621"/>
      <x:c r="AD132" s="622"/>
      <x:c r="AE132" s="622"/>
      <x:c r="AF132" s="622"/>
      <x:c r="AG132" s="623"/>
      <x:c r="AH132" s="621"/>
      <x:c r="AI132" s="622"/>
      <x:c r="AJ132" s="622"/>
      <x:c r="AK132" s="622"/>
      <x:c r="AL132" s="623"/>
      <x:c r="AM132" s="615">
        <x:f>AVERAGE(X132:AL132)</x:f>
      </x:c>
      <x:c r="AN132" s="615"/>
      <x:c r="AO132" s="615"/>
      <x:c r="AP132" s="615"/>
      <x:c r="AQ132" s="615"/>
      <x:c r="AR132" s="615">
        <x:f>AM132-L132</x:f>
      </x:c>
      <x:c r="AS132" s="615"/>
      <x:c r="AT132" s="615"/>
      <x:c r="AU132" s="615"/>
      <x:c r="AV132" s="615"/>
      <x:c r="AW132" s="505"/>
      <x:c r="AX132" s="505"/>
      <x:c r="AY132" s="505"/>
      <x:c r="AZ132" s="603"/>
      <x:c r="BA132" s="605"/>
      <x:c r="BB132" s="616">
        <x:f>(AM132*1%)+(2*CK132)</x:f>
      </x:c>
      <x:c r="BC132" s="616"/>
      <x:c r="BD132" s="616"/>
      <x:c r="BE132" s="616"/>
      <x:c r="BF132" s="616"/>
      <x:c r="BG132" s="615">
        <x:f>L132+BB132</x:f>
      </x:c>
      <x:c r="BH132" s="615"/>
      <x:c r="BI132" s="615"/>
      <x:c r="BJ132" s="615"/>
      <x:c r="BK132" s="615"/>
      <x:c r="BL132" s="615">
        <x:f>L132-BB132</x:f>
      </x:c>
      <x:c r="BM132" s="615"/>
      <x:c r="BN132" s="615"/>
      <x:c r="BO132" s="615"/>
      <x:c r="BP132" s="615"/>
      <x:c r="BQ132" s="617">
        <x:f>IF(AND(AM132&lt;=BG132,AM132&gt;=BL132),"PASS","FAIL")</x:f>
      </x:c>
      <x:c r="BR132" s="617"/>
      <x:c r="BS132" s="617"/>
      <x:c r="BT132" s="617"/>
      <x:c r="BU132" s="617"/>
      <x:c r="BV132" s="605"/>
      <x:c r="BX132" s="72" t="s">
        <x:v>113</x:v>
      </x:c>
      <x:c r="BY132" s="192">
        <x:v>0.72</x:v>
      </x:c>
      <x:c r="BZ132" s="1">
        <x:f>P132</x:f>
      </x:c>
      <x:c r="CA132" s="180">
        <x:v>2</x:v>
      </x:c>
      <x:c r="CB132" s="78">
        <x:f>BY132/CA132</x:f>
      </x:c>
      <x:c r="CC132" s="4"/>
      <x:c r="CD132" s="72" t="s">
        <x:v>114</x:v>
      </x:c>
      <x:c r="CE132" s="5">
        <x:v>0</x:v>
      </x:c>
      <x:c r="CF132" s="1">
        <x:f>BZ132</x:f>
      </x:c>
      <x:c r="CG132" s="81">
        <x:f>SQRT(3)</x:f>
      </x:c>
      <x:c r="CH132" s="78">
        <x:f>CE132/CG132</x:f>
      </x:c>
      <x:c r="CI132" s="4"/>
      <x:c r="CJ132" s="72" t="s">
        <x:v>115</x:v>
      </x:c>
      <x:c r="CK132" s="181">
        <x:v>0.1</x:v>
      </x:c>
      <x:c r="CL132" s="1">
        <x:f>P132</x:f>
      </x:c>
      <x:c r="CM132" s="81">
        <x:f>SQRT(12)</x:f>
      </x:c>
      <x:c r="CN132" s="78">
        <x:f>CK132/CM132</x:f>
      </x:c>
      <x:c r="CO132" s="4"/>
      <x:c r="CP132" s="72" t="s">
        <x:v>116</x:v>
      </x:c>
      <x:c r="CQ132" s="6">
        <x:f>STDEV(X132:AL132)</x:f>
      </x:c>
      <x:c r="CR132" s="1">
        <x:f>P132</x:f>
      </x:c>
      <x:c r="CS132" s="81">
        <x:f>SQRT(3)</x:f>
      </x:c>
      <x:c r="CT132" s="86">
        <x:f>CQ132/CS132</x:f>
      </x:c>
      <x:c r="CV132" s="94">
        <x:f>SQRT(SUMSQ(CT132,CN132,CH132,CB132))</x:f>
      </x:c>
      <x:c r="CW132" s="5">
        <x:f>(CV132^4)/(((CT132^4)/2)+((CN132^4)/200)+((CH132^4)/200)+((CB132^4)/200))</x:f>
      </x:c>
      <x:c r="CX132" s="95">
        <x:f>ROUND(TINV(0.05,CW132),0)</x:f>
      </x:c>
      <x:c r="CY132" s="105">
        <x:f>(CV132*CX132)</x:f>
      </x:c>
      <x:c r="CZ132" s="106">
        <x:f>P132</x:f>
      </x:c>
      <x:c r="DB132" s="177">
        <x:v>0.21</x:v>
      </x:c>
      <x:c r="DC132" s="178">
        <x:f>CZ132</x:f>
      </x:c>
      <x:c r="DD132" s="220">
        <x:f>MAX(DB132,CY132)</x:f>
      </x:c>
      <x:c r="DE132" s="178">
        <x:f>DC132</x:f>
      </x:c>
    </x:row>
    <x:row r="133" spans="1:109" ht="18" customHeight="1" s="8" customFormat="1">
      <x:c r="A133" s="605"/>
      <x:c r="B133" s="601"/>
      <x:c r="C133" s="505"/>
      <x:c r="D133" s="505"/>
      <x:c r="E133" s="505"/>
      <x:c r="F133" s="654"/>
      <x:c r="G133" s="655"/>
      <x:c r="H133" s="655"/>
      <x:c r="I133" s="655"/>
      <x:c r="J133" s="655"/>
      <x:c r="K133" s="656"/>
      <x:c r="L133" s="610">
        <x:f>400*90%</x:f>
      </x:c>
      <x:c r="M133" s="611"/>
      <x:c r="N133" s="611"/>
      <x:c r="O133" s="611"/>
      <x:c r="P133" s="612" t="s">
        <x:v>140</x:v>
      </x:c>
      <x:c r="Q133" s="612"/>
      <x:c r="R133" s="613"/>
      <x:c r="S133" s="614" t="s">
        <x:v>124</x:v>
      </x:c>
      <x:c r="T133" s="614"/>
      <x:c r="U133" s="614"/>
      <x:c r="V133" s="614"/>
      <x:c r="W133" s="614"/>
      <x:c r="X133" s="615"/>
      <x:c r="Y133" s="615"/>
      <x:c r="Z133" s="615"/>
      <x:c r="AA133" s="615"/>
      <x:c r="AB133" s="615"/>
      <x:c r="AC133" s="615"/>
      <x:c r="AD133" s="615"/>
      <x:c r="AE133" s="615"/>
      <x:c r="AF133" s="615"/>
      <x:c r="AG133" s="615"/>
      <x:c r="AH133" s="615"/>
      <x:c r="AI133" s="615"/>
      <x:c r="AJ133" s="615"/>
      <x:c r="AK133" s="615"/>
      <x:c r="AL133" s="615"/>
      <x:c r="AM133" s="615">
        <x:f>AVERAGE(X133:AL133)</x:f>
      </x:c>
      <x:c r="AN133" s="615"/>
      <x:c r="AO133" s="615"/>
      <x:c r="AP133" s="615"/>
      <x:c r="AQ133" s="615"/>
      <x:c r="AR133" s="615">
        <x:f>AM133-L133</x:f>
      </x:c>
      <x:c r="AS133" s="615"/>
      <x:c r="AT133" s="615"/>
      <x:c r="AU133" s="615"/>
      <x:c r="AV133" s="615"/>
      <x:c r="AW133" s="505"/>
      <x:c r="AX133" s="505"/>
      <x:c r="AY133" s="505"/>
      <x:c r="AZ133" s="603"/>
      <x:c r="BA133" s="605"/>
      <x:c r="BB133" s="616">
        <x:f>(AM133*1%)+(2*CK133)</x:f>
      </x:c>
      <x:c r="BC133" s="616"/>
      <x:c r="BD133" s="616"/>
      <x:c r="BE133" s="616"/>
      <x:c r="BF133" s="616"/>
      <x:c r="BG133" s="615">
        <x:f>L133+BB133</x:f>
      </x:c>
      <x:c r="BH133" s="615"/>
      <x:c r="BI133" s="615"/>
      <x:c r="BJ133" s="615"/>
      <x:c r="BK133" s="615"/>
      <x:c r="BL133" s="615">
        <x:f>L133-BB133</x:f>
      </x:c>
      <x:c r="BM133" s="615"/>
      <x:c r="BN133" s="615"/>
      <x:c r="BO133" s="615"/>
      <x:c r="BP133" s="615"/>
      <x:c r="BQ133" s="617">
        <x:f>IF(AND(AM133&lt;=BG133,AM133&gt;=BL133),"PASS","FAIL")</x:f>
      </x:c>
      <x:c r="BR133" s="617"/>
      <x:c r="BS133" s="617"/>
      <x:c r="BT133" s="617"/>
      <x:c r="BU133" s="617"/>
      <x:c r="BV133" s="605"/>
      <x:c r="BX133" s="210" t="s">
        <x:v>113</x:v>
      </x:c>
      <x:c r="BY133" s="192">
        <x:v>0.72</x:v>
      </x:c>
      <x:c r="BZ133" s="1">
        <x:f>P133</x:f>
      </x:c>
      <x:c r="CA133" s="206">
        <x:v>2</x:v>
      </x:c>
      <x:c r="CB133" s="207">
        <x:f>BY133/CA133</x:f>
      </x:c>
      <x:c r="CC133" s="4"/>
      <x:c r="CD133" s="73" t="s">
        <x:v>114</x:v>
      </x:c>
      <x:c r="CE133" s="89">
        <x:v>0</x:v>
      </x:c>
      <x:c r="CF133" s="74">
        <x:f>BZ133</x:f>
      </x:c>
      <x:c r="CG133" s="82">
        <x:f>SQRT(3)</x:f>
      </x:c>
      <x:c r="CH133" s="79">
        <x:f>CE133/CG133</x:f>
      </x:c>
      <x:c r="CI133" s="4"/>
      <x:c r="CJ133" s="73" t="s">
        <x:v>115</x:v>
      </x:c>
      <x:c r="CK133" s="183">
        <x:v>0.1</x:v>
      </x:c>
      <x:c r="CL133" s="74">
        <x:f>P133</x:f>
      </x:c>
      <x:c r="CM133" s="82">
        <x:f>SQRT(12)</x:f>
      </x:c>
      <x:c r="CN133" s="79">
        <x:f>CK133/CM133</x:f>
      </x:c>
      <x:c r="CO133" s="4"/>
      <x:c r="CP133" s="73" t="s">
        <x:v>116</x:v>
      </x:c>
      <x:c r="CQ133" s="84">
        <x:f>STDEV(X133:AL133)</x:f>
      </x:c>
      <x:c r="CR133" s="74">
        <x:f>P133</x:f>
      </x:c>
      <x:c r="CS133" s="82">
        <x:f>SQRT(3)</x:f>
      </x:c>
      <x:c r="CT133" s="87">
        <x:f>CQ133/CS133</x:f>
      </x:c>
      <x:c r="CV133" s="96">
        <x:f>SQRT(SUMSQ(CT133,CN133,CH133,CB133))</x:f>
      </x:c>
      <x:c r="CW133" s="89">
        <x:f>(CV133^4)/(((CT133^4)/2)+((CN133^4)/200)+((CH133^4)/200)+((CB133^4)/200))</x:f>
      </x:c>
      <x:c r="CX133" s="97">
        <x:f>ROUND(TINV(0.05,CW133),0)</x:f>
      </x:c>
      <x:c r="CY133" s="107">
        <x:f>(CV133*CX133)</x:f>
      </x:c>
      <x:c r="CZ133" s="108">
        <x:f>P133</x:f>
      </x:c>
      <x:c r="DB133" s="177">
        <x:v>0.21</x:v>
      </x:c>
      <x:c r="DC133" s="178">
        <x:f>CZ133</x:f>
      </x:c>
      <x:c r="DD133" s="220">
        <x:f>MAX(DB133,CY133)</x:f>
      </x:c>
      <x:c r="DE133" s="178">
        <x:f>DC133</x:f>
      </x:c>
    </x:row>
    <x:row r="134" spans="1:109" ht="18" customHeight="1" s="8" customFormat="1">
      <x:c r="A134" s="605"/>
      <x:c r="B134" s="601"/>
      <x:c r="C134" s="505"/>
      <x:c r="D134" s="505"/>
      <x:c r="E134" s="505"/>
      <x:c r="F134" s="648" t="s">
        <x:v>142</x:v>
      </x:c>
      <x:c r="G134" s="646"/>
      <x:c r="H134" s="646"/>
      <x:c r="I134" s="646"/>
      <x:c r="J134" s="646"/>
      <x:c r="K134" s="647"/>
      <x:c r="L134" s="610">
        <x:f>6*90%</x:f>
      </x:c>
      <x:c r="M134" s="611"/>
      <x:c r="N134" s="611"/>
      <x:c r="O134" s="611"/>
      <x:c r="P134" s="612" t="s">
        <x:v>143</x:v>
      </x:c>
      <x:c r="Q134" s="612"/>
      <x:c r="R134" s="613"/>
      <x:c r="S134" s="614" t="s">
        <x:v>123</x:v>
      </x:c>
      <x:c r="T134" s="614"/>
      <x:c r="U134" s="614"/>
      <x:c r="V134" s="614"/>
      <x:c r="W134" s="614"/>
      <x:c r="X134" s="657"/>
      <x:c r="Y134" s="628"/>
      <x:c r="Z134" s="628"/>
      <x:c r="AA134" s="628"/>
      <x:c r="AB134" s="629"/>
      <x:c r="AC134" s="657"/>
      <x:c r="AD134" s="628"/>
      <x:c r="AE134" s="628"/>
      <x:c r="AF134" s="628"/>
      <x:c r="AG134" s="629"/>
      <x:c r="AH134" s="657"/>
      <x:c r="AI134" s="628"/>
      <x:c r="AJ134" s="628"/>
      <x:c r="AK134" s="628"/>
      <x:c r="AL134" s="629"/>
      <x:c r="AM134" s="630">
        <x:f>AVERAGE(X134:AL134)</x:f>
      </x:c>
      <x:c r="AN134" s="630"/>
      <x:c r="AO134" s="630"/>
      <x:c r="AP134" s="630"/>
      <x:c r="AQ134" s="630"/>
      <x:c r="AR134" s="630">
        <x:f>AM134-L134</x:f>
      </x:c>
      <x:c r="AS134" s="630"/>
      <x:c r="AT134" s="630"/>
      <x:c r="AU134" s="630"/>
      <x:c r="AV134" s="630"/>
      <x:c r="AW134" s="505"/>
      <x:c r="AX134" s="505"/>
      <x:c r="AY134" s="505"/>
      <x:c r="AZ134" s="603"/>
      <x:c r="BA134" s="605"/>
      <x:c r="BB134" s="616">
        <x:f>(AM134*1%)+(2*CK134)</x:f>
      </x:c>
      <x:c r="BC134" s="616"/>
      <x:c r="BD134" s="616"/>
      <x:c r="BE134" s="616"/>
      <x:c r="BF134" s="616"/>
      <x:c r="BG134" s="616">
        <x:f>L134+BB134</x:f>
      </x:c>
      <x:c r="BH134" s="616"/>
      <x:c r="BI134" s="616"/>
      <x:c r="BJ134" s="616"/>
      <x:c r="BK134" s="616"/>
      <x:c r="BL134" s="616">
        <x:f>L134-BB134</x:f>
      </x:c>
      <x:c r="BM134" s="616"/>
      <x:c r="BN134" s="616"/>
      <x:c r="BO134" s="616"/>
      <x:c r="BP134" s="616"/>
      <x:c r="BQ134" s="617">
        <x:f>IF(AND(AM134&lt;=BG134,AM134&gt;=BL134),"PASS","FAIL")</x:f>
      </x:c>
      <x:c r="BR134" s="617"/>
      <x:c r="BS134" s="617"/>
      <x:c r="BT134" s="617"/>
      <x:c r="BU134" s="617"/>
      <x:c r="BV134" s="605"/>
      <x:c r="BX134" s="72" t="s">
        <x:v>113</x:v>
      </x:c>
      <x:c r="BY134" s="226">
        <x:v>0.01</x:v>
      </x:c>
      <x:c r="BZ134" s="76">
        <x:f>P134</x:f>
      </x:c>
      <x:c r="CA134" s="180">
        <x:v>2</x:v>
      </x:c>
      <x:c r="CB134" s="78">
        <x:f>BY134/CA134</x:f>
      </x:c>
      <x:c r="CC134" s="4"/>
      <x:c r="CD134" s="70" t="s">
        <x:v>114</x:v>
      </x:c>
      <x:c r="CE134" s="88">
        <x:v>0</x:v>
      </x:c>
      <x:c r="CF134" s="71">
        <x:f>BZ134</x:f>
      </x:c>
      <x:c r="CG134" s="80">
        <x:f>SQRT(3)</x:f>
      </x:c>
      <x:c r="CH134" s="77">
        <x:f>CE134/CG134</x:f>
      </x:c>
      <x:c r="CI134" s="4"/>
      <x:c r="CJ134" s="70" t="s">
        <x:v>115</x:v>
      </x:c>
      <x:c r="CK134" s="176">
        <x:v>0.001</x:v>
      </x:c>
      <x:c r="CL134" s="71">
        <x:f>P134</x:f>
      </x:c>
      <x:c r="CM134" s="80">
        <x:f>SQRT(12)</x:f>
      </x:c>
      <x:c r="CN134" s="77">
        <x:f>CK134/CM134</x:f>
      </x:c>
      <x:c r="CO134" s="4"/>
      <x:c r="CP134" s="70" t="s">
        <x:v>116</x:v>
      </x:c>
      <x:c r="CQ134" s="83">
        <x:f>STDEV(X134:AL134)</x:f>
      </x:c>
      <x:c r="CR134" s="71">
        <x:f>P134</x:f>
      </x:c>
      <x:c r="CS134" s="80">
        <x:f>SQRT(3)</x:f>
      </x:c>
      <x:c r="CT134" s="85">
        <x:f>CQ134/CS134</x:f>
      </x:c>
      <x:c r="CV134" s="98">
        <x:f>SQRT(SUMSQ(CT134,CN134,CH134,CB134))</x:f>
      </x:c>
      <x:c r="CW134" s="99">
        <x:f>(CV134^4)/(((CT134^4)/2)+((CN134^4)/200)+((CH134^4)/200)+((CB134^4)/200))</x:f>
      </x:c>
      <x:c r="CX134" s="100">
        <x:f>ROUND(TINV(0.05,CW134),0)</x:f>
      </x:c>
      <x:c r="CY134" s="103">
        <x:f>(CV134*CX134)</x:f>
      </x:c>
      <x:c r="CZ134" s="104">
        <x:f>P134</x:f>
      </x:c>
      <x:c r="DB134" s="177">
        <x:v>0.0029</x:v>
      </x:c>
      <x:c r="DC134" s="178">
        <x:f>CZ134</x:f>
      </x:c>
      <x:c r="DD134" s="220">
        <x:f>MAX(DB134,CY134)</x:f>
      </x:c>
      <x:c r="DE134" s="178">
        <x:f>DC134</x:f>
      </x:c>
    </x:row>
    <x:row r="135" spans="1:109" ht="18" customHeight="1" s="8" customFormat="1">
      <x:c r="A135" s="605"/>
      <x:c r="B135" s="601"/>
      <x:c r="C135" s="505"/>
      <x:c r="D135" s="505"/>
      <x:c r="E135" s="505"/>
      <x:c r="F135" s="645"/>
      <x:c r="G135" s="646"/>
      <x:c r="H135" s="646"/>
      <x:c r="I135" s="646"/>
      <x:c r="J135" s="646"/>
      <x:c r="K135" s="647"/>
      <x:c r="L135" s="610">
        <x:f>6*90%</x:f>
      </x:c>
      <x:c r="M135" s="611"/>
      <x:c r="N135" s="611"/>
      <x:c r="O135" s="611"/>
      <x:c r="P135" s="612" t="s">
        <x:v>143</x:v>
      </x:c>
      <x:c r="Q135" s="612"/>
      <x:c r="R135" s="613"/>
      <x:c r="S135" s="614" t="s">
        <x:v>124</x:v>
      </x:c>
      <x:c r="T135" s="614"/>
      <x:c r="U135" s="614"/>
      <x:c r="V135" s="614"/>
      <x:c r="W135" s="614"/>
      <x:c r="X135" s="657"/>
      <x:c r="Y135" s="628"/>
      <x:c r="Z135" s="628"/>
      <x:c r="AA135" s="628"/>
      <x:c r="AB135" s="629"/>
      <x:c r="AC135" s="657"/>
      <x:c r="AD135" s="628"/>
      <x:c r="AE135" s="628"/>
      <x:c r="AF135" s="628"/>
      <x:c r="AG135" s="629"/>
      <x:c r="AH135" s="657"/>
      <x:c r="AI135" s="628"/>
      <x:c r="AJ135" s="628"/>
      <x:c r="AK135" s="628"/>
      <x:c r="AL135" s="629"/>
      <x:c r="AM135" s="630">
        <x:f>AVERAGE(X135:AL135)</x:f>
      </x:c>
      <x:c r="AN135" s="630"/>
      <x:c r="AO135" s="630"/>
      <x:c r="AP135" s="630"/>
      <x:c r="AQ135" s="630"/>
      <x:c r="AR135" s="630">
        <x:f>AM135-L135</x:f>
      </x:c>
      <x:c r="AS135" s="630"/>
      <x:c r="AT135" s="630"/>
      <x:c r="AU135" s="630"/>
      <x:c r="AV135" s="630"/>
      <x:c r="AW135" s="505"/>
      <x:c r="AX135" s="505"/>
      <x:c r="AY135" s="505"/>
      <x:c r="AZ135" s="603"/>
      <x:c r="BA135" s="605"/>
      <x:c r="BB135" s="616">
        <x:f>(AM135*1%)+(2*CK135)</x:f>
      </x:c>
      <x:c r="BC135" s="616"/>
      <x:c r="BD135" s="616"/>
      <x:c r="BE135" s="616"/>
      <x:c r="BF135" s="616"/>
      <x:c r="BG135" s="615">
        <x:f>L135+BB135</x:f>
      </x:c>
      <x:c r="BH135" s="615"/>
      <x:c r="BI135" s="615"/>
      <x:c r="BJ135" s="615"/>
      <x:c r="BK135" s="615"/>
      <x:c r="BL135" s="615">
        <x:f>L135-BB135</x:f>
      </x:c>
      <x:c r="BM135" s="615"/>
      <x:c r="BN135" s="615"/>
      <x:c r="BO135" s="615"/>
      <x:c r="BP135" s="615"/>
      <x:c r="BQ135" s="617">
        <x:f>IF(AND(AM135&lt;=BG135,AM135&gt;=BL135),"PASS","FAIL")</x:f>
      </x:c>
      <x:c r="BR135" s="617"/>
      <x:c r="BS135" s="617"/>
      <x:c r="BT135" s="617"/>
      <x:c r="BU135" s="617"/>
      <x:c r="BV135" s="605"/>
      <x:c r="BX135" s="72" t="s">
        <x:v>113</x:v>
      </x:c>
      <x:c r="BY135" s="224">
        <x:v>0.011</x:v>
      </x:c>
      <x:c r="BZ135" s="1">
        <x:f>P135</x:f>
      </x:c>
      <x:c r="CA135" s="180">
        <x:v>2</x:v>
      </x:c>
      <x:c r="CB135" s="78">
        <x:f>BY135/CA135</x:f>
      </x:c>
      <x:c r="CC135" s="4"/>
      <x:c r="CD135" s="72" t="s">
        <x:v>114</x:v>
      </x:c>
      <x:c r="CE135" s="5">
        <x:v>0</x:v>
      </x:c>
      <x:c r="CF135" s="1">
        <x:f>BZ135</x:f>
      </x:c>
      <x:c r="CG135" s="81">
        <x:f>SQRT(3)</x:f>
      </x:c>
      <x:c r="CH135" s="78">
        <x:f>CE135/CG135</x:f>
      </x:c>
      <x:c r="CI135" s="4"/>
      <x:c r="CJ135" s="72" t="s">
        <x:v>115</x:v>
      </x:c>
      <x:c r="CK135" s="181">
        <x:v>0.001</x:v>
      </x:c>
      <x:c r="CL135" s="1">
        <x:f>P135</x:f>
      </x:c>
      <x:c r="CM135" s="81">
        <x:f>SQRT(12)</x:f>
      </x:c>
      <x:c r="CN135" s="78">
        <x:f>CK135/CM135</x:f>
      </x:c>
      <x:c r="CO135" s="4"/>
      <x:c r="CP135" s="72" t="s">
        <x:v>116</x:v>
      </x:c>
      <x:c r="CQ135" s="6">
        <x:f>STDEV(X135:AL135)</x:f>
      </x:c>
      <x:c r="CR135" s="1">
        <x:f>P135</x:f>
      </x:c>
      <x:c r="CS135" s="81">
        <x:f>SQRT(3)</x:f>
      </x:c>
      <x:c r="CT135" s="86">
        <x:f>CQ135/CS135</x:f>
      </x:c>
      <x:c r="CV135" s="94">
        <x:f>SQRT(SUMSQ(CT135,CN135,CH135,CB135))</x:f>
      </x:c>
      <x:c r="CW135" s="5">
        <x:f>(CV135^4)/(((CT135^4)/2)+((CN135^4)/200)+((CH135^4)/200)+((CB135^4)/200))</x:f>
      </x:c>
      <x:c r="CX135" s="95">
        <x:f>ROUND(TINV(0.05,CW135),0)</x:f>
      </x:c>
      <x:c r="CY135" s="105">
        <x:f>(CV135*CX135)</x:f>
      </x:c>
      <x:c r="CZ135" s="106">
        <x:f>P135</x:f>
      </x:c>
      <x:c r="DB135" s="177">
        <x:v>0.0039</x:v>
      </x:c>
      <x:c r="DC135" s="178">
        <x:f>CZ135</x:f>
      </x:c>
      <x:c r="DD135" s="220">
        <x:f>MAX(DB135,CY135)</x:f>
      </x:c>
      <x:c r="DE135" s="178">
        <x:f>DC135</x:f>
      </x:c>
    </x:row>
    <x:row r="136" spans="1:109" ht="18" customHeight="1" s="8" customFormat="1">
      <x:c r="A136" s="605"/>
      <x:c r="B136" s="601"/>
      <x:c r="C136" s="505"/>
      <x:c r="D136" s="505"/>
      <x:c r="E136" s="505"/>
      <x:c r="F136" s="649" t="s">
        <x:v>144</x:v>
      </x:c>
      <x:c r="G136" s="650"/>
      <x:c r="H136" s="650"/>
      <x:c r="I136" s="650"/>
      <x:c r="J136" s="650"/>
      <x:c r="K136" s="651"/>
      <x:c r="L136" s="610">
        <x:f>10*90%</x:f>
      </x:c>
      <x:c r="M136" s="611"/>
      <x:c r="N136" s="611"/>
      <x:c r="O136" s="611"/>
      <x:c r="P136" s="612" t="s">
        <x:v>143</x:v>
      </x:c>
      <x:c r="Q136" s="612"/>
      <x:c r="R136" s="613"/>
      <x:c r="S136" s="614" t="s">
        <x:v>123</x:v>
      </x:c>
      <x:c r="T136" s="614"/>
      <x:c r="U136" s="614"/>
      <x:c r="V136" s="614"/>
      <x:c r="W136" s="614"/>
      <x:c r="X136" s="658"/>
      <x:c r="Y136" s="643"/>
      <x:c r="Z136" s="643"/>
      <x:c r="AA136" s="643"/>
      <x:c r="AB136" s="644"/>
      <x:c r="AC136" s="658"/>
      <x:c r="AD136" s="643"/>
      <x:c r="AE136" s="643"/>
      <x:c r="AF136" s="643"/>
      <x:c r="AG136" s="644"/>
      <x:c r="AH136" s="658"/>
      <x:c r="AI136" s="643"/>
      <x:c r="AJ136" s="643"/>
      <x:c r="AK136" s="643"/>
      <x:c r="AL136" s="644"/>
      <x:c r="AM136" s="616">
        <x:f>AVERAGE(X136:AL136)</x:f>
      </x:c>
      <x:c r="AN136" s="616"/>
      <x:c r="AO136" s="616"/>
      <x:c r="AP136" s="616"/>
      <x:c r="AQ136" s="616"/>
      <x:c r="AR136" s="616">
        <x:f>AM136-L136</x:f>
      </x:c>
      <x:c r="AS136" s="616"/>
      <x:c r="AT136" s="616"/>
      <x:c r="AU136" s="616"/>
      <x:c r="AV136" s="616"/>
      <x:c r="AW136" s="505"/>
      <x:c r="AX136" s="505"/>
      <x:c r="AY136" s="505"/>
      <x:c r="AZ136" s="603"/>
      <x:c r="BA136" s="605"/>
      <x:c r="BB136" s="616">
        <x:f>(AM136*1%)+(2*CK136)</x:f>
      </x:c>
      <x:c r="BC136" s="616"/>
      <x:c r="BD136" s="616"/>
      <x:c r="BE136" s="616"/>
      <x:c r="BF136" s="616"/>
      <x:c r="BG136" s="615">
        <x:f>L136+BB136</x:f>
      </x:c>
      <x:c r="BH136" s="615"/>
      <x:c r="BI136" s="615"/>
      <x:c r="BJ136" s="615"/>
      <x:c r="BK136" s="615"/>
      <x:c r="BL136" s="615">
        <x:f>L136-BB136</x:f>
      </x:c>
      <x:c r="BM136" s="615"/>
      <x:c r="BN136" s="615"/>
      <x:c r="BO136" s="615"/>
      <x:c r="BP136" s="615"/>
      <x:c r="BQ136" s="617">
        <x:f>IF(AND(AM136&lt;=BG136,AM136&gt;=BL136),"PASS","FAIL")</x:f>
      </x:c>
      <x:c r="BR136" s="617"/>
      <x:c r="BS136" s="617"/>
      <x:c r="BT136" s="617"/>
      <x:c r="BU136" s="617"/>
      <x:c r="BV136" s="605"/>
      <x:c r="BX136" s="72" t="s">
        <x:v>113</x:v>
      </x:c>
      <x:c r="BY136" s="226">
        <x:v>0.01</x:v>
      </x:c>
      <x:c r="BZ136" s="1">
        <x:f>P136</x:f>
      </x:c>
      <x:c r="CA136" s="180">
        <x:v>2</x:v>
      </x:c>
      <x:c r="CB136" s="78">
        <x:f>BY136/CA136</x:f>
      </x:c>
      <x:c r="CC136" s="4"/>
      <x:c r="CD136" s="72" t="s">
        <x:v>114</x:v>
      </x:c>
      <x:c r="CE136" s="5">
        <x:v>0</x:v>
      </x:c>
      <x:c r="CF136" s="1">
        <x:f>BZ136</x:f>
      </x:c>
      <x:c r="CG136" s="81">
        <x:f>SQRT(3)</x:f>
      </x:c>
      <x:c r="CH136" s="78">
        <x:f>CE136/CG136</x:f>
      </x:c>
      <x:c r="CI136" s="4"/>
      <x:c r="CJ136" s="72" t="s">
        <x:v>115</x:v>
      </x:c>
      <x:c r="CK136" s="181">
        <x:v>0.01</x:v>
      </x:c>
      <x:c r="CL136" s="1">
        <x:f>P136</x:f>
      </x:c>
      <x:c r="CM136" s="81">
        <x:f>SQRT(12)</x:f>
      </x:c>
      <x:c r="CN136" s="78">
        <x:f>CK136/CM136</x:f>
      </x:c>
      <x:c r="CO136" s="4"/>
      <x:c r="CP136" s="72" t="s">
        <x:v>116</x:v>
      </x:c>
      <x:c r="CQ136" s="6">
        <x:f>STDEV(X136:AL136)</x:f>
      </x:c>
      <x:c r="CR136" s="1">
        <x:f>P136</x:f>
      </x:c>
      <x:c r="CS136" s="81">
        <x:f>SQRT(3)</x:f>
      </x:c>
      <x:c r="CT136" s="86">
        <x:f>CQ136/CS136</x:f>
      </x:c>
      <x:c r="CV136" s="94">
        <x:f>SQRT(SUMSQ(CT136,CN136,CH136,CB136))</x:f>
      </x:c>
      <x:c r="CW136" s="5">
        <x:f>(CV136^4)/(((CT136^4)/2)+((CN136^4)/200)+((CH136^4)/200)+((CB136^4)/200))</x:f>
      </x:c>
      <x:c r="CX136" s="95">
        <x:f>ROUND(TINV(0.05,CW136),0)</x:f>
      </x:c>
      <x:c r="CY136" s="105">
        <x:f>(CV136*CX136)</x:f>
      </x:c>
      <x:c r="CZ136" s="106">
        <x:f>P136</x:f>
      </x:c>
      <x:c r="DB136" s="177">
        <x:v>0.0029</x:v>
      </x:c>
      <x:c r="DC136" s="178">
        <x:f>CZ136</x:f>
      </x:c>
      <x:c r="DD136" s="220">
        <x:f>MAX(DB136,CY136)</x:f>
      </x:c>
      <x:c r="DE136" s="178">
        <x:f>DC136</x:f>
      </x:c>
    </x:row>
    <x:row r="137" spans="1:109" ht="18" customHeight="1" s="8" customFormat="1">
      <x:c r="A137" s="605"/>
      <x:c r="B137" s="601"/>
      <x:c r="C137" s="505"/>
      <x:c r="D137" s="505"/>
      <x:c r="E137" s="505"/>
      <x:c r="F137" s="654"/>
      <x:c r="G137" s="655"/>
      <x:c r="H137" s="655"/>
      <x:c r="I137" s="655"/>
      <x:c r="J137" s="655"/>
      <x:c r="K137" s="656"/>
      <x:c r="L137" s="610">
        <x:f>10*90%</x:f>
      </x:c>
      <x:c r="M137" s="611"/>
      <x:c r="N137" s="611"/>
      <x:c r="O137" s="611"/>
      <x:c r="P137" s="612" t="s">
        <x:v>143</x:v>
      </x:c>
      <x:c r="Q137" s="612"/>
      <x:c r="R137" s="613"/>
      <x:c r="S137" s="614" t="s">
        <x:v>124</x:v>
      </x:c>
      <x:c r="T137" s="614"/>
      <x:c r="U137" s="614"/>
      <x:c r="V137" s="614"/>
      <x:c r="W137" s="614"/>
      <x:c r="X137" s="658"/>
      <x:c r="Y137" s="643"/>
      <x:c r="Z137" s="643"/>
      <x:c r="AA137" s="643"/>
      <x:c r="AB137" s="644"/>
      <x:c r="AC137" s="658"/>
      <x:c r="AD137" s="643"/>
      <x:c r="AE137" s="643"/>
      <x:c r="AF137" s="643"/>
      <x:c r="AG137" s="644"/>
      <x:c r="AH137" s="658"/>
      <x:c r="AI137" s="643"/>
      <x:c r="AJ137" s="643"/>
      <x:c r="AK137" s="643"/>
      <x:c r="AL137" s="644"/>
      <x:c r="AM137" s="616">
        <x:f>AVERAGE(X137:AL137)</x:f>
      </x:c>
      <x:c r="AN137" s="616"/>
      <x:c r="AO137" s="616"/>
      <x:c r="AP137" s="616"/>
      <x:c r="AQ137" s="616"/>
      <x:c r="AR137" s="616">
        <x:f>AM137-L137</x:f>
      </x:c>
      <x:c r="AS137" s="616"/>
      <x:c r="AT137" s="616"/>
      <x:c r="AU137" s="616"/>
      <x:c r="AV137" s="616"/>
      <x:c r="AW137" s="505"/>
      <x:c r="AX137" s="505"/>
      <x:c r="AY137" s="505"/>
      <x:c r="AZ137" s="603"/>
      <x:c r="BA137" s="605"/>
      <x:c r="BB137" s="616">
        <x:f>(AM137*1%)+(2*CK137)</x:f>
      </x:c>
      <x:c r="BC137" s="616"/>
      <x:c r="BD137" s="616"/>
      <x:c r="BE137" s="616"/>
      <x:c r="BF137" s="616"/>
      <x:c r="BG137" s="615">
        <x:f>L137+BB137</x:f>
      </x:c>
      <x:c r="BH137" s="615"/>
      <x:c r="BI137" s="615"/>
      <x:c r="BJ137" s="615"/>
      <x:c r="BK137" s="615"/>
      <x:c r="BL137" s="615">
        <x:f>L137-BB137</x:f>
      </x:c>
      <x:c r="BM137" s="615"/>
      <x:c r="BN137" s="615"/>
      <x:c r="BO137" s="615"/>
      <x:c r="BP137" s="615"/>
      <x:c r="BQ137" s="617">
        <x:f>IF(AND(AM137&lt;=BG137,AM137&gt;=BL137),"PASS","FAIL")</x:f>
      </x:c>
      <x:c r="BR137" s="617"/>
      <x:c r="BS137" s="617"/>
      <x:c r="BT137" s="617"/>
      <x:c r="BU137" s="617"/>
      <x:c r="BV137" s="605"/>
      <x:c r="BX137" s="73" t="s">
        <x:v>113</x:v>
      </x:c>
      <x:c r="BY137" s="224">
        <x:v>0.011</x:v>
      </x:c>
      <x:c r="BZ137" s="74">
        <x:f>P137</x:f>
      </x:c>
      <x:c r="CA137" s="182">
        <x:v>2</x:v>
      </x:c>
      <x:c r="CB137" s="79">
        <x:f>BY137/CA137</x:f>
      </x:c>
      <x:c r="CC137" s="4"/>
      <x:c r="CD137" s="73" t="s">
        <x:v>114</x:v>
      </x:c>
      <x:c r="CE137" s="89">
        <x:v>0</x:v>
      </x:c>
      <x:c r="CF137" s="74">
        <x:f>BZ137</x:f>
      </x:c>
      <x:c r="CG137" s="82">
        <x:f>SQRT(3)</x:f>
      </x:c>
      <x:c r="CH137" s="79">
        <x:f>CE137/CG137</x:f>
      </x:c>
      <x:c r="CI137" s="4"/>
      <x:c r="CJ137" s="73" t="s">
        <x:v>115</x:v>
      </x:c>
      <x:c r="CK137" s="183">
        <x:v>0.01</x:v>
      </x:c>
      <x:c r="CL137" s="74">
        <x:f>P137</x:f>
      </x:c>
      <x:c r="CM137" s="82">
        <x:f>SQRT(12)</x:f>
      </x:c>
      <x:c r="CN137" s="79">
        <x:f>CK137/CM137</x:f>
      </x:c>
      <x:c r="CO137" s="4"/>
      <x:c r="CP137" s="73" t="s">
        <x:v>116</x:v>
      </x:c>
      <x:c r="CQ137" s="84">
        <x:f>STDEV(X137:AL137)</x:f>
      </x:c>
      <x:c r="CR137" s="74">
        <x:f>P137</x:f>
      </x:c>
      <x:c r="CS137" s="82">
        <x:f>SQRT(3)</x:f>
      </x:c>
      <x:c r="CT137" s="87">
        <x:f>CQ137/CS137</x:f>
      </x:c>
      <x:c r="CV137" s="96">
        <x:f>SQRT(SUMSQ(CT137,CN137,CH137,CB137))</x:f>
      </x:c>
      <x:c r="CW137" s="89">
        <x:f>(CV137^4)/(((CT137^4)/2)+((CN137^4)/200)+((CH137^4)/200)+((CB137^4)/200))</x:f>
      </x:c>
      <x:c r="CX137" s="97">
        <x:f>ROUND(TINV(0.05,CW137),0)</x:f>
      </x:c>
      <x:c r="CY137" s="107">
        <x:f>(CV137*CX137)</x:f>
      </x:c>
      <x:c r="CZ137" s="108">
        <x:f>P137</x:f>
      </x:c>
      <x:c r="DB137" s="177">
        <x:v>0.0039</x:v>
      </x:c>
      <x:c r="DC137" s="178">
        <x:f>CZ137</x:f>
      </x:c>
      <x:c r="DD137" s="220">
        <x:f>MAX(DB137,CY137)</x:f>
      </x:c>
      <x:c r="DE137" s="178">
        <x:f>DC137</x:f>
      </x:c>
    </x:row>
    <x:row r="138" spans="1:109" ht="12" customHeight="1" s="143" customFormat="1">
      <x:c r="A138" s="502"/>
      <x:c r="B138" s="597"/>
      <x:c r="C138" s="598"/>
      <x:c r="D138" s="598"/>
      <x:c r="E138" s="598"/>
      <x:c r="F138" s="598"/>
      <x:c r="G138" s="598"/>
      <x:c r="H138" s="598"/>
      <x:c r="I138" s="598"/>
      <x:c r="J138" s="598"/>
      <x:c r="K138" s="598"/>
      <x:c r="L138" s="598"/>
      <x:c r="M138" s="598"/>
      <x:c r="N138" s="598"/>
      <x:c r="O138" s="598"/>
      <x:c r="P138" s="598"/>
      <x:c r="Q138" s="598"/>
      <x:c r="R138" s="598"/>
      <x:c r="S138" s="598"/>
      <x:c r="T138" s="598"/>
      <x:c r="U138" s="598"/>
      <x:c r="V138" s="598"/>
      <x:c r="W138" s="598"/>
      <x:c r="X138" s="598"/>
      <x:c r="Y138" s="598"/>
      <x:c r="Z138" s="598"/>
      <x:c r="AA138" s="598"/>
      <x:c r="AB138" s="598"/>
      <x:c r="AC138" s="598"/>
      <x:c r="AD138" s="598"/>
      <x:c r="AE138" s="598"/>
      <x:c r="AF138" s="598"/>
      <x:c r="AG138" s="598"/>
      <x:c r="AH138" s="598"/>
      <x:c r="AI138" s="598"/>
      <x:c r="AJ138" s="598"/>
      <x:c r="AK138" s="598"/>
      <x:c r="AL138" s="598"/>
      <x:c r="AM138" s="598"/>
      <x:c r="AN138" s="598"/>
      <x:c r="AO138" s="598"/>
      <x:c r="AP138" s="598"/>
      <x:c r="AQ138" s="598"/>
      <x:c r="AR138" s="598"/>
      <x:c r="AS138" s="598"/>
      <x:c r="AT138" s="598"/>
      <x:c r="AU138" s="598"/>
      <x:c r="AV138" s="598"/>
      <x:c r="AW138" s="598"/>
      <x:c r="AX138" s="598"/>
      <x:c r="AY138" s="598"/>
      <x:c r="AZ138" s="599"/>
      <x:c r="BA138" s="502"/>
      <x:c r="BB138" s="502"/>
      <x:c r="BC138" s="502"/>
      <x:c r="BD138" s="502"/>
      <x:c r="BE138" s="502"/>
      <x:c r="BF138" s="502"/>
      <x:c r="BG138" s="502"/>
      <x:c r="BH138" s="502"/>
      <x:c r="BI138" s="502"/>
      <x:c r="BJ138" s="502"/>
      <x:c r="BK138" s="502"/>
      <x:c r="BL138" s="502"/>
      <x:c r="BM138" s="502"/>
      <x:c r="BN138" s="502"/>
      <x:c r="BO138" s="502"/>
      <x:c r="BP138" s="502"/>
      <x:c r="BQ138" s="502"/>
      <x:c r="BR138" s="502"/>
      <x:c r="BS138" s="502"/>
      <x:c r="BT138" s="502"/>
      <x:c r="BU138" s="502"/>
      <x:c r="BV138" s="502"/>
      <x:c r="BY138" s="217"/>
    </x:row>
    <x:row r="139" spans="1:109" ht="13.5" customHeight="1" s="143" customFormat="1">
      <x:c r="A139" s="502"/>
      <x:c r="B139" s="659" t="s">
        <x:v>146</x:v>
      </x:c>
      <x:c r="C139" s="562"/>
      <x:c r="D139" s="562"/>
      <x:c r="E139" s="562"/>
      <x:c r="F139" s="562"/>
      <x:c r="G139" s="562"/>
      <x:c r="H139" s="562"/>
      <x:c r="I139" s="562"/>
      <x:c r="J139" s="660"/>
      <x:c r="K139" s="660"/>
      <x:c r="L139" s="660"/>
      <x:c r="M139" s="660"/>
      <x:c r="N139" s="660"/>
      <x:c r="O139" s="660"/>
      <x:c r="P139" s="660"/>
      <x:c r="Q139" s="660"/>
      <x:c r="R139" s="660"/>
      <x:c r="S139" s="660"/>
      <x:c r="T139" s="660"/>
      <x:c r="U139" s="660"/>
      <x:c r="V139" s="660"/>
      <x:c r="W139" s="660"/>
      <x:c r="X139" s="660"/>
      <x:c r="Y139" s="562"/>
      <x:c r="Z139" s="562"/>
      <x:c r="AA139" s="562"/>
      <x:c r="AB139" s="660"/>
      <x:c r="AC139" s="660"/>
      <x:c r="AD139" s="660"/>
      <x:c r="AE139" s="660"/>
      <x:c r="AF139" s="660"/>
      <x:c r="AG139" s="660"/>
      <x:c r="AH139" s="660"/>
      <x:c r="AI139" s="660"/>
      <x:c r="AJ139" s="660"/>
      <x:c r="AK139" s="660"/>
      <x:c r="AL139" s="660"/>
      <x:c r="AM139" s="660"/>
      <x:c r="AN139" s="660"/>
      <x:c r="AO139" s="660"/>
      <x:c r="AP139" s="660"/>
      <x:c r="AQ139" s="660"/>
      <x:c r="AR139" s="660"/>
      <x:c r="AS139" s="660"/>
      <x:c r="AT139" s="660"/>
      <x:c r="AU139" s="660"/>
      <x:c r="AV139" s="660"/>
      <x:c r="AW139" s="562"/>
      <x:c r="AX139" s="562"/>
      <x:c r="AY139" s="562"/>
      <x:c r="AZ139" s="566"/>
      <x:c r="BA139" s="502"/>
      <x:c r="BB139" s="502"/>
      <x:c r="BC139" s="502"/>
      <x:c r="BD139" s="502"/>
      <x:c r="BE139" s="502"/>
      <x:c r="BF139" s="502"/>
      <x:c r="BG139" s="502"/>
      <x:c r="BH139" s="502"/>
      <x:c r="BI139" s="502"/>
      <x:c r="BJ139" s="502"/>
      <x:c r="BK139" s="502"/>
      <x:c r="BL139" s="502"/>
      <x:c r="BM139" s="502"/>
      <x:c r="BN139" s="502"/>
      <x:c r="BO139" s="502"/>
      <x:c r="BP139" s="502"/>
      <x:c r="BQ139" s="502"/>
      <x:c r="BR139" s="502"/>
      <x:c r="BS139" s="502"/>
      <x:c r="BT139" s="502"/>
      <x:c r="BU139" s="502"/>
      <x:c r="BV139" s="502"/>
    </x:row>
    <x:row r="140" spans="1:109" ht="13.5" customHeight="1" s="143" customFormat="1">
      <x:c r="A140" s="502"/>
      <x:c r="B140" s="661" t="s">
        <x:v>147</x:v>
      </x:c>
      <x:c r="C140" s="662"/>
      <x:c r="D140" s="662"/>
      <x:c r="E140" s="662"/>
      <x:c r="F140" s="662"/>
      <x:c r="G140" s="662"/>
      <x:c r="H140" s="662"/>
      <x:c r="I140" s="662"/>
      <x:c r="J140" s="662"/>
      <x:c r="K140" s="662"/>
      <x:c r="L140" s="662"/>
      <x:c r="M140" s="662"/>
      <x:c r="N140" s="662"/>
      <x:c r="O140" s="662"/>
      <x:c r="P140" s="662"/>
      <x:c r="Q140" s="662"/>
      <x:c r="R140" s="662"/>
      <x:c r="S140" s="662"/>
      <x:c r="T140" s="663"/>
      <x:c r="U140" s="638"/>
      <x:c r="V140" s="638"/>
      <x:c r="W140" s="638"/>
      <x:c r="X140" s="638"/>
      <x:c r="Y140" s="638"/>
      <x:c r="Z140" s="638"/>
      <x:c r="AA140" s="638"/>
      <x:c r="AB140" s="638"/>
      <x:c r="AC140" s="638"/>
      <x:c r="AD140" s="638"/>
      <x:c r="AE140" s="638"/>
      <x:c r="AF140" s="638"/>
      <x:c r="AG140" s="638"/>
      <x:c r="AH140" s="638"/>
      <x:c r="AI140" s="638"/>
      <x:c r="AJ140" s="664"/>
      <x:c r="AK140" s="665">
        <x:f>AL11</x:f>
      </x:c>
      <x:c r="AL140" s="666"/>
      <x:c r="AM140" s="666"/>
      <x:c r="AN140" s="666"/>
      <x:c r="AO140" s="666"/>
      <x:c r="AP140" s="666"/>
      <x:c r="AQ140" s="666"/>
      <x:c r="AR140" s="666"/>
      <x:c r="AS140" s="666"/>
      <x:c r="AT140" s="666"/>
      <x:c r="AU140" s="666"/>
      <x:c r="AV140" s="666"/>
      <x:c r="AW140" s="666"/>
      <x:c r="AX140" s="666"/>
      <x:c r="AY140" s="666"/>
      <x:c r="AZ140" s="667"/>
      <x:c r="BA140" s="502"/>
      <x:c r="BB140" s="502"/>
      <x:c r="BC140" s="502"/>
      <x:c r="BD140" s="502"/>
      <x:c r="BE140" s="502"/>
      <x:c r="BF140" s="502"/>
      <x:c r="BG140" s="502"/>
      <x:c r="BH140" s="502"/>
      <x:c r="BI140" s="502"/>
      <x:c r="BJ140" s="502"/>
      <x:c r="BK140" s="502"/>
      <x:c r="BL140" s="502"/>
      <x:c r="BM140" s="502"/>
      <x:c r="BN140" s="502"/>
      <x:c r="BO140" s="502"/>
      <x:c r="BP140" s="502"/>
      <x:c r="BQ140" s="502"/>
      <x:c r="BR140" s="502"/>
      <x:c r="BS140" s="502"/>
      <x:c r="BT140" s="502"/>
      <x:c r="BU140" s="502"/>
      <x:c r="BV140" s="502"/>
    </x:row>
    <x:row r="141" spans="1:109" ht="13.5" customHeight="1" s="143" customFormat="1">
      <x:c r="A141" s="502"/>
      <x:c r="B141" s="668" t="s">
        <x:v>148</x:v>
      </x:c>
      <x:c r="C141" s="669"/>
      <x:c r="D141" s="669"/>
      <x:c r="E141" s="669"/>
      <x:c r="F141" s="669"/>
      <x:c r="G141" s="669"/>
      <x:c r="H141" s="669"/>
      <x:c r="I141" s="669"/>
      <x:c r="J141" s="669"/>
      <x:c r="K141" s="669"/>
      <x:c r="L141" s="669"/>
      <x:c r="M141" s="669"/>
      <x:c r="N141" s="669"/>
      <x:c r="O141" s="669"/>
      <x:c r="P141" s="669"/>
      <x:c r="Q141" s="669"/>
      <x:c r="R141" s="669"/>
      <x:c r="S141" s="669"/>
      <x:c r="T141" s="670"/>
      <x:c r="U141" s="669" t="s">
        <x:v>149</x:v>
      </x:c>
      <x:c r="V141" s="669"/>
      <x:c r="W141" s="669"/>
      <x:c r="X141" s="669"/>
      <x:c r="Y141" s="669"/>
      <x:c r="Z141" s="669"/>
      <x:c r="AA141" s="669"/>
      <x:c r="AB141" s="669"/>
      <x:c r="AC141" s="669"/>
      <x:c r="AD141" s="669"/>
      <x:c r="AE141" s="669"/>
      <x:c r="AF141" s="669"/>
      <x:c r="AG141" s="669"/>
      <x:c r="AH141" s="669"/>
      <x:c r="AI141" s="669"/>
      <x:c r="AJ141" s="671"/>
      <x:c r="AK141" s="672" t="s">
        <x:v>150</x:v>
      </x:c>
      <x:c r="AL141" s="669"/>
      <x:c r="AM141" s="669"/>
      <x:c r="AN141" s="669"/>
      <x:c r="AO141" s="669"/>
      <x:c r="AP141" s="669"/>
      <x:c r="AQ141" s="669"/>
      <x:c r="AR141" s="669"/>
      <x:c r="AS141" s="669"/>
      <x:c r="AT141" s="669"/>
      <x:c r="AU141" s="669"/>
      <x:c r="AV141" s="669"/>
      <x:c r="AW141" s="669"/>
      <x:c r="AX141" s="669"/>
      <x:c r="AY141" s="669"/>
      <x:c r="AZ141" s="673"/>
      <x:c r="BA141" s="502"/>
      <x:c r="BB141" s="502"/>
      <x:c r="BC141" s="502"/>
      <x:c r="BD141" s="502"/>
      <x:c r="BE141" s="502"/>
      <x:c r="BF141" s="502"/>
      <x:c r="BG141" s="502"/>
      <x:c r="BH141" s="502"/>
      <x:c r="BI141" s="502"/>
      <x:c r="BJ141" s="502"/>
      <x:c r="BK141" s="502"/>
      <x:c r="BL141" s="502"/>
      <x:c r="BM141" s="502"/>
      <x:c r="BN141" s="502"/>
      <x:c r="BO141" s="502"/>
      <x:c r="BP141" s="502"/>
      <x:c r="BQ141" s="502"/>
      <x:c r="BR141" s="502"/>
      <x:c r="BS141" s="502"/>
      <x:c r="BT141" s="502"/>
      <x:c r="BU141" s="502"/>
      <x:c r="BV141" s="502"/>
    </x:row>
    <x:row r="142" spans="1:109" ht="13.5" customHeight="1" s="143" customFormat="1">
      <x:c r="A142" s="502"/>
      <x:c r="B142" s="674" t="s">
        <x:v>151</x:v>
      </x:c>
      <x:c r="C142" s="638"/>
      <x:c r="D142" s="638"/>
      <x:c r="E142" s="638"/>
      <x:c r="F142" s="638"/>
      <x:c r="G142" s="638"/>
      <x:c r="H142" s="638"/>
      <x:c r="I142" s="638"/>
      <x:c r="J142" s="675"/>
      <x:c r="K142" s="675"/>
      <x:c r="L142" s="675"/>
      <x:c r="M142" s="675"/>
      <x:c r="N142" s="675"/>
      <x:c r="O142" s="675"/>
      <x:c r="P142" s="675"/>
      <x:c r="Q142" s="675"/>
      <x:c r="R142" s="675"/>
      <x:c r="S142" s="675"/>
      <x:c r="T142" s="675"/>
      <x:c r="U142" s="675"/>
      <x:c r="V142" s="675"/>
      <x:c r="W142" s="675"/>
      <x:c r="X142" s="675"/>
      <x:c r="Y142" s="675"/>
      <x:c r="Z142" s="675"/>
      <x:c r="AA142" s="675"/>
      <x:c r="AB142" s="675"/>
      <x:c r="AC142" s="675"/>
      <x:c r="AD142" s="675"/>
      <x:c r="AE142" s="675"/>
      <x:c r="AF142" s="675"/>
      <x:c r="AG142" s="675"/>
      <x:c r="AH142" s="638"/>
      <x:c r="AI142" s="638"/>
      <x:c r="AJ142" s="638"/>
      <x:c r="AK142" s="675"/>
      <x:c r="AL142" s="675"/>
      <x:c r="AM142" s="675"/>
      <x:c r="AN142" s="675"/>
      <x:c r="AO142" s="675"/>
      <x:c r="AP142" s="675"/>
      <x:c r="AQ142" s="675"/>
      <x:c r="AR142" s="675"/>
      <x:c r="AS142" s="675"/>
      <x:c r="AT142" s="675"/>
      <x:c r="AU142" s="675"/>
      <x:c r="AV142" s="675"/>
      <x:c r="AW142" s="638"/>
      <x:c r="AX142" s="638"/>
      <x:c r="AY142" s="638"/>
      <x:c r="AZ142" s="676"/>
      <x:c r="BA142" s="502"/>
      <x:c r="BB142" s="502"/>
      <x:c r="BC142" s="502"/>
      <x:c r="BD142" s="502"/>
      <x:c r="BE142" s="502"/>
      <x:c r="BF142" s="502"/>
      <x:c r="BG142" s="502"/>
      <x:c r="BH142" s="502"/>
      <x:c r="BI142" s="502"/>
      <x:c r="BJ142" s="502"/>
      <x:c r="BK142" s="502"/>
      <x:c r="BL142" s="502"/>
      <x:c r="BM142" s="502"/>
      <x:c r="BN142" s="502"/>
      <x:c r="BO142" s="502"/>
      <x:c r="BP142" s="502"/>
      <x:c r="BQ142" s="502"/>
      <x:c r="BR142" s="502"/>
      <x:c r="BS142" s="502"/>
      <x:c r="BT142" s="502"/>
      <x:c r="BU142" s="502"/>
      <x:c r="BV142" s="502"/>
    </x:row>
    <x:row r="143" spans="1:109" ht="13.5" customHeight="1" s="143" customFormat="1">
      <x:c r="A143" s="502"/>
      <x:c r="B143" s="677" t="s">
        <x:v>152</x:v>
      </x:c>
      <x:c r="C143" s="638"/>
      <x:c r="D143" s="638"/>
      <x:c r="E143" s="638"/>
      <x:c r="F143" s="638"/>
      <x:c r="G143" s="638"/>
      <x:c r="H143" s="638"/>
      <x:c r="I143" s="638"/>
      <x:c r="J143" s="638"/>
      <x:c r="K143" s="638"/>
      <x:c r="L143" s="638"/>
      <x:c r="M143" s="638"/>
      <x:c r="N143" s="638"/>
      <x:c r="O143" s="638"/>
      <x:c r="P143" s="638"/>
      <x:c r="Q143" s="638"/>
      <x:c r="R143" s="638"/>
      <x:c r="S143" s="638"/>
      <x:c r="T143" s="678"/>
      <x:c r="U143" s="638"/>
      <x:c r="V143" s="638"/>
      <x:c r="W143" s="638"/>
      <x:c r="X143" s="638"/>
      <x:c r="Y143" s="638"/>
      <x:c r="Z143" s="638"/>
      <x:c r="AA143" s="638"/>
      <x:c r="AB143" s="638"/>
      <x:c r="AC143" s="638"/>
      <x:c r="AD143" s="638"/>
      <x:c r="AE143" s="638"/>
      <x:c r="AF143" s="638"/>
      <x:c r="AG143" s="638"/>
      <x:c r="AH143" s="638"/>
      <x:c r="AI143" s="638"/>
      <x:c r="AJ143" s="664"/>
      <x:c r="AK143" s="665"/>
      <x:c r="AL143" s="666"/>
      <x:c r="AM143" s="666"/>
      <x:c r="AN143" s="666"/>
      <x:c r="AO143" s="666"/>
      <x:c r="AP143" s="666"/>
      <x:c r="AQ143" s="666"/>
      <x:c r="AR143" s="666"/>
      <x:c r="AS143" s="666"/>
      <x:c r="AT143" s="666"/>
      <x:c r="AU143" s="666"/>
      <x:c r="AV143" s="666"/>
      <x:c r="AW143" s="666"/>
      <x:c r="AX143" s="666"/>
      <x:c r="AY143" s="666"/>
      <x:c r="AZ143" s="667"/>
      <x:c r="BA143" s="502"/>
      <x:c r="BB143" s="502"/>
      <x:c r="BC143" s="502"/>
      <x:c r="BD143" s="502"/>
      <x:c r="BE143" s="502"/>
      <x:c r="BF143" s="502"/>
      <x:c r="BG143" s="502"/>
      <x:c r="BH143" s="502"/>
      <x:c r="BI143" s="502"/>
      <x:c r="BJ143" s="502"/>
      <x:c r="BK143" s="502"/>
      <x:c r="BL143" s="502"/>
      <x:c r="BM143" s="502"/>
      <x:c r="BN143" s="502"/>
      <x:c r="BO143" s="502"/>
      <x:c r="BP143" s="502"/>
      <x:c r="BQ143" s="502"/>
      <x:c r="BR143" s="502"/>
      <x:c r="BS143" s="502"/>
      <x:c r="BT143" s="502"/>
      <x:c r="BU143" s="502"/>
      <x:c r="BV143" s="502"/>
    </x:row>
    <x:row r="144" spans="1:109" ht="13.5" customHeight="1" s="143" customFormat="1">
      <x:c r="A144" s="502"/>
      <x:c r="B144" s="668" t="s">
        <x:v>153</x:v>
      </x:c>
      <x:c r="C144" s="669"/>
      <x:c r="D144" s="669"/>
      <x:c r="E144" s="669"/>
      <x:c r="F144" s="669"/>
      <x:c r="G144" s="669"/>
      <x:c r="H144" s="669"/>
      <x:c r="I144" s="669"/>
      <x:c r="J144" s="669"/>
      <x:c r="K144" s="669"/>
      <x:c r="L144" s="669"/>
      <x:c r="M144" s="669"/>
      <x:c r="N144" s="669"/>
      <x:c r="O144" s="669"/>
      <x:c r="P144" s="669"/>
      <x:c r="Q144" s="669"/>
      <x:c r="R144" s="669"/>
      <x:c r="S144" s="669"/>
      <x:c r="T144" s="670"/>
      <x:c r="U144" s="669" t="s">
        <x:v>149</x:v>
      </x:c>
      <x:c r="V144" s="669"/>
      <x:c r="W144" s="669"/>
      <x:c r="X144" s="669"/>
      <x:c r="Y144" s="669"/>
      <x:c r="Z144" s="669"/>
      <x:c r="AA144" s="669"/>
      <x:c r="AB144" s="669"/>
      <x:c r="AC144" s="669"/>
      <x:c r="AD144" s="669"/>
      <x:c r="AE144" s="669"/>
      <x:c r="AF144" s="669"/>
      <x:c r="AG144" s="669"/>
      <x:c r="AH144" s="669"/>
      <x:c r="AI144" s="669"/>
      <x:c r="AJ144" s="671"/>
      <x:c r="AK144" s="672" t="s">
        <x:v>150</x:v>
      </x:c>
      <x:c r="AL144" s="669"/>
      <x:c r="AM144" s="669"/>
      <x:c r="AN144" s="669"/>
      <x:c r="AO144" s="669"/>
      <x:c r="AP144" s="669"/>
      <x:c r="AQ144" s="669"/>
      <x:c r="AR144" s="669"/>
      <x:c r="AS144" s="669"/>
      <x:c r="AT144" s="669"/>
      <x:c r="AU144" s="669"/>
      <x:c r="AV144" s="669"/>
      <x:c r="AW144" s="669"/>
      <x:c r="AX144" s="669"/>
      <x:c r="AY144" s="669"/>
      <x:c r="AZ144" s="673"/>
      <x:c r="BA144" s="502"/>
      <x:c r="BB144" s="502"/>
      <x:c r="BC144" s="502"/>
      <x:c r="BD144" s="502"/>
      <x:c r="BE144" s="502"/>
      <x:c r="BF144" s="502"/>
      <x:c r="BG144" s="502"/>
      <x:c r="BH144" s="502"/>
      <x:c r="BI144" s="502"/>
      <x:c r="BJ144" s="502"/>
      <x:c r="BK144" s="502"/>
      <x:c r="BL144" s="502"/>
      <x:c r="BM144" s="502"/>
      <x:c r="BN144" s="502"/>
      <x:c r="BO144" s="502"/>
      <x:c r="BP144" s="502"/>
      <x:c r="BQ144" s="502"/>
      <x:c r="BR144" s="502"/>
      <x:c r="BS144" s="502"/>
      <x:c r="BT144" s="502"/>
      <x:c r="BU144" s="502"/>
      <x:c r="BV144" s="502"/>
    </x:row>
    <x:row r="145" spans="1:109" ht="13.5" customHeight="1" s="143" customFormat="1">
      <x:c r="A145" s="502"/>
      <x:c r="B145" s="659" t="s">
        <x:v>154</x:v>
      </x:c>
      <x:c r="C145" s="562"/>
      <x:c r="D145" s="562"/>
      <x:c r="E145" s="562"/>
      <x:c r="F145" s="562"/>
      <x:c r="G145" s="562"/>
      <x:c r="H145" s="562"/>
      <x:c r="I145" s="562"/>
      <x:c r="J145" s="660"/>
      <x:c r="K145" s="660"/>
      <x:c r="L145" s="660"/>
      <x:c r="M145" s="660"/>
      <x:c r="N145" s="660"/>
      <x:c r="O145" s="660"/>
      <x:c r="P145" s="660"/>
      <x:c r="Q145" s="660"/>
      <x:c r="R145" s="660"/>
      <x:c r="S145" s="660"/>
      <x:c r="T145" s="660"/>
      <x:c r="U145" s="660"/>
      <x:c r="V145" s="660"/>
      <x:c r="W145" s="660"/>
      <x:c r="X145" s="660"/>
      <x:c r="Y145" s="562"/>
      <x:c r="Z145" s="562"/>
      <x:c r="AA145" s="562"/>
      <x:c r="AB145" s="660"/>
      <x:c r="AC145" s="660"/>
      <x:c r="AD145" s="660"/>
      <x:c r="AE145" s="660"/>
      <x:c r="AF145" s="660"/>
      <x:c r="AG145" s="660"/>
      <x:c r="AH145" s="660"/>
      <x:c r="AI145" s="660"/>
      <x:c r="AJ145" s="660"/>
      <x:c r="AK145" s="660"/>
      <x:c r="AL145" s="660"/>
      <x:c r="AM145" s="660"/>
      <x:c r="AN145" s="660"/>
      <x:c r="AO145" s="660"/>
      <x:c r="AP145" s="660"/>
      <x:c r="AQ145" s="660"/>
      <x:c r="AR145" s="660"/>
      <x:c r="AS145" s="660"/>
      <x:c r="AT145" s="660"/>
      <x:c r="AU145" s="660"/>
      <x:c r="AV145" s="660"/>
      <x:c r="AW145" s="562"/>
      <x:c r="AX145" s="562"/>
      <x:c r="AY145" s="562"/>
      <x:c r="AZ145" s="566"/>
      <x:c r="BA145" s="502"/>
      <x:c r="BB145" s="502"/>
      <x:c r="BC145" s="502"/>
      <x:c r="BD145" s="502"/>
      <x:c r="BE145" s="502"/>
      <x:c r="BF145" s="502"/>
      <x:c r="BG145" s="502"/>
      <x:c r="BH145" s="502"/>
      <x:c r="BI145" s="502"/>
      <x:c r="BJ145" s="502"/>
      <x:c r="BK145" s="502"/>
      <x:c r="BL145" s="502"/>
      <x:c r="BM145" s="502"/>
      <x:c r="BN145" s="502"/>
      <x:c r="BO145" s="502"/>
      <x:c r="BP145" s="502"/>
      <x:c r="BQ145" s="502"/>
      <x:c r="BR145" s="502"/>
      <x:c r="BS145" s="502"/>
      <x:c r="BT145" s="502"/>
      <x:c r="BU145" s="502"/>
      <x:c r="BV145" s="502"/>
    </x:row>
    <x:row r="146" spans="1:109" ht="12.75" customHeight="1" s="143" customFormat="1">
      <x:c r="A146" s="502"/>
      <x:c r="B146" s="677" t="s">
        <x:v>81</x:v>
      </x:c>
      <x:c r="C146" s="638"/>
      <x:c r="D146" s="638"/>
      <x:c r="E146" s="638"/>
      <x:c r="F146" s="638"/>
      <x:c r="G146" s="638"/>
      <x:c r="H146" s="638"/>
      <x:c r="I146" s="638"/>
      <x:c r="J146" s="638"/>
      <x:c r="K146" s="638"/>
      <x:c r="L146" s="638"/>
      <x:c r="M146" s="638"/>
      <x:c r="N146" s="638"/>
      <x:c r="O146" s="638"/>
      <x:c r="P146" s="638"/>
      <x:c r="Q146" s="638"/>
      <x:c r="R146" s="638"/>
      <x:c r="S146" s="638"/>
      <x:c r="T146" s="678"/>
      <x:c r="U146" s="638" t="s">
        <x:v>81</x:v>
      </x:c>
      <x:c r="V146" s="638"/>
      <x:c r="W146" s="638"/>
      <x:c r="X146" s="638"/>
      <x:c r="Y146" s="638"/>
      <x:c r="Z146" s="638"/>
      <x:c r="AA146" s="638"/>
      <x:c r="AB146" s="638"/>
      <x:c r="AC146" s="638"/>
      <x:c r="AD146" s="638"/>
      <x:c r="AE146" s="638"/>
      <x:c r="AF146" s="638"/>
      <x:c r="AG146" s="638"/>
      <x:c r="AH146" s="638"/>
      <x:c r="AI146" s="638"/>
      <x:c r="AJ146" s="664"/>
      <x:c r="AK146" s="679" t="s">
        <x:v>81</x:v>
      </x:c>
      <x:c r="AL146" s="638"/>
      <x:c r="AM146" s="638"/>
      <x:c r="AN146" s="638"/>
      <x:c r="AO146" s="638"/>
      <x:c r="AP146" s="638"/>
      <x:c r="AQ146" s="638"/>
      <x:c r="AR146" s="638"/>
      <x:c r="AS146" s="638"/>
      <x:c r="AT146" s="638"/>
      <x:c r="AU146" s="638"/>
      <x:c r="AV146" s="638"/>
      <x:c r="AW146" s="638"/>
      <x:c r="AX146" s="638"/>
      <x:c r="AY146" s="638"/>
      <x:c r="AZ146" s="676"/>
      <x:c r="BA146" s="502"/>
      <x:c r="BB146" s="502"/>
      <x:c r="BC146" s="502"/>
      <x:c r="BD146" s="502"/>
      <x:c r="BE146" s="502"/>
      <x:c r="BF146" s="502"/>
      <x:c r="BG146" s="502"/>
      <x:c r="BH146" s="502"/>
      <x:c r="BI146" s="502"/>
      <x:c r="BJ146" s="502"/>
      <x:c r="BK146" s="502"/>
      <x:c r="BL146" s="502"/>
      <x:c r="BM146" s="502"/>
      <x:c r="BN146" s="502"/>
      <x:c r="BO146" s="502"/>
      <x:c r="BP146" s="502"/>
      <x:c r="BQ146" s="502"/>
      <x:c r="BR146" s="502"/>
      <x:c r="BS146" s="502"/>
      <x:c r="BT146" s="502"/>
      <x:c r="BU146" s="502"/>
      <x:c r="BV146" s="502"/>
    </x:row>
    <x:row r="147" spans="1:109" ht="14.25" customHeight="1" s="143" customFormat="1">
      <x:c r="A147" s="502"/>
      <x:c r="B147" s="680" t="s">
        <x:v>148</x:v>
      </x:c>
      <x:c r="C147" s="681"/>
      <x:c r="D147" s="681"/>
      <x:c r="E147" s="681"/>
      <x:c r="F147" s="681"/>
      <x:c r="G147" s="681"/>
      <x:c r="H147" s="681"/>
      <x:c r="I147" s="681"/>
      <x:c r="J147" s="681"/>
      <x:c r="K147" s="681"/>
      <x:c r="L147" s="681"/>
      <x:c r="M147" s="681"/>
      <x:c r="N147" s="681"/>
      <x:c r="O147" s="681"/>
      <x:c r="P147" s="681"/>
      <x:c r="Q147" s="681"/>
      <x:c r="R147" s="681"/>
      <x:c r="S147" s="681"/>
      <x:c r="T147" s="682"/>
      <x:c r="U147" s="681" t="s">
        <x:v>149</x:v>
      </x:c>
      <x:c r="V147" s="681"/>
      <x:c r="W147" s="681"/>
      <x:c r="X147" s="681"/>
      <x:c r="Y147" s="681"/>
      <x:c r="Z147" s="681"/>
      <x:c r="AA147" s="681"/>
      <x:c r="AB147" s="681"/>
      <x:c r="AC147" s="681"/>
      <x:c r="AD147" s="681"/>
      <x:c r="AE147" s="681"/>
      <x:c r="AF147" s="681"/>
      <x:c r="AG147" s="681"/>
      <x:c r="AH147" s="681"/>
      <x:c r="AI147" s="681"/>
      <x:c r="AJ147" s="683"/>
      <x:c r="AK147" s="684" t="s">
        <x:v>150</x:v>
      </x:c>
      <x:c r="AL147" s="681"/>
      <x:c r="AM147" s="681"/>
      <x:c r="AN147" s="681"/>
      <x:c r="AO147" s="681"/>
      <x:c r="AP147" s="681"/>
      <x:c r="AQ147" s="681"/>
      <x:c r="AR147" s="681"/>
      <x:c r="AS147" s="681"/>
      <x:c r="AT147" s="681"/>
      <x:c r="AU147" s="681"/>
      <x:c r="AV147" s="681"/>
      <x:c r="AW147" s="681"/>
      <x:c r="AX147" s="681"/>
      <x:c r="AY147" s="681"/>
      <x:c r="AZ147" s="685"/>
      <x:c r="BA147" s="502"/>
      <x:c r="BB147" s="502"/>
      <x:c r="BC147" s="502"/>
      <x:c r="BD147" s="502"/>
      <x:c r="BE147" s="502"/>
      <x:c r="BF147" s="502"/>
      <x:c r="BG147" s="502"/>
      <x:c r="BH147" s="502"/>
      <x:c r="BI147" s="502"/>
      <x:c r="BJ147" s="502"/>
      <x:c r="BK147" s="502"/>
      <x:c r="BL147" s="502"/>
      <x:c r="BM147" s="502"/>
      <x:c r="BN147" s="502"/>
      <x:c r="BO147" s="502"/>
      <x:c r="BP147" s="502"/>
      <x:c r="BQ147" s="502"/>
      <x:c r="BR147" s="502"/>
      <x:c r="BS147" s="502"/>
      <x:c r="BT147" s="502"/>
      <x:c r="BU147" s="502"/>
      <x:c r="BV147" s="502"/>
    </x:row>
    <x:row r="148" spans="1:109" ht="15" customHeight="1" hidden="1" s="201" customFormat="1">
      <x:c r="A148" s="686"/>
      <x:c r="B148" s="127"/>
      <x:c r="C148" s="127"/>
      <x:c r="D148" s="127"/>
      <x:c r="E148" s="127"/>
      <x:c r="F148" s="127"/>
      <x:c r="G148" s="127"/>
      <x:c r="H148" s="127"/>
      <x:c r="I148" s="127"/>
      <x:c r="J148" s="127"/>
      <x:c r="K148" s="127"/>
      <x:c r="L148" s="127"/>
      <x:c r="M148" s="127"/>
      <x:c r="N148" s="127"/>
      <x:c r="O148" s="127"/>
      <x:c r="P148" s="127"/>
      <x:c r="Q148" s="127"/>
      <x:c r="R148" s="127"/>
      <x:c r="S148" s="127"/>
      <x:c r="T148" s="127"/>
      <x:c r="U148" s="127"/>
      <x:c r="V148" s="127"/>
      <x:c r="W148" s="127"/>
      <x:c r="X148" s="127"/>
      <x:c r="Y148" s="127"/>
      <x:c r="Z148" s="127"/>
      <x:c r="AA148" s="127"/>
      <x:c r="AB148" s="127"/>
      <x:c r="AC148" s="127"/>
      <x:c r="AD148" s="127"/>
      <x:c r="AE148" s="127"/>
      <x:c r="AF148" s="127"/>
      <x:c r="AG148" s="127"/>
      <x:c r="AH148" s="127"/>
      <x:c r="AI148" s="127"/>
      <x:c r="AJ148" s="127"/>
      <x:c r="AK148" s="127"/>
      <x:c r="AL148" s="127"/>
      <x:c r="AM148" s="127"/>
      <x:c r="AN148" s="127"/>
      <x:c r="AO148" s="127"/>
      <x:c r="AP148" s="127"/>
      <x:c r="AQ148" s="127"/>
      <x:c r="AR148" s="127"/>
      <x:c r="AS148" s="127"/>
      <x:c r="AT148" s="127"/>
      <x:c r="AU148" s="127"/>
      <x:c r="AV148" s="127"/>
      <x:c r="AW148" s="127"/>
      <x:c r="AX148" s="127"/>
      <x:c r="AY148" s="127"/>
      <x:c r="AZ148" s="127"/>
      <x:c r="BA148" s="490"/>
      <x:c r="BB148" s="490"/>
      <x:c r="BC148" s="490"/>
      <x:c r="BD148" s="490"/>
      <x:c r="BE148" s="490"/>
      <x:c r="BF148" s="490"/>
      <x:c r="BG148" s="490"/>
      <x:c r="BH148" s="490"/>
      <x:c r="BI148" s="490"/>
      <x:c r="BJ148" s="490"/>
      <x:c r="BK148" s="490"/>
      <x:c r="BL148" s="490"/>
      <x:c r="BM148" s="490"/>
      <x:c r="BN148" s="490"/>
      <x:c r="BO148" s="490"/>
      <x:c r="BP148" s="490"/>
      <x:c r="BQ148" s="490"/>
      <x:c r="BR148" s="490"/>
      <x:c r="BS148" s="490"/>
      <x:c r="BT148" s="490"/>
      <x:c r="BU148" s="490"/>
      <x:c r="BV148" s="490"/>
      <x:c r="BW148" s="127"/>
      <x:c r="BX148" s="127"/>
      <x:c r="BY148" s="127"/>
      <x:c r="BZ148" s="127"/>
      <x:c r="CA148" s="127"/>
      <x:c r="CB148" s="127"/>
      <x:c r="CC148" s="127"/>
      <x:c r="CD148" s="127"/>
      <x:c r="CE148" s="127"/>
      <x:c r="CF148" s="127"/>
      <x:c r="CG148" s="127"/>
      <x:c r="CH148" s="127"/>
      <x:c r="CI148" s="127"/>
      <x:c r="CJ148" s="127"/>
      <x:c r="CK148" s="127"/>
      <x:c r="CL148" s="127"/>
      <x:c r="CM148" s="127"/>
      <x:c r="CN148" s="127"/>
      <x:c r="CO148" s="127"/>
      <x:c r="CP148" s="127"/>
      <x:c r="CQ148" s="127"/>
      <x:c r="CR148" s="127"/>
      <x:c r="CS148" s="127"/>
      <x:c r="CT148" s="127"/>
      <x:c r="CU148" s="127"/>
      <x:c r="CV148" s="127"/>
      <x:c r="CW148" s="127"/>
      <x:c r="CX148" s="127"/>
      <x:c r="CY148" s="127"/>
      <x:c r="CZ148" s="127"/>
      <x:c r="DA148" s="127"/>
    </x:row>
    <x:row r="149" ht="15" customHeight="1" hidden="1"/>
    <x:row r="150" ht="15" customHeight="1" hidden="1"/>
    <x:row r="151" ht="15" customHeight="1" hidden="1"/>
    <x:row r="152" ht="15" customHeight="1" hidden="1"/>
    <x:row r="153" ht="15" customHeight="1" hidden="1"/>
    <x:row r="154" ht="15" customHeight="1" hidden="1"/>
    <x:row r="155" ht="15" customHeight="1" hidden="1"/>
    <x:row r="156" ht="15" customHeight="1" hidden="1"/>
    <x:row r="157" ht="15" customHeight="1" hidden="1"/>
    <x:row r="158" ht="15" customHeight="1" hidden="1"/>
    <x:row r="159" ht="15" customHeight="1" hidden="1"/>
    <x:row r="160" ht="15" customHeight="1" hidden="1"/>
    <x:row r="161" ht="15" customHeight="1" hidden="1"/>
    <x:row r="162" ht="15" customHeight="1" hidden="1"/>
    <x:row r="163" ht="15" customHeight="1" hidden="1"/>
    <x:row r="164" ht="15" customHeight="1" hidden="1"/>
    <x:row r="165" ht="15" customHeight="1" hidden="1"/>
    <x:row r="166" ht="15" customHeight="1" hidden="1"/>
    <x:row r="167" ht="15" customHeight="1" hidden="1"/>
    <x:row r="168" ht="15" customHeight="1" hidden="1"/>
    <x:row r="169" ht="15" customHeight="1" hidden="1"/>
    <x:row r="170" ht="15" customHeight="1" hidden="1"/>
    <x:row r="171" ht="15" customHeight="1" hidden="1"/>
    <x:row r="172" ht="15" customHeight="1" hidden="1"/>
    <x:row r="173" ht="15" customHeight="1" hidden="1"/>
    <x:row r="174" ht="15" customHeight="1" hidden="1"/>
    <x:row r="175" ht="15" customHeight="1" hidden="1"/>
    <x:row r="176" ht="15" customHeight="1" hidden="1"/>
    <x:row r="177" ht="15" customHeight="1" hidden="1"/>
    <x:row r="178" ht="15" customHeight="1" hidden="1"/>
    <x:row r="179" ht="15" customHeight="1" hidden="1"/>
    <x:row r="180" ht="15" customHeight="1" hidden="1"/>
    <x:row r="181" ht="15" customHeight="1" hidden="1"/>
    <x:row r="182" ht="15" customHeight="1" hidden="1"/>
    <x:row r="183" ht="15" customHeight="1" hidden="1"/>
    <x:row r="184" ht="15" customHeight="1" hidden="1"/>
    <x:row r="185" ht="15" customHeight="1" hidden="1"/>
    <x:row r="186" ht="15" customHeight="1" hidden="1"/>
    <x:row r="187" ht="15" customHeight="1" hidden="1"/>
  </x:sheetData>
  <x:mergeCells count="1163">
    <x:mergeCell ref="L7:N7"/>
    <x:mergeCell ref="AN7:AP7"/>
    <x:mergeCell ref="B8:AZ8"/>
    <x:mergeCell ref="B9:I10"/>
    <x:mergeCell ref="J9:J10"/>
    <x:mergeCell ref="K9:AA10"/>
    <x:mergeCell ref="AB9:AJ10"/>
    <x:mergeCell ref="AK9:AK10"/>
    <x:mergeCell ref="AL9:AZ10"/>
    <x:mergeCell ref="B11:I12"/>
    <x:mergeCell ref="J11:J12"/>
    <x:mergeCell ref="K11:AA12"/>
    <x:mergeCell ref="AB11:AJ12"/>
    <x:mergeCell ref="AK11:AK12"/>
    <x:mergeCell ref="AL11:AZ12"/>
    <x:mergeCell ref="B13:I14"/>
    <x:mergeCell ref="J13:J14"/>
    <x:mergeCell ref="K13:AA14"/>
    <x:mergeCell ref="AB13:AJ14"/>
    <x:mergeCell ref="AK13:AK14"/>
    <x:mergeCell ref="AL13:AZ14"/>
    <x:mergeCell ref="B15:I16"/>
    <x:mergeCell ref="J15:J16"/>
    <x:mergeCell ref="K15:AA16"/>
    <x:mergeCell ref="AB15:AJ16"/>
    <x:mergeCell ref="AK15:AK16"/>
    <x:mergeCell ref="AL15:AZ16"/>
    <x:mergeCell ref="B17:I18"/>
    <x:mergeCell ref="J17:J18"/>
    <x:mergeCell ref="K17:AA18"/>
    <x:mergeCell ref="AB17:AI18"/>
    <x:mergeCell ref="AK17:AK18"/>
    <x:mergeCell ref="AL17:AZ18"/>
    <x:mergeCell ref="B19:I20"/>
    <x:mergeCell ref="J19:J20"/>
    <x:mergeCell ref="K19:AA20"/>
    <x:mergeCell ref="AB19:AJ20"/>
    <x:mergeCell ref="AK19:AK20"/>
    <x:mergeCell ref="AL19:AZ20"/>
    <x:mergeCell ref="B21:I22"/>
    <x:mergeCell ref="J21:J22"/>
    <x:mergeCell ref="K21:AA22"/>
    <x:mergeCell ref="AB21:AJ22"/>
    <x:mergeCell ref="AK21:AK22"/>
    <x:mergeCell ref="AL21:AZ22"/>
    <x:mergeCell ref="B24:AA24"/>
    <x:mergeCell ref="AB24:AZ24"/>
    <x:mergeCell ref="B25:F26"/>
    <x:mergeCell ref="G25:G26"/>
    <x:mergeCell ref="H25:Z26"/>
    <x:mergeCell ref="AE25:AE26"/>
    <x:mergeCell ref="AG25:AZ26"/>
    <x:mergeCell ref="B27:F28"/>
    <x:mergeCell ref="G27:G28"/>
    <x:mergeCell ref="H27:Z30"/>
    <x:mergeCell ref="AE27:AE28"/>
    <x:mergeCell ref="AG27:AZ28"/>
    <x:mergeCell ref="BO27:BP28"/>
    <x:mergeCell ref="AG29:AX29"/>
    <x:mergeCell ref="B31:AZ31"/>
    <x:mergeCell ref="B32:P32"/>
    <x:mergeCell ref="Q32:AA32"/>
    <x:mergeCell ref="AB32:AN32"/>
    <x:mergeCell ref="AO32:AZ32"/>
    <x:mergeCell ref="B33:P33"/>
    <x:mergeCell ref="Q33:AA33"/>
    <x:mergeCell ref="AB33:AN33"/>
    <x:mergeCell ref="AO33:AZ33"/>
    <x:mergeCell ref="B34:P34"/>
    <x:mergeCell ref="Q34:AA34"/>
    <x:mergeCell ref="AB34:AN34"/>
    <x:mergeCell ref="AO34:AZ34"/>
    <x:mergeCell ref="B35:AZ35"/>
    <x:mergeCell ref="B36:P36"/>
    <x:mergeCell ref="Q36:AA36"/>
    <x:mergeCell ref="AB36:AN36"/>
    <x:mergeCell ref="AO36:AZ36"/>
    <x:mergeCell ref="B37:P37"/>
    <x:mergeCell ref="Q37:AA37"/>
    <x:mergeCell ref="AB37:AN37"/>
    <x:mergeCell ref="AO37:AZ37"/>
    <x:mergeCell ref="B38:P38"/>
    <x:mergeCell ref="Q38:AA38"/>
    <x:mergeCell ref="AB38:AN38"/>
    <x:mergeCell ref="AO38:AZ38"/>
    <x:mergeCell ref="B39:AA39"/>
    <x:mergeCell ref="AB39:AZ39"/>
    <x:mergeCell ref="AB40:AZ43"/>
    <x:mergeCell ref="K41:L41"/>
    <x:mergeCell ref="T41:U41"/>
    <x:mergeCell ref="K42:L42"/>
    <x:mergeCell ref="T42:U42"/>
    <x:mergeCell ref="C45:AS45"/>
    <x:mergeCell ref="C46:AS46"/>
    <x:mergeCell ref="C47:AS47"/>
    <x:mergeCell ref="C48:AS48"/>
    <x:mergeCell ref="B50:AZ50"/>
    <x:mergeCell ref="DB51:DC51"/>
    <x:mergeCell ref="BB52:BU52"/>
    <x:mergeCell ref="BX52:CB52"/>
    <x:mergeCell ref="CD52:CH52"/>
    <x:mergeCell ref="CJ52:CN52"/>
    <x:mergeCell ref="CP52:CT52"/>
    <x:mergeCell ref="CV52:CZ52"/>
    <x:mergeCell ref="DB52:DC54"/>
    <x:mergeCell ref="DD52:DE54"/>
    <x:mergeCell ref="F53:K54"/>
    <x:mergeCell ref="L53:R54"/>
    <x:mergeCell ref="S53:W54"/>
    <x:mergeCell ref="X53:AL53"/>
    <x:mergeCell ref="AM53:AQ54"/>
    <x:mergeCell ref="AR53:AV54"/>
    <x:mergeCell ref="BB53:BF54"/>
    <x:mergeCell ref="BG53:BK54"/>
    <x:mergeCell ref="BL53:BP54"/>
    <x:mergeCell ref="BQ53:BU54"/>
    <x:mergeCell ref="BX53:BX54"/>
    <x:mergeCell ref="BY53:BY54"/>
    <x:mergeCell ref="BZ53:BZ54"/>
    <x:mergeCell ref="CA53:CA54"/>
    <x:mergeCell ref="CB53:CB54"/>
    <x:mergeCell ref="CD53:CD54"/>
    <x:mergeCell ref="CE53:CE54"/>
    <x:mergeCell ref="CF53:CF54"/>
    <x:mergeCell ref="CG53:CG54"/>
    <x:mergeCell ref="CH53:CH54"/>
    <x:mergeCell ref="CJ53:CJ54"/>
    <x:mergeCell ref="CK53:CK54"/>
    <x:mergeCell ref="CL53:CL54"/>
    <x:mergeCell ref="CM53:CM54"/>
    <x:mergeCell ref="CN53:CN54"/>
    <x:mergeCell ref="CP53:CP54"/>
    <x:mergeCell ref="CQ53:CQ54"/>
    <x:mergeCell ref="CR53:CR54"/>
    <x:mergeCell ref="CS53:CS54"/>
    <x:mergeCell ref="CT53:CT54"/>
    <x:mergeCell ref="CY53:CZ53"/>
    <x:mergeCell ref="X54:AB54"/>
    <x:mergeCell ref="AC54:AG54"/>
    <x:mergeCell ref="AH54:AL54"/>
    <x:mergeCell ref="CY54:CZ54"/>
    <x:mergeCell ref="F55:K57"/>
    <x:mergeCell ref="L55:O55"/>
    <x:mergeCell ref="P55:R55"/>
    <x:mergeCell ref="S55:W55"/>
    <x:mergeCell ref="X55:AB55"/>
    <x:mergeCell ref="AC55:AG55"/>
    <x:mergeCell ref="AH55:AL55"/>
    <x:mergeCell ref="AM55:AQ55"/>
    <x:mergeCell ref="AR55:AV55"/>
    <x:mergeCell ref="BB55:BF55"/>
    <x:mergeCell ref="BG55:BK55"/>
    <x:mergeCell ref="BL55:BP55"/>
    <x:mergeCell ref="BQ55:BU55"/>
    <x:mergeCell ref="L56:O56"/>
    <x:mergeCell ref="P56:R56"/>
    <x:mergeCell ref="S56:W56"/>
    <x:mergeCell ref="X56:AB56"/>
    <x:mergeCell ref="AC56:AG56"/>
    <x:mergeCell ref="AH56:AL56"/>
    <x:mergeCell ref="AM56:AQ56"/>
    <x:mergeCell ref="AR56:AV56"/>
    <x:mergeCell ref="BB56:BF56"/>
    <x:mergeCell ref="BG56:BK56"/>
    <x:mergeCell ref="BL56:BP56"/>
    <x:mergeCell ref="BQ56:BU56"/>
    <x:mergeCell ref="L57:O57"/>
    <x:mergeCell ref="P57:R57"/>
    <x:mergeCell ref="S57:W57"/>
    <x:mergeCell ref="X57:AB57"/>
    <x:mergeCell ref="AC57:AG57"/>
    <x:mergeCell ref="AH57:AL57"/>
    <x:mergeCell ref="AM57:AQ57"/>
    <x:mergeCell ref="AR57:AV57"/>
    <x:mergeCell ref="BB57:BF57"/>
    <x:mergeCell ref="BG57:BK57"/>
    <x:mergeCell ref="BL57:BP57"/>
    <x:mergeCell ref="BQ57:BU57"/>
    <x:mergeCell ref="F58:K60"/>
    <x:mergeCell ref="L58:O58"/>
    <x:mergeCell ref="P58:R58"/>
    <x:mergeCell ref="S58:W58"/>
    <x:mergeCell ref="X58:AB58"/>
    <x:mergeCell ref="AC58:AG58"/>
    <x:mergeCell ref="AH58:AL58"/>
    <x:mergeCell ref="AM58:AQ58"/>
    <x:mergeCell ref="AR58:AV58"/>
    <x:mergeCell ref="BB58:BF58"/>
    <x:mergeCell ref="BG58:BK58"/>
    <x:mergeCell ref="BL58:BP58"/>
    <x:mergeCell ref="BQ58:BU58"/>
    <x:mergeCell ref="L59:O59"/>
    <x:mergeCell ref="P59:R59"/>
    <x:mergeCell ref="S59:W59"/>
    <x:mergeCell ref="X59:AB59"/>
    <x:mergeCell ref="AC59:AG59"/>
    <x:mergeCell ref="AH59:AL59"/>
    <x:mergeCell ref="AM59:AQ59"/>
    <x:mergeCell ref="AR59:AV59"/>
    <x:mergeCell ref="BB59:BF59"/>
    <x:mergeCell ref="BG59:BK59"/>
    <x:mergeCell ref="BL59:BP59"/>
    <x:mergeCell ref="BQ59:BU59"/>
    <x:mergeCell ref="L60:O60"/>
    <x:mergeCell ref="P60:R60"/>
    <x:mergeCell ref="S60:W60"/>
    <x:mergeCell ref="X60:AB60"/>
    <x:mergeCell ref="AC60:AG60"/>
    <x:mergeCell ref="AH60:AL60"/>
    <x:mergeCell ref="AM60:AQ60"/>
    <x:mergeCell ref="AR60:AV60"/>
    <x:mergeCell ref="BB60:BF60"/>
    <x:mergeCell ref="BG60:BK60"/>
    <x:mergeCell ref="BL60:BP60"/>
    <x:mergeCell ref="BQ60:BU60"/>
    <x:mergeCell ref="F61:K65"/>
    <x:mergeCell ref="L61:O61"/>
    <x:mergeCell ref="P61:R61"/>
    <x:mergeCell ref="S61:W61"/>
    <x:mergeCell ref="X61:AB61"/>
    <x:mergeCell ref="AC61:AG61"/>
    <x:mergeCell ref="AH61:AL61"/>
    <x:mergeCell ref="AM61:AQ61"/>
    <x:mergeCell ref="AR61:AV61"/>
    <x:mergeCell ref="BB61:BF61"/>
    <x:mergeCell ref="BG61:BK61"/>
    <x:mergeCell ref="BL61:BP61"/>
    <x:mergeCell ref="BQ61:BU61"/>
    <x:mergeCell ref="L62:O62"/>
    <x:mergeCell ref="P62:R62"/>
    <x:mergeCell ref="S62:W62"/>
    <x:mergeCell ref="X62:AB62"/>
    <x:mergeCell ref="AC62:AG62"/>
    <x:mergeCell ref="AH62:AL62"/>
    <x:mergeCell ref="AM62:AQ62"/>
    <x:mergeCell ref="AR62:AV62"/>
    <x:mergeCell ref="BB62:BF62"/>
    <x:mergeCell ref="BG62:BK62"/>
    <x:mergeCell ref="BL62:BP62"/>
    <x:mergeCell ref="BQ62:BU62"/>
    <x:mergeCell ref="L63:O63"/>
    <x:mergeCell ref="P63:R63"/>
    <x:mergeCell ref="S63:W63"/>
    <x:mergeCell ref="X63:AB63"/>
    <x:mergeCell ref="AC63:AG63"/>
    <x:mergeCell ref="AH63:AL63"/>
    <x:mergeCell ref="AM63:AQ63"/>
    <x:mergeCell ref="AR63:AV63"/>
    <x:mergeCell ref="BB63:BF63"/>
    <x:mergeCell ref="BG63:BK63"/>
    <x:mergeCell ref="BL63:BP63"/>
    <x:mergeCell ref="BQ63:BU63"/>
    <x:mergeCell ref="L64:O64"/>
    <x:mergeCell ref="P64:R64"/>
    <x:mergeCell ref="S64:W64"/>
    <x:mergeCell ref="X64:AB64"/>
    <x:mergeCell ref="AC64:AG64"/>
    <x:mergeCell ref="AH64:AL64"/>
    <x:mergeCell ref="AM64:AQ64"/>
    <x:mergeCell ref="AR64:AV64"/>
    <x:mergeCell ref="BB64:BF64"/>
    <x:mergeCell ref="BG64:BK64"/>
    <x:mergeCell ref="BL64:BP64"/>
    <x:mergeCell ref="BQ64:BU64"/>
    <x:mergeCell ref="L65:O65"/>
    <x:mergeCell ref="P65:R65"/>
    <x:mergeCell ref="S65:W65"/>
    <x:mergeCell ref="X65:AB65"/>
    <x:mergeCell ref="AC65:AG65"/>
    <x:mergeCell ref="AH65:AL65"/>
    <x:mergeCell ref="AM65:AQ65"/>
    <x:mergeCell ref="AR65:AV65"/>
    <x:mergeCell ref="BB65:BF65"/>
    <x:mergeCell ref="BG65:BK65"/>
    <x:mergeCell ref="BL65:BP65"/>
    <x:mergeCell ref="BQ65:BU65"/>
    <x:mergeCell ref="F66:K68"/>
    <x:mergeCell ref="L66:O66"/>
    <x:mergeCell ref="P66:R66"/>
    <x:mergeCell ref="S66:W66"/>
    <x:mergeCell ref="X66:AB66"/>
    <x:mergeCell ref="AC66:AG66"/>
    <x:mergeCell ref="AH66:AL66"/>
    <x:mergeCell ref="AM66:AQ66"/>
    <x:mergeCell ref="AR66:AV66"/>
    <x:mergeCell ref="BB66:BF66"/>
    <x:mergeCell ref="BG66:BK66"/>
    <x:mergeCell ref="BL66:BP66"/>
    <x:mergeCell ref="BQ66:BU66"/>
    <x:mergeCell ref="L67:O67"/>
    <x:mergeCell ref="P67:R67"/>
    <x:mergeCell ref="S67:W67"/>
    <x:mergeCell ref="X67:AB67"/>
    <x:mergeCell ref="AC67:AG67"/>
    <x:mergeCell ref="AH67:AL67"/>
    <x:mergeCell ref="AM67:AQ67"/>
    <x:mergeCell ref="AR67:AV67"/>
    <x:mergeCell ref="BB67:BF67"/>
    <x:mergeCell ref="BG67:BK67"/>
    <x:mergeCell ref="BL67:BP67"/>
    <x:mergeCell ref="BQ67:BU67"/>
    <x:mergeCell ref="L68:O68"/>
    <x:mergeCell ref="P68:R68"/>
    <x:mergeCell ref="S68:W68"/>
    <x:mergeCell ref="X68:AB68"/>
    <x:mergeCell ref="AC68:AG68"/>
    <x:mergeCell ref="AH68:AL68"/>
    <x:mergeCell ref="AM68:AQ68"/>
    <x:mergeCell ref="AR68:AV68"/>
    <x:mergeCell ref="BB68:BF68"/>
    <x:mergeCell ref="BG68:BK68"/>
    <x:mergeCell ref="BL68:BP68"/>
    <x:mergeCell ref="BQ68:BU68"/>
    <x:mergeCell ref="F69:K71"/>
    <x:mergeCell ref="L69:O69"/>
    <x:mergeCell ref="P69:R69"/>
    <x:mergeCell ref="S69:W69"/>
    <x:mergeCell ref="X69:AB69"/>
    <x:mergeCell ref="AC69:AG69"/>
    <x:mergeCell ref="AH69:AL69"/>
    <x:mergeCell ref="AM69:AQ69"/>
    <x:mergeCell ref="AR69:AV69"/>
    <x:mergeCell ref="BB69:BF69"/>
    <x:mergeCell ref="BG69:BK69"/>
    <x:mergeCell ref="BL69:BP69"/>
    <x:mergeCell ref="BQ69:BU69"/>
    <x:mergeCell ref="L70:O70"/>
    <x:mergeCell ref="P70:R70"/>
    <x:mergeCell ref="S70:W70"/>
    <x:mergeCell ref="X70:AB70"/>
    <x:mergeCell ref="AC70:AG70"/>
    <x:mergeCell ref="AH70:AL70"/>
    <x:mergeCell ref="AM70:AQ70"/>
    <x:mergeCell ref="AR70:AV70"/>
    <x:mergeCell ref="BB70:BF70"/>
    <x:mergeCell ref="BG70:BK70"/>
    <x:mergeCell ref="BL70:BP70"/>
    <x:mergeCell ref="BQ70:BU70"/>
    <x:mergeCell ref="L71:O71"/>
    <x:mergeCell ref="P71:R71"/>
    <x:mergeCell ref="S71:W71"/>
    <x:mergeCell ref="X71:AB71"/>
    <x:mergeCell ref="AC71:AG71"/>
    <x:mergeCell ref="AH71:AL71"/>
    <x:mergeCell ref="AM71:AQ71"/>
    <x:mergeCell ref="AR71:AV71"/>
    <x:mergeCell ref="BB71:BF71"/>
    <x:mergeCell ref="BG71:BK71"/>
    <x:mergeCell ref="BL71:BP71"/>
    <x:mergeCell ref="BQ71:BU71"/>
    <x:mergeCell ref="BB73:BU73"/>
    <x:mergeCell ref="BX73:CB73"/>
    <x:mergeCell ref="CD73:CH73"/>
    <x:mergeCell ref="CJ73:CN73"/>
    <x:mergeCell ref="CP73:CT73"/>
    <x:mergeCell ref="CV73:CZ73"/>
    <x:mergeCell ref="DB73:DC75"/>
    <x:mergeCell ref="DD73:DE75"/>
    <x:mergeCell ref="F74:K75"/>
    <x:mergeCell ref="L74:R75"/>
    <x:mergeCell ref="S74:W75"/>
    <x:mergeCell ref="X74:AL74"/>
    <x:mergeCell ref="AM74:AQ75"/>
    <x:mergeCell ref="AR74:AV75"/>
    <x:mergeCell ref="BB74:BF75"/>
    <x:mergeCell ref="BG74:BK75"/>
    <x:mergeCell ref="BL74:BP75"/>
    <x:mergeCell ref="BQ74:BU75"/>
    <x:mergeCell ref="BX74:BX75"/>
    <x:mergeCell ref="BY74:BY75"/>
    <x:mergeCell ref="BZ74:BZ75"/>
    <x:mergeCell ref="CA74:CA75"/>
    <x:mergeCell ref="CB74:CB75"/>
    <x:mergeCell ref="CD74:CD75"/>
    <x:mergeCell ref="CE74:CE75"/>
    <x:mergeCell ref="CF74:CF75"/>
    <x:mergeCell ref="CG74:CG75"/>
    <x:mergeCell ref="CH74:CH75"/>
    <x:mergeCell ref="CJ74:CJ75"/>
    <x:mergeCell ref="CK74:CK75"/>
    <x:mergeCell ref="CL74:CL75"/>
    <x:mergeCell ref="CM74:CM75"/>
    <x:mergeCell ref="CN74:CN75"/>
    <x:mergeCell ref="CP74:CP75"/>
    <x:mergeCell ref="CQ74:CQ75"/>
    <x:mergeCell ref="CR74:CR75"/>
    <x:mergeCell ref="CS74:CS75"/>
    <x:mergeCell ref="CT74:CT75"/>
    <x:mergeCell ref="CY74:CZ74"/>
    <x:mergeCell ref="X75:AB75"/>
    <x:mergeCell ref="AC75:AG75"/>
    <x:mergeCell ref="AH75:AL75"/>
    <x:mergeCell ref="CY75:CZ75"/>
    <x:mergeCell ref="F76:K79"/>
    <x:mergeCell ref="L76:O76"/>
    <x:mergeCell ref="P76:R76"/>
    <x:mergeCell ref="S76:W76"/>
    <x:mergeCell ref="X76:AB76"/>
    <x:mergeCell ref="AC76:AG76"/>
    <x:mergeCell ref="AH76:AL76"/>
    <x:mergeCell ref="AM76:AQ76"/>
    <x:mergeCell ref="AR76:AV76"/>
    <x:mergeCell ref="BB76:BF76"/>
    <x:mergeCell ref="BG76:BK76"/>
    <x:mergeCell ref="BL76:BP76"/>
    <x:mergeCell ref="BQ76:BU76"/>
    <x:mergeCell ref="L77:O77"/>
    <x:mergeCell ref="P77:R77"/>
    <x:mergeCell ref="S77:W77"/>
    <x:mergeCell ref="X77:AB77"/>
    <x:mergeCell ref="AC77:AG77"/>
    <x:mergeCell ref="AH77:AL77"/>
    <x:mergeCell ref="AM77:AQ77"/>
    <x:mergeCell ref="AR77:AV77"/>
    <x:mergeCell ref="BB77:BF77"/>
    <x:mergeCell ref="BG77:BK77"/>
    <x:mergeCell ref="BL77:BP77"/>
    <x:mergeCell ref="BQ77:BU77"/>
    <x:mergeCell ref="L78:O78"/>
    <x:mergeCell ref="P78:R78"/>
    <x:mergeCell ref="S78:W78"/>
    <x:mergeCell ref="X78:AB78"/>
    <x:mergeCell ref="AC78:AG78"/>
    <x:mergeCell ref="AH78:AL78"/>
    <x:mergeCell ref="AM78:AQ78"/>
    <x:mergeCell ref="AR78:AV78"/>
    <x:mergeCell ref="BB78:BF78"/>
    <x:mergeCell ref="BG78:BK78"/>
    <x:mergeCell ref="BL78:BP78"/>
    <x:mergeCell ref="BQ78:BU78"/>
    <x:mergeCell ref="L79:O79"/>
    <x:mergeCell ref="P79:R79"/>
    <x:mergeCell ref="S79:W79"/>
    <x:mergeCell ref="X79:AB79"/>
    <x:mergeCell ref="AC79:AG79"/>
    <x:mergeCell ref="AH79:AL79"/>
    <x:mergeCell ref="AM79:AQ79"/>
    <x:mergeCell ref="AR79:AV79"/>
    <x:mergeCell ref="BB79:BF79"/>
    <x:mergeCell ref="BG79:BK79"/>
    <x:mergeCell ref="BL79:BP79"/>
    <x:mergeCell ref="BQ79:BU79"/>
    <x:mergeCell ref="F80:K83"/>
    <x:mergeCell ref="L80:O80"/>
    <x:mergeCell ref="P80:R80"/>
    <x:mergeCell ref="S80:W80"/>
    <x:mergeCell ref="X80:AB80"/>
    <x:mergeCell ref="AC80:AG80"/>
    <x:mergeCell ref="AH80:AL80"/>
    <x:mergeCell ref="AM80:AQ80"/>
    <x:mergeCell ref="AR80:AV80"/>
    <x:mergeCell ref="BB80:BF80"/>
    <x:mergeCell ref="BG80:BK80"/>
    <x:mergeCell ref="BL80:BP80"/>
    <x:mergeCell ref="BQ80:BU80"/>
    <x:mergeCell ref="L81:O81"/>
    <x:mergeCell ref="P81:R81"/>
    <x:mergeCell ref="S81:W81"/>
    <x:mergeCell ref="X81:AB81"/>
    <x:mergeCell ref="AC81:AG81"/>
    <x:mergeCell ref="AH81:AL81"/>
    <x:mergeCell ref="AM81:AQ81"/>
    <x:mergeCell ref="AR81:AV81"/>
    <x:mergeCell ref="BB81:BF81"/>
    <x:mergeCell ref="BG81:BK81"/>
    <x:mergeCell ref="BL81:BP81"/>
    <x:mergeCell ref="BQ81:BU81"/>
    <x:mergeCell ref="L82:O82"/>
    <x:mergeCell ref="P82:R82"/>
    <x:mergeCell ref="S82:W82"/>
    <x:mergeCell ref="X82:AB82"/>
    <x:mergeCell ref="AC82:AG82"/>
    <x:mergeCell ref="AH82:AL82"/>
    <x:mergeCell ref="AM82:AQ82"/>
    <x:mergeCell ref="AR82:AV82"/>
    <x:mergeCell ref="BB82:BF82"/>
    <x:mergeCell ref="BG82:BK82"/>
    <x:mergeCell ref="BL82:BP82"/>
    <x:mergeCell ref="BQ82:BU82"/>
    <x:mergeCell ref="L83:O83"/>
    <x:mergeCell ref="P83:R83"/>
    <x:mergeCell ref="S83:W83"/>
    <x:mergeCell ref="X83:AB83"/>
    <x:mergeCell ref="AC83:AG83"/>
    <x:mergeCell ref="AH83:AL83"/>
    <x:mergeCell ref="AM83:AQ83"/>
    <x:mergeCell ref="AR83:AV83"/>
    <x:mergeCell ref="BB83:BF83"/>
    <x:mergeCell ref="BG83:BK83"/>
    <x:mergeCell ref="BL83:BP83"/>
    <x:mergeCell ref="BQ83:BU83"/>
    <x:mergeCell ref="F84:K89"/>
    <x:mergeCell ref="L84:O84"/>
    <x:mergeCell ref="P84:R84"/>
    <x:mergeCell ref="S84:W84"/>
    <x:mergeCell ref="X84:AB84"/>
    <x:mergeCell ref="AC84:AG84"/>
    <x:mergeCell ref="AH84:AL84"/>
    <x:mergeCell ref="AM84:AQ84"/>
    <x:mergeCell ref="AR84:AV84"/>
    <x:mergeCell ref="BB84:BF84"/>
    <x:mergeCell ref="BG84:BK84"/>
    <x:mergeCell ref="BL84:BP84"/>
    <x:mergeCell ref="BQ84:BU84"/>
    <x:mergeCell ref="L85:O85"/>
    <x:mergeCell ref="P85:R85"/>
    <x:mergeCell ref="S85:W85"/>
    <x:mergeCell ref="X85:AB85"/>
    <x:mergeCell ref="AC85:AG85"/>
    <x:mergeCell ref="AH85:AL85"/>
    <x:mergeCell ref="AM85:AQ85"/>
    <x:mergeCell ref="AR85:AV85"/>
    <x:mergeCell ref="BB85:BF85"/>
    <x:mergeCell ref="BG85:BK85"/>
    <x:mergeCell ref="BL85:BP85"/>
    <x:mergeCell ref="BQ85:BU85"/>
    <x:mergeCell ref="L86:O86"/>
    <x:mergeCell ref="P86:R86"/>
    <x:mergeCell ref="S86:W86"/>
    <x:mergeCell ref="X86:AB86"/>
    <x:mergeCell ref="AC86:AG86"/>
    <x:mergeCell ref="AH86:AL86"/>
    <x:mergeCell ref="AM86:AQ86"/>
    <x:mergeCell ref="AR86:AV86"/>
    <x:mergeCell ref="BB86:BF86"/>
    <x:mergeCell ref="BG86:BK86"/>
    <x:mergeCell ref="BL86:BP86"/>
    <x:mergeCell ref="BQ86:BU86"/>
    <x:mergeCell ref="L87:O87"/>
    <x:mergeCell ref="P87:R87"/>
    <x:mergeCell ref="S87:W87"/>
    <x:mergeCell ref="X87:AB87"/>
    <x:mergeCell ref="AC87:AG87"/>
    <x:mergeCell ref="AH87:AL87"/>
    <x:mergeCell ref="AM87:AQ87"/>
    <x:mergeCell ref="AR87:AV87"/>
    <x:mergeCell ref="BB87:BF87"/>
    <x:mergeCell ref="BG87:BK87"/>
    <x:mergeCell ref="BL87:BP87"/>
    <x:mergeCell ref="BQ87:BU87"/>
    <x:mergeCell ref="L88:O88"/>
    <x:mergeCell ref="P88:R88"/>
    <x:mergeCell ref="S88:W88"/>
    <x:mergeCell ref="X88:AB88"/>
    <x:mergeCell ref="AC88:AG88"/>
    <x:mergeCell ref="AH88:AL88"/>
    <x:mergeCell ref="AM88:AQ88"/>
    <x:mergeCell ref="AR88:AV88"/>
    <x:mergeCell ref="BB88:BF88"/>
    <x:mergeCell ref="BG88:BK88"/>
    <x:mergeCell ref="BL88:BP88"/>
    <x:mergeCell ref="BQ88:BU88"/>
    <x:mergeCell ref="L89:O89"/>
    <x:mergeCell ref="P89:R89"/>
    <x:mergeCell ref="S89:W89"/>
    <x:mergeCell ref="X89:AB89"/>
    <x:mergeCell ref="AC89:AG89"/>
    <x:mergeCell ref="AH89:AL89"/>
    <x:mergeCell ref="AM89:AQ89"/>
    <x:mergeCell ref="AR89:AV89"/>
    <x:mergeCell ref="BB89:BF89"/>
    <x:mergeCell ref="BG89:BK89"/>
    <x:mergeCell ref="BL89:BP89"/>
    <x:mergeCell ref="BQ89:BU89"/>
    <x:mergeCell ref="F90:K93"/>
    <x:mergeCell ref="L90:O90"/>
    <x:mergeCell ref="P90:R90"/>
    <x:mergeCell ref="S90:W90"/>
    <x:mergeCell ref="X90:AB90"/>
    <x:mergeCell ref="AC90:AG90"/>
    <x:mergeCell ref="AH90:AL90"/>
    <x:mergeCell ref="AM90:AQ90"/>
    <x:mergeCell ref="AR90:AV90"/>
    <x:mergeCell ref="BB90:BF90"/>
    <x:mergeCell ref="BG90:BK90"/>
    <x:mergeCell ref="BL90:BP90"/>
    <x:mergeCell ref="BQ90:BU90"/>
    <x:mergeCell ref="L91:O91"/>
    <x:mergeCell ref="P91:R91"/>
    <x:mergeCell ref="S91:W91"/>
    <x:mergeCell ref="X91:AB91"/>
    <x:mergeCell ref="AC91:AG91"/>
    <x:mergeCell ref="AH91:AL91"/>
    <x:mergeCell ref="AM91:AQ91"/>
    <x:mergeCell ref="AR91:AV91"/>
    <x:mergeCell ref="BB91:BF91"/>
    <x:mergeCell ref="BG91:BK91"/>
    <x:mergeCell ref="BL91:BP91"/>
    <x:mergeCell ref="BQ91:BU91"/>
    <x:mergeCell ref="L92:O92"/>
    <x:mergeCell ref="P92:R92"/>
    <x:mergeCell ref="S92:W92"/>
    <x:mergeCell ref="X92:AB92"/>
    <x:mergeCell ref="AC92:AG92"/>
    <x:mergeCell ref="AH92:AL92"/>
    <x:mergeCell ref="AM92:AQ92"/>
    <x:mergeCell ref="AR92:AV92"/>
    <x:mergeCell ref="BB92:BF92"/>
    <x:mergeCell ref="BG92:BK92"/>
    <x:mergeCell ref="BL92:BP92"/>
    <x:mergeCell ref="BQ92:BU92"/>
    <x:mergeCell ref="L93:O93"/>
    <x:mergeCell ref="P93:R93"/>
    <x:mergeCell ref="S93:W93"/>
    <x:mergeCell ref="X93:AB93"/>
    <x:mergeCell ref="AC93:AG93"/>
    <x:mergeCell ref="AH93:AL93"/>
    <x:mergeCell ref="AM93:AQ93"/>
    <x:mergeCell ref="AR93:AV93"/>
    <x:mergeCell ref="BB93:BF93"/>
    <x:mergeCell ref="BG93:BK93"/>
    <x:mergeCell ref="BL93:BP93"/>
    <x:mergeCell ref="BQ93:BU93"/>
    <x:mergeCell ref="F94:K97"/>
    <x:mergeCell ref="L94:O94"/>
    <x:mergeCell ref="P94:R94"/>
    <x:mergeCell ref="S94:W94"/>
    <x:mergeCell ref="X94:AB94"/>
    <x:mergeCell ref="AC94:AG94"/>
    <x:mergeCell ref="AH94:AL94"/>
    <x:mergeCell ref="AM94:AQ94"/>
    <x:mergeCell ref="AR94:AV94"/>
    <x:mergeCell ref="BB94:BF94"/>
    <x:mergeCell ref="BG94:BK94"/>
    <x:mergeCell ref="BL94:BP94"/>
    <x:mergeCell ref="BQ94:BU94"/>
    <x:mergeCell ref="L95:O95"/>
    <x:mergeCell ref="P95:R95"/>
    <x:mergeCell ref="S95:W95"/>
    <x:mergeCell ref="X95:AB95"/>
    <x:mergeCell ref="AC95:AG95"/>
    <x:mergeCell ref="AH95:AL95"/>
    <x:mergeCell ref="AM95:AQ95"/>
    <x:mergeCell ref="AR95:AV95"/>
    <x:mergeCell ref="BB95:BF95"/>
    <x:mergeCell ref="BG95:BK95"/>
    <x:mergeCell ref="BL95:BP95"/>
    <x:mergeCell ref="BQ95:BU95"/>
    <x:mergeCell ref="L96:O96"/>
    <x:mergeCell ref="P96:R96"/>
    <x:mergeCell ref="S96:W96"/>
    <x:mergeCell ref="X96:AB96"/>
    <x:mergeCell ref="AC96:AG96"/>
    <x:mergeCell ref="AH96:AL96"/>
    <x:mergeCell ref="AM96:AQ96"/>
    <x:mergeCell ref="AR96:AV96"/>
    <x:mergeCell ref="BB96:BF96"/>
    <x:mergeCell ref="BG96:BK96"/>
    <x:mergeCell ref="BL96:BP96"/>
    <x:mergeCell ref="BQ96:BU96"/>
    <x:mergeCell ref="L97:O97"/>
    <x:mergeCell ref="P97:R97"/>
    <x:mergeCell ref="S97:W97"/>
    <x:mergeCell ref="X97:AB97"/>
    <x:mergeCell ref="AC97:AG97"/>
    <x:mergeCell ref="AH97:AL97"/>
    <x:mergeCell ref="AM97:AQ97"/>
    <x:mergeCell ref="AR97:AV97"/>
    <x:mergeCell ref="BB97:BF97"/>
    <x:mergeCell ref="BG97:BK97"/>
    <x:mergeCell ref="BL97:BP97"/>
    <x:mergeCell ref="BQ97:BU97"/>
    <x:mergeCell ref="BB99:BU99"/>
    <x:mergeCell ref="BX99:CB99"/>
    <x:mergeCell ref="CD99:CH99"/>
    <x:mergeCell ref="CJ99:CN99"/>
    <x:mergeCell ref="CP99:CT99"/>
    <x:mergeCell ref="CV99:CZ99"/>
    <x:mergeCell ref="DB99:DC101"/>
    <x:mergeCell ref="DD99:DE101"/>
    <x:mergeCell ref="F100:K101"/>
    <x:mergeCell ref="L100:R101"/>
    <x:mergeCell ref="S100:W101"/>
    <x:mergeCell ref="X100:AL100"/>
    <x:mergeCell ref="AM100:AQ101"/>
    <x:mergeCell ref="AR100:AV101"/>
    <x:mergeCell ref="BB100:BF101"/>
    <x:mergeCell ref="BG100:BK101"/>
    <x:mergeCell ref="BL100:BP101"/>
    <x:mergeCell ref="BQ100:BU101"/>
    <x:mergeCell ref="BX100:BX101"/>
    <x:mergeCell ref="BY100:BY101"/>
    <x:mergeCell ref="BZ100:BZ101"/>
    <x:mergeCell ref="CA100:CA101"/>
    <x:mergeCell ref="CB100:CB101"/>
    <x:mergeCell ref="CD100:CD101"/>
    <x:mergeCell ref="CE100:CE101"/>
    <x:mergeCell ref="CF100:CF101"/>
    <x:mergeCell ref="CG100:CG101"/>
    <x:mergeCell ref="CH100:CH101"/>
    <x:mergeCell ref="CJ100:CJ101"/>
    <x:mergeCell ref="CK100:CK101"/>
    <x:mergeCell ref="CL100:CL101"/>
    <x:mergeCell ref="CM100:CM101"/>
    <x:mergeCell ref="CN100:CN101"/>
    <x:mergeCell ref="CP100:CP101"/>
    <x:mergeCell ref="CQ100:CQ101"/>
    <x:mergeCell ref="CR100:CR101"/>
    <x:mergeCell ref="CS100:CS101"/>
    <x:mergeCell ref="CT100:CT101"/>
    <x:mergeCell ref="CY100:CZ100"/>
    <x:mergeCell ref="X101:AB101"/>
    <x:mergeCell ref="AC101:AG101"/>
    <x:mergeCell ref="AH101:AL101"/>
    <x:mergeCell ref="CY101:CZ101"/>
    <x:mergeCell ref="F102:K103"/>
    <x:mergeCell ref="L102:O102"/>
    <x:mergeCell ref="P102:R102"/>
    <x:mergeCell ref="S102:W102"/>
    <x:mergeCell ref="X102:AB102"/>
    <x:mergeCell ref="AC102:AG102"/>
    <x:mergeCell ref="AH102:AL102"/>
    <x:mergeCell ref="AM102:AQ102"/>
    <x:mergeCell ref="AR102:AV102"/>
    <x:mergeCell ref="BB102:BF102"/>
    <x:mergeCell ref="BG102:BK102"/>
    <x:mergeCell ref="BL102:BP102"/>
    <x:mergeCell ref="BQ102:BU102"/>
    <x:mergeCell ref="L103:O103"/>
    <x:mergeCell ref="P103:R103"/>
    <x:mergeCell ref="S103:W103"/>
    <x:mergeCell ref="X103:AB103"/>
    <x:mergeCell ref="AC103:AG103"/>
    <x:mergeCell ref="AH103:AL103"/>
    <x:mergeCell ref="AM103:AQ103"/>
    <x:mergeCell ref="AR103:AV103"/>
    <x:mergeCell ref="BB103:BF103"/>
    <x:mergeCell ref="BG103:BK103"/>
    <x:mergeCell ref="BL103:BP103"/>
    <x:mergeCell ref="BQ103:BU103"/>
    <x:mergeCell ref="F104:K104"/>
    <x:mergeCell ref="L104:O104"/>
    <x:mergeCell ref="P104:R104"/>
    <x:mergeCell ref="S104:W104"/>
    <x:mergeCell ref="X104:AB104"/>
    <x:mergeCell ref="AC104:AG104"/>
    <x:mergeCell ref="AH104:AL104"/>
    <x:mergeCell ref="AM104:AQ104"/>
    <x:mergeCell ref="AR104:AV104"/>
    <x:mergeCell ref="BB104:BF104"/>
    <x:mergeCell ref="BG104:BK104"/>
    <x:mergeCell ref="BL104:BP104"/>
    <x:mergeCell ref="BQ104:BU104"/>
    <x:mergeCell ref="F105:K105"/>
    <x:mergeCell ref="L105:O105"/>
    <x:mergeCell ref="P105:R105"/>
    <x:mergeCell ref="S105:W105"/>
    <x:mergeCell ref="X105:AB105"/>
    <x:mergeCell ref="AC105:AG105"/>
    <x:mergeCell ref="AH105:AL105"/>
    <x:mergeCell ref="AM105:AQ105"/>
    <x:mergeCell ref="AR105:AV105"/>
    <x:mergeCell ref="BB105:BF105"/>
    <x:mergeCell ref="BG105:BK105"/>
    <x:mergeCell ref="BL105:BP105"/>
    <x:mergeCell ref="BQ105:BU105"/>
    <x:mergeCell ref="F106:K106"/>
    <x:mergeCell ref="L106:O106"/>
    <x:mergeCell ref="P106:R106"/>
    <x:mergeCell ref="S106:W106"/>
    <x:mergeCell ref="X106:AB106"/>
    <x:mergeCell ref="AC106:AG106"/>
    <x:mergeCell ref="AH106:AL106"/>
    <x:mergeCell ref="AM106:AQ106"/>
    <x:mergeCell ref="AR106:AV106"/>
    <x:mergeCell ref="BB106:BF106"/>
    <x:mergeCell ref="BG106:BK106"/>
    <x:mergeCell ref="BL106:BP106"/>
    <x:mergeCell ref="BQ106:BU106"/>
    <x:mergeCell ref="F107:K107"/>
    <x:mergeCell ref="L107:O107"/>
    <x:mergeCell ref="P107:R107"/>
    <x:mergeCell ref="S107:W107"/>
    <x:mergeCell ref="X107:AB107"/>
    <x:mergeCell ref="AC107:AG107"/>
    <x:mergeCell ref="AH107:AL107"/>
    <x:mergeCell ref="AM107:AQ107"/>
    <x:mergeCell ref="AR107:AV107"/>
    <x:mergeCell ref="BB107:BF107"/>
    <x:mergeCell ref="BG107:BK107"/>
    <x:mergeCell ref="BL107:BP107"/>
    <x:mergeCell ref="BQ107:BU107"/>
    <x:mergeCell ref="F108:K108"/>
    <x:mergeCell ref="L108:O108"/>
    <x:mergeCell ref="P108:R108"/>
    <x:mergeCell ref="S108:W108"/>
    <x:mergeCell ref="X108:AB108"/>
    <x:mergeCell ref="AC108:AG108"/>
    <x:mergeCell ref="AH108:AL108"/>
    <x:mergeCell ref="AM108:AQ108"/>
    <x:mergeCell ref="AR108:AV108"/>
    <x:mergeCell ref="BB108:BF108"/>
    <x:mergeCell ref="BG108:BK108"/>
    <x:mergeCell ref="BL108:BP108"/>
    <x:mergeCell ref="BQ108:BU108"/>
    <x:mergeCell ref="BB110:BU110"/>
    <x:mergeCell ref="BX110:CB110"/>
    <x:mergeCell ref="CD110:CH110"/>
    <x:mergeCell ref="CJ110:CN110"/>
    <x:mergeCell ref="CP110:CT110"/>
    <x:mergeCell ref="CV110:CZ110"/>
    <x:mergeCell ref="DB110:DC112"/>
    <x:mergeCell ref="DD110:DE112"/>
    <x:mergeCell ref="F111:K112"/>
    <x:mergeCell ref="L111:R112"/>
    <x:mergeCell ref="S111:W112"/>
    <x:mergeCell ref="X111:AL111"/>
    <x:mergeCell ref="AM111:AQ112"/>
    <x:mergeCell ref="AR111:AV112"/>
    <x:mergeCell ref="BB111:BF112"/>
    <x:mergeCell ref="BG111:BK112"/>
    <x:mergeCell ref="BL111:BP112"/>
    <x:mergeCell ref="BQ111:BU112"/>
    <x:mergeCell ref="BX111:BX112"/>
    <x:mergeCell ref="BY111:BY112"/>
    <x:mergeCell ref="BZ111:BZ112"/>
    <x:mergeCell ref="CA111:CA112"/>
    <x:mergeCell ref="CB111:CB112"/>
    <x:mergeCell ref="CD111:CD112"/>
    <x:mergeCell ref="CE111:CE112"/>
    <x:mergeCell ref="CF111:CF112"/>
    <x:mergeCell ref="CG111:CG112"/>
    <x:mergeCell ref="CH111:CH112"/>
    <x:mergeCell ref="CJ111:CJ112"/>
    <x:mergeCell ref="CK111:CK112"/>
    <x:mergeCell ref="CL111:CL112"/>
    <x:mergeCell ref="CM111:CM112"/>
    <x:mergeCell ref="CN111:CN112"/>
    <x:mergeCell ref="CP111:CP112"/>
    <x:mergeCell ref="CQ111:CQ112"/>
    <x:mergeCell ref="CR111:CR112"/>
    <x:mergeCell ref="CS111:CS112"/>
    <x:mergeCell ref="CT111:CT112"/>
    <x:mergeCell ref="CY111:CZ111"/>
    <x:mergeCell ref="X112:AB112"/>
    <x:mergeCell ref="AC112:AG112"/>
    <x:mergeCell ref="AH112:AL112"/>
    <x:mergeCell ref="CY112:CZ112"/>
    <x:mergeCell ref="F113:K113"/>
    <x:mergeCell ref="L113:O113"/>
    <x:mergeCell ref="P113:R113"/>
    <x:mergeCell ref="S113:W113"/>
    <x:mergeCell ref="X113:AB113"/>
    <x:mergeCell ref="AC113:AG113"/>
    <x:mergeCell ref="AH113:AL113"/>
    <x:mergeCell ref="AM113:AQ113"/>
    <x:mergeCell ref="AR113:AV113"/>
    <x:mergeCell ref="BB113:BF113"/>
    <x:mergeCell ref="BG113:BK113"/>
    <x:mergeCell ref="BL113:BP113"/>
    <x:mergeCell ref="BQ113:BU113"/>
    <x:mergeCell ref="F114:K114"/>
    <x:mergeCell ref="L114:O114"/>
    <x:mergeCell ref="P114:R114"/>
    <x:mergeCell ref="S114:W114"/>
    <x:mergeCell ref="X114:AB114"/>
    <x:mergeCell ref="AC114:AG114"/>
    <x:mergeCell ref="AH114:AL114"/>
    <x:mergeCell ref="AM114:AQ114"/>
    <x:mergeCell ref="AR114:AV114"/>
    <x:mergeCell ref="BB114:BF114"/>
    <x:mergeCell ref="BG114:BK114"/>
    <x:mergeCell ref="BL114:BP114"/>
    <x:mergeCell ref="BQ114:BU114"/>
    <x:mergeCell ref="F115:K116"/>
    <x:mergeCell ref="L115:O115"/>
    <x:mergeCell ref="P115:R115"/>
    <x:mergeCell ref="S115:W115"/>
    <x:mergeCell ref="X115:AB115"/>
    <x:mergeCell ref="AC115:AG115"/>
    <x:mergeCell ref="AH115:AL115"/>
    <x:mergeCell ref="AM115:AQ115"/>
    <x:mergeCell ref="AR115:AV115"/>
    <x:mergeCell ref="BB115:BF115"/>
    <x:mergeCell ref="BG115:BK115"/>
    <x:mergeCell ref="BL115:BP115"/>
    <x:mergeCell ref="BQ115:BU115"/>
    <x:mergeCell ref="L116:O116"/>
    <x:mergeCell ref="P116:R116"/>
    <x:mergeCell ref="S116:W116"/>
    <x:mergeCell ref="X116:AB116"/>
    <x:mergeCell ref="AC116:AG116"/>
    <x:mergeCell ref="AH116:AL116"/>
    <x:mergeCell ref="AM116:AQ116"/>
    <x:mergeCell ref="AR116:AV116"/>
    <x:mergeCell ref="BB116:BF116"/>
    <x:mergeCell ref="BG116:BK116"/>
    <x:mergeCell ref="BL116:BP116"/>
    <x:mergeCell ref="BQ116:BU116"/>
    <x:mergeCell ref="F117:K117"/>
    <x:mergeCell ref="L117:O117"/>
    <x:mergeCell ref="P117:R117"/>
    <x:mergeCell ref="S117:W117"/>
    <x:mergeCell ref="X117:AB117"/>
    <x:mergeCell ref="AC117:AG117"/>
    <x:mergeCell ref="AH117:AL117"/>
    <x:mergeCell ref="AM117:AQ117"/>
    <x:mergeCell ref="AR117:AV117"/>
    <x:mergeCell ref="BB117:BF117"/>
    <x:mergeCell ref="BG117:BK117"/>
    <x:mergeCell ref="BL117:BP117"/>
    <x:mergeCell ref="BQ117:BU117"/>
    <x:mergeCell ref="F118:K119"/>
    <x:mergeCell ref="L118:O118"/>
    <x:mergeCell ref="P118:R118"/>
    <x:mergeCell ref="S118:W118"/>
    <x:mergeCell ref="X118:AB118"/>
    <x:mergeCell ref="AC118:AG118"/>
    <x:mergeCell ref="AH118:AL118"/>
    <x:mergeCell ref="AM118:AQ118"/>
    <x:mergeCell ref="AR118:AV118"/>
    <x:mergeCell ref="BB118:BF118"/>
    <x:mergeCell ref="BG118:BK118"/>
    <x:mergeCell ref="BL118:BP118"/>
    <x:mergeCell ref="BQ118:BU118"/>
    <x:mergeCell ref="L119:O119"/>
    <x:mergeCell ref="P119:R119"/>
    <x:mergeCell ref="S119:W119"/>
    <x:mergeCell ref="X119:AB119"/>
    <x:mergeCell ref="AC119:AG119"/>
    <x:mergeCell ref="AH119:AL119"/>
    <x:mergeCell ref="AM119:AQ119"/>
    <x:mergeCell ref="AR119:AV119"/>
    <x:mergeCell ref="BB119:BF119"/>
    <x:mergeCell ref="BG119:BK119"/>
    <x:mergeCell ref="BL119:BP119"/>
    <x:mergeCell ref="BQ119:BU119"/>
    <x:mergeCell ref="F120:K121"/>
    <x:mergeCell ref="L120:O120"/>
    <x:mergeCell ref="P120:R120"/>
    <x:mergeCell ref="S120:W120"/>
    <x:mergeCell ref="X120:AB120"/>
    <x:mergeCell ref="AC120:AG120"/>
    <x:mergeCell ref="AH120:AL120"/>
    <x:mergeCell ref="AM120:AQ120"/>
    <x:mergeCell ref="AR120:AV120"/>
    <x:mergeCell ref="BB120:BF120"/>
    <x:mergeCell ref="BG120:BK120"/>
    <x:mergeCell ref="BL120:BP120"/>
    <x:mergeCell ref="BQ120:BU120"/>
    <x:mergeCell ref="L121:O121"/>
    <x:mergeCell ref="P121:R121"/>
    <x:mergeCell ref="S121:W121"/>
    <x:mergeCell ref="X121:AB121"/>
    <x:mergeCell ref="AC121:AG121"/>
    <x:mergeCell ref="AH121:AL121"/>
    <x:mergeCell ref="AM121:AQ121"/>
    <x:mergeCell ref="AR121:AV121"/>
    <x:mergeCell ref="BB121:BF121"/>
    <x:mergeCell ref="BG121:BK121"/>
    <x:mergeCell ref="BL121:BP121"/>
    <x:mergeCell ref="BQ121:BU121"/>
    <x:mergeCell ref="BB123:BU123"/>
    <x:mergeCell ref="BX123:CB123"/>
    <x:mergeCell ref="CD123:CH123"/>
    <x:mergeCell ref="CJ123:CN123"/>
    <x:mergeCell ref="CP123:CT123"/>
    <x:mergeCell ref="CV123:CZ123"/>
    <x:mergeCell ref="DB123:DC125"/>
    <x:mergeCell ref="DD123:DE125"/>
    <x:mergeCell ref="F124:K125"/>
    <x:mergeCell ref="L124:R125"/>
    <x:mergeCell ref="S124:W125"/>
    <x:mergeCell ref="X124:AL124"/>
    <x:mergeCell ref="AM124:AQ125"/>
    <x:mergeCell ref="AR124:AV125"/>
    <x:mergeCell ref="BB124:BF125"/>
    <x:mergeCell ref="BG124:BK125"/>
    <x:mergeCell ref="BL124:BP125"/>
    <x:mergeCell ref="BQ124:BU125"/>
    <x:mergeCell ref="BX124:BX125"/>
    <x:mergeCell ref="BY124:BY125"/>
    <x:mergeCell ref="BZ124:BZ125"/>
    <x:mergeCell ref="CA124:CA125"/>
    <x:mergeCell ref="CB124:CB125"/>
    <x:mergeCell ref="CD124:CD125"/>
    <x:mergeCell ref="CE124:CE125"/>
    <x:mergeCell ref="CF124:CF125"/>
    <x:mergeCell ref="CG124:CG125"/>
    <x:mergeCell ref="CH124:CH125"/>
    <x:mergeCell ref="CJ124:CJ125"/>
    <x:mergeCell ref="CK124:CK125"/>
    <x:mergeCell ref="CL124:CL125"/>
    <x:mergeCell ref="CM124:CM125"/>
    <x:mergeCell ref="CN124:CN125"/>
    <x:mergeCell ref="CP124:CP125"/>
    <x:mergeCell ref="CQ124:CQ125"/>
    <x:mergeCell ref="CR124:CR125"/>
    <x:mergeCell ref="CS124:CS125"/>
    <x:mergeCell ref="CT124:CT125"/>
    <x:mergeCell ref="CY124:CZ124"/>
    <x:mergeCell ref="X125:AB125"/>
    <x:mergeCell ref="AC125:AG125"/>
    <x:mergeCell ref="AH125:AL125"/>
    <x:mergeCell ref="CY125:CZ125"/>
    <x:mergeCell ref="F126:K127"/>
    <x:mergeCell ref="L126:O126"/>
    <x:mergeCell ref="P126:R126"/>
    <x:mergeCell ref="S126:W126"/>
    <x:mergeCell ref="X126:AB126"/>
    <x:mergeCell ref="AC126:AG126"/>
    <x:mergeCell ref="AH126:AL126"/>
    <x:mergeCell ref="AM126:AQ126"/>
    <x:mergeCell ref="AR126:AV126"/>
    <x:mergeCell ref="BB126:BF126"/>
    <x:mergeCell ref="BG126:BK126"/>
    <x:mergeCell ref="BL126:BP126"/>
    <x:mergeCell ref="BQ126:BU126"/>
    <x:mergeCell ref="L127:O127"/>
    <x:mergeCell ref="P127:R127"/>
    <x:mergeCell ref="S127:W127"/>
    <x:mergeCell ref="X127:AB127"/>
    <x:mergeCell ref="AC127:AG127"/>
    <x:mergeCell ref="AH127:AL127"/>
    <x:mergeCell ref="AM127:AQ127"/>
    <x:mergeCell ref="AR127:AV127"/>
    <x:mergeCell ref="BB127:BF127"/>
    <x:mergeCell ref="BG127:BK127"/>
    <x:mergeCell ref="BL127:BP127"/>
    <x:mergeCell ref="BQ127:BU127"/>
    <x:mergeCell ref="F128:K129"/>
    <x:mergeCell ref="L128:O128"/>
    <x:mergeCell ref="P128:R128"/>
    <x:mergeCell ref="S128:W128"/>
    <x:mergeCell ref="X128:AB128"/>
    <x:mergeCell ref="AC128:AG128"/>
    <x:mergeCell ref="AH128:AL128"/>
    <x:mergeCell ref="AM128:AQ128"/>
    <x:mergeCell ref="AR128:AV128"/>
    <x:mergeCell ref="BB128:BF128"/>
    <x:mergeCell ref="BG128:BK128"/>
    <x:mergeCell ref="BL128:BP128"/>
    <x:mergeCell ref="BQ128:BU128"/>
    <x:mergeCell ref="L129:O129"/>
    <x:mergeCell ref="P129:R129"/>
    <x:mergeCell ref="S129:W129"/>
    <x:mergeCell ref="X129:AB129"/>
    <x:mergeCell ref="AC129:AG129"/>
    <x:mergeCell ref="AH129:AL129"/>
    <x:mergeCell ref="AM129:AQ129"/>
    <x:mergeCell ref="AR129:AV129"/>
    <x:mergeCell ref="BB129:BF129"/>
    <x:mergeCell ref="BG129:BK129"/>
    <x:mergeCell ref="BL129:BP129"/>
    <x:mergeCell ref="BQ129:BU129"/>
    <x:mergeCell ref="F130:K131"/>
    <x:mergeCell ref="L130:O130"/>
    <x:mergeCell ref="P130:R130"/>
    <x:mergeCell ref="S130:W130"/>
    <x:mergeCell ref="X130:AB130"/>
    <x:mergeCell ref="AC130:AG130"/>
    <x:mergeCell ref="AH130:AL130"/>
    <x:mergeCell ref="AM130:AQ130"/>
    <x:mergeCell ref="AR130:AV130"/>
    <x:mergeCell ref="BB130:BF130"/>
    <x:mergeCell ref="BG130:BK130"/>
    <x:mergeCell ref="BL130:BP130"/>
    <x:mergeCell ref="BQ130:BU130"/>
    <x:mergeCell ref="L131:O131"/>
    <x:mergeCell ref="P131:R131"/>
    <x:mergeCell ref="S131:W131"/>
    <x:mergeCell ref="X131:AB131"/>
    <x:mergeCell ref="AC131:AG131"/>
    <x:mergeCell ref="AH131:AL131"/>
    <x:mergeCell ref="AM131:AQ131"/>
    <x:mergeCell ref="AR131:AV131"/>
    <x:mergeCell ref="BB131:BF131"/>
    <x:mergeCell ref="BG131:BK131"/>
    <x:mergeCell ref="BL131:BP131"/>
    <x:mergeCell ref="BQ131:BU131"/>
    <x:mergeCell ref="F132:K133"/>
    <x:mergeCell ref="L132:O132"/>
    <x:mergeCell ref="P132:R132"/>
    <x:mergeCell ref="S132:W132"/>
    <x:mergeCell ref="X132:AB132"/>
    <x:mergeCell ref="AC132:AG132"/>
    <x:mergeCell ref="AH132:AL132"/>
    <x:mergeCell ref="AM132:AQ132"/>
    <x:mergeCell ref="AR132:AV132"/>
    <x:mergeCell ref="BB132:BF132"/>
    <x:mergeCell ref="BG132:BK132"/>
    <x:mergeCell ref="BL132:BP132"/>
    <x:mergeCell ref="BQ132:BU132"/>
    <x:mergeCell ref="L133:O133"/>
    <x:mergeCell ref="P133:R133"/>
    <x:mergeCell ref="S133:W133"/>
    <x:mergeCell ref="X133:AB133"/>
    <x:mergeCell ref="AC133:AG133"/>
    <x:mergeCell ref="AH133:AL133"/>
    <x:mergeCell ref="AM133:AQ133"/>
    <x:mergeCell ref="AR133:AV133"/>
    <x:mergeCell ref="BB133:BF133"/>
    <x:mergeCell ref="BG133:BK133"/>
    <x:mergeCell ref="BL133:BP133"/>
    <x:mergeCell ref="BQ133:BU133"/>
    <x:mergeCell ref="F134:K135"/>
    <x:mergeCell ref="L134:O134"/>
    <x:mergeCell ref="P134:R134"/>
    <x:mergeCell ref="S134:W134"/>
    <x:mergeCell ref="X134:AB134"/>
    <x:mergeCell ref="AC134:AG134"/>
    <x:mergeCell ref="AH134:AL134"/>
    <x:mergeCell ref="AM134:AQ134"/>
    <x:mergeCell ref="AR134:AV134"/>
    <x:mergeCell ref="BB134:BF134"/>
    <x:mergeCell ref="BG134:BK134"/>
    <x:mergeCell ref="BL134:BP134"/>
    <x:mergeCell ref="BQ134:BU134"/>
    <x:mergeCell ref="L135:O135"/>
    <x:mergeCell ref="P135:R135"/>
    <x:mergeCell ref="S135:W135"/>
    <x:mergeCell ref="X135:AB135"/>
    <x:mergeCell ref="AC135:AG135"/>
    <x:mergeCell ref="AH135:AL135"/>
    <x:mergeCell ref="AM135:AQ135"/>
    <x:mergeCell ref="AR135:AV135"/>
    <x:mergeCell ref="BB135:BF135"/>
    <x:mergeCell ref="BG135:BK135"/>
    <x:mergeCell ref="BL135:BP135"/>
    <x:mergeCell ref="BQ135:BU135"/>
    <x:mergeCell ref="F136:K137"/>
    <x:mergeCell ref="L136:O136"/>
    <x:mergeCell ref="P136:R136"/>
    <x:mergeCell ref="S136:W136"/>
    <x:mergeCell ref="X136:AB136"/>
    <x:mergeCell ref="AC136:AG136"/>
    <x:mergeCell ref="AH136:AL136"/>
    <x:mergeCell ref="AM136:AQ136"/>
    <x:mergeCell ref="AR136:AV136"/>
    <x:mergeCell ref="BB136:BF136"/>
    <x:mergeCell ref="BG136:BK136"/>
    <x:mergeCell ref="BL136:BP136"/>
    <x:mergeCell ref="BQ136:BU136"/>
    <x:mergeCell ref="L137:O137"/>
    <x:mergeCell ref="P137:R137"/>
    <x:mergeCell ref="S137:W137"/>
    <x:mergeCell ref="X137:AB137"/>
    <x:mergeCell ref="AC137:AG137"/>
    <x:mergeCell ref="AH137:AL137"/>
    <x:mergeCell ref="AM137:AQ137"/>
    <x:mergeCell ref="AR137:AV137"/>
    <x:mergeCell ref="BB137:BF137"/>
    <x:mergeCell ref="BG137:BK137"/>
    <x:mergeCell ref="BL137:BP137"/>
    <x:mergeCell ref="BQ137:BU137"/>
    <x:mergeCell ref="B140:T140"/>
    <x:mergeCell ref="U140:AJ140"/>
    <x:mergeCell ref="AK140:AZ140"/>
    <x:mergeCell ref="B141:T141"/>
    <x:mergeCell ref="U141:AJ141"/>
    <x:mergeCell ref="AK141:AZ141"/>
    <x:mergeCell ref="B143:T143"/>
    <x:mergeCell ref="U143:AJ143"/>
    <x:mergeCell ref="AK143:AZ143"/>
    <x:mergeCell ref="B144:T144"/>
    <x:mergeCell ref="U144:AJ144"/>
    <x:mergeCell ref="AK144:AZ144"/>
    <x:mergeCell ref="B146:T146"/>
    <x:mergeCell ref="U146:AJ146"/>
    <x:mergeCell ref="AK146:AZ146"/>
    <x:mergeCell ref="B147:T147"/>
    <x:mergeCell ref="U147:AJ147"/>
    <x:mergeCell ref="AK147:AZ147"/>
  </x:mergeCells>
  <x:conditionalFormatting sqref="X129:AL129 X133:AL133">
    <x:cfRule type="expression" dxfId="0" priority="1" operator="equal">
      <x:formula>$BQ$136="FAIL"</x:formula>
    </x:cfRule>
  </x:conditionalFormatting>
  <x:conditionalFormatting sqref="X135:AL137">
    <x:cfRule type="expression" dxfId="0" priority="2" operator="equal">
      <x:formula>$BQ$134="FAIL"</x:formula>
    </x:cfRule>
  </x:conditionalFormatting>
  <x:conditionalFormatting sqref="X119:AL121">
    <x:cfRule type="expression" dxfId="0" priority="3" operator="equal">
      <x:formula>$BQ$118="FAIL"</x:formula>
    </x:cfRule>
  </x:conditionalFormatting>
  <x:conditionalFormatting sqref="X120:AL121">
    <x:cfRule type="expression" dxfId="0" priority="4" operator="equal">
      <x:formula>$BQ$119="FAIL"</x:formula>
    </x:cfRule>
  </x:conditionalFormatting>
  <x:conditionalFormatting sqref="X113:AL121">
    <x:cfRule type="notContainsBlanks" dxfId="1" priority="5">
      <x:formula>LEN(TRIM(X113))&gt;0</x:formula>
    </x:cfRule>
  </x:conditionalFormatting>
  <x:conditionalFormatting sqref="X79:AL79 X83:AL83">
    <x:cfRule type="expression" dxfId="0" priority="6" operator="equal">
      <x:formula>$BQ$82="FAIL"</x:formula>
    </x:cfRule>
  </x:conditionalFormatting>
  <x:conditionalFormatting sqref="X137:AL137">
    <x:cfRule type="expression" dxfId="0" priority="7" operator="equal">
      <x:formula>$BQ$136="FAIL"</x:formula>
    </x:cfRule>
  </x:conditionalFormatting>
  <x:conditionalFormatting sqref="L127:O133 S128:W128">
    <x:cfRule type="expression" dxfId="0" priority="8" operator="equal">
      <x:formula>$BQ$134="FAIL"</x:formula>
    </x:cfRule>
  </x:conditionalFormatting>
  <x:conditionalFormatting sqref="S129:W129 P131:AV131 S133:W133 S135:AV135 S137:W137">
    <x:cfRule type="expression" dxfId="0" priority="9" operator="equal">
      <x:formula>$BQ$135="FAIL"</x:formula>
    </x:cfRule>
  </x:conditionalFormatting>
  <x:conditionalFormatting sqref="L113:O117">
    <x:cfRule type="expression" dxfId="0" priority="10" operator="equal">
      <x:formula>$BQ$118="FAIL"</x:formula>
    </x:cfRule>
  </x:conditionalFormatting>
  <x:conditionalFormatting sqref="BQ126:BU137">
    <x:cfRule type="containsText" dxfId="2" priority="11" operator="containsText" text="PASS">
      <x:formula>NOT(ISERROR(SEARCH("PASS",BQ126)))</x:formula>
    </x:cfRule>
    <x:cfRule type="containsText" dxfId="3" priority="12" operator="containsText" text="FAIL">
      <x:formula>NOT(ISERROR(SEARCH("FAIL",BQ126)))</x:formula>
    </x:cfRule>
  </x:conditionalFormatting>
  <x:conditionalFormatting sqref="S127:AV127">
    <x:cfRule type="expression" dxfId="0" priority="13" operator="equal">
      <x:formula>$BQ$135="FAIL"</x:formula>
    </x:cfRule>
  </x:conditionalFormatting>
  <x:conditionalFormatting sqref="L126:AV126 P127:R129">
    <x:cfRule type="expression" dxfId="0" priority="14" operator="equal">
      <x:formula>$BQ$134="FAIL"</x:formula>
    </x:cfRule>
  </x:conditionalFormatting>
  <x:conditionalFormatting sqref="X126:AL137">
    <x:cfRule type="notContainsBlanks" dxfId="1" priority="15">
      <x:formula>LEN(TRIM(X126))&gt;0</x:formula>
    </x:cfRule>
  </x:conditionalFormatting>
  <x:conditionalFormatting sqref="X129:AV129 P133:R133">
    <x:cfRule type="expression" dxfId="0" priority="16" operator="equal">
      <x:formula>$BQ$137="FAIL"</x:formula>
    </x:cfRule>
  </x:conditionalFormatting>
  <x:conditionalFormatting sqref="X128:AV128 P132:R132">
    <x:cfRule type="expression" dxfId="0" priority="17" operator="equal">
      <x:formula>$BQ$136="FAIL"</x:formula>
    </x:cfRule>
  </x:conditionalFormatting>
  <x:conditionalFormatting sqref="P130:AV130 S132:W132">
    <x:cfRule type="expression" dxfId="0" priority="18" operator="equal">
      <x:formula>$BQ$134="FAIL"</x:formula>
    </x:cfRule>
  </x:conditionalFormatting>
  <x:conditionalFormatting sqref="BQ113:BU121">
    <x:cfRule type="containsText" dxfId="2" priority="19" operator="containsText" text="PASS">
      <x:formula>NOT(ISERROR(SEARCH("PASS",BQ113)))</x:formula>
    </x:cfRule>
    <x:cfRule type="containsText" dxfId="3" priority="20" operator="containsText" text="FAIL">
      <x:formula>NOT(ISERROR(SEARCH("FAIL",BQ113)))</x:formula>
    </x:cfRule>
  </x:conditionalFormatting>
  <x:conditionalFormatting sqref="P113:R114 X114:AV114 P117:R117">
    <x:cfRule type="expression" dxfId="0" priority="21" operator="equal">
      <x:formula>$BQ$121="FAIL"</x:formula>
    </x:cfRule>
  </x:conditionalFormatting>
  <x:conditionalFormatting sqref="X113:AV113 P115:R115">
    <x:cfRule type="expression" dxfId="0" priority="22" operator="equal">
      <x:formula>$BQ$118="FAIL"</x:formula>
    </x:cfRule>
  </x:conditionalFormatting>
  <x:conditionalFormatting sqref="P116:R116">
    <x:cfRule type="expression" dxfId="0" priority="23" operator="equal">
      <x:formula>$BQ$119="FAIL"</x:formula>
    </x:cfRule>
  </x:conditionalFormatting>
  <x:conditionalFormatting sqref="L94:AV94 L95:O97">
    <x:cfRule type="expression" dxfId="0" priority="24" operator="equal">
      <x:formula>$BQ$90="FAIL"</x:formula>
    </x:cfRule>
  </x:conditionalFormatting>
  <x:conditionalFormatting sqref="S95:W95 S97:W97">
    <x:cfRule type="expression" dxfId="0" priority="25" operator="equal">
      <x:formula>$BQ$81="FAIL"</x:formula>
    </x:cfRule>
  </x:conditionalFormatting>
  <x:conditionalFormatting sqref="P97:R97 X97:AV97">
    <x:cfRule type="expression" dxfId="0" priority="26" operator="equal">
      <x:formula>$BQ$93="FAIL"</x:formula>
    </x:cfRule>
  </x:conditionalFormatting>
  <x:conditionalFormatting sqref="P96:AV96">
    <x:cfRule type="expression" dxfId="0" priority="27" operator="equal">
      <x:formula>$BQ$92="FAIL"</x:formula>
    </x:cfRule>
  </x:conditionalFormatting>
  <x:conditionalFormatting sqref="P95:R95 X95:AV95">
    <x:cfRule type="expression" dxfId="0" priority="28" operator="equal">
      <x:formula>$BQ$91="FAIL"</x:formula>
    </x:cfRule>
  </x:conditionalFormatting>
  <x:conditionalFormatting sqref="BQ76:BU97">
    <x:cfRule type="containsText" dxfId="2" priority="29" operator="containsText" text="PASS">
      <x:formula>NOT(ISERROR(SEARCH("PASS",BQ76)))</x:formula>
    </x:cfRule>
    <x:cfRule type="containsText" dxfId="3" priority="30" operator="containsText" text="FAIL">
      <x:formula>NOT(ISERROR(SEARCH("FAIL",BQ76)))</x:formula>
    </x:cfRule>
  </x:conditionalFormatting>
  <x:conditionalFormatting sqref="X76:AL97">
    <x:cfRule type="notContainsBlanks" dxfId="1" priority="31">
      <x:formula>LEN(TRIM(X76))&gt;0</x:formula>
    </x:cfRule>
  </x:conditionalFormatting>
  <x:conditionalFormatting sqref="L69:R69 X69:AV69 L70:O71">
    <x:cfRule type="expression" dxfId="0" priority="32" operator="equal">
      <x:formula>$BQ$66="FAIL"</x:formula>
    </x:cfRule>
  </x:conditionalFormatting>
  <x:conditionalFormatting sqref="P71:R71 X71:AV71">
    <x:cfRule type="expression" dxfId="0" priority="33" operator="equal">
      <x:formula>$BQ$68="FAIL"</x:formula>
    </x:cfRule>
  </x:conditionalFormatting>
  <x:conditionalFormatting sqref="P70:R70 X70:AV70">
    <x:cfRule type="expression" dxfId="0" priority="34" operator="equal">
      <x:formula>$BQ$67="FAIL"</x:formula>
    </x:cfRule>
  </x:conditionalFormatting>
  <x:conditionalFormatting sqref="BQ55:BU71">
    <x:cfRule type="containsText" dxfId="2" priority="35" operator="containsText" text="PASS">
      <x:formula>NOT(ISERROR(SEARCH("PASS",BQ55)))</x:formula>
    </x:cfRule>
    <x:cfRule type="containsText" dxfId="3" priority="36" operator="containsText" text="FAIL">
      <x:formula>NOT(ISERROR(SEARCH("FAIL",BQ55)))</x:formula>
    </x:cfRule>
  </x:conditionalFormatting>
  <x:conditionalFormatting sqref="X55:AL71">
    <x:cfRule type="notContainsBlanks" dxfId="1" priority="37">
      <x:formula>LEN(TRIM(X55))&gt;0</x:formula>
    </x:cfRule>
  </x:conditionalFormatting>
  <x:conditionalFormatting sqref="L106:R107">
    <x:cfRule type="expression" dxfId="0" priority="38" operator="equal">
      <x:formula>$BQ$106="FAIL"</x:formula>
    </x:cfRule>
  </x:conditionalFormatting>
  <x:conditionalFormatting sqref="BQ102:BU108">
    <x:cfRule type="containsText" dxfId="2" priority="39" operator="containsText" text="PASS">
      <x:formula>NOT(ISERROR(SEARCH("PASS",BQ102)))</x:formula>
    </x:cfRule>
    <x:cfRule type="containsText" dxfId="3" priority="40" operator="containsText" text="FAIL">
      <x:formula>NOT(ISERROR(SEARCH("FAIL",BQ102)))</x:formula>
    </x:cfRule>
  </x:conditionalFormatting>
  <x:conditionalFormatting sqref="B33:AZ34 X102:AL108">
    <x:cfRule type="notContainsBlanks" dxfId="1" priority="41">
      <x:formula>LEN(TRIM(B33))&gt;0</x:formula>
    </x:cfRule>
  </x:conditionalFormatting>
  <x:conditionalFormatting sqref="S77:AV77 S79:W79 P81:AV81 S83:W83 S85:W85 S87:W87 S89:W89 S91:W91 S93:W93">
    <x:cfRule type="expression" dxfId="0" priority="42" operator="equal">
      <x:formula>$BQ$81="FAIL"</x:formula>
    </x:cfRule>
  </x:conditionalFormatting>
  <x:conditionalFormatting sqref="L134:AV134 L135:R137 S136:W136">
    <x:cfRule type="expression" dxfId="0" priority="43" operator="equal">
      <x:formula>$BQ$134="FAIL"</x:formula>
    </x:cfRule>
  </x:conditionalFormatting>
  <x:conditionalFormatting sqref="X115:AV115 L118:R121 X118:AV118">
    <x:cfRule type="expression" dxfId="0" priority="44" operator="equal">
      <x:formula>$BQ$118="FAIL"</x:formula>
    </x:cfRule>
  </x:conditionalFormatting>
  <x:conditionalFormatting sqref="L84:AV84 L85:O89">
    <x:cfRule type="expression" dxfId="0" priority="45" operator="equal">
      <x:formula>$BQ$84="FAIL"</x:formula>
    </x:cfRule>
  </x:conditionalFormatting>
  <x:conditionalFormatting sqref="L76:AV76 L77:R80 S80:AV80 L81:O83">
    <x:cfRule type="expression" dxfId="0" priority="46" operator="equal">
      <x:formula>$BQ$80="FAIL"</x:formula>
    </x:cfRule>
  </x:conditionalFormatting>
  <x:conditionalFormatting sqref="S78:AV78 P82:AV82">
    <x:cfRule type="expression" dxfId="0" priority="47" operator="equal">
      <x:formula>$BQ$82="FAIL"</x:formula>
    </x:cfRule>
  </x:conditionalFormatting>
  <x:conditionalFormatting sqref="L61:R61 X61:AV61 L62:O65">
    <x:cfRule type="expression" dxfId="0" priority="48" operator="equal">
      <x:formula>$BQ$61="FAIL"</x:formula>
    </x:cfRule>
  </x:conditionalFormatting>
  <x:conditionalFormatting sqref="L55:L60 P55:P55 X55:AV55">
    <x:cfRule type="expression" dxfId="4" priority="49" operator="equal">
      <x:formula>$BQ$55="FAIL"</x:formula>
    </x:cfRule>
  </x:conditionalFormatting>
  <x:conditionalFormatting sqref="X133:AV133 X137:AV137">
    <x:cfRule type="expression" dxfId="0" priority="50" operator="equal">
      <x:formula>$BQ$137="FAIL"</x:formula>
    </x:cfRule>
  </x:conditionalFormatting>
  <x:conditionalFormatting sqref="X132:AV132 X136:AV136">
    <x:cfRule type="expression" dxfId="0" priority="51" operator="equal">
      <x:formula>$BQ$136="FAIL"</x:formula>
    </x:cfRule>
  </x:conditionalFormatting>
  <x:conditionalFormatting sqref="X117:AV117 AM120:AV121">
    <x:cfRule type="expression" dxfId="0" priority="52" operator="equal">
      <x:formula>$BQ$121="FAIL"</x:formula>
    </x:cfRule>
  </x:conditionalFormatting>
  <x:conditionalFormatting sqref="X116:AV116 X119:AV119">
    <x:cfRule type="expression" dxfId="0" priority="53" operator="equal">
      <x:formula>$BQ$119="FAIL"</x:formula>
    </x:cfRule>
  </x:conditionalFormatting>
  <x:conditionalFormatting sqref="L108:R108 X108:AV108">
    <x:cfRule type="expression" dxfId="0" priority="54" operator="equal">
      <x:formula>$BQ$108="FAIL"</x:formula>
    </x:cfRule>
  </x:conditionalFormatting>
  <x:conditionalFormatting sqref="X106:AV107">
    <x:cfRule type="expression" dxfId="0" priority="55" operator="equal">
      <x:formula>$BQ$106="FAIL"</x:formula>
    </x:cfRule>
  </x:conditionalFormatting>
  <x:conditionalFormatting sqref="L105:R105 X105:AV105">
    <x:cfRule type="expression" dxfId="0" priority="56" operator="equal">
      <x:formula>$BQ$105="FAIL"</x:formula>
    </x:cfRule>
  </x:conditionalFormatting>
  <x:conditionalFormatting sqref="L104:R104 X104:AV104">
    <x:cfRule type="expression" dxfId="0" priority="57" operator="equal">
      <x:formula>$BQ$104="FAIL"</x:formula>
    </x:cfRule>
  </x:conditionalFormatting>
  <x:conditionalFormatting sqref="L103:R103 X103:AV103">
    <x:cfRule type="expression" dxfId="0" priority="58" operator="equal">
      <x:formula>$BQ$103="FAIL"</x:formula>
    </x:cfRule>
  </x:conditionalFormatting>
  <x:conditionalFormatting sqref="L102:R102 X102:AV102">
    <x:cfRule type="expression" dxfId="0" priority="59" operator="equal">
      <x:formula>$BQ$102="FAIL"</x:formula>
    </x:cfRule>
  </x:conditionalFormatting>
  <x:conditionalFormatting sqref="L93:R93 X93:AV93">
    <x:cfRule type="expression" dxfId="0" priority="60" operator="equal">
      <x:formula>$BQ$93="FAIL"</x:formula>
    </x:cfRule>
  </x:conditionalFormatting>
  <x:conditionalFormatting sqref="L92:AV92">
    <x:cfRule type="expression" dxfId="0" priority="61" operator="equal">
      <x:formula>$BQ$92="FAIL"</x:formula>
    </x:cfRule>
  </x:conditionalFormatting>
  <x:conditionalFormatting sqref="L91:R91 X91:AV91">
    <x:cfRule type="expression" dxfId="0" priority="62" operator="equal">
      <x:formula>$BQ$91="FAIL"</x:formula>
    </x:cfRule>
  </x:conditionalFormatting>
  <x:conditionalFormatting sqref="L90:AV90">
    <x:cfRule type="expression" dxfId="0" priority="63" operator="equal">
      <x:formula>$BQ$90="FAIL"</x:formula>
    </x:cfRule>
  </x:conditionalFormatting>
  <x:conditionalFormatting sqref="P89:R89 X89:AV89">
    <x:cfRule type="expression" dxfId="0" priority="64" operator="equal">
      <x:formula>$BQ$89="FAIL"</x:formula>
    </x:cfRule>
  </x:conditionalFormatting>
  <x:conditionalFormatting sqref="P88:AV88">
    <x:cfRule type="expression" dxfId="0" priority="65" operator="equal">
      <x:formula>$BQ$88="FAIL"</x:formula>
    </x:cfRule>
  </x:conditionalFormatting>
  <x:conditionalFormatting sqref="P87:R87 X87:AV87">
    <x:cfRule type="expression" dxfId="0" priority="66" operator="equal">
      <x:formula>$BQ$87="FAIL"</x:formula>
    </x:cfRule>
  </x:conditionalFormatting>
  <x:conditionalFormatting sqref="P86:AV86">
    <x:cfRule type="expression" dxfId="0" priority="67" operator="equal">
      <x:formula>$BQ$86="FAIL"</x:formula>
    </x:cfRule>
  </x:conditionalFormatting>
  <x:conditionalFormatting sqref="P85:R85 X85:AV85">
    <x:cfRule type="expression" dxfId="0" priority="68" operator="equal">
      <x:formula>$BQ$85="FAIL"</x:formula>
    </x:cfRule>
  </x:conditionalFormatting>
  <x:conditionalFormatting sqref="X79:AV79 P83:R83 X83:AV83">
    <x:cfRule type="expression" dxfId="0" priority="69" operator="equal">
      <x:formula>$BQ$83="FAIL"</x:formula>
    </x:cfRule>
  </x:conditionalFormatting>
  <x:conditionalFormatting sqref="L68:R68 X68:AV68">
    <x:cfRule type="expression" dxfId="0" priority="70" operator="equal">
      <x:formula>$BQ$68="FAIL"</x:formula>
    </x:cfRule>
  </x:conditionalFormatting>
  <x:conditionalFormatting sqref="L67:R67 X67:AV67">
    <x:cfRule type="expression" dxfId="0" priority="71" operator="equal">
      <x:formula>$BQ$67="FAIL"</x:formula>
    </x:cfRule>
  </x:conditionalFormatting>
  <x:conditionalFormatting sqref="L66:R66 X66:AV66">
    <x:cfRule type="expression" dxfId="0" priority="72" operator="equal">
      <x:formula>$BQ$66="FAIL"</x:formula>
    </x:cfRule>
  </x:conditionalFormatting>
  <x:conditionalFormatting sqref="P65:R65 X65:AV65">
    <x:cfRule type="expression" dxfId="0" priority="73" operator="equal">
      <x:formula>$BQ$65="FAIL"</x:formula>
    </x:cfRule>
  </x:conditionalFormatting>
  <x:conditionalFormatting sqref="P64:R64 X64:AV64">
    <x:cfRule type="expression" dxfId="0" priority="74" operator="equal">
      <x:formula>$BQ$64="FAIL"</x:formula>
    </x:cfRule>
  </x:conditionalFormatting>
  <x:conditionalFormatting sqref="P63:R63 X63:AV63">
    <x:cfRule type="expression" dxfId="0" priority="75" operator="equal">
      <x:formula>$BQ$63="FAIL"</x:formula>
    </x:cfRule>
  </x:conditionalFormatting>
  <x:conditionalFormatting sqref="P62:R62 X62:AV62">
    <x:cfRule type="expression" dxfId="0" priority="76" operator="equal">
      <x:formula>$BQ$62="FAIL"</x:formula>
    </x:cfRule>
  </x:conditionalFormatting>
  <x:conditionalFormatting sqref="P60:R60 X60:AV60">
    <x:cfRule type="expression" dxfId="0" priority="77" operator="equal">
      <x:formula>$BQ$60="FAIL"</x:formula>
    </x:cfRule>
  </x:conditionalFormatting>
  <x:conditionalFormatting sqref="P59:R59 X59:AV59">
    <x:cfRule type="expression" dxfId="0" priority="78" operator="equal">
      <x:formula>$BQ$59="FAIL"</x:formula>
    </x:cfRule>
  </x:conditionalFormatting>
  <x:conditionalFormatting sqref="P58:R58 X58:AV58">
    <x:cfRule type="expression" dxfId="0" priority="79" operator="equal">
      <x:formula>$BQ$58="FAIL"</x:formula>
    </x:cfRule>
  </x:conditionalFormatting>
  <x:conditionalFormatting sqref="P57:R57 X57:AV57">
    <x:cfRule type="expression" dxfId="0" priority="80" operator="equal">
      <x:formula>$BQ$57="FAIL"</x:formula>
    </x:cfRule>
  </x:conditionalFormatting>
  <x:conditionalFormatting sqref="P56:R56 X56:AV56">
    <x:cfRule type="expression" dxfId="0" priority="81" operator="equal">
      <x:formula>$BQ$56="FAIL"</x:formula>
    </x:cfRule>
  </x:conditionalFormatting>
  <x:conditionalFormatting sqref="L7:N7 AN7:AP7 K9:AA22 AL9:AZ22 AG29:AX29 B37:AZ38 K41:L42 T41:U42 C45:AS48 B140:T140 AK140:AZ140 B143:T143 AK143:AZ143 B146:T146 AK146:AZ147">
    <x:cfRule type="notContainsBlanks" dxfId="1" priority="82">
      <x:formula>LEN(TRIM(L7))&gt;0</x:formula>
    </x:cfRule>
  </x:conditionalFormatting>
  <x:printOptions horizontalCentered="1" verticalCentered="0" headings="0" gridLines="0"/>
  <x:pageMargins left="0" right="0" top="0" bottom="0.51181102362204722" header="0" footer="0"/>
  <x:pageSetup paperSize="10000" scale="85" pageOrder="downThenOver" orientation="portrait" blackAndWhite="0" draft="0" cellComments="none" errors="displayed" r:id="rId1"/>
  <x:headerFooter differentOddEven="0" differentFirst="0" scaleWithDoc="1" alignWithMargins="0">
    <x:oddHeader/>
    <x:oddFooter>&amp;L&amp;"Arial Narrow,Regular"&amp;9Page &amp;P of &amp;N&amp;R&amp;"Arial Narrow,Regular"&amp;9 7F-04-02 Rev. 02
Effectivity Date: August 01, 2019</x:oddFooter>
    <x:evenHeader/>
    <x:evenFooter/>
    <x:firstHeader/>
    <x:firstFooter/>
  </x:headerFooter>
  <x:drawing r:id="rId2"/>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B2:Y75"/>
  <x:sheetViews>
    <x:sheetView topLeftCell="B1" zoomScale="85" zoomScaleNormal="85" workbookViewId="0">
      <x:selection activeCell="X10" sqref="X10 X10:Y10"/>
    </x:sheetView>
  </x:sheetViews>
  <x:sheetFormatPr defaultRowHeight="15"/>
  <x:cols>
    <x:col min="1" max="1" width="9" style="0" customWidth="1"/>
    <x:col min="2" max="2" width="11.140625" style="0" customWidth="1"/>
    <x:col min="3" max="3" width="7" style="0" customWidth="1"/>
  </x:cols>
  <x:sheetData>
    <x:row r="2" spans="1:25">
      <x:c r="B2" s="463" t="s">
        <x:v>155</x:v>
      </x:c>
      <x:c r="C2" s="463"/>
      <x:c r="D2" s="463"/>
      <x:c r="E2" s="463"/>
      <x:c r="F2" s="463"/>
      <x:c r="G2" s="463"/>
      <x:c r="H2" s="463"/>
      <x:c r="I2" s="463"/>
      <x:c r="J2" s="463"/>
      <x:c r="K2" s="463"/>
      <x:c r="L2" s="463"/>
      <x:c r="M2" s="463"/>
      <x:c r="N2" s="463"/>
      <x:c r="O2" s="463"/>
      <x:c r="P2" s="463"/>
      <x:c r="Q2" s="463"/>
      <x:c r="R2" s="463"/>
      <x:c r="S2" s="463"/>
      <x:c r="T2" s="463"/>
      <x:c r="U2" s="463"/>
      <x:c r="V2" s="463"/>
      <x:c r="W2" s="463"/>
      <x:c r="X2" s="463"/>
      <x:c r="Y2" s="463"/>
    </x:row>
    <x:row r="3" spans="1:25">
      <x:c r="B3" s="687" t="s">
        <x:v>85</x:v>
      </x:c>
      <x:c r="C3" s="688"/>
      <x:c r="D3" s="688"/>
      <x:c r="E3" s="688"/>
      <x:c r="F3" s="688"/>
      <x:c r="G3" s="689"/>
      <x:c r="H3" s="687" t="s">
        <x:v>87</x:v>
      </x:c>
      <x:c r="I3" s="688"/>
      <x:c r="J3" s="688"/>
      <x:c r="K3" s="688"/>
      <x:c r="L3" s="688"/>
      <x:c r="M3" s="689"/>
      <x:c r="N3" s="687" t="s">
        <x:v>156</x:v>
      </x:c>
      <x:c r="O3" s="688"/>
      <x:c r="P3" s="688"/>
      <x:c r="Q3" s="688"/>
      <x:c r="R3" s="688"/>
      <x:c r="S3" s="688"/>
      <x:c r="T3" s="688"/>
      <x:c r="U3" s="688"/>
      <x:c r="V3" s="688"/>
      <x:c r="W3" s="689"/>
      <x:c r="X3" s="455" t="s">
        <x:v>157</x:v>
      </x:c>
      <x:c r="Y3" s="456"/>
    </x:row>
    <x:row r="4" spans="1:25" ht="15" customHeight="1">
      <x:c r="B4" s="690"/>
      <x:c r="C4" s="691"/>
      <x:c r="D4" s="691"/>
      <x:c r="E4" s="691"/>
      <x:c r="F4" s="691"/>
      <x:c r="G4" s="692"/>
      <x:c r="H4" s="690"/>
      <x:c r="I4" s="691"/>
      <x:c r="J4" s="691"/>
      <x:c r="K4" s="691"/>
      <x:c r="L4" s="691"/>
      <x:c r="M4" s="692"/>
      <x:c r="N4" s="690"/>
      <x:c r="O4" s="691"/>
      <x:c r="P4" s="691"/>
      <x:c r="Q4" s="691"/>
      <x:c r="R4" s="691"/>
      <x:c r="S4" s="691"/>
      <x:c r="T4" s="691"/>
      <x:c r="U4" s="691"/>
      <x:c r="V4" s="691"/>
      <x:c r="W4" s="692"/>
      <x:c r="X4" s="457"/>
      <x:c r="Y4" s="458"/>
    </x:row>
    <x:row r="5" spans="1:25">
      <x:c r="B5" s="693">
        <x:f>DataSheet!F52</x:f>
      </x:c>
      <x:c r="C5" s="693"/>
      <x:c r="D5" s="693"/>
      <x:c r="E5" s="693"/>
      <x:c r="F5" s="693"/>
      <x:c r="G5" s="693"/>
      <x:c r="H5" s="693"/>
      <x:c r="I5" s="693"/>
      <x:c r="J5" s="693"/>
      <x:c r="K5" s="693"/>
      <x:c r="L5" s="693"/>
      <x:c r="M5" s="693"/>
      <x:c r="N5" s="693"/>
      <x:c r="O5" s="693"/>
      <x:c r="P5" s="693"/>
      <x:c r="Q5" s="693"/>
      <x:c r="R5" s="693"/>
      <x:c r="S5" s="693"/>
      <x:c r="T5" s="693"/>
      <x:c r="U5" s="693"/>
      <x:c r="V5" s="693"/>
      <x:c r="W5" s="693"/>
      <x:c r="X5" s="457"/>
      <x:c r="Y5" s="458"/>
    </x:row>
    <x:row r="6" spans="1:25">
      <x:c r="B6" s="693"/>
      <x:c r="C6" s="693"/>
      <x:c r="D6" s="693"/>
      <x:c r="E6" s="693"/>
      <x:c r="F6" s="693"/>
      <x:c r="G6" s="693"/>
      <x:c r="H6" s="693"/>
      <x:c r="I6" s="693"/>
      <x:c r="J6" s="693"/>
      <x:c r="K6" s="693"/>
      <x:c r="L6" s="693"/>
      <x:c r="M6" s="693"/>
      <x:c r="N6" s="693"/>
      <x:c r="O6" s="693"/>
      <x:c r="P6" s="693"/>
      <x:c r="Q6" s="693"/>
      <x:c r="R6" s="693"/>
      <x:c r="S6" s="693"/>
      <x:c r="T6" s="693"/>
      <x:c r="U6" s="693"/>
      <x:c r="V6" s="693"/>
      <x:c r="W6" s="693"/>
      <x:c r="X6" s="457"/>
      <x:c r="Y6" s="458"/>
    </x:row>
    <x:row r="7" spans="1:25" ht="15" customHeight="1">
      <x:c r="B7" s="461" t="s">
        <x:v>39</x:v>
      </x:c>
      <x:c r="C7" s="461"/>
      <x:c r="D7" s="693" t="s">
        <x:v>95</x:v>
      </x:c>
      <x:c r="E7" s="693"/>
      <x:c r="F7" s="687" t="s">
        <x:v>41</x:v>
      </x:c>
      <x:c r="G7" s="689"/>
      <x:c r="H7" s="693" t="s">
        <x:v>96</x:v>
      </x:c>
      <x:c r="I7" s="693"/>
      <x:c r="J7" s="693" t="s">
        <x:v>97</x:v>
      </x:c>
      <x:c r="K7" s="693"/>
      <x:c r="L7" s="693" t="s">
        <x:v>98</x:v>
      </x:c>
      <x:c r="M7" s="693"/>
      <x:c r="N7" s="694" t="s">
        <x:v>158</x:v>
      </x:c>
      <x:c r="O7" s="693"/>
      <x:c r="P7" s="693" t="s">
        <x:v>96</x:v>
      </x:c>
      <x:c r="Q7" s="693"/>
      <x:c r="R7" s="693" t="s">
        <x:v>98</x:v>
      </x:c>
      <x:c r="S7" s="693"/>
      <x:c r="T7" s="694" t="s">
        <x:v>159</x:v>
      </x:c>
      <x:c r="U7" s="693"/>
      <x:c r="V7" s="693" t="s">
        <x:v>98</x:v>
      </x:c>
      <x:c r="W7" s="693"/>
      <x:c r="X7" s="457"/>
      <x:c r="Y7" s="458"/>
    </x:row>
    <x:row r="8" spans="1:25">
      <x:c r="B8" s="462"/>
      <x:c r="C8" s="462"/>
      <x:c r="D8" s="693"/>
      <x:c r="E8" s="693"/>
      <x:c r="F8" s="695"/>
      <x:c r="G8" s="696"/>
      <x:c r="H8" s="693"/>
      <x:c r="I8" s="693"/>
      <x:c r="J8" s="693"/>
      <x:c r="K8" s="693"/>
      <x:c r="L8" s="693"/>
      <x:c r="M8" s="693"/>
      <x:c r="N8" s="694"/>
      <x:c r="O8" s="693"/>
      <x:c r="P8" s="693"/>
      <x:c r="Q8" s="693"/>
      <x:c r="R8" s="693"/>
      <x:c r="S8" s="693"/>
      <x:c r="T8" s="694"/>
      <x:c r="U8" s="693"/>
      <x:c r="V8" s="693"/>
      <x:c r="W8" s="693"/>
      <x:c r="X8" s="457"/>
      <x:c r="Y8" s="458"/>
    </x:row>
    <x:row r="9" spans="1:25">
      <x:c r="B9" s="462"/>
      <x:c r="C9" s="462"/>
      <x:c r="D9" s="693"/>
      <x:c r="E9" s="693"/>
      <x:c r="F9" s="690"/>
      <x:c r="G9" s="692"/>
      <x:c r="H9" s="693"/>
      <x:c r="I9" s="693"/>
      <x:c r="J9" s="693"/>
      <x:c r="K9" s="693"/>
      <x:c r="L9" s="693"/>
      <x:c r="M9" s="693"/>
      <x:c r="N9" s="693"/>
      <x:c r="O9" s="693"/>
      <x:c r="P9" s="693"/>
      <x:c r="Q9" s="693"/>
      <x:c r="R9" s="693"/>
      <x:c r="S9" s="693"/>
      <x:c r="T9" s="693"/>
      <x:c r="U9" s="693"/>
      <x:c r="V9" s="693"/>
      <x:c r="W9" s="693"/>
      <x:c r="X9" s="459"/>
      <x:c r="Y9" s="460"/>
    </x:row>
    <x:row r="10" spans="1:25">
      <x:c r="B10" s="43">
        <x:f>DataSheet!AM55</x:f>
      </x:c>
      <x:c r="C10" s="44">
        <x:f>DataSheet!P55</x:f>
      </x:c>
      <x:c r="D10" s="697">
        <x:f>ABS((B10*0.7%)+(3*DataSheet!CK55))</x:f>
      </x:c>
      <x:c r="E10" s="698">
        <x:f>C10</x:f>
      </x:c>
      <x:c r="F10" s="699">
        <x:f>DataSheet!DD55</x:f>
      </x:c>
      <x:c r="G10" s="698">
        <x:f>E10</x:f>
      </x:c>
      <x:c r="H10" s="700">
        <x:f>DataSheet!L55+D10</x:f>
      </x:c>
      <x:c r="I10" s="698">
        <x:f>G10</x:f>
      </x:c>
      <x:c r="J10" s="700">
        <x:f>DataSheet!L55-D10</x:f>
      </x:c>
      <x:c r="K10" s="698">
        <x:f>I10</x:f>
      </x:c>
      <x:c r="L10" s="701">
        <x:f>IF(AND(B10&lt;=H10,B10&gt;=J10),"PASSED","FAILED")</x:f>
      </x:c>
      <x:c r="M10" s="701"/>
      <x:c r="N10" s="700">
        <x:f>F10+B10</x:f>
      </x:c>
      <x:c r="O10" s="702">
        <x:f>G10</x:f>
      </x:c>
      <x:c r="P10" s="700">
        <x:f>H10</x:f>
      </x:c>
      <x:c r="Q10" s="698">
        <x:f>O10</x:f>
      </x:c>
      <x:c r="R10" s="703">
        <x:f>IF(AND(N10&lt;=H10,N10&gt;=J10),"PASSED","FAILED")</x:f>
      </x:c>
      <x:c r="S10" s="703"/>
      <x:c r="T10" s="700">
        <x:f>-F10+B10</x:f>
      </x:c>
      <x:c r="U10" s="704">
        <x:f>O10</x:f>
      </x:c>
      <x:c r="V10" s="705">
        <x:f>IF(AND(T10&lt;=H10,T10&gt;=J10),"PASSED","FAILED")</x:f>
      </x:c>
      <x:c r="W10" s="705"/>
      <x:c r="X10" s="471">
        <x:f>IF(AND(L10="PASSED",R10="PASSED",V10="PASSED"),"PASSED",IF(L10="FAILED","FAILED","UNDETERMINED"))</x:f>
      </x:c>
      <x:c r="Y10" s="471"/>
    </x:row>
    <x:row r="11" spans="1:25">
      <x:c r="B11" s="43">
        <x:f>DataSheet!AM56</x:f>
      </x:c>
      <x:c r="C11" s="44">
        <x:f>DataSheet!P56</x:f>
      </x:c>
      <x:c r="D11" s="697">
        <x:f>ABS((B11*0.7%)+(3*DataSheet!CK56))</x:f>
      </x:c>
      <x:c r="E11" s="698">
        <x:f>C11</x:f>
      </x:c>
      <x:c r="F11" s="699">
        <x:f>DataSheet!DD56</x:f>
      </x:c>
      <x:c r="G11" s="698">
        <x:f>E11</x:f>
      </x:c>
      <x:c r="H11" s="700">
        <x:f>DataSheet!L56+D11</x:f>
      </x:c>
      <x:c r="I11" s="698">
        <x:f>G11</x:f>
      </x:c>
      <x:c r="J11" s="700">
        <x:f>DataSheet!L56-D11</x:f>
      </x:c>
      <x:c r="K11" s="698">
        <x:f>I11</x:f>
      </x:c>
      <x:c r="L11" s="701">
        <x:f>IF(AND(B11&lt;=H11,B11&gt;=J11),"PASSED","FAILED")</x:f>
      </x:c>
      <x:c r="M11" s="701"/>
      <x:c r="N11" s="700">
        <x:f>F11+B11</x:f>
      </x:c>
      <x:c r="O11" s="702">
        <x:f>G11</x:f>
      </x:c>
      <x:c r="P11" s="700">
        <x:f>H11</x:f>
      </x:c>
      <x:c r="Q11" s="698">
        <x:f>O11</x:f>
      </x:c>
      <x:c r="R11" s="703">
        <x:f>IF(AND(N11&lt;=H11,N11&gt;=J11),"PASSED","FAILED")</x:f>
      </x:c>
      <x:c r="S11" s="703"/>
      <x:c r="T11" s="700">
        <x:f>-F11+B11</x:f>
      </x:c>
      <x:c r="U11" s="704">
        <x:f>O11</x:f>
      </x:c>
      <x:c r="V11" s="705">
        <x:f>IF(AND(T11&lt;=H11,T11&gt;=J11),"PASSED","FAILED")</x:f>
      </x:c>
      <x:c r="W11" s="705"/>
      <x:c r="X11" s="471">
        <x:f>IF(AND(L11="PASSED",R11="PASSED",V11="PASSED"),"PASSED",IF(L11="FAILED","FAILED","UNDETERMINED"))</x:f>
      </x:c>
      <x:c r="Y11" s="471"/>
    </x:row>
    <x:row r="12" spans="1:25">
      <x:c r="B12" s="43">
        <x:f>DataSheet!AM57</x:f>
      </x:c>
      <x:c r="C12" s="44">
        <x:f>DataSheet!P57</x:f>
      </x:c>
      <x:c r="D12" s="697">
        <x:f>ABS((B12*0.7%)-(3*DataSheet!CK57))</x:f>
      </x:c>
      <x:c r="E12" s="698">
        <x:f>C12</x:f>
      </x:c>
      <x:c r="F12" s="699">
        <x:f>DataSheet!DD57</x:f>
      </x:c>
      <x:c r="G12" s="698">
        <x:f>E12</x:f>
      </x:c>
      <x:c r="H12" s="700">
        <x:f>DataSheet!L57+D12</x:f>
      </x:c>
      <x:c r="I12" s="698">
        <x:f>G12</x:f>
      </x:c>
      <x:c r="J12" s="700">
        <x:f>DataSheet!L57-D12</x:f>
      </x:c>
      <x:c r="K12" s="698">
        <x:f>I12</x:f>
      </x:c>
      <x:c r="L12" s="701">
        <x:f>IF(AND(B12&lt;=H12,B12&gt;=J12),"PASSED","FAILED")</x:f>
      </x:c>
      <x:c r="M12" s="701"/>
      <x:c r="N12" s="700">
        <x:f>F12+B12</x:f>
      </x:c>
      <x:c r="O12" s="702">
        <x:f>G12</x:f>
      </x:c>
      <x:c r="P12" s="700">
        <x:f>H12</x:f>
      </x:c>
      <x:c r="Q12" s="698">
        <x:f>O12</x:f>
      </x:c>
      <x:c r="R12" s="703">
        <x:f>IF(AND(N12&lt;=H12,N12&gt;=J12),"PASSED","FAILED")</x:f>
      </x:c>
      <x:c r="S12" s="703"/>
      <x:c r="T12" s="700">
        <x:f>-F12+B12</x:f>
      </x:c>
      <x:c r="U12" s="704">
        <x:f>O12</x:f>
      </x:c>
      <x:c r="V12" s="705">
        <x:f>IF(AND(T12&lt;=H12,T12&gt;=J12),"PASSED","FAILED")</x:f>
      </x:c>
      <x:c r="W12" s="705"/>
      <x:c r="X12" s="471">
        <x:f>IF(AND(L12="PASSED",R12="PASSED",V12="PASSED"),"PASSED",IF(L12="FAILED","FAILED","UNDETERMINED"))</x:f>
      </x:c>
      <x:c r="Y12" s="471"/>
    </x:row>
    <x:row r="13" spans="1:25">
      <x:c r="B13" s="47">
        <x:f>DataSheet!AM58</x:f>
      </x:c>
      <x:c r="C13" s="48">
        <x:f>DataSheet!P58</x:f>
      </x:c>
      <x:c r="D13" s="706">
        <x:f>ABS((B13*0.7%)+(3*DataSheet!CK58))</x:f>
      </x:c>
      <x:c r="E13" s="698">
        <x:f>C13</x:f>
      </x:c>
      <x:c r="F13" s="707">
        <x:f>DataSheet!DD58</x:f>
      </x:c>
      <x:c r="G13" s="698">
        <x:f>E13</x:f>
      </x:c>
      <x:c r="H13" s="708">
        <x:f>DataSheet!L58+D13</x:f>
      </x:c>
      <x:c r="I13" s="704">
        <x:f>G13</x:f>
      </x:c>
      <x:c r="J13" s="708">
        <x:f>DataSheet!L58-D13</x:f>
      </x:c>
      <x:c r="K13" s="698">
        <x:f>I13</x:f>
      </x:c>
      <x:c r="L13" s="701">
        <x:f>IF(AND(B13&lt;=H13,B13&gt;=J13),"PASSED","FAILED")</x:f>
      </x:c>
      <x:c r="M13" s="701"/>
      <x:c r="N13" s="708">
        <x:f>F13+B13</x:f>
      </x:c>
      <x:c r="O13" s="698">
        <x:f>G13</x:f>
      </x:c>
      <x:c r="P13" s="708">
        <x:f>H13</x:f>
      </x:c>
      <x:c r="Q13" s="704">
        <x:f>O13</x:f>
      </x:c>
      <x:c r="R13" s="705">
        <x:f>IF(AND(N13&lt;=H13,N13&gt;=J13),"PASSED","FAILED")</x:f>
      </x:c>
      <x:c r="S13" s="705"/>
      <x:c r="T13" s="708">
        <x:f>-F13+B13</x:f>
      </x:c>
      <x:c r="U13" s="704">
        <x:f>O13</x:f>
      </x:c>
      <x:c r="V13" s="705">
        <x:f>IF(AND(T13&lt;=H13,T13&gt;=J13),"PASSED","FAILED")</x:f>
      </x:c>
      <x:c r="W13" s="705"/>
      <x:c r="X13" s="471">
        <x:f>IF(AND(L13="PASSED",R13="PASSED",V13="PASSED"),"PASSED",IF(L13="FAILED","FAILED","UNDETERMINED"))</x:f>
      </x:c>
      <x:c r="Y13" s="471"/>
    </x:row>
    <x:row r="14" spans="1:25">
      <x:c r="B14" s="47">
        <x:f>DataSheet!AM59</x:f>
      </x:c>
      <x:c r="C14" s="48">
        <x:f>DataSheet!P59</x:f>
      </x:c>
      <x:c r="D14" s="706">
        <x:f>ABS((B14*0.7%)+(3*DataSheet!CK59))</x:f>
      </x:c>
      <x:c r="E14" s="698">
        <x:f>C14</x:f>
      </x:c>
      <x:c r="F14" s="699">
        <x:f>DataSheet!DD59</x:f>
      </x:c>
      <x:c r="G14" s="698">
        <x:f>E14</x:f>
      </x:c>
      <x:c r="H14" s="708">
        <x:f>DataSheet!L59+D14</x:f>
      </x:c>
      <x:c r="I14" s="704">
        <x:f>G14</x:f>
      </x:c>
      <x:c r="J14" s="708">
        <x:f>DataSheet!L59-D14</x:f>
      </x:c>
      <x:c r="K14" s="698">
        <x:f>I14</x:f>
      </x:c>
      <x:c r="L14" s="701">
        <x:f>IF(AND(B14&lt;=H14,B14&gt;=J14),"PASSED","FAILED")</x:f>
      </x:c>
      <x:c r="M14" s="701"/>
      <x:c r="N14" s="708">
        <x:f>F14+B14</x:f>
      </x:c>
      <x:c r="O14" s="698">
        <x:f>G14</x:f>
      </x:c>
      <x:c r="P14" s="708">
        <x:f>H14</x:f>
      </x:c>
      <x:c r="Q14" s="704">
        <x:f>O14</x:f>
      </x:c>
      <x:c r="R14" s="705">
        <x:f>IF(AND(N14&lt;=H14,N14&gt;=J14),"PASSED","FAILED")</x:f>
      </x:c>
      <x:c r="S14" s="705"/>
      <x:c r="T14" s="708">
        <x:f>-DataSheet!DD59+B14</x:f>
      </x:c>
      <x:c r="U14" s="704">
        <x:f>O14</x:f>
      </x:c>
      <x:c r="V14" s="705">
        <x:f>IF(AND(T14&lt;=H14,T14&gt;=J14),"PASSED","FAILED")</x:f>
      </x:c>
      <x:c r="W14" s="705"/>
      <x:c r="X14" s="471">
        <x:f>IF(AND(L14="PASSED",R14="PASSED",V14="PASSED"),"PASSED",IF(L14="FAILED","FAILED","UNDETERMINED"))</x:f>
      </x:c>
      <x:c r="Y14" s="471"/>
    </x:row>
    <x:row r="15" spans="1:25">
      <x:c r="B15" s="47">
        <x:f>DataSheet!AM60</x:f>
      </x:c>
      <x:c r="C15" s="48">
        <x:f>DataSheet!P60</x:f>
      </x:c>
      <x:c r="D15" s="706">
        <x:f>ABS((B15*0.7%)-(3*DataSheet!CK60))</x:f>
      </x:c>
      <x:c r="E15" s="698">
        <x:f>C15</x:f>
      </x:c>
      <x:c r="F15" s="699">
        <x:f>DataSheet!DD60</x:f>
      </x:c>
      <x:c r="G15" s="698">
        <x:f>E15</x:f>
      </x:c>
      <x:c r="H15" s="708">
        <x:f>DataSheet!L60+D15</x:f>
      </x:c>
      <x:c r="I15" s="704">
        <x:f>G15</x:f>
      </x:c>
      <x:c r="J15" s="708">
        <x:f>DataSheet!L60-D15</x:f>
      </x:c>
      <x:c r="K15" s="698">
        <x:f>I15</x:f>
      </x:c>
      <x:c r="L15" s="701">
        <x:f>IF(AND(B15&lt;=H15,B15&gt;=J15),"PASSED","FAILED")</x:f>
      </x:c>
      <x:c r="M15" s="701"/>
      <x:c r="N15" s="708">
        <x:f>F15+B15</x:f>
      </x:c>
      <x:c r="O15" s="698">
        <x:f>G15</x:f>
      </x:c>
      <x:c r="P15" s="708">
        <x:f>H15</x:f>
      </x:c>
      <x:c r="Q15" s="704">
        <x:f>O15</x:f>
      </x:c>
      <x:c r="R15" s="705">
        <x:f>IF(AND(N15&lt;=H15,N15&gt;=J15),"PASSED","FAILED")</x:f>
      </x:c>
      <x:c r="S15" s="705"/>
      <x:c r="T15" s="708">
        <x:f>-DataSheet!DD60+B15</x:f>
      </x:c>
      <x:c r="U15" s="704">
        <x:f>O15</x:f>
      </x:c>
      <x:c r="V15" s="705">
        <x:f>IF(AND(T15&lt;=H15,T15&gt;=J15),"PASSED","FAILED")</x:f>
      </x:c>
      <x:c r="W15" s="705"/>
      <x:c r="X15" s="471">
        <x:f>IF(AND(L15="PASSED",R15="PASSED",V15="PASSED"),"PASSED",IF(L15="FAILED","FAILED","UNDETERMINED"))</x:f>
      </x:c>
      <x:c r="Y15" s="471"/>
    </x:row>
    <x:row r="16" spans="1:25">
      <x:c r="B16" s="45">
        <x:f>DataSheet!AM61</x:f>
      </x:c>
      <x:c r="C16" s="46">
        <x:f>DataSheet!P61</x:f>
      </x:c>
      <x:c r="D16" s="706">
        <x:f>ABS((B16*0.7%)+(3*DataSheet!CK61))</x:f>
      </x:c>
      <x:c r="E16" s="698">
        <x:f>C16</x:f>
      </x:c>
      <x:c r="F16" s="699">
        <x:f>DataSheet!DD61</x:f>
      </x:c>
      <x:c r="G16" s="698">
        <x:f>E16</x:f>
      </x:c>
      <x:c r="H16" s="706">
        <x:f>DataSheet!L61+D16</x:f>
      </x:c>
      <x:c r="I16" s="698">
        <x:f>G16</x:f>
      </x:c>
      <x:c r="J16" s="706">
        <x:f>DataSheet!L61-D16</x:f>
      </x:c>
      <x:c r="K16" s="698">
        <x:f>I16</x:f>
      </x:c>
      <x:c r="L16" s="701">
        <x:f>IF(AND(B16&lt;=H16,B16&gt;=J16),"PASSED","FAILED")</x:f>
      </x:c>
      <x:c r="M16" s="701"/>
      <x:c r="N16" s="706">
        <x:f>F16+B16</x:f>
      </x:c>
      <x:c r="O16" s="698">
        <x:f>G16</x:f>
      </x:c>
      <x:c r="P16" s="706">
        <x:f>H16</x:f>
      </x:c>
      <x:c r="Q16" s="698">
        <x:f>O16</x:f>
      </x:c>
      <x:c r="R16" s="705">
        <x:f>IF(AND(N16&lt;=H16,N16&gt;=J16),"PASSED","FAILED")</x:f>
      </x:c>
      <x:c r="S16" s="705"/>
      <x:c r="T16" s="706">
        <x:f>-F16+B16</x:f>
      </x:c>
      <x:c r="U16" s="704">
        <x:f>O16</x:f>
      </x:c>
      <x:c r="V16" s="705">
        <x:f>IF(AND(T16&lt;=H16,T16&gt;=J16),"PASSED","FAILED")</x:f>
      </x:c>
      <x:c r="W16" s="705"/>
      <x:c r="X16" s="471">
        <x:f>IF(AND(L16="PASSED",R16="PASSED",V16="PASSED"),"PASSED",IF(L16="FAILED","FAILED","UNDETERMINED"))</x:f>
      </x:c>
      <x:c r="Y16" s="471"/>
    </x:row>
    <x:row r="17" spans="1:25">
      <x:c r="B17" s="45">
        <x:f>DataSheet!AM62</x:f>
      </x:c>
      <x:c r="C17" s="46">
        <x:f>DataSheet!P62</x:f>
      </x:c>
      <x:c r="D17" s="706">
        <x:f>ABS((B17*0.7%)+(3*DataSheet!CK62))</x:f>
      </x:c>
      <x:c r="E17" s="698">
        <x:f>C17</x:f>
      </x:c>
      <x:c r="F17" s="699">
        <x:f>DataSheet!DD62</x:f>
      </x:c>
      <x:c r="G17" s="698">
        <x:f>E17</x:f>
      </x:c>
      <x:c r="H17" s="706">
        <x:f>DataSheet!L62+D17</x:f>
      </x:c>
      <x:c r="I17" s="698">
        <x:f>G17</x:f>
      </x:c>
      <x:c r="J17" s="706">
        <x:f>DataSheet!L62-D17</x:f>
      </x:c>
      <x:c r="K17" s="698">
        <x:f>I17</x:f>
      </x:c>
      <x:c r="L17" s="701">
        <x:f>IF(AND(B17&lt;=H17,B17&gt;=J17),"PASSED","FAILED")</x:f>
      </x:c>
      <x:c r="M17" s="701"/>
      <x:c r="N17" s="706">
        <x:f>F17+B17</x:f>
      </x:c>
      <x:c r="O17" s="698">
        <x:f>G17</x:f>
      </x:c>
      <x:c r="P17" s="706">
        <x:f>H17</x:f>
      </x:c>
      <x:c r="Q17" s="698">
        <x:f>O17</x:f>
      </x:c>
      <x:c r="R17" s="705">
        <x:f>IF(AND(N17&lt;=H17,N17&gt;=J17),"PASSED","FAILED")</x:f>
      </x:c>
      <x:c r="S17" s="705"/>
      <x:c r="T17" s="706">
        <x:f>-F17+B17</x:f>
      </x:c>
      <x:c r="U17" s="704">
        <x:f>O17</x:f>
      </x:c>
      <x:c r="V17" s="705">
        <x:f>IF(AND(T17&lt;=H17,T17&gt;=J17),"PASSED","FAILED")</x:f>
      </x:c>
      <x:c r="W17" s="705"/>
      <x:c r="X17" s="471">
        <x:f>IF(AND(L17="PASSED",R17="PASSED",V17="PASSED"),"PASSED",IF(L17="FAILED","FAILED","UNDETERMINED"))</x:f>
      </x:c>
      <x:c r="Y17" s="471"/>
    </x:row>
    <x:row r="18" spans="1:25">
      <x:c r="B18" s="45">
        <x:f>DataSheet!AM63</x:f>
      </x:c>
      <x:c r="C18" s="46">
        <x:f>DataSheet!P63</x:f>
      </x:c>
      <x:c r="D18" s="706">
        <x:f>ABS((B18*0.7%)+(3*DataSheet!CK63))</x:f>
      </x:c>
      <x:c r="E18" s="698">
        <x:f>C18</x:f>
      </x:c>
      <x:c r="F18" s="699">
        <x:f>DataSheet!DD63</x:f>
      </x:c>
      <x:c r="G18" s="698">
        <x:f>E18</x:f>
      </x:c>
      <x:c r="H18" s="706">
        <x:f>DataSheet!L63+D18</x:f>
      </x:c>
      <x:c r="I18" s="698">
        <x:f>G18</x:f>
      </x:c>
      <x:c r="J18" s="706">
        <x:f>DataSheet!L63-D18</x:f>
      </x:c>
      <x:c r="K18" s="698">
        <x:f>I18</x:f>
      </x:c>
      <x:c r="L18" s="701">
        <x:f>IF(AND(B18&lt;=H18,B18&gt;=J18),"PASSED","FAILED")</x:f>
      </x:c>
      <x:c r="M18" s="701"/>
      <x:c r="N18" s="706">
        <x:f>F18+B18</x:f>
      </x:c>
      <x:c r="O18" s="698">
        <x:f>G18</x:f>
      </x:c>
      <x:c r="P18" s="706">
        <x:f>H18</x:f>
      </x:c>
      <x:c r="Q18" s="698">
        <x:f>O18</x:f>
      </x:c>
      <x:c r="R18" s="705">
        <x:f>IF(AND(N18&lt;=H18,N18&gt;=J18),"PASSED","FAILED")</x:f>
      </x:c>
      <x:c r="S18" s="705"/>
      <x:c r="T18" s="706">
        <x:f>-F18+B18</x:f>
      </x:c>
      <x:c r="U18" s="704">
        <x:f>O18</x:f>
      </x:c>
      <x:c r="V18" s="705">
        <x:f>IF(AND(T18&lt;=H18,T18&gt;=J18),"PASSED","FAILED")</x:f>
      </x:c>
      <x:c r="W18" s="705"/>
      <x:c r="X18" s="471">
        <x:f>IF(AND(L18="PASSED",R18="PASSED",V18="PASSED"),"PASSED",IF(L18="FAILED","FAILED","UNDETERMINED"))</x:f>
      </x:c>
      <x:c r="Y18" s="471"/>
    </x:row>
    <x:row r="19" spans="1:25">
      <x:c r="B19" s="45">
        <x:f>DataSheet!AM64</x:f>
      </x:c>
      <x:c r="C19" s="46">
        <x:f>DataSheet!P64</x:f>
      </x:c>
      <x:c r="D19" s="706">
        <x:f>ABS((B19*0.7%)-(3*DataSheet!CK64))</x:f>
      </x:c>
      <x:c r="E19" s="698">
        <x:f>C19</x:f>
      </x:c>
      <x:c r="F19" s="699">
        <x:f>DataSheet!DD64</x:f>
      </x:c>
      <x:c r="G19" s="698">
        <x:f>E19</x:f>
      </x:c>
      <x:c r="H19" s="706">
        <x:f>DataSheet!L64+D19</x:f>
      </x:c>
      <x:c r="I19" s="698">
        <x:f>G19</x:f>
      </x:c>
      <x:c r="J19" s="706">
        <x:f>DataSheet!L64-D19</x:f>
      </x:c>
      <x:c r="K19" s="698">
        <x:f>I19</x:f>
      </x:c>
      <x:c r="L19" s="701">
        <x:f>IF(AND(B19&lt;=H19,B19&gt;=J19),"PASSED","FAILED")</x:f>
      </x:c>
      <x:c r="M19" s="701"/>
      <x:c r="N19" s="706">
        <x:f>F19+B19</x:f>
      </x:c>
      <x:c r="O19" s="698">
        <x:f>G19</x:f>
      </x:c>
      <x:c r="P19" s="706">
        <x:f>H19</x:f>
      </x:c>
      <x:c r="Q19" s="698">
        <x:f>O19</x:f>
      </x:c>
      <x:c r="R19" s="705">
        <x:f>IF(AND(N19&lt;=H19,N19&gt;=J19),"PASSED","FAILED")</x:f>
      </x:c>
      <x:c r="S19" s="705"/>
      <x:c r="T19" s="706">
        <x:f>-F19+B19</x:f>
      </x:c>
      <x:c r="U19" s="704">
        <x:f>O19</x:f>
      </x:c>
      <x:c r="V19" s="705">
        <x:f>IF(AND(T19&lt;=H19,T19&gt;=J19),"PASSED","FAILED")</x:f>
      </x:c>
      <x:c r="W19" s="705"/>
      <x:c r="X19" s="471">
        <x:f>IF(AND(L19="PASSED",R19="PASSED",V19="PASSED"),"PASSED",IF(L19="FAILED","FAILED","UNDETERMINED"))</x:f>
      </x:c>
      <x:c r="Y19" s="471"/>
    </x:row>
    <x:row r="20" spans="1:25">
      <x:c r="B20" s="45">
        <x:f>DataSheet!AM65</x:f>
      </x:c>
      <x:c r="C20" s="46">
        <x:f>DataSheet!P65</x:f>
      </x:c>
      <x:c r="D20" s="706">
        <x:f>ABS((B20*0.7%)-(3*DataSheet!CK65))</x:f>
      </x:c>
      <x:c r="E20" s="698">
        <x:f>C20</x:f>
      </x:c>
      <x:c r="F20" s="699">
        <x:f>DataSheet!DD65</x:f>
      </x:c>
      <x:c r="G20" s="698">
        <x:f>E20</x:f>
      </x:c>
      <x:c r="H20" s="706">
        <x:f>DataSheet!L65+D20</x:f>
      </x:c>
      <x:c r="I20" s="698">
        <x:f>G20</x:f>
      </x:c>
      <x:c r="J20" s="706">
        <x:f>DataSheet!L65-D20</x:f>
      </x:c>
      <x:c r="K20" s="698">
        <x:f>I20</x:f>
      </x:c>
      <x:c r="L20" s="701">
        <x:f>IF(AND(B20&lt;=H20,B20&gt;=J20),"PASSED","FAILED")</x:f>
      </x:c>
      <x:c r="M20" s="701"/>
      <x:c r="N20" s="706">
        <x:f>F20+B20</x:f>
      </x:c>
      <x:c r="O20" s="698">
        <x:f>G20</x:f>
      </x:c>
      <x:c r="P20" s="706">
        <x:f>H20</x:f>
      </x:c>
      <x:c r="Q20" s="698">
        <x:f>O20</x:f>
      </x:c>
      <x:c r="R20" s="705">
        <x:f>IF(AND(N20&lt;=H20,N20&gt;=J20),"PASSED","FAILED")</x:f>
      </x:c>
      <x:c r="S20" s="705"/>
      <x:c r="T20" s="706">
        <x:f>-F20+B20</x:f>
      </x:c>
      <x:c r="U20" s="704">
        <x:f>O20</x:f>
      </x:c>
      <x:c r="V20" s="705">
        <x:f>IF(AND(T20&lt;=H20,T20&gt;=J20),"PASSED","FAILED")</x:f>
      </x:c>
      <x:c r="W20" s="705"/>
      <x:c r="X20" s="471">
        <x:f>IF(AND(L20="PASSED",R20="PASSED",V20="PASSED"),"PASSED",IF(L20="FAILED","FAILED","UNDETERMINED"))</x:f>
      </x:c>
      <x:c r="Y20" s="471"/>
    </x:row>
    <x:row r="21" spans="1:25">
      <x:c r="B21" s="43">
        <x:f>DataSheet!#REF!</x:f>
      </x:c>
      <x:c r="C21" s="44">
        <x:f>DataSheet!#REF!</x:f>
      </x:c>
      <x:c r="D21" s="706">
        <x:f>ABS((DataSheet!#REF!*0.7%)+(3*DataSheet!#REF!))</x:f>
      </x:c>
      <x:c r="E21" s="698">
        <x:f>C21</x:f>
      </x:c>
      <x:c r="F21" s="699">
        <x:f>DataSheet!#REF!</x:f>
      </x:c>
      <x:c r="G21" s="698">
        <x:f>E21</x:f>
      </x:c>
      <x:c r="H21" s="700">
        <x:f>DataSheet!#REF!+D21</x:f>
      </x:c>
      <x:c r="I21" s="702">
        <x:f>G21</x:f>
      </x:c>
      <x:c r="J21" s="700">
        <x:f>DataSheet!#REF!-D21</x:f>
      </x:c>
      <x:c r="K21" s="698">
        <x:f>I21</x:f>
      </x:c>
      <x:c r="L21" s="701">
        <x:f>IF(AND(B21&lt;=H21,B21&gt;=J21),"PASSED","FAILED")</x:f>
      </x:c>
      <x:c r="M21" s="701"/>
      <x:c r="N21" s="700">
        <x:f>F21+B21</x:f>
      </x:c>
      <x:c r="O21" s="702">
        <x:f>G21</x:f>
      </x:c>
      <x:c r="P21" s="700">
        <x:f>H21</x:f>
      </x:c>
      <x:c r="Q21" s="702">
        <x:f>O21</x:f>
      </x:c>
      <x:c r="R21" s="703">
        <x:f>IF(AND(N21&lt;=H21,N21&gt;=J21),"PASSED","FAILED")</x:f>
      </x:c>
      <x:c r="S21" s="703"/>
      <x:c r="T21" s="700">
        <x:f>-F21+B21</x:f>
      </x:c>
      <x:c r="U21" s="702">
        <x:f>O21</x:f>
      </x:c>
      <x:c r="V21" s="705">
        <x:f>IF(AND(T21&lt;=H21,T21&gt;=J21),"PASSED","FAILED")</x:f>
      </x:c>
      <x:c r="W21" s="705"/>
      <x:c r="X21" s="471">
        <x:f>IF(AND(L21="PASSED",R21="PASSED",V21="PASSED"),"PASSED",IF(L21="FAILED","FAILED","UNDETERMINED"))</x:f>
      </x:c>
      <x:c r="Y21" s="471"/>
    </x:row>
    <x:row r="22" spans="1:25">
      <x:c r="B22" s="43">
        <x:f>DataSheet!#REF!</x:f>
      </x:c>
      <x:c r="C22" s="44">
        <x:f>DataSheet!#REF!</x:f>
      </x:c>
      <x:c r="D22" s="706">
        <x:f>ABS((DataSheet!#REF!*0.7%)+(3*DataSheet!#REF!))</x:f>
      </x:c>
      <x:c r="E22" s="698">
        <x:f>C22</x:f>
      </x:c>
      <x:c r="F22" s="699">
        <x:f>DataSheet!#REF!</x:f>
      </x:c>
      <x:c r="G22" s="698">
        <x:f>E22</x:f>
      </x:c>
      <x:c r="H22" s="700">
        <x:f>DataSheet!#REF!+D22</x:f>
      </x:c>
      <x:c r="I22" s="702">
        <x:f>G22</x:f>
      </x:c>
      <x:c r="J22" s="700">
        <x:f>DataSheet!#REF!-D22</x:f>
      </x:c>
      <x:c r="K22" s="698">
        <x:f>I22</x:f>
      </x:c>
      <x:c r="L22" s="701">
        <x:f>IF(AND(B22&lt;=H22,B22&gt;=J22),"PASSED","FAILED")</x:f>
      </x:c>
      <x:c r="M22" s="701"/>
      <x:c r="N22" s="700">
        <x:f>F22+B22</x:f>
      </x:c>
      <x:c r="O22" s="702">
        <x:f>G22</x:f>
      </x:c>
      <x:c r="P22" s="700">
        <x:f>H22</x:f>
      </x:c>
      <x:c r="Q22" s="702">
        <x:f>O22</x:f>
      </x:c>
      <x:c r="R22" s="703">
        <x:f>IF(AND(N22&lt;=H22,N22&gt;=J22),"PASSED","FAILED")</x:f>
      </x:c>
      <x:c r="S22" s="703"/>
      <x:c r="T22" s="700">
        <x:f>-F22+B22</x:f>
      </x:c>
      <x:c r="U22" s="702">
        <x:f>O22</x:f>
      </x:c>
      <x:c r="V22" s="705">
        <x:f>IF(AND(T22&lt;=H22,T22&gt;=J22),"PASSED","FAILED")</x:f>
      </x:c>
      <x:c r="W22" s="705"/>
      <x:c r="X22" s="471">
        <x:f>IF(AND(L22="PASSED",R22="PASSED",V22="PASSED"),"PASSED",IF(L22="FAILED","FAILED","UNDETERMINED"))</x:f>
      </x:c>
      <x:c r="Y22" s="471"/>
    </x:row>
    <x:row r="23" spans="1:25">
      <x:c r="B23" s="43">
        <x:f>DataSheet!#REF!</x:f>
      </x:c>
      <x:c r="C23" s="44">
        <x:f>DataSheet!#REF!</x:f>
      </x:c>
      <x:c r="D23" s="706">
        <x:f>ABS((DataSheet!#REF!*0.7%)-(3*DataSheet!#REF!))</x:f>
      </x:c>
      <x:c r="E23" s="698">
        <x:f>C23</x:f>
      </x:c>
      <x:c r="F23" s="699">
        <x:f>DataSheet!#REF!</x:f>
      </x:c>
      <x:c r="G23" s="698">
        <x:f>E23</x:f>
      </x:c>
      <x:c r="H23" s="700">
        <x:f>DataSheet!#REF!+D23</x:f>
      </x:c>
      <x:c r="I23" s="702">
        <x:f>G23</x:f>
      </x:c>
      <x:c r="J23" s="700">
        <x:f>DataSheet!#REF!-D23</x:f>
      </x:c>
      <x:c r="K23" s="698">
        <x:f>I23</x:f>
      </x:c>
      <x:c r="L23" s="701">
        <x:f>IF(AND(B23&lt;=H23,B23&gt;=J23),"PASSED","FAILED")</x:f>
      </x:c>
      <x:c r="M23" s="701"/>
      <x:c r="N23" s="700">
        <x:f>F23+B23</x:f>
      </x:c>
      <x:c r="O23" s="702">
        <x:f>G23</x:f>
      </x:c>
      <x:c r="P23" s="700">
        <x:f>H23</x:f>
      </x:c>
      <x:c r="Q23" s="702">
        <x:f>O23</x:f>
      </x:c>
      <x:c r="R23" s="703">
        <x:f>IF(AND(N23&lt;=H23,N23&gt;=J23),"PASSED","FAILED")</x:f>
      </x:c>
      <x:c r="S23" s="703"/>
      <x:c r="T23" s="700">
        <x:f>-F23+B23</x:f>
      </x:c>
      <x:c r="U23" s="702">
        <x:f>O23</x:f>
      </x:c>
      <x:c r="V23" s="705">
        <x:f>IF(AND(T23&lt;=H23,T23&gt;=J23),"PASSED","FAILED")</x:f>
      </x:c>
      <x:c r="W23" s="705"/>
      <x:c r="X23" s="471">
        <x:f>IF(AND(L23="PASSED",R23="PASSED",V23="PASSED"),"PASSED",IF(L23="FAILED","FAILED","UNDETERMINED"))</x:f>
      </x:c>
      <x:c r="Y23" s="471"/>
    </x:row>
    <x:row r="24" spans="1:25">
      <x:c r="B24" s="49">
        <x:f>DataSheet!AM66</x:f>
      </x:c>
      <x:c r="C24" s="50">
        <x:f>DataSheet!P66</x:f>
      </x:c>
      <x:c r="D24" s="706">
        <x:f>ABS((DataSheet!AM66*0.7%)+(3*DataSheet!CK66))</x:f>
      </x:c>
      <x:c r="E24" s="698">
        <x:f>C24</x:f>
      </x:c>
      <x:c r="F24" s="699">
        <x:f>DataSheet!DD66</x:f>
      </x:c>
      <x:c r="G24" s="698">
        <x:f>E24</x:f>
      </x:c>
      <x:c r="H24" s="709">
        <x:f>DataSheet!L66+D24</x:f>
      </x:c>
      <x:c r="I24" s="710">
        <x:f>G24</x:f>
      </x:c>
      <x:c r="J24" s="709">
        <x:f>DataSheet!L66-D24</x:f>
      </x:c>
      <x:c r="K24" s="698">
        <x:f>I24</x:f>
      </x:c>
      <x:c r="L24" s="701">
        <x:f>IF(AND(B24&lt;=H24,B24&gt;=J24),"PASSED","FAILED")</x:f>
      </x:c>
      <x:c r="M24" s="701"/>
      <x:c r="N24" s="709">
        <x:f>F24+B24</x:f>
      </x:c>
      <x:c r="O24" s="710">
        <x:f>G24</x:f>
      </x:c>
      <x:c r="P24" s="709">
        <x:f>H24</x:f>
      </x:c>
      <x:c r="Q24" s="710">
        <x:f>O24</x:f>
      </x:c>
      <x:c r="R24" s="711">
        <x:f>IF(AND(N24&lt;=H24,N24&gt;=J24),"PASSED","FAILED")</x:f>
      </x:c>
      <x:c r="S24" s="711"/>
      <x:c r="T24" s="709">
        <x:f>-F24+B24</x:f>
      </x:c>
      <x:c r="U24" s="704">
        <x:f>O24</x:f>
      </x:c>
      <x:c r="V24" s="705">
        <x:f>IF(AND(T24&lt;=H24,T24&gt;=J24),"PASSED","FAILED")</x:f>
      </x:c>
      <x:c r="W24" s="705"/>
      <x:c r="X24" s="471">
        <x:f>IF(AND(L24="PASSED",R24="PASSED",V24="PASSED"),"PASSED",IF(L24="FAILED","FAILED","UNDETERMINED"))</x:f>
      </x:c>
      <x:c r="Y24" s="471"/>
    </x:row>
    <x:row r="25" spans="1:25">
      <x:c r="B25" s="49">
        <x:f>DataSheet!AM67</x:f>
      </x:c>
      <x:c r="C25" s="50">
        <x:f>DataSheet!P67</x:f>
      </x:c>
      <x:c r="D25" s="706">
        <x:f>ABS((DataSheet!AM67*0.7%)+(3*DataSheet!CK67))</x:f>
      </x:c>
      <x:c r="E25" s="698">
        <x:f>C25</x:f>
      </x:c>
      <x:c r="F25" s="699">
        <x:f>DataSheet!DD67</x:f>
      </x:c>
      <x:c r="G25" s="698">
        <x:f>E25</x:f>
      </x:c>
      <x:c r="H25" s="709">
        <x:f>DataSheet!L67+D25</x:f>
      </x:c>
      <x:c r="I25" s="710">
        <x:f>G25</x:f>
      </x:c>
      <x:c r="J25" s="709">
        <x:f>DataSheet!L67-D25</x:f>
      </x:c>
      <x:c r="K25" s="698">
        <x:f>I25</x:f>
      </x:c>
      <x:c r="L25" s="701">
        <x:f>IF(AND(B25&lt;=H25,B25&gt;=J25),"PASSED","FAILED")</x:f>
      </x:c>
      <x:c r="M25" s="701"/>
      <x:c r="N25" s="709">
        <x:f>F25+B25</x:f>
      </x:c>
      <x:c r="O25" s="710">
        <x:f>G25</x:f>
      </x:c>
      <x:c r="P25" s="709">
        <x:f>H25</x:f>
      </x:c>
      <x:c r="Q25" s="710">
        <x:f>O25</x:f>
      </x:c>
      <x:c r="R25" s="711">
        <x:f>IF(AND(N25&lt;=H25,N25&gt;=J25),"PASSED","FAILED")</x:f>
      </x:c>
      <x:c r="S25" s="711"/>
      <x:c r="T25" s="709">
        <x:f>-F25+B25</x:f>
      </x:c>
      <x:c r="U25" s="704">
        <x:f>O25</x:f>
      </x:c>
      <x:c r="V25" s="705">
        <x:f>IF(AND(T25&lt;=H25,T25&gt;=J25),"PASSED","FAILED")</x:f>
      </x:c>
      <x:c r="W25" s="705"/>
      <x:c r="X25" s="471">
        <x:f>IF(AND(L25="PASSED",R25="PASSED",V25="PASSED"),"PASSED",IF(L25="FAILED","FAILED","UNDETERMINED"))</x:f>
      </x:c>
      <x:c r="Y25" s="471"/>
    </x:row>
    <x:row r="26" spans="1:25">
      <x:c r="B26" s="49">
        <x:f>DataSheet!AM68</x:f>
      </x:c>
      <x:c r="C26" s="50">
        <x:f>DataSheet!P68</x:f>
      </x:c>
      <x:c r="D26" s="706">
        <x:f>ABS((DataSheet!AM68*0.7%)-(3*DataSheet!CK68))</x:f>
      </x:c>
      <x:c r="E26" s="698">
        <x:f>C26</x:f>
      </x:c>
      <x:c r="F26" s="699">
        <x:f>DataSheet!DD68</x:f>
      </x:c>
      <x:c r="G26" s="698">
        <x:f>E26</x:f>
      </x:c>
      <x:c r="H26" s="709">
        <x:f>DataSheet!L68+D26</x:f>
      </x:c>
      <x:c r="I26" s="710">
        <x:f>G26</x:f>
      </x:c>
      <x:c r="J26" s="709">
        <x:f>DataSheet!L68-D26</x:f>
      </x:c>
      <x:c r="K26" s="698">
        <x:f>I26</x:f>
      </x:c>
      <x:c r="L26" s="701">
        <x:f>IF(AND(B26&lt;=H26,B26&gt;=J26),"PASSED","FAILED")</x:f>
      </x:c>
      <x:c r="M26" s="701"/>
      <x:c r="N26" s="709">
        <x:f>F26+B26</x:f>
      </x:c>
      <x:c r="O26" s="710">
        <x:f>G26</x:f>
      </x:c>
      <x:c r="P26" s="709">
        <x:f>H26</x:f>
      </x:c>
      <x:c r="Q26" s="710">
        <x:f>O26</x:f>
      </x:c>
      <x:c r="R26" s="711">
        <x:f>IF(AND(N26&lt;=H26,N26&gt;=J26),"PASSED","FAILED")</x:f>
      </x:c>
      <x:c r="S26" s="711"/>
      <x:c r="T26" s="709">
        <x:f>-F26+B26</x:f>
      </x:c>
      <x:c r="U26" s="704">
        <x:f>O26</x:f>
      </x:c>
      <x:c r="V26" s="705">
        <x:f>IF(AND(T26&lt;=H26,T26&gt;=J26),"PASSED","FAILED")</x:f>
      </x:c>
      <x:c r="W26" s="705"/>
      <x:c r="X26" s="471">
        <x:f>IF(AND(L26="PASSED",R26="PASSED",V26="PASSED"),"PASSED",IF(L26="FAILED","FAILED","UNDETERMINED"))</x:f>
      </x:c>
      <x:c r="Y26" s="471"/>
    </x:row>
    <x:row r="27" spans="1:25">
      <x:c r="B27" s="693">
        <x:f>DataSheet!F73</x:f>
      </x:c>
      <x:c r="C27" s="693"/>
      <x:c r="D27" s="693"/>
      <x:c r="E27" s="693"/>
      <x:c r="F27" s="693"/>
      <x:c r="G27" s="693"/>
      <x:c r="H27" s="693"/>
      <x:c r="I27" s="693"/>
      <x:c r="J27" s="693"/>
      <x:c r="K27" s="693"/>
      <x:c r="L27" s="693"/>
      <x:c r="M27" s="693"/>
      <x:c r="N27" s="693"/>
      <x:c r="O27" s="693"/>
      <x:c r="P27" s="693"/>
      <x:c r="Q27" s="693"/>
      <x:c r="R27" s="693"/>
      <x:c r="S27" s="693"/>
      <x:c r="T27" s="693"/>
      <x:c r="U27" s="693"/>
      <x:c r="V27" s="693"/>
      <x:c r="W27" s="693"/>
      <x:c r="X27" s="461" t="s">
        <x:v>157</x:v>
      </x:c>
      <x:c r="Y27" s="461"/>
    </x:row>
    <x:row r="28" spans="1:25">
      <x:c r="B28" s="693"/>
      <x:c r="C28" s="693"/>
      <x:c r="D28" s="693"/>
      <x:c r="E28" s="693"/>
      <x:c r="F28" s="693"/>
      <x:c r="G28" s="693"/>
      <x:c r="H28" s="693"/>
      <x:c r="I28" s="693"/>
      <x:c r="J28" s="693"/>
      <x:c r="K28" s="693"/>
      <x:c r="L28" s="693"/>
      <x:c r="M28" s="693"/>
      <x:c r="N28" s="693"/>
      <x:c r="O28" s="693"/>
      <x:c r="P28" s="693"/>
      <x:c r="Q28" s="693"/>
      <x:c r="R28" s="693"/>
      <x:c r="S28" s="693"/>
      <x:c r="T28" s="693"/>
      <x:c r="U28" s="693"/>
      <x:c r="V28" s="693"/>
      <x:c r="W28" s="693"/>
      <x:c r="X28" s="461"/>
      <x:c r="Y28" s="461"/>
    </x:row>
    <x:row r="29" spans="1:25">
      <x:c r="B29" s="461" t="s">
        <x:v>39</x:v>
      </x:c>
      <x:c r="C29" s="461"/>
      <x:c r="D29" s="693" t="s">
        <x:v>95</x:v>
      </x:c>
      <x:c r="E29" s="693"/>
      <x:c r="F29" s="687" t="s">
        <x:v>41</x:v>
      </x:c>
      <x:c r="G29" s="689"/>
      <x:c r="H29" s="693" t="s">
        <x:v>96</x:v>
      </x:c>
      <x:c r="I29" s="693"/>
      <x:c r="J29" s="693" t="s">
        <x:v>97</x:v>
      </x:c>
      <x:c r="K29" s="693"/>
      <x:c r="L29" s="693" t="s">
        <x:v>98</x:v>
      </x:c>
      <x:c r="M29" s="693"/>
      <x:c r="N29" s="694" t="s">
        <x:v>160</x:v>
      </x:c>
      <x:c r="O29" s="693"/>
      <x:c r="P29" s="693" t="s">
        <x:v>96</x:v>
      </x:c>
      <x:c r="Q29" s="693"/>
      <x:c r="R29" s="693" t="s">
        <x:v>98</x:v>
      </x:c>
      <x:c r="S29" s="693"/>
      <x:c r="T29" s="694" t="s">
        <x:v>161</x:v>
      </x:c>
      <x:c r="U29" s="693"/>
      <x:c r="V29" s="693" t="s">
        <x:v>98</x:v>
      </x:c>
      <x:c r="W29" s="693"/>
      <x:c r="X29" s="461"/>
      <x:c r="Y29" s="461"/>
    </x:row>
    <x:row r="30" spans="1:25">
      <x:c r="B30" s="461"/>
      <x:c r="C30" s="461"/>
      <x:c r="D30" s="693"/>
      <x:c r="E30" s="693"/>
      <x:c r="F30" s="690"/>
      <x:c r="G30" s="692"/>
      <x:c r="H30" s="693"/>
      <x:c r="I30" s="693"/>
      <x:c r="J30" s="693"/>
      <x:c r="K30" s="693"/>
      <x:c r="L30" s="693"/>
      <x:c r="M30" s="693"/>
      <x:c r="N30" s="693"/>
      <x:c r="O30" s="693"/>
      <x:c r="P30" s="693"/>
      <x:c r="Q30" s="693"/>
      <x:c r="R30" s="693"/>
      <x:c r="S30" s="693"/>
      <x:c r="T30" s="693"/>
      <x:c r="U30" s="693"/>
      <x:c r="V30" s="693"/>
      <x:c r="W30" s="693"/>
      <x:c r="X30" s="461"/>
      <x:c r="Y30" s="461"/>
    </x:row>
    <x:row r="31" spans="1:25">
      <x:c r="B31" s="47">
        <x:f>DataSheet!AM80</x:f>
      </x:c>
      <x:c r="C31" s="48">
        <x:f>DataSheet!P80</x:f>
      </x:c>
      <x:c r="D31" s="708">
        <x:f>ABS((DataSheet!AM80*1.6%)+(9*DataSheet!CK80))</x:f>
      </x:c>
      <x:c r="E31" s="704">
        <x:f>C31</x:f>
      </x:c>
      <x:c r="F31" s="699">
        <x:f>DataSheet!DD80</x:f>
      </x:c>
      <x:c r="G31" s="698">
        <x:f>E31</x:f>
      </x:c>
      <x:c r="H31" s="712">
        <x:f>DataSheet!L80+D31</x:f>
      </x:c>
      <x:c r="I31" s="712"/>
      <x:c r="J31" s="712">
        <x:f>DataSheet!L80-D31</x:f>
      </x:c>
      <x:c r="K31" s="712"/>
      <x:c r="L31" s="701">
        <x:f>IF(AND(B31&lt;=H31,B31&gt;=J31),"PASSED","FAILED")</x:f>
      </x:c>
      <x:c r="M31" s="701"/>
      <x:c r="N31" s="708">
        <x:f>DataSheet!DD80+B31</x:f>
      </x:c>
      <x:c r="O31" s="698">
        <x:f>G31</x:f>
      </x:c>
      <x:c r="P31" s="708">
        <x:f>H31</x:f>
      </x:c>
      <x:c r="Q31" s="704">
        <x:f>O31</x:f>
      </x:c>
      <x:c r="R31" s="705">
        <x:f>IF(AND(N31&lt;=H31,N31&gt;=J31),"PASSED","FAILED")</x:f>
      </x:c>
      <x:c r="S31" s="705"/>
      <x:c r="T31" s="708">
        <x:f>-DataSheet!DD80+B31</x:f>
      </x:c>
      <x:c r="U31" s="704">
        <x:f>O31</x:f>
      </x:c>
      <x:c r="V31" s="705">
        <x:f>IF(AND(T31&lt;=H31,T31&gt;=J31),"PASSED","FAILED")</x:f>
      </x:c>
      <x:c r="W31" s="705"/>
      <x:c r="X31" s="471">
        <x:f>IF(AND(L31="PASSED",R31="PASSED",V31="PASSED"),"PASSED",IF(L31="FAILED","FAILED","UNDETERMINED"))</x:f>
      </x:c>
      <x:c r="Y31" s="471"/>
    </x:row>
    <x:row r="32" spans="1:25">
      <x:c r="B32" s="47">
        <x:f>DataSheet!AM81</x:f>
      </x:c>
      <x:c r="C32" s="48">
        <x:f>DataSheet!P81</x:f>
      </x:c>
      <x:c r="D32" s="708">
        <x:f>ABS((DataSheet!AM81*1.6%)+(9*DataSheet!CK81))</x:f>
      </x:c>
      <x:c r="E32" s="704">
        <x:f>C32</x:f>
      </x:c>
      <x:c r="F32" s="699">
        <x:f>DataSheet!DD81</x:f>
      </x:c>
      <x:c r="G32" s="698">
        <x:f>E32</x:f>
      </x:c>
      <x:c r="H32" s="712">
        <x:f>DataSheet!L81+D32</x:f>
      </x:c>
      <x:c r="I32" s="712"/>
      <x:c r="J32" s="712">
        <x:f>DataSheet!L81-D32</x:f>
      </x:c>
      <x:c r="K32" s="712"/>
      <x:c r="L32" s="701">
        <x:f>IF(AND(B32&lt;=H32,B32&gt;=J32),"PASSED","FAILED")</x:f>
      </x:c>
      <x:c r="M32" s="701"/>
      <x:c r="N32" s="708">
        <x:f>DataSheet!DD81+B32</x:f>
      </x:c>
      <x:c r="O32" s="698">
        <x:f>G32</x:f>
      </x:c>
      <x:c r="P32" s="708">
        <x:f>H32</x:f>
      </x:c>
      <x:c r="Q32" s="704">
        <x:f>O32</x:f>
      </x:c>
      <x:c r="R32" s="705">
        <x:f>IF(AND(N32&lt;=H32,N32&gt;=J32),"PASSED","FAILED")</x:f>
      </x:c>
      <x:c r="S32" s="705"/>
      <x:c r="T32" s="708">
        <x:f>-DataSheet!DD81+B32</x:f>
      </x:c>
      <x:c r="U32" s="704">
        <x:f>O32</x:f>
      </x:c>
      <x:c r="V32" s="705">
        <x:f>IF(AND(T32&lt;=H32,T32&gt;=J32),"PASSED","FAILED")</x:f>
      </x:c>
      <x:c r="W32" s="705"/>
      <x:c r="X32" s="471">
        <x:f>IF(AND(L32="PASSED",R32="PASSED",V32="PASSED"),"PASSED",IF(L32="FAILED","FAILED","UNDETERMINED"))</x:f>
      </x:c>
      <x:c r="Y32" s="471"/>
    </x:row>
    <x:row r="33" spans="1:25">
      <x:c r="B33" s="47">
        <x:f>DataSheet!AM82</x:f>
      </x:c>
      <x:c r="C33" s="48">
        <x:f>DataSheet!P82</x:f>
      </x:c>
      <x:c r="D33" s="708">
        <x:f>ABS((DataSheet!AM82*1.6%)+(9*DataSheet!CK82))</x:f>
      </x:c>
      <x:c r="E33" s="704">
        <x:f>C33</x:f>
      </x:c>
      <x:c r="F33" s="699">
        <x:f>DataSheet!DD82</x:f>
      </x:c>
      <x:c r="G33" s="698">
        <x:f>E33</x:f>
      </x:c>
      <x:c r="H33" s="712">
        <x:f>DataSheet!L82+D33</x:f>
      </x:c>
      <x:c r="I33" s="712"/>
      <x:c r="J33" s="712">
        <x:f>DataSheet!L82-D33</x:f>
      </x:c>
      <x:c r="K33" s="712"/>
      <x:c r="L33" s="701">
        <x:f>IF(AND(B33&lt;=H33,B33&gt;=J33),"PASSED","FAILED")</x:f>
      </x:c>
      <x:c r="M33" s="701"/>
      <x:c r="N33" s="708">
        <x:f>DataSheet!DD82+B33</x:f>
      </x:c>
      <x:c r="O33" s="698">
        <x:f>G33</x:f>
      </x:c>
      <x:c r="P33" s="708">
        <x:f>H33</x:f>
      </x:c>
      <x:c r="Q33" s="704">
        <x:f>O33</x:f>
      </x:c>
      <x:c r="R33" s="705">
        <x:f>IF(AND(N33&lt;=H33,N33&gt;=J33),"PASSED","FAILED")</x:f>
      </x:c>
      <x:c r="S33" s="705"/>
      <x:c r="T33" s="708">
        <x:f>-DataSheet!DD82+B33</x:f>
      </x:c>
      <x:c r="U33" s="704">
        <x:f>O33</x:f>
      </x:c>
      <x:c r="V33" s="705">
        <x:f>IF(AND(T33&lt;=H33,T33&gt;=J33),"PASSED","FAILED")</x:f>
      </x:c>
      <x:c r="W33" s="705"/>
      <x:c r="X33" s="471">
        <x:f>IF(AND(L33="PASSED",R33="PASSED",V33="PASSED"),"PASSED",IF(L33="FAILED","FAILED","UNDETERMINED"))</x:f>
      </x:c>
      <x:c r="Y33" s="471"/>
    </x:row>
    <x:row r="34" spans="1:25">
      <x:c r="B34" s="47">
        <x:f>DataSheet!AM83</x:f>
      </x:c>
      <x:c r="C34" s="48">
        <x:f>DataSheet!P83</x:f>
      </x:c>
      <x:c r="D34" s="708">
        <x:f>ABS((DataSheet!AM83*1.6%)+(9*DataSheet!CK83))</x:f>
      </x:c>
      <x:c r="E34" s="704">
        <x:f>C34</x:f>
      </x:c>
      <x:c r="F34" s="699">
        <x:f>DataSheet!DD83</x:f>
      </x:c>
      <x:c r="G34" s="698">
        <x:f>E34</x:f>
      </x:c>
      <x:c r="H34" s="712">
        <x:f>DataSheet!L83+D34</x:f>
      </x:c>
      <x:c r="I34" s="712"/>
      <x:c r="J34" s="712">
        <x:f>DataSheet!L83-D34</x:f>
      </x:c>
      <x:c r="K34" s="712"/>
      <x:c r="L34" s="701">
        <x:f>IF(AND(B34&lt;=H34,B34&gt;=J34),"PASSED","FAILED")</x:f>
      </x:c>
      <x:c r="M34" s="701"/>
      <x:c r="N34" s="708">
        <x:f>DataSheet!DD83+B34</x:f>
      </x:c>
      <x:c r="O34" s="698">
        <x:f>G34</x:f>
      </x:c>
      <x:c r="P34" s="708">
        <x:f>H34</x:f>
      </x:c>
      <x:c r="Q34" s="704">
        <x:f>O34</x:f>
      </x:c>
      <x:c r="R34" s="705">
        <x:f>IF(AND(N34&lt;=H34,N34&gt;=J34),"PASSED","FAILED")</x:f>
      </x:c>
      <x:c r="S34" s="705"/>
      <x:c r="T34" s="708">
        <x:f>-DataSheet!DD83+B34</x:f>
      </x:c>
      <x:c r="U34" s="704">
        <x:f>O34</x:f>
      </x:c>
      <x:c r="V34" s="705">
        <x:f>IF(AND(T34&lt;=H34,T34&gt;=J34),"PASSED","FAILED")</x:f>
      </x:c>
      <x:c r="W34" s="705"/>
      <x:c r="X34" s="471">
        <x:f>IF(AND(L34="PASSED",R34="PASSED",V34="PASSED"),"PASSED",IF(L34="FAILED","FAILED","UNDETERMINED"))</x:f>
      </x:c>
      <x:c r="Y34" s="471"/>
    </x:row>
    <x:row r="35" spans="1:25">
      <x:c r="B35" s="45">
        <x:f>DataSheet!AM84</x:f>
      </x:c>
      <x:c r="C35" s="48">
        <x:f>DataSheet!P84</x:f>
      </x:c>
      <x:c r="D35" s="706">
        <x:f>ABS((DataSheet!AM84*1.6%)+(9*DataSheet!CK84))</x:f>
      </x:c>
      <x:c r="E35" s="698">
        <x:f>C35</x:f>
      </x:c>
      <x:c r="F35" s="699">
        <x:f>DataSheet!DD84</x:f>
      </x:c>
      <x:c r="G35" s="698">
        <x:f>E35</x:f>
      </x:c>
      <x:c r="H35" s="713">
        <x:f>DataSheet!L84+D35</x:f>
      </x:c>
      <x:c r="I35" s="713"/>
      <x:c r="J35" s="713">
        <x:f>DataSheet!L84-D35</x:f>
      </x:c>
      <x:c r="K35" s="713"/>
      <x:c r="L35" s="713">
        <x:f>IF(AND(B35&lt;=H35,B35&gt;=J35),"PASSED","FAILED")</x:f>
      </x:c>
      <x:c r="M35" s="713"/>
      <x:c r="N35" s="706">
        <x:f>DataSheet!DD84+B35</x:f>
      </x:c>
      <x:c r="O35" s="698">
        <x:f>G35</x:f>
      </x:c>
      <x:c r="P35" s="706">
        <x:f>H35</x:f>
      </x:c>
      <x:c r="Q35" s="698">
        <x:f>O35</x:f>
      </x:c>
      <x:c r="R35" s="714">
        <x:f>IF(AND(N35&lt;=H35,N35&gt;=J35),"PASSED","FAILED")</x:f>
      </x:c>
      <x:c r="S35" s="714"/>
      <x:c r="T35" s="706">
        <x:f>-F35+B35</x:f>
      </x:c>
      <x:c r="U35" s="704">
        <x:f>O35</x:f>
      </x:c>
      <x:c r="V35" s="705">
        <x:f>IF(AND(T35&lt;=H35,T35&gt;=J35),"PASSED","FAILED")</x:f>
      </x:c>
      <x:c r="W35" s="705"/>
      <x:c r="X35" s="471">
        <x:f>IF(AND(L35="PASSED",R35="PASSED",V35="PASSED"),"PASSED",IF(L35="FAILED","FAILED","UNDETERMINED"))</x:f>
      </x:c>
      <x:c r="Y35" s="471"/>
    </x:row>
    <x:row r="36" spans="1:25">
      <x:c r="B36" s="45">
        <x:f>DataSheet!AM85</x:f>
      </x:c>
      <x:c r="C36" s="48">
        <x:f>DataSheet!P85</x:f>
      </x:c>
      <x:c r="D36" s="706">
        <x:f>ABS((DataSheet!AM85*1.6%)+(9*DataSheet!CK85))</x:f>
      </x:c>
      <x:c r="E36" s="698">
        <x:f>C36</x:f>
      </x:c>
      <x:c r="F36" s="699">
        <x:f>DataSheet!DD85</x:f>
      </x:c>
      <x:c r="G36" s="698">
        <x:f>E36</x:f>
      </x:c>
      <x:c r="H36" s="713">
        <x:f>DataSheet!L85+D36</x:f>
      </x:c>
      <x:c r="I36" s="713"/>
      <x:c r="J36" s="713">
        <x:f>DataSheet!L85-D36</x:f>
      </x:c>
      <x:c r="K36" s="713"/>
      <x:c r="L36" s="713">
        <x:f>IF(AND(B36&lt;=H36,B36&gt;=J36),"PASSED","FAILED")</x:f>
      </x:c>
      <x:c r="M36" s="713"/>
      <x:c r="N36" s="706">
        <x:f>DataSheet!DD85+B36</x:f>
      </x:c>
      <x:c r="O36" s="698">
        <x:f>G36</x:f>
      </x:c>
      <x:c r="P36" s="706">
        <x:f>H36</x:f>
      </x:c>
      <x:c r="Q36" s="698">
        <x:f>O36</x:f>
      </x:c>
      <x:c r="R36" s="714">
        <x:f>IF(AND(N36&lt;=H36,N36&gt;=J36),"PASSED","FAILED")</x:f>
      </x:c>
      <x:c r="S36" s="714"/>
      <x:c r="T36" s="706">
        <x:f>-F36+B36</x:f>
      </x:c>
      <x:c r="U36" s="704">
        <x:f>O36</x:f>
      </x:c>
      <x:c r="V36" s="705">
        <x:f>IF(AND(T36&lt;=H36,T36&gt;=J36),"PASSED","FAILED")</x:f>
      </x:c>
      <x:c r="W36" s="705"/>
      <x:c r="X36" s="471">
        <x:f>IF(AND(L36="PASSED",R36="PASSED",V36="PASSED"),"PASSED",IF(L36="FAILED","FAILED","UNDETERMINED"))</x:f>
      </x:c>
      <x:c r="Y36" s="471"/>
    </x:row>
    <x:row r="37" spans="1:25">
      <x:c r="B37" s="45">
        <x:f>DataSheet!AM86</x:f>
      </x:c>
      <x:c r="C37" s="46">
        <x:f>DataSheet!P86</x:f>
      </x:c>
      <x:c r="D37" s="706">
        <x:f>ABS((DataSheet!AM86*1.6%)+(9*DataSheet!CK86))</x:f>
      </x:c>
      <x:c r="E37" s="698">
        <x:f>C37</x:f>
      </x:c>
      <x:c r="F37" s="699">
        <x:f>DataSheet!DD86</x:f>
      </x:c>
      <x:c r="G37" s="698">
        <x:f>E37</x:f>
      </x:c>
      <x:c r="H37" s="713">
        <x:f>DataSheet!L86+D37</x:f>
      </x:c>
      <x:c r="I37" s="713"/>
      <x:c r="J37" s="713">
        <x:f>DataSheet!L86-D37</x:f>
      </x:c>
      <x:c r="K37" s="713"/>
      <x:c r="L37" s="713">
        <x:f>IF(AND(B37&lt;=H37,B37&gt;=J37),"PASSED","FAILED")</x:f>
      </x:c>
      <x:c r="M37" s="713"/>
      <x:c r="N37" s="706">
        <x:f>DataSheet!DD86+B37</x:f>
      </x:c>
      <x:c r="O37" s="698">
        <x:f>G37</x:f>
      </x:c>
      <x:c r="P37" s="706">
        <x:f>H37</x:f>
      </x:c>
      <x:c r="Q37" s="698">
        <x:f>O37</x:f>
      </x:c>
      <x:c r="R37" s="714">
        <x:f>IF(AND(N37&lt;=H37,N37&gt;=J37),"PASSED","FAILED")</x:f>
      </x:c>
      <x:c r="S37" s="714"/>
      <x:c r="T37" s="706">
        <x:f>-F37+B37</x:f>
      </x:c>
      <x:c r="U37" s="704">
        <x:f>O37</x:f>
      </x:c>
      <x:c r="V37" s="705">
        <x:f>IF(AND(T37&lt;=H37,T37&gt;=J37),"PASSED","FAILED")</x:f>
      </x:c>
      <x:c r="W37" s="705"/>
      <x:c r="X37" s="471">
        <x:f>IF(AND(L37="PASSED",R37="PASSED",V37="PASSED"),"PASSED",IF(L37="FAILED","FAILED","UNDETERMINED"))</x:f>
      </x:c>
      <x:c r="Y37" s="471"/>
    </x:row>
    <x:row r="38" spans="1:25">
      <x:c r="B38" s="45">
        <x:f>DataSheet!AM87</x:f>
      </x:c>
      <x:c r="C38" s="46">
        <x:f>DataSheet!P87</x:f>
      </x:c>
      <x:c r="D38" s="706">
        <x:f>ABS((DataSheet!AM87*1.6%)+(9*DataSheet!CK87))</x:f>
      </x:c>
      <x:c r="E38" s="698">
        <x:f>C38</x:f>
      </x:c>
      <x:c r="F38" s="699">
        <x:f>DataSheet!DD87</x:f>
      </x:c>
      <x:c r="G38" s="698">
        <x:f>E38</x:f>
      </x:c>
      <x:c r="H38" s="713">
        <x:f>DataSheet!L87+D38</x:f>
      </x:c>
      <x:c r="I38" s="713"/>
      <x:c r="J38" s="713">
        <x:f>DataSheet!L87-D38</x:f>
      </x:c>
      <x:c r="K38" s="713"/>
      <x:c r="L38" s="713">
        <x:f>IF(AND(B38&lt;=H38,B38&gt;=J38),"PASSED","FAILED")</x:f>
      </x:c>
      <x:c r="M38" s="713"/>
      <x:c r="N38" s="706">
        <x:f>DataSheet!DD87+B38</x:f>
      </x:c>
      <x:c r="O38" s="698">
        <x:f>G38</x:f>
      </x:c>
      <x:c r="P38" s="706">
        <x:f>H38</x:f>
      </x:c>
      <x:c r="Q38" s="698">
        <x:f>O38</x:f>
      </x:c>
      <x:c r="R38" s="714">
        <x:f>IF(AND(N38&lt;=H38,N38&gt;=J38),"PASSED","FAILED")</x:f>
      </x:c>
      <x:c r="S38" s="714"/>
      <x:c r="T38" s="706">
        <x:f>-F38+B38</x:f>
      </x:c>
      <x:c r="U38" s="704">
        <x:f>O38</x:f>
      </x:c>
      <x:c r="V38" s="705">
        <x:f>IF(AND(T38&lt;=H38,T38&gt;=J38),"PASSED","FAILED")</x:f>
      </x:c>
      <x:c r="W38" s="705"/>
      <x:c r="X38" s="471">
        <x:f>IF(AND(L38="PASSED",R38="PASSED",V38="PASSED"),"PASSED",IF(L38="FAILED","FAILED","UNDETERMINED"))</x:f>
      </x:c>
      <x:c r="Y38" s="471"/>
    </x:row>
    <x:row r="39" spans="1:25">
      <x:c r="B39" s="45">
        <x:f>DataSheet!AM88</x:f>
      </x:c>
      <x:c r="C39" s="46">
        <x:f>DataSheet!P88</x:f>
      </x:c>
      <x:c r="D39" s="706">
        <x:f>ABS((DataSheet!AM88*1.6%)+(9*DataSheet!CK88))</x:f>
      </x:c>
      <x:c r="E39" s="698">
        <x:f>C39</x:f>
      </x:c>
      <x:c r="F39" s="699">
        <x:f>DataSheet!DD88</x:f>
      </x:c>
      <x:c r="G39" s="698">
        <x:f>E39</x:f>
      </x:c>
      <x:c r="H39" s="713">
        <x:f>DataSheet!L88+D39</x:f>
      </x:c>
      <x:c r="I39" s="713"/>
      <x:c r="J39" s="713">
        <x:f>DataSheet!L88-D39</x:f>
      </x:c>
      <x:c r="K39" s="713"/>
      <x:c r="L39" s="713">
        <x:f>IF(AND(B39&lt;=H39,B39&gt;=J39),"PASSED","FAILED")</x:f>
      </x:c>
      <x:c r="M39" s="713"/>
      <x:c r="N39" s="706">
        <x:f>DataSheet!DD88+B39</x:f>
      </x:c>
      <x:c r="O39" s="698">
        <x:f>G39</x:f>
      </x:c>
      <x:c r="P39" s="706">
        <x:f>H39</x:f>
      </x:c>
      <x:c r="Q39" s="698">
        <x:f>O39</x:f>
      </x:c>
      <x:c r="R39" s="714">
        <x:f>IF(AND(N39&lt;=H39,N39&gt;=J39),"PASSED","FAILED")</x:f>
      </x:c>
      <x:c r="S39" s="714"/>
      <x:c r="T39" s="706">
        <x:f>-F39+B39</x:f>
      </x:c>
      <x:c r="U39" s="704">
        <x:f>O39</x:f>
      </x:c>
      <x:c r="V39" s="705">
        <x:f>IF(AND(T39&lt;=H39,T39&gt;=J39),"PASSED","FAILED")</x:f>
      </x:c>
      <x:c r="W39" s="705"/>
      <x:c r="X39" s="471">
        <x:f>IF(AND(L39="PASSED",R39="PASSED",V39="PASSED"),"PASSED",IF(L39="FAILED","FAILED","UNDETERMINED"))</x:f>
      </x:c>
      <x:c r="Y39" s="471"/>
    </x:row>
    <x:row r="40" spans="1:25">
      <x:c r="B40" s="45">
        <x:f>DataSheet!AM89</x:f>
      </x:c>
      <x:c r="C40" s="46">
        <x:f>DataSheet!P89</x:f>
      </x:c>
      <x:c r="D40" s="706">
        <x:f>ABS((DataSheet!AM89*1.6%)+(9*DataSheet!CK89))</x:f>
      </x:c>
      <x:c r="E40" s="698">
        <x:f>C40</x:f>
      </x:c>
      <x:c r="F40" s="699">
        <x:f>DataSheet!DD89</x:f>
      </x:c>
      <x:c r="G40" s="698">
        <x:f>E40</x:f>
      </x:c>
      <x:c r="H40" s="713">
        <x:f>DataSheet!L89+D40</x:f>
      </x:c>
      <x:c r="I40" s="713"/>
      <x:c r="J40" s="713">
        <x:f>DataSheet!L89-D40</x:f>
      </x:c>
      <x:c r="K40" s="713"/>
      <x:c r="L40" s="713">
        <x:f>IF(AND(B40&lt;=H40,B40&gt;=J40),"PASSED","FAILED")</x:f>
      </x:c>
      <x:c r="M40" s="713"/>
      <x:c r="N40" s="706">
        <x:f>DataSheet!DD89+B40</x:f>
      </x:c>
      <x:c r="O40" s="698">
        <x:f>G40</x:f>
      </x:c>
      <x:c r="P40" s="706">
        <x:f>H40</x:f>
      </x:c>
      <x:c r="Q40" s="698">
        <x:f>O40</x:f>
      </x:c>
      <x:c r="R40" s="714">
        <x:f>IF(AND(N40&lt;=H40,N40&gt;=J40),"PASSED","FAILED")</x:f>
      </x:c>
      <x:c r="S40" s="714"/>
      <x:c r="T40" s="706">
        <x:f>-F40+B40</x:f>
      </x:c>
      <x:c r="U40" s="704">
        <x:f>O40</x:f>
      </x:c>
      <x:c r="V40" s="705">
        <x:f>IF(AND(T40&lt;=H40,T40&gt;=J40),"PASSED","FAILED")</x:f>
      </x:c>
      <x:c r="W40" s="705"/>
      <x:c r="X40" s="471">
        <x:f>IF(AND(L40="PASSED",R40="PASSED",V40="PASSED"),"PASSED",IF(L40="FAILED","FAILED","UNDETERMINED"))</x:f>
      </x:c>
      <x:c r="Y40" s="471"/>
    </x:row>
    <x:row r="41" spans="1:25">
      <x:c r="B41" s="43">
        <x:f>DataSheet!#REF!</x:f>
      </x:c>
      <x:c r="C41" s="44">
        <x:f>DataSheet!#REF!</x:f>
      </x:c>
      <x:c r="D41" s="700">
        <x:f>ABS((DataSheet!#REF!*1.6%)+(9*DataSheet!#REF!))</x:f>
      </x:c>
      <x:c r="E41" s="704">
        <x:f>C41</x:f>
      </x:c>
      <x:c r="F41" s="699">
        <x:f>DataSheet!#REF!</x:f>
      </x:c>
      <x:c r="G41" s="698">
        <x:f>E41</x:f>
      </x:c>
      <x:c r="H41" s="715">
        <x:f>DataSheet!#REF!+D41</x:f>
      </x:c>
      <x:c r="I41" s="715"/>
      <x:c r="J41" s="715">
        <x:f>DataSheet!#REF!-D41</x:f>
      </x:c>
      <x:c r="K41" s="715"/>
      <x:c r="L41" s="715">
        <x:f>IF(AND(B41&lt;=H41,B41&gt;=J41),"PASSED","FAILED")</x:f>
      </x:c>
      <x:c r="M41" s="715"/>
      <x:c r="N41" s="700">
        <x:f>DataSheet!#REF!+B41</x:f>
      </x:c>
      <x:c r="O41" s="702">
        <x:f>G41</x:f>
      </x:c>
      <x:c r="P41" s="700">
        <x:f>H41</x:f>
      </x:c>
      <x:c r="Q41" s="702">
        <x:f>O41</x:f>
      </x:c>
      <x:c r="R41" s="703">
        <x:f>IF(AND(N41&lt;=H41,N41&gt;=J41),"PASSED","FAILED")</x:f>
      </x:c>
      <x:c r="S41" s="703"/>
      <x:c r="T41" s="700">
        <x:f>-F41+B41</x:f>
      </x:c>
      <x:c r="U41" s="702">
        <x:f>O41</x:f>
      </x:c>
      <x:c r="V41" s="705">
        <x:f>IF(AND(T41&lt;=H41,T41&gt;=J41),"PASSED","FAILED")</x:f>
      </x:c>
      <x:c r="W41" s="705"/>
      <x:c r="X41" s="471">
        <x:f>IF(AND(L41="PASSED",R41="PASSED",V41="PASSED"),"PASSED",IF(L41="FAILED","FAILED","UNDETERMINED"))</x:f>
      </x:c>
      <x:c r="Y41" s="471"/>
    </x:row>
    <x:row r="42" spans="1:25">
      <x:c r="B42" s="43">
        <x:f>DataSheet!#REF!</x:f>
      </x:c>
      <x:c r="C42" s="44">
        <x:f>DataSheet!#REF!</x:f>
      </x:c>
      <x:c r="D42" s="700">
        <x:f>ABS((DataSheet!#REF!*1.6%)+(9*DataSheet!#REF!))</x:f>
      </x:c>
      <x:c r="E42" s="704">
        <x:f>C42</x:f>
      </x:c>
      <x:c r="F42" s="699">
        <x:f>DataSheet!#REF!</x:f>
      </x:c>
      <x:c r="G42" s="698">
        <x:f>E42</x:f>
      </x:c>
      <x:c r="H42" s="715">
        <x:f>DataSheet!#REF!+D42</x:f>
      </x:c>
      <x:c r="I42" s="715"/>
      <x:c r="J42" s="715">
        <x:f>DataSheet!#REF!-D42</x:f>
      </x:c>
      <x:c r="K42" s="715"/>
      <x:c r="L42" s="715">
        <x:f>IF(AND(B42&lt;=H42,B42&gt;=J42),"PASSED","FAILED")</x:f>
      </x:c>
      <x:c r="M42" s="715"/>
      <x:c r="N42" s="700">
        <x:f>DataSheet!#REF!+B42</x:f>
      </x:c>
      <x:c r="O42" s="702">
        <x:f>G42</x:f>
      </x:c>
      <x:c r="P42" s="700">
        <x:f>H42</x:f>
      </x:c>
      <x:c r="Q42" s="702">
        <x:f>O42</x:f>
      </x:c>
      <x:c r="R42" s="703">
        <x:f>IF(AND(N42&lt;=H42,N42&gt;=J42),"PASSED","FAILED")</x:f>
      </x:c>
      <x:c r="S42" s="703"/>
      <x:c r="T42" s="700">
        <x:f>-F42+B42</x:f>
      </x:c>
      <x:c r="U42" s="702">
        <x:f>O42</x:f>
      </x:c>
      <x:c r="V42" s="705">
        <x:f>IF(AND(T42&lt;=H42,T42&gt;=J42),"PASSED","FAILED")</x:f>
      </x:c>
      <x:c r="W42" s="705"/>
      <x:c r="X42" s="471">
        <x:f>IF(AND(L42="PASSED",R42="PASSED",V42="PASSED"),"PASSED",IF(L42="FAILED","FAILED","UNDETERMINED"))</x:f>
      </x:c>
      <x:c r="Y42" s="471"/>
    </x:row>
    <x:row r="43" spans="1:25">
      <x:c r="B43" s="43">
        <x:f>DataSheet!#REF!</x:f>
      </x:c>
      <x:c r="C43" s="44">
        <x:f>DataSheet!#REF!</x:f>
      </x:c>
      <x:c r="D43" s="700">
        <x:f>ABS((DataSheet!#REF!*1.6%)+(9*DataSheet!#REF!))</x:f>
      </x:c>
      <x:c r="E43" s="704">
        <x:f>C43</x:f>
      </x:c>
      <x:c r="F43" s="699">
        <x:f>DataSheet!#REF!</x:f>
      </x:c>
      <x:c r="G43" s="698">
        <x:f>E43</x:f>
      </x:c>
      <x:c r="H43" s="715">
        <x:f>DataSheet!#REF!+D43</x:f>
      </x:c>
      <x:c r="I43" s="715"/>
      <x:c r="J43" s="715">
        <x:f>DataSheet!#REF!-D43</x:f>
      </x:c>
      <x:c r="K43" s="715"/>
      <x:c r="L43" s="715">
        <x:f>IF(AND(B43&lt;=H43,B43&gt;=J43),"PASSED","FAILED")</x:f>
      </x:c>
      <x:c r="M43" s="715"/>
      <x:c r="N43" s="700">
        <x:f>DataSheet!#REF!+B43</x:f>
      </x:c>
      <x:c r="O43" s="702">
        <x:f>G43</x:f>
      </x:c>
      <x:c r="P43" s="700">
        <x:f>H43</x:f>
      </x:c>
      <x:c r="Q43" s="702">
        <x:f>O43</x:f>
      </x:c>
      <x:c r="R43" s="703">
        <x:f>IF(AND(N43&lt;=H43,N43&gt;=J43),"PASSED","FAILED")</x:f>
      </x:c>
      <x:c r="S43" s="703"/>
      <x:c r="T43" s="700">
        <x:f>-F43+B43</x:f>
      </x:c>
      <x:c r="U43" s="702">
        <x:f>O43</x:f>
      </x:c>
      <x:c r="V43" s="705">
        <x:f>IF(AND(T43&lt;=H43,T43&gt;=J43),"PASSED","FAILED")</x:f>
      </x:c>
      <x:c r="W43" s="705"/>
      <x:c r="X43" s="471">
        <x:f>IF(AND(L43="PASSED",R43="PASSED",V43="PASSED"),"PASSED",IF(L43="FAILED","FAILED","UNDETERMINED"))</x:f>
      </x:c>
      <x:c r="Y43" s="471"/>
    </x:row>
    <x:row r="44" spans="1:25">
      <x:c r="B44" s="43">
        <x:f>DataSheet!#REF!</x:f>
      </x:c>
      <x:c r="C44" s="44">
        <x:f>DataSheet!#REF!</x:f>
      </x:c>
      <x:c r="D44" s="700">
        <x:f>ABS((DataSheet!#REF!*1.6%)+(9*DataSheet!#REF!))</x:f>
      </x:c>
      <x:c r="E44" s="704">
        <x:f>C44</x:f>
      </x:c>
      <x:c r="F44" s="699">
        <x:f>DataSheet!#REF!</x:f>
      </x:c>
      <x:c r="G44" s="698">
        <x:f>E44</x:f>
      </x:c>
      <x:c r="H44" s="715">
        <x:f>DataSheet!#REF!+D44</x:f>
      </x:c>
      <x:c r="I44" s="715"/>
      <x:c r="J44" s="715">
        <x:f>DataSheet!#REF!-D44</x:f>
      </x:c>
      <x:c r="K44" s="715"/>
      <x:c r="L44" s="715">
        <x:f>IF(AND(B44&lt;=H44,B44&gt;=J44),"PASSED","FAILED")</x:f>
      </x:c>
      <x:c r="M44" s="715"/>
      <x:c r="N44" s="700">
        <x:f>DataSheet!#REF!+B44</x:f>
      </x:c>
      <x:c r="O44" s="702">
        <x:f>G44</x:f>
      </x:c>
      <x:c r="P44" s="700">
        <x:f>H44</x:f>
      </x:c>
      <x:c r="Q44" s="702">
        <x:f>O44</x:f>
      </x:c>
      <x:c r="R44" s="703">
        <x:f>IF(AND(N44&lt;=H44,N44&gt;=J44),"PASSED","FAILED")</x:f>
      </x:c>
      <x:c r="S44" s="703"/>
      <x:c r="T44" s="700">
        <x:f>-F44+B44</x:f>
      </x:c>
      <x:c r="U44" s="702">
        <x:f>O44</x:f>
      </x:c>
      <x:c r="V44" s="705">
        <x:f>IF(AND(T44&lt;=H44,T44&gt;=J44),"PASSED","FAILED")</x:f>
      </x:c>
      <x:c r="W44" s="705"/>
      <x:c r="X44" s="471">
        <x:f>IF(AND(L44="PASSED",R44="PASSED",V44="PASSED"),"PASSED",IF(L44="FAILED","FAILED","UNDETERMINED"))</x:f>
      </x:c>
      <x:c r="Y44" s="471"/>
    </x:row>
    <x:row r="45" spans="1:25">
      <x:c r="B45" s="49">
        <x:f>DataSheet!AM90</x:f>
      </x:c>
      <x:c r="C45" s="50">
        <x:f>DataSheet!P90</x:f>
      </x:c>
      <x:c r="D45" s="709">
        <x:f>ABS((DataSheet!AM90*1.6%)+(9*DataSheet!CK90))</x:f>
      </x:c>
      <x:c r="E45" s="704">
        <x:f>C45</x:f>
      </x:c>
      <x:c r="F45" s="699">
        <x:f>DataSheet!DD90</x:f>
      </x:c>
      <x:c r="G45" s="698">
        <x:f>E45</x:f>
      </x:c>
      <x:c r="H45" s="716">
        <x:f>DataSheet!L90+D45</x:f>
      </x:c>
      <x:c r="I45" s="716"/>
      <x:c r="J45" s="716">
        <x:f>DataSheet!L90-D45</x:f>
      </x:c>
      <x:c r="K45" s="716"/>
      <x:c r="L45" s="716">
        <x:f>IF(AND(B45&lt;=H45,B45&gt;=J45),"PASSED","FAILED")</x:f>
      </x:c>
      <x:c r="M45" s="716"/>
      <x:c r="N45" s="709">
        <x:f>DataSheet!DD90+B45</x:f>
      </x:c>
      <x:c r="O45" s="710">
        <x:f>G45</x:f>
      </x:c>
      <x:c r="P45" s="709">
        <x:f>H45</x:f>
      </x:c>
      <x:c r="Q45" s="710">
        <x:f>O45</x:f>
      </x:c>
      <x:c r="R45" s="711">
        <x:f>IF(AND(N45&lt;=H45,N45&gt;=J45),"PASSED","FAILED")</x:f>
      </x:c>
      <x:c r="S45" s="711"/>
      <x:c r="T45" s="709">
        <x:f>-F45+B45</x:f>
      </x:c>
      <x:c r="U45" s="710">
        <x:f>O45</x:f>
      </x:c>
      <x:c r="V45" s="705">
        <x:f>IF(AND(T45&lt;=H45,T45&gt;=J45),"PASSED","FAILED")</x:f>
      </x:c>
      <x:c r="W45" s="705"/>
      <x:c r="X45" s="471">
        <x:f>IF(AND(L45="PASSED",R45="PASSED",V45="PASSED"),"PASSED",IF(L45="FAILED","FAILED","UNDETERMINED"))</x:f>
      </x:c>
      <x:c r="Y45" s="471"/>
    </x:row>
    <x:row r="46" spans="1:25">
      <x:c r="B46" s="49">
        <x:f>DataSheet!AM91</x:f>
      </x:c>
      <x:c r="C46" s="50">
        <x:f>DataSheet!P91</x:f>
      </x:c>
      <x:c r="D46" s="709">
        <x:f>ABS((DataSheet!AM91*1.6%)+(9*DataSheet!CK91))</x:f>
      </x:c>
      <x:c r="E46" s="704">
        <x:f>C46</x:f>
      </x:c>
      <x:c r="F46" s="699">
        <x:f>DataSheet!DD91</x:f>
      </x:c>
      <x:c r="G46" s="698">
        <x:f>E46</x:f>
      </x:c>
      <x:c r="H46" s="716">
        <x:f>DataSheet!L91+D46</x:f>
      </x:c>
      <x:c r="I46" s="716"/>
      <x:c r="J46" s="716">
        <x:f>DataSheet!L91-D46</x:f>
      </x:c>
      <x:c r="K46" s="716"/>
      <x:c r="L46" s="716">
        <x:f>IF(AND(B46&lt;=H46,B46&gt;=J46),"PASSED","FAILED")</x:f>
      </x:c>
      <x:c r="M46" s="716"/>
      <x:c r="N46" s="709">
        <x:f>DataSheet!DD91+B46</x:f>
      </x:c>
      <x:c r="O46" s="710">
        <x:f>G46</x:f>
      </x:c>
      <x:c r="P46" s="709">
        <x:f>H46</x:f>
      </x:c>
      <x:c r="Q46" s="710">
        <x:f>O46</x:f>
      </x:c>
      <x:c r="R46" s="711">
        <x:f>IF(AND(N46&lt;=H46,N46&gt;=J46),"PASSED","FAILED")</x:f>
      </x:c>
      <x:c r="S46" s="711"/>
      <x:c r="T46" s="709">
        <x:f>-F46+B46</x:f>
      </x:c>
      <x:c r="U46" s="710">
        <x:f>O46</x:f>
      </x:c>
      <x:c r="V46" s="705">
        <x:f>IF(AND(T46&lt;=H46,T46&gt;=J46),"PASSED","FAILED")</x:f>
      </x:c>
      <x:c r="W46" s="705"/>
      <x:c r="X46" s="471">
        <x:f>IF(AND(L46="PASSED",R46="PASSED",V46="PASSED"),"PASSED",IF(L46="FAILED","FAILED","UNDETERMINED"))</x:f>
      </x:c>
      <x:c r="Y46" s="471"/>
    </x:row>
    <x:row r="47" spans="1:25">
      <x:c r="B47" s="49">
        <x:f>DataSheet!AM92</x:f>
      </x:c>
      <x:c r="C47" s="50">
        <x:f>DataSheet!P92</x:f>
      </x:c>
      <x:c r="D47" s="709">
        <x:f>ABS((DataSheet!AM92*1.6%)+(9*DataSheet!CK92))</x:f>
      </x:c>
      <x:c r="E47" s="704">
        <x:f>C47</x:f>
      </x:c>
      <x:c r="F47" s="699">
        <x:f>DataSheet!DD92</x:f>
      </x:c>
      <x:c r="G47" s="698">
        <x:f>E47</x:f>
      </x:c>
      <x:c r="H47" s="716">
        <x:f>DataSheet!L92+D47</x:f>
      </x:c>
      <x:c r="I47" s="716"/>
      <x:c r="J47" s="716">
        <x:f>DataSheet!L92-D47</x:f>
      </x:c>
      <x:c r="K47" s="716"/>
      <x:c r="L47" s="716">
        <x:f>IF(AND(B47&lt;=H47,B47&gt;=J47),"PASSED","FAILED")</x:f>
      </x:c>
      <x:c r="M47" s="716"/>
      <x:c r="N47" s="709">
        <x:f>DataSheet!DD92+B47</x:f>
      </x:c>
      <x:c r="O47" s="710">
        <x:f>G47</x:f>
      </x:c>
      <x:c r="P47" s="709">
        <x:f>H47</x:f>
      </x:c>
      <x:c r="Q47" s="710">
        <x:f>O47</x:f>
      </x:c>
      <x:c r="R47" s="711">
        <x:f>IF(AND(N47&lt;=H47,N47&gt;=J47),"PASSED","FAILED")</x:f>
      </x:c>
      <x:c r="S47" s="711"/>
      <x:c r="T47" s="709">
        <x:f>-F47+B47</x:f>
      </x:c>
      <x:c r="U47" s="710">
        <x:f>O47</x:f>
      </x:c>
      <x:c r="V47" s="705">
        <x:f>IF(AND(T47&lt;=H47,T47&gt;=J47),"PASSED","FAILED")</x:f>
      </x:c>
      <x:c r="W47" s="705"/>
      <x:c r="X47" s="471">
        <x:f>IF(AND(L47="PASSED",R47="PASSED",V47="PASSED"),"PASSED",IF(L47="FAILED","FAILED","UNDETERMINED"))</x:f>
      </x:c>
      <x:c r="Y47" s="471"/>
    </x:row>
    <x:row r="48" spans="1:25">
      <x:c r="B48" s="49">
        <x:f>DataSheet!AM93</x:f>
      </x:c>
      <x:c r="C48" s="50">
        <x:f>DataSheet!P93</x:f>
      </x:c>
      <x:c r="D48" s="709">
        <x:f>ABS((DataSheet!AM93*1.6%)+(9*DataSheet!CK93))</x:f>
      </x:c>
      <x:c r="E48" s="704">
        <x:f>C48</x:f>
      </x:c>
      <x:c r="F48" s="699">
        <x:f>DataSheet!DD93</x:f>
      </x:c>
      <x:c r="G48" s="698">
        <x:f>E48</x:f>
      </x:c>
      <x:c r="H48" s="716">
        <x:f>DataSheet!L93+D48</x:f>
      </x:c>
      <x:c r="I48" s="716"/>
      <x:c r="J48" s="716">
        <x:f>DataSheet!L93-D48</x:f>
      </x:c>
      <x:c r="K48" s="716"/>
      <x:c r="L48" s="716">
        <x:f>IF(AND(B48&lt;=H48,B48&gt;=J48),"PASSED","FAILED")</x:f>
      </x:c>
      <x:c r="M48" s="716"/>
      <x:c r="N48" s="709">
        <x:f>DataSheet!DD93+B48</x:f>
      </x:c>
      <x:c r="O48" s="710">
        <x:f>G48</x:f>
      </x:c>
      <x:c r="P48" s="709">
        <x:f>H48</x:f>
      </x:c>
      <x:c r="Q48" s="710">
        <x:f>O48</x:f>
      </x:c>
      <x:c r="R48" s="711">
        <x:f>IF(AND(N48&lt;=H48,N48&gt;=J48),"PASSED","FAILED")</x:f>
      </x:c>
      <x:c r="S48" s="711"/>
      <x:c r="T48" s="709">
        <x:f>-F48+B48</x:f>
      </x:c>
      <x:c r="U48" s="710">
        <x:f>O48</x:f>
      </x:c>
      <x:c r="V48" s="705">
        <x:f>IF(AND(T48&lt;=H48,T48&gt;=J48),"PASSED","FAILED")</x:f>
      </x:c>
      <x:c r="W48" s="705"/>
      <x:c r="X48" s="471">
        <x:f>IF(AND(L48="PASSED",R48="PASSED",V48="PASSED"),"PASSED",IF(L48="FAILED","FAILED","UNDETERMINED"))</x:f>
      </x:c>
      <x:c r="Y48" s="471"/>
    </x:row>
    <x:row r="49" spans="1:25">
      <x:c r="B49" s="693">
        <x:f>DataSheet!F99</x:f>
      </x:c>
      <x:c r="C49" s="693"/>
      <x:c r="D49" s="693"/>
      <x:c r="E49" s="693"/>
      <x:c r="F49" s="693"/>
      <x:c r="G49" s="693"/>
      <x:c r="H49" s="693"/>
      <x:c r="I49" s="693"/>
      <x:c r="J49" s="693"/>
      <x:c r="K49" s="693"/>
      <x:c r="L49" s="693"/>
      <x:c r="M49" s="693"/>
      <x:c r="N49" s="693"/>
      <x:c r="O49" s="693"/>
      <x:c r="P49" s="693"/>
      <x:c r="Q49" s="693"/>
      <x:c r="R49" s="693"/>
      <x:c r="S49" s="693"/>
      <x:c r="T49" s="693"/>
      <x:c r="U49" s="693"/>
      <x:c r="V49" s="693"/>
      <x:c r="W49" s="693"/>
      <x:c r="X49" s="461" t="s">
        <x:v>157</x:v>
      </x:c>
      <x:c r="Y49" s="461"/>
    </x:row>
    <x:row r="50" spans="1:25">
      <x:c r="B50" s="693"/>
      <x:c r="C50" s="693"/>
      <x:c r="D50" s="693"/>
      <x:c r="E50" s="693"/>
      <x:c r="F50" s="693"/>
      <x:c r="G50" s="693"/>
      <x:c r="H50" s="693"/>
      <x:c r="I50" s="693"/>
      <x:c r="J50" s="693"/>
      <x:c r="K50" s="693"/>
      <x:c r="L50" s="693"/>
      <x:c r="M50" s="693"/>
      <x:c r="N50" s="693"/>
      <x:c r="O50" s="693"/>
      <x:c r="P50" s="693"/>
      <x:c r="Q50" s="693"/>
      <x:c r="R50" s="693"/>
      <x:c r="S50" s="693"/>
      <x:c r="T50" s="693"/>
      <x:c r="U50" s="693"/>
      <x:c r="V50" s="693"/>
      <x:c r="W50" s="693"/>
      <x:c r="X50" s="461"/>
      <x:c r="Y50" s="461"/>
    </x:row>
    <x:row r="51" spans="1:25">
      <x:c r="B51" s="461" t="s">
        <x:v>39</x:v>
      </x:c>
      <x:c r="C51" s="461"/>
      <x:c r="D51" s="693" t="s">
        <x:v>95</x:v>
      </x:c>
      <x:c r="E51" s="693"/>
      <x:c r="F51" s="687" t="s">
        <x:v>41</x:v>
      </x:c>
      <x:c r="G51" s="689"/>
      <x:c r="H51" s="693" t="s">
        <x:v>96</x:v>
      </x:c>
      <x:c r="I51" s="693"/>
      <x:c r="J51" s="693" t="s">
        <x:v>97</x:v>
      </x:c>
      <x:c r="K51" s="693"/>
      <x:c r="L51" s="693" t="s">
        <x:v>98</x:v>
      </x:c>
      <x:c r="M51" s="693"/>
      <x:c r="N51" s="694" t="s">
        <x:v>160</x:v>
      </x:c>
      <x:c r="O51" s="693"/>
      <x:c r="P51" s="693" t="s">
        <x:v>96</x:v>
      </x:c>
      <x:c r="Q51" s="693"/>
      <x:c r="R51" s="693" t="s">
        <x:v>98</x:v>
      </x:c>
      <x:c r="S51" s="693"/>
      <x:c r="T51" s="694" t="s">
        <x:v>161</x:v>
      </x:c>
      <x:c r="U51" s="693"/>
      <x:c r="V51" s="693" t="s">
        <x:v>98</x:v>
      </x:c>
      <x:c r="W51" s="693"/>
      <x:c r="X51" s="461"/>
      <x:c r="Y51" s="461"/>
    </x:row>
    <x:row r="52" spans="1:25">
      <x:c r="B52" s="461"/>
      <x:c r="C52" s="461"/>
      <x:c r="D52" s="693"/>
      <x:c r="E52" s="693"/>
      <x:c r="F52" s="690"/>
      <x:c r="G52" s="692"/>
      <x:c r="H52" s="693"/>
      <x:c r="I52" s="693"/>
      <x:c r="J52" s="693"/>
      <x:c r="K52" s="693"/>
      <x:c r="L52" s="693"/>
      <x:c r="M52" s="693"/>
      <x:c r="N52" s="693"/>
      <x:c r="O52" s="693"/>
      <x:c r="P52" s="693"/>
      <x:c r="Q52" s="693"/>
      <x:c r="R52" s="693"/>
      <x:c r="S52" s="693"/>
      <x:c r="T52" s="693"/>
      <x:c r="U52" s="693"/>
      <x:c r="V52" s="693"/>
      <x:c r="W52" s="693"/>
      <x:c r="X52" s="461"/>
      <x:c r="Y52" s="461"/>
    </x:row>
    <x:row r="53" spans="1:25">
      <x:c r="B53" s="43">
        <x:f>DataSheet!AM102</x:f>
      </x:c>
      <x:c r="C53" s="48">
        <x:f>DataSheet!P102</x:f>
      </x:c>
      <x:c r="D53" s="700">
        <x:f>ABS((DataSheet!AM102*1.5%)+(5*DataSheet!CK102))</x:f>
      </x:c>
      <x:c r="E53" s="704">
        <x:f>C53</x:f>
      </x:c>
      <x:c r="F53" s="699">
        <x:f>DataSheet!DD102</x:f>
      </x:c>
      <x:c r="G53" s="698">
        <x:f>C53</x:f>
      </x:c>
      <x:c r="H53" s="715">
        <x:f>DataSheet!L102+D53</x:f>
      </x:c>
      <x:c r="I53" s="715"/>
      <x:c r="J53" s="715">
        <x:f>DataSheet!L102-D53</x:f>
      </x:c>
      <x:c r="K53" s="715"/>
      <x:c r="L53" s="701">
        <x:f>IF(AND(B53&lt;=H53,B53&gt;=J53),"PASSED","FAILED")</x:f>
      </x:c>
      <x:c r="M53" s="701"/>
      <x:c r="N53" s="700">
        <x:f>DataSheet!DD102+B53</x:f>
      </x:c>
      <x:c r="O53" s="698">
        <x:f>G53</x:f>
      </x:c>
      <x:c r="P53" s="700">
        <x:f>H53</x:f>
      </x:c>
      <x:c r="Q53" s="702">
        <x:f>O53</x:f>
      </x:c>
      <x:c r="R53" s="705">
        <x:f>IF(AND(N53&lt;=H53,N53&gt;=J53),"PASSED","FAILED")</x:f>
      </x:c>
      <x:c r="S53" s="705"/>
      <x:c r="T53" s="700">
        <x:f>-F53+B53</x:f>
      </x:c>
      <x:c r="U53" s="704">
        <x:f>O53</x:f>
      </x:c>
      <x:c r="V53" s="705">
        <x:f>IF(AND(T53&lt;=H53,T53&gt;=J53),"PASSED","FAILED")</x:f>
      </x:c>
      <x:c r="W53" s="705"/>
      <x:c r="X53" s="471">
        <x:f>IF(AND(L53="PASSED",R53="PASSED",V53="PASSED"),"PASSED",IF(L53="FAILED","FAILED","UNDETERMINED"))</x:f>
      </x:c>
      <x:c r="Y53" s="471"/>
    </x:row>
    <x:row r="54" spans="1:25">
      <x:c r="B54" s="43">
        <x:f>DataSheet!AM103</x:f>
      </x:c>
      <x:c r="C54" s="48">
        <x:f>DataSheet!P103</x:f>
      </x:c>
      <x:c r="D54" s="700">
        <x:f>ABS((DataSheet!AM103*1.5%)+(5*DataSheet!CK103))</x:f>
      </x:c>
      <x:c r="E54" s="704">
        <x:f>C54</x:f>
      </x:c>
      <x:c r="F54" s="699">
        <x:f>DataSheet!DD103</x:f>
      </x:c>
      <x:c r="G54" s="698">
        <x:f>C54</x:f>
      </x:c>
      <x:c r="H54" s="715">
        <x:f>DataSheet!L103+D54</x:f>
      </x:c>
      <x:c r="I54" s="715"/>
      <x:c r="J54" s="715">
        <x:f>DataSheet!L103-D54</x:f>
      </x:c>
      <x:c r="K54" s="715"/>
      <x:c r="L54" s="701">
        <x:f>IF(AND(B54&lt;=H54,B54&gt;=J54),"PASSED","FAILED")</x:f>
      </x:c>
      <x:c r="M54" s="701"/>
      <x:c r="N54" s="700">
        <x:f>DataSheet!DD103+B54</x:f>
      </x:c>
      <x:c r="O54" s="698">
        <x:f>G54</x:f>
      </x:c>
      <x:c r="P54" s="700">
        <x:f>H54</x:f>
      </x:c>
      <x:c r="Q54" s="702">
        <x:f>O54</x:f>
      </x:c>
      <x:c r="R54" s="705">
        <x:f>IF(AND(N54&lt;=H54,N54&gt;=J54),"PASSED","FAILED")</x:f>
      </x:c>
      <x:c r="S54" s="705"/>
      <x:c r="T54" s="700">
        <x:f>-F54+B54</x:f>
      </x:c>
      <x:c r="U54" s="704">
        <x:f>O54</x:f>
      </x:c>
      <x:c r="V54" s="705">
        <x:f>IF(AND(T54&lt;=H54,T54&gt;=J54),"PASSED","FAILED")</x:f>
      </x:c>
      <x:c r="W54" s="705"/>
      <x:c r="X54" s="471">
        <x:f>IF(AND(L54="PASSED",R54="PASSED",V54="PASSED"),"PASSED",IF(L54="FAILED","FAILED","UNDETERMINED"))</x:f>
      </x:c>
      <x:c r="Y54" s="471"/>
    </x:row>
    <x:row r="55" spans="1:25">
      <x:c r="B55" s="47">
        <x:f>DataSheet!AM104</x:f>
      </x:c>
      <x:c r="C55" s="48">
        <x:f>DataSheet!P104</x:f>
      </x:c>
      <x:c r="D55" s="708">
        <x:f>ABS((DataSheet!AM104*1.5%)+(5*DataSheet!CK104))</x:f>
      </x:c>
      <x:c r="E55" s="704">
        <x:f>C55</x:f>
      </x:c>
      <x:c r="F55" s="699">
        <x:f>DataSheet!DD104</x:f>
      </x:c>
      <x:c r="G55" s="698">
        <x:f>C55</x:f>
      </x:c>
      <x:c r="H55" s="712">
        <x:f>DataSheet!L104+D55</x:f>
      </x:c>
      <x:c r="I55" s="712"/>
      <x:c r="J55" s="712">
        <x:f>DataSheet!L104-D55</x:f>
      </x:c>
      <x:c r="K55" s="712"/>
      <x:c r="L55" s="701">
        <x:f>IF(AND(B55&lt;=H55,B55&gt;=J55),"PASSED","FAILED")</x:f>
      </x:c>
      <x:c r="M55" s="701"/>
      <x:c r="N55" s="708">
        <x:f>DataSheet!DD104+B55</x:f>
      </x:c>
      <x:c r="O55" s="698">
        <x:f>G55</x:f>
      </x:c>
      <x:c r="P55" s="708">
        <x:f>H55</x:f>
      </x:c>
      <x:c r="Q55" s="704">
        <x:f>O55</x:f>
      </x:c>
      <x:c r="R55" s="705">
        <x:f>IF(AND(N55&lt;=H55,N55&gt;=J55),"PASSED","FAILED")</x:f>
      </x:c>
      <x:c r="S55" s="705"/>
      <x:c r="T55" s="708">
        <x:f>-DataSheet!DD104+B55</x:f>
      </x:c>
      <x:c r="U55" s="704">
        <x:f>O55</x:f>
      </x:c>
      <x:c r="V55" s="705">
        <x:f>IF(AND(T55&lt;=H55,T55&gt;=J55),"PASSED","FAILED")</x:f>
      </x:c>
      <x:c r="W55" s="705"/>
      <x:c r="X55" s="471">
        <x:f>IF(AND(L55="PASSED",R55="PASSED",V55="PASSED"),"PASSED",IF(L55="FAILED","FAILED","UNDETERMINED"))</x:f>
      </x:c>
      <x:c r="Y55" s="471"/>
    </x:row>
    <x:row r="56" spans="1:25">
      <x:c r="B56" s="45">
        <x:f>DataSheet!AM105</x:f>
      </x:c>
      <x:c r="C56" s="48">
        <x:f>DataSheet!P105</x:f>
      </x:c>
      <x:c r="D56" s="706">
        <x:f>ABS((DataSheet!AM105*1.5%)+(5*DataSheet!CK105))</x:f>
      </x:c>
      <x:c r="E56" s="704">
        <x:f>C56</x:f>
      </x:c>
      <x:c r="F56" s="699">
        <x:f>DataSheet!DD105</x:f>
      </x:c>
      <x:c r="G56" s="698">
        <x:f>C56</x:f>
      </x:c>
      <x:c r="H56" s="713">
        <x:f>DataSheet!L105+D56</x:f>
      </x:c>
      <x:c r="I56" s="713"/>
      <x:c r="J56" s="713">
        <x:f>DataSheet!L105-D56</x:f>
      </x:c>
      <x:c r="K56" s="713"/>
      <x:c r="L56" s="701">
        <x:f>IF(AND(B56&lt;=H56,B56&gt;=J56),"PASSED","FAILED")</x:f>
      </x:c>
      <x:c r="M56" s="701"/>
      <x:c r="N56" s="706">
        <x:f>DataSheet!DD105+B56</x:f>
      </x:c>
      <x:c r="O56" s="698">
        <x:f>G56</x:f>
      </x:c>
      <x:c r="P56" s="706">
        <x:f>H56</x:f>
      </x:c>
      <x:c r="Q56" s="698">
        <x:f>O56</x:f>
      </x:c>
      <x:c r="R56" s="705">
        <x:f>IF(AND(N56&lt;=H56,N56&gt;=J56),"PASSED","FAILED")</x:f>
      </x:c>
      <x:c r="S56" s="705"/>
      <x:c r="T56" s="706">
        <x:f>-F56+B56</x:f>
      </x:c>
      <x:c r="U56" s="704">
        <x:f>O56</x:f>
      </x:c>
      <x:c r="V56" s="705">
        <x:f>IF(AND(T56&lt;=H56,T56&gt;=J56),"PASSED","FAILED")</x:f>
      </x:c>
      <x:c r="W56" s="705"/>
      <x:c r="X56" s="471">
        <x:f>IF(AND(L56="PASSED",R56="PASSED",V56="PASSED"),"PASSED",IF(L56="FAILED","FAILED","UNDETERMINED"))</x:f>
      </x:c>
      <x:c r="Y56" s="471"/>
    </x:row>
    <x:row r="57" spans="1:25">
      <x:c r="B57" s="43">
        <x:f>DataSheet!AM106</x:f>
      </x:c>
      <x:c r="C57" s="48">
        <x:f>DataSheet!P106</x:f>
      </x:c>
      <x:c r="D57" s="700">
        <x:f>ABS((DataSheet!AM106*1.5%)+(5*DataSheet!CK106))</x:f>
      </x:c>
      <x:c r="E57" s="704">
        <x:f>C57</x:f>
      </x:c>
      <x:c r="F57" s="699">
        <x:f>DataSheet!DD106</x:f>
      </x:c>
      <x:c r="G57" s="698">
        <x:f>C57</x:f>
      </x:c>
      <x:c r="H57" s="715">
        <x:f>DataSheet!L106+D57</x:f>
      </x:c>
      <x:c r="I57" s="715"/>
      <x:c r="J57" s="715">
        <x:f>DataSheet!L106-D57</x:f>
      </x:c>
      <x:c r="K57" s="715"/>
      <x:c r="L57" s="701">
        <x:f>IF(AND(B57&lt;=H57,B57&gt;=J57),"PASSED","FAILED")</x:f>
      </x:c>
      <x:c r="M57" s="701"/>
      <x:c r="N57" s="700">
        <x:f>DataSheet!DD106+B57</x:f>
      </x:c>
      <x:c r="O57" s="698">
        <x:f>G57</x:f>
      </x:c>
      <x:c r="P57" s="700">
        <x:f>H57</x:f>
      </x:c>
      <x:c r="Q57" s="702">
        <x:f>O57</x:f>
      </x:c>
      <x:c r="R57" s="705">
        <x:f>IF(AND(N57&lt;=H57,N57&gt;=J57),"PASSED","FAILED")</x:f>
      </x:c>
      <x:c r="S57" s="705"/>
      <x:c r="T57" s="700">
        <x:f>-F57+B57</x:f>
      </x:c>
      <x:c r="U57" s="704">
        <x:f>O57</x:f>
      </x:c>
      <x:c r="V57" s="705">
        <x:f>IF(AND(T57&lt;=H57,T57&gt;=J57),"PASSED","FAILED")</x:f>
      </x:c>
      <x:c r="W57" s="705"/>
      <x:c r="X57" s="471">
        <x:f>IF(AND(L57="PASSED",R57="PASSED",V57="PASSED"),"PASSED",IF(L57="FAILED","FAILED","UNDETERMINED"))</x:f>
      </x:c>
      <x:c r="Y57" s="471"/>
    </x:row>
    <x:row r="58" spans="1:25">
      <x:c r="B58" s="47">
        <x:f>DataSheet!#REF!</x:f>
      </x:c>
      <x:c r="C58" s="48">
        <x:f>DataSheet!#REF!</x:f>
      </x:c>
      <x:c r="D58" s="708">
        <x:f>ABS((DataSheet!#REF!*1.5%)+(5*DataSheet!#REF!))</x:f>
      </x:c>
      <x:c r="E58" s="704">
        <x:f>C58</x:f>
      </x:c>
      <x:c r="F58" s="699">
        <x:f>DataSheet!#REF!</x:f>
      </x:c>
      <x:c r="G58" s="698">
        <x:f>C58</x:f>
      </x:c>
      <x:c r="H58" s="712">
        <x:f>DataSheet!#REF!+D58</x:f>
      </x:c>
      <x:c r="I58" s="712"/>
      <x:c r="J58" s="712">
        <x:f>DataSheet!#REF!-D58</x:f>
      </x:c>
      <x:c r="K58" s="712"/>
      <x:c r="L58" s="701">
        <x:f>IF(AND(B58&lt;=H58,B58&gt;=J58),"PASSED","FAILED")</x:f>
      </x:c>
      <x:c r="M58" s="701"/>
      <x:c r="N58" s="708">
        <x:f>DataSheet!#REF!+B58</x:f>
      </x:c>
      <x:c r="O58" s="698">
        <x:f>G58</x:f>
      </x:c>
      <x:c r="P58" s="708">
        <x:f>H58</x:f>
      </x:c>
      <x:c r="Q58" s="704">
        <x:f>O58</x:f>
      </x:c>
      <x:c r="R58" s="705">
        <x:f>IF(AND(N58&lt;=H58,N58&gt;=J58),"PASSED","FAILED")</x:f>
      </x:c>
      <x:c r="S58" s="705"/>
      <x:c r="T58" s="708">
        <x:f>-DataSheet!#REF!+B58</x:f>
      </x:c>
      <x:c r="U58" s="704">
        <x:f>O58</x:f>
      </x:c>
      <x:c r="V58" s="705">
        <x:f>IF(AND(T58&lt;=H58,T58&gt;=J58),"PASSED","FAILED")</x:f>
      </x:c>
      <x:c r="W58" s="705"/>
      <x:c r="X58" s="471">
        <x:f>IF(AND(L58="PASSED",R58="PASSED",V58="PASSED"),"PASSED",IF(L58="FAILED","FAILED","UNDETERMINED"))</x:f>
      </x:c>
      <x:c r="Y58" s="471"/>
    </x:row>
    <x:row r="59" spans="1:25">
      <x:c r="B59" s="45">
        <x:f>DataSheet!AM108</x:f>
      </x:c>
      <x:c r="C59" s="48">
        <x:f>DataSheet!P108</x:f>
      </x:c>
      <x:c r="D59" s="706">
        <x:f>ABS((DataSheet!AM108*1.5%)+(5*DataSheet!CK108))</x:f>
      </x:c>
      <x:c r="E59" s="704">
        <x:f>C59</x:f>
      </x:c>
      <x:c r="F59" s="699">
        <x:f>DataSheet!DD108</x:f>
      </x:c>
      <x:c r="G59" s="698">
        <x:f>C59</x:f>
      </x:c>
      <x:c r="H59" s="713">
        <x:f>DataSheet!L108+D59</x:f>
      </x:c>
      <x:c r="I59" s="713"/>
      <x:c r="J59" s="713">
        <x:f>DataSheet!L108-D59</x:f>
      </x:c>
      <x:c r="K59" s="713"/>
      <x:c r="L59" s="701">
        <x:f>IF(AND(B59&lt;=H59,B59&gt;=J59),"PASSED","FAILED")</x:f>
      </x:c>
      <x:c r="M59" s="701"/>
      <x:c r="N59" s="706">
        <x:f>DataSheet!DD108+B59</x:f>
      </x:c>
      <x:c r="O59" s="698">
        <x:f>G59</x:f>
      </x:c>
      <x:c r="P59" s="706">
        <x:f>H59</x:f>
      </x:c>
      <x:c r="Q59" s="698">
        <x:f>O59</x:f>
      </x:c>
      <x:c r="R59" s="705">
        <x:f>IF(AND(N59&lt;=H59,N59&gt;=J59),"PASSED","FAILED")</x:f>
      </x:c>
      <x:c r="S59" s="705"/>
      <x:c r="T59" s="706">
        <x:f>-F59+B59</x:f>
      </x:c>
      <x:c r="U59" s="704">
        <x:f>O59</x:f>
      </x:c>
      <x:c r="V59" s="705">
        <x:f>IF(AND(T59&lt;=H59,T59&gt;=J59),"PASSED","FAILED")</x:f>
      </x:c>
      <x:c r="W59" s="705"/>
      <x:c r="X59" s="471">
        <x:f>IF(AND(L59="PASSED",R59="PASSED",V59="PASSED"),"PASSED",IF(L59="FAILED","FAILED","UNDETERMINED"))</x:f>
      </x:c>
      <x:c r="Y59" s="471"/>
    </x:row>
    <x:row r="60" spans="1:25">
      <x:c r="B60" s="693">
        <x:f>DataSheet!F110</x:f>
      </x:c>
      <x:c r="C60" s="693"/>
      <x:c r="D60" s="693"/>
      <x:c r="E60" s="693"/>
      <x:c r="F60" s="693"/>
      <x:c r="G60" s="693"/>
      <x:c r="H60" s="693"/>
      <x:c r="I60" s="693"/>
      <x:c r="J60" s="693"/>
      <x:c r="K60" s="693"/>
      <x:c r="L60" s="693"/>
      <x:c r="M60" s="693"/>
      <x:c r="N60" s="693"/>
      <x:c r="O60" s="693"/>
      <x:c r="P60" s="693"/>
      <x:c r="Q60" s="693"/>
      <x:c r="R60" s="693"/>
      <x:c r="S60" s="693"/>
      <x:c r="T60" s="693"/>
      <x:c r="U60" s="693"/>
      <x:c r="V60" s="693"/>
      <x:c r="W60" s="693"/>
      <x:c r="X60" s="461" t="s">
        <x:v>157</x:v>
      </x:c>
      <x:c r="Y60" s="461"/>
    </x:row>
    <x:row r="61" spans="1:25">
      <x:c r="B61" s="693"/>
      <x:c r="C61" s="693"/>
      <x:c r="D61" s="693"/>
      <x:c r="E61" s="693"/>
      <x:c r="F61" s="693"/>
      <x:c r="G61" s="693"/>
      <x:c r="H61" s="693"/>
      <x:c r="I61" s="693"/>
      <x:c r="J61" s="693"/>
      <x:c r="K61" s="693"/>
      <x:c r="L61" s="693"/>
      <x:c r="M61" s="693"/>
      <x:c r="N61" s="693"/>
      <x:c r="O61" s="693"/>
      <x:c r="P61" s="693"/>
      <x:c r="Q61" s="693"/>
      <x:c r="R61" s="693"/>
      <x:c r="S61" s="693"/>
      <x:c r="T61" s="693"/>
      <x:c r="U61" s="693"/>
      <x:c r="V61" s="693"/>
      <x:c r="W61" s="693"/>
      <x:c r="X61" s="461"/>
      <x:c r="Y61" s="461"/>
    </x:row>
    <x:row r="62" spans="1:25">
      <x:c r="B62" s="461" t="s">
        <x:v>39</x:v>
      </x:c>
      <x:c r="C62" s="461"/>
      <x:c r="D62" s="693" t="s">
        <x:v>95</x:v>
      </x:c>
      <x:c r="E62" s="693"/>
      <x:c r="F62" s="687" t="s">
        <x:v>41</x:v>
      </x:c>
      <x:c r="G62" s="689"/>
      <x:c r="H62" s="693" t="s">
        <x:v>96</x:v>
      </x:c>
      <x:c r="I62" s="693"/>
      <x:c r="J62" s="693" t="s">
        <x:v>97</x:v>
      </x:c>
      <x:c r="K62" s="693"/>
      <x:c r="L62" s="693" t="s">
        <x:v>98</x:v>
      </x:c>
      <x:c r="M62" s="693"/>
      <x:c r="N62" s="694" t="s">
        <x:v>160</x:v>
      </x:c>
      <x:c r="O62" s="693"/>
      <x:c r="P62" s="693" t="s">
        <x:v>96</x:v>
      </x:c>
      <x:c r="Q62" s="693"/>
      <x:c r="R62" s="693" t="s">
        <x:v>98</x:v>
      </x:c>
      <x:c r="S62" s="693"/>
      <x:c r="T62" s="694" t="s">
        <x:v>161</x:v>
      </x:c>
      <x:c r="U62" s="693"/>
      <x:c r="V62" s="693" t="s">
        <x:v>98</x:v>
      </x:c>
      <x:c r="W62" s="693"/>
      <x:c r="X62" s="461"/>
      <x:c r="Y62" s="461"/>
    </x:row>
    <x:row r="63" spans="1:25">
      <x:c r="B63" s="461"/>
      <x:c r="C63" s="461"/>
      <x:c r="D63" s="693"/>
      <x:c r="E63" s="693"/>
      <x:c r="F63" s="690"/>
      <x:c r="G63" s="692"/>
      <x:c r="H63" s="693"/>
      <x:c r="I63" s="693"/>
      <x:c r="J63" s="693"/>
      <x:c r="K63" s="693"/>
      <x:c r="L63" s="693"/>
      <x:c r="M63" s="693"/>
      <x:c r="N63" s="693"/>
      <x:c r="O63" s="693"/>
      <x:c r="P63" s="693"/>
      <x:c r="Q63" s="693"/>
      <x:c r="R63" s="693"/>
      <x:c r="S63" s="693"/>
      <x:c r="T63" s="693"/>
      <x:c r="U63" s="693"/>
      <x:c r="V63" s="693"/>
      <x:c r="W63" s="693"/>
      <x:c r="X63" s="461"/>
      <x:c r="Y63" s="461"/>
    </x:row>
    <x:row r="64" spans="1:25">
      <x:c r="B64" s="45">
        <x:f>DataSheet!AM118</x:f>
      </x:c>
      <x:c r="C64" s="48">
        <x:f>DataSheet!P118</x:f>
      </x:c>
      <x:c r="D64" s="706">
        <x:f>ABS((DataSheet!AM118*2.2%)+(5*DataSheet!CK118))</x:f>
      </x:c>
      <x:c r="E64" s="704">
        <x:f>C64</x:f>
      </x:c>
      <x:c r="F64" s="699">
        <x:f>DataSheet!DD118</x:f>
      </x:c>
      <x:c r="G64" s="698">
        <x:f>C64</x:f>
      </x:c>
      <x:c r="H64" s="713">
        <x:f>DataSheet!L118+D64</x:f>
      </x:c>
      <x:c r="I64" s="713"/>
      <x:c r="J64" s="713">
        <x:f>DataSheet!L118-D64</x:f>
      </x:c>
      <x:c r="K64" s="713"/>
      <x:c r="L64" s="701">
        <x:f>IF(AND(B64&lt;=H64,B64&gt;=J64),"PASSED","FAILED")</x:f>
      </x:c>
      <x:c r="M64" s="701"/>
      <x:c r="N64" s="706">
        <x:f>DataSheet!DD118+B64</x:f>
      </x:c>
      <x:c r="O64" s="698">
        <x:f>G64</x:f>
      </x:c>
      <x:c r="P64" s="706">
        <x:f>H64</x:f>
      </x:c>
      <x:c r="Q64" s="698">
        <x:f>O64</x:f>
      </x:c>
      <x:c r="R64" s="714">
        <x:f>IF(AND(N64&lt;=H64,N64&gt;=J64),"PASSED","FAILED")</x:f>
      </x:c>
      <x:c r="S64" s="714"/>
      <x:c r="T64" s="706">
        <x:f>-F64+B64</x:f>
      </x:c>
      <x:c r="U64" s="704">
        <x:f>O64</x:f>
      </x:c>
      <x:c r="V64" s="705">
        <x:f>IF(AND(T64&lt;=H64,T64&gt;=J64),"PASSED","FAILED")</x:f>
      </x:c>
      <x:c r="W64" s="705"/>
      <x:c r="X64" s="471">
        <x:f>IF(AND(L64="PASSED",R64="PASSED",V64="PASSED"),"PASSED",IF(L64="FAILED","FAILED","UNDETERMINED"))</x:f>
      </x:c>
      <x:c r="Y64" s="471"/>
    </x:row>
    <x:row r="65" spans="1:25">
      <x:c r="B65" s="45">
        <x:f>DataSheet!AM119</x:f>
      </x:c>
      <x:c r="C65" s="48">
        <x:f>DataSheet!P119</x:f>
      </x:c>
      <x:c r="D65" s="706">
        <x:f>ABS((DataSheet!AM119*2.2%)-(5*DataSheet!CK119))</x:f>
      </x:c>
      <x:c r="E65" s="704">
        <x:f>C65</x:f>
      </x:c>
      <x:c r="F65" s="699">
        <x:f>DataSheet!DD119</x:f>
      </x:c>
      <x:c r="G65" s="698">
        <x:f>C65</x:f>
      </x:c>
      <x:c r="H65" s="713">
        <x:f>DataSheet!L119+D65</x:f>
      </x:c>
      <x:c r="I65" s="713"/>
      <x:c r="J65" s="713">
        <x:f>DataSheet!L119-D65</x:f>
      </x:c>
      <x:c r="K65" s="713"/>
      <x:c r="L65" s="701">
        <x:f>IF(AND(B65&lt;=H65,B65&gt;=J65),"PASSED","FAILED")</x:f>
      </x:c>
      <x:c r="M65" s="701"/>
      <x:c r="N65" s="706">
        <x:f>DataSheet!DD119+B65</x:f>
      </x:c>
      <x:c r="O65" s="698">
        <x:f>G65</x:f>
      </x:c>
      <x:c r="P65" s="706">
        <x:f>H65</x:f>
      </x:c>
      <x:c r="Q65" s="698">
        <x:f>O65</x:f>
      </x:c>
      <x:c r="R65" s="714">
        <x:f>IF(AND(N65&lt;=H65,N65&gt;=J65),"PASSED","FAILED")</x:f>
      </x:c>
      <x:c r="S65" s="714"/>
      <x:c r="T65" s="706">
        <x:f>-F65+B65</x:f>
      </x:c>
      <x:c r="U65" s="704">
        <x:f>O65</x:f>
      </x:c>
      <x:c r="V65" s="705">
        <x:f>IF(AND(T65&lt;=H65,T65&gt;=J65),"PASSED","FAILED")</x:f>
      </x:c>
      <x:c r="W65" s="705"/>
      <x:c r="X65" s="471">
        <x:f>IF(AND(L65="PASSED",R65="PASSED",V65="PASSED"),"PASSED",IF(L65="FAILED","FAILED","UNDETERMINED"))</x:f>
      </x:c>
      <x:c r="Y65" s="471"/>
    </x:row>
    <x:row r="66" spans="1:25">
      <x:c r="B66" s="43">
        <x:f>DataSheet!AM121</x:f>
      </x:c>
      <x:c r="C66" s="48">
        <x:f>DataSheet!P121</x:f>
      </x:c>
      <x:c r="D66" s="700">
        <x:f>ABS((DataSheet!AM121*2.2%)+(5*DataSheet!CK121))</x:f>
      </x:c>
      <x:c r="E66" s="704">
        <x:f>C66</x:f>
      </x:c>
      <x:c r="F66" s="699">
        <x:f>DataSheet!DD121</x:f>
      </x:c>
      <x:c r="G66" s="698">
        <x:f>C66</x:f>
      </x:c>
      <x:c r="H66" s="715">
        <x:f>DataSheet!L121+D66</x:f>
      </x:c>
      <x:c r="I66" s="715"/>
      <x:c r="J66" s="715">
        <x:f>DataSheet!L121-D66</x:f>
      </x:c>
      <x:c r="K66" s="715"/>
      <x:c r="L66" s="701">
        <x:f>IF(AND(B66&lt;=H66,B66&gt;=J66),"PASSED","FAILED")</x:f>
      </x:c>
      <x:c r="M66" s="701"/>
      <x:c r="N66" s="700">
        <x:f>DataSheet!DD121+B66</x:f>
      </x:c>
      <x:c r="O66" s="702">
        <x:f>G66</x:f>
      </x:c>
      <x:c r="P66" s="700">
        <x:f>H66</x:f>
      </x:c>
      <x:c r="Q66" s="702">
        <x:f>O66</x:f>
      </x:c>
      <x:c r="R66" s="703">
        <x:f>IF(AND(N66&lt;=H66,N66&gt;=J66),"PASSED","FAILED")</x:f>
      </x:c>
      <x:c r="S66" s="703"/>
      <x:c r="T66" s="700">
        <x:f>-F66+B66</x:f>
      </x:c>
      <x:c r="U66" s="704">
        <x:f>O66</x:f>
      </x:c>
      <x:c r="V66" s="705">
        <x:f>IF(AND(T66&lt;=H66,T66&gt;=J66),"PASSED","FAILED")</x:f>
      </x:c>
      <x:c r="W66" s="705"/>
      <x:c r="X66" s="471">
        <x:f>IF(AND(L66="PASSED",R66="PASSED",V66="PASSED"),"PASSED",IF(L66="FAILED","FAILED","UNDETERMINED"))</x:f>
      </x:c>
      <x:c r="Y66" s="471"/>
    </x:row>
    <x:row r="67" spans="1:25">
      <x:c r="B67" s="693">
        <x:f>DataSheet!F123</x:f>
      </x:c>
      <x:c r="C67" s="693"/>
      <x:c r="D67" s="693"/>
      <x:c r="E67" s="693"/>
      <x:c r="F67" s="693"/>
      <x:c r="G67" s="693"/>
      <x:c r="H67" s="693"/>
      <x:c r="I67" s="693"/>
      <x:c r="J67" s="693"/>
      <x:c r="K67" s="693"/>
      <x:c r="L67" s="693"/>
      <x:c r="M67" s="693"/>
      <x:c r="N67" s="693"/>
      <x:c r="O67" s="693"/>
      <x:c r="P67" s="693"/>
      <x:c r="Q67" s="693"/>
      <x:c r="R67" s="693"/>
      <x:c r="S67" s="693"/>
      <x:c r="T67" s="693"/>
      <x:c r="U67" s="693"/>
      <x:c r="V67" s="693"/>
      <x:c r="W67" s="693"/>
      <x:c r="X67" s="461" t="s">
        <x:v>157</x:v>
      </x:c>
      <x:c r="Y67" s="461"/>
    </x:row>
    <x:row r="68" spans="1:25">
      <x:c r="B68" s="693"/>
      <x:c r="C68" s="693"/>
      <x:c r="D68" s="693"/>
      <x:c r="E68" s="693"/>
      <x:c r="F68" s="693"/>
      <x:c r="G68" s="693"/>
      <x:c r="H68" s="693"/>
      <x:c r="I68" s="693"/>
      <x:c r="J68" s="693"/>
      <x:c r="K68" s="693"/>
      <x:c r="L68" s="693"/>
      <x:c r="M68" s="693"/>
      <x:c r="N68" s="693"/>
      <x:c r="O68" s="693"/>
      <x:c r="P68" s="693"/>
      <x:c r="Q68" s="693"/>
      <x:c r="R68" s="693"/>
      <x:c r="S68" s="693"/>
      <x:c r="T68" s="693"/>
      <x:c r="U68" s="693"/>
      <x:c r="V68" s="693"/>
      <x:c r="W68" s="693"/>
      <x:c r="X68" s="461"/>
      <x:c r="Y68" s="461"/>
    </x:row>
    <x:row r="69" spans="1:25">
      <x:c r="B69" s="461" t="s">
        <x:v>39</x:v>
      </x:c>
      <x:c r="C69" s="461"/>
      <x:c r="D69" s="693" t="s">
        <x:v>95</x:v>
      </x:c>
      <x:c r="E69" s="693"/>
      <x:c r="F69" s="687" t="s">
        <x:v>41</x:v>
      </x:c>
      <x:c r="G69" s="689"/>
      <x:c r="H69" s="693" t="s">
        <x:v>96</x:v>
      </x:c>
      <x:c r="I69" s="693"/>
      <x:c r="J69" s="693" t="s">
        <x:v>97</x:v>
      </x:c>
      <x:c r="K69" s="693"/>
      <x:c r="L69" s="693" t="s">
        <x:v>98</x:v>
      </x:c>
      <x:c r="M69" s="693"/>
      <x:c r="N69" s="694" t="s">
        <x:v>160</x:v>
      </x:c>
      <x:c r="O69" s="693"/>
      <x:c r="P69" s="693" t="s">
        <x:v>96</x:v>
      </x:c>
      <x:c r="Q69" s="693"/>
      <x:c r="R69" s="693" t="s">
        <x:v>98</x:v>
      </x:c>
      <x:c r="S69" s="693"/>
      <x:c r="T69" s="694" t="s">
        <x:v>161</x:v>
      </x:c>
      <x:c r="U69" s="693"/>
      <x:c r="V69" s="693" t="s">
        <x:v>98</x:v>
      </x:c>
      <x:c r="W69" s="693"/>
      <x:c r="X69" s="461"/>
      <x:c r="Y69" s="461"/>
    </x:row>
    <x:row r="70" spans="1:25">
      <x:c r="B70" s="461"/>
      <x:c r="C70" s="461"/>
      <x:c r="D70" s="693"/>
      <x:c r="E70" s="693"/>
      <x:c r="F70" s="690"/>
      <x:c r="G70" s="692"/>
      <x:c r="H70" s="693"/>
      <x:c r="I70" s="693"/>
      <x:c r="J70" s="693"/>
      <x:c r="K70" s="693"/>
      <x:c r="L70" s="693"/>
      <x:c r="M70" s="693"/>
      <x:c r="N70" s="693"/>
      <x:c r="O70" s="693"/>
      <x:c r="P70" s="693"/>
      <x:c r="Q70" s="693"/>
      <x:c r="R70" s="693"/>
      <x:c r="S70" s="693"/>
      <x:c r="T70" s="693"/>
      <x:c r="U70" s="693"/>
      <x:c r="V70" s="693"/>
      <x:c r="W70" s="693"/>
      <x:c r="X70" s="461"/>
      <x:c r="Y70" s="461"/>
    </x:row>
    <x:row r="71" spans="1:25">
      <x:c r="B71" s="45">
        <x:f>DataSheet!AM134</x:f>
      </x:c>
      <x:c r="C71" s="46">
        <x:f>DataSheet!P134</x:f>
      </x:c>
      <x:c r="D71" s="706">
        <x:f>ABS((DataSheet!AM134*2.8%)+(5*DataSheet!CK134))</x:f>
      </x:c>
      <x:c r="E71" s="704">
        <x:f>C71</x:f>
      </x:c>
      <x:c r="F71" s="699">
        <x:f>DataSheet!DD134</x:f>
      </x:c>
      <x:c r="G71" s="698">
        <x:f>C71</x:f>
      </x:c>
      <x:c r="H71" s="713">
        <x:f>DataSheet!L134+D71</x:f>
      </x:c>
      <x:c r="I71" s="713"/>
      <x:c r="J71" s="713">
        <x:f>DataSheet!L134-D71</x:f>
      </x:c>
      <x:c r="K71" s="713"/>
      <x:c r="L71" s="701">
        <x:f>IF(AND(B71&lt;=H71,B71&gt;=J71),"PASSED","FAILED")</x:f>
      </x:c>
      <x:c r="M71" s="701"/>
      <x:c r="N71" s="706">
        <x:f>DataSheet!DD134+B71</x:f>
      </x:c>
      <x:c r="O71" s="698">
        <x:f>G71</x:f>
      </x:c>
      <x:c r="P71" s="706">
        <x:f>H71</x:f>
      </x:c>
      <x:c r="Q71" s="698">
        <x:f>O71</x:f>
      </x:c>
      <x:c r="R71" s="714">
        <x:f>IF(AND(N71&lt;=H71,N71&gt;=J71),"PASSED","FAILED")</x:f>
      </x:c>
      <x:c r="S71" s="714"/>
      <x:c r="T71" s="706">
        <x:f>-F71+B71</x:f>
      </x:c>
      <x:c r="U71" s="698">
        <x:f>O71</x:f>
      </x:c>
      <x:c r="V71" s="705">
        <x:f>IF(AND(T71&lt;=H71,T71&gt;=J71),"PASSED","FAILED")</x:f>
      </x:c>
      <x:c r="W71" s="705"/>
      <x:c r="X71" s="471">
        <x:f>IF(AND(L71="PASSED",R71="PASSED",V71="PASSED"),"PASSED",IF(L71="FAILED","FAILED","UNDETERMINED"))</x:f>
      </x:c>
      <x:c r="Y71" s="471"/>
    </x:row>
    <x:row r="72" spans="1:25">
      <x:c r="B72" s="45">
        <x:f>DataSheet!AM135</x:f>
      </x:c>
      <x:c r="C72" s="46">
        <x:f>DataSheet!P135</x:f>
      </x:c>
      <x:c r="D72" s="706">
        <x:f>ABS((DataSheet!AM135*2.8%)+(5*DataSheet!CK135))</x:f>
      </x:c>
      <x:c r="E72" s="704">
        <x:f>C72</x:f>
      </x:c>
      <x:c r="F72" s="699">
        <x:f>DataSheet!DD135</x:f>
      </x:c>
      <x:c r="G72" s="698">
        <x:f>C72</x:f>
      </x:c>
      <x:c r="H72" s="713">
        <x:f>DataSheet!L135+D72</x:f>
      </x:c>
      <x:c r="I72" s="713"/>
      <x:c r="J72" s="713">
        <x:f>DataSheet!L135-D72</x:f>
      </x:c>
      <x:c r="K72" s="713"/>
      <x:c r="L72" s="701">
        <x:f>IF(AND(B72&lt;=H72,B72&gt;=J72),"PASSED","FAILED")</x:f>
      </x:c>
      <x:c r="M72" s="701"/>
      <x:c r="N72" s="706">
        <x:f>DataSheet!DD135+B72</x:f>
      </x:c>
      <x:c r="O72" s="698">
        <x:f>G72</x:f>
      </x:c>
      <x:c r="P72" s="706">
        <x:f>H72</x:f>
      </x:c>
      <x:c r="Q72" s="698">
        <x:f>O72</x:f>
      </x:c>
      <x:c r="R72" s="714">
        <x:f>IF(AND(N72&lt;=H72,N72&gt;=J72),"PASSED","FAILED")</x:f>
      </x:c>
      <x:c r="S72" s="714"/>
      <x:c r="T72" s="706">
        <x:f>-F72+B72</x:f>
      </x:c>
      <x:c r="U72" s="698">
        <x:f>O72</x:f>
      </x:c>
      <x:c r="V72" s="705">
        <x:f>IF(AND(T72&lt;=H72,T72&gt;=J72),"PASSED","FAILED")</x:f>
      </x:c>
      <x:c r="W72" s="705"/>
      <x:c r="X72" s="471">
        <x:f>IF(AND(L72="PASSED",R72="PASSED",V72="PASSED"),"PASSED",IF(L72="FAILED","FAILED","UNDETERMINED"))</x:f>
      </x:c>
      <x:c r="Y72" s="471"/>
    </x:row>
    <x:row r="73" spans="1:25">
      <x:c r="B73" s="43">
        <x:f>DataSheet!AM136</x:f>
      </x:c>
      <x:c r="C73" s="44">
        <x:f>DataSheet!P136</x:f>
      </x:c>
      <x:c r="D73" s="700">
        <x:f>ABS((DataSheet!AM136*2.8%)+(5*DataSheet!CK136))</x:f>
      </x:c>
      <x:c r="E73" s="704">
        <x:f>C73</x:f>
      </x:c>
      <x:c r="F73" s="699">
        <x:f>DataSheet!DD136</x:f>
      </x:c>
      <x:c r="G73" s="698">
        <x:f>C73</x:f>
      </x:c>
      <x:c r="H73" s="715">
        <x:f>DataSheet!L136+D73</x:f>
      </x:c>
      <x:c r="I73" s="715"/>
      <x:c r="J73" s="715">
        <x:f>DataSheet!L136-D73</x:f>
      </x:c>
      <x:c r="K73" s="715"/>
      <x:c r="L73" s="701">
        <x:f>IF(AND(B73&lt;=H73,B73&gt;=J73),"PASSED","FAILED")</x:f>
      </x:c>
      <x:c r="M73" s="701"/>
      <x:c r="N73" s="700">
        <x:f>DataSheet!DD136+B73</x:f>
      </x:c>
      <x:c r="O73" s="702">
        <x:f>G73</x:f>
      </x:c>
      <x:c r="P73" s="700">
        <x:f>H73</x:f>
      </x:c>
      <x:c r="Q73" s="702">
        <x:f>O73</x:f>
      </x:c>
      <x:c r="R73" s="703">
        <x:f>IF(AND(N73&lt;=H73,N73&gt;=J73),"PASSED","FAILED")</x:f>
      </x:c>
      <x:c r="S73" s="703"/>
      <x:c r="T73" s="700">
        <x:f>-F73+B73</x:f>
      </x:c>
      <x:c r="U73" s="704">
        <x:f>O73</x:f>
      </x:c>
      <x:c r="V73" s="705">
        <x:f>IF(AND(T73&lt;=H73,T73&gt;=J73),"PASSED","FAILED")</x:f>
      </x:c>
      <x:c r="W73" s="705"/>
      <x:c r="X73" s="471">
        <x:f>IF(AND(L73="PASSED",R73="PASSED",V73="PASSED"),"PASSED",IF(L73="FAILED","FAILED","UNDETERMINED"))</x:f>
      </x:c>
      <x:c r="Y73" s="471"/>
    </x:row>
    <x:row r="74" spans="1:25">
      <x:c r="B74" s="43">
        <x:f>DataSheet!AM137</x:f>
      </x:c>
      <x:c r="C74" s="44">
        <x:f>DataSheet!P137</x:f>
      </x:c>
      <x:c r="D74" s="700">
        <x:f>ABS((DataSheet!AM137*2.8%)+(5*DataSheet!CK137))</x:f>
      </x:c>
      <x:c r="E74" s="704">
        <x:f>C74</x:f>
      </x:c>
      <x:c r="F74" s="699">
        <x:f>DataSheet!DD137</x:f>
      </x:c>
      <x:c r="G74" s="698">
        <x:f>C74</x:f>
      </x:c>
      <x:c r="H74" s="715">
        <x:f>DataSheet!L137+D74</x:f>
      </x:c>
      <x:c r="I74" s="715"/>
      <x:c r="J74" s="715">
        <x:f>DataSheet!L137-D74</x:f>
      </x:c>
      <x:c r="K74" s="715"/>
      <x:c r="L74" s="701">
        <x:f>IF(AND(B74&lt;=H74,B74&gt;=J74),"PASSED","FAILED")</x:f>
      </x:c>
      <x:c r="M74" s="701"/>
      <x:c r="N74" s="700">
        <x:f>DataSheet!DD137+B74</x:f>
      </x:c>
      <x:c r="O74" s="702">
        <x:f>G74</x:f>
      </x:c>
      <x:c r="P74" s="700">
        <x:f>H74</x:f>
      </x:c>
      <x:c r="Q74" s="702">
        <x:f>O74</x:f>
      </x:c>
      <x:c r="R74" s="703">
        <x:f>IF(AND(N74&lt;=H74,N74&gt;=J74),"PASSED","FAILED")</x:f>
      </x:c>
      <x:c r="S74" s="703"/>
      <x:c r="T74" s="700">
        <x:f>-F74+B74</x:f>
      </x:c>
      <x:c r="U74" s="704">
        <x:f>O74</x:f>
      </x:c>
      <x:c r="V74" s="705">
        <x:f>IF(AND(T74&lt;=H74,T74&gt;=J74),"PASSED","FAILED")</x:f>
      </x:c>
      <x:c r="W74" s="705"/>
      <x:c r="X74" s="471">
        <x:f>IF(AND(L74="PASSED",R74="PASSED",V74="PASSED"),"PASSED",IF(L74="FAILED","FAILED","UNDETERMINED"))</x:f>
      </x:c>
      <x:c r="Y74" s="471"/>
    </x:row>
    <x:row r="75" spans="1:25">
      <x:c r="D75" s="717"/>
      <x:c r="E75" s="717"/>
      <x:c r="F75" s="717"/>
      <x:c r="G75" s="717"/>
      <x:c r="H75" s="717"/>
      <x:c r="I75" s="717"/>
      <x:c r="J75" s="717"/>
      <x:c r="K75" s="717"/>
      <x:c r="L75" s="717"/>
      <x:c r="M75" s="717"/>
      <x:c r="N75" s="717"/>
      <x:c r="O75" s="717"/>
      <x:c r="P75" s="717"/>
      <x:c r="Q75" s="717"/>
      <x:c r="T75" s="717"/>
      <x:c r="U75" s="717"/>
    </x:row>
  </x:sheetData>
  <x:sheetProtection password="CAF0" sheet="1" objects="1"/>
  <x:mergeCells count="329">
    <x:mergeCell ref="B2:Y2"/>
    <x:mergeCell ref="B3:G4"/>
    <x:mergeCell ref="H3:M4"/>
    <x:mergeCell ref="N3:W4"/>
    <x:mergeCell ref="X3:Y9"/>
    <x:mergeCell ref="B5:W6"/>
    <x:mergeCell ref="B7:C9"/>
    <x:mergeCell ref="D7:E9"/>
    <x:mergeCell ref="F7:G9"/>
    <x:mergeCell ref="H7:I9"/>
    <x:mergeCell ref="J7:K9"/>
    <x:mergeCell ref="L7:M9"/>
    <x:mergeCell ref="N7:O9"/>
    <x:mergeCell ref="P7:Q9"/>
    <x:mergeCell ref="R7:S9"/>
    <x:mergeCell ref="T7:U9"/>
    <x:mergeCell ref="V7:W9"/>
    <x:mergeCell ref="L10:M10"/>
    <x:mergeCell ref="R10:S10"/>
    <x:mergeCell ref="V10:W10"/>
    <x:mergeCell ref="X10:Y10"/>
    <x:mergeCell ref="L11:M11"/>
    <x:mergeCell ref="R11:S11"/>
    <x:mergeCell ref="V11:W11"/>
    <x:mergeCell ref="X11:Y11"/>
    <x:mergeCell ref="L12:M12"/>
    <x:mergeCell ref="R12:S12"/>
    <x:mergeCell ref="V12:W12"/>
    <x:mergeCell ref="X12:Y12"/>
    <x:mergeCell ref="L13:M13"/>
    <x:mergeCell ref="R13:S13"/>
    <x:mergeCell ref="V13:W13"/>
    <x:mergeCell ref="X13:Y13"/>
    <x:mergeCell ref="L14:M14"/>
    <x:mergeCell ref="R14:S14"/>
    <x:mergeCell ref="V14:W14"/>
    <x:mergeCell ref="X14:Y14"/>
    <x:mergeCell ref="L15:M15"/>
    <x:mergeCell ref="R15:S15"/>
    <x:mergeCell ref="V15:W15"/>
    <x:mergeCell ref="X15:Y15"/>
    <x:mergeCell ref="L16:M16"/>
    <x:mergeCell ref="R16:S16"/>
    <x:mergeCell ref="V16:W16"/>
    <x:mergeCell ref="X16:Y16"/>
    <x:mergeCell ref="L17:M17"/>
    <x:mergeCell ref="R17:S17"/>
    <x:mergeCell ref="V17:W17"/>
    <x:mergeCell ref="X17:Y17"/>
    <x:mergeCell ref="L18:M18"/>
    <x:mergeCell ref="R18:S18"/>
    <x:mergeCell ref="V18:W18"/>
    <x:mergeCell ref="X18:Y18"/>
    <x:mergeCell ref="L19:M19"/>
    <x:mergeCell ref="R19:S19"/>
    <x:mergeCell ref="V19:W19"/>
    <x:mergeCell ref="X19:Y19"/>
    <x:mergeCell ref="L20:M20"/>
    <x:mergeCell ref="R20:S20"/>
    <x:mergeCell ref="V20:W20"/>
    <x:mergeCell ref="X20:Y20"/>
    <x:mergeCell ref="L21:M21"/>
    <x:mergeCell ref="R21:S21"/>
    <x:mergeCell ref="V21:W21"/>
    <x:mergeCell ref="X21:Y21"/>
    <x:mergeCell ref="L22:M22"/>
    <x:mergeCell ref="R22:S22"/>
    <x:mergeCell ref="V22:W22"/>
    <x:mergeCell ref="X22:Y22"/>
    <x:mergeCell ref="L23:M23"/>
    <x:mergeCell ref="R23:S23"/>
    <x:mergeCell ref="V23:W23"/>
    <x:mergeCell ref="X23:Y23"/>
    <x:mergeCell ref="L24:M24"/>
    <x:mergeCell ref="R24:S24"/>
    <x:mergeCell ref="V24:W24"/>
    <x:mergeCell ref="X24:Y24"/>
    <x:mergeCell ref="L25:M25"/>
    <x:mergeCell ref="R25:S25"/>
    <x:mergeCell ref="V25:W25"/>
    <x:mergeCell ref="X25:Y25"/>
    <x:mergeCell ref="L26:M26"/>
    <x:mergeCell ref="R26:S26"/>
    <x:mergeCell ref="V26:W26"/>
    <x:mergeCell ref="X26:Y26"/>
    <x:mergeCell ref="B27:W28"/>
    <x:mergeCell ref="X27:Y30"/>
    <x:mergeCell ref="B29:C30"/>
    <x:mergeCell ref="D29:E30"/>
    <x:mergeCell ref="F29:G30"/>
    <x:mergeCell ref="H29:I30"/>
    <x:mergeCell ref="J29:K30"/>
    <x:mergeCell ref="L29:M30"/>
    <x:mergeCell ref="N29:O30"/>
    <x:mergeCell ref="P29:Q30"/>
    <x:mergeCell ref="R29:S30"/>
    <x:mergeCell ref="T29:U30"/>
    <x:mergeCell ref="V29:W30"/>
    <x:mergeCell ref="H31:I31"/>
    <x:mergeCell ref="J31:K31"/>
    <x:mergeCell ref="L31:M31"/>
    <x:mergeCell ref="R31:S31"/>
    <x:mergeCell ref="V31:W31"/>
    <x:mergeCell ref="X31:Y31"/>
    <x:mergeCell ref="H32:I32"/>
    <x:mergeCell ref="J32:K32"/>
    <x:mergeCell ref="L32:M32"/>
    <x:mergeCell ref="R32:S32"/>
    <x:mergeCell ref="V32:W32"/>
    <x:mergeCell ref="X32:Y32"/>
    <x:mergeCell ref="H33:I33"/>
    <x:mergeCell ref="J33:K33"/>
    <x:mergeCell ref="L33:M33"/>
    <x:mergeCell ref="R33:S33"/>
    <x:mergeCell ref="V33:W33"/>
    <x:mergeCell ref="X33:Y33"/>
    <x:mergeCell ref="H34:I34"/>
    <x:mergeCell ref="J34:K34"/>
    <x:mergeCell ref="L34:M34"/>
    <x:mergeCell ref="R34:S34"/>
    <x:mergeCell ref="V34:W34"/>
    <x:mergeCell ref="X34:Y34"/>
    <x:mergeCell ref="H35:I35"/>
    <x:mergeCell ref="J35:K35"/>
    <x:mergeCell ref="L35:M35"/>
    <x:mergeCell ref="R35:S35"/>
    <x:mergeCell ref="V35:W35"/>
    <x:mergeCell ref="X35:Y35"/>
    <x:mergeCell ref="H36:I36"/>
    <x:mergeCell ref="J36:K36"/>
    <x:mergeCell ref="L36:M36"/>
    <x:mergeCell ref="R36:S36"/>
    <x:mergeCell ref="V36:W36"/>
    <x:mergeCell ref="X36:Y36"/>
    <x:mergeCell ref="H37:I37"/>
    <x:mergeCell ref="J37:K37"/>
    <x:mergeCell ref="L37:M37"/>
    <x:mergeCell ref="R37:S37"/>
    <x:mergeCell ref="V37:W37"/>
    <x:mergeCell ref="X37:Y37"/>
    <x:mergeCell ref="H38:I38"/>
    <x:mergeCell ref="J38:K38"/>
    <x:mergeCell ref="L38:M38"/>
    <x:mergeCell ref="R38:S38"/>
    <x:mergeCell ref="V38:W38"/>
    <x:mergeCell ref="X38:Y38"/>
    <x:mergeCell ref="H39:I39"/>
    <x:mergeCell ref="J39:K39"/>
    <x:mergeCell ref="L39:M39"/>
    <x:mergeCell ref="R39:S39"/>
    <x:mergeCell ref="V39:W39"/>
    <x:mergeCell ref="X39:Y39"/>
    <x:mergeCell ref="H40:I40"/>
    <x:mergeCell ref="J40:K40"/>
    <x:mergeCell ref="L40:M40"/>
    <x:mergeCell ref="R40:S40"/>
    <x:mergeCell ref="V40:W40"/>
    <x:mergeCell ref="X40:Y40"/>
    <x:mergeCell ref="H41:I41"/>
    <x:mergeCell ref="J41:K41"/>
    <x:mergeCell ref="L41:M41"/>
    <x:mergeCell ref="R41:S41"/>
    <x:mergeCell ref="V41:W41"/>
    <x:mergeCell ref="X41:Y41"/>
    <x:mergeCell ref="H42:I42"/>
    <x:mergeCell ref="J42:K42"/>
    <x:mergeCell ref="L42:M42"/>
    <x:mergeCell ref="R42:S42"/>
    <x:mergeCell ref="V42:W42"/>
    <x:mergeCell ref="X42:Y42"/>
    <x:mergeCell ref="H43:I43"/>
    <x:mergeCell ref="J43:K43"/>
    <x:mergeCell ref="L43:M43"/>
    <x:mergeCell ref="R43:S43"/>
    <x:mergeCell ref="V43:W43"/>
    <x:mergeCell ref="X43:Y43"/>
    <x:mergeCell ref="H44:I44"/>
    <x:mergeCell ref="J44:K44"/>
    <x:mergeCell ref="L44:M44"/>
    <x:mergeCell ref="R44:S44"/>
    <x:mergeCell ref="V44:W44"/>
    <x:mergeCell ref="X44:Y44"/>
    <x:mergeCell ref="H45:I45"/>
    <x:mergeCell ref="J45:K45"/>
    <x:mergeCell ref="L45:M45"/>
    <x:mergeCell ref="R45:S45"/>
    <x:mergeCell ref="V45:W45"/>
    <x:mergeCell ref="X45:Y45"/>
    <x:mergeCell ref="H46:I46"/>
    <x:mergeCell ref="J46:K46"/>
    <x:mergeCell ref="L46:M46"/>
    <x:mergeCell ref="R46:S46"/>
    <x:mergeCell ref="V46:W46"/>
    <x:mergeCell ref="X46:Y46"/>
    <x:mergeCell ref="H47:I47"/>
    <x:mergeCell ref="J47:K47"/>
    <x:mergeCell ref="L47:M47"/>
    <x:mergeCell ref="R47:S47"/>
    <x:mergeCell ref="V47:W47"/>
    <x:mergeCell ref="X47:Y47"/>
    <x:mergeCell ref="H48:I48"/>
    <x:mergeCell ref="J48:K48"/>
    <x:mergeCell ref="L48:M48"/>
    <x:mergeCell ref="R48:S48"/>
    <x:mergeCell ref="V48:W48"/>
    <x:mergeCell ref="X48:Y48"/>
    <x:mergeCell ref="B49:W50"/>
    <x:mergeCell ref="X49:Y52"/>
    <x:mergeCell ref="B51:C52"/>
    <x:mergeCell ref="D51:E52"/>
    <x:mergeCell ref="F51:G52"/>
    <x:mergeCell ref="H51:I52"/>
    <x:mergeCell ref="J51:K52"/>
    <x:mergeCell ref="L51:M52"/>
    <x:mergeCell ref="N51:O52"/>
    <x:mergeCell ref="P51:Q52"/>
    <x:mergeCell ref="R51:S52"/>
    <x:mergeCell ref="T51:U52"/>
    <x:mergeCell ref="V51:W52"/>
    <x:mergeCell ref="H53:I53"/>
    <x:mergeCell ref="J53:K53"/>
    <x:mergeCell ref="L53:M53"/>
    <x:mergeCell ref="R53:S53"/>
    <x:mergeCell ref="V53:W53"/>
    <x:mergeCell ref="X53:Y53"/>
    <x:mergeCell ref="H54:I54"/>
    <x:mergeCell ref="J54:K54"/>
    <x:mergeCell ref="L54:M54"/>
    <x:mergeCell ref="R54:S54"/>
    <x:mergeCell ref="V54:W54"/>
    <x:mergeCell ref="X54:Y54"/>
    <x:mergeCell ref="H55:I55"/>
    <x:mergeCell ref="J55:K55"/>
    <x:mergeCell ref="L55:M55"/>
    <x:mergeCell ref="R55:S55"/>
    <x:mergeCell ref="V55:W55"/>
    <x:mergeCell ref="X55:Y55"/>
    <x:mergeCell ref="H56:I56"/>
    <x:mergeCell ref="J56:K56"/>
    <x:mergeCell ref="L56:M56"/>
    <x:mergeCell ref="R56:S56"/>
    <x:mergeCell ref="V56:W56"/>
    <x:mergeCell ref="X56:Y56"/>
    <x:mergeCell ref="H57:I57"/>
    <x:mergeCell ref="J57:K57"/>
    <x:mergeCell ref="L57:M57"/>
    <x:mergeCell ref="R57:S57"/>
    <x:mergeCell ref="V57:W57"/>
    <x:mergeCell ref="X57:Y57"/>
    <x:mergeCell ref="H58:I58"/>
    <x:mergeCell ref="J58:K58"/>
    <x:mergeCell ref="L58:M58"/>
    <x:mergeCell ref="R58:S58"/>
    <x:mergeCell ref="V58:W58"/>
    <x:mergeCell ref="X58:Y58"/>
    <x:mergeCell ref="H59:I59"/>
    <x:mergeCell ref="J59:K59"/>
    <x:mergeCell ref="L59:M59"/>
    <x:mergeCell ref="R59:S59"/>
    <x:mergeCell ref="V59:W59"/>
    <x:mergeCell ref="X59:Y59"/>
    <x:mergeCell ref="B60:W61"/>
    <x:mergeCell ref="X60:Y63"/>
    <x:mergeCell ref="B62:C63"/>
    <x:mergeCell ref="D62:E63"/>
    <x:mergeCell ref="F62:G63"/>
    <x:mergeCell ref="H62:I63"/>
    <x:mergeCell ref="J62:K63"/>
    <x:mergeCell ref="L62:M63"/>
    <x:mergeCell ref="N62:O63"/>
    <x:mergeCell ref="P62:Q63"/>
    <x:mergeCell ref="R62:S63"/>
    <x:mergeCell ref="T62:U63"/>
    <x:mergeCell ref="V62:W63"/>
    <x:mergeCell ref="H64:I64"/>
    <x:mergeCell ref="J64:K64"/>
    <x:mergeCell ref="L64:M64"/>
    <x:mergeCell ref="R64:S64"/>
    <x:mergeCell ref="V64:W64"/>
    <x:mergeCell ref="X64:Y64"/>
    <x:mergeCell ref="H65:I65"/>
    <x:mergeCell ref="J65:K65"/>
    <x:mergeCell ref="L65:M65"/>
    <x:mergeCell ref="R65:S65"/>
    <x:mergeCell ref="V65:W65"/>
    <x:mergeCell ref="X65:Y65"/>
    <x:mergeCell ref="H66:I66"/>
    <x:mergeCell ref="J66:K66"/>
    <x:mergeCell ref="L66:M66"/>
    <x:mergeCell ref="R66:S66"/>
    <x:mergeCell ref="V66:W66"/>
    <x:mergeCell ref="X66:Y66"/>
    <x:mergeCell ref="B67:W68"/>
    <x:mergeCell ref="X67:Y70"/>
    <x:mergeCell ref="B69:C70"/>
    <x:mergeCell ref="D69:E70"/>
    <x:mergeCell ref="F69:G70"/>
    <x:mergeCell ref="H69:I70"/>
    <x:mergeCell ref="J69:K70"/>
    <x:mergeCell ref="L69:M70"/>
    <x:mergeCell ref="N69:O70"/>
    <x:mergeCell ref="P69:Q70"/>
    <x:mergeCell ref="R69:S70"/>
    <x:mergeCell ref="T69:U70"/>
    <x:mergeCell ref="V69:W70"/>
    <x:mergeCell ref="H71:I71"/>
    <x:mergeCell ref="J71:K71"/>
    <x:mergeCell ref="L71:M71"/>
    <x:mergeCell ref="R71:S71"/>
    <x:mergeCell ref="V71:W71"/>
    <x:mergeCell ref="X71:Y71"/>
    <x:mergeCell ref="H72:I72"/>
    <x:mergeCell ref="J72:K72"/>
    <x:mergeCell ref="L72:M72"/>
    <x:mergeCell ref="R72:S72"/>
    <x:mergeCell ref="V72:W72"/>
    <x:mergeCell ref="X72:Y72"/>
    <x:mergeCell ref="H73:I73"/>
    <x:mergeCell ref="J73:K73"/>
    <x:mergeCell ref="L73:M73"/>
    <x:mergeCell ref="R73:S73"/>
    <x:mergeCell ref="V73:W73"/>
    <x:mergeCell ref="X73:Y73"/>
    <x:mergeCell ref="H74:I74"/>
    <x:mergeCell ref="J74:K74"/>
    <x:mergeCell ref="L74:M74"/>
    <x:mergeCell ref="R74:S74"/>
    <x:mergeCell ref="V74:W74"/>
    <x:mergeCell ref="X74:Y74"/>
  </x:mergeCells>
  <x:conditionalFormatting sqref="X10:Y26 X31:Y48 X53:Y59 X64:Y66 X71:Y74">
    <x:cfRule type="containsText" dxfId="5" priority="1" operator="containsText" text="UNDETERMINED">
      <x:formula>NOT(ISERROR(SEARCH("UNDETERMINED",X10)))</x:formula>
    </x:cfRule>
  </x:conditionalFormatting>
  <x:conditionalFormatting sqref="V10:Y26 V31:Y48 V53:Y59 V64:Y66 V71:Y74">
    <x:cfRule type="containsText" dxfId="6" priority="2" operator="containsText" text="FAILED">
      <x:formula>NOT(ISERROR(SEARCH("FAILED",V10)))</x:formula>
    </x:cfRule>
    <x:cfRule type="containsText" dxfId="7" priority="3" operator="containsText" text="PASSED">
      <x:formula>NOT(ISERROR(SEARCH("PASSED",V10)))</x:formula>
    </x:cfRule>
  </x:conditionalFormatting>
  <x:conditionalFormatting sqref="R10:S26 R31:S48 R53:S59 R64:S66 R71:S74">
    <x:cfRule type="containsText" dxfId="6" priority="4" operator="containsText" text="FAILED">
      <x:formula>NOT(ISERROR(SEARCH("FAILED",R10)))</x:formula>
    </x:cfRule>
    <x:cfRule type="containsText" dxfId="7" priority="5" operator="containsText" text="PASSED">
      <x:formula>NOT(ISERROR(SEARCH("PASSED",R10)))</x:formula>
    </x:cfRule>
  </x:conditionalFormatting>
  <x:conditionalFormatting sqref="L71:L74">
    <x:cfRule type="containsText" dxfId="6" priority="6" operator="containsText" text="FAILED">
      <x:formula>NOT(ISERROR(SEARCH("FAILED",L71)))</x:formula>
    </x:cfRule>
    <x:cfRule type="containsText" dxfId="7" priority="7" operator="containsText" text="PASSED">
      <x:formula>NOT(ISERROR(SEARCH("PASSED",L71)))</x:formula>
    </x:cfRule>
    <x:cfRule type="colorScale" priority="8">
      <x:colorScale>
        <x:cfvo type="min"/>
        <x:cfvo type="percentile" val="50"/>
        <x:cfvo type="max"/>
        <x:color rgb="FFF8696B"/>
        <x:color rgb="FFFFEB84"/>
        <x:color rgb="FF63BE7B"/>
      </x:colorScale>
    </x:cfRule>
  </x:conditionalFormatting>
  <x:conditionalFormatting sqref="L64:L66">
    <x:cfRule type="containsText" dxfId="6" priority="9" operator="containsText" text="FAILED">
      <x:formula>NOT(ISERROR(SEARCH("FAILED",L64)))</x:formula>
    </x:cfRule>
    <x:cfRule type="containsText" dxfId="7" priority="10" operator="containsText" text="PASSED">
      <x:formula>NOT(ISERROR(SEARCH("PASSED",L64)))</x:formula>
    </x:cfRule>
    <x:cfRule type="colorScale" priority="11">
      <x:colorScale>
        <x:cfvo type="min"/>
        <x:cfvo type="percentile" val="50"/>
        <x:cfvo type="max"/>
        <x:color rgb="FFF8696B"/>
        <x:color rgb="FFFFEB84"/>
        <x:color rgb="FF63BE7B"/>
      </x:colorScale>
    </x:cfRule>
  </x:conditionalFormatting>
  <x:conditionalFormatting sqref="L53:L59">
    <x:cfRule type="containsText" dxfId="6" priority="12" operator="containsText" text="FAILED">
      <x:formula>NOT(ISERROR(SEARCH("FAILED",L53)))</x:formula>
    </x:cfRule>
    <x:cfRule type="containsText" dxfId="7" priority="13" operator="containsText" text="PASSED">
      <x:formula>NOT(ISERROR(SEARCH("PASSED",L53)))</x:formula>
    </x:cfRule>
    <x:cfRule type="colorScale" priority="14">
      <x:colorScale>
        <x:cfvo type="min"/>
        <x:cfvo type="percentile" val="50"/>
        <x:cfvo type="max"/>
        <x:color rgb="FFF8696B"/>
        <x:color rgb="FFFFEB84"/>
        <x:color rgb="FF63BE7B"/>
      </x:colorScale>
    </x:cfRule>
  </x:conditionalFormatting>
  <x:conditionalFormatting sqref="L31:L48">
    <x:cfRule type="containsText" dxfId="6" priority="15" operator="containsText" text="FAILED">
      <x:formula>NOT(ISERROR(SEARCH("FAILED",L31)))</x:formula>
    </x:cfRule>
    <x:cfRule type="containsText" dxfId="7" priority="16" operator="containsText" text="PASSED">
      <x:formula>NOT(ISERROR(SEARCH("PASSED",L31)))</x:formula>
    </x:cfRule>
    <x:cfRule type="colorScale" priority="17">
      <x:colorScale>
        <x:cfvo type="min"/>
        <x:cfvo type="percentile" val="50"/>
        <x:cfvo type="max"/>
        <x:color rgb="FFF8696B"/>
        <x:color rgb="FFFFEB84"/>
        <x:color rgb="FF63BE7B"/>
      </x:colorScale>
    </x:cfRule>
  </x:conditionalFormatting>
  <x:conditionalFormatting sqref="L10:L26">
    <x:cfRule type="containsText" dxfId="6" priority="18" operator="containsText" text="FAILED">
      <x:formula>NOT(ISERROR(SEARCH("FAILED",L10)))</x:formula>
    </x:cfRule>
    <x:cfRule type="containsText" dxfId="7" priority="19" operator="containsText" text="PASSED">
      <x:formula>NOT(ISERROR(SEARCH("PASSED",L10)))</x:formula>
    </x:cfRule>
  </x:conditionalFormatting>
  <x:conditionalFormatting sqref="L11:L26">
    <x:cfRule type="colorScale" priority="20">
      <x:colorScale>
        <x:cfvo type="min"/>
        <x:cfvo type="percentile" val="50"/>
        <x:cfvo type="max"/>
        <x:color rgb="FFF8696B"/>
        <x:color rgb="FFFFEB84"/>
        <x:color rgb="FF63BE7B"/>
      </x:colorScale>
    </x:cfRule>
  </x:conditionalFormatting>
  <x:conditionalFormatting sqref="L10:L10">
    <x:cfRule type="colorScale" priority="21">
      <x:colorScale>
        <x:cfvo type="min"/>
        <x:cfvo type="percentile" val="50"/>
        <x:cfvo type="max"/>
        <x:color rgb="FFF8696B"/>
        <x:color rgb="FFFFEB84"/>
        <x:color rgb="FF63BE7B"/>
      </x:colorScale>
    </x:cfRule>
  </x:conditionalFormatting>
  <x:printOptions horizontalCentered="0" verticalCentered="0" headings="0" gridLines="0"/>
  <x:pageMargins left="0.7" right="0.7" top="0.75" bottom="0.75" header="0.3" footer="0.3"/>
  <x:pageSetup paperSize="1" scale="100" pageOrder="downThenOver" orientation="portrait" blackAndWhite="0" draft="0" cellComments="none" errors="displayed" r:id="rId1"/>
  <x:headerFooter/>
  <x:tableParts count="0"/>
</x:worksheet>
</file>

<file path=xl/worksheets/sheet4.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
  <x:sheetViews>
    <x:sheetView topLeftCell="A64" workbookViewId="0">
      <x:selection activeCell="A104" sqref="A104"/>
    </x:sheetView>
  </x:sheetViews>
  <x:sheetFormatPr defaultColWidth="9.140625" defaultRowHeight="15"/>
  <x:cols>
    <x:col min="1" max="16384" width="9.140625" style="204" customWidth="1"/>
  </x:cols>
  <x:sheetData/>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4</vt:i4>
      </vt:variant>
      <vt:variant>
        <vt:lpstr>Named Ranges</vt:lpstr>
      </vt:variant>
      <vt:variant>
        <vt:i4>14</vt:i4>
      </vt:variant>
    </vt:vector>
  </ap:HeadingPairs>
  <ap:TitlesOfParts>
    <vt:vector baseType="lpstr" size="18">
      <vt:lpstr>Cal Certificate</vt:lpstr>
      <vt:lpstr>DataSheet</vt:lpstr>
      <vt:lpstr>PASSFAIL</vt:lpstr>
      <vt:lpstr>Specification</vt:lpstr>
      <vt:lpstr>Cal Certificate!DRY</vt:lpstr>
      <vt:lpstr>Cal Certificate!WET</vt:lpstr>
      <vt:lpstr>Cal Certificate!Print_Area</vt:lpstr>
      <vt:lpstr>Cal Certificate!Print_Titles</vt:lpstr>
      <vt:lpstr>DataSheet!WET</vt:lpstr>
      <vt:lpstr>DataSheet!Print_Area</vt:lpstr>
      <vt:lpstr>DataSheet!Print_Titles</vt:lpstr>
      <vt:lpstr>PASSFAIL!Print_Area</vt:lpstr>
      <vt:lpstr>PASSFAIL!Print_Titles</vt:lpstr>
      <vt:lpstr>Specification!Print_Area</vt:lpstr>
      <vt:lpstr>Specification!Print_Titles</vt:lpstr>
      <vt:lpstr>DRY</vt:lpstr>
      <vt:lpstr>dryx</vt:lpstr>
      <vt:lpstr>WET</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Cal-E1</dc:creator>
  <lastModifiedBy>Danica Bea B. Neri</lastModifiedBy>
  <lastPrinted>2025-05-21T09:14:36.0000000Z</lastPrinted>
  <dcterms:created xsi:type="dcterms:W3CDTF">2014-11-03T09:03:00.0000000Z</dcterms:created>
  <dcterms:modified xsi:type="dcterms:W3CDTF">2025-08-05T06:25:00.0000000Z</dcterms:modified>
</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1033-10.2.0.5996</vt:lpwstr>
  </op:property>
  <op:property fmtid="{D5CDD505-2E9C-101B-9397-08002B2CF9AE}" pid="3" name="MSIP_Label_defa4170-0d19-0005-0004-bc88714345d2_Enabled">
    <vt:lpwstr>true</vt:lpwstr>
  </op:property>
  <op:property fmtid="{D5CDD505-2E9C-101B-9397-08002B2CF9AE}" pid="4" name="MSIP_Label_defa4170-0d19-0005-0004-bc88714345d2_SetDate">
    <vt:lpwstr>2024-08-14T02:27:11Z</vt:lpwstr>
  </op:property>
  <op:property fmtid="{D5CDD505-2E9C-101B-9397-08002B2CF9AE}" pid="5" name="MSIP_Label_defa4170-0d19-0005-0004-bc88714345d2_Method">
    <vt:lpwstr>Standard</vt:lpwstr>
  </op:property>
  <op:property fmtid="{D5CDD505-2E9C-101B-9397-08002B2CF9AE}" pid="6" name="MSIP_Label_defa4170-0d19-0005-0004-bc88714345d2_Name">
    <vt:lpwstr>defa4170-0d19-0005-0004-bc88714345d2</vt:lpwstr>
  </op:property>
  <op:property fmtid="{D5CDD505-2E9C-101B-9397-08002B2CF9AE}" pid="7" name="MSIP_Label_defa4170-0d19-0005-0004-bc88714345d2_SiteId">
    <vt:lpwstr>141973ea-b550-435a-9b01-5f6f577f630d</vt:lpwstr>
  </op:property>
  <op:property fmtid="{D5CDD505-2E9C-101B-9397-08002B2CF9AE}" pid="8" name="MSIP_Label_defa4170-0d19-0005-0004-bc88714345d2_ActionId">
    <vt:lpwstr>33d50624-c3c4-40ff-9188-716c806ea6df</vt:lpwstr>
  </op:property>
  <op:property fmtid="{D5CDD505-2E9C-101B-9397-08002B2CF9AE}" pid="9" name="MSIP_Label_defa4170-0d19-0005-0004-bc88714345d2_ContentBits">
    <vt:r8>0</vt:r8>
  </op:property>
</op:Properties>
</file>