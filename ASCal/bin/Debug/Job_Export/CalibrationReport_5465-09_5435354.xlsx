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<sst xmlns="http://schemas.openxmlformats.org/spreadsheetml/2006/main" count="919" uniqueCount="185">
  <si>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</si>
  <si>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</si>
  <si>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</si>
  <si>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</si>
  <si>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</si>
  <si>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</si>
  <si>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</si>
  <si>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</si>
  <si>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</si>
  <si>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</si>
  <si>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</si>
  <si>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</si>
  <si>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</si>
  <si>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</si>
  <si>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</si>
  <si>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</si>
  <si>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</si>
  <si>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</si>
  <si>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</si>
  <si>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</si>
  <si>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</si>
  <si>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</si>
  <si>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</si>
  <si>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</si>
  <si>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</si>
  <si>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</si>
  <si>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</si>
  <si>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</si>
  <si>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</si>
  <si>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</si>
  <si>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</si>
  <si>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</si>
  <si>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</si>
  <si>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</si>
  <si>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</si>
  <si>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</si>
  <si>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</si>
  <si>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</si>
  <si>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</si>
  <si>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</si>
  <si>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</si>
  <si>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</si>
  <si>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</si>
  <si>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</si>
  <si>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</si>
  <si>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</si>
  <si>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</si>
  <si>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</si>
  <si>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</si>
  <si>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</si>
  <si>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</si>
  <si>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</si>
  <si>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</si>
  <si>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</si>
  <si>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</si>
  <si>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</si>
  <si>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</si>
  <si>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</si>
  <si>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</si>
  <si>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</si>
  <si>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</si>
  <si>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</si>
  <si>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</si>
  <si>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</si>
  <si>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</si>
  <si>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</si>
  <si>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</si>
  <si>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</si>
  <si>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</si>
  <si>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</si>
  <si>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</si>
  <si>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</si>
  <si>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</si>
  <si>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</si>
  <si>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</si>
  <si>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</si>
  <si>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</si>
  <si>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</si>
  <si>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</si>
  <si>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</si>
  <si>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</si>
  <si>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</si>
  <si>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</si>
  <si>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</si>
  <si>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</si>
  <si>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</si>
  <si>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</si>
  <si>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</si>
  <si>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</si>
  <si>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</si>
  <si>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</si>
  <si>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</si>
  <si>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</si>
  <si>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</si>
  <si>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</si>
  <si>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</si>
  <si>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</si>
  <si>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</si>
  <si>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</si>
  <si>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</si>
  <si>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</si>
  <si>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</si>
  <si>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</si>
  <si>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</si>
  <si>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</si>
  <si>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</si>
  <si>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</si>
  <si>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</si>
  <si>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</si>
  <si>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</si>
  <si>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</si>
  <si>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</si>
  <si>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</si>
  <si>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</si>
  <si>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</si>
  <si>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</si>
  <si>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</si>
  <si>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</si>
  <si>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</si>
  <si>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</si>
  <si>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</si>
  <si>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</si>
  <si>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</si>
  <si>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</si>
  <si>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</si>
  <si>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</si>
  <si>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</si>
  <si>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</si>
  <si>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</si>
  <si>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</si>
  <si>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</si>
  <si>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</si>
  <si>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</si>
  <si>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</si>
  <si>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</si>
  <si>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</si>
  <si>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</si>
  <si>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</si>
  <si>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</si>
  <si>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</si>
  <si>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</si>
  <si>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</si>
  <si>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</si>
  <si>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</si>
  <si>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</si>
  <si>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</si>
  <si>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</si>
  <si>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</si>
  <si>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</si>
  <si>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</si>
  <si>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</si>
  <si>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</si>
  <si>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</si>
  <si>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</si>
  <si>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</si>
  <si>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</si>
  <si>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</si>
  <si>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</si>
  <si>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</si>
  <si>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</si>
  <si>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</si>
  <si>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</si>
  <si>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</si>
  <si>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</si>
  <si>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</si>
  <si>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See Specification Sheet</t>
  </si>
  <si>
    <t>NA</t>
  </si>
  <si>
    <t>Company 1</t>
  </si>
  <si>
    <t>comp1 add</t>
  </si>
  <si>
    <t>x</t>
  </si>
  <si>
    <t>dfsf</t>
  </si>
  <si>
    <t>sfdfsf</t>
  </si>
  <si>
    <t>fsfsfss</t>
  </si>
  <si>
    <t>Tuesday, 2 September 2025</t>
  </si>
  <si>
    <t>fdgdgd</t>
  </si>
  <si>
    <t>dgdgfdg</t>
  </si>
  <si>
    <t>gdgdfg</t>
  </si>
  <si>
    <t>Thursday, 18 September 2025</t>
  </si>
  <si>
    <t>dgdfgdg</t>
  </si>
  <si>
    <t>gdgfg</t>
  </si>
  <si>
    <t>gdgfdg</t>
  </si>
  <si>
    <t>gdfggdg</t>
  </si>
  <si>
    <t>dgfdgdf</t>
  </si>
  <si>
    <t>dgfdgd</t>
  </si>
  <si>
    <t>dgdfg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</si>
</sst>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f>DataSheet!AL13</f>
        <v>5435354</v>
      </c>
      <c r="U16" s="245"/>
      <c r="V16" s="245"/>
      <c r="W16" s="245"/>
      <c r="X16" s="245"/>
      <c r="Y16" s="245"/>
      <c r="Z16" s="245"/>
    </row>
    <row r="17" spans="1:26" ht="15" customHeight="1">
      <c r="C17" s="27" t="s">
        <v>8</v>
      </c>
      <c r="H17" s="246">
        <f>DataSheet!K15</f>
        <v>5435354</v>
      </c>
      <c r="I17" s="245"/>
      <c r="J17" s="245"/>
      <c r="K17" s="245"/>
      <c r="L17" s="245"/>
      <c r="M17" s="245"/>
      <c r="N17" s="26"/>
      <c r="O17" s="21" t="s">
        <v>9</v>
      </c>
      <c r="T17" s="245">
        <f>DataSheet!AL17</f>
        <v>5435354</v>
      </c>
      <c r="U17" s="245"/>
      <c r="V17" s="245"/>
      <c r="W17" s="245"/>
      <c r="X17" s="245"/>
      <c r="Y17" s="245"/>
      <c r="Z17" s="245"/>
    </row>
    <row r="18" spans="1:26" ht="15" customHeight="1">
      <c r="C18" s="21" t="s">
        <v>10</v>
      </c>
      <c r="H18" s="247">
        <f>DataSheet!AL11</f>
        <v>45756</v>
      </c>
      <c r="I18" s="247"/>
      <c r="J18" s="247"/>
      <c r="K18" s="247"/>
      <c r="L18" s="247"/>
      <c r="M18" s="247"/>
      <c r="N18" s="26"/>
      <c r="O18" s="21" t="s">
        <v>11</v>
      </c>
      <c r="T18" s="245" t="str">
        <f>DataSheet!L7</f>
        <v>5465-09</v>
      </c>
      <c r="U18" s="245"/>
      <c r="V18" s="245"/>
      <c r="W18" s="245"/>
      <c r="X18" s="245"/>
      <c r="Y18" s="245"/>
      <c r="Z18" s="245"/>
    </row>
    <row r="19" spans="1:26" ht="15" customHeight="1">
      <c r="C19" s="21" t="s">
        <v>134</v>
      </c>
      <c r="H19" s="250">
        <f>DataSheet!AL9</f>
        <v>45756</v>
      </c>
      <c r="I19" s="250"/>
      <c r="J19" s="250"/>
      <c r="K19" s="250"/>
      <c r="L19" s="250"/>
      <c r="M19" s="250"/>
      <c r="N19" s="250"/>
      <c r="O19" s="21" t="s">
        <v>12</v>
      </c>
      <c r="T19" s="245">
        <f>DataSheet!AL15</f>
        <v>5435354</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157</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t="str">
        <f>DataSheet!B33</f>
        <v>dfsf</v>
      </c>
      <c r="E42" s="238"/>
      <c r="F42" s="238"/>
      <c r="G42" s="238"/>
      <c r="H42" s="238"/>
      <c r="I42" s="238"/>
      <c r="J42" s="238" t="str">
        <f>DataSheet!Q33</f>
        <v>sfdfsf</v>
      </c>
      <c r="K42" s="238"/>
      <c r="L42" s="238"/>
      <c r="M42" s="238"/>
      <c r="N42" s="238"/>
      <c r="O42" s="238"/>
      <c r="P42" s="241" t="str">
        <f>DataSheet!AB33</f>
        <v>fsfsfss</v>
      </c>
      <c r="Q42" s="241"/>
      <c r="R42" s="241"/>
      <c r="S42" s="241"/>
      <c r="T42" s="241"/>
      <c r="U42" s="241"/>
      <c r="V42" s="242" t="str">
        <f>DataSheet!AO33</f>
        <v>Tuesday, 2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158</v>
      </c>
    </row>
    <row r="50" spans="1:23" s="26" customFormat="1" ht="15" customHeight="1">
      <c r="A50" s="56"/>
      <c r="C50" s="26" t="s">
        <v>154</v>
      </c>
    </row>
    <row r="51" spans="1:23" s="26" customFormat="1" ht="15" customHeight="1">
      <c r="A51" s="56"/>
      <c r="C51" s="26" t="s">
        <v>155</v>
      </c>
      <c r="O51" s="251">
        <f>EDATE(DataSheet!AL11,12)</f>
        <v>46121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152</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162</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163</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164</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45756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164</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v>5435354</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v>5435354</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v>5435354</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165</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v>5435354</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165</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165</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166</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166</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167</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168</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169</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168</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t="s">
        <v>170</v>
      </c>
      <c r="C33" s="348"/>
      <c r="D33" s="348"/>
      <c r="E33" s="348"/>
      <c r="F33" s="348"/>
      <c r="G33" s="348"/>
      <c r="H33" s="348"/>
      <c r="I33" s="348"/>
      <c r="J33" s="348"/>
      <c r="K33" s="348"/>
      <c r="L33" s="348"/>
      <c r="M33" s="348"/>
      <c r="N33" s="348"/>
      <c r="O33" s="348"/>
      <c r="P33" s="349"/>
      <c r="Q33" s="347" t="s">
        <v>171</v>
      </c>
      <c r="R33" s="348"/>
      <c r="S33" s="348"/>
      <c r="T33" s="348"/>
      <c r="U33" s="348"/>
      <c r="V33" s="348"/>
      <c r="W33" s="348"/>
      <c r="X33" s="348"/>
      <c r="Y33" s="348"/>
      <c r="Z33" s="348"/>
      <c r="AA33" s="349"/>
      <c r="AB33" s="339" t="s">
        <v>172</v>
      </c>
      <c r="AC33" s="340"/>
      <c r="AD33" s="340"/>
      <c r="AE33" s="340"/>
      <c r="AF33" s="340"/>
      <c r="AG33" s="340"/>
      <c r="AH33" s="340"/>
      <c r="AI33" s="340"/>
      <c r="AJ33" s="340"/>
      <c r="AK33" s="340"/>
      <c r="AL33" s="340"/>
      <c r="AM33" s="340"/>
      <c r="AN33" s="341"/>
      <c r="AO33" s="342" t="s">
        <v>173</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t="s">
        <v>174</v>
      </c>
      <c r="C34" s="346"/>
      <c r="D34" s="346"/>
      <c r="E34" s="346"/>
      <c r="F34" s="346"/>
      <c r="G34" s="346"/>
      <c r="H34" s="346"/>
      <c r="I34" s="346"/>
      <c r="J34" s="346"/>
      <c r="K34" s="346"/>
      <c r="L34" s="346"/>
      <c r="M34" s="346"/>
      <c r="N34" s="346"/>
      <c r="O34" s="346"/>
      <c r="P34" s="346"/>
      <c r="Q34" s="444" t="s">
        <v>175</v>
      </c>
      <c r="R34" s="346"/>
      <c r="S34" s="346"/>
      <c r="T34" s="346"/>
      <c r="U34" s="346"/>
      <c r="V34" s="346"/>
      <c r="W34" s="346"/>
      <c r="X34" s="346"/>
      <c r="Y34" s="346"/>
      <c r="Z34" s="346"/>
      <c r="AA34" s="445"/>
      <c r="AB34" s="346" t="s">
        <v>176</v>
      </c>
      <c r="AC34" s="346"/>
      <c r="AD34" s="346"/>
      <c r="AE34" s="346"/>
      <c r="AF34" s="346"/>
      <c r="AG34" s="346"/>
      <c r="AH34" s="346"/>
      <c r="AI34" s="346"/>
      <c r="AJ34" s="346"/>
      <c r="AK34" s="346"/>
      <c r="AL34" s="346"/>
      <c r="AM34" s="346"/>
      <c r="AN34" s="445"/>
      <c r="AO34" s="446" t="s">
        <v>177</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t="s">
        <v>178</v>
      </c>
      <c r="C37" s="337"/>
      <c r="D37" s="337"/>
      <c r="E37" s="337"/>
      <c r="F37" s="337"/>
      <c r="G37" s="337"/>
      <c r="H37" s="337"/>
      <c r="I37" s="337"/>
      <c r="J37" s="337"/>
      <c r="K37" s="337"/>
      <c r="L37" s="337"/>
      <c r="M37" s="337"/>
      <c r="N37" s="337"/>
      <c r="O37" s="337"/>
      <c r="P37" s="337"/>
      <c r="Q37" s="438" t="s">
        <v>179</v>
      </c>
      <c r="R37" s="337"/>
      <c r="S37" s="337"/>
      <c r="T37" s="337"/>
      <c r="U37" s="337"/>
      <c r="V37" s="337"/>
      <c r="W37" s="337"/>
      <c r="X37" s="337"/>
      <c r="Y37" s="337"/>
      <c r="Z37" s="337"/>
      <c r="AA37" s="338"/>
      <c r="AB37" s="439" t="s">
        <v>180</v>
      </c>
      <c r="AC37" s="337"/>
      <c r="AD37" s="337"/>
      <c r="AE37" s="337"/>
      <c r="AF37" s="337"/>
      <c r="AG37" s="337"/>
      <c r="AH37" s="337"/>
      <c r="AI37" s="337"/>
      <c r="AJ37" s="337"/>
      <c r="AK37" s="337"/>
      <c r="AL37" s="337"/>
      <c r="AM37" s="337"/>
      <c r="AN37" s="338"/>
      <c r="AO37" s="439" t="s">
        <v>181</v>
      </c>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t="s">
        <v>182</v>
      </c>
      <c r="C38" s="337"/>
      <c r="D38" s="337"/>
      <c r="E38" s="337"/>
      <c r="F38" s="337"/>
      <c r="G38" s="337"/>
      <c r="H38" s="337"/>
      <c r="I38" s="337"/>
      <c r="J38" s="337"/>
      <c r="K38" s="337"/>
      <c r="L38" s="337"/>
      <c r="M38" s="337"/>
      <c r="N38" s="337"/>
      <c r="O38" s="337"/>
      <c r="P38" s="337"/>
      <c r="Q38" s="442" t="s">
        <v>178</v>
      </c>
      <c r="R38" s="337"/>
      <c r="S38" s="337"/>
      <c r="T38" s="337"/>
      <c r="U38" s="337"/>
      <c r="V38" s="337"/>
      <c r="W38" s="337"/>
      <c r="X38" s="337"/>
      <c r="Y38" s="337"/>
      <c r="Z38" s="337"/>
      <c r="AA38" s="338"/>
      <c r="AB38" s="337" t="s">
        <v>183</v>
      </c>
      <c r="AC38" s="337"/>
      <c r="AD38" s="337"/>
      <c r="AE38" s="337"/>
      <c r="AF38" s="337"/>
      <c r="AG38" s="337"/>
      <c r="AH38" s="337"/>
      <c r="AI38" s="337"/>
      <c r="AJ38" s="337"/>
      <c r="AK38" s="337"/>
      <c r="AL38" s="337"/>
      <c r="AM38" s="337"/>
      <c r="AN38" s="338"/>
      <c r="AO38" s="337" t="s">
        <v>184</v>
      </c>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116</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132</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132</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125</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130</v>
      </c>
      <c r="CK52" s="364"/>
      <c r="CL52" s="364"/>
      <c r="CM52" s="364"/>
      <c r="CN52" s="365"/>
      <c r="CO52" s="2"/>
      <c r="CP52" s="363" t="s">
        <v>130</v>
      </c>
      <c r="CQ52" s="364"/>
      <c r="CR52" s="364"/>
      <c r="CS52" s="364"/>
      <c r="CT52" s="365"/>
      <c r="CV52" s="363" t="s">
        <v>71</v>
      </c>
      <c r="CW52" s="364"/>
      <c r="CX52" s="364"/>
      <c r="CY52" s="364"/>
      <c r="CZ52" s="365"/>
      <c r="DB52" s="368" t="s">
        <v>117</v>
      </c>
      <c r="DC52" s="369"/>
      <c r="DD52" s="353" t="s">
        <v>118</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135</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129</v>
      </c>
      <c r="BY55" s="221">
        <v>7.6999999999999996E-4</v>
      </c>
      <c r="BZ55" s="76" t="str">
        <f>P55</f>
        <v>mV</v>
      </c>
      <c r="CA55" s="175">
        <v>2</v>
      </c>
      <c r="CB55" s="77">
        <f>BY55/CA55</f>
        <v>3.8499999999999998E-4</v>
      </c>
      <c r="CC55" s="4"/>
      <c r="CD55" s="70" t="s">
        <v>131</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159</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129</v>
      </c>
      <c r="BY56" s="179">
        <v>2.0999999999999999E-3</v>
      </c>
      <c r="BZ56" s="1" t="str">
        <f t="shared" ref="BZ56:BZ68" si="9">P56</f>
        <v>mV</v>
      </c>
      <c r="CA56" s="180">
        <v>2</v>
      </c>
      <c r="CB56" s="78">
        <f t="shared" ref="CB56:CB57" si="10">BY56/CA56</f>
        <v>1.0499999999999999E-3</v>
      </c>
      <c r="CC56" s="4"/>
      <c r="CD56" s="72" t="s">
        <v>131</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129</v>
      </c>
      <c r="BY57" s="179">
        <v>2.0999999999999999E-3</v>
      </c>
      <c r="BZ57" s="1" t="str">
        <f t="shared" si="9"/>
        <v>mV</v>
      </c>
      <c r="CA57" s="180">
        <v>2</v>
      </c>
      <c r="CB57" s="78">
        <f t="shared" si="10"/>
        <v>1.0499999999999999E-3</v>
      </c>
      <c r="CC57" s="4"/>
      <c r="CD57" s="72" t="s">
        <v>131</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136</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129</v>
      </c>
      <c r="BY58" s="222">
        <v>2.0999999999999998E-6</v>
      </c>
      <c r="BZ58" s="1" t="str">
        <f t="shared" si="9"/>
        <v>V</v>
      </c>
      <c r="CA58" s="180">
        <v>2</v>
      </c>
      <c r="CB58" s="78">
        <f t="shared" ref="CB58:CB60" si="26">BY58/CA58</f>
        <v>1.0499999999999999E-6</v>
      </c>
      <c r="CC58" s="4"/>
      <c r="CD58" s="72" t="s">
        <v>131</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129</v>
      </c>
      <c r="BY59" s="5">
        <v>1.8E-5</v>
      </c>
      <c r="BZ59" s="1" t="str">
        <f t="shared" si="9"/>
        <v>V</v>
      </c>
      <c r="CA59" s="180">
        <v>2</v>
      </c>
      <c r="CB59" s="78">
        <f t="shared" si="26"/>
        <v>9.0000000000000002E-6</v>
      </c>
      <c r="CC59" s="4"/>
      <c r="CD59" s="72" t="s">
        <v>131</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129</v>
      </c>
      <c r="BY60" s="5">
        <v>1.8E-5</v>
      </c>
      <c r="BZ60" s="1" t="str">
        <f t="shared" si="9"/>
        <v>V</v>
      </c>
      <c r="CA60" s="180">
        <v>2</v>
      </c>
      <c r="CB60" s="78">
        <f t="shared" si="26"/>
        <v>9.0000000000000002E-6</v>
      </c>
      <c r="CC60" s="4"/>
      <c r="CD60" s="72" t="s">
        <v>131</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137</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129</v>
      </c>
      <c r="BY61" s="5">
        <v>1.8E-5</v>
      </c>
      <c r="BZ61" s="1" t="str">
        <f t="shared" si="9"/>
        <v>V</v>
      </c>
      <c r="CA61" s="180">
        <v>2</v>
      </c>
      <c r="CB61" s="78">
        <f t="shared" ref="CB61:CB68" si="29">BY61/CA61</f>
        <v>9.0000000000000002E-6</v>
      </c>
      <c r="CC61" s="4"/>
      <c r="CD61" s="72" t="s">
        <v>131</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129</v>
      </c>
      <c r="BY62" s="5">
        <v>1E-4</v>
      </c>
      <c r="BZ62" s="1" t="str">
        <f t="shared" si="9"/>
        <v>V</v>
      </c>
      <c r="CA62" s="180">
        <v>2</v>
      </c>
      <c r="CB62" s="78">
        <f t="shared" ref="CB62:CB63" si="31">BY62/CA62</f>
        <v>5.0000000000000002E-5</v>
      </c>
      <c r="CC62" s="4"/>
      <c r="CD62" s="72" t="s">
        <v>131</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129</v>
      </c>
      <c r="BY63" s="5">
        <v>3.1E-4</v>
      </c>
      <c r="BZ63" s="1" t="str">
        <f t="shared" si="9"/>
        <v>V</v>
      </c>
      <c r="CA63" s="180">
        <v>2</v>
      </c>
      <c r="CB63" s="78">
        <f t="shared" si="31"/>
        <v>1.55E-4</v>
      </c>
      <c r="CC63" s="4"/>
      <c r="CD63" s="72" t="s">
        <v>131</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129</v>
      </c>
      <c r="BY64" s="5">
        <v>1.8E-5</v>
      </c>
      <c r="BZ64" s="1" t="str">
        <f t="shared" si="9"/>
        <v>V</v>
      </c>
      <c r="CA64" s="180">
        <v>2</v>
      </c>
      <c r="CB64" s="78">
        <f t="shared" si="29"/>
        <v>9.0000000000000002E-6</v>
      </c>
      <c r="CC64" s="4"/>
      <c r="CD64" s="72" t="s">
        <v>131</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129</v>
      </c>
      <c r="BY65" s="5">
        <v>3.1E-4</v>
      </c>
      <c r="BZ65" s="1" t="str">
        <f t="shared" si="9"/>
        <v>V</v>
      </c>
      <c r="CA65" s="180">
        <v>2</v>
      </c>
      <c r="CB65" s="78">
        <f t="shared" si="29"/>
        <v>1.55E-4</v>
      </c>
      <c r="CC65" s="4"/>
      <c r="CD65" s="72" t="s">
        <v>131</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129</v>
      </c>
      <c r="BY66" s="5">
        <v>3.1E-4</v>
      </c>
      <c r="BZ66" s="1" t="str">
        <f t="shared" si="9"/>
        <v>V</v>
      </c>
      <c r="CA66" s="180">
        <v>2</v>
      </c>
      <c r="CB66" s="78">
        <f t="shared" si="29"/>
        <v>1.55E-4</v>
      </c>
      <c r="CC66" s="4"/>
      <c r="CD66" s="72" t="s">
        <v>131</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129</v>
      </c>
      <c r="BY67" s="179">
        <v>3.3E-3</v>
      </c>
      <c r="BZ67" s="1" t="str">
        <f t="shared" si="9"/>
        <v>V</v>
      </c>
      <c r="CA67" s="180">
        <v>2</v>
      </c>
      <c r="CB67" s="78">
        <f t="shared" si="29"/>
        <v>1.65E-3</v>
      </c>
      <c r="CC67" s="4"/>
      <c r="CD67" s="72" t="s">
        <v>131</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129</v>
      </c>
      <c r="BY68" s="179">
        <v>3.3E-3</v>
      </c>
      <c r="BZ68" s="1" t="str">
        <f t="shared" si="9"/>
        <v>V</v>
      </c>
      <c r="CA68" s="206">
        <v>2</v>
      </c>
      <c r="CB68" s="207">
        <f t="shared" si="29"/>
        <v>1.65E-3</v>
      </c>
      <c r="CC68" s="4"/>
      <c r="CD68" s="73" t="s">
        <v>131</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160</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129</v>
      </c>
      <c r="BY69" s="221">
        <v>3.1E-4</v>
      </c>
      <c r="BZ69" s="76" t="str">
        <f t="shared" ref="BZ69:BZ71" si="40">P69</f>
        <v>V</v>
      </c>
      <c r="CA69" s="180">
        <v>2</v>
      </c>
      <c r="CB69" s="78">
        <f t="shared" ref="CB69:CB71" si="41">BY69/CA69</f>
        <v>1.55E-4</v>
      </c>
      <c r="CC69" s="4"/>
      <c r="CD69" s="72" t="s">
        <v>131</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129</v>
      </c>
      <c r="BY70" s="179">
        <v>3.3E-3</v>
      </c>
      <c r="BZ70" s="1" t="str">
        <f t="shared" si="40"/>
        <v>V</v>
      </c>
      <c r="CA70" s="180">
        <v>2</v>
      </c>
      <c r="CB70" s="78">
        <f t="shared" si="41"/>
        <v>1.65E-3</v>
      </c>
      <c r="CC70" s="4"/>
      <c r="CD70" s="72" t="s">
        <v>131</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129</v>
      </c>
      <c r="BY71" s="223">
        <v>3.3E-3</v>
      </c>
      <c r="BZ71" s="74" t="str">
        <f t="shared" si="40"/>
        <v>V</v>
      </c>
      <c r="CA71" s="182">
        <v>2</v>
      </c>
      <c r="CB71" s="79">
        <f t="shared" si="41"/>
        <v>1.65E-3</v>
      </c>
      <c r="CC71" s="4"/>
      <c r="CD71" s="73" t="s">
        <v>131</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125</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130</v>
      </c>
      <c r="CK73" s="364"/>
      <c r="CL73" s="364"/>
      <c r="CM73" s="364"/>
      <c r="CN73" s="365"/>
      <c r="CO73" s="2"/>
      <c r="CP73" s="363" t="s">
        <v>130</v>
      </c>
      <c r="CQ73" s="364"/>
      <c r="CR73" s="364"/>
      <c r="CS73" s="364"/>
      <c r="CT73" s="365"/>
      <c r="CV73" s="363" t="s">
        <v>71</v>
      </c>
      <c r="CW73" s="364"/>
      <c r="CX73" s="364"/>
      <c r="CY73" s="364"/>
      <c r="CZ73" s="365"/>
      <c r="DB73" s="354" t="s">
        <v>117</v>
      </c>
      <c r="DC73" s="352"/>
      <c r="DD73" s="354" t="s">
        <v>118</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135</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129</v>
      </c>
      <c r="BY76" s="83">
        <v>7.0000000000000007E-2</v>
      </c>
      <c r="BZ76" s="71" t="str">
        <f t="shared" ref="BZ76:BZ79" si="61">P76</f>
        <v>mV</v>
      </c>
      <c r="CA76" s="191">
        <v>2</v>
      </c>
      <c r="CB76" s="77">
        <f t="shared" ref="CB76:CB79" si="62">BY76/CA76</f>
        <v>3.5000000000000003E-2</v>
      </c>
      <c r="CC76" s="4"/>
      <c r="CD76" s="70" t="s">
        <v>131</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144</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129</v>
      </c>
      <c r="BY77" s="6">
        <v>7.0000000000000007E-2</v>
      </c>
      <c r="BZ77" s="1" t="str">
        <f t="shared" si="61"/>
        <v>mV</v>
      </c>
      <c r="CA77" s="180">
        <v>2</v>
      </c>
      <c r="CB77" s="78">
        <f t="shared" si="62"/>
        <v>3.5000000000000003E-2</v>
      </c>
      <c r="CC77" s="4"/>
      <c r="CD77" s="72" t="s">
        <v>131</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129</v>
      </c>
      <c r="BY78" s="179">
        <v>0.91</v>
      </c>
      <c r="BZ78" s="1" t="str">
        <f t="shared" si="61"/>
        <v>mV</v>
      </c>
      <c r="CA78" s="180">
        <v>2</v>
      </c>
      <c r="CB78" s="78">
        <f t="shared" si="62"/>
        <v>0.45500000000000002</v>
      </c>
      <c r="CC78" s="4"/>
      <c r="CD78" s="72" t="s">
        <v>131</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144</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129</v>
      </c>
      <c r="BY79" s="179">
        <v>0.91</v>
      </c>
      <c r="BZ79" s="208" t="str">
        <f t="shared" si="61"/>
        <v>mV</v>
      </c>
      <c r="CA79" s="180">
        <v>2</v>
      </c>
      <c r="CB79" s="78">
        <f t="shared" si="62"/>
        <v>0.45500000000000002</v>
      </c>
      <c r="CC79" s="4"/>
      <c r="CD79" s="72" t="s">
        <v>131</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136</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129</v>
      </c>
      <c r="BY80" s="6">
        <v>9.1E-4</v>
      </c>
      <c r="BZ80" s="1" t="str">
        <f t="shared" ref="BZ80:BZ93" si="86">P80</f>
        <v>V</v>
      </c>
      <c r="CA80" s="175">
        <v>2</v>
      </c>
      <c r="CB80" s="209">
        <f t="shared" ref="CB80:CB93" si="87">BY80/CA80</f>
        <v>4.55E-4</v>
      </c>
      <c r="CC80" s="4"/>
      <c r="CD80" s="70" t="s">
        <v>131</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144</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129</v>
      </c>
      <c r="BY81" s="6">
        <v>9.1E-4</v>
      </c>
      <c r="BZ81" s="1" t="str">
        <f t="shared" si="86"/>
        <v>V</v>
      </c>
      <c r="CA81" s="180">
        <v>2</v>
      </c>
      <c r="CB81" s="78">
        <f t="shared" si="87"/>
        <v>4.55E-4</v>
      </c>
      <c r="CC81" s="4"/>
      <c r="CD81" s="72" t="s">
        <v>131</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129</v>
      </c>
      <c r="BY82" s="179">
        <v>7.3000000000000001E-3</v>
      </c>
      <c r="BZ82" s="1" t="str">
        <f t="shared" si="86"/>
        <v>V</v>
      </c>
      <c r="CA82" s="180">
        <v>2</v>
      </c>
      <c r="CB82" s="78">
        <f t="shared" ref="CB82" si="104">BY82/CA82</f>
        <v>3.65E-3</v>
      </c>
      <c r="CC82" s="4"/>
      <c r="CD82" s="72" t="s">
        <v>131</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144</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129</v>
      </c>
      <c r="BY83" s="179">
        <v>7.3000000000000001E-3</v>
      </c>
      <c r="BZ83" s="1" t="str">
        <f t="shared" si="86"/>
        <v>V</v>
      </c>
      <c r="CA83" s="180">
        <v>2</v>
      </c>
      <c r="CB83" s="78">
        <f t="shared" si="87"/>
        <v>3.65E-3</v>
      </c>
      <c r="CC83" s="4"/>
      <c r="CD83" s="72" t="s">
        <v>131</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137</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129</v>
      </c>
      <c r="BY84" s="179">
        <v>7.3000000000000001E-3</v>
      </c>
      <c r="BZ84" s="1" t="str">
        <f t="shared" si="86"/>
        <v>V</v>
      </c>
      <c r="CA84" s="180">
        <v>2</v>
      </c>
      <c r="CB84" s="78">
        <f t="shared" si="87"/>
        <v>3.65E-3</v>
      </c>
      <c r="CC84" s="4"/>
      <c r="CD84" s="72" t="s">
        <v>131</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144</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129</v>
      </c>
      <c r="BY85" s="179">
        <v>7.3000000000000001E-3</v>
      </c>
      <c r="BZ85" s="1" t="str">
        <f t="shared" si="86"/>
        <v>V</v>
      </c>
      <c r="CA85" s="180">
        <v>2</v>
      </c>
      <c r="CB85" s="78">
        <f t="shared" ref="CB85" si="107">BY85/CA85</f>
        <v>3.65E-3</v>
      </c>
      <c r="CC85" s="4"/>
      <c r="CD85" s="72" t="s">
        <v>131</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129</v>
      </c>
      <c r="BY86" s="179">
        <v>7.3000000000000001E-3</v>
      </c>
      <c r="BZ86" s="1" t="str">
        <f t="shared" si="86"/>
        <v>V</v>
      </c>
      <c r="CA86" s="180">
        <v>2</v>
      </c>
      <c r="CB86" s="78">
        <f t="shared" si="87"/>
        <v>3.65E-3</v>
      </c>
      <c r="CC86" s="4"/>
      <c r="CD86" s="72" t="s">
        <v>131</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144</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129</v>
      </c>
      <c r="BY87" s="179">
        <v>7.3000000000000001E-3</v>
      </c>
      <c r="BZ87" s="1" t="str">
        <f t="shared" si="86"/>
        <v>V</v>
      </c>
      <c r="CA87" s="180">
        <v>2</v>
      </c>
      <c r="CB87" s="78">
        <f t="shared" si="87"/>
        <v>3.65E-3</v>
      </c>
      <c r="CC87" s="4"/>
      <c r="CD87" s="72" t="s">
        <v>131</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129</v>
      </c>
      <c r="BY88" s="179">
        <v>7.0999999999999994E-2</v>
      </c>
      <c r="BZ88" s="1" t="str">
        <f t="shared" si="86"/>
        <v>V</v>
      </c>
      <c r="CA88" s="180">
        <v>2</v>
      </c>
      <c r="CB88" s="78">
        <f t="shared" si="87"/>
        <v>3.5499999999999997E-2</v>
      </c>
      <c r="CC88" s="4"/>
      <c r="CD88" s="72" t="s">
        <v>131</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144</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129</v>
      </c>
      <c r="BY89" s="179">
        <v>7.0999999999999994E-2</v>
      </c>
      <c r="BZ89" s="1" t="str">
        <f t="shared" si="86"/>
        <v>V</v>
      </c>
      <c r="CA89" s="180">
        <v>2</v>
      </c>
      <c r="CB89" s="78">
        <f t="shared" si="87"/>
        <v>3.5499999999999997E-2</v>
      </c>
      <c r="CC89" s="4"/>
      <c r="CD89" s="72" t="s">
        <v>131</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129</v>
      </c>
      <c r="BY90" s="179">
        <v>7.0999999999999994E-2</v>
      </c>
      <c r="BZ90" s="1" t="str">
        <f t="shared" si="86"/>
        <v>V</v>
      </c>
      <c r="CA90" s="180">
        <v>2</v>
      </c>
      <c r="CB90" s="78">
        <f t="shared" si="87"/>
        <v>3.5499999999999997E-2</v>
      </c>
      <c r="CC90" s="4"/>
      <c r="CD90" s="72" t="s">
        <v>131</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144</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129</v>
      </c>
      <c r="BY91" s="179">
        <v>7.0999999999999994E-2</v>
      </c>
      <c r="BZ91" s="1" t="str">
        <f t="shared" si="86"/>
        <v>V</v>
      </c>
      <c r="CA91" s="180">
        <v>2</v>
      </c>
      <c r="CB91" s="78">
        <f t="shared" ref="CB91" si="111">BY91/CA91</f>
        <v>3.5499999999999997E-2</v>
      </c>
      <c r="CC91" s="4"/>
      <c r="CD91" s="72" t="s">
        <v>131</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129</v>
      </c>
      <c r="BY92" s="224">
        <v>7.0999999999999994E-2</v>
      </c>
      <c r="BZ92" s="1" t="str">
        <f t="shared" si="86"/>
        <v>V</v>
      </c>
      <c r="CA92" s="180">
        <v>2</v>
      </c>
      <c r="CB92" s="78">
        <f t="shared" si="87"/>
        <v>3.5499999999999997E-2</v>
      </c>
      <c r="CC92" s="4"/>
      <c r="CD92" s="72" t="s">
        <v>131</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144</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129</v>
      </c>
      <c r="BY93" s="224">
        <v>7.0999999999999994E-2</v>
      </c>
      <c r="BZ93" s="1" t="str">
        <f t="shared" si="86"/>
        <v>V</v>
      </c>
      <c r="CA93" s="180">
        <v>2</v>
      </c>
      <c r="CB93" s="78">
        <f t="shared" si="87"/>
        <v>3.5499999999999997E-2</v>
      </c>
      <c r="CC93" s="4"/>
      <c r="CD93" s="73" t="s">
        <v>131</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160</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129</v>
      </c>
      <c r="BY94" s="224">
        <v>7.0999999999999994E-2</v>
      </c>
      <c r="BZ94" s="76" t="str">
        <f t="shared" ref="BZ94:BZ97" si="119">P94</f>
        <v>V</v>
      </c>
      <c r="CA94" s="175">
        <v>2</v>
      </c>
      <c r="CB94" s="209">
        <f t="shared" ref="CB94:CB97" si="120">BY94/CA94</f>
        <v>3.5499999999999997E-2</v>
      </c>
      <c r="CC94" s="4"/>
      <c r="CD94" s="72" t="s">
        <v>131</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144</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129</v>
      </c>
      <c r="BY95" s="224">
        <v>7.0999999999999994E-2</v>
      </c>
      <c r="BZ95" s="1" t="str">
        <f t="shared" si="119"/>
        <v>V</v>
      </c>
      <c r="CA95" s="180">
        <v>2</v>
      </c>
      <c r="CB95" s="78">
        <f t="shared" si="120"/>
        <v>3.5499999999999997E-2</v>
      </c>
      <c r="CC95" s="4"/>
      <c r="CD95" s="72" t="s">
        <v>131</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129</v>
      </c>
      <c r="BY96" s="224">
        <v>7.0999999999999994E-2</v>
      </c>
      <c r="BZ96" s="1" t="str">
        <f t="shared" si="119"/>
        <v>V</v>
      </c>
      <c r="CA96" s="180">
        <v>2</v>
      </c>
      <c r="CB96" s="78">
        <f t="shared" si="120"/>
        <v>3.5499999999999997E-2</v>
      </c>
      <c r="CC96" s="4"/>
      <c r="CD96" s="72" t="s">
        <v>131</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144</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129</v>
      </c>
      <c r="BY97" s="225">
        <v>7.0999999999999994E-2</v>
      </c>
      <c r="BZ97" s="74" t="str">
        <f t="shared" si="119"/>
        <v>V</v>
      </c>
      <c r="CA97" s="182">
        <v>2</v>
      </c>
      <c r="CB97" s="79">
        <f t="shared" si="120"/>
        <v>3.5499999999999997E-2</v>
      </c>
      <c r="CC97" s="4"/>
      <c r="CD97" s="73" t="s">
        <v>131</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125</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130</v>
      </c>
      <c r="CK99" s="364"/>
      <c r="CL99" s="364"/>
      <c r="CM99" s="364"/>
      <c r="CN99" s="365"/>
      <c r="CO99" s="2"/>
      <c r="CP99" s="363" t="s">
        <v>130</v>
      </c>
      <c r="CQ99" s="364"/>
      <c r="CR99" s="364"/>
      <c r="CS99" s="364"/>
      <c r="CT99" s="365"/>
      <c r="CV99" s="363" t="s">
        <v>71</v>
      </c>
      <c r="CW99" s="364"/>
      <c r="CX99" s="364"/>
      <c r="CY99" s="364"/>
      <c r="CZ99" s="365"/>
      <c r="DB99" s="354" t="s">
        <v>117</v>
      </c>
      <c r="DC99" s="352"/>
      <c r="DD99" s="354" t="s">
        <v>118</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129</v>
      </c>
      <c r="BY102" s="88">
        <v>7.7000000000000001E-5</v>
      </c>
      <c r="BZ102" s="71" t="str">
        <f t="shared" ref="BZ102:BZ108" si="138">P102</f>
        <v>Ω</v>
      </c>
      <c r="CA102" s="191">
        <v>2</v>
      </c>
      <c r="CB102" s="77">
        <f t="shared" ref="CB102:CB103" si="139">BY102/CA102</f>
        <v>3.8500000000000001E-5</v>
      </c>
      <c r="CC102" s="4"/>
      <c r="CD102" s="70" t="s">
        <v>131</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129</v>
      </c>
      <c r="BY103" s="179">
        <v>3.0000000000000001E-3</v>
      </c>
      <c r="BZ103" s="1" t="str">
        <f t="shared" si="138"/>
        <v>Ω</v>
      </c>
      <c r="CA103" s="180">
        <v>2</v>
      </c>
      <c r="CB103" s="78">
        <f t="shared" si="139"/>
        <v>1.5E-3</v>
      </c>
      <c r="CC103" s="4"/>
      <c r="CD103" s="72" t="s">
        <v>131</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129</v>
      </c>
      <c r="BY104" s="222">
        <v>5.5000000000000002E-5</v>
      </c>
      <c r="BZ104" s="1" t="str">
        <f t="shared" si="138"/>
        <v>kΩ</v>
      </c>
      <c r="CA104" s="180">
        <v>2</v>
      </c>
      <c r="CB104" s="78">
        <f t="shared" ref="CB104" si="160">BY104/CA104</f>
        <v>2.7500000000000001E-5</v>
      </c>
      <c r="CC104" s="4"/>
      <c r="CD104" s="72" t="s">
        <v>131</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129</v>
      </c>
      <c r="BY105" s="6">
        <v>8.0999999999999996E-4</v>
      </c>
      <c r="BZ105" s="1" t="str">
        <f t="shared" si="138"/>
        <v>kΩ</v>
      </c>
      <c r="CA105" s="180">
        <v>2</v>
      </c>
      <c r="CB105" s="78">
        <f t="shared" ref="CB105:CB108" si="163">BY105/CA105</f>
        <v>4.0499999999999998E-4</v>
      </c>
      <c r="CC105" s="4"/>
      <c r="CD105" s="72" t="s">
        <v>131</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129</v>
      </c>
      <c r="BY106" s="179">
        <v>6.6E-3</v>
      </c>
      <c r="BZ106" s="1" t="str">
        <f t="shared" si="138"/>
        <v>kΩ</v>
      </c>
      <c r="CA106" s="180">
        <v>2</v>
      </c>
      <c r="CB106" s="78">
        <f t="shared" si="163"/>
        <v>3.3E-3</v>
      </c>
      <c r="CC106" s="4"/>
      <c r="CD106" s="72" t="s">
        <v>131</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129</v>
      </c>
      <c r="BY107" s="6">
        <v>4.8000000000000001E-4</v>
      </c>
      <c r="BZ107" s="1" t="str">
        <f t="shared" ref="BZ107" si="171">P107</f>
        <v>MΩ</v>
      </c>
      <c r="CA107" s="180">
        <v>2</v>
      </c>
      <c r="CB107" s="78">
        <f t="shared" ref="CB107" si="172">BY107/CA107</f>
        <v>2.4000000000000001E-4</v>
      </c>
      <c r="CC107" s="4"/>
      <c r="CD107" s="72" t="s">
        <v>131</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146</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129</v>
      </c>
      <c r="BY108" s="223">
        <v>4.7000000000000002E-3</v>
      </c>
      <c r="BZ108" s="74" t="str">
        <f t="shared" si="138"/>
        <v>MΩ</v>
      </c>
      <c r="CA108" s="182">
        <v>2</v>
      </c>
      <c r="CB108" s="79">
        <f t="shared" si="163"/>
        <v>2.3500000000000001E-3</v>
      </c>
      <c r="CC108" s="4"/>
      <c r="CD108" s="73" t="s">
        <v>131</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125</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130</v>
      </c>
      <c r="CK110" s="364"/>
      <c r="CL110" s="364"/>
      <c r="CM110" s="364"/>
      <c r="CN110" s="365"/>
      <c r="CO110" s="2"/>
      <c r="CP110" s="363" t="s">
        <v>130</v>
      </c>
      <c r="CQ110" s="364"/>
      <c r="CR110" s="364"/>
      <c r="CS110" s="364"/>
      <c r="CT110" s="365"/>
      <c r="CV110" s="363" t="s">
        <v>71</v>
      </c>
      <c r="CW110" s="364"/>
      <c r="CX110" s="364"/>
      <c r="CY110" s="364"/>
      <c r="CZ110" s="365"/>
      <c r="DB110" s="354" t="s">
        <v>117</v>
      </c>
      <c r="DC110" s="352"/>
      <c r="DD110" s="354" t="s">
        <v>118</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147</v>
      </c>
      <c r="G113" s="294"/>
      <c r="H113" s="294"/>
      <c r="I113" s="294"/>
      <c r="J113" s="294"/>
      <c r="K113" s="295"/>
      <c r="L113" s="297">
        <f>600*90%</f>
        <v>540</v>
      </c>
      <c r="M113" s="298"/>
      <c r="N113" s="298"/>
      <c r="O113" s="298"/>
      <c r="P113" s="299" t="s">
        <v>149</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129</v>
      </c>
      <c r="BY113" s="202">
        <v>0.09</v>
      </c>
      <c r="BZ113" s="71" t="str">
        <f t="shared" ref="BZ113:BZ121" si="192">P113</f>
        <v>µA</v>
      </c>
      <c r="CA113" s="191">
        <v>2</v>
      </c>
      <c r="CB113" s="77">
        <f t="shared" ref="CB113:CB114" si="193">BY113/CA113</f>
        <v>4.4999999999999998E-2</v>
      </c>
      <c r="CC113" s="4"/>
      <c r="CD113" s="70" t="s">
        <v>131</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161</v>
      </c>
      <c r="G114" s="294"/>
      <c r="H114" s="294"/>
      <c r="I114" s="294"/>
      <c r="J114" s="294"/>
      <c r="K114" s="295"/>
      <c r="L114" s="297">
        <f>6000*90%</f>
        <v>5400</v>
      </c>
      <c r="M114" s="298"/>
      <c r="N114" s="298"/>
      <c r="O114" s="298"/>
      <c r="P114" s="299" t="s">
        <v>149</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129</v>
      </c>
      <c r="BY114" s="211">
        <v>0.38</v>
      </c>
      <c r="BZ114" s="208" t="str">
        <f t="shared" si="192"/>
        <v>µA</v>
      </c>
      <c r="CA114" s="206">
        <v>2</v>
      </c>
      <c r="CB114" s="78">
        <f t="shared" si="193"/>
        <v>0.19</v>
      </c>
      <c r="CC114" s="4"/>
      <c r="CD114" s="73" t="s">
        <v>131</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148</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129</v>
      </c>
      <c r="BY115" s="214">
        <v>1.4E-3</v>
      </c>
      <c r="BZ115" s="1" t="str">
        <f t="shared" si="192"/>
        <v>mA</v>
      </c>
      <c r="CA115" s="180">
        <v>2</v>
      </c>
      <c r="CB115" s="209">
        <f t="shared" ref="CB115:CB117" si="214">BY115/CA115</f>
        <v>6.9999999999999999E-4</v>
      </c>
      <c r="CC115" s="4"/>
      <c r="CD115" s="70" t="s">
        <v>131</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129</v>
      </c>
      <c r="BY116" s="214">
        <v>1.4E-3</v>
      </c>
      <c r="BZ116" s="1" t="str">
        <f t="shared" si="192"/>
        <v>mA</v>
      </c>
      <c r="CA116" s="180">
        <v>2</v>
      </c>
      <c r="CB116" s="78">
        <f t="shared" si="214"/>
        <v>6.9999999999999999E-4</v>
      </c>
      <c r="CC116" s="4"/>
      <c r="CD116" s="72" t="s">
        <v>131</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151</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129</v>
      </c>
      <c r="BY117" s="211">
        <v>2.7E-2</v>
      </c>
      <c r="BZ117" s="1" t="str">
        <f t="shared" si="192"/>
        <v>mA</v>
      </c>
      <c r="CA117" s="180">
        <v>2</v>
      </c>
      <c r="CB117" s="78">
        <f t="shared" si="214"/>
        <v>1.35E-2</v>
      </c>
      <c r="CC117" s="4"/>
      <c r="CD117" s="73" t="s">
        <v>131</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150</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129</v>
      </c>
      <c r="BY118" s="6">
        <v>1.4E-3</v>
      </c>
      <c r="BZ118" s="76" t="str">
        <f t="shared" si="192"/>
        <v>A</v>
      </c>
      <c r="CA118" s="175">
        <v>2</v>
      </c>
      <c r="CB118" s="209">
        <f t="shared" ref="CB118:CB120" si="230">BY118/CA118</f>
        <v>6.9999999999999999E-4</v>
      </c>
      <c r="CC118" s="4"/>
      <c r="CD118" s="70" t="s">
        <v>131</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150</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129</v>
      </c>
      <c r="BY119" s="6">
        <v>1.4E-3</v>
      </c>
      <c r="BZ119" s="1" t="str">
        <f t="shared" si="192"/>
        <v>A</v>
      </c>
      <c r="CA119" s="180">
        <v>2</v>
      </c>
      <c r="CB119" s="78">
        <f t="shared" si="230"/>
        <v>6.9999999999999999E-4</v>
      </c>
      <c r="CC119" s="4"/>
      <c r="CD119" s="72" t="s">
        <v>131</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143</v>
      </c>
      <c r="G120" s="305"/>
      <c r="H120" s="305"/>
      <c r="I120" s="305"/>
      <c r="J120" s="305"/>
      <c r="K120" s="306"/>
      <c r="L120" s="297">
        <f>10*50%</f>
        <v>5</v>
      </c>
      <c r="M120" s="298"/>
      <c r="N120" s="298"/>
      <c r="O120" s="298"/>
      <c r="P120" s="299" t="s">
        <v>150</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129</v>
      </c>
      <c r="BY120" s="6">
        <v>1.4E-3</v>
      </c>
      <c r="BZ120" s="208" t="str">
        <f t="shared" si="192"/>
        <v>A</v>
      </c>
      <c r="CA120" s="180">
        <v>2</v>
      </c>
      <c r="CB120" s="78">
        <f t="shared" si="230"/>
        <v>6.9999999999999999E-4</v>
      </c>
      <c r="CC120" s="4"/>
      <c r="CD120" s="73" t="s">
        <v>131</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150</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129</v>
      </c>
      <c r="BY121" s="215">
        <v>1.4E-3</v>
      </c>
      <c r="BZ121" s="74" t="str">
        <f t="shared" si="192"/>
        <v>A</v>
      </c>
      <c r="CA121" s="212">
        <v>2</v>
      </c>
      <c r="CB121" s="213">
        <f t="shared" ref="CB121" si="256">BY121/CA121</f>
        <v>6.9999999999999999E-4</v>
      </c>
      <c r="CC121" s="4"/>
      <c r="CD121" s="73" t="s">
        <v>131</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125</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130</v>
      </c>
      <c r="CK123" s="364"/>
      <c r="CL123" s="364"/>
      <c r="CM123" s="364"/>
      <c r="CN123" s="365"/>
      <c r="CO123" s="2"/>
      <c r="CP123" s="363" t="s">
        <v>130</v>
      </c>
      <c r="CQ123" s="364"/>
      <c r="CR123" s="364"/>
      <c r="CS123" s="364"/>
      <c r="CT123" s="365"/>
      <c r="CV123" s="363" t="s">
        <v>71</v>
      </c>
      <c r="CW123" s="364"/>
      <c r="CX123" s="364"/>
      <c r="CY123" s="364"/>
      <c r="CZ123" s="365"/>
      <c r="DB123" s="351" t="s">
        <v>117</v>
      </c>
      <c r="DC123" s="352"/>
      <c r="DD123" s="354" t="s">
        <v>118</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147</v>
      </c>
      <c r="G126" s="294"/>
      <c r="H126" s="294"/>
      <c r="I126" s="294"/>
      <c r="J126" s="294"/>
      <c r="K126" s="295"/>
      <c r="L126" s="297">
        <f>600*90%</f>
        <v>540</v>
      </c>
      <c r="M126" s="298"/>
      <c r="N126" s="298"/>
      <c r="O126" s="298"/>
      <c r="P126" s="299" t="s">
        <v>149</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129</v>
      </c>
      <c r="BY126" s="205">
        <v>1.7</v>
      </c>
      <c r="BZ126" s="71" t="str">
        <f t="shared" ref="BZ126:BZ137" si="262">P126</f>
        <v>µA</v>
      </c>
      <c r="CA126" s="191">
        <v>2</v>
      </c>
      <c r="CB126" s="77">
        <f t="shared" ref="CB126:CB129" si="263">BY126/CA126</f>
        <v>0.85</v>
      </c>
      <c r="CC126" s="4"/>
      <c r="CD126" s="70" t="s">
        <v>131</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149</v>
      </c>
      <c r="Q127" s="299"/>
      <c r="R127" s="300"/>
      <c r="S127" s="301" t="s">
        <v>144</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129</v>
      </c>
      <c r="BY127" s="205">
        <v>1.7</v>
      </c>
      <c r="BZ127" s="1" t="str">
        <f t="shared" si="262"/>
        <v>µA</v>
      </c>
      <c r="CA127" s="180">
        <v>2</v>
      </c>
      <c r="CB127" s="78">
        <f t="shared" si="263"/>
        <v>0.85</v>
      </c>
      <c r="CC127" s="4"/>
      <c r="CD127" s="72" t="s">
        <v>131</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161</v>
      </c>
      <c r="G128" s="294"/>
      <c r="H128" s="294"/>
      <c r="I128" s="294"/>
      <c r="J128" s="294"/>
      <c r="K128" s="295"/>
      <c r="L128" s="297">
        <f>6000*90%</f>
        <v>5400</v>
      </c>
      <c r="M128" s="298"/>
      <c r="N128" s="298"/>
      <c r="O128" s="298"/>
      <c r="P128" s="299" t="s">
        <v>149</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129</v>
      </c>
      <c r="BY128" s="192">
        <v>13</v>
      </c>
      <c r="BZ128" s="1" t="str">
        <f t="shared" si="262"/>
        <v>µA</v>
      </c>
      <c r="CA128" s="180">
        <v>2</v>
      </c>
      <c r="CB128" s="78">
        <f t="shared" si="263"/>
        <v>6.5</v>
      </c>
      <c r="CC128" s="4"/>
      <c r="CD128" s="72" t="s">
        <v>131</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149</v>
      </c>
      <c r="Q129" s="299"/>
      <c r="R129" s="300"/>
      <c r="S129" s="301" t="s">
        <v>144</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129</v>
      </c>
      <c r="BY129" s="192">
        <v>13</v>
      </c>
      <c r="BZ129" s="208" t="str">
        <f t="shared" si="262"/>
        <v>µA</v>
      </c>
      <c r="CA129" s="206">
        <v>2</v>
      </c>
      <c r="CB129" s="78">
        <f t="shared" si="263"/>
        <v>6.5</v>
      </c>
      <c r="CC129" s="4"/>
      <c r="CD129" s="73" t="s">
        <v>131</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148</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129</v>
      </c>
      <c r="BY130" s="192">
        <v>0.22</v>
      </c>
      <c r="BZ130" s="1" t="str">
        <f t="shared" si="262"/>
        <v>mA</v>
      </c>
      <c r="CA130" s="180">
        <v>2</v>
      </c>
      <c r="CB130" s="209">
        <f t="shared" ref="CB130:CB133" si="286">BY130/CA130</f>
        <v>0.11</v>
      </c>
      <c r="CC130" s="4"/>
      <c r="CD130" s="70" t="s">
        <v>131</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129</v>
      </c>
      <c r="BY131" s="192">
        <v>0.22</v>
      </c>
      <c r="BZ131" s="1" t="str">
        <f t="shared" si="262"/>
        <v>mA</v>
      </c>
      <c r="CA131" s="180">
        <v>2</v>
      </c>
      <c r="CB131" s="78">
        <f t="shared" si="286"/>
        <v>0.11</v>
      </c>
      <c r="CC131" s="4"/>
      <c r="CD131" s="72" t="s">
        <v>131</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151</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129</v>
      </c>
      <c r="BY132" s="192">
        <v>0.72</v>
      </c>
      <c r="BZ132" s="1" t="str">
        <f t="shared" si="262"/>
        <v>mA</v>
      </c>
      <c r="CA132" s="180">
        <v>2</v>
      </c>
      <c r="CB132" s="78">
        <f t="shared" si="286"/>
        <v>0.36</v>
      </c>
      <c r="CC132" s="4"/>
      <c r="CD132" s="72" t="s">
        <v>131</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144</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129</v>
      </c>
      <c r="BY133" s="192">
        <v>0.72</v>
      </c>
      <c r="BZ133" s="1" t="str">
        <f t="shared" si="262"/>
        <v>mA</v>
      </c>
      <c r="CA133" s="206">
        <v>2</v>
      </c>
      <c r="CB133" s="207">
        <f t="shared" si="286"/>
        <v>0.36</v>
      </c>
      <c r="CC133" s="4"/>
      <c r="CD133" s="73" t="s">
        <v>131</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150</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129</v>
      </c>
      <c r="BY134" s="226">
        <v>0.01</v>
      </c>
      <c r="BZ134" s="76" t="str">
        <f t="shared" si="262"/>
        <v>A</v>
      </c>
      <c r="CA134" s="180">
        <v>2</v>
      </c>
      <c r="CB134" s="78">
        <f t="shared" ref="CB134:CB135" si="304">BY134/CA134</f>
        <v>5.0000000000000001E-3</v>
      </c>
      <c r="CC134" s="4"/>
      <c r="CD134" s="70" t="s">
        <v>131</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150</v>
      </c>
      <c r="Q135" s="299"/>
      <c r="R135" s="300"/>
      <c r="S135" s="301" t="s">
        <v>144</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129</v>
      </c>
      <c r="BY135" s="224">
        <v>1.0999999999999999E-2</v>
      </c>
      <c r="BZ135" s="1" t="str">
        <f t="shared" si="262"/>
        <v>A</v>
      </c>
      <c r="CA135" s="180">
        <v>2</v>
      </c>
      <c r="CB135" s="78">
        <f t="shared" si="304"/>
        <v>5.4999999999999997E-3</v>
      </c>
      <c r="CC135" s="4"/>
      <c r="CD135" s="72" t="s">
        <v>131</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143</v>
      </c>
      <c r="G136" s="305"/>
      <c r="H136" s="305"/>
      <c r="I136" s="305"/>
      <c r="J136" s="305"/>
      <c r="K136" s="306"/>
      <c r="L136" s="297">
        <f>10*90%</f>
        <v>9</v>
      </c>
      <c r="M136" s="298"/>
      <c r="N136" s="298"/>
      <c r="O136" s="298"/>
      <c r="P136" s="299" t="s">
        <v>150</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129</v>
      </c>
      <c r="BY136" s="226">
        <v>0.01</v>
      </c>
      <c r="BZ136" s="1" t="str">
        <f t="shared" si="262"/>
        <v>A</v>
      </c>
      <c r="CA136" s="180">
        <v>2</v>
      </c>
      <c r="CB136" s="78">
        <f t="shared" ref="CB136:CB137" si="320">BY136/CA136</f>
        <v>5.0000000000000001E-3</v>
      </c>
      <c r="CC136" s="4"/>
      <c r="CD136" s="72" t="s">
        <v>131</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150</v>
      </c>
      <c r="Q137" s="299"/>
      <c r="R137" s="300"/>
      <c r="S137" s="301" t="s">
        <v>144</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129</v>
      </c>
      <c r="BY137" s="224">
        <v>1.0999999999999999E-2</v>
      </c>
      <c r="BZ137" s="74" t="str">
        <f t="shared" si="262"/>
        <v>A</v>
      </c>
      <c r="CA137" s="182">
        <v>2</v>
      </c>
      <c r="CB137" s="79">
        <f t="shared" si="320"/>
        <v>5.4999999999999997E-3</v>
      </c>
      <c r="CC137" s="4"/>
      <c r="CD137" s="73" t="s">
        <v>131</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156</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45756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133</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153</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119</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125</v>
      </c>
      <c r="I3" s="470"/>
      <c r="J3" s="470"/>
      <c r="K3" s="470"/>
      <c r="L3" s="470"/>
      <c r="M3" s="458"/>
      <c r="N3" s="457" t="s">
        <v>126</v>
      </c>
      <c r="O3" s="470"/>
      <c r="P3" s="470"/>
      <c r="Q3" s="470"/>
      <c r="R3" s="470"/>
      <c r="S3" s="470"/>
      <c r="T3" s="470"/>
      <c r="U3" s="470"/>
      <c r="V3" s="470"/>
      <c r="W3" s="458"/>
      <c r="X3" s="448" t="s">
        <v>120</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123</v>
      </c>
      <c r="O7" s="463"/>
      <c r="P7" s="463" t="s">
        <v>76</v>
      </c>
      <c r="Q7" s="463"/>
      <c r="R7" s="463" t="s">
        <v>78</v>
      </c>
      <c r="S7" s="463"/>
      <c r="T7" s="466" t="s">
        <v>124</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120</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121</v>
      </c>
      <c r="O29" s="463"/>
      <c r="P29" s="463" t="s">
        <v>76</v>
      </c>
      <c r="Q29" s="463"/>
      <c r="R29" s="463" t="s">
        <v>78</v>
      </c>
      <c r="S29" s="463"/>
      <c r="T29" s="466" t="s">
        <v>122</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120</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121</v>
      </c>
      <c r="O51" s="463"/>
      <c r="P51" s="463" t="s">
        <v>76</v>
      </c>
      <c r="Q51" s="463"/>
      <c r="R51" s="463" t="s">
        <v>78</v>
      </c>
      <c r="S51" s="463"/>
      <c r="T51" s="466" t="s">
        <v>122</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120</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121</v>
      </c>
      <c r="O62" s="463"/>
      <c r="P62" s="463" t="s">
        <v>76</v>
      </c>
      <c r="Q62" s="463"/>
      <c r="R62" s="463" t="s">
        <v>78</v>
      </c>
      <c r="S62" s="463"/>
      <c r="T62" s="466" t="s">
        <v>122</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120</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121</v>
      </c>
      <c r="O69" s="463"/>
      <c r="P69" s="463" t="s">
        <v>76</v>
      </c>
      <c r="Q69" s="463"/>
      <c r="R69" s="463" t="s">
        <v>78</v>
      </c>
      <c r="S69" s="463"/>
      <c r="T69" s="466" t="s">
        <v>122</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2025-09-04T01:03:07Z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