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<sst xmlns="http://schemas.openxmlformats.org/spreadsheetml/2006/main" count="923" uniqueCount="179">
  <si>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</si>
  <si>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</si>
  <si>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</si>
  <si>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</si>
  <si>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</si>
  <si>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</si>
  <si>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</si>
  <si>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</si>
  <si>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</si>
  <si>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</si>
  <si>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</si>
  <si>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</si>
  <si>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</si>
  <si>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</si>
  <si>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</si>
  <si>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</si>
  <si>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</si>
  <si>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</si>
  <si>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</si>
  <si>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</si>
  <si>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</si>
  <si>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</si>
  <si>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</si>
  <si>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</si>
  <si>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</si>
  <si>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</si>
  <si>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</si>
  <si>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</si>
  <si>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</si>
  <si>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</si>
  <si>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</si>
  <si>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</si>
  <si>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</si>
  <si>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</si>
  <si>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</si>
  <si>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</si>
  <si>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</si>
  <si>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</si>
  <si>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</si>
  <si>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</si>
  <si>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</si>
  <si>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</si>
  <si>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</si>
  <si>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</si>
  <si>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</si>
  <si>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</si>
  <si>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</si>
  <si>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</si>
  <si>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</si>
  <si>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</si>
  <si>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</si>
  <si>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</si>
  <si>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</si>
  <si>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</si>
  <si>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</si>
  <si>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</si>
  <si>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</si>
  <si>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</si>
  <si>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</si>
  <si>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</si>
  <si>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</si>
  <si>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</si>
  <si>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</si>
  <si>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</si>
  <si>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</si>
  <si>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</si>
  <si>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</si>
  <si>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</si>
  <si>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</si>
  <si>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</si>
  <si>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</si>
  <si>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</si>
  <si>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</si>
  <si>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</si>
  <si>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</si>
  <si>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</si>
  <si>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</si>
  <si>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</si>
  <si>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</si>
  <si>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</si>
  <si>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</si>
  <si>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</si>
  <si>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</si>
  <si>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</si>
  <si>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</si>
  <si>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</si>
  <si>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</si>
  <si>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</si>
  <si>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</si>
  <si>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</si>
  <si>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</si>
  <si>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</si>
  <si>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</si>
  <si>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</si>
  <si>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</si>
  <si>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</si>
  <si>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</si>
  <si>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</si>
  <si>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</si>
  <si>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</si>
  <si>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</si>
  <si>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</si>
  <si>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</si>
  <si>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</si>
  <si>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</si>
  <si>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</si>
  <si>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</si>
  <si>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</si>
  <si>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</si>
  <si>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</si>
  <si>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</si>
  <si>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</si>
  <si>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</si>
  <si>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</si>
  <si>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</si>
  <si>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</si>
  <si>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</si>
  <si>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</si>
  <si>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</si>
  <si>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</si>
  <si>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</si>
  <si>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</si>
  <si>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</si>
  <si>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</si>
  <si>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</si>
  <si>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</si>
  <si>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</si>
  <si>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</si>
  <si>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</si>
  <si>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</si>
  <si>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</si>
  <si>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</si>
  <si>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</si>
  <si>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</si>
  <si>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</si>
  <si>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</si>
  <si>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</si>
  <si>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</si>
  <si>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</si>
  <si>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</si>
  <si>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</si>
  <si>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</si>
  <si>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</si>
  <si>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</si>
  <si>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</si>
  <si>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</si>
  <si>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</si>
  <si>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</si>
  <si>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</si>
  <si>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</si>
  <si>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</si>
  <si>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</si>
  <si>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</si>
  <si>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</si>
  <si>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</si>
  <si>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</si>
  <si>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</si>
  <si>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</si>
  <si>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</si>
  <si>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</si>
  <si>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</si>
  <si>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</si>
  <si>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True RMS Multimeter</t>
  </si>
  <si>
    <t>Fluke</t>
  </si>
  <si>
    <t>Fluke 114</t>
  </si>
  <si>
    <t>fsdfsdf</t>
  </si>
  <si>
    <t>See Specification Sheet</t>
  </si>
  <si>
    <t>NA</t>
  </si>
  <si>
    <t>NEW5</t>
  </si>
  <si>
    <t>x</t>
  </si>
  <si>
    <t>Tuesday, 9 September 2025</t>
  </si>
  <si>
    <t>dfsfsf</t>
  </si>
  <si>
    <t>fsdfsfsf</t>
  </si>
  <si>
    <t>fsdf</t>
  </si>
  <si>
    <t>fghfghf</t>
  </si>
  <si>
    <t>fhgfhk</t>
  </si>
  <si>
    <t>udtyyth</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</si>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</sst>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NEW5</v>
      </c>
      <c r="E10" s="19"/>
      <c r="F10" s="19"/>
      <c r="G10" s="19"/>
      <c r="H10" s="19"/>
      <c r="I10" s="19"/>
      <c r="J10" s="19"/>
      <c r="K10" s="19"/>
      <c r="L10" s="19"/>
      <c r="M10" s="19"/>
      <c r="N10" s="19"/>
      <c r="P10" s="19" t="str">
        <f>IF(DataSheet!AE25="x","SONJU ENGINEERING SERVICES",D10)</f>
        <v>NEW5</v>
      </c>
      <c r="Q10" s="19"/>
      <c r="R10" s="19"/>
      <c r="S10" s="19"/>
      <c r="T10" s="19"/>
      <c r="U10" s="19"/>
      <c r="V10" s="19"/>
      <c r="W10" s="19"/>
      <c r="X10" s="19"/>
      <c r="Y10" s="19"/>
      <c r="Z10" s="19"/>
    </row>
    <row r="11" spans="3:26" ht="12.95" customHeight="1">
      <c r="C11" s="21"/>
      <c r="D11" s="248" t="str">
        <f>DataSheet!H27</f>
        <v>NEW5</v>
      </c>
      <c r="E11" s="248"/>
      <c r="F11" s="248"/>
      <c r="G11" s="248"/>
      <c r="H11" s="248"/>
      <c r="I11" s="248"/>
      <c r="J11" s="248"/>
      <c r="K11" s="248"/>
      <c r="L11" s="248"/>
      <c r="M11" s="248"/>
      <c r="N11" s="25"/>
      <c r="O11" s="25"/>
      <c r="P11" s="248" t="str">
        <f>IF(DataSheet!AE25="x",DataSheet!AG29,DataSheet!AG29)</f>
        <v>NEW5</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Fluke</v>
      </c>
      <c r="I15" s="245"/>
      <c r="J15" s="245"/>
      <c r="K15" s="245"/>
      <c r="L15" s="245"/>
      <c r="M15" s="245"/>
      <c r="N15" s="26"/>
      <c r="O15" s="21" t="s">
        <v>5</v>
      </c>
      <c r="T15" s="20" t="str">
        <f>DataSheet!K9</f>
        <v>True RMS Multimeter</v>
      </c>
    </row>
    <row r="16" spans="3:26" ht="15" customHeight="1">
      <c r="C16" s="21" t="s">
        <v>6</v>
      </c>
      <c r="H16" s="245" t="str">
        <f>DataSheet!K13</f>
        <v>Fluke 114</v>
      </c>
      <c r="I16" s="245"/>
      <c r="J16" s="245"/>
      <c r="K16" s="245"/>
      <c r="L16" s="245"/>
      <c r="M16" s="245"/>
      <c r="N16" s="26"/>
      <c r="O16" s="21" t="s">
        <v>7</v>
      </c>
      <c r="T16" s="245" t="str">
        <f>DataSheet!AL13</f>
        <v>fsdfsdf</v>
      </c>
      <c r="U16" s="245"/>
      <c r="V16" s="245"/>
      <c r="W16" s="245"/>
      <c r="X16" s="245"/>
      <c r="Y16" s="245"/>
      <c r="Z16" s="245"/>
    </row>
    <row r="17" spans="1:26" ht="15" customHeight="1">
      <c r="C17" s="27" t="s">
        <v>8</v>
      </c>
      <c r="H17" s="246" t="str">
        <f>DataSheet!K15</f>
        <v>fsdfsdf</v>
      </c>
      <c r="I17" s="245"/>
      <c r="J17" s="245"/>
      <c r="K17" s="245"/>
      <c r="L17" s="245"/>
      <c r="M17" s="245"/>
      <c r="N17" s="26"/>
      <c r="O17" s="21" t="s">
        <v>9</v>
      </c>
      <c r="T17" s="245" t="str">
        <f>DataSheet!AL17</f>
        <v>fsdfsdf</v>
      </c>
      <c r="U17" s="245"/>
      <c r="V17" s="245"/>
      <c r="W17" s="245"/>
      <c r="X17" s="245"/>
      <c r="Y17" s="245"/>
      <c r="Z17" s="245"/>
    </row>
    <row r="18" spans="1:26" ht="15" customHeight="1">
      <c r="C18" s="21" t="s">
        <v>10</v>
      </c>
      <c r="H18" s="247">
        <f>DataSheet!AL11</f>
        <v>46000</v>
      </c>
      <c r="I18" s="247"/>
      <c r="J18" s="247"/>
      <c r="K18" s="247"/>
      <c r="L18" s="247"/>
      <c r="M18" s="247"/>
      <c r="N18" s="26"/>
      <c r="O18" s="21" t="s">
        <v>11</v>
      </c>
      <c r="T18" s="245" t="str">
        <f>DataSheet!L7</f>
        <v>5465-09</v>
      </c>
      <c r="U18" s="245"/>
      <c r="V18" s="245"/>
      <c r="W18" s="245"/>
      <c r="X18" s="245"/>
      <c r="Y18" s="245"/>
      <c r="Z18" s="245"/>
    </row>
    <row r="19" spans="1:26" ht="15" customHeight="1">
      <c r="C19" s="21" t="s">
        <v>133</v>
      </c>
      <c r="H19" s="250">
        <f>DataSheet!AL9</f>
        <v>45909</v>
      </c>
      <c r="I19" s="250"/>
      <c r="J19" s="250"/>
      <c r="K19" s="250"/>
      <c r="L19" s="250"/>
      <c r="M19" s="250"/>
      <c r="N19" s="250"/>
      <c r="O19" s="21" t="s">
        <v>12</v>
      </c>
      <c r="T19" s="245" t="str">
        <f>DataSheet!AL15</f>
        <v>fsdfsdf</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126</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155</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t="str">
        <f>DataSheet!B33</f>
        <v>fsdfsdf</v>
      </c>
      <c r="E42" s="238"/>
      <c r="F42" s="238"/>
      <c r="G42" s="238"/>
      <c r="H42" s="238"/>
      <c r="I42" s="238"/>
      <c r="J42" s="238" t="str">
        <f>DataSheet!Q33</f>
        <v>fsdfsdf</v>
      </c>
      <c r="K42" s="238"/>
      <c r="L42" s="238"/>
      <c r="M42" s="238"/>
      <c r="N42" s="238"/>
      <c r="O42" s="238"/>
      <c r="P42" s="241" t="str">
        <f>DataSheet!AB33</f>
        <v>fsdfsdf</v>
      </c>
      <c r="Q42" s="241"/>
      <c r="R42" s="241"/>
      <c r="S42" s="241"/>
      <c r="T42" s="241"/>
      <c r="U42" s="241"/>
      <c r="V42" s="242" t="str">
        <f>DataSheet!AO33</f>
        <v>Tuesday, 9 September 2025</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51">
        <f>EDATE(DataSheet!AL11,12)</f>
        <v>46365</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DANICA BEA NERI</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151</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e">
        <f>CONCATENATE(TEXT(DataSheet!AM55,"0.0")," ",DataSheet!P55)</f>
        <v>#DIV/0!</v>
      </c>
      <c r="N70" s="238"/>
      <c r="O70" s="238"/>
      <c r="P70" s="238"/>
      <c r="Q70" s="238" t="e">
        <f>CONCATENATE(TEXT(DataSheet!AR55,"0.0")," ",DataSheet!P55)</f>
        <v>#DIV/0!</v>
      </c>
      <c r="R70" s="238"/>
      <c r="S70" s="238"/>
      <c r="T70" s="238"/>
      <c r="U70" s="238" t="e">
        <f>CONCATENATE(," ",TEXT(DataSheet!DD55,"0.000")," ",DataSheet!CZ55)</f>
        <v>#DIV/0!</v>
      </c>
      <c r="V70" s="238"/>
      <c r="W70" s="238"/>
      <c r="X70" s="238"/>
    </row>
    <row r="71" spans="3:24" ht="15" customHeight="1">
      <c r="C71" s="19"/>
      <c r="E71" s="238"/>
      <c r="F71" s="238"/>
      <c r="G71" s="238"/>
      <c r="H71" s="238"/>
      <c r="I71" s="238" t="str">
        <f>CONCATENATE(DataSheet!L56," ",DataSheet!P56)</f>
        <v>540 mV</v>
      </c>
      <c r="J71" s="238"/>
      <c r="K71" s="238"/>
      <c r="L71" s="238"/>
      <c r="M71" s="238" t="e">
        <f>CONCATENATE(TEXT(DataSheet!AM56,"0.0")," ",DataSheet!P56)</f>
        <v>#DIV/0!</v>
      </c>
      <c r="N71" s="238"/>
      <c r="O71" s="238"/>
      <c r="P71" s="238"/>
      <c r="Q71" s="238" t="e">
        <f>CONCATENATE(TEXT(DataSheet!AR56,"0.0")," ",DataSheet!P56)</f>
        <v>#DIV/0!</v>
      </c>
      <c r="R71" s="238"/>
      <c r="S71" s="238"/>
      <c r="T71" s="238"/>
      <c r="U71" s="238" t="e">
        <f>CONCATENATE(," ",TEXT(DataSheet!DD56,"0.000")," ",DataSheet!CZ56)</f>
        <v>#DIV/0!</v>
      </c>
      <c r="V71" s="238"/>
      <c r="W71" s="238"/>
      <c r="X71" s="238"/>
    </row>
    <row r="72" spans="3:24" ht="15" customHeight="1">
      <c r="C72" s="19"/>
      <c r="E72" s="238"/>
      <c r="F72" s="238"/>
      <c r="G72" s="238"/>
      <c r="H72" s="238"/>
      <c r="I72" s="238" t="str">
        <f>CONCATENATE(DataSheet!L57," ",DataSheet!P57)</f>
        <v>-540 mV</v>
      </c>
      <c r="J72" s="238"/>
      <c r="K72" s="238"/>
      <c r="L72" s="238"/>
      <c r="M72" s="238" t="e">
        <f>CONCATENATE(TEXT(DataSheet!AM57,"0.0")," ",DataSheet!P57)</f>
        <v>#DIV/0!</v>
      </c>
      <c r="N72" s="238"/>
      <c r="O72" s="238"/>
      <c r="P72" s="238"/>
      <c r="Q72" s="238" t="e">
        <f>CONCATENATE(TEXT(DataSheet!AR57,"0.0")," ",DataSheet!P57)</f>
        <v>#DIV/0!</v>
      </c>
      <c r="R72" s="238"/>
      <c r="S72" s="238"/>
      <c r="T72" s="238"/>
      <c r="U72" s="238" t="e">
        <f>CONCATENATE(," ",TEXT(DataSheet!DD57,"0.000")," ",DataSheet!CZ57)</f>
        <v>#DIV/0!</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e">
        <f>CONCATENATE(TEXT(DataSheet!AM58,"0.000")," ",DataSheet!P58)</f>
        <v>#DIV/0!</v>
      </c>
      <c r="N73" s="238"/>
      <c r="O73" s="238"/>
      <c r="P73" s="238"/>
      <c r="Q73" s="238" t="e">
        <f>CONCATENATE(TEXT(DataSheet!AR58,"0.000")," ",DataSheet!P58)</f>
        <v>#DIV/0!</v>
      </c>
      <c r="R73" s="238"/>
      <c r="S73" s="238"/>
      <c r="T73" s="238"/>
      <c r="U73" s="238" t="e">
        <f>CONCATENATE(" ",TEXT(DataSheet!DD58,"0.000 00")," ",DataSheet!CZ58)</f>
        <v>#DIV/0!</v>
      </c>
      <c r="V73" s="238"/>
      <c r="W73" s="238"/>
      <c r="X73" s="238"/>
    </row>
    <row r="74" spans="3:24" ht="15" customHeight="1">
      <c r="C74" s="19"/>
      <c r="E74" s="238"/>
      <c r="F74" s="238"/>
      <c r="G74" s="238"/>
      <c r="H74" s="238"/>
      <c r="I74" s="238" t="str">
        <f>CONCATENATE(DataSheet!L59," ",DataSheet!P59)</f>
        <v>5.4 V</v>
      </c>
      <c r="J74" s="238"/>
      <c r="K74" s="238"/>
      <c r="L74" s="238"/>
      <c r="M74" s="238" t="e">
        <f>CONCATENATE(TEXT(DataSheet!AM59,"0.000")," ",DataSheet!P59)</f>
        <v>#DIV/0!</v>
      </c>
      <c r="N74" s="238"/>
      <c r="O74" s="238"/>
      <c r="P74" s="238"/>
      <c r="Q74" s="238" t="e">
        <f>CONCATENATE(TEXT(DataSheet!AR59,"0.000")," ",DataSheet!P59)</f>
        <v>#DIV/0!</v>
      </c>
      <c r="R74" s="238"/>
      <c r="S74" s="238"/>
      <c r="T74" s="238"/>
      <c r="U74" s="238" t="e">
        <f>CONCATENATE(" ",TEXT(DataSheet!DD59,"0.000 00")," ",DataSheet!CZ59)</f>
        <v>#DIV/0!</v>
      </c>
      <c r="V74" s="238"/>
      <c r="W74" s="238"/>
      <c r="X74" s="238"/>
    </row>
    <row r="75" spans="3:24" ht="15" customHeight="1">
      <c r="C75" s="19"/>
      <c r="E75" s="238"/>
      <c r="F75" s="238"/>
      <c r="G75" s="238"/>
      <c r="H75" s="238"/>
      <c r="I75" s="238" t="str">
        <f>CONCATENATE(DataSheet!L60," ",DataSheet!P60)</f>
        <v>-5.4 V</v>
      </c>
      <c r="J75" s="238"/>
      <c r="K75" s="238"/>
      <c r="L75" s="238"/>
      <c r="M75" s="238" t="e">
        <f>CONCATENATE(TEXT(DataSheet!AM60,"0.000")," ",DataSheet!P60)</f>
        <v>#DIV/0!</v>
      </c>
      <c r="N75" s="238"/>
      <c r="O75" s="238"/>
      <c r="P75" s="238"/>
      <c r="Q75" s="238" t="e">
        <f>CONCATENATE(TEXT(DataSheet!AR60,"0.000")," ",DataSheet!P60)</f>
        <v>#DIV/0!</v>
      </c>
      <c r="R75" s="238"/>
      <c r="S75" s="238"/>
      <c r="T75" s="238"/>
      <c r="U75" s="238" t="e">
        <f>CONCATENATE(" ",TEXT(DataSheet!DD60,"0.000 00")," ",DataSheet!CZ60)</f>
        <v>#DIV/0!</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e">
        <f>CONCATENATE(TEXT(DataSheet!AM61,"0.00")," ",DataSheet!P61)</f>
        <v>#DIV/0!</v>
      </c>
      <c r="N76" s="238"/>
      <c r="O76" s="238"/>
      <c r="P76" s="238"/>
      <c r="Q76" s="238" t="e">
        <f>CONCATENATE(TEXT(DataSheet!AR61,"0.00")," ",DataSheet!P61)</f>
        <v>#DIV/0!</v>
      </c>
      <c r="R76" s="238"/>
      <c r="S76" s="238"/>
      <c r="T76" s="238"/>
      <c r="U76" s="238" t="e">
        <f>CONCATENATE(" ",TEXT(DataSheet!DD61,"0.000 0")," ",DataSheet!CZ61)</f>
        <v>#DIV/0!</v>
      </c>
      <c r="V76" s="238"/>
      <c r="W76" s="238"/>
      <c r="X76" s="238"/>
    </row>
    <row r="77" spans="3:24" ht="15" customHeight="1">
      <c r="C77" s="19"/>
      <c r="E77" s="238"/>
      <c r="F77" s="238"/>
      <c r="G77" s="238"/>
      <c r="H77" s="238"/>
      <c r="I77" s="238" t="str">
        <f>CONCATENATE(DataSheet!L62," ",DataSheet!P62)</f>
        <v>30 V</v>
      </c>
      <c r="J77" s="238"/>
      <c r="K77" s="238"/>
      <c r="L77" s="238"/>
      <c r="M77" s="238" t="e">
        <f>CONCATENATE(TEXT(DataSheet!AM62,"0.00")," ",DataSheet!P62)</f>
        <v>#DIV/0!</v>
      </c>
      <c r="N77" s="238"/>
      <c r="O77" s="238"/>
      <c r="P77" s="238"/>
      <c r="Q77" s="238" t="e">
        <f>CONCATENATE(TEXT(DataSheet!AR62,"0.00")," ",DataSheet!P62)</f>
        <v>#DIV/0!</v>
      </c>
      <c r="R77" s="238"/>
      <c r="S77" s="238"/>
      <c r="T77" s="238"/>
      <c r="U77" s="238" t="e">
        <f>CONCATENATE(" ",TEXT(DataSheet!DD62,"0.000 0")," ",DataSheet!CZ62)</f>
        <v>#DIV/0!</v>
      </c>
      <c r="V77" s="238"/>
      <c r="W77" s="238"/>
      <c r="X77" s="238"/>
    </row>
    <row r="78" spans="3:24" ht="15" customHeight="1">
      <c r="C78" s="19"/>
      <c r="E78" s="238"/>
      <c r="F78" s="238"/>
      <c r="G78" s="238"/>
      <c r="H78" s="238"/>
      <c r="I78" s="238" t="str">
        <f>CONCATENATE(DataSheet!L63," ",DataSheet!P63)</f>
        <v>54 V</v>
      </c>
      <c r="J78" s="238"/>
      <c r="K78" s="238"/>
      <c r="L78" s="238"/>
      <c r="M78" s="238" t="e">
        <f>CONCATENATE(TEXT(DataSheet!AM63,"0.00")," ",DataSheet!P63)</f>
        <v>#DIV/0!</v>
      </c>
      <c r="N78" s="238"/>
      <c r="O78" s="238"/>
      <c r="P78" s="238"/>
      <c r="Q78" s="238" t="e">
        <f>CONCATENATE(TEXT(DataSheet!AR63,"0.00")," ",DataSheet!P63)</f>
        <v>#DIV/0!</v>
      </c>
      <c r="R78" s="238"/>
      <c r="S78" s="238"/>
      <c r="T78" s="238"/>
      <c r="U78" s="238" t="e">
        <f>CONCATENATE(" ",TEXT(DataSheet!DD63,"0.000 0")," ",DataSheet!CZ63)</f>
        <v>#DIV/0!</v>
      </c>
      <c r="V78" s="238"/>
      <c r="W78" s="238"/>
      <c r="X78" s="238"/>
    </row>
    <row r="79" spans="3:24" ht="15" customHeight="1">
      <c r="C79" s="19"/>
      <c r="E79" s="238"/>
      <c r="F79" s="238"/>
      <c r="G79" s="238"/>
      <c r="H79" s="238"/>
      <c r="I79" s="238" t="str">
        <f>CONCATENATE(DataSheet!L64," ",DataSheet!P64)</f>
        <v>-6 V</v>
      </c>
      <c r="J79" s="238"/>
      <c r="K79" s="238"/>
      <c r="L79" s="238"/>
      <c r="M79" s="238" t="e">
        <f>CONCATENATE(TEXT(DataSheet!AM64,"0.00")," ",DataSheet!P64)</f>
        <v>#DIV/0!</v>
      </c>
      <c r="N79" s="238"/>
      <c r="O79" s="238"/>
      <c r="P79" s="238"/>
      <c r="Q79" s="238" t="e">
        <f>CONCATENATE(TEXT(DataSheet!AR64,"0.00")," ",DataSheet!P64)</f>
        <v>#DIV/0!</v>
      </c>
      <c r="R79" s="238"/>
      <c r="S79" s="238"/>
      <c r="T79" s="238"/>
      <c r="U79" s="238" t="e">
        <f>CONCATENATE(" ",TEXT(DataSheet!DD64,"0.000 0")," ",DataSheet!CZ64)</f>
        <v>#DIV/0!</v>
      </c>
      <c r="V79" s="238"/>
      <c r="W79" s="238"/>
      <c r="X79" s="238"/>
    </row>
    <row r="80" spans="3:24" ht="15" customHeight="1">
      <c r="C80" s="19"/>
      <c r="E80" s="238"/>
      <c r="F80" s="238"/>
      <c r="G80" s="238"/>
      <c r="H80" s="238"/>
      <c r="I80" s="238" t="str">
        <f>CONCATENATE(DataSheet!L65," ",DataSheet!P65)</f>
        <v>-54 V</v>
      </c>
      <c r="J80" s="238"/>
      <c r="K80" s="238"/>
      <c r="L80" s="238"/>
      <c r="M80" s="238" t="e">
        <f>CONCATENATE(TEXT(DataSheet!AM65,"0.00")," ",DataSheet!P65)</f>
        <v>#DIV/0!</v>
      </c>
      <c r="N80" s="238"/>
      <c r="O80" s="238"/>
      <c r="P80" s="238"/>
      <c r="Q80" s="238" t="e">
        <f>CONCATENATE(TEXT(DataSheet!AR65,"0.00")," ",DataSheet!P65)</f>
        <v>#DIV/0!</v>
      </c>
      <c r="R80" s="238"/>
      <c r="S80" s="238"/>
      <c r="T80" s="238"/>
      <c r="U80" s="238" t="e">
        <f>CONCATENATE(" ",TEXT(DataSheet!DD65,"0.000 0")," ",DataSheet!CZ65)</f>
        <v>#DIV/0!</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e">
        <f>CONCATENATE(TEXT(DataSheet!AM66,"0.0")," ",DataSheet!P66)</f>
        <v>#DIV/0!</v>
      </c>
      <c r="N81" s="238"/>
      <c r="O81" s="238"/>
      <c r="P81" s="238"/>
      <c r="Q81" s="238" t="e">
        <f>CONCATENATE(TEXT(DataSheet!AR66,"0.0")," ",DataSheet!P66)</f>
        <v>#DIV/0!</v>
      </c>
      <c r="R81" s="238"/>
      <c r="S81" s="238"/>
      <c r="T81" s="238"/>
      <c r="U81" s="254" t="e">
        <f>CONCATENATE(" ",TEXT(DataSheet!DD66,"0.000")," ",DataSheet!CZ66)</f>
        <v>#DIV/0!</v>
      </c>
      <c r="V81" s="255"/>
      <c r="W81" s="255"/>
      <c r="X81" s="256"/>
    </row>
    <row r="82" spans="3:24" ht="15" customHeight="1">
      <c r="C82" s="19"/>
      <c r="E82" s="238"/>
      <c r="F82" s="238"/>
      <c r="G82" s="238"/>
      <c r="H82" s="238"/>
      <c r="I82" s="238" t="str">
        <f>CONCATENATE(DataSheet!L67," ",DataSheet!P67)</f>
        <v>540 V</v>
      </c>
      <c r="J82" s="238"/>
      <c r="K82" s="238"/>
      <c r="L82" s="238"/>
      <c r="M82" s="238" t="e">
        <f>CONCATENATE(TEXT(DataSheet!AM67,"0.0")," ",DataSheet!P67)</f>
        <v>#DIV/0!</v>
      </c>
      <c r="N82" s="238"/>
      <c r="O82" s="238"/>
      <c r="P82" s="238"/>
      <c r="Q82" s="238" t="e">
        <f>CONCATENATE(TEXT(DataSheet!AR67,"0.0")," ",DataSheet!P67)</f>
        <v>#DIV/0!</v>
      </c>
      <c r="R82" s="238"/>
      <c r="S82" s="238"/>
      <c r="T82" s="238"/>
      <c r="U82" s="254" t="e">
        <f>CONCATENATE(" ",TEXT(DataSheet!DD67,"0.000")," ",DataSheet!CZ67)</f>
        <v>#DIV/0!</v>
      </c>
      <c r="V82" s="255"/>
      <c r="W82" s="255"/>
      <c r="X82" s="256"/>
    </row>
    <row r="83" spans="3:24" ht="15" customHeight="1">
      <c r="C83" s="19"/>
      <c r="E83" s="238"/>
      <c r="F83" s="238"/>
      <c r="G83" s="238"/>
      <c r="H83" s="238"/>
      <c r="I83" s="238" t="str">
        <f>CONCATENATE(DataSheet!L68," ",DataSheet!P68)</f>
        <v>-540 V</v>
      </c>
      <c r="J83" s="238"/>
      <c r="K83" s="238"/>
      <c r="L83" s="238"/>
      <c r="M83" s="238" t="e">
        <f>CONCATENATE(TEXT(DataSheet!AM68,"0.0")," ",DataSheet!P68)</f>
        <v>#DIV/0!</v>
      </c>
      <c r="N83" s="238"/>
      <c r="O83" s="238"/>
      <c r="P83" s="238"/>
      <c r="Q83" s="238" t="e">
        <f>CONCATENATE(TEXT(DataSheet!AR68,"0.0")," ",DataSheet!P68)</f>
        <v>#DIV/0!</v>
      </c>
      <c r="R83" s="238"/>
      <c r="S83" s="238"/>
      <c r="T83" s="238"/>
      <c r="U83" s="254" t="e">
        <f>CONCATENATE(" ",TEXT(DataSheet!DD68,"0.000")," ",DataSheet!CZ68)</f>
        <v>#DIV/0!</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e">
        <f>CONCATENATE(TEXT(DataSheet!AM69,"0")," ",DataSheet!P69)</f>
        <v>#DIV/0!</v>
      </c>
      <c r="N84" s="238"/>
      <c r="O84" s="238"/>
      <c r="P84" s="238"/>
      <c r="Q84" s="238" t="e">
        <f>CONCATENATE(TEXT(DataSheet!AR69,"0")," ",DataSheet!P69)</f>
        <v>#DIV/0!</v>
      </c>
      <c r="R84" s="238"/>
      <c r="S84" s="238"/>
      <c r="T84" s="238"/>
      <c r="U84" s="254" t="e">
        <f>CONCATENATE(" ",TEXT(DataSheet!DD69,"0.00")," ",DataSheet!CZ69)</f>
        <v>#DIV/0!</v>
      </c>
      <c r="V84" s="255"/>
      <c r="W84" s="255"/>
      <c r="X84" s="256"/>
    </row>
    <row r="85" spans="3:24" ht="15" customHeight="1">
      <c r="C85" s="19"/>
      <c r="E85" s="238"/>
      <c r="F85" s="238"/>
      <c r="G85" s="238"/>
      <c r="H85" s="238"/>
      <c r="I85" s="238" t="str">
        <f>CONCATENATE(DataSheet!L70," ",DataSheet!P70)</f>
        <v>900 V</v>
      </c>
      <c r="J85" s="238"/>
      <c r="K85" s="238"/>
      <c r="L85" s="238"/>
      <c r="M85" s="238" t="e">
        <f>CONCATENATE(TEXT(DataSheet!AM70,"0")," ",DataSheet!P70)</f>
        <v>#DIV/0!</v>
      </c>
      <c r="N85" s="238"/>
      <c r="O85" s="238"/>
      <c r="P85" s="238"/>
      <c r="Q85" s="238" t="e">
        <f>CONCATENATE(TEXT(DataSheet!AR70,"0")," ",DataSheet!P70)</f>
        <v>#DIV/0!</v>
      </c>
      <c r="R85" s="238"/>
      <c r="S85" s="238"/>
      <c r="T85" s="238"/>
      <c r="U85" s="254" t="e">
        <f>CONCATENATE(" ",TEXT(DataSheet!DD70,"0.00")," ",DataSheet!CZ70)</f>
        <v>#DIV/0!</v>
      </c>
      <c r="V85" s="255"/>
      <c r="W85" s="255"/>
      <c r="X85" s="256"/>
    </row>
    <row r="86" spans="3:24" ht="15" customHeight="1">
      <c r="C86" s="19"/>
      <c r="E86" s="238"/>
      <c r="F86" s="238"/>
      <c r="G86" s="238"/>
      <c r="H86" s="238"/>
      <c r="I86" s="238" t="str">
        <f>CONCATENATE(DataSheet!L71," ",DataSheet!P71)</f>
        <v>-900 V</v>
      </c>
      <c r="J86" s="238"/>
      <c r="K86" s="238"/>
      <c r="L86" s="238"/>
      <c r="M86" s="238" t="e">
        <f>CONCATENATE(TEXT(DataSheet!AM71,"0")," ",DataSheet!P71)</f>
        <v>#DIV/0!</v>
      </c>
      <c r="N86" s="238"/>
      <c r="O86" s="238"/>
      <c r="P86" s="238"/>
      <c r="Q86" s="238" t="e">
        <f>CONCATENATE(TEXT(DataSheet!AR71,"0")," ",DataSheet!P71)</f>
        <v>#DIV/0!</v>
      </c>
      <c r="R86" s="238"/>
      <c r="S86" s="238"/>
      <c r="T86" s="238"/>
      <c r="U86" s="254" t="e">
        <f>CONCATENATE(" ",TEXT(DataSheet!DD71,"0.00")," ",DataSheet!CZ71)</f>
        <v>#DIV/0!</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e">
        <f>CONCATENATE(TEXT(DataSheet!AM102,"0.0")," ",DataSheet!P102)</f>
        <v>#DIV/0!</v>
      </c>
      <c r="N91" s="257"/>
      <c r="O91" s="257"/>
      <c r="P91" s="257"/>
      <c r="Q91" s="257" t="e">
        <f>CONCATENATE(TEXT(DataSheet!AR102,"0.0")," ",DataSheet!P102)</f>
        <v>#DIV/0!</v>
      </c>
      <c r="R91" s="257"/>
      <c r="S91" s="257"/>
      <c r="T91" s="257"/>
      <c r="U91" s="257" t="e">
        <f>CONCATENATE(" ",TEXT(DataSheet!DD102,"0.000")," ",DataSheet!CZ102)</f>
        <v>#DIV/0!</v>
      </c>
      <c r="V91" s="257"/>
      <c r="W91" s="257"/>
      <c r="X91" s="257"/>
    </row>
    <row r="92" spans="3:24" ht="15" customHeight="1">
      <c r="E92" s="285"/>
      <c r="F92" s="286"/>
      <c r="G92" s="286"/>
      <c r="H92" s="287"/>
      <c r="I92" s="257" t="str">
        <f>CONCATENATE(DataSheet!L103," ",DataSheet!P103)</f>
        <v>540 Ω</v>
      </c>
      <c r="J92" s="257"/>
      <c r="K92" s="257"/>
      <c r="L92" s="257"/>
      <c r="M92" s="257" t="e">
        <f>CONCATENATE(TEXT(DataSheet!AM103,"0.0")," ",DataSheet!P103)</f>
        <v>#DIV/0!</v>
      </c>
      <c r="N92" s="257"/>
      <c r="O92" s="257"/>
      <c r="P92" s="257"/>
      <c r="Q92" s="257" t="e">
        <f>CONCATENATE(TEXT(DataSheet!AR103,"0.0")," ",DataSheet!P103)</f>
        <v>#DIV/0!</v>
      </c>
      <c r="R92" s="257"/>
      <c r="S92" s="257"/>
      <c r="T92" s="257"/>
      <c r="U92" s="257" t="e">
        <f>CONCATENATE(" ",TEXT(DataSheet!DD103,"0.000")," ",DataSheet!CZ103)</f>
        <v>#DIV/0!</v>
      </c>
      <c r="V92" s="257"/>
      <c r="W92" s="257"/>
      <c r="X92" s="257"/>
    </row>
    <row r="93" spans="3:24" ht="15" customHeight="1">
      <c r="E93" s="257" t="str">
        <f>DataSheet!F104</f>
        <v>6 kΩ</v>
      </c>
      <c r="F93" s="257"/>
      <c r="G93" s="257"/>
      <c r="H93" s="257"/>
      <c r="I93" s="257" t="str">
        <f>CONCATENATE(DataSheet!L104," ",DataSheet!P104)</f>
        <v>5.4 kΩ</v>
      </c>
      <c r="J93" s="257"/>
      <c r="K93" s="257"/>
      <c r="L93" s="257"/>
      <c r="M93" s="257" t="e">
        <f>CONCATENATE(TEXT(DataSheet!AM104,"0.000")," ",DataSheet!P104)</f>
        <v>#DIV/0!</v>
      </c>
      <c r="N93" s="257"/>
      <c r="O93" s="257"/>
      <c r="P93" s="257"/>
      <c r="Q93" s="257" t="e">
        <f>CONCATENATE(TEXT(DataSheet!AR104,"0.000")," ",DataSheet!P104)</f>
        <v>#DIV/0!</v>
      </c>
      <c r="R93" s="257"/>
      <c r="S93" s="257"/>
      <c r="T93" s="257"/>
      <c r="U93" s="257" t="e">
        <f>CONCATENATE(" ",TEXT(DataSheet!DD104,"0.000 00")," ",DataSheet!CZ104)</f>
        <v>#DIV/0!</v>
      </c>
      <c r="V93" s="257"/>
      <c r="W93" s="257"/>
      <c r="X93" s="257"/>
    </row>
    <row r="94" spans="3:24" ht="15" customHeight="1">
      <c r="E94" s="257" t="str">
        <f>DataSheet!F105</f>
        <v>60 kΩ</v>
      </c>
      <c r="F94" s="257"/>
      <c r="G94" s="257"/>
      <c r="H94" s="257"/>
      <c r="I94" s="257" t="str">
        <f>CONCATENATE(DataSheet!L105," ",DataSheet!P105)</f>
        <v>54 kΩ</v>
      </c>
      <c r="J94" s="257"/>
      <c r="K94" s="257"/>
      <c r="L94" s="257"/>
      <c r="M94" s="257" t="e">
        <f>CONCATENATE(TEXT(DataSheet!AM105,"0.00")," ",DataSheet!P105)</f>
        <v>#DIV/0!</v>
      </c>
      <c r="N94" s="257"/>
      <c r="O94" s="257"/>
      <c r="P94" s="257"/>
      <c r="Q94" s="257" t="e">
        <f>CONCATENATE(TEXT(DataSheet!AR105,"0.00")," ",DataSheet!P105)</f>
        <v>#DIV/0!</v>
      </c>
      <c r="R94" s="257"/>
      <c r="S94" s="257"/>
      <c r="T94" s="257"/>
      <c r="U94" s="257" t="e">
        <f>CONCATENATE(" ",TEXT(DataSheet!DD105,"0.000 0")," ",DataSheet!CZ105)</f>
        <v>#DIV/0!</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e">
        <f>CONCATENATE(TEXT(DataSheet!AM106,"0.0")," ",DataSheet!P106)</f>
        <v>#DIV/0!</v>
      </c>
      <c r="N95" s="257"/>
      <c r="O95" s="257"/>
      <c r="P95" s="257"/>
      <c r="Q95" s="257" t="e">
        <f>CONCATENATE(TEXT(DataSheet!AR106,"0.0")," ",DataSheet!P106)</f>
        <v>#DIV/0!</v>
      </c>
      <c r="R95" s="257"/>
      <c r="S95" s="257"/>
      <c r="T95" s="257"/>
      <c r="U95" s="257" t="e">
        <f>CONCATENATE(" ",TEXT(DataSheet!DD106,"0.000")," ",DataSheet!CZ106)</f>
        <v>#DIV/0!</v>
      </c>
      <c r="V95" s="257"/>
      <c r="W95" s="257"/>
      <c r="X95" s="257"/>
    </row>
    <row r="96" spans="3:24" ht="15" customHeight="1">
      <c r="E96" s="257" t="str">
        <f>DataSheet!F107</f>
        <v>6 MΩ</v>
      </c>
      <c r="F96" s="257"/>
      <c r="G96" s="257"/>
      <c r="H96" s="257"/>
      <c r="I96" s="257" t="str">
        <f>CONCATENATE(DataSheet!L107," ",DataSheet!P107)</f>
        <v>5.4 MΩ</v>
      </c>
      <c r="J96" s="257"/>
      <c r="K96" s="257"/>
      <c r="L96" s="257"/>
      <c r="M96" s="257" t="e">
        <f>CONCATENATE(TEXT(DataSheet!AM107,"0.000")," ",DataSheet!P107)</f>
        <v>#DIV/0!</v>
      </c>
      <c r="N96" s="257"/>
      <c r="O96" s="257"/>
      <c r="P96" s="257"/>
      <c r="Q96" s="257" t="e">
        <f>CONCATENATE(TEXT(DataSheet!AR107,"0.000")," ",DataSheet!P107)</f>
        <v>#DIV/0!</v>
      </c>
      <c r="R96" s="257"/>
      <c r="S96" s="257"/>
      <c r="T96" s="257"/>
      <c r="U96" s="257" t="e">
        <f>CONCATENATE(" ",TEXT(DataSheet!DD107,"0.000 00")," ",DataSheet!CZ107)</f>
        <v>#DIV/0!</v>
      </c>
      <c r="V96" s="257"/>
      <c r="W96" s="257"/>
      <c r="X96" s="257"/>
    </row>
    <row r="97" spans="3:26" ht="15" customHeight="1">
      <c r="E97" s="257" t="str">
        <f>DataSheet!F108</f>
        <v>50 MΩ</v>
      </c>
      <c r="F97" s="257"/>
      <c r="G97" s="257"/>
      <c r="H97" s="257"/>
      <c r="I97" s="257" t="str">
        <f>CONCATENATE(DataSheet!L108," ",DataSheet!P108)</f>
        <v>45 MΩ</v>
      </c>
      <c r="J97" s="257"/>
      <c r="K97" s="257"/>
      <c r="L97" s="257"/>
      <c r="M97" s="257" t="e">
        <f>CONCATENATE(TEXT(DataSheet!AM108,"0.00")," ",DataSheet!P108)</f>
        <v>#DIV/0!</v>
      </c>
      <c r="N97" s="257"/>
      <c r="O97" s="257"/>
      <c r="P97" s="257"/>
      <c r="Q97" s="257" t="e">
        <f>CONCATENATE(TEXT(DataSheet!AR108,"0.00")," ",DataSheet!P108)</f>
        <v>#DIV/0!</v>
      </c>
      <c r="R97" s="257"/>
      <c r="S97" s="257"/>
      <c r="T97" s="257"/>
      <c r="U97" s="257" t="e">
        <f>CONCATENATE(" ",TEXT(DataSheet!DD108,"0.000")," ",DataSheet!CZ108)</f>
        <v>#DIV/0!</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DANICA BEA NERI</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e">
        <f>CONCATENATE(TEXT(DataSheet!AM76,"0.0")," ",DataSheet!P76)</f>
        <v>#DIV/0!</v>
      </c>
      <c r="N122" s="238"/>
      <c r="O122" s="238"/>
      <c r="P122" s="238"/>
      <c r="Q122" s="238" t="e">
        <f>CONCATENATE(TEXT(DataSheet!AR76,"0.0")," ",DataSheet!P76)</f>
        <v>#DIV/0!</v>
      </c>
      <c r="R122" s="238"/>
      <c r="S122" s="238"/>
      <c r="T122" s="238"/>
      <c r="U122" s="238" t="e">
        <f>CONCATENATE(" ",TEXT(DataSheet!DD76,"0.000 ")," ",DataSheet!CZ76)</f>
        <v>#DIV/0!</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e">
        <f>CONCATENATE(TEXT(DataSheet!AM77,"0.0")," ",DataSheet!P77)</f>
        <v>#DIV/0!</v>
      </c>
      <c r="N123" s="238"/>
      <c r="O123" s="238"/>
      <c r="P123" s="238"/>
      <c r="Q123" s="238" t="e">
        <f>CONCATENATE(TEXT(DataSheet!AR77,"0.0")," ",DataSheet!P77)</f>
        <v>#DIV/0!</v>
      </c>
      <c r="R123" s="238"/>
      <c r="S123" s="238"/>
      <c r="T123" s="238"/>
      <c r="U123" s="238" t="e">
        <f>CONCATENATE(" ",TEXT(DataSheet!DD77,"0.000 ")," ",DataSheet!CZ77)</f>
        <v>#DIV/0!</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e">
        <f>CONCATENATE(TEXT(DataSheet!AM78,"0.0")," ",DataSheet!P78)</f>
        <v>#DIV/0!</v>
      </c>
      <c r="N124" s="238"/>
      <c r="O124" s="238"/>
      <c r="P124" s="238"/>
      <c r="Q124" s="238" t="e">
        <f>CONCATENATE(TEXT(DataSheet!AR78,"0.0")," ",DataSheet!P78)</f>
        <v>#DIV/0!</v>
      </c>
      <c r="R124" s="238"/>
      <c r="S124" s="238"/>
      <c r="T124" s="238"/>
      <c r="U124" s="238" t="e">
        <f>CONCATENATE(" ",TEXT(DataSheet!DD78,"0.00")," ",DataSheet!CZ78)</f>
        <v>#DIV/0!</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e">
        <f>CONCATENATE(TEXT(DataSheet!AM79,"0.0")," ",DataSheet!P79)</f>
        <v>#DIV/0!</v>
      </c>
      <c r="N125" s="238"/>
      <c r="O125" s="238"/>
      <c r="P125" s="238"/>
      <c r="Q125" s="238" t="e">
        <f>CONCATENATE(TEXT(DataSheet!AR79,"0.0")," ",DataSheet!P79)</f>
        <v>#DIV/0!</v>
      </c>
      <c r="R125" s="238"/>
      <c r="S125" s="238"/>
      <c r="T125" s="238"/>
      <c r="U125" s="238" t="e">
        <f>CONCATENATE(" ",TEXT(DataSheet!DD79,"0.00")," ",DataSheet!CZ79)</f>
        <v>#DIV/0!</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e">
        <f>CONCATENATE(TEXT(DataSheet!AM80,"0.000")," ",DataSheet!P80)</f>
        <v>#DIV/0!</v>
      </c>
      <c r="N126" s="238"/>
      <c r="O126" s="238"/>
      <c r="P126" s="238"/>
      <c r="Q126" s="238" t="e">
        <f>CONCATENATE(TEXT(DataSheet!AR80,"0.000")," ",DataSheet!P80)</f>
        <v>#DIV/0!</v>
      </c>
      <c r="R126" s="238"/>
      <c r="S126" s="238"/>
      <c r="T126" s="238"/>
      <c r="U126" s="238" t="e">
        <f>CONCATENATE(" ",TEXT(DataSheet!DD80,"0.000 0")," ",DataSheet!CZ80)</f>
        <v>#DIV/0!</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e">
        <f>CONCATENATE(TEXT(DataSheet!AM81,"0.000")," ",DataSheet!P81)</f>
        <v>#DIV/0!</v>
      </c>
      <c r="N127" s="238"/>
      <c r="O127" s="238"/>
      <c r="P127" s="238"/>
      <c r="Q127" s="238" t="e">
        <f>CONCATENATE(TEXT(DataSheet!AR81,"0.000")," ",DataSheet!P81)</f>
        <v>#DIV/0!</v>
      </c>
      <c r="R127" s="238"/>
      <c r="S127" s="238"/>
      <c r="T127" s="238"/>
      <c r="U127" s="238" t="e">
        <f>CONCATENATE(" ",TEXT(DataSheet!DD81,"0.000 0")," ",DataSheet!CZ81)</f>
        <v>#DIV/0!</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e">
        <f>CONCATENATE(TEXT(DataSheet!AM82,"0.000")," ",DataSheet!P82)</f>
        <v>#DIV/0!</v>
      </c>
      <c r="N128" s="238"/>
      <c r="O128" s="238"/>
      <c r="P128" s="238"/>
      <c r="Q128" s="238" t="e">
        <f>CONCATENATE(TEXT(DataSheet!AR82,"0.000")," ",DataSheet!P82)</f>
        <v>#DIV/0!</v>
      </c>
      <c r="R128" s="238"/>
      <c r="S128" s="238"/>
      <c r="T128" s="238"/>
      <c r="U128" s="238" t="e">
        <f>CONCATENATE(" ",TEXT(DataSheet!DD82,"0.000 0")," ",DataSheet!CZ82)</f>
        <v>#DIV/0!</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e">
        <f>CONCATENATE(TEXT(DataSheet!AM83,"0.000")," ",DataSheet!P83)</f>
        <v>#DIV/0!</v>
      </c>
      <c r="N129" s="238"/>
      <c r="O129" s="238"/>
      <c r="P129" s="238"/>
      <c r="Q129" s="238" t="e">
        <f>CONCATENATE(TEXT(DataSheet!AR83,"0.000")," ",DataSheet!P83)</f>
        <v>#DIV/0!</v>
      </c>
      <c r="R129" s="238"/>
      <c r="S129" s="238"/>
      <c r="T129" s="238"/>
      <c r="U129" s="238" t="e">
        <f>CONCATENATE(" ",TEXT(DataSheet!DD83,"0.000 0")," ",DataSheet!CZ83)</f>
        <v>#DIV/0!</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e">
        <f>CONCATENATE(TEXT(DataSheet!AM84,"0.00")," ",DataSheet!P84)</f>
        <v>#DIV/0!</v>
      </c>
      <c r="N130" s="238"/>
      <c r="O130" s="238"/>
      <c r="P130" s="238"/>
      <c r="Q130" s="238" t="e">
        <f>CONCATENATE(TEXT(DataSheet!AR84,"0.00")," ",DataSheet!P84)</f>
        <v>#DIV/0!</v>
      </c>
      <c r="R130" s="238"/>
      <c r="S130" s="238"/>
      <c r="T130" s="238"/>
      <c r="U130" s="238" t="e">
        <f>CONCATENATE(" ",TEXT(DataSheet!DD84,"0.000 0")," ",DataSheet!CZ84)</f>
        <v>#DIV/0!</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e">
        <f>CONCATENATE(TEXT(DataSheet!AM85,"0.00")," ",DataSheet!P85)</f>
        <v>#DIV/0!</v>
      </c>
      <c r="N131" s="238"/>
      <c r="O131" s="238"/>
      <c r="P131" s="238"/>
      <c r="Q131" s="238" t="e">
        <f>CONCATENATE(TEXT(DataSheet!AR85,"0.00")," ",DataSheet!P85)</f>
        <v>#DIV/0!</v>
      </c>
      <c r="R131" s="238"/>
      <c r="S131" s="238"/>
      <c r="T131" s="238"/>
      <c r="U131" s="238" t="e">
        <f>CONCATENATE(" ",TEXT(DataSheet!DD85,"0.000 0")," ",DataSheet!CZ85)</f>
        <v>#DIV/0!</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e">
        <f>CONCATENATE(TEXT(DataSheet!AM86,"0.00")," ",DataSheet!P86)</f>
        <v>#DIV/0!</v>
      </c>
      <c r="N132" s="238"/>
      <c r="O132" s="238"/>
      <c r="P132" s="238"/>
      <c r="Q132" s="238" t="e">
        <f>CONCATENATE(TEXT(DataSheet!AR86,"0.00")," ",DataSheet!P86)</f>
        <v>#DIV/0!</v>
      </c>
      <c r="R132" s="238"/>
      <c r="S132" s="238"/>
      <c r="T132" s="238"/>
      <c r="U132" s="238" t="e">
        <f>CONCATENATE(" ",TEXT(DataSheet!DD86,"0.000 0")," ",DataSheet!CZ86)</f>
        <v>#DIV/0!</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e">
        <f>CONCATENATE(TEXT(DataSheet!AM87,"0.00")," ",DataSheet!P87)</f>
        <v>#DIV/0!</v>
      </c>
      <c r="N133" s="238"/>
      <c r="O133" s="238"/>
      <c r="P133" s="238"/>
      <c r="Q133" s="238" t="e">
        <f>CONCATENATE(TEXT(DataSheet!AR87,"0.00")," ",DataSheet!P87)</f>
        <v>#DIV/0!</v>
      </c>
      <c r="R133" s="238"/>
      <c r="S133" s="238"/>
      <c r="T133" s="238"/>
      <c r="U133" s="238" t="e">
        <f>CONCATENATE(" ",TEXT(DataSheet!DD87,"0.000 0")," ",DataSheet!CZ87)</f>
        <v>#DIV/0!</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e">
        <f>CONCATENATE(TEXT(DataSheet!AM88,"0.00")," ",DataSheet!P88)</f>
        <v>#DIV/0!</v>
      </c>
      <c r="N134" s="238"/>
      <c r="O134" s="238"/>
      <c r="P134" s="238"/>
      <c r="Q134" s="238" t="e">
        <f>CONCATENATE(TEXT(DataSheet!AR88,"0.00")," ",DataSheet!P88)</f>
        <v>#DIV/0!</v>
      </c>
      <c r="R134" s="238"/>
      <c r="S134" s="238"/>
      <c r="T134" s="238"/>
      <c r="U134" s="238" t="e">
        <f>CONCATENATE(" ",TEXT(DataSheet!DD88,"0.000")," ",DataSheet!CZ88)</f>
        <v>#DIV/0!</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e">
        <f>CONCATENATE(TEXT(DataSheet!AM89,"0.00")," ",DataSheet!P89)</f>
        <v>#DIV/0!</v>
      </c>
      <c r="N135" s="238"/>
      <c r="O135" s="238"/>
      <c r="P135" s="238"/>
      <c r="Q135" s="238" t="e">
        <f>CONCATENATE(TEXT(DataSheet!AR89,"0.00")," ",DataSheet!P89)</f>
        <v>#DIV/0!</v>
      </c>
      <c r="R135" s="238"/>
      <c r="S135" s="238"/>
      <c r="T135" s="238"/>
      <c r="U135" s="238" t="e">
        <f>CONCATENATE(" ",TEXT(DataSheet!DD89,"0.000")," ",DataSheet!CZ89)</f>
        <v>#DIV/0!</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e">
        <f>CONCATENATE(TEXT(DataSheet!AM90,"0.0")," ",DataSheet!P90)</f>
        <v>#DIV/0!</v>
      </c>
      <c r="N136" s="238"/>
      <c r="O136" s="238"/>
      <c r="P136" s="238"/>
      <c r="Q136" s="238" t="e">
        <f>CONCATENATE(TEXT(DataSheet!AR90,"0.0")," ",DataSheet!P90)</f>
        <v>#DIV/0!</v>
      </c>
      <c r="R136" s="238"/>
      <c r="S136" s="238"/>
      <c r="T136" s="238"/>
      <c r="U136" s="238" t="e">
        <f>CONCATENATE(" ",TEXT(DataSheet!DD90,"0.000")," ",DataSheet!CZ90)</f>
        <v>#DIV/0!</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e">
        <f>CONCATENATE(TEXT(DataSheet!AM91,"0.0")," ",DataSheet!P91)</f>
        <v>#DIV/0!</v>
      </c>
      <c r="N137" s="238"/>
      <c r="O137" s="238"/>
      <c r="P137" s="238"/>
      <c r="Q137" s="238" t="e">
        <f>CONCATENATE(TEXT(DataSheet!AR91,"0.0")," ",DataSheet!P91)</f>
        <v>#DIV/0!</v>
      </c>
      <c r="R137" s="238"/>
      <c r="S137" s="238"/>
      <c r="T137" s="238"/>
      <c r="U137" s="238" t="e">
        <f>CONCATENATE(" ",TEXT(DataSheet!DD91,"0.000")," ",DataSheet!CZ91)</f>
        <v>#DIV/0!</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e">
        <f>CONCATENATE(TEXT(DataSheet!AM92,"0.0")," ",DataSheet!P92)</f>
        <v>#DIV/0!</v>
      </c>
      <c r="N138" s="238"/>
      <c r="O138" s="238"/>
      <c r="P138" s="238"/>
      <c r="Q138" s="238" t="e">
        <f>CONCATENATE(TEXT(DataSheet!AR92,"0.0")," ",DataSheet!P92)</f>
        <v>#DIV/0!</v>
      </c>
      <c r="R138" s="238"/>
      <c r="S138" s="238"/>
      <c r="T138" s="238"/>
      <c r="U138" s="238" t="e">
        <f>CONCATENATE(" ",TEXT(DataSheet!DD92,"0.000")," ",DataSheet!CZ92)</f>
        <v>#DIV/0!</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e">
        <f>CONCATENATE(TEXT(DataSheet!AM93,"0.0")," ",DataSheet!P93)</f>
        <v>#DIV/0!</v>
      </c>
      <c r="N139" s="238"/>
      <c r="O139" s="238"/>
      <c r="P139" s="238"/>
      <c r="Q139" s="238" t="e">
        <f>CONCATENATE(TEXT(DataSheet!AR93,"0.0")," ",DataSheet!P93)</f>
        <v>#DIV/0!</v>
      </c>
      <c r="R139" s="238"/>
      <c r="S139" s="238"/>
      <c r="T139" s="238"/>
      <c r="U139" s="238" t="e">
        <f>CONCATENATE(" ",TEXT(DataSheet!DD93,"0.000")," ",DataSheet!CZ93)</f>
        <v>#DIV/0!</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e">
        <f>CONCATENATE(TEXT(DataSheet!AM94,"0")," ",DataSheet!P94)</f>
        <v>#DIV/0!</v>
      </c>
      <c r="N140" s="238"/>
      <c r="O140" s="238"/>
      <c r="P140" s="238"/>
      <c r="Q140" s="238" t="e">
        <f>CONCATENATE(TEXT(DataSheet!AR94,"0")," ",DataSheet!P94)</f>
        <v>#DIV/0!</v>
      </c>
      <c r="R140" s="238"/>
      <c r="S140" s="238"/>
      <c r="T140" s="238"/>
      <c r="U140" s="238" t="e">
        <f>CONCATENATE(" ",TEXT(DataSheet!DD94,"0.00")," ",DataSheet!CZ94)</f>
        <v>#DIV/0!</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e">
        <f>CONCATENATE(TEXT(DataSheet!AM95,"0")," ",DataSheet!P95)</f>
        <v>#DIV/0!</v>
      </c>
      <c r="N141" s="238"/>
      <c r="O141" s="238"/>
      <c r="P141" s="238"/>
      <c r="Q141" s="238" t="e">
        <f>CONCATENATE(TEXT(DataSheet!AR95,"0")," ",DataSheet!P95)</f>
        <v>#DIV/0!</v>
      </c>
      <c r="R141" s="238"/>
      <c r="S141" s="238"/>
      <c r="T141" s="238"/>
      <c r="U141" s="238" t="e">
        <f>CONCATENATE(" ",TEXT(DataSheet!DD95,"0.00")," ",DataSheet!CZ95)</f>
        <v>#DIV/0!</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e">
        <f>CONCATENATE(TEXT(DataSheet!AM96,"0")," ",DataSheet!P96)</f>
        <v>#DIV/0!</v>
      </c>
      <c r="N142" s="238"/>
      <c r="O142" s="238"/>
      <c r="P142" s="238"/>
      <c r="Q142" s="238" t="e">
        <f>CONCATENATE(TEXT(DataSheet!AR96,"0")," ",DataSheet!P96)</f>
        <v>#DIV/0!</v>
      </c>
      <c r="R142" s="238"/>
      <c r="S142" s="238"/>
      <c r="T142" s="238"/>
      <c r="U142" s="238" t="e">
        <f>CONCATENATE(" ",TEXT(DataSheet!DD96,"0.00")," ",DataSheet!CZ96)</f>
        <v>#DIV/0!</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e">
        <f>CONCATENATE(TEXT(DataSheet!AM97,"0")," ",DataSheet!P97)</f>
        <v>#DIV/0!</v>
      </c>
      <c r="N143" s="238"/>
      <c r="O143" s="238"/>
      <c r="P143" s="238"/>
      <c r="Q143" s="238" t="e">
        <f>CONCATENATE(TEXT(DataSheet!AR97,"0")," ",DataSheet!P97)</f>
        <v>#DIV/0!</v>
      </c>
      <c r="R143" s="238"/>
      <c r="S143" s="238"/>
      <c r="T143" s="238"/>
      <c r="U143" s="238" t="e">
        <f>CONCATENATE(" ",TEXT(DataSheet!DD97,"0.00")," ",DataSheet!CZ97)</f>
        <v>#DIV/0!</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e">
        <f>CONCATENATE(TEXT(DataSheet!AM113,"0.0")," ",DataSheet!P113)</f>
        <v>#DIV/0!</v>
      </c>
      <c r="N148" s="239"/>
      <c r="O148" s="239"/>
      <c r="P148" s="239"/>
      <c r="Q148" s="239" t="e">
        <f>CONCATENATE(TEXT(DataSheet!AR113,"0.0")," ",DataSheet!P113)</f>
        <v>#DIV/0!</v>
      </c>
      <c r="R148" s="239"/>
      <c r="S148" s="239"/>
      <c r="T148" s="239"/>
      <c r="U148" s="239" t="e">
        <f>CONCATENATE(" ",TEXT(DataSheet!DD113,"0.00")," ",DataSheet!CZ113)</f>
        <v>#DIV/0!</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e">
        <f>CONCATENATE(TEXT(DataSheet!AM114,"0 000")," ",DataSheet!P114)</f>
        <v>#DIV/0!</v>
      </c>
      <c r="N149" s="239"/>
      <c r="O149" s="239"/>
      <c r="P149" s="239"/>
      <c r="Q149" s="239" t="e">
        <f>CONCATENATE(TEXT(DataSheet!AR114,"0")," ",DataSheet!P114)</f>
        <v>#DIV/0!</v>
      </c>
      <c r="R149" s="239"/>
      <c r="S149" s="239"/>
      <c r="T149" s="239"/>
      <c r="U149" s="239" t="e">
        <f>CONCATENATE(" ",TEXT(DataSheet!DD114,"0.00")," ",DataSheet!CZ114)</f>
        <v>#DIV/0!</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e">
        <f>CONCATENATE(TEXT(DataSheet!AM115,"0.00")," ",DataSheet!P115)</f>
        <v>#DIV/0!</v>
      </c>
      <c r="N150" s="239"/>
      <c r="O150" s="239"/>
      <c r="P150" s="239"/>
      <c r="Q150" s="239" t="e">
        <f>CONCATENATE(TEXT(DataSheet!AR115,"0.00")," ",DataSheet!P115)</f>
        <v>#DIV/0!</v>
      </c>
      <c r="R150" s="239"/>
      <c r="S150" s="239"/>
      <c r="T150" s="239"/>
      <c r="U150" s="239" t="e">
        <f>CONCATENATE(" ",TEXT(DataSheet!DD115,"0.000 0")," ",DataSheet!CZ115)</f>
        <v>#DIV/0!</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e">
        <f>CONCATENATE(TEXT(DataSheet!AM116,"0.00")," ",DataSheet!P116)</f>
        <v>#DIV/0!</v>
      </c>
      <c r="N151" s="239"/>
      <c r="O151" s="239"/>
      <c r="P151" s="239"/>
      <c r="Q151" s="239" t="e">
        <f>CONCATENATE(TEXT(DataSheet!AR116,"0.00")," ",DataSheet!P116)</f>
        <v>#DIV/0!</v>
      </c>
      <c r="R151" s="239"/>
      <c r="S151" s="239"/>
      <c r="T151" s="239"/>
      <c r="U151" s="239" t="e">
        <f>CONCATENATE(" ",TEXT(DataSheet!DD116,"0.000")," ",DataSheet!CZ116)</f>
        <v>#DIV/0!</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e">
        <f>CONCATENATE(TEXT(DataSheet!AM117,"0.0")," ",DataSheet!P117)</f>
        <v>#DIV/0!</v>
      </c>
      <c r="N152" s="239"/>
      <c r="O152" s="239"/>
      <c r="P152" s="239"/>
      <c r="Q152" s="239" t="e">
        <f>CONCATENATE(TEXT(DataSheet!AR117,"0.0")," ",DataSheet!P117)</f>
        <v>#DIV/0!</v>
      </c>
      <c r="R152" s="239"/>
      <c r="S152" s="239"/>
      <c r="T152" s="239"/>
      <c r="U152" s="239" t="e">
        <f>CONCATENATE(" ",TEXT(DataSheet!DD117,"0.000")," ",DataSheet!CZ117)</f>
        <v>#DIV/0!</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e">
        <f>CONCATENATE(TEXT(DataSheet!AM118,"0.000")," ",DataSheet!P118)</f>
        <v>#DIV/0!</v>
      </c>
      <c r="N153" s="239"/>
      <c r="O153" s="239"/>
      <c r="P153" s="239"/>
      <c r="Q153" s="239" t="e">
        <f>CONCATENATE(TEXT(DataSheet!AR118,"0.000")," ",DataSheet!P118)</f>
        <v>#DIV/0!</v>
      </c>
      <c r="R153" s="239"/>
      <c r="S153" s="239"/>
      <c r="T153" s="239"/>
      <c r="U153" s="239" t="e">
        <f>CONCATENATE(" ",TEXT(DataSheet!DD118,"0.000 0")," ",DataSheet!CZ118)</f>
        <v>#DIV/0!</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e">
        <f>CONCATENATE(TEXT(DataSheet!AM119,"0.000")," ",DataSheet!P119)</f>
        <v>#DIV/0!</v>
      </c>
      <c r="N154" s="239"/>
      <c r="O154" s="239"/>
      <c r="P154" s="239"/>
      <c r="Q154" s="239" t="e">
        <f>CONCATENATE(TEXT(DataSheet!AR119,"0.000")," ",DataSheet!P119)</f>
        <v>#DIV/0!</v>
      </c>
      <c r="R154" s="239"/>
      <c r="S154" s="239"/>
      <c r="T154" s="239"/>
      <c r="U154" s="239" t="e">
        <f>CONCATENATE(" ",TEXT(DataSheet!DD119,"0.000 0")," ",DataSheet!CZ119)</f>
        <v>#DIV/0!</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e">
        <f>CONCATENATE(TEXT(DataSheet!AM120,"0.00")," ",DataSheet!P120)</f>
        <v>#DIV/0!</v>
      </c>
      <c r="N155" s="239"/>
      <c r="O155" s="239"/>
      <c r="P155" s="239"/>
      <c r="Q155" s="239" t="e">
        <f>CONCATENATE(TEXT(DataSheet!AR120,"0.00")," ",DataSheet!P120)</f>
        <v>#DIV/0!</v>
      </c>
      <c r="R155" s="239"/>
      <c r="S155" s="239"/>
      <c r="T155" s="239"/>
      <c r="U155" s="239" t="e">
        <f>CONCATENATE(" ",TEXT(DataSheet!DD120,"0.000 0")," ",DataSheet!CZ120)</f>
        <v>#DIV/0!</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e">
        <f>CONCATENATE(TEXT(DataSheet!AM121,"0.00")," ",DataSheet!P121)</f>
        <v>#DIV/0!</v>
      </c>
      <c r="N156" s="239"/>
      <c r="O156" s="239"/>
      <c r="P156" s="239"/>
      <c r="Q156" s="239" t="e">
        <f>CONCATENATE(TEXT(DataSheet!AR121,"0.00")," ",DataSheet!P121)</f>
        <v>#DIV/0!</v>
      </c>
      <c r="R156" s="239"/>
      <c r="S156" s="239"/>
      <c r="T156" s="239"/>
      <c r="U156" s="239" t="e">
        <f>CONCATENATE(" ",TEXT(DataSheet!DD121,"0.000 0")," ",DataSheet!CZ121)</f>
        <v>#DIV/0!</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DANICA BEA NERI</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e">
        <f>CONCATENATE(TEXT(DataSheet!AM126,"0.0")," ",DataSheet!P126)</f>
        <v>#DIV/0!</v>
      </c>
      <c r="N175" s="230"/>
      <c r="O175" s="230"/>
      <c r="P175" s="231"/>
      <c r="Q175" s="229" t="e">
        <f>CONCATENATE(TEXT(DataSheet!AR126,"0.0")," ",DataSheet!P126)</f>
        <v>#DIV/0!</v>
      </c>
      <c r="R175" s="230"/>
      <c r="S175" s="230"/>
      <c r="T175" s="231"/>
      <c r="U175" s="229" t="e">
        <f>CONCATENATE(" ",TEXT(DataSheet!DD126,"0.0")," ",DataSheet!CZ126)</f>
        <v>#DIV/0!</v>
      </c>
      <c r="V175" s="230"/>
      <c r="W175" s="230"/>
      <c r="X175" s="231"/>
    </row>
    <row r="176" spans="3:24">
      <c r="E176" s="235"/>
      <c r="F176" s="236"/>
      <c r="G176" s="236"/>
      <c r="H176" s="237"/>
      <c r="I176" s="229" t="str">
        <f>CONCATENATE(DataSheet!L127," ",DataSheet!P127," / ",DataSheet!S127)</f>
        <v>540 µA / 1 kHz</v>
      </c>
      <c r="J176" s="230"/>
      <c r="K176" s="230"/>
      <c r="L176" s="231"/>
      <c r="M176" s="229" t="e">
        <f>CONCATENATE(TEXT(DataSheet!AM127,"0.0")," ",DataSheet!P127)</f>
        <v>#DIV/0!</v>
      </c>
      <c r="N176" s="230"/>
      <c r="O176" s="230"/>
      <c r="P176" s="231"/>
      <c r="Q176" s="229" t="e">
        <f>CONCATENATE(TEXT(DataSheet!AR127,"0.0")," ",DataSheet!P127)</f>
        <v>#DIV/0!</v>
      </c>
      <c r="R176" s="230"/>
      <c r="S176" s="230"/>
      <c r="T176" s="231"/>
      <c r="U176" s="229" t="e">
        <f>CONCATENATE(" ",TEXT(DataSheet!DD127,"0.0")," ",DataSheet!CZ127)</f>
        <v>#DIV/0!</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e">
        <f>CONCATENATE(TEXT(DataSheet!AM128,"0 000")," ",DataSheet!P128)</f>
        <v>#DIV/0!</v>
      </c>
      <c r="N177" s="230"/>
      <c r="O177" s="230"/>
      <c r="P177" s="231"/>
      <c r="Q177" s="229" t="e">
        <f>CONCATENATE(TEXT(DataSheet!AR128,"0")," ",DataSheet!P128)</f>
        <v>#DIV/0!</v>
      </c>
      <c r="R177" s="230"/>
      <c r="S177" s="230"/>
      <c r="T177" s="231"/>
      <c r="U177" s="229" t="e">
        <f>CONCATENATE(" ",TEXT(DataSheet!DD128,"0")," ",DataSheet!CZ128)</f>
        <v>#DIV/0!</v>
      </c>
      <c r="V177" s="230"/>
      <c r="W177" s="230"/>
      <c r="X177" s="231"/>
    </row>
    <row r="178" spans="5:24">
      <c r="E178" s="235"/>
      <c r="F178" s="236"/>
      <c r="G178" s="236"/>
      <c r="H178" s="237"/>
      <c r="I178" s="229" t="str">
        <f>CONCATENATE(TEXT(DataSheet!L129,"0 000")," ",DataSheet!P129," / ",DataSheet!S129)</f>
        <v>5 400 µA / 1 kHz</v>
      </c>
      <c r="J178" s="230"/>
      <c r="K178" s="230"/>
      <c r="L178" s="231"/>
      <c r="M178" s="229" t="e">
        <f>CONCATENATE(TEXT(DataSheet!AM129,"0 000")," ",DataSheet!P129)</f>
        <v>#DIV/0!</v>
      </c>
      <c r="N178" s="230"/>
      <c r="O178" s="230"/>
      <c r="P178" s="231"/>
      <c r="Q178" s="229" t="e">
        <f>CONCATENATE(TEXT(DataSheet!AR129,"0")," ",DataSheet!P129)</f>
        <v>#DIV/0!</v>
      </c>
      <c r="R178" s="230"/>
      <c r="S178" s="230"/>
      <c r="T178" s="231"/>
      <c r="U178" s="229" t="e">
        <f>CONCATENATE(" ",TEXT(DataSheet!DD129,"0")," ",DataSheet!CZ129)</f>
        <v>#DIV/0!</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e">
        <f>CONCATENATE(TEXT(DataSheet!AM130,"0.00")," ",DataSheet!P130)</f>
        <v>#DIV/0!</v>
      </c>
      <c r="N179" s="230"/>
      <c r="O179" s="230"/>
      <c r="P179" s="231"/>
      <c r="Q179" s="229" t="e">
        <f>CONCATENATE(TEXT(DataSheet!AR130,"0.00")," ",DataSheet!P130)</f>
        <v>#DIV/0!</v>
      </c>
      <c r="R179" s="230"/>
      <c r="S179" s="230"/>
      <c r="T179" s="231"/>
      <c r="U179" s="229" t="e">
        <f>CONCATENATE(" ",TEXT(DataSheet!DD130,"0.00")," ",DataSheet!CZ130)</f>
        <v>#DIV/0!</v>
      </c>
      <c r="V179" s="230"/>
      <c r="W179" s="230"/>
      <c r="X179" s="231"/>
    </row>
    <row r="180" spans="5:24">
      <c r="E180" s="235"/>
      <c r="F180" s="236"/>
      <c r="G180" s="236"/>
      <c r="H180" s="237"/>
      <c r="I180" s="229" t="str">
        <f>CONCATENATE(DataSheet!L131," ",DataSheet!P131," / ",DataSheet!S131)</f>
        <v>54 mA / 1 kHz</v>
      </c>
      <c r="J180" s="230"/>
      <c r="K180" s="230"/>
      <c r="L180" s="231"/>
      <c r="M180" s="229" t="e">
        <f>CONCATENATE(TEXT(DataSheet!AM131,"0.00")," ",DataSheet!P131)</f>
        <v>#DIV/0!</v>
      </c>
      <c r="N180" s="230"/>
      <c r="O180" s="230"/>
      <c r="P180" s="231"/>
      <c r="Q180" s="229" t="e">
        <f>CONCATENATE(TEXT(DataSheet!AR131,"0.00")," ",DataSheet!P131)</f>
        <v>#DIV/0!</v>
      </c>
      <c r="R180" s="230"/>
      <c r="S180" s="230"/>
      <c r="T180" s="231"/>
      <c r="U180" s="229" t="e">
        <f>CONCATENATE(" ",TEXT(DataSheet!DD131,"0.00")," ",DataSheet!CZ131)</f>
        <v>#DIV/0!</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e">
        <f>CONCATENATE(TEXT(DataSheet!AM132,"0.0")," ",DataSheet!P132)</f>
        <v>#DIV/0!</v>
      </c>
      <c r="N181" s="230"/>
      <c r="O181" s="230"/>
      <c r="P181" s="231"/>
      <c r="Q181" s="229" t="e">
        <f>CONCATENATE(TEXT(DataSheet!AR132,"0.0")," ",DataSheet!P132)</f>
        <v>#DIV/0!</v>
      </c>
      <c r="R181" s="230"/>
      <c r="S181" s="230"/>
      <c r="T181" s="231"/>
      <c r="U181" s="229" t="e">
        <f>CONCATENATE(" ",TEXT(DataSheet!DD132,"0.00")," ",DataSheet!CZ132)</f>
        <v>#DIV/0!</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e">
        <f>CONCATENATE(TEXT(DataSheet!AM133,"0.0")," ",DataSheet!P133)</f>
        <v>#DIV/0!</v>
      </c>
      <c r="N182" s="230"/>
      <c r="O182" s="230"/>
      <c r="P182" s="231"/>
      <c r="Q182" s="229" t="e">
        <f>CONCATENATE(TEXT(DataSheet!AR133,"0.0")," ",DataSheet!P133)</f>
        <v>#DIV/0!</v>
      </c>
      <c r="R182" s="230"/>
      <c r="S182" s="230"/>
      <c r="T182" s="231"/>
      <c r="U182" s="229" t="e">
        <f>CONCATENATE(" ",TEXT(DataSheet!DD133,"0.00")," ",DataSheet!CZ133)</f>
        <v>#DIV/0!</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e">
        <f>CONCATENATE(TEXT(DataSheet!AM134,"0.000")," ",DataSheet!P134)</f>
        <v>#DIV/0!</v>
      </c>
      <c r="N183" s="230"/>
      <c r="O183" s="230"/>
      <c r="P183" s="231"/>
      <c r="Q183" s="229" t="e">
        <f>CONCATENATE(TEXT(DataSheet!AR134,"0.000")," ",DataSheet!P134)</f>
        <v>#DIV/0!</v>
      </c>
      <c r="R183" s="230"/>
      <c r="S183" s="230"/>
      <c r="T183" s="231"/>
      <c r="U183" s="229" t="e">
        <f>CONCATENATE(" ",TEXT(DataSheet!DD134,"0.000")," ",DataSheet!CZ134)</f>
        <v>#DIV/0!</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e">
        <f>CONCATENATE(TEXT(DataSheet!AM135,"0.000")," ",DataSheet!P135)</f>
        <v>#DIV/0!</v>
      </c>
      <c r="N184" s="230"/>
      <c r="O184" s="230"/>
      <c r="P184" s="231"/>
      <c r="Q184" s="229" t="e">
        <f>CONCATENATE(TEXT(DataSheet!AR135,"0.000")," ",DataSheet!P135)</f>
        <v>#DIV/0!</v>
      </c>
      <c r="R184" s="230"/>
      <c r="S184" s="230"/>
      <c r="T184" s="231"/>
      <c r="U184" s="229" t="e">
        <f>CONCATENATE(" ",TEXT(DataSheet!DD135,"0.000")," ",DataSheet!CZ135)</f>
        <v>#DIV/0!</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e">
        <f>CONCATENATE(TEXT(DataSheet!AM136,"0.00")," ",DataSheet!P136)</f>
        <v>#DIV/0!</v>
      </c>
      <c r="N185" s="230"/>
      <c r="O185" s="230"/>
      <c r="P185" s="231"/>
      <c r="Q185" s="229" t="e">
        <f>CONCATENATE(TEXT(DataSheet!AR136,"0.00")," ",DataSheet!P136)</f>
        <v>#DIV/0!</v>
      </c>
      <c r="R185" s="230"/>
      <c r="S185" s="230"/>
      <c r="T185" s="231"/>
      <c r="U185" s="229" t="e">
        <f>CONCATENATE(" ",TEXT(DataSheet!DD136,"0.000")," ",DataSheet!CZ136)</f>
        <v>#DIV/0!</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e">
        <f>CONCATENATE(TEXT(DataSheet!AM137,"0.00")," ",DataSheet!P137)</f>
        <v>#DIV/0!</v>
      </c>
      <c r="N186" s="230"/>
      <c r="O186" s="230"/>
      <c r="P186" s="231"/>
      <c r="Q186" s="229" t="e">
        <f>CONCATENATE(TEXT(DataSheet!AR137,"0.00")," ",DataSheet!P137)</f>
        <v>#DIV/0!</v>
      </c>
      <c r="R186" s="230"/>
      <c r="S186" s="230"/>
      <c r="T186" s="231"/>
      <c r="U186" s="229" t="e">
        <f>CONCATENATE(" ",TEXT(DataSheet!DD137,"0.000")," ",DataSheet!CZ137)</f>
        <v>#DIV/0!</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DANICA BEA NERI</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160</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161</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162</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45909</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163</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46000</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164</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165</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t="s">
        <v>165</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165</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166</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165</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166</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166</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167</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167</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168</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168</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169</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168</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t="s">
        <v>165</v>
      </c>
      <c r="C33" s="348"/>
      <c r="D33" s="348"/>
      <c r="E33" s="348"/>
      <c r="F33" s="348"/>
      <c r="G33" s="348"/>
      <c r="H33" s="348"/>
      <c r="I33" s="348"/>
      <c r="J33" s="348"/>
      <c r="K33" s="348"/>
      <c r="L33" s="348"/>
      <c r="M33" s="348"/>
      <c r="N33" s="348"/>
      <c r="O33" s="348"/>
      <c r="P33" s="349"/>
      <c r="Q33" s="347" t="s">
        <v>165</v>
      </c>
      <c r="R33" s="348"/>
      <c r="S33" s="348"/>
      <c r="T33" s="348"/>
      <c r="U33" s="348"/>
      <c r="V33" s="348"/>
      <c r="W33" s="348"/>
      <c r="X33" s="348"/>
      <c r="Y33" s="348"/>
      <c r="Z33" s="348"/>
      <c r="AA33" s="349"/>
      <c r="AB33" s="339" t="s">
        <v>165</v>
      </c>
      <c r="AC33" s="340"/>
      <c r="AD33" s="340"/>
      <c r="AE33" s="340"/>
      <c r="AF33" s="340"/>
      <c r="AG33" s="340"/>
      <c r="AH33" s="340"/>
      <c r="AI33" s="340"/>
      <c r="AJ33" s="340"/>
      <c r="AK33" s="340"/>
      <c r="AL33" s="340"/>
      <c r="AM33" s="340"/>
      <c r="AN33" s="341"/>
      <c r="AO33" s="342" t="s">
        <v>170</v>
      </c>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t="s">
        <v>165</v>
      </c>
      <c r="C34" s="346"/>
      <c r="D34" s="346"/>
      <c r="E34" s="346"/>
      <c r="F34" s="346"/>
      <c r="G34" s="346"/>
      <c r="H34" s="346"/>
      <c r="I34" s="346"/>
      <c r="J34" s="346"/>
      <c r="K34" s="346"/>
      <c r="L34" s="346"/>
      <c r="M34" s="346"/>
      <c r="N34" s="346"/>
      <c r="O34" s="346"/>
      <c r="P34" s="346"/>
      <c r="Q34" s="444" t="s">
        <v>165</v>
      </c>
      <c r="R34" s="346"/>
      <c r="S34" s="346"/>
      <c r="T34" s="346"/>
      <c r="U34" s="346"/>
      <c r="V34" s="346"/>
      <c r="W34" s="346"/>
      <c r="X34" s="346"/>
      <c r="Y34" s="346"/>
      <c r="Z34" s="346"/>
      <c r="AA34" s="445"/>
      <c r="AB34" s="346" t="s">
        <v>165</v>
      </c>
      <c r="AC34" s="346"/>
      <c r="AD34" s="346"/>
      <c r="AE34" s="346"/>
      <c r="AF34" s="346"/>
      <c r="AG34" s="346"/>
      <c r="AH34" s="346"/>
      <c r="AI34" s="346"/>
      <c r="AJ34" s="346"/>
      <c r="AK34" s="346"/>
      <c r="AL34" s="346"/>
      <c r="AM34" s="346"/>
      <c r="AN34" s="445"/>
      <c r="AO34" s="446" t="s">
        <v>170</v>
      </c>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t="s">
        <v>165</v>
      </c>
      <c r="C37" s="337"/>
      <c r="D37" s="337"/>
      <c r="E37" s="337"/>
      <c r="F37" s="337"/>
      <c r="G37" s="337"/>
      <c r="H37" s="337"/>
      <c r="I37" s="337"/>
      <c r="J37" s="337"/>
      <c r="K37" s="337"/>
      <c r="L37" s="337"/>
      <c r="M37" s="337"/>
      <c r="N37" s="337"/>
      <c r="O37" s="337"/>
      <c r="P37" s="337"/>
      <c r="Q37" s="438" t="s">
        <v>165</v>
      </c>
      <c r="R37" s="337"/>
      <c r="S37" s="337"/>
      <c r="T37" s="337"/>
      <c r="U37" s="337"/>
      <c r="V37" s="337"/>
      <c r="W37" s="337"/>
      <c r="X37" s="337"/>
      <c r="Y37" s="337"/>
      <c r="Z37" s="337"/>
      <c r="AA37" s="338"/>
      <c r="AB37" s="439" t="s">
        <v>171</v>
      </c>
      <c r="AC37" s="337"/>
      <c r="AD37" s="337"/>
      <c r="AE37" s="337"/>
      <c r="AF37" s="337"/>
      <c r="AG37" s="337"/>
      <c r="AH37" s="337"/>
      <c r="AI37" s="337"/>
      <c r="AJ37" s="337"/>
      <c r="AK37" s="337"/>
      <c r="AL37" s="337"/>
      <c r="AM37" s="337"/>
      <c r="AN37" s="338"/>
      <c r="AO37" s="439" t="s">
        <v>172</v>
      </c>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t="s">
        <v>173</v>
      </c>
      <c r="C38" s="337"/>
      <c r="D38" s="337"/>
      <c r="E38" s="337"/>
      <c r="F38" s="337"/>
      <c r="G38" s="337"/>
      <c r="H38" s="337"/>
      <c r="I38" s="337"/>
      <c r="J38" s="337"/>
      <c r="K38" s="337"/>
      <c r="L38" s="337"/>
      <c r="M38" s="337"/>
      <c r="N38" s="337"/>
      <c r="O38" s="337"/>
      <c r="P38" s="337"/>
      <c r="Q38" s="442" t="s">
        <v>174</v>
      </c>
      <c r="R38" s="337"/>
      <c r="S38" s="337"/>
      <c r="T38" s="337"/>
      <c r="U38" s="337"/>
      <c r="V38" s="337"/>
      <c r="W38" s="337"/>
      <c r="X38" s="337"/>
      <c r="Y38" s="337"/>
      <c r="Z38" s="337"/>
      <c r="AA38" s="338"/>
      <c r="AB38" s="337" t="s">
        <v>175</v>
      </c>
      <c r="AC38" s="337"/>
      <c r="AD38" s="337"/>
      <c r="AE38" s="337"/>
      <c r="AF38" s="337"/>
      <c r="AG38" s="337"/>
      <c r="AH38" s="337"/>
      <c r="AI38" s="337"/>
      <c r="AJ38" s="337"/>
      <c r="AK38" s="337"/>
      <c r="AL38" s="337"/>
      <c r="AM38" s="337"/>
      <c r="AN38" s="338"/>
      <c r="AO38" s="337" t="s">
        <v>176</v>
      </c>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177</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131</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131</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124</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129</v>
      </c>
      <c r="CK52" s="364"/>
      <c r="CL52" s="364"/>
      <c r="CM52" s="364"/>
      <c r="CN52" s="365"/>
      <c r="CO52" s="2"/>
      <c r="CP52" s="363" t="s">
        <v>129</v>
      </c>
      <c r="CQ52" s="364"/>
      <c r="CR52" s="364"/>
      <c r="CS52" s="364"/>
      <c r="CT52" s="365"/>
      <c r="CV52" s="363" t="s">
        <v>71</v>
      </c>
      <c r="CW52" s="364"/>
      <c r="CX52" s="364"/>
      <c r="CY52" s="364"/>
      <c r="CZ52" s="365"/>
      <c r="DB52" s="368" t="s">
        <v>116</v>
      </c>
      <c r="DC52" s="369"/>
      <c r="DD52" s="353" t="s">
        <v>117</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134</v>
      </c>
      <c r="G55" s="311"/>
      <c r="H55" s="311"/>
      <c r="I55" s="311"/>
      <c r="J55" s="311"/>
      <c r="K55" s="312"/>
      <c r="L55" s="297">
        <v>60</v>
      </c>
      <c r="M55" s="298"/>
      <c r="N55" s="298"/>
      <c r="O55" s="298"/>
      <c r="P55" s="299" t="s">
        <v>91</v>
      </c>
      <c r="Q55" s="299"/>
      <c r="R55" s="300"/>
      <c r="S55" s="301"/>
      <c r="T55" s="301"/>
      <c r="U55" s="301"/>
      <c r="V55" s="301"/>
      <c r="W55" s="301"/>
      <c r="X55" s="291"/>
      <c r="Y55" s="291"/>
      <c r="Z55" s="291"/>
      <c r="AA55" s="291"/>
      <c r="AB55" s="291"/>
      <c r="AC55" s="325"/>
      <c r="AD55" s="326"/>
      <c r="AE55" s="326"/>
      <c r="AF55" s="326"/>
      <c r="AG55" s="327"/>
      <c r="AH55" s="325"/>
      <c r="AI55" s="326"/>
      <c r="AJ55" s="326"/>
      <c r="AK55" s="326"/>
      <c r="AL55" s="327"/>
      <c r="AM55" s="291" t="e">
        <f t="shared" ref="AM55:AM68" si="0">AVERAGE(X55:AL55)</f>
        <v>#DIV/0!</v>
      </c>
      <c r="AN55" s="291"/>
      <c r="AO55" s="291"/>
      <c r="AP55" s="291"/>
      <c r="AQ55" s="291"/>
      <c r="AR55" s="291" t="e">
        <f>AM55-L55</f>
        <v>#DIV/0!</v>
      </c>
      <c r="AS55" s="291"/>
      <c r="AT55" s="291"/>
      <c r="AU55" s="291"/>
      <c r="AV55" s="291"/>
      <c r="AW55" s="139"/>
      <c r="AX55" s="139"/>
      <c r="AY55" s="139"/>
      <c r="AZ55" s="172"/>
      <c r="BA55" s="173"/>
      <c r="BB55" s="303" t="e">
        <f>ABS(AM55*0.1%)+(1*CK55)</f>
        <v>#DIV/0!</v>
      </c>
      <c r="BC55" s="303"/>
      <c r="BD55" s="303"/>
      <c r="BE55" s="303"/>
      <c r="BF55" s="303"/>
      <c r="BG55" s="303" t="e">
        <f>L55+BB55</f>
        <v>#DIV/0!</v>
      </c>
      <c r="BH55" s="303"/>
      <c r="BI55" s="303"/>
      <c r="BJ55" s="303"/>
      <c r="BK55" s="303"/>
      <c r="BL55" s="303" t="e">
        <f>L55-BB55</f>
        <v>#DIV/0!</v>
      </c>
      <c r="BM55" s="303"/>
      <c r="BN55" s="303"/>
      <c r="BO55" s="303"/>
      <c r="BP55" s="303"/>
      <c r="BQ55" s="292" t="e">
        <f>IF(AND(AM55&lt;=BG55,AM55&gt;=BL55),"PASS","FAIL")</f>
        <v>#DIV/0!</v>
      </c>
      <c r="BR55" s="292"/>
      <c r="BS55" s="292"/>
      <c r="BT55" s="292"/>
      <c r="BU55" s="292"/>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t="e">
        <f>STDEV(X55:AL55)</f>
        <v>#DIV/0!</v>
      </c>
      <c r="CR55" s="71" t="str">
        <f t="shared" ref="CR55:CR68" si="2">P55</f>
        <v>mV</v>
      </c>
      <c r="CS55" s="80">
        <f>SQRT(3)</f>
        <v>1.7320508075688772</v>
      </c>
      <c r="CT55" s="85" t="e">
        <f>CQ55/CS55</f>
        <v>#DIV/0!</v>
      </c>
      <c r="CU55" s="8"/>
      <c r="CV55" s="92" t="e">
        <f>SQRT(SUMSQ(CT55,CN55,CH55,CB55))</f>
        <v>#DIV/0!</v>
      </c>
      <c r="CW55" s="88" t="e">
        <f>(CV55^4)/(((CT55^4)/2)+((CN55^4)/200)+((CH55^4)/200)+((CB55^4)/200))</f>
        <v>#DIV/0!</v>
      </c>
      <c r="CX55" s="93" t="e">
        <f>ROUND(TINV(0.05,CW55),0)</f>
        <v>#DIV/0!</v>
      </c>
      <c r="CY55" s="103" t="e">
        <f>(CV55*CX55)</f>
        <v>#DIV/0!</v>
      </c>
      <c r="CZ55" s="104" t="str">
        <f t="shared" ref="CZ55:CZ68" si="3">P55</f>
        <v>mV</v>
      </c>
      <c r="DA55" s="8"/>
      <c r="DB55" s="177">
        <v>1.6000000000000001E-3</v>
      </c>
      <c r="DC55" s="178" t="str">
        <f>CZ55</f>
        <v>mV</v>
      </c>
      <c r="DD55" s="220" t="e">
        <f>MAX(DB55,CY55)</f>
        <v>#DIV/0!</v>
      </c>
      <c r="DE55" s="178" t="s">
        <v>157</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c r="Y56" s="291"/>
      <c r="Z56" s="291"/>
      <c r="AA56" s="291"/>
      <c r="AB56" s="291"/>
      <c r="AC56" s="291"/>
      <c r="AD56" s="291"/>
      <c r="AE56" s="291"/>
      <c r="AF56" s="291"/>
      <c r="AG56" s="291"/>
      <c r="AH56" s="291"/>
      <c r="AI56" s="291"/>
      <c r="AJ56" s="291"/>
      <c r="AK56" s="291"/>
      <c r="AL56" s="291"/>
      <c r="AM56" s="325" t="e">
        <f t="shared" si="0"/>
        <v>#DIV/0!</v>
      </c>
      <c r="AN56" s="326"/>
      <c r="AO56" s="326"/>
      <c r="AP56" s="326"/>
      <c r="AQ56" s="327"/>
      <c r="AR56" s="325" t="e">
        <f t="shared" ref="AR56:AR68" si="4">AM56-L56</f>
        <v>#DIV/0!</v>
      </c>
      <c r="AS56" s="326"/>
      <c r="AT56" s="326"/>
      <c r="AU56" s="326"/>
      <c r="AV56" s="327"/>
      <c r="AW56" s="139"/>
      <c r="AX56" s="139"/>
      <c r="AY56" s="139"/>
      <c r="AZ56" s="172"/>
      <c r="BA56" s="173"/>
      <c r="BB56" s="322" t="e">
        <f t="shared" ref="BB56:BB71" si="5">ABS(AM56*0.1%)+(1*CK56)</f>
        <v>#DIV/0!</v>
      </c>
      <c r="BC56" s="323"/>
      <c r="BD56" s="323"/>
      <c r="BE56" s="323"/>
      <c r="BF56" s="324"/>
      <c r="BG56" s="322" t="e">
        <f t="shared" ref="BG56:BG71" si="6">L56+BB56</f>
        <v>#DIV/0!</v>
      </c>
      <c r="BH56" s="323"/>
      <c r="BI56" s="323"/>
      <c r="BJ56" s="323"/>
      <c r="BK56" s="324"/>
      <c r="BL56" s="322" t="e">
        <f t="shared" ref="BL56:BL71" si="7">L56-BB56</f>
        <v>#DIV/0!</v>
      </c>
      <c r="BM56" s="323"/>
      <c r="BN56" s="323"/>
      <c r="BO56" s="323"/>
      <c r="BP56" s="324"/>
      <c r="BQ56" s="292" t="e">
        <f t="shared" ref="BQ56:BQ68" si="8">IF(AND(AM56&lt;=BG56,AM56&gt;=BL56),"PASS","FAIL")</f>
        <v>#DIV/0!</v>
      </c>
      <c r="BR56" s="292"/>
      <c r="BS56" s="292"/>
      <c r="BT56" s="292"/>
      <c r="BU56" s="292"/>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t="e">
        <f t="shared" ref="CQ56:CQ68" si="16">STDEV(X56:AL56)</f>
        <v>#DIV/0!</v>
      </c>
      <c r="CR56" s="1" t="str">
        <f t="shared" si="2"/>
        <v>mV</v>
      </c>
      <c r="CS56" s="81">
        <f t="shared" ref="CS56:CS71" si="17">SQRT(3)</f>
        <v>1.7320508075688772</v>
      </c>
      <c r="CT56" s="86" t="e">
        <f t="shared" ref="CT56:CT68" si="18">CQ56/CS56</f>
        <v>#DIV/0!</v>
      </c>
      <c r="CU56" s="8"/>
      <c r="CV56" s="94" t="e">
        <f t="shared" ref="CV56:CV68" si="19">SQRT(SUMSQ(CT56,CN56,CH56,CB56))</f>
        <v>#DIV/0!</v>
      </c>
      <c r="CW56" s="5" t="e">
        <f t="shared" ref="CW56:CW68" si="20">(CV56^4)/(((CT56^4)/2)+((CN56^4)/200)+((CH56^4)/200)+((CB56^4)/200))</f>
        <v>#DIV/0!</v>
      </c>
      <c r="CX56" s="95" t="e">
        <f t="shared" ref="CX56:CX57" si="21">ROUND(TINV(0.05,CW56),0)</f>
        <v>#DIV/0!</v>
      </c>
      <c r="CY56" s="105" t="e">
        <f t="shared" ref="CY56:CY58" si="22">(CV56*CX56)</f>
        <v>#DIV/0!</v>
      </c>
      <c r="CZ56" s="106" t="str">
        <f t="shared" si="3"/>
        <v>mV</v>
      </c>
      <c r="DA56" s="8"/>
      <c r="DB56" s="177">
        <v>1.8E-3</v>
      </c>
      <c r="DC56" s="178" t="str">
        <f t="shared" ref="DC56:DC68" si="23">CZ56</f>
        <v>mV</v>
      </c>
      <c r="DD56" s="220" t="e">
        <f t="shared" ref="DD56:DD71" si="24">MAX(DB56,CY56)</f>
        <v>#DIV/0!</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c r="Y57" s="291"/>
      <c r="Z57" s="291"/>
      <c r="AA57" s="291"/>
      <c r="AB57" s="291"/>
      <c r="AC57" s="291"/>
      <c r="AD57" s="291"/>
      <c r="AE57" s="291"/>
      <c r="AF57" s="291"/>
      <c r="AG57" s="291"/>
      <c r="AH57" s="291"/>
      <c r="AI57" s="291"/>
      <c r="AJ57" s="291"/>
      <c r="AK57" s="291"/>
      <c r="AL57" s="291"/>
      <c r="AM57" s="291" t="e">
        <f t="shared" si="0"/>
        <v>#DIV/0!</v>
      </c>
      <c r="AN57" s="291"/>
      <c r="AO57" s="291"/>
      <c r="AP57" s="291"/>
      <c r="AQ57" s="291"/>
      <c r="AR57" s="291" t="e">
        <f t="shared" si="4"/>
        <v>#DIV/0!</v>
      </c>
      <c r="AS57" s="291"/>
      <c r="AT57" s="291"/>
      <c r="AU57" s="291"/>
      <c r="AV57" s="291"/>
      <c r="AW57" s="139"/>
      <c r="AX57" s="139"/>
      <c r="AY57" s="139"/>
      <c r="AZ57" s="172"/>
      <c r="BA57" s="173"/>
      <c r="BB57" s="322" t="e">
        <f t="shared" si="5"/>
        <v>#DIV/0!</v>
      </c>
      <c r="BC57" s="323"/>
      <c r="BD57" s="323"/>
      <c r="BE57" s="323"/>
      <c r="BF57" s="324"/>
      <c r="BG57" s="322" t="e">
        <f t="shared" si="6"/>
        <v>#DIV/0!</v>
      </c>
      <c r="BH57" s="323"/>
      <c r="BI57" s="323"/>
      <c r="BJ57" s="323"/>
      <c r="BK57" s="324"/>
      <c r="BL57" s="322" t="e">
        <f t="shared" si="7"/>
        <v>#DIV/0!</v>
      </c>
      <c r="BM57" s="323"/>
      <c r="BN57" s="323"/>
      <c r="BO57" s="323"/>
      <c r="BP57" s="324"/>
      <c r="BQ57" s="292" t="e">
        <f t="shared" si="8"/>
        <v>#DIV/0!</v>
      </c>
      <c r="BR57" s="292"/>
      <c r="BS57" s="292"/>
      <c r="BT57" s="292"/>
      <c r="BU57" s="292"/>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t="e">
        <f t="shared" si="16"/>
        <v>#DIV/0!</v>
      </c>
      <c r="CR57" s="1" t="str">
        <f t="shared" si="2"/>
        <v>mV</v>
      </c>
      <c r="CS57" s="81">
        <f t="shared" si="17"/>
        <v>1.7320508075688772</v>
      </c>
      <c r="CT57" s="86" t="e">
        <f t="shared" si="18"/>
        <v>#DIV/0!</v>
      </c>
      <c r="CU57" s="8"/>
      <c r="CV57" s="94" t="e">
        <f t="shared" si="19"/>
        <v>#DIV/0!</v>
      </c>
      <c r="CW57" s="5" t="e">
        <f t="shared" si="20"/>
        <v>#DIV/0!</v>
      </c>
      <c r="CX57" s="95" t="e">
        <f t="shared" si="21"/>
        <v>#DIV/0!</v>
      </c>
      <c r="CY57" s="105" t="e">
        <f t="shared" si="22"/>
        <v>#DIV/0!</v>
      </c>
      <c r="CZ57" s="106" t="str">
        <f t="shared" si="3"/>
        <v>mV</v>
      </c>
      <c r="DA57" s="8"/>
      <c r="DB57" s="177">
        <v>1.8E-3</v>
      </c>
      <c r="DC57" s="178" t="str">
        <f t="shared" si="23"/>
        <v>mV</v>
      </c>
      <c r="DD57" s="220" t="e">
        <f t="shared" si="24"/>
        <v>#DIV/0!</v>
      </c>
      <c r="DE57" s="178" t="str">
        <f t="shared" si="25"/>
        <v>mV</v>
      </c>
    </row>
    <row r="58" spans="1:109" s="174" customFormat="1" ht="18" customHeight="1">
      <c r="A58" s="173"/>
      <c r="B58" s="170"/>
      <c r="C58" s="139"/>
      <c r="D58" s="139"/>
      <c r="E58" s="139"/>
      <c r="F58" s="310" t="s">
        <v>135</v>
      </c>
      <c r="G58" s="311"/>
      <c r="H58" s="311"/>
      <c r="I58" s="311"/>
      <c r="J58" s="311"/>
      <c r="K58" s="312"/>
      <c r="L58" s="297">
        <f>6*10%</f>
        <v>0.60000000000000009</v>
      </c>
      <c r="M58" s="298"/>
      <c r="N58" s="298"/>
      <c r="O58" s="298"/>
      <c r="P58" s="299" t="s">
        <v>93</v>
      </c>
      <c r="Q58" s="299"/>
      <c r="R58" s="300"/>
      <c r="S58" s="301" t="s">
        <v>56</v>
      </c>
      <c r="T58" s="301"/>
      <c r="U58" s="301"/>
      <c r="V58" s="301"/>
      <c r="W58" s="301"/>
      <c r="X58" s="291"/>
      <c r="Y58" s="291"/>
      <c r="Z58" s="291"/>
      <c r="AA58" s="291"/>
      <c r="AB58" s="291"/>
      <c r="AC58" s="291"/>
      <c r="AD58" s="291"/>
      <c r="AE58" s="291"/>
      <c r="AF58" s="291"/>
      <c r="AG58" s="291"/>
      <c r="AH58" s="291"/>
      <c r="AI58" s="291"/>
      <c r="AJ58" s="291"/>
      <c r="AK58" s="291"/>
      <c r="AL58" s="291"/>
      <c r="AM58" s="320" t="e">
        <f t="shared" si="0"/>
        <v>#DIV/0!</v>
      </c>
      <c r="AN58" s="320"/>
      <c r="AO58" s="320"/>
      <c r="AP58" s="320"/>
      <c r="AQ58" s="320"/>
      <c r="AR58" s="320" t="e">
        <f t="shared" si="4"/>
        <v>#DIV/0!</v>
      </c>
      <c r="AS58" s="320"/>
      <c r="AT58" s="320"/>
      <c r="AU58" s="320"/>
      <c r="AV58" s="320"/>
      <c r="AW58" s="139"/>
      <c r="AX58" s="139"/>
      <c r="AY58" s="139"/>
      <c r="AZ58" s="172"/>
      <c r="BA58" s="173"/>
      <c r="BB58" s="322" t="e">
        <f t="shared" si="5"/>
        <v>#DIV/0!</v>
      </c>
      <c r="BC58" s="323"/>
      <c r="BD58" s="323"/>
      <c r="BE58" s="323"/>
      <c r="BF58" s="324"/>
      <c r="BG58" s="322" t="e">
        <f t="shared" si="6"/>
        <v>#DIV/0!</v>
      </c>
      <c r="BH58" s="323"/>
      <c r="BI58" s="323"/>
      <c r="BJ58" s="323"/>
      <c r="BK58" s="324"/>
      <c r="BL58" s="322" t="e">
        <f t="shared" si="7"/>
        <v>#DIV/0!</v>
      </c>
      <c r="BM58" s="323"/>
      <c r="BN58" s="323"/>
      <c r="BO58" s="323"/>
      <c r="BP58" s="324"/>
      <c r="BQ58" s="292" t="e">
        <f t="shared" si="8"/>
        <v>#DIV/0!</v>
      </c>
      <c r="BR58" s="292"/>
      <c r="BS58" s="292"/>
      <c r="BT58" s="292"/>
      <c r="BU58" s="292"/>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t="e">
        <f t="shared" si="16"/>
        <v>#DIV/0!</v>
      </c>
      <c r="CR58" s="1" t="str">
        <f t="shared" si="2"/>
        <v>V</v>
      </c>
      <c r="CS58" s="81">
        <f t="shared" si="17"/>
        <v>1.7320508075688772</v>
      </c>
      <c r="CT58" s="86" t="e">
        <f t="shared" si="18"/>
        <v>#DIV/0!</v>
      </c>
      <c r="CU58" s="8"/>
      <c r="CV58" s="94" t="e">
        <f t="shared" si="19"/>
        <v>#DIV/0!</v>
      </c>
      <c r="CW58" s="5" t="e">
        <f t="shared" si="20"/>
        <v>#DIV/0!</v>
      </c>
      <c r="CX58" s="95" t="e">
        <f t="shared" ref="CX58:CX60" si="27">ROUND(TINV(0.05,CW58),0)</f>
        <v>#DIV/0!</v>
      </c>
      <c r="CY58" s="110" t="e">
        <f t="shared" si="22"/>
        <v>#DIV/0!</v>
      </c>
      <c r="CZ58" s="106" t="str">
        <f t="shared" si="3"/>
        <v>V</v>
      </c>
      <c r="DA58" s="8"/>
      <c r="DB58" s="203">
        <v>1.7999999999999999E-6</v>
      </c>
      <c r="DC58" s="178" t="str">
        <f>CZ58</f>
        <v>V</v>
      </c>
      <c r="DD58" s="220" t="e">
        <f t="shared" si="24"/>
        <v>#DIV/0!</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c r="Y59" s="291"/>
      <c r="Z59" s="291"/>
      <c r="AA59" s="291"/>
      <c r="AB59" s="291"/>
      <c r="AC59" s="291"/>
      <c r="AD59" s="291"/>
      <c r="AE59" s="291"/>
      <c r="AF59" s="291"/>
      <c r="AG59" s="291"/>
      <c r="AH59" s="291"/>
      <c r="AI59" s="291"/>
      <c r="AJ59" s="291"/>
      <c r="AK59" s="291"/>
      <c r="AL59" s="291"/>
      <c r="AM59" s="320" t="e">
        <f t="shared" si="0"/>
        <v>#DIV/0!</v>
      </c>
      <c r="AN59" s="320"/>
      <c r="AO59" s="320"/>
      <c r="AP59" s="320"/>
      <c r="AQ59" s="320"/>
      <c r="AR59" s="320" t="e">
        <f t="shared" si="4"/>
        <v>#DIV/0!</v>
      </c>
      <c r="AS59" s="320"/>
      <c r="AT59" s="320"/>
      <c r="AU59" s="320"/>
      <c r="AV59" s="320"/>
      <c r="AW59" s="139"/>
      <c r="AX59" s="139"/>
      <c r="AY59" s="139"/>
      <c r="AZ59" s="172"/>
      <c r="BA59" s="173"/>
      <c r="BB59" s="322" t="e">
        <f t="shared" si="5"/>
        <v>#DIV/0!</v>
      </c>
      <c r="BC59" s="323"/>
      <c r="BD59" s="323"/>
      <c r="BE59" s="323"/>
      <c r="BF59" s="324"/>
      <c r="BG59" s="322" t="e">
        <f t="shared" si="6"/>
        <v>#DIV/0!</v>
      </c>
      <c r="BH59" s="323"/>
      <c r="BI59" s="323"/>
      <c r="BJ59" s="323"/>
      <c r="BK59" s="324"/>
      <c r="BL59" s="322" t="e">
        <f t="shared" si="7"/>
        <v>#DIV/0!</v>
      </c>
      <c r="BM59" s="323"/>
      <c r="BN59" s="323"/>
      <c r="BO59" s="323"/>
      <c r="BP59" s="324"/>
      <c r="BQ59" s="292" t="e">
        <f t="shared" si="8"/>
        <v>#DIV/0!</v>
      </c>
      <c r="BR59" s="292"/>
      <c r="BS59" s="292"/>
      <c r="BT59" s="292"/>
      <c r="BU59" s="292"/>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t="e">
        <f t="shared" si="16"/>
        <v>#DIV/0!</v>
      </c>
      <c r="CR59" s="1" t="str">
        <f t="shared" si="2"/>
        <v>V</v>
      </c>
      <c r="CS59" s="81">
        <f t="shared" si="17"/>
        <v>1.7320508075688772</v>
      </c>
      <c r="CT59" s="86" t="e">
        <f t="shared" si="18"/>
        <v>#DIV/0!</v>
      </c>
      <c r="CU59" s="8"/>
      <c r="CV59" s="94" t="e">
        <f t="shared" si="19"/>
        <v>#DIV/0!</v>
      </c>
      <c r="CW59" s="5" t="e">
        <f t="shared" si="20"/>
        <v>#DIV/0!</v>
      </c>
      <c r="CX59" s="95" t="e">
        <f t="shared" si="27"/>
        <v>#DIV/0!</v>
      </c>
      <c r="CY59" s="111" t="e">
        <f t="shared" ref="CY59:CY61" si="28">(CV59*CX59)</f>
        <v>#DIV/0!</v>
      </c>
      <c r="CZ59" s="106" t="str">
        <f t="shared" si="3"/>
        <v>V</v>
      </c>
      <c r="DA59" s="8"/>
      <c r="DB59" s="177">
        <v>1.0000000000000001E-5</v>
      </c>
      <c r="DC59" s="178" t="str">
        <f t="shared" si="23"/>
        <v>V</v>
      </c>
      <c r="DD59" s="220" t="e">
        <f t="shared" si="24"/>
        <v>#DIV/0!</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c r="Y60" s="291"/>
      <c r="Z60" s="291"/>
      <c r="AA60" s="291"/>
      <c r="AB60" s="291"/>
      <c r="AC60" s="291"/>
      <c r="AD60" s="291"/>
      <c r="AE60" s="291"/>
      <c r="AF60" s="291"/>
      <c r="AG60" s="291"/>
      <c r="AH60" s="291"/>
      <c r="AI60" s="291"/>
      <c r="AJ60" s="291"/>
      <c r="AK60" s="291"/>
      <c r="AL60" s="291"/>
      <c r="AM60" s="404" t="e">
        <f t="shared" si="0"/>
        <v>#DIV/0!</v>
      </c>
      <c r="AN60" s="405"/>
      <c r="AO60" s="405"/>
      <c r="AP60" s="405"/>
      <c r="AQ60" s="406"/>
      <c r="AR60" s="320" t="e">
        <f t="shared" si="4"/>
        <v>#DIV/0!</v>
      </c>
      <c r="AS60" s="320"/>
      <c r="AT60" s="320"/>
      <c r="AU60" s="320"/>
      <c r="AV60" s="320"/>
      <c r="AW60" s="139"/>
      <c r="AX60" s="139"/>
      <c r="AY60" s="139"/>
      <c r="AZ60" s="172"/>
      <c r="BA60" s="173"/>
      <c r="BB60" s="322" t="e">
        <f t="shared" si="5"/>
        <v>#DIV/0!</v>
      </c>
      <c r="BC60" s="323"/>
      <c r="BD60" s="323"/>
      <c r="BE60" s="323"/>
      <c r="BF60" s="324"/>
      <c r="BG60" s="322" t="e">
        <f t="shared" si="6"/>
        <v>#DIV/0!</v>
      </c>
      <c r="BH60" s="323"/>
      <c r="BI60" s="323"/>
      <c r="BJ60" s="323"/>
      <c r="BK60" s="324"/>
      <c r="BL60" s="322" t="e">
        <f t="shared" si="7"/>
        <v>#DIV/0!</v>
      </c>
      <c r="BM60" s="323"/>
      <c r="BN60" s="323"/>
      <c r="BO60" s="323"/>
      <c r="BP60" s="324"/>
      <c r="BQ60" s="292" t="e">
        <f t="shared" si="8"/>
        <v>#DIV/0!</v>
      </c>
      <c r="BR60" s="292"/>
      <c r="BS60" s="292"/>
      <c r="BT60" s="292"/>
      <c r="BU60" s="292"/>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t="e">
        <f t="shared" si="16"/>
        <v>#DIV/0!</v>
      </c>
      <c r="CR60" s="1" t="str">
        <f t="shared" si="2"/>
        <v>V</v>
      </c>
      <c r="CS60" s="81">
        <f t="shared" si="17"/>
        <v>1.7320508075688772</v>
      </c>
      <c r="CT60" s="86" t="e">
        <f t="shared" si="18"/>
        <v>#DIV/0!</v>
      </c>
      <c r="CU60" s="8"/>
      <c r="CV60" s="94" t="e">
        <f t="shared" si="19"/>
        <v>#DIV/0!</v>
      </c>
      <c r="CW60" s="5" t="e">
        <f t="shared" si="20"/>
        <v>#DIV/0!</v>
      </c>
      <c r="CX60" s="95" t="e">
        <f t="shared" si="27"/>
        <v>#DIV/0!</v>
      </c>
      <c r="CY60" s="111" t="e">
        <f t="shared" si="28"/>
        <v>#DIV/0!</v>
      </c>
      <c r="CZ60" s="106" t="str">
        <f t="shared" si="3"/>
        <v>V</v>
      </c>
      <c r="DA60" s="8"/>
      <c r="DB60" s="177">
        <v>1.0000000000000001E-5</v>
      </c>
      <c r="DC60" s="178" t="str">
        <f t="shared" si="23"/>
        <v>V</v>
      </c>
      <c r="DD60" s="220" t="e">
        <f t="shared" si="24"/>
        <v>#DIV/0!</v>
      </c>
      <c r="DE60" s="178" t="str">
        <f t="shared" si="25"/>
        <v>V</v>
      </c>
    </row>
    <row r="61" spans="1:109" s="174" customFormat="1" ht="18" customHeight="1">
      <c r="A61" s="173"/>
      <c r="B61" s="170"/>
      <c r="C61" s="139"/>
      <c r="D61" s="139"/>
      <c r="E61" s="139"/>
      <c r="F61" s="310" t="s">
        <v>136</v>
      </c>
      <c r="G61" s="311"/>
      <c r="H61" s="311"/>
      <c r="I61" s="311"/>
      <c r="J61" s="311"/>
      <c r="K61" s="312"/>
      <c r="L61" s="297">
        <f>60*10%</f>
        <v>6</v>
      </c>
      <c r="M61" s="298"/>
      <c r="N61" s="298"/>
      <c r="O61" s="298"/>
      <c r="P61" s="299" t="s">
        <v>93</v>
      </c>
      <c r="Q61" s="299"/>
      <c r="R61" s="300"/>
      <c r="S61" s="301" t="s">
        <v>56</v>
      </c>
      <c r="T61" s="301"/>
      <c r="U61" s="301"/>
      <c r="V61" s="301"/>
      <c r="W61" s="301"/>
      <c r="X61" s="291"/>
      <c r="Y61" s="291"/>
      <c r="Z61" s="291"/>
      <c r="AA61" s="291"/>
      <c r="AB61" s="291"/>
      <c r="AC61" s="291"/>
      <c r="AD61" s="291"/>
      <c r="AE61" s="291"/>
      <c r="AF61" s="291"/>
      <c r="AG61" s="291"/>
      <c r="AH61" s="291"/>
      <c r="AI61" s="291"/>
      <c r="AJ61" s="291"/>
      <c r="AK61" s="291"/>
      <c r="AL61" s="291"/>
      <c r="AM61" s="303" t="e">
        <f t="shared" si="0"/>
        <v>#DIV/0!</v>
      </c>
      <c r="AN61" s="303"/>
      <c r="AO61" s="303"/>
      <c r="AP61" s="303"/>
      <c r="AQ61" s="303"/>
      <c r="AR61" s="303" t="e">
        <f t="shared" si="4"/>
        <v>#DIV/0!</v>
      </c>
      <c r="AS61" s="303"/>
      <c r="AT61" s="303"/>
      <c r="AU61" s="303"/>
      <c r="AV61" s="303"/>
      <c r="AW61" s="139"/>
      <c r="AX61" s="139"/>
      <c r="AY61" s="139"/>
      <c r="AZ61" s="172"/>
      <c r="BA61" s="173"/>
      <c r="BB61" s="322" t="e">
        <f t="shared" si="5"/>
        <v>#DIV/0!</v>
      </c>
      <c r="BC61" s="323"/>
      <c r="BD61" s="323"/>
      <c r="BE61" s="323"/>
      <c r="BF61" s="324"/>
      <c r="BG61" s="322" t="e">
        <f t="shared" si="6"/>
        <v>#DIV/0!</v>
      </c>
      <c r="BH61" s="323"/>
      <c r="BI61" s="323"/>
      <c r="BJ61" s="323"/>
      <c r="BK61" s="324"/>
      <c r="BL61" s="322" t="e">
        <f t="shared" si="7"/>
        <v>#DIV/0!</v>
      </c>
      <c r="BM61" s="323"/>
      <c r="BN61" s="323"/>
      <c r="BO61" s="323"/>
      <c r="BP61" s="324"/>
      <c r="BQ61" s="292" t="e">
        <f t="shared" si="8"/>
        <v>#DIV/0!</v>
      </c>
      <c r="BR61" s="292"/>
      <c r="BS61" s="292"/>
      <c r="BT61" s="292"/>
      <c r="BU61" s="292"/>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t="e">
        <f t="shared" si="16"/>
        <v>#DIV/0!</v>
      </c>
      <c r="CR61" s="1" t="str">
        <f t="shared" si="2"/>
        <v>V</v>
      </c>
      <c r="CS61" s="81">
        <f t="shared" si="17"/>
        <v>1.7320508075688772</v>
      </c>
      <c r="CT61" s="86" t="e">
        <f t="shared" si="18"/>
        <v>#DIV/0!</v>
      </c>
      <c r="CU61" s="8"/>
      <c r="CV61" s="94" t="e">
        <f t="shared" si="19"/>
        <v>#DIV/0!</v>
      </c>
      <c r="CW61" s="5" t="e">
        <f t="shared" si="20"/>
        <v>#DIV/0!</v>
      </c>
      <c r="CX61" s="95" t="e">
        <f t="shared" ref="CX61:CX68" si="30">ROUND(TINV(0.05,CW61),0)</f>
        <v>#DIV/0!</v>
      </c>
      <c r="CY61" s="110" t="e">
        <f t="shared" si="28"/>
        <v>#DIV/0!</v>
      </c>
      <c r="CZ61" s="106" t="str">
        <f t="shared" si="3"/>
        <v>V</v>
      </c>
      <c r="DA61" s="8"/>
      <c r="DB61" s="177">
        <v>1.0000000000000001E-5</v>
      </c>
      <c r="DC61" s="178" t="str">
        <f t="shared" si="23"/>
        <v>V</v>
      </c>
      <c r="DD61" s="220" t="e">
        <f t="shared" si="24"/>
        <v>#DIV/0!</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c r="Y62" s="291"/>
      <c r="Z62" s="291"/>
      <c r="AA62" s="291"/>
      <c r="AB62" s="291"/>
      <c r="AC62" s="291"/>
      <c r="AD62" s="291"/>
      <c r="AE62" s="291"/>
      <c r="AF62" s="291"/>
      <c r="AG62" s="291"/>
      <c r="AH62" s="291"/>
      <c r="AI62" s="291"/>
      <c r="AJ62" s="291"/>
      <c r="AK62" s="291"/>
      <c r="AL62" s="291"/>
      <c r="AM62" s="303" t="e">
        <f t="shared" si="0"/>
        <v>#DIV/0!</v>
      </c>
      <c r="AN62" s="303"/>
      <c r="AO62" s="303"/>
      <c r="AP62" s="303"/>
      <c r="AQ62" s="303"/>
      <c r="AR62" s="303" t="e">
        <f t="shared" si="4"/>
        <v>#DIV/0!</v>
      </c>
      <c r="AS62" s="303"/>
      <c r="AT62" s="303"/>
      <c r="AU62" s="303"/>
      <c r="AV62" s="303"/>
      <c r="AW62" s="139"/>
      <c r="AX62" s="139"/>
      <c r="AY62" s="139"/>
      <c r="AZ62" s="172"/>
      <c r="BA62" s="173"/>
      <c r="BB62" s="322" t="e">
        <f t="shared" si="5"/>
        <v>#DIV/0!</v>
      </c>
      <c r="BC62" s="323"/>
      <c r="BD62" s="323"/>
      <c r="BE62" s="323"/>
      <c r="BF62" s="324"/>
      <c r="BG62" s="322" t="e">
        <f t="shared" si="6"/>
        <v>#DIV/0!</v>
      </c>
      <c r="BH62" s="323"/>
      <c r="BI62" s="323"/>
      <c r="BJ62" s="323"/>
      <c r="BK62" s="324"/>
      <c r="BL62" s="322" t="e">
        <f t="shared" si="7"/>
        <v>#DIV/0!</v>
      </c>
      <c r="BM62" s="323"/>
      <c r="BN62" s="323"/>
      <c r="BO62" s="323"/>
      <c r="BP62" s="324"/>
      <c r="BQ62" s="292" t="e">
        <f t="shared" si="8"/>
        <v>#DIV/0!</v>
      </c>
      <c r="BR62" s="292"/>
      <c r="BS62" s="292"/>
      <c r="BT62" s="292"/>
      <c r="BU62" s="292"/>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t="e">
        <f t="shared" si="16"/>
        <v>#DIV/0!</v>
      </c>
      <c r="CR62" s="1" t="str">
        <f t="shared" si="2"/>
        <v>V</v>
      </c>
      <c r="CS62" s="81">
        <f t="shared" si="17"/>
        <v>1.7320508075688772</v>
      </c>
      <c r="CT62" s="86" t="e">
        <f t="shared" si="18"/>
        <v>#DIV/0!</v>
      </c>
      <c r="CU62" s="8"/>
      <c r="CV62" s="94" t="e">
        <f t="shared" si="19"/>
        <v>#DIV/0!</v>
      </c>
      <c r="CW62" s="5" t="e">
        <f t="shared" si="20"/>
        <v>#DIV/0!</v>
      </c>
      <c r="CX62" s="95" t="e">
        <f t="shared" ref="CX62:CX63" si="32">ROUND(TINV(0.05,CW62),0)</f>
        <v>#DIV/0!</v>
      </c>
      <c r="CY62" s="110" t="e">
        <f t="shared" ref="CY62:CY63" si="33">(CV62*CX62)</f>
        <v>#DIV/0!</v>
      </c>
      <c r="CZ62" s="106" t="str">
        <f t="shared" si="3"/>
        <v>V</v>
      </c>
      <c r="DA62" s="8"/>
      <c r="DB62" s="177">
        <v>1.0000000000000001E-5</v>
      </c>
      <c r="DC62" s="178" t="str">
        <f t="shared" si="23"/>
        <v>V</v>
      </c>
      <c r="DD62" s="220" t="e">
        <f t="shared" si="24"/>
        <v>#DIV/0!</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c r="Y63" s="291"/>
      <c r="Z63" s="291"/>
      <c r="AA63" s="291"/>
      <c r="AB63" s="291"/>
      <c r="AC63" s="291"/>
      <c r="AD63" s="291"/>
      <c r="AE63" s="291"/>
      <c r="AF63" s="291"/>
      <c r="AG63" s="291"/>
      <c r="AH63" s="291"/>
      <c r="AI63" s="291"/>
      <c r="AJ63" s="291"/>
      <c r="AK63" s="291"/>
      <c r="AL63" s="291"/>
      <c r="AM63" s="303" t="e">
        <f t="shared" si="0"/>
        <v>#DIV/0!</v>
      </c>
      <c r="AN63" s="303"/>
      <c r="AO63" s="303"/>
      <c r="AP63" s="303"/>
      <c r="AQ63" s="303"/>
      <c r="AR63" s="303" t="e">
        <f t="shared" si="4"/>
        <v>#DIV/0!</v>
      </c>
      <c r="AS63" s="303"/>
      <c r="AT63" s="303"/>
      <c r="AU63" s="303"/>
      <c r="AV63" s="303"/>
      <c r="AW63" s="139"/>
      <c r="AX63" s="139"/>
      <c r="AY63" s="139"/>
      <c r="AZ63" s="172"/>
      <c r="BA63" s="173"/>
      <c r="BB63" s="322" t="e">
        <f t="shared" si="5"/>
        <v>#DIV/0!</v>
      </c>
      <c r="BC63" s="323"/>
      <c r="BD63" s="323"/>
      <c r="BE63" s="323"/>
      <c r="BF63" s="324"/>
      <c r="BG63" s="322" t="e">
        <f t="shared" si="6"/>
        <v>#DIV/0!</v>
      </c>
      <c r="BH63" s="323"/>
      <c r="BI63" s="323"/>
      <c r="BJ63" s="323"/>
      <c r="BK63" s="324"/>
      <c r="BL63" s="322" t="e">
        <f t="shared" si="7"/>
        <v>#DIV/0!</v>
      </c>
      <c r="BM63" s="323"/>
      <c r="BN63" s="323"/>
      <c r="BO63" s="323"/>
      <c r="BP63" s="324"/>
      <c r="BQ63" s="292" t="e">
        <f t="shared" si="8"/>
        <v>#DIV/0!</v>
      </c>
      <c r="BR63" s="292"/>
      <c r="BS63" s="292"/>
      <c r="BT63" s="292"/>
      <c r="BU63" s="292"/>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t="e">
        <f t="shared" si="16"/>
        <v>#DIV/0!</v>
      </c>
      <c r="CR63" s="1" t="str">
        <f t="shared" si="2"/>
        <v>V</v>
      </c>
      <c r="CS63" s="81">
        <f t="shared" si="17"/>
        <v>1.7320508075688772</v>
      </c>
      <c r="CT63" s="86" t="e">
        <f t="shared" si="18"/>
        <v>#DIV/0!</v>
      </c>
      <c r="CU63" s="8"/>
      <c r="CV63" s="94" t="e">
        <f t="shared" si="19"/>
        <v>#DIV/0!</v>
      </c>
      <c r="CW63" s="5" t="e">
        <f t="shared" si="20"/>
        <v>#DIV/0!</v>
      </c>
      <c r="CX63" s="95" t="e">
        <f t="shared" si="32"/>
        <v>#DIV/0!</v>
      </c>
      <c r="CY63" s="110" t="e">
        <f t="shared" si="33"/>
        <v>#DIV/0!</v>
      </c>
      <c r="CZ63" s="106" t="str">
        <f t="shared" si="3"/>
        <v>V</v>
      </c>
      <c r="DA63" s="8"/>
      <c r="DB63" s="177">
        <v>1.8000000000000001E-4</v>
      </c>
      <c r="DC63" s="178" t="str">
        <f t="shared" si="23"/>
        <v>V</v>
      </c>
      <c r="DD63" s="220" t="e">
        <f t="shared" si="24"/>
        <v>#DIV/0!</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c r="Y64" s="291"/>
      <c r="Z64" s="291"/>
      <c r="AA64" s="291"/>
      <c r="AB64" s="291"/>
      <c r="AC64" s="291"/>
      <c r="AD64" s="291"/>
      <c r="AE64" s="291"/>
      <c r="AF64" s="291"/>
      <c r="AG64" s="291"/>
      <c r="AH64" s="291"/>
      <c r="AI64" s="291"/>
      <c r="AJ64" s="291"/>
      <c r="AK64" s="291"/>
      <c r="AL64" s="291"/>
      <c r="AM64" s="303" t="e">
        <f t="shared" si="0"/>
        <v>#DIV/0!</v>
      </c>
      <c r="AN64" s="303"/>
      <c r="AO64" s="303"/>
      <c r="AP64" s="303"/>
      <c r="AQ64" s="303"/>
      <c r="AR64" s="303" t="e">
        <f t="shared" si="4"/>
        <v>#DIV/0!</v>
      </c>
      <c r="AS64" s="303"/>
      <c r="AT64" s="303"/>
      <c r="AU64" s="303"/>
      <c r="AV64" s="303"/>
      <c r="AW64" s="139"/>
      <c r="AX64" s="139"/>
      <c r="AY64" s="139"/>
      <c r="AZ64" s="172"/>
      <c r="BA64" s="173"/>
      <c r="BB64" s="322" t="e">
        <f t="shared" si="5"/>
        <v>#DIV/0!</v>
      </c>
      <c r="BC64" s="323"/>
      <c r="BD64" s="323"/>
      <c r="BE64" s="323"/>
      <c r="BF64" s="324"/>
      <c r="BG64" s="322" t="e">
        <f t="shared" si="6"/>
        <v>#DIV/0!</v>
      </c>
      <c r="BH64" s="323"/>
      <c r="BI64" s="323"/>
      <c r="BJ64" s="323"/>
      <c r="BK64" s="324"/>
      <c r="BL64" s="322" t="e">
        <f t="shared" si="7"/>
        <v>#DIV/0!</v>
      </c>
      <c r="BM64" s="323"/>
      <c r="BN64" s="323"/>
      <c r="BO64" s="323"/>
      <c r="BP64" s="324"/>
      <c r="BQ64" s="292" t="e">
        <f t="shared" si="8"/>
        <v>#DIV/0!</v>
      </c>
      <c r="BR64" s="292"/>
      <c r="BS64" s="292"/>
      <c r="BT64" s="292"/>
      <c r="BU64" s="292"/>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t="e">
        <f t="shared" si="16"/>
        <v>#DIV/0!</v>
      </c>
      <c r="CR64" s="1" t="str">
        <f t="shared" si="2"/>
        <v>V</v>
      </c>
      <c r="CS64" s="81">
        <f t="shared" si="17"/>
        <v>1.7320508075688772</v>
      </c>
      <c r="CT64" s="86" t="e">
        <f t="shared" si="18"/>
        <v>#DIV/0!</v>
      </c>
      <c r="CU64" s="8"/>
      <c r="CV64" s="94" t="e">
        <f t="shared" si="19"/>
        <v>#DIV/0!</v>
      </c>
      <c r="CW64" s="5" t="e">
        <f t="shared" si="20"/>
        <v>#DIV/0!</v>
      </c>
      <c r="CX64" s="95" t="e">
        <f t="shared" si="30"/>
        <v>#DIV/0!</v>
      </c>
      <c r="CY64" s="110" t="e">
        <f t="shared" ref="CY64:CY65" si="34">(CV64*CX64)</f>
        <v>#DIV/0!</v>
      </c>
      <c r="CZ64" s="106" t="str">
        <f t="shared" si="3"/>
        <v>V</v>
      </c>
      <c r="DA64" s="8"/>
      <c r="DB64" s="177">
        <v>1.0000000000000001E-5</v>
      </c>
      <c r="DC64" s="178" t="str">
        <f t="shared" si="23"/>
        <v>V</v>
      </c>
      <c r="DD64" s="220" t="e">
        <f t="shared" si="24"/>
        <v>#DIV/0!</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c r="Y65" s="291"/>
      <c r="Z65" s="291"/>
      <c r="AA65" s="291"/>
      <c r="AB65" s="291"/>
      <c r="AC65" s="291"/>
      <c r="AD65" s="291"/>
      <c r="AE65" s="291"/>
      <c r="AF65" s="291"/>
      <c r="AG65" s="291"/>
      <c r="AH65" s="291"/>
      <c r="AI65" s="291"/>
      <c r="AJ65" s="291"/>
      <c r="AK65" s="291"/>
      <c r="AL65" s="291"/>
      <c r="AM65" s="303" t="e">
        <f t="shared" si="0"/>
        <v>#DIV/0!</v>
      </c>
      <c r="AN65" s="303"/>
      <c r="AO65" s="303"/>
      <c r="AP65" s="303"/>
      <c r="AQ65" s="303"/>
      <c r="AR65" s="303" t="e">
        <f t="shared" si="4"/>
        <v>#DIV/0!</v>
      </c>
      <c r="AS65" s="303"/>
      <c r="AT65" s="303"/>
      <c r="AU65" s="303"/>
      <c r="AV65" s="303"/>
      <c r="AW65" s="139"/>
      <c r="AX65" s="139"/>
      <c r="AY65" s="139"/>
      <c r="AZ65" s="172"/>
      <c r="BA65" s="173"/>
      <c r="BB65" s="322" t="e">
        <f t="shared" si="5"/>
        <v>#DIV/0!</v>
      </c>
      <c r="BC65" s="323"/>
      <c r="BD65" s="323"/>
      <c r="BE65" s="323"/>
      <c r="BF65" s="324"/>
      <c r="BG65" s="322" t="e">
        <f t="shared" si="6"/>
        <v>#DIV/0!</v>
      </c>
      <c r="BH65" s="323"/>
      <c r="BI65" s="323"/>
      <c r="BJ65" s="323"/>
      <c r="BK65" s="324"/>
      <c r="BL65" s="322" t="e">
        <f t="shared" si="7"/>
        <v>#DIV/0!</v>
      </c>
      <c r="BM65" s="323"/>
      <c r="BN65" s="323"/>
      <c r="BO65" s="323"/>
      <c r="BP65" s="324"/>
      <c r="BQ65" s="292" t="e">
        <f t="shared" si="8"/>
        <v>#DIV/0!</v>
      </c>
      <c r="BR65" s="292"/>
      <c r="BS65" s="292"/>
      <c r="BT65" s="292"/>
      <c r="BU65" s="292"/>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t="e">
        <f t="shared" si="16"/>
        <v>#DIV/0!</v>
      </c>
      <c r="CR65" s="1" t="str">
        <f t="shared" si="2"/>
        <v>V</v>
      </c>
      <c r="CS65" s="81">
        <f t="shared" si="17"/>
        <v>1.7320508075688772</v>
      </c>
      <c r="CT65" s="86" t="e">
        <f t="shared" si="18"/>
        <v>#DIV/0!</v>
      </c>
      <c r="CU65" s="8"/>
      <c r="CV65" s="94" t="e">
        <f t="shared" si="19"/>
        <v>#DIV/0!</v>
      </c>
      <c r="CW65" s="5" t="e">
        <f t="shared" si="20"/>
        <v>#DIV/0!</v>
      </c>
      <c r="CX65" s="95" t="e">
        <f t="shared" si="30"/>
        <v>#DIV/0!</v>
      </c>
      <c r="CY65" s="110" t="e">
        <f t="shared" si="34"/>
        <v>#DIV/0!</v>
      </c>
      <c r="CZ65" s="106" t="str">
        <f t="shared" si="3"/>
        <v>V</v>
      </c>
      <c r="DA65" s="8"/>
      <c r="DB65" s="177">
        <v>1.8000000000000001E-4</v>
      </c>
      <c r="DC65" s="178" t="str">
        <f t="shared" si="23"/>
        <v>V</v>
      </c>
      <c r="DD65" s="220" t="e">
        <f t="shared" si="24"/>
        <v>#DIV/0!</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c r="Y66" s="291"/>
      <c r="Z66" s="291"/>
      <c r="AA66" s="291"/>
      <c r="AB66" s="291"/>
      <c r="AC66" s="291"/>
      <c r="AD66" s="291"/>
      <c r="AE66" s="291"/>
      <c r="AF66" s="291"/>
      <c r="AG66" s="291"/>
      <c r="AH66" s="291"/>
      <c r="AI66" s="291"/>
      <c r="AJ66" s="291"/>
      <c r="AK66" s="291"/>
      <c r="AL66" s="291"/>
      <c r="AM66" s="291" t="e">
        <f t="shared" si="0"/>
        <v>#DIV/0!</v>
      </c>
      <c r="AN66" s="291"/>
      <c r="AO66" s="291"/>
      <c r="AP66" s="291"/>
      <c r="AQ66" s="291"/>
      <c r="AR66" s="291" t="e">
        <f t="shared" si="4"/>
        <v>#DIV/0!</v>
      </c>
      <c r="AS66" s="291"/>
      <c r="AT66" s="291"/>
      <c r="AU66" s="291"/>
      <c r="AV66" s="291"/>
      <c r="AW66" s="139"/>
      <c r="AX66" s="139"/>
      <c r="AY66" s="139"/>
      <c r="AZ66" s="172"/>
      <c r="BA66" s="173"/>
      <c r="BB66" s="322" t="e">
        <f t="shared" si="5"/>
        <v>#DIV/0!</v>
      </c>
      <c r="BC66" s="323"/>
      <c r="BD66" s="323"/>
      <c r="BE66" s="323"/>
      <c r="BF66" s="324"/>
      <c r="BG66" s="322" t="e">
        <f t="shared" si="6"/>
        <v>#DIV/0!</v>
      </c>
      <c r="BH66" s="323"/>
      <c r="BI66" s="323"/>
      <c r="BJ66" s="323"/>
      <c r="BK66" s="324"/>
      <c r="BL66" s="322" t="e">
        <f t="shared" si="7"/>
        <v>#DIV/0!</v>
      </c>
      <c r="BM66" s="323"/>
      <c r="BN66" s="323"/>
      <c r="BO66" s="323"/>
      <c r="BP66" s="324"/>
      <c r="BQ66" s="292" t="e">
        <f t="shared" si="8"/>
        <v>#DIV/0!</v>
      </c>
      <c r="BR66" s="292"/>
      <c r="BS66" s="292"/>
      <c r="BT66" s="292"/>
      <c r="BU66" s="292"/>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t="e">
        <f t="shared" si="16"/>
        <v>#DIV/0!</v>
      </c>
      <c r="CR66" s="1" t="str">
        <f t="shared" si="2"/>
        <v>V</v>
      </c>
      <c r="CS66" s="81">
        <f t="shared" si="17"/>
        <v>1.7320508075688772</v>
      </c>
      <c r="CT66" s="86" t="e">
        <f t="shared" si="18"/>
        <v>#DIV/0!</v>
      </c>
      <c r="CU66" s="8"/>
      <c r="CV66" s="94" t="e">
        <f t="shared" si="19"/>
        <v>#DIV/0!</v>
      </c>
      <c r="CW66" s="5" t="e">
        <f t="shared" si="20"/>
        <v>#DIV/0!</v>
      </c>
      <c r="CX66" s="95" t="e">
        <f t="shared" si="30"/>
        <v>#DIV/0!</v>
      </c>
      <c r="CY66" s="112" t="e">
        <f t="shared" ref="CY66" si="35">(CV66*CX66)</f>
        <v>#DIV/0!</v>
      </c>
      <c r="CZ66" s="106" t="str">
        <f t="shared" si="3"/>
        <v>V</v>
      </c>
      <c r="DA66" s="8"/>
      <c r="DB66" s="177">
        <v>1.8000000000000001E-4</v>
      </c>
      <c r="DC66" s="178" t="str">
        <f t="shared" si="23"/>
        <v>V</v>
      </c>
      <c r="DD66" s="220" t="e">
        <f t="shared" si="24"/>
        <v>#DIV/0!</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c r="Y67" s="291"/>
      <c r="Z67" s="291"/>
      <c r="AA67" s="291"/>
      <c r="AB67" s="291"/>
      <c r="AC67" s="291"/>
      <c r="AD67" s="291"/>
      <c r="AE67" s="291"/>
      <c r="AF67" s="291"/>
      <c r="AG67" s="291"/>
      <c r="AH67" s="291"/>
      <c r="AI67" s="291"/>
      <c r="AJ67" s="291"/>
      <c r="AK67" s="291"/>
      <c r="AL67" s="291"/>
      <c r="AM67" s="291" t="e">
        <f t="shared" si="0"/>
        <v>#DIV/0!</v>
      </c>
      <c r="AN67" s="291"/>
      <c r="AO67" s="291"/>
      <c r="AP67" s="291"/>
      <c r="AQ67" s="291"/>
      <c r="AR67" s="291" t="e">
        <f t="shared" si="4"/>
        <v>#DIV/0!</v>
      </c>
      <c r="AS67" s="291"/>
      <c r="AT67" s="291"/>
      <c r="AU67" s="291"/>
      <c r="AV67" s="291"/>
      <c r="AW67" s="139"/>
      <c r="AX67" s="139"/>
      <c r="AY67" s="139"/>
      <c r="AZ67" s="172"/>
      <c r="BA67" s="173"/>
      <c r="BB67" s="322" t="e">
        <f t="shared" si="5"/>
        <v>#DIV/0!</v>
      </c>
      <c r="BC67" s="323"/>
      <c r="BD67" s="323"/>
      <c r="BE67" s="323"/>
      <c r="BF67" s="324"/>
      <c r="BG67" s="322" t="e">
        <f t="shared" si="6"/>
        <v>#DIV/0!</v>
      </c>
      <c r="BH67" s="323"/>
      <c r="BI67" s="323"/>
      <c r="BJ67" s="323"/>
      <c r="BK67" s="324"/>
      <c r="BL67" s="322" t="e">
        <f t="shared" si="7"/>
        <v>#DIV/0!</v>
      </c>
      <c r="BM67" s="323"/>
      <c r="BN67" s="323"/>
      <c r="BO67" s="323"/>
      <c r="BP67" s="324"/>
      <c r="BQ67" s="292" t="e">
        <f t="shared" si="8"/>
        <v>#DIV/0!</v>
      </c>
      <c r="BR67" s="292"/>
      <c r="BS67" s="292"/>
      <c r="BT67" s="292"/>
      <c r="BU67" s="292"/>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t="e">
        <f t="shared" si="16"/>
        <v>#DIV/0!</v>
      </c>
      <c r="CR67" s="1" t="str">
        <f t="shared" si="2"/>
        <v>V</v>
      </c>
      <c r="CS67" s="81">
        <f t="shared" si="17"/>
        <v>1.7320508075688772</v>
      </c>
      <c r="CT67" s="86" t="e">
        <f t="shared" si="18"/>
        <v>#DIV/0!</v>
      </c>
      <c r="CU67" s="8"/>
      <c r="CV67" s="94" t="e">
        <f t="shared" si="19"/>
        <v>#DIV/0!</v>
      </c>
      <c r="CW67" s="5" t="e">
        <f t="shared" si="20"/>
        <v>#DIV/0!</v>
      </c>
      <c r="CX67" s="95" t="e">
        <f t="shared" si="30"/>
        <v>#DIV/0!</v>
      </c>
      <c r="CY67" s="112" t="e">
        <f t="shared" ref="CY67:CY69" si="36">(CV67*CX67)</f>
        <v>#DIV/0!</v>
      </c>
      <c r="CZ67" s="106" t="str">
        <f t="shared" si="3"/>
        <v>V</v>
      </c>
      <c r="DA67" s="8"/>
      <c r="DB67" s="177">
        <v>1.4E-3</v>
      </c>
      <c r="DC67" s="178" t="str">
        <f t="shared" si="23"/>
        <v>V</v>
      </c>
      <c r="DD67" s="220" t="e">
        <f t="shared" si="24"/>
        <v>#DIV/0!</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c r="Y68" s="291"/>
      <c r="Z68" s="291"/>
      <c r="AA68" s="291"/>
      <c r="AB68" s="291"/>
      <c r="AC68" s="291"/>
      <c r="AD68" s="291"/>
      <c r="AE68" s="291"/>
      <c r="AF68" s="291"/>
      <c r="AG68" s="291"/>
      <c r="AH68" s="291"/>
      <c r="AI68" s="291"/>
      <c r="AJ68" s="291"/>
      <c r="AK68" s="291"/>
      <c r="AL68" s="291"/>
      <c r="AM68" s="291" t="e">
        <f t="shared" si="0"/>
        <v>#DIV/0!</v>
      </c>
      <c r="AN68" s="291"/>
      <c r="AO68" s="291"/>
      <c r="AP68" s="291"/>
      <c r="AQ68" s="291"/>
      <c r="AR68" s="291" t="e">
        <f t="shared" si="4"/>
        <v>#DIV/0!</v>
      </c>
      <c r="AS68" s="291"/>
      <c r="AT68" s="291"/>
      <c r="AU68" s="291"/>
      <c r="AV68" s="291"/>
      <c r="AW68" s="139"/>
      <c r="AX68" s="139"/>
      <c r="AY68" s="139"/>
      <c r="AZ68" s="172"/>
      <c r="BA68" s="173"/>
      <c r="BB68" s="322" t="e">
        <f t="shared" si="5"/>
        <v>#DIV/0!</v>
      </c>
      <c r="BC68" s="323"/>
      <c r="BD68" s="323"/>
      <c r="BE68" s="323"/>
      <c r="BF68" s="324"/>
      <c r="BG68" s="322" t="e">
        <f t="shared" si="6"/>
        <v>#DIV/0!</v>
      </c>
      <c r="BH68" s="323"/>
      <c r="BI68" s="323"/>
      <c r="BJ68" s="323"/>
      <c r="BK68" s="324"/>
      <c r="BL68" s="322" t="e">
        <f t="shared" si="7"/>
        <v>#DIV/0!</v>
      </c>
      <c r="BM68" s="323"/>
      <c r="BN68" s="323"/>
      <c r="BO68" s="323"/>
      <c r="BP68" s="324"/>
      <c r="BQ68" s="292" t="e">
        <f t="shared" si="8"/>
        <v>#DIV/0!</v>
      </c>
      <c r="BR68" s="292"/>
      <c r="BS68" s="292"/>
      <c r="BT68" s="292"/>
      <c r="BU68" s="292"/>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t="e">
        <f t="shared" si="16"/>
        <v>#DIV/0!</v>
      </c>
      <c r="CR68" s="74" t="str">
        <f t="shared" si="2"/>
        <v>V</v>
      </c>
      <c r="CS68" s="82">
        <f t="shared" si="17"/>
        <v>1.7320508075688772</v>
      </c>
      <c r="CT68" s="87" t="e">
        <f t="shared" si="18"/>
        <v>#DIV/0!</v>
      </c>
      <c r="CU68" s="8"/>
      <c r="CV68" s="96" t="e">
        <f t="shared" si="19"/>
        <v>#DIV/0!</v>
      </c>
      <c r="CW68" s="89" t="e">
        <f t="shared" si="20"/>
        <v>#DIV/0!</v>
      </c>
      <c r="CX68" s="97" t="e">
        <f t="shared" si="30"/>
        <v>#DIV/0!</v>
      </c>
      <c r="CY68" s="113" t="e">
        <f t="shared" si="36"/>
        <v>#DIV/0!</v>
      </c>
      <c r="CZ68" s="108" t="str">
        <f t="shared" si="3"/>
        <v>V</v>
      </c>
      <c r="DA68" s="8"/>
      <c r="DB68" s="177">
        <v>1.4E-3</v>
      </c>
      <c r="DC68" s="178" t="str">
        <f t="shared" si="23"/>
        <v>V</v>
      </c>
      <c r="DD68" s="220" t="e">
        <f t="shared" si="24"/>
        <v>#DIV/0!</v>
      </c>
      <c r="DE68" s="178" t="str">
        <f t="shared" si="25"/>
        <v>V</v>
      </c>
    </row>
    <row r="69" spans="1:109" s="174" customFormat="1" ht="18" customHeight="1">
      <c r="A69" s="173"/>
      <c r="B69" s="170"/>
      <c r="C69" s="139"/>
      <c r="D69" s="139"/>
      <c r="E69" s="139"/>
      <c r="F69" s="310" t="s">
        <v>158</v>
      </c>
      <c r="G69" s="311"/>
      <c r="H69" s="311"/>
      <c r="I69" s="311"/>
      <c r="J69" s="311"/>
      <c r="K69" s="312"/>
      <c r="L69" s="297">
        <f>1000*10%</f>
        <v>100</v>
      </c>
      <c r="M69" s="298"/>
      <c r="N69" s="298"/>
      <c r="O69" s="298"/>
      <c r="P69" s="299" t="s">
        <v>93</v>
      </c>
      <c r="Q69" s="299"/>
      <c r="R69" s="300"/>
      <c r="S69" s="301" t="s">
        <v>56</v>
      </c>
      <c r="T69" s="301"/>
      <c r="U69" s="301"/>
      <c r="V69" s="301"/>
      <c r="W69" s="301"/>
      <c r="X69" s="291"/>
      <c r="Y69" s="291"/>
      <c r="Z69" s="291"/>
      <c r="AA69" s="291"/>
      <c r="AB69" s="291"/>
      <c r="AC69" s="291"/>
      <c r="AD69" s="291"/>
      <c r="AE69" s="291"/>
      <c r="AF69" s="291"/>
      <c r="AG69" s="291"/>
      <c r="AH69" s="291"/>
      <c r="AI69" s="291"/>
      <c r="AJ69" s="291"/>
      <c r="AK69" s="291"/>
      <c r="AL69" s="291"/>
      <c r="AM69" s="302" t="e">
        <f t="shared" ref="AM69:AM71" si="37">AVERAGE(X69:AL69)</f>
        <v>#DIV/0!</v>
      </c>
      <c r="AN69" s="302"/>
      <c r="AO69" s="302"/>
      <c r="AP69" s="302"/>
      <c r="AQ69" s="302"/>
      <c r="AR69" s="302" t="e">
        <f t="shared" ref="AR69:AR71" si="38">AM69-L69</f>
        <v>#DIV/0!</v>
      </c>
      <c r="AS69" s="302"/>
      <c r="AT69" s="302"/>
      <c r="AU69" s="302"/>
      <c r="AV69" s="302"/>
      <c r="AW69" s="139"/>
      <c r="AX69" s="139"/>
      <c r="AY69" s="139"/>
      <c r="AZ69" s="172"/>
      <c r="BA69" s="173"/>
      <c r="BB69" s="322" t="e">
        <f t="shared" si="5"/>
        <v>#DIV/0!</v>
      </c>
      <c r="BC69" s="323"/>
      <c r="BD69" s="323"/>
      <c r="BE69" s="323"/>
      <c r="BF69" s="324"/>
      <c r="BG69" s="322" t="e">
        <f t="shared" si="6"/>
        <v>#DIV/0!</v>
      </c>
      <c r="BH69" s="323"/>
      <c r="BI69" s="323"/>
      <c r="BJ69" s="323"/>
      <c r="BK69" s="324"/>
      <c r="BL69" s="322" t="e">
        <f t="shared" si="7"/>
        <v>#DIV/0!</v>
      </c>
      <c r="BM69" s="323"/>
      <c r="BN69" s="323"/>
      <c r="BO69" s="323"/>
      <c r="BP69" s="324"/>
      <c r="BQ69" s="292" t="e">
        <f t="shared" ref="BQ69:BQ71" si="39">IF(AND(AM69&lt;=BG69,AM69&gt;=BL69),"PASS","FAIL")</f>
        <v>#DIV/0!</v>
      </c>
      <c r="BR69" s="292"/>
      <c r="BS69" s="292"/>
      <c r="BT69" s="292"/>
      <c r="BU69" s="292"/>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t="e">
        <f t="shared" ref="CQ69:CQ71" si="46">STDEV(X69:AL69)</f>
        <v>#DIV/0!</v>
      </c>
      <c r="CR69" s="1" t="str">
        <f t="shared" ref="CR69:CR71" si="47">P69</f>
        <v>V</v>
      </c>
      <c r="CS69" s="81">
        <f t="shared" si="17"/>
        <v>1.7320508075688772</v>
      </c>
      <c r="CT69" s="86" t="e">
        <f t="shared" ref="CT69:CT71" si="48">CQ69/CS69</f>
        <v>#DIV/0!</v>
      </c>
      <c r="CU69" s="8"/>
      <c r="CV69" s="94" t="e">
        <f t="shared" ref="CV69:CV71" si="49">SQRT(SUMSQ(CT69,CN69,CH69,CB69))</f>
        <v>#DIV/0!</v>
      </c>
      <c r="CW69" s="5" t="e">
        <f t="shared" ref="CW69:CW71" si="50">(CV69^4)/(((CT69^4)/2)+((CN69^4)/200)+((CH69^4)/200)+((CB69^4)/200))</f>
        <v>#DIV/0!</v>
      </c>
      <c r="CX69" s="95" t="e">
        <f t="shared" ref="CX69:CX71" si="51">ROUND(TINV(0.05,CW69),0)</f>
        <v>#DIV/0!</v>
      </c>
      <c r="CY69" s="112" t="e">
        <f t="shared" si="36"/>
        <v>#DIV/0!</v>
      </c>
      <c r="CZ69" s="106" t="str">
        <f t="shared" ref="CZ69:CZ71" si="52">P69</f>
        <v>V</v>
      </c>
      <c r="DA69" s="8"/>
      <c r="DB69" s="177">
        <v>1.8000000000000001E-4</v>
      </c>
      <c r="DC69" s="178" t="str">
        <f t="shared" ref="DC69:DC71" si="53">CZ69</f>
        <v>V</v>
      </c>
      <c r="DD69" s="220" t="e">
        <f t="shared" si="24"/>
        <v>#DIV/0!</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c r="Y70" s="291"/>
      <c r="Z70" s="291"/>
      <c r="AA70" s="291"/>
      <c r="AB70" s="291"/>
      <c r="AC70" s="291"/>
      <c r="AD70" s="291"/>
      <c r="AE70" s="291"/>
      <c r="AF70" s="291"/>
      <c r="AG70" s="291"/>
      <c r="AH70" s="291"/>
      <c r="AI70" s="291"/>
      <c r="AJ70" s="291"/>
      <c r="AK70" s="291"/>
      <c r="AL70" s="291"/>
      <c r="AM70" s="302" t="e">
        <f t="shared" si="37"/>
        <v>#DIV/0!</v>
      </c>
      <c r="AN70" s="302"/>
      <c r="AO70" s="302"/>
      <c r="AP70" s="302"/>
      <c r="AQ70" s="302"/>
      <c r="AR70" s="302" t="e">
        <f t="shared" si="38"/>
        <v>#DIV/0!</v>
      </c>
      <c r="AS70" s="302"/>
      <c r="AT70" s="302"/>
      <c r="AU70" s="302"/>
      <c r="AV70" s="302"/>
      <c r="AW70" s="139"/>
      <c r="AX70" s="139"/>
      <c r="AY70" s="139"/>
      <c r="AZ70" s="172"/>
      <c r="BA70" s="173"/>
      <c r="BB70" s="322" t="e">
        <f t="shared" si="5"/>
        <v>#DIV/0!</v>
      </c>
      <c r="BC70" s="323"/>
      <c r="BD70" s="323"/>
      <c r="BE70" s="323"/>
      <c r="BF70" s="324"/>
      <c r="BG70" s="322" t="e">
        <f t="shared" si="6"/>
        <v>#DIV/0!</v>
      </c>
      <c r="BH70" s="323"/>
      <c r="BI70" s="323"/>
      <c r="BJ70" s="323"/>
      <c r="BK70" s="324"/>
      <c r="BL70" s="322" t="e">
        <f t="shared" si="7"/>
        <v>#DIV/0!</v>
      </c>
      <c r="BM70" s="323"/>
      <c r="BN70" s="323"/>
      <c r="BO70" s="323"/>
      <c r="BP70" s="324"/>
      <c r="BQ70" s="292" t="e">
        <f t="shared" si="39"/>
        <v>#DIV/0!</v>
      </c>
      <c r="BR70" s="292"/>
      <c r="BS70" s="292"/>
      <c r="BT70" s="292"/>
      <c r="BU70" s="292"/>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t="e">
        <f t="shared" si="46"/>
        <v>#DIV/0!</v>
      </c>
      <c r="CR70" s="1" t="str">
        <f t="shared" si="47"/>
        <v>V</v>
      </c>
      <c r="CS70" s="81">
        <f t="shared" si="17"/>
        <v>1.7320508075688772</v>
      </c>
      <c r="CT70" s="86" t="e">
        <f t="shared" si="48"/>
        <v>#DIV/0!</v>
      </c>
      <c r="CU70" s="8"/>
      <c r="CV70" s="94" t="e">
        <f t="shared" si="49"/>
        <v>#DIV/0!</v>
      </c>
      <c r="CW70" s="5" t="e">
        <f t="shared" si="50"/>
        <v>#DIV/0!</v>
      </c>
      <c r="CX70" s="95" t="e">
        <f t="shared" si="51"/>
        <v>#DIV/0!</v>
      </c>
      <c r="CY70" s="112" t="e">
        <f t="shared" ref="CY70:CY71" si="55">(CV70*CX70)</f>
        <v>#DIV/0!</v>
      </c>
      <c r="CZ70" s="106" t="str">
        <f t="shared" si="52"/>
        <v>V</v>
      </c>
      <c r="DA70" s="8"/>
      <c r="DB70" s="177">
        <v>1.4E-3</v>
      </c>
      <c r="DC70" s="178" t="str">
        <f t="shared" si="53"/>
        <v>V</v>
      </c>
      <c r="DD70" s="220" t="e">
        <f t="shared" si="24"/>
        <v>#DIV/0!</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c r="Y71" s="291"/>
      <c r="Z71" s="291"/>
      <c r="AA71" s="291"/>
      <c r="AB71" s="291"/>
      <c r="AC71" s="291"/>
      <c r="AD71" s="291"/>
      <c r="AE71" s="291"/>
      <c r="AF71" s="291"/>
      <c r="AG71" s="291"/>
      <c r="AH71" s="291"/>
      <c r="AI71" s="291"/>
      <c r="AJ71" s="291"/>
      <c r="AK71" s="291"/>
      <c r="AL71" s="291"/>
      <c r="AM71" s="302" t="e">
        <f t="shared" si="37"/>
        <v>#DIV/0!</v>
      </c>
      <c r="AN71" s="302"/>
      <c r="AO71" s="302"/>
      <c r="AP71" s="302"/>
      <c r="AQ71" s="302"/>
      <c r="AR71" s="302" t="e">
        <f t="shared" si="38"/>
        <v>#DIV/0!</v>
      </c>
      <c r="AS71" s="302"/>
      <c r="AT71" s="302"/>
      <c r="AU71" s="302"/>
      <c r="AV71" s="302"/>
      <c r="AW71" s="139"/>
      <c r="AX71" s="139"/>
      <c r="AY71" s="139"/>
      <c r="AZ71" s="172"/>
      <c r="BA71" s="173"/>
      <c r="BB71" s="322" t="e">
        <f t="shared" si="5"/>
        <v>#DIV/0!</v>
      </c>
      <c r="BC71" s="323"/>
      <c r="BD71" s="323"/>
      <c r="BE71" s="323"/>
      <c r="BF71" s="324"/>
      <c r="BG71" s="322" t="e">
        <f t="shared" si="6"/>
        <v>#DIV/0!</v>
      </c>
      <c r="BH71" s="323"/>
      <c r="BI71" s="323"/>
      <c r="BJ71" s="323"/>
      <c r="BK71" s="324"/>
      <c r="BL71" s="322" t="e">
        <f t="shared" si="7"/>
        <v>#DIV/0!</v>
      </c>
      <c r="BM71" s="323"/>
      <c r="BN71" s="323"/>
      <c r="BO71" s="323"/>
      <c r="BP71" s="324"/>
      <c r="BQ71" s="292" t="e">
        <f t="shared" si="39"/>
        <v>#DIV/0!</v>
      </c>
      <c r="BR71" s="292"/>
      <c r="BS71" s="292"/>
      <c r="BT71" s="292"/>
      <c r="BU71" s="292"/>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t="e">
        <f t="shared" si="46"/>
        <v>#DIV/0!</v>
      </c>
      <c r="CR71" s="74" t="str">
        <f t="shared" si="47"/>
        <v>V</v>
      </c>
      <c r="CS71" s="82">
        <f t="shared" si="17"/>
        <v>1.7320508075688772</v>
      </c>
      <c r="CT71" s="87" t="e">
        <f t="shared" si="48"/>
        <v>#DIV/0!</v>
      </c>
      <c r="CU71" s="8"/>
      <c r="CV71" s="96" t="e">
        <f t="shared" si="49"/>
        <v>#DIV/0!</v>
      </c>
      <c r="CW71" s="89" t="e">
        <f t="shared" si="50"/>
        <v>#DIV/0!</v>
      </c>
      <c r="CX71" s="97" t="e">
        <f t="shared" si="51"/>
        <v>#DIV/0!</v>
      </c>
      <c r="CY71" s="113" t="e">
        <f t="shared" si="55"/>
        <v>#DIV/0!</v>
      </c>
      <c r="CZ71" s="108" t="str">
        <f t="shared" si="52"/>
        <v>V</v>
      </c>
      <c r="DA71" s="8"/>
      <c r="DB71" s="177">
        <v>1.4E-3</v>
      </c>
      <c r="DC71" s="178" t="str">
        <f t="shared" si="53"/>
        <v>V</v>
      </c>
      <c r="DD71" s="220" t="e">
        <f t="shared" si="24"/>
        <v>#DIV/0!</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124</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129</v>
      </c>
      <c r="CK73" s="364"/>
      <c r="CL73" s="364"/>
      <c r="CM73" s="364"/>
      <c r="CN73" s="365"/>
      <c r="CO73" s="2"/>
      <c r="CP73" s="363" t="s">
        <v>129</v>
      </c>
      <c r="CQ73" s="364"/>
      <c r="CR73" s="364"/>
      <c r="CS73" s="364"/>
      <c r="CT73" s="365"/>
      <c r="CV73" s="363" t="s">
        <v>71</v>
      </c>
      <c r="CW73" s="364"/>
      <c r="CX73" s="364"/>
      <c r="CY73" s="364"/>
      <c r="CZ73" s="365"/>
      <c r="DB73" s="354" t="s">
        <v>116</v>
      </c>
      <c r="DC73" s="352"/>
      <c r="DD73" s="354" t="s">
        <v>117</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134</v>
      </c>
      <c r="G76" s="311"/>
      <c r="H76" s="311"/>
      <c r="I76" s="311"/>
      <c r="J76" s="311"/>
      <c r="K76" s="312"/>
      <c r="L76" s="297">
        <f>600*10%</f>
        <v>60</v>
      </c>
      <c r="M76" s="298"/>
      <c r="N76" s="298"/>
      <c r="O76" s="298"/>
      <c r="P76" s="299" t="s">
        <v>91</v>
      </c>
      <c r="Q76" s="299"/>
      <c r="R76" s="300"/>
      <c r="S76" s="319" t="s">
        <v>96</v>
      </c>
      <c r="T76" s="319"/>
      <c r="U76" s="319"/>
      <c r="V76" s="319"/>
      <c r="W76" s="319"/>
      <c r="X76" s="291"/>
      <c r="Y76" s="291"/>
      <c r="Z76" s="291"/>
      <c r="AA76" s="291"/>
      <c r="AB76" s="291"/>
      <c r="AC76" s="291"/>
      <c r="AD76" s="291"/>
      <c r="AE76" s="291"/>
      <c r="AF76" s="291"/>
      <c r="AG76" s="291"/>
      <c r="AH76" s="291"/>
      <c r="AI76" s="291"/>
      <c r="AJ76" s="291"/>
      <c r="AK76" s="291"/>
      <c r="AL76" s="291"/>
      <c r="AM76" s="325" t="e">
        <f t="shared" ref="AM76:AM79" si="56">AVERAGE(X76:AL76)</f>
        <v>#DIV/0!</v>
      </c>
      <c r="AN76" s="326"/>
      <c r="AO76" s="326"/>
      <c r="AP76" s="326"/>
      <c r="AQ76" s="327"/>
      <c r="AR76" s="291" t="e">
        <f t="shared" ref="AR76:AR79" si="57">AM76-L76</f>
        <v>#DIV/0!</v>
      </c>
      <c r="AS76" s="291"/>
      <c r="AT76" s="291"/>
      <c r="AU76" s="291"/>
      <c r="AV76" s="291"/>
      <c r="AW76" s="139"/>
      <c r="AX76" s="139"/>
      <c r="AY76" s="139"/>
      <c r="AZ76" s="172"/>
      <c r="BA76" s="173"/>
      <c r="BB76" s="320" t="e">
        <f>(AM76*0.7%)+(4*CK76)</f>
        <v>#DIV/0!</v>
      </c>
      <c r="BC76" s="320"/>
      <c r="BD76" s="320"/>
      <c r="BE76" s="320"/>
      <c r="BF76" s="320"/>
      <c r="BG76" s="320" t="e">
        <f t="shared" ref="BG76:BG79" si="58">L76+BB76</f>
        <v>#DIV/0!</v>
      </c>
      <c r="BH76" s="320"/>
      <c r="BI76" s="320"/>
      <c r="BJ76" s="320"/>
      <c r="BK76" s="320"/>
      <c r="BL76" s="320" t="e">
        <f t="shared" ref="BL76:BL79" si="59">L76-BB76</f>
        <v>#DIV/0!</v>
      </c>
      <c r="BM76" s="320"/>
      <c r="BN76" s="320"/>
      <c r="BO76" s="320"/>
      <c r="BP76" s="320"/>
      <c r="BQ76" s="292" t="e">
        <f t="shared" ref="BQ76:BQ79" si="60">IF(AND(AM76&lt;=BG76,AM76&gt;=BL76),"PASS","FAIL")</f>
        <v>#DIV/0!</v>
      </c>
      <c r="BR76" s="292"/>
      <c r="BS76" s="292"/>
      <c r="BT76" s="292"/>
      <c r="BU76" s="292"/>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t="e">
        <f t="shared" ref="CQ76:CQ79" si="65">STDEV(X76:AL76)</f>
        <v>#DIV/0!</v>
      </c>
      <c r="CR76" s="71" t="str">
        <f t="shared" ref="CR76:CR79" si="66">P76</f>
        <v>mV</v>
      </c>
      <c r="CS76" s="80">
        <f>SQRT(3)</f>
        <v>1.7320508075688772</v>
      </c>
      <c r="CT76" s="85" t="e">
        <f>CQ76/CS76</f>
        <v>#DIV/0!</v>
      </c>
      <c r="CU76" s="8"/>
      <c r="CV76" s="92" t="e">
        <f>SQRT(SUMSQ(CT76,CN76,CH76,CB76))</f>
        <v>#DIV/0!</v>
      </c>
      <c r="CW76" s="88" t="e">
        <f>(CV76^4)/(((CT76^4)/2)+((CN76^4)/200)+((CH76^4)/200)+((CB76^4)/200))</f>
        <v>#DIV/0!</v>
      </c>
      <c r="CX76" s="93" t="e">
        <f t="shared" ref="CX76:CX79" si="67">ROUND(TINV(0.05,CW76),0)</f>
        <v>#DIV/0!</v>
      </c>
      <c r="CY76" s="118" t="e">
        <f>(CV76*CX76)</f>
        <v>#DIV/0!</v>
      </c>
      <c r="CZ76" s="104" t="str">
        <f t="shared" ref="CZ76:CZ79" si="68">P76</f>
        <v>mV</v>
      </c>
      <c r="DA76" s="8"/>
      <c r="DB76" s="177">
        <v>0.01</v>
      </c>
      <c r="DC76" s="178" t="str">
        <f>CZ76</f>
        <v>mV</v>
      </c>
      <c r="DD76" s="220" t="e">
        <f t="shared" ref="DD76:DD97" si="69">MAX(DB76,CY76)</f>
        <v>#DIV/0!</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143</v>
      </c>
      <c r="T77" s="319"/>
      <c r="U77" s="319"/>
      <c r="V77" s="319"/>
      <c r="W77" s="319"/>
      <c r="X77" s="291"/>
      <c r="Y77" s="291"/>
      <c r="Z77" s="291"/>
      <c r="AA77" s="291"/>
      <c r="AB77" s="291"/>
      <c r="AC77" s="291"/>
      <c r="AD77" s="291"/>
      <c r="AE77" s="291"/>
      <c r="AF77" s="291"/>
      <c r="AG77" s="291"/>
      <c r="AH77" s="291"/>
      <c r="AI77" s="291"/>
      <c r="AJ77" s="291"/>
      <c r="AK77" s="291"/>
      <c r="AL77" s="291"/>
      <c r="AM77" s="291" t="e">
        <f t="shared" si="56"/>
        <v>#DIV/0!</v>
      </c>
      <c r="AN77" s="291"/>
      <c r="AO77" s="291"/>
      <c r="AP77" s="291"/>
      <c r="AQ77" s="291"/>
      <c r="AR77" s="291" t="e">
        <f t="shared" si="57"/>
        <v>#DIV/0!</v>
      </c>
      <c r="AS77" s="291"/>
      <c r="AT77" s="291"/>
      <c r="AU77" s="291"/>
      <c r="AV77" s="291"/>
      <c r="AW77" s="139"/>
      <c r="AX77" s="139"/>
      <c r="AY77" s="139"/>
      <c r="AZ77" s="172"/>
      <c r="BA77" s="173"/>
      <c r="BB77" s="320" t="e">
        <f>(AM77*1%)+(4*CK77)</f>
        <v>#DIV/0!</v>
      </c>
      <c r="BC77" s="320"/>
      <c r="BD77" s="320"/>
      <c r="BE77" s="320"/>
      <c r="BF77" s="320"/>
      <c r="BG77" s="320" t="e">
        <f t="shared" si="58"/>
        <v>#DIV/0!</v>
      </c>
      <c r="BH77" s="320"/>
      <c r="BI77" s="320"/>
      <c r="BJ77" s="320"/>
      <c r="BK77" s="320"/>
      <c r="BL77" s="320" t="e">
        <f t="shared" si="59"/>
        <v>#DIV/0!</v>
      </c>
      <c r="BM77" s="320"/>
      <c r="BN77" s="320"/>
      <c r="BO77" s="320"/>
      <c r="BP77" s="320"/>
      <c r="BQ77" s="292" t="e">
        <f t="shared" si="60"/>
        <v>#DIV/0!</v>
      </c>
      <c r="BR77" s="292"/>
      <c r="BS77" s="292"/>
      <c r="BT77" s="292"/>
      <c r="BU77" s="292"/>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t="e">
        <f t="shared" si="65"/>
        <v>#DIV/0!</v>
      </c>
      <c r="CR77" s="1" t="str">
        <f t="shared" si="66"/>
        <v>mV</v>
      </c>
      <c r="CS77" s="81">
        <f t="shared" ref="CS77:CS79" si="74">SQRT(3)</f>
        <v>1.7320508075688772</v>
      </c>
      <c r="CT77" s="86" t="e">
        <f t="shared" ref="CT77:CT79" si="75">CQ77/CS77</f>
        <v>#DIV/0!</v>
      </c>
      <c r="CU77" s="8"/>
      <c r="CV77" s="94" t="e">
        <f t="shared" ref="CV77:CV79" si="76">SQRT(SUMSQ(CT77,CN77,CH77,CB77))</f>
        <v>#DIV/0!</v>
      </c>
      <c r="CW77" s="5" t="e">
        <f t="shared" ref="CW77:CW79" si="77">(CV77^4)/(((CT77^4)/2)+((CN77^4)/200)+((CH77^4)/200)+((CB77^4)/200))</f>
        <v>#DIV/0!</v>
      </c>
      <c r="CX77" s="95" t="e">
        <f t="shared" si="67"/>
        <v>#DIV/0!</v>
      </c>
      <c r="CY77" s="111" t="e">
        <f t="shared" ref="CY77:CY79" si="78">(CV77*CX77)</f>
        <v>#DIV/0!</v>
      </c>
      <c r="CZ77" s="106" t="str">
        <f t="shared" si="68"/>
        <v>mV</v>
      </c>
      <c r="DA77" s="8"/>
      <c r="DB77" s="177">
        <v>0.01</v>
      </c>
      <c r="DC77" s="178" t="str">
        <f t="shared" ref="DC77:DC79" si="79">CZ77</f>
        <v>mV</v>
      </c>
      <c r="DD77" s="220" t="e">
        <f t="shared" si="69"/>
        <v>#DIV/0!</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c r="Y78" s="291"/>
      <c r="Z78" s="291"/>
      <c r="AA78" s="291"/>
      <c r="AB78" s="291"/>
      <c r="AC78" s="291"/>
      <c r="AD78" s="291"/>
      <c r="AE78" s="291"/>
      <c r="AF78" s="291"/>
      <c r="AG78" s="291"/>
      <c r="AH78" s="291"/>
      <c r="AI78" s="291"/>
      <c r="AJ78" s="291"/>
      <c r="AK78" s="291"/>
      <c r="AL78" s="291"/>
      <c r="AM78" s="291" t="e">
        <f t="shared" si="56"/>
        <v>#DIV/0!</v>
      </c>
      <c r="AN78" s="291"/>
      <c r="AO78" s="291"/>
      <c r="AP78" s="291"/>
      <c r="AQ78" s="291"/>
      <c r="AR78" s="291" t="e">
        <f t="shared" si="57"/>
        <v>#DIV/0!</v>
      </c>
      <c r="AS78" s="291"/>
      <c r="AT78" s="291"/>
      <c r="AU78" s="291"/>
      <c r="AV78" s="291"/>
      <c r="AW78" s="139"/>
      <c r="AX78" s="139"/>
      <c r="AY78" s="139"/>
      <c r="AZ78" s="172"/>
      <c r="BA78" s="173"/>
      <c r="BB78" s="320" t="e">
        <f>(AM78*0.7%)+(4*CK78)</f>
        <v>#DIV/0!</v>
      </c>
      <c r="BC78" s="320"/>
      <c r="BD78" s="320"/>
      <c r="BE78" s="320"/>
      <c r="BF78" s="320"/>
      <c r="BG78" s="320" t="e">
        <f t="shared" si="58"/>
        <v>#DIV/0!</v>
      </c>
      <c r="BH78" s="320"/>
      <c r="BI78" s="320"/>
      <c r="BJ78" s="320"/>
      <c r="BK78" s="320"/>
      <c r="BL78" s="320" t="e">
        <f t="shared" si="59"/>
        <v>#DIV/0!</v>
      </c>
      <c r="BM78" s="320"/>
      <c r="BN78" s="320"/>
      <c r="BO78" s="320"/>
      <c r="BP78" s="320"/>
      <c r="BQ78" s="292" t="e">
        <f t="shared" si="60"/>
        <v>#DIV/0!</v>
      </c>
      <c r="BR78" s="292"/>
      <c r="BS78" s="292"/>
      <c r="BT78" s="292"/>
      <c r="BU78" s="292"/>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t="e">
        <f t="shared" si="65"/>
        <v>#DIV/0!</v>
      </c>
      <c r="CR78" s="1" t="str">
        <f t="shared" si="66"/>
        <v>mV</v>
      </c>
      <c r="CS78" s="81">
        <f t="shared" si="74"/>
        <v>1.7320508075688772</v>
      </c>
      <c r="CT78" s="86" t="e">
        <f t="shared" si="75"/>
        <v>#DIV/0!</v>
      </c>
      <c r="CU78" s="8"/>
      <c r="CV78" s="94" t="e">
        <f t="shared" si="76"/>
        <v>#DIV/0!</v>
      </c>
      <c r="CW78" s="5" t="e">
        <f t="shared" si="77"/>
        <v>#DIV/0!</v>
      </c>
      <c r="CX78" s="95" t="e">
        <f t="shared" si="67"/>
        <v>#DIV/0!</v>
      </c>
      <c r="CY78" s="111" t="e">
        <f t="shared" si="78"/>
        <v>#DIV/0!</v>
      </c>
      <c r="CZ78" s="106" t="str">
        <f t="shared" si="68"/>
        <v>mV</v>
      </c>
      <c r="DA78" s="8"/>
      <c r="DB78" s="177">
        <v>8.5000000000000006E-2</v>
      </c>
      <c r="DC78" s="178" t="str">
        <f t="shared" si="79"/>
        <v>mV</v>
      </c>
      <c r="DD78" s="220" t="e">
        <f t="shared" si="69"/>
        <v>#DIV/0!</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143</v>
      </c>
      <c r="T79" s="319"/>
      <c r="U79" s="319"/>
      <c r="V79" s="319"/>
      <c r="W79" s="319"/>
      <c r="X79" s="291"/>
      <c r="Y79" s="291"/>
      <c r="Z79" s="291"/>
      <c r="AA79" s="291"/>
      <c r="AB79" s="291"/>
      <c r="AC79" s="291"/>
      <c r="AD79" s="291"/>
      <c r="AE79" s="291"/>
      <c r="AF79" s="291"/>
      <c r="AG79" s="291"/>
      <c r="AH79" s="291"/>
      <c r="AI79" s="291"/>
      <c r="AJ79" s="291"/>
      <c r="AK79" s="291"/>
      <c r="AL79" s="291"/>
      <c r="AM79" s="291" t="e">
        <f t="shared" si="56"/>
        <v>#DIV/0!</v>
      </c>
      <c r="AN79" s="291"/>
      <c r="AO79" s="291"/>
      <c r="AP79" s="291"/>
      <c r="AQ79" s="291"/>
      <c r="AR79" s="291" t="e">
        <f t="shared" si="57"/>
        <v>#DIV/0!</v>
      </c>
      <c r="AS79" s="291"/>
      <c r="AT79" s="291"/>
      <c r="AU79" s="291"/>
      <c r="AV79" s="291"/>
      <c r="AW79" s="139"/>
      <c r="AX79" s="139"/>
      <c r="AY79" s="139"/>
      <c r="AZ79" s="172"/>
      <c r="BA79" s="173"/>
      <c r="BB79" s="320" t="e">
        <f>(AM79*1%)+(4*CK79)</f>
        <v>#DIV/0!</v>
      </c>
      <c r="BC79" s="320"/>
      <c r="BD79" s="320"/>
      <c r="BE79" s="320"/>
      <c r="BF79" s="320"/>
      <c r="BG79" s="320" t="e">
        <f t="shared" si="58"/>
        <v>#DIV/0!</v>
      </c>
      <c r="BH79" s="320"/>
      <c r="BI79" s="320"/>
      <c r="BJ79" s="320"/>
      <c r="BK79" s="320"/>
      <c r="BL79" s="320" t="e">
        <f t="shared" si="59"/>
        <v>#DIV/0!</v>
      </c>
      <c r="BM79" s="320"/>
      <c r="BN79" s="320"/>
      <c r="BO79" s="320"/>
      <c r="BP79" s="320"/>
      <c r="BQ79" s="292" t="e">
        <f t="shared" si="60"/>
        <v>#DIV/0!</v>
      </c>
      <c r="BR79" s="292"/>
      <c r="BS79" s="292"/>
      <c r="BT79" s="292"/>
      <c r="BU79" s="292"/>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t="e">
        <f t="shared" si="65"/>
        <v>#DIV/0!</v>
      </c>
      <c r="CR79" s="1" t="str">
        <f t="shared" si="66"/>
        <v>mV</v>
      </c>
      <c r="CS79" s="81">
        <f t="shared" si="74"/>
        <v>1.7320508075688772</v>
      </c>
      <c r="CT79" s="86" t="e">
        <f t="shared" si="75"/>
        <v>#DIV/0!</v>
      </c>
      <c r="CU79" s="8"/>
      <c r="CV79" s="94" t="e">
        <f t="shared" si="76"/>
        <v>#DIV/0!</v>
      </c>
      <c r="CW79" s="5" t="e">
        <f t="shared" si="77"/>
        <v>#DIV/0!</v>
      </c>
      <c r="CX79" s="95" t="e">
        <f t="shared" si="67"/>
        <v>#DIV/0!</v>
      </c>
      <c r="CY79" s="111" t="e">
        <f t="shared" si="78"/>
        <v>#DIV/0!</v>
      </c>
      <c r="CZ79" s="106" t="str">
        <f t="shared" si="68"/>
        <v>mV</v>
      </c>
      <c r="DA79" s="8"/>
      <c r="DB79" s="177">
        <v>8.5000000000000006E-2</v>
      </c>
      <c r="DC79" s="178" t="str">
        <f t="shared" si="79"/>
        <v>mV</v>
      </c>
      <c r="DD79" s="220" t="e">
        <f t="shared" si="69"/>
        <v>#DIV/0!</v>
      </c>
      <c r="DE79" s="178" t="str">
        <f t="shared" si="80"/>
        <v>mV</v>
      </c>
    </row>
    <row r="80" spans="1:109" s="174" customFormat="1" ht="18" customHeight="1">
      <c r="A80" s="173"/>
      <c r="B80" s="170"/>
      <c r="C80" s="139"/>
      <c r="D80" s="139"/>
      <c r="E80" s="139"/>
      <c r="F80" s="310" t="s">
        <v>135</v>
      </c>
      <c r="G80" s="311"/>
      <c r="H80" s="311"/>
      <c r="I80" s="311"/>
      <c r="J80" s="311"/>
      <c r="K80" s="312"/>
      <c r="L80" s="297">
        <f>6*10%</f>
        <v>0.60000000000000009</v>
      </c>
      <c r="M80" s="298"/>
      <c r="N80" s="298"/>
      <c r="O80" s="298"/>
      <c r="P80" s="299" t="s">
        <v>93</v>
      </c>
      <c r="Q80" s="299"/>
      <c r="R80" s="300"/>
      <c r="S80" s="319" t="s">
        <v>96</v>
      </c>
      <c r="T80" s="319"/>
      <c r="U80" s="319"/>
      <c r="V80" s="319"/>
      <c r="W80" s="319"/>
      <c r="X80" s="291"/>
      <c r="Y80" s="291"/>
      <c r="Z80" s="291"/>
      <c r="AA80" s="291"/>
      <c r="AB80" s="291"/>
      <c r="AC80" s="291"/>
      <c r="AD80" s="291"/>
      <c r="AE80" s="291"/>
      <c r="AF80" s="291"/>
      <c r="AG80" s="291"/>
      <c r="AH80" s="291"/>
      <c r="AI80" s="291"/>
      <c r="AJ80" s="291"/>
      <c r="AK80" s="291"/>
      <c r="AL80" s="291"/>
      <c r="AM80" s="320" t="e">
        <f t="shared" ref="AM80:AM93" si="81">AVERAGE(X80:AL80)</f>
        <v>#DIV/0!</v>
      </c>
      <c r="AN80" s="320"/>
      <c r="AO80" s="320"/>
      <c r="AP80" s="320"/>
      <c r="AQ80" s="320"/>
      <c r="AR80" s="320" t="e">
        <f t="shared" ref="AR80:AR93" si="82">AM80-L80</f>
        <v>#DIV/0!</v>
      </c>
      <c r="AS80" s="320"/>
      <c r="AT80" s="320"/>
      <c r="AU80" s="320"/>
      <c r="AV80" s="320"/>
      <c r="AW80" s="139"/>
      <c r="AX80" s="139"/>
      <c r="AY80" s="139"/>
      <c r="AZ80" s="172"/>
      <c r="BA80" s="173"/>
      <c r="BB80" s="320" t="e">
        <f>(AM80*0.7%)+(2*CK80)</f>
        <v>#DIV/0!</v>
      </c>
      <c r="BC80" s="320"/>
      <c r="BD80" s="320"/>
      <c r="BE80" s="320"/>
      <c r="BF80" s="320"/>
      <c r="BG80" s="320" t="e">
        <f t="shared" ref="BG80:BG93" si="83">L80+BB80</f>
        <v>#DIV/0!</v>
      </c>
      <c r="BH80" s="320"/>
      <c r="BI80" s="320"/>
      <c r="BJ80" s="320"/>
      <c r="BK80" s="320"/>
      <c r="BL80" s="320" t="e">
        <f t="shared" ref="BL80:BL93" si="84">L80-BB80</f>
        <v>#DIV/0!</v>
      </c>
      <c r="BM80" s="320"/>
      <c r="BN80" s="320"/>
      <c r="BO80" s="320"/>
      <c r="BP80" s="320"/>
      <c r="BQ80" s="292" t="e">
        <f t="shared" ref="BQ80:BQ93" si="85">IF(AND(AM80&lt;=BG80,AM80&gt;=BL80),"PASS","FAIL")</f>
        <v>#DIV/0!</v>
      </c>
      <c r="BR80" s="292"/>
      <c r="BS80" s="292"/>
      <c r="BT80" s="292"/>
      <c r="BU80" s="292"/>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t="e">
        <f t="shared" ref="CQ80:CQ93" si="90">STDEV(X80:AL80)</f>
        <v>#DIV/0!</v>
      </c>
      <c r="CR80" s="71" t="str">
        <f t="shared" ref="CR80:CR93" si="91">P80</f>
        <v>V</v>
      </c>
      <c r="CS80" s="80">
        <f>SQRT(3)</f>
        <v>1.7320508075688772</v>
      </c>
      <c r="CT80" s="85" t="e">
        <f>CQ80/CS80</f>
        <v>#DIV/0!</v>
      </c>
      <c r="CU80" s="8"/>
      <c r="CV80" s="92" t="e">
        <f>SQRT(SUMSQ(CT80,CN80,CH80,CB80))</f>
        <v>#DIV/0!</v>
      </c>
      <c r="CW80" s="88" t="e">
        <f>(CV80^4)/(((CT80^4)/2)+((CN80^4)/200)+((CH80^4)/200)+((CB80^4)/200))</f>
        <v>#DIV/0!</v>
      </c>
      <c r="CX80" s="93" t="e">
        <f t="shared" ref="CX80:CX93" si="92">ROUND(TINV(0.05,CW80),0)</f>
        <v>#DIV/0!</v>
      </c>
      <c r="CY80" s="118" t="e">
        <f>(CV80*CX80)</f>
        <v>#DIV/0!</v>
      </c>
      <c r="CZ80" s="104" t="str">
        <f t="shared" ref="CZ80:CZ93" si="93">P80</f>
        <v>V</v>
      </c>
      <c r="DA80" s="8"/>
      <c r="DB80" s="177">
        <v>8.5000000000000006E-5</v>
      </c>
      <c r="DC80" s="178" t="str">
        <f>CZ80</f>
        <v>V</v>
      </c>
      <c r="DD80" s="220" t="e">
        <f t="shared" si="69"/>
        <v>#DIV/0!</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143</v>
      </c>
      <c r="T81" s="319"/>
      <c r="U81" s="319"/>
      <c r="V81" s="319"/>
      <c r="W81" s="319"/>
      <c r="X81" s="291"/>
      <c r="Y81" s="291"/>
      <c r="Z81" s="291"/>
      <c r="AA81" s="291"/>
      <c r="AB81" s="291"/>
      <c r="AC81" s="291"/>
      <c r="AD81" s="291"/>
      <c r="AE81" s="291"/>
      <c r="AF81" s="291"/>
      <c r="AG81" s="291"/>
      <c r="AH81" s="291"/>
      <c r="AI81" s="291"/>
      <c r="AJ81" s="291"/>
      <c r="AK81" s="291"/>
      <c r="AL81" s="291"/>
      <c r="AM81" s="320" t="e">
        <f t="shared" si="81"/>
        <v>#DIV/0!</v>
      </c>
      <c r="AN81" s="320"/>
      <c r="AO81" s="320"/>
      <c r="AP81" s="320"/>
      <c r="AQ81" s="320"/>
      <c r="AR81" s="320" t="e">
        <f t="shared" si="82"/>
        <v>#DIV/0!</v>
      </c>
      <c r="AS81" s="320"/>
      <c r="AT81" s="320"/>
      <c r="AU81" s="320"/>
      <c r="AV81" s="320"/>
      <c r="AW81" s="139"/>
      <c r="AX81" s="139"/>
      <c r="AY81" s="139"/>
      <c r="AZ81" s="172"/>
      <c r="BA81" s="173"/>
      <c r="BB81" s="320" t="e">
        <f>(AM81*1%)+(4*CK81)</f>
        <v>#DIV/0!</v>
      </c>
      <c r="BC81" s="320"/>
      <c r="BD81" s="320"/>
      <c r="BE81" s="320"/>
      <c r="BF81" s="320"/>
      <c r="BG81" s="320" t="e">
        <f t="shared" si="83"/>
        <v>#DIV/0!</v>
      </c>
      <c r="BH81" s="320"/>
      <c r="BI81" s="320"/>
      <c r="BJ81" s="320"/>
      <c r="BK81" s="320"/>
      <c r="BL81" s="320" t="e">
        <f t="shared" si="84"/>
        <v>#DIV/0!</v>
      </c>
      <c r="BM81" s="320"/>
      <c r="BN81" s="320"/>
      <c r="BO81" s="320"/>
      <c r="BP81" s="320"/>
      <c r="BQ81" s="292" t="e">
        <f t="shared" si="85"/>
        <v>#DIV/0!</v>
      </c>
      <c r="BR81" s="292"/>
      <c r="BS81" s="292"/>
      <c r="BT81" s="292"/>
      <c r="BU81" s="292"/>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t="e">
        <f t="shared" si="90"/>
        <v>#DIV/0!</v>
      </c>
      <c r="CR81" s="1" t="str">
        <f t="shared" si="91"/>
        <v>V</v>
      </c>
      <c r="CS81" s="81">
        <f t="shared" ref="CS81:CS97" si="97">SQRT(3)</f>
        <v>1.7320508075688772</v>
      </c>
      <c r="CT81" s="86" t="e">
        <f t="shared" ref="CT81:CT93" si="98">CQ81/CS81</f>
        <v>#DIV/0!</v>
      </c>
      <c r="CU81" s="8"/>
      <c r="CV81" s="94" t="e">
        <f t="shared" ref="CV81:CV93" si="99">SQRT(SUMSQ(CT81,CN81,CH81,CB81))</f>
        <v>#DIV/0!</v>
      </c>
      <c r="CW81" s="5" t="e">
        <f t="shared" ref="CW81:CW93" si="100">(CV81^4)/(((CT81^4)/2)+((CN81^4)/200)+((CH81^4)/200)+((CB81^4)/200))</f>
        <v>#DIV/0!</v>
      </c>
      <c r="CX81" s="95" t="e">
        <f t="shared" si="92"/>
        <v>#DIV/0!</v>
      </c>
      <c r="CY81" s="111" t="e">
        <f t="shared" ref="CY81:CY85" si="101">(CV81*CX81)</f>
        <v>#DIV/0!</v>
      </c>
      <c r="CZ81" s="106" t="str">
        <f t="shared" si="93"/>
        <v>V</v>
      </c>
      <c r="DA81" s="8"/>
      <c r="DB81" s="177">
        <v>8.5000000000000006E-5</v>
      </c>
      <c r="DC81" s="178" t="str">
        <f t="shared" ref="DC81:DC93" si="102">CZ81</f>
        <v>V</v>
      </c>
      <c r="DD81" s="220" t="e">
        <f t="shared" si="69"/>
        <v>#DIV/0!</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c r="Y82" s="291"/>
      <c r="Z82" s="291"/>
      <c r="AA82" s="291"/>
      <c r="AB82" s="291"/>
      <c r="AC82" s="291"/>
      <c r="AD82" s="291"/>
      <c r="AE82" s="291"/>
      <c r="AF82" s="291"/>
      <c r="AG82" s="291"/>
      <c r="AH82" s="291"/>
      <c r="AI82" s="291"/>
      <c r="AJ82" s="291"/>
      <c r="AK82" s="291"/>
      <c r="AL82" s="291"/>
      <c r="AM82" s="320" t="e">
        <f t="shared" si="81"/>
        <v>#DIV/0!</v>
      </c>
      <c r="AN82" s="320"/>
      <c r="AO82" s="320"/>
      <c r="AP82" s="320"/>
      <c r="AQ82" s="320"/>
      <c r="AR82" s="320" t="e">
        <f t="shared" si="82"/>
        <v>#DIV/0!</v>
      </c>
      <c r="AS82" s="320"/>
      <c r="AT82" s="320"/>
      <c r="AU82" s="320"/>
      <c r="AV82" s="320"/>
      <c r="AW82" s="139"/>
      <c r="AX82" s="139"/>
      <c r="AY82" s="139"/>
      <c r="AZ82" s="172"/>
      <c r="BA82" s="173"/>
      <c r="BB82" s="320" t="e">
        <f>(AM82*0.7%)+(2*CK82)</f>
        <v>#DIV/0!</v>
      </c>
      <c r="BC82" s="320"/>
      <c r="BD82" s="320"/>
      <c r="BE82" s="320"/>
      <c r="BF82" s="320"/>
      <c r="BG82" s="320" t="e">
        <f t="shared" si="83"/>
        <v>#DIV/0!</v>
      </c>
      <c r="BH82" s="320"/>
      <c r="BI82" s="320"/>
      <c r="BJ82" s="320"/>
      <c r="BK82" s="320"/>
      <c r="BL82" s="320" t="e">
        <f t="shared" si="84"/>
        <v>#DIV/0!</v>
      </c>
      <c r="BM82" s="320"/>
      <c r="BN82" s="320"/>
      <c r="BO82" s="320"/>
      <c r="BP82" s="320"/>
      <c r="BQ82" s="292" t="e">
        <f t="shared" si="85"/>
        <v>#DIV/0!</v>
      </c>
      <c r="BR82" s="292"/>
      <c r="BS82" s="292"/>
      <c r="BT82" s="292"/>
      <c r="BU82" s="292"/>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t="e">
        <f t="shared" si="90"/>
        <v>#DIV/0!</v>
      </c>
      <c r="CR82" s="1" t="str">
        <f t="shared" si="91"/>
        <v>V</v>
      </c>
      <c r="CS82" s="81">
        <f t="shared" si="97"/>
        <v>1.7320508075688772</v>
      </c>
      <c r="CT82" s="86" t="e">
        <f t="shared" si="98"/>
        <v>#DIV/0!</v>
      </c>
      <c r="CU82" s="8"/>
      <c r="CV82" s="94" t="e">
        <f t="shared" si="99"/>
        <v>#DIV/0!</v>
      </c>
      <c r="CW82" s="5" t="e">
        <f t="shared" si="100"/>
        <v>#DIV/0!</v>
      </c>
      <c r="CX82" s="95" t="e">
        <f t="shared" ref="CX82" si="105">ROUND(TINV(0.05,CW82),0)</f>
        <v>#DIV/0!</v>
      </c>
      <c r="CY82" s="111" t="e">
        <f t="shared" ref="CY82" si="106">(CV82*CX82)</f>
        <v>#DIV/0!</v>
      </c>
      <c r="CZ82" s="106" t="str">
        <f t="shared" si="93"/>
        <v>V</v>
      </c>
      <c r="DA82" s="8"/>
      <c r="DB82" s="177">
        <v>8.4999999999999995E-4</v>
      </c>
      <c r="DC82" s="178" t="str">
        <f t="shared" si="102"/>
        <v>V</v>
      </c>
      <c r="DD82" s="220" t="e">
        <f t="shared" si="69"/>
        <v>#DIV/0!</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143</v>
      </c>
      <c r="T83" s="319"/>
      <c r="U83" s="319"/>
      <c r="V83" s="319"/>
      <c r="W83" s="319"/>
      <c r="X83" s="291"/>
      <c r="Y83" s="291"/>
      <c r="Z83" s="291"/>
      <c r="AA83" s="291"/>
      <c r="AB83" s="291"/>
      <c r="AC83" s="291"/>
      <c r="AD83" s="291"/>
      <c r="AE83" s="291"/>
      <c r="AF83" s="291"/>
      <c r="AG83" s="291"/>
      <c r="AH83" s="291"/>
      <c r="AI83" s="291"/>
      <c r="AJ83" s="291"/>
      <c r="AK83" s="291"/>
      <c r="AL83" s="291"/>
      <c r="AM83" s="320" t="e">
        <f t="shared" si="81"/>
        <v>#DIV/0!</v>
      </c>
      <c r="AN83" s="320"/>
      <c r="AO83" s="320"/>
      <c r="AP83" s="320"/>
      <c r="AQ83" s="320"/>
      <c r="AR83" s="320" t="e">
        <f t="shared" si="82"/>
        <v>#DIV/0!</v>
      </c>
      <c r="AS83" s="320"/>
      <c r="AT83" s="320"/>
      <c r="AU83" s="320"/>
      <c r="AV83" s="320"/>
      <c r="AW83" s="139"/>
      <c r="AX83" s="139"/>
      <c r="AY83" s="139"/>
      <c r="AZ83" s="172"/>
      <c r="BA83" s="173"/>
      <c r="BB83" s="320" t="e">
        <f>(AM83*1%)+(4*CK83)</f>
        <v>#DIV/0!</v>
      </c>
      <c r="BC83" s="320"/>
      <c r="BD83" s="320"/>
      <c r="BE83" s="320"/>
      <c r="BF83" s="320"/>
      <c r="BG83" s="320" t="e">
        <f t="shared" si="83"/>
        <v>#DIV/0!</v>
      </c>
      <c r="BH83" s="320"/>
      <c r="BI83" s="320"/>
      <c r="BJ83" s="320"/>
      <c r="BK83" s="320"/>
      <c r="BL83" s="320" t="e">
        <f t="shared" si="84"/>
        <v>#DIV/0!</v>
      </c>
      <c r="BM83" s="320"/>
      <c r="BN83" s="320"/>
      <c r="BO83" s="320"/>
      <c r="BP83" s="320"/>
      <c r="BQ83" s="292" t="e">
        <f t="shared" si="85"/>
        <v>#DIV/0!</v>
      </c>
      <c r="BR83" s="292"/>
      <c r="BS83" s="292"/>
      <c r="BT83" s="292"/>
      <c r="BU83" s="292"/>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t="e">
        <f t="shared" si="90"/>
        <v>#DIV/0!</v>
      </c>
      <c r="CR83" s="1" t="str">
        <f t="shared" si="91"/>
        <v>V</v>
      </c>
      <c r="CS83" s="81">
        <f t="shared" si="97"/>
        <v>1.7320508075688772</v>
      </c>
      <c r="CT83" s="86" t="e">
        <f t="shared" si="98"/>
        <v>#DIV/0!</v>
      </c>
      <c r="CU83" s="8"/>
      <c r="CV83" s="94" t="e">
        <f t="shared" si="99"/>
        <v>#DIV/0!</v>
      </c>
      <c r="CW83" s="5" t="e">
        <f t="shared" si="100"/>
        <v>#DIV/0!</v>
      </c>
      <c r="CX83" s="95" t="e">
        <f t="shared" si="92"/>
        <v>#DIV/0!</v>
      </c>
      <c r="CY83" s="111" t="e">
        <f t="shared" si="101"/>
        <v>#DIV/0!</v>
      </c>
      <c r="CZ83" s="106" t="str">
        <f t="shared" si="93"/>
        <v>V</v>
      </c>
      <c r="DA83" s="8"/>
      <c r="DB83" s="177">
        <v>8.4999999999999995E-4</v>
      </c>
      <c r="DC83" s="178" t="str">
        <f t="shared" si="102"/>
        <v>V</v>
      </c>
      <c r="DD83" s="220" t="e">
        <f t="shared" si="69"/>
        <v>#DIV/0!</v>
      </c>
      <c r="DE83" s="178" t="str">
        <f t="shared" si="103"/>
        <v>V</v>
      </c>
    </row>
    <row r="84" spans="1:109" s="174" customFormat="1" ht="18" customHeight="1">
      <c r="A84" s="173"/>
      <c r="B84" s="170"/>
      <c r="C84" s="139"/>
      <c r="D84" s="139"/>
      <c r="E84" s="139"/>
      <c r="F84" s="310" t="s">
        <v>136</v>
      </c>
      <c r="G84" s="311"/>
      <c r="H84" s="311"/>
      <c r="I84" s="311"/>
      <c r="J84" s="311"/>
      <c r="K84" s="312"/>
      <c r="L84" s="297">
        <f>60*10%</f>
        <v>6</v>
      </c>
      <c r="M84" s="298"/>
      <c r="N84" s="298"/>
      <c r="O84" s="298"/>
      <c r="P84" s="299" t="s">
        <v>93</v>
      </c>
      <c r="Q84" s="299"/>
      <c r="R84" s="300"/>
      <c r="S84" s="319" t="s">
        <v>96</v>
      </c>
      <c r="T84" s="319"/>
      <c r="U84" s="319"/>
      <c r="V84" s="319"/>
      <c r="W84" s="319"/>
      <c r="X84" s="291"/>
      <c r="Y84" s="291"/>
      <c r="Z84" s="291"/>
      <c r="AA84" s="291"/>
      <c r="AB84" s="291"/>
      <c r="AC84" s="291"/>
      <c r="AD84" s="291"/>
      <c r="AE84" s="291"/>
      <c r="AF84" s="291"/>
      <c r="AG84" s="291"/>
      <c r="AH84" s="291"/>
      <c r="AI84" s="291"/>
      <c r="AJ84" s="291"/>
      <c r="AK84" s="291"/>
      <c r="AL84" s="291"/>
      <c r="AM84" s="303" t="e">
        <f t="shared" si="81"/>
        <v>#DIV/0!</v>
      </c>
      <c r="AN84" s="303"/>
      <c r="AO84" s="303"/>
      <c r="AP84" s="303"/>
      <c r="AQ84" s="303"/>
      <c r="AR84" s="303" t="e">
        <f t="shared" si="82"/>
        <v>#DIV/0!</v>
      </c>
      <c r="AS84" s="303"/>
      <c r="AT84" s="303"/>
      <c r="AU84" s="303"/>
      <c r="AV84" s="303"/>
      <c r="AW84" s="139"/>
      <c r="AX84" s="139"/>
      <c r="AY84" s="139"/>
      <c r="AZ84" s="172"/>
      <c r="BA84" s="173"/>
      <c r="BB84" s="320" t="e">
        <f>(AM84*0.7%)+(2*CK84)</f>
        <v>#DIV/0!</v>
      </c>
      <c r="BC84" s="320"/>
      <c r="BD84" s="320"/>
      <c r="BE84" s="320"/>
      <c r="BF84" s="320"/>
      <c r="BG84" s="303" t="e">
        <f t="shared" si="83"/>
        <v>#DIV/0!</v>
      </c>
      <c r="BH84" s="303"/>
      <c r="BI84" s="303"/>
      <c r="BJ84" s="303"/>
      <c r="BK84" s="303"/>
      <c r="BL84" s="303" t="e">
        <f t="shared" si="84"/>
        <v>#DIV/0!</v>
      </c>
      <c r="BM84" s="303"/>
      <c r="BN84" s="303"/>
      <c r="BO84" s="303"/>
      <c r="BP84" s="303"/>
      <c r="BQ84" s="292" t="e">
        <f t="shared" si="85"/>
        <v>#DIV/0!</v>
      </c>
      <c r="BR84" s="292"/>
      <c r="BS84" s="292"/>
      <c r="BT84" s="292"/>
      <c r="BU84" s="292"/>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t="e">
        <f t="shared" si="90"/>
        <v>#DIV/0!</v>
      </c>
      <c r="CR84" s="1" t="str">
        <f t="shared" si="91"/>
        <v>V</v>
      </c>
      <c r="CS84" s="81">
        <f t="shared" si="97"/>
        <v>1.7320508075688772</v>
      </c>
      <c r="CT84" s="86" t="e">
        <f t="shared" si="98"/>
        <v>#DIV/0!</v>
      </c>
      <c r="CU84" s="8"/>
      <c r="CV84" s="94" t="e">
        <f t="shared" si="99"/>
        <v>#DIV/0!</v>
      </c>
      <c r="CW84" s="5" t="e">
        <f t="shared" si="100"/>
        <v>#DIV/0!</v>
      </c>
      <c r="CX84" s="95" t="e">
        <f t="shared" si="92"/>
        <v>#DIV/0!</v>
      </c>
      <c r="CY84" s="110" t="e">
        <f t="shared" si="101"/>
        <v>#DIV/0!</v>
      </c>
      <c r="CZ84" s="106" t="str">
        <f t="shared" si="93"/>
        <v>V</v>
      </c>
      <c r="DA84" s="8"/>
      <c r="DB84" s="177">
        <v>8.4999999999999995E-4</v>
      </c>
      <c r="DC84" s="178" t="str">
        <f t="shared" si="102"/>
        <v>V</v>
      </c>
      <c r="DD84" s="220" t="e">
        <f t="shared" si="69"/>
        <v>#DIV/0!</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143</v>
      </c>
      <c r="T85" s="319"/>
      <c r="U85" s="319"/>
      <c r="V85" s="319"/>
      <c r="W85" s="319"/>
      <c r="X85" s="291"/>
      <c r="Y85" s="291"/>
      <c r="Z85" s="291"/>
      <c r="AA85" s="291"/>
      <c r="AB85" s="291"/>
      <c r="AC85" s="291"/>
      <c r="AD85" s="291"/>
      <c r="AE85" s="291"/>
      <c r="AF85" s="291"/>
      <c r="AG85" s="291"/>
      <c r="AH85" s="291"/>
      <c r="AI85" s="291"/>
      <c r="AJ85" s="291"/>
      <c r="AK85" s="291"/>
      <c r="AL85" s="291"/>
      <c r="AM85" s="303" t="e">
        <f t="shared" si="81"/>
        <v>#DIV/0!</v>
      </c>
      <c r="AN85" s="303"/>
      <c r="AO85" s="303"/>
      <c r="AP85" s="303"/>
      <c r="AQ85" s="303"/>
      <c r="AR85" s="303" t="e">
        <f t="shared" si="82"/>
        <v>#DIV/0!</v>
      </c>
      <c r="AS85" s="303"/>
      <c r="AT85" s="303"/>
      <c r="AU85" s="303"/>
      <c r="AV85" s="303"/>
      <c r="AW85" s="139"/>
      <c r="AX85" s="139"/>
      <c r="AY85" s="139"/>
      <c r="AZ85" s="172"/>
      <c r="BA85" s="173"/>
      <c r="BB85" s="320" t="e">
        <f>(AM85*1%)+(4*CK85)</f>
        <v>#DIV/0!</v>
      </c>
      <c r="BC85" s="320"/>
      <c r="BD85" s="320"/>
      <c r="BE85" s="320"/>
      <c r="BF85" s="320"/>
      <c r="BG85" s="303" t="e">
        <f t="shared" si="83"/>
        <v>#DIV/0!</v>
      </c>
      <c r="BH85" s="303"/>
      <c r="BI85" s="303"/>
      <c r="BJ85" s="303"/>
      <c r="BK85" s="303"/>
      <c r="BL85" s="303" t="e">
        <f t="shared" si="84"/>
        <v>#DIV/0!</v>
      </c>
      <c r="BM85" s="303"/>
      <c r="BN85" s="303"/>
      <c r="BO85" s="303"/>
      <c r="BP85" s="303"/>
      <c r="BQ85" s="292" t="e">
        <f t="shared" si="85"/>
        <v>#DIV/0!</v>
      </c>
      <c r="BR85" s="292"/>
      <c r="BS85" s="292"/>
      <c r="BT85" s="292"/>
      <c r="BU85" s="292"/>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t="e">
        <f t="shared" si="90"/>
        <v>#DIV/0!</v>
      </c>
      <c r="CR85" s="1" t="str">
        <f t="shared" si="91"/>
        <v>V</v>
      </c>
      <c r="CS85" s="81">
        <f t="shared" si="97"/>
        <v>1.7320508075688772</v>
      </c>
      <c r="CT85" s="86" t="e">
        <f t="shared" si="98"/>
        <v>#DIV/0!</v>
      </c>
      <c r="CU85" s="8"/>
      <c r="CV85" s="94" t="e">
        <f t="shared" si="99"/>
        <v>#DIV/0!</v>
      </c>
      <c r="CW85" s="5" t="e">
        <f t="shared" si="100"/>
        <v>#DIV/0!</v>
      </c>
      <c r="CX85" s="95" t="e">
        <f t="shared" ref="CX85" si="108">ROUND(TINV(0.05,CW85),0)</f>
        <v>#DIV/0!</v>
      </c>
      <c r="CY85" s="110" t="e">
        <f t="shared" si="101"/>
        <v>#DIV/0!</v>
      </c>
      <c r="CZ85" s="106" t="str">
        <f t="shared" si="93"/>
        <v>V</v>
      </c>
      <c r="DA85" s="8"/>
      <c r="DB85" s="177">
        <v>8.4999999999999995E-4</v>
      </c>
      <c r="DC85" s="178" t="str">
        <f t="shared" si="102"/>
        <v>V</v>
      </c>
      <c r="DD85" s="220" t="e">
        <f t="shared" si="69"/>
        <v>#DIV/0!</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c r="Y86" s="291"/>
      <c r="Z86" s="291"/>
      <c r="AA86" s="291"/>
      <c r="AB86" s="291"/>
      <c r="AC86" s="291"/>
      <c r="AD86" s="291"/>
      <c r="AE86" s="291"/>
      <c r="AF86" s="291"/>
      <c r="AG86" s="291"/>
      <c r="AH86" s="291"/>
      <c r="AI86" s="291"/>
      <c r="AJ86" s="291"/>
      <c r="AK86" s="291"/>
      <c r="AL86" s="291"/>
      <c r="AM86" s="303" t="e">
        <f t="shared" si="81"/>
        <v>#DIV/0!</v>
      </c>
      <c r="AN86" s="303"/>
      <c r="AO86" s="303"/>
      <c r="AP86" s="303"/>
      <c r="AQ86" s="303"/>
      <c r="AR86" s="303" t="e">
        <f t="shared" si="82"/>
        <v>#DIV/0!</v>
      </c>
      <c r="AS86" s="303"/>
      <c r="AT86" s="303"/>
      <c r="AU86" s="303"/>
      <c r="AV86" s="303"/>
      <c r="AW86" s="139"/>
      <c r="AX86" s="139"/>
      <c r="AY86" s="139"/>
      <c r="AZ86" s="172"/>
      <c r="BA86" s="173"/>
      <c r="BB86" s="320" t="e">
        <f>(AM86*0.7%)+(2*CK86)</f>
        <v>#DIV/0!</v>
      </c>
      <c r="BC86" s="320"/>
      <c r="BD86" s="320"/>
      <c r="BE86" s="320"/>
      <c r="BF86" s="320"/>
      <c r="BG86" s="303" t="e">
        <f t="shared" si="83"/>
        <v>#DIV/0!</v>
      </c>
      <c r="BH86" s="303"/>
      <c r="BI86" s="303"/>
      <c r="BJ86" s="303"/>
      <c r="BK86" s="303"/>
      <c r="BL86" s="303" t="e">
        <f t="shared" si="84"/>
        <v>#DIV/0!</v>
      </c>
      <c r="BM86" s="303"/>
      <c r="BN86" s="303"/>
      <c r="BO86" s="303"/>
      <c r="BP86" s="303"/>
      <c r="BQ86" s="292" t="e">
        <f t="shared" si="85"/>
        <v>#DIV/0!</v>
      </c>
      <c r="BR86" s="292"/>
      <c r="BS86" s="292"/>
      <c r="BT86" s="292"/>
      <c r="BU86" s="292"/>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t="e">
        <f t="shared" si="90"/>
        <v>#DIV/0!</v>
      </c>
      <c r="CR86" s="1" t="str">
        <f t="shared" si="91"/>
        <v>V</v>
      </c>
      <c r="CS86" s="81">
        <f t="shared" si="97"/>
        <v>1.7320508075688772</v>
      </c>
      <c r="CT86" s="86" t="e">
        <f t="shared" si="98"/>
        <v>#DIV/0!</v>
      </c>
      <c r="CU86" s="8"/>
      <c r="CV86" s="94" t="e">
        <f t="shared" si="99"/>
        <v>#DIV/0!</v>
      </c>
      <c r="CW86" s="5" t="e">
        <f t="shared" si="100"/>
        <v>#DIV/0!</v>
      </c>
      <c r="CX86" s="95" t="e">
        <f t="shared" si="92"/>
        <v>#DIV/0!</v>
      </c>
      <c r="CY86" s="110" t="e">
        <f t="shared" ref="CY86:CY89" si="109">(CV86*CX86)</f>
        <v>#DIV/0!</v>
      </c>
      <c r="CZ86" s="106" t="str">
        <f t="shared" si="93"/>
        <v>V</v>
      </c>
      <c r="DA86" s="8"/>
      <c r="DB86" s="177">
        <v>8.4999999999999995E-4</v>
      </c>
      <c r="DC86" s="178" t="str">
        <f t="shared" si="102"/>
        <v>V</v>
      </c>
      <c r="DD86" s="220" t="e">
        <f t="shared" si="69"/>
        <v>#DIV/0!</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143</v>
      </c>
      <c r="T87" s="319"/>
      <c r="U87" s="319"/>
      <c r="V87" s="319"/>
      <c r="W87" s="319"/>
      <c r="X87" s="291"/>
      <c r="Y87" s="291"/>
      <c r="Z87" s="291"/>
      <c r="AA87" s="291"/>
      <c r="AB87" s="291"/>
      <c r="AC87" s="291"/>
      <c r="AD87" s="291"/>
      <c r="AE87" s="291"/>
      <c r="AF87" s="291"/>
      <c r="AG87" s="291"/>
      <c r="AH87" s="291"/>
      <c r="AI87" s="291"/>
      <c r="AJ87" s="291"/>
      <c r="AK87" s="291"/>
      <c r="AL87" s="291"/>
      <c r="AM87" s="303" t="e">
        <f t="shared" si="81"/>
        <v>#DIV/0!</v>
      </c>
      <c r="AN87" s="303"/>
      <c r="AO87" s="303"/>
      <c r="AP87" s="303"/>
      <c r="AQ87" s="303"/>
      <c r="AR87" s="303" t="e">
        <f t="shared" si="82"/>
        <v>#DIV/0!</v>
      </c>
      <c r="AS87" s="303"/>
      <c r="AT87" s="303"/>
      <c r="AU87" s="303"/>
      <c r="AV87" s="303"/>
      <c r="AW87" s="139"/>
      <c r="AX87" s="139"/>
      <c r="AY87" s="139"/>
      <c r="AZ87" s="172"/>
      <c r="BA87" s="173"/>
      <c r="BB87" s="320" t="e">
        <f>(AM87*1%)+(4*CK87)</f>
        <v>#DIV/0!</v>
      </c>
      <c r="BC87" s="320"/>
      <c r="BD87" s="320"/>
      <c r="BE87" s="320"/>
      <c r="BF87" s="320"/>
      <c r="BG87" s="303" t="e">
        <f t="shared" si="83"/>
        <v>#DIV/0!</v>
      </c>
      <c r="BH87" s="303"/>
      <c r="BI87" s="303"/>
      <c r="BJ87" s="303"/>
      <c r="BK87" s="303"/>
      <c r="BL87" s="303" t="e">
        <f t="shared" si="84"/>
        <v>#DIV/0!</v>
      </c>
      <c r="BM87" s="303"/>
      <c r="BN87" s="303"/>
      <c r="BO87" s="303"/>
      <c r="BP87" s="303"/>
      <c r="BQ87" s="292" t="e">
        <f t="shared" si="85"/>
        <v>#DIV/0!</v>
      </c>
      <c r="BR87" s="292"/>
      <c r="BS87" s="292"/>
      <c r="BT87" s="292"/>
      <c r="BU87" s="292"/>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t="e">
        <f t="shared" si="90"/>
        <v>#DIV/0!</v>
      </c>
      <c r="CR87" s="1" t="str">
        <f t="shared" si="91"/>
        <v>V</v>
      </c>
      <c r="CS87" s="81">
        <f t="shared" si="97"/>
        <v>1.7320508075688772</v>
      </c>
      <c r="CT87" s="86" t="e">
        <f t="shared" si="98"/>
        <v>#DIV/0!</v>
      </c>
      <c r="CU87" s="8"/>
      <c r="CV87" s="94" t="e">
        <f t="shared" si="99"/>
        <v>#DIV/0!</v>
      </c>
      <c r="CW87" s="5" t="e">
        <f t="shared" si="100"/>
        <v>#DIV/0!</v>
      </c>
      <c r="CX87" s="95" t="e">
        <f t="shared" si="92"/>
        <v>#DIV/0!</v>
      </c>
      <c r="CY87" s="110" t="e">
        <f t="shared" si="109"/>
        <v>#DIV/0!</v>
      </c>
      <c r="CZ87" s="106" t="str">
        <f t="shared" si="93"/>
        <v>V</v>
      </c>
      <c r="DA87" s="8"/>
      <c r="DB87" s="177">
        <v>8.4999999999999995E-4</v>
      </c>
      <c r="DC87" s="178" t="str">
        <f t="shared" si="102"/>
        <v>V</v>
      </c>
      <c r="DD87" s="220" t="e">
        <f t="shared" si="69"/>
        <v>#DIV/0!</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c r="Y88" s="291"/>
      <c r="Z88" s="291"/>
      <c r="AA88" s="291"/>
      <c r="AB88" s="291"/>
      <c r="AC88" s="291"/>
      <c r="AD88" s="291"/>
      <c r="AE88" s="291"/>
      <c r="AF88" s="291"/>
      <c r="AG88" s="291"/>
      <c r="AH88" s="291"/>
      <c r="AI88" s="291"/>
      <c r="AJ88" s="291"/>
      <c r="AK88" s="291"/>
      <c r="AL88" s="291"/>
      <c r="AM88" s="303" t="e">
        <f t="shared" si="81"/>
        <v>#DIV/0!</v>
      </c>
      <c r="AN88" s="303"/>
      <c r="AO88" s="303"/>
      <c r="AP88" s="303"/>
      <c r="AQ88" s="303"/>
      <c r="AR88" s="303" t="e">
        <f t="shared" si="82"/>
        <v>#DIV/0!</v>
      </c>
      <c r="AS88" s="303"/>
      <c r="AT88" s="303"/>
      <c r="AU88" s="303"/>
      <c r="AV88" s="303"/>
      <c r="AW88" s="139"/>
      <c r="AX88" s="139"/>
      <c r="AY88" s="139"/>
      <c r="AZ88" s="172"/>
      <c r="BA88" s="173"/>
      <c r="BB88" s="320" t="e">
        <f>(AM88*0.7%)+(2*CK88)</f>
        <v>#DIV/0!</v>
      </c>
      <c r="BC88" s="320"/>
      <c r="BD88" s="320"/>
      <c r="BE88" s="320"/>
      <c r="BF88" s="320"/>
      <c r="BG88" s="291" t="e">
        <f t="shared" si="83"/>
        <v>#DIV/0!</v>
      </c>
      <c r="BH88" s="291"/>
      <c r="BI88" s="291"/>
      <c r="BJ88" s="291"/>
      <c r="BK88" s="291"/>
      <c r="BL88" s="291" t="e">
        <f t="shared" si="84"/>
        <v>#DIV/0!</v>
      </c>
      <c r="BM88" s="291"/>
      <c r="BN88" s="291"/>
      <c r="BO88" s="291"/>
      <c r="BP88" s="291"/>
      <c r="BQ88" s="292" t="e">
        <f t="shared" si="85"/>
        <v>#DIV/0!</v>
      </c>
      <c r="BR88" s="292"/>
      <c r="BS88" s="292"/>
      <c r="BT88" s="292"/>
      <c r="BU88" s="292"/>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t="e">
        <f t="shared" si="90"/>
        <v>#DIV/0!</v>
      </c>
      <c r="CR88" s="1" t="str">
        <f t="shared" si="91"/>
        <v>V</v>
      </c>
      <c r="CS88" s="81">
        <f t="shared" si="97"/>
        <v>1.7320508075688772</v>
      </c>
      <c r="CT88" s="86" t="e">
        <f t="shared" si="98"/>
        <v>#DIV/0!</v>
      </c>
      <c r="CU88" s="8"/>
      <c r="CV88" s="94" t="e">
        <f t="shared" si="99"/>
        <v>#DIV/0!</v>
      </c>
      <c r="CW88" s="5" t="e">
        <f t="shared" si="100"/>
        <v>#DIV/0!</v>
      </c>
      <c r="CX88" s="95" t="e">
        <f t="shared" si="92"/>
        <v>#DIV/0!</v>
      </c>
      <c r="CY88" s="110" t="e">
        <f t="shared" si="109"/>
        <v>#DIV/0!</v>
      </c>
      <c r="CZ88" s="106" t="str">
        <f t="shared" si="93"/>
        <v>V</v>
      </c>
      <c r="DA88" s="8"/>
      <c r="DB88" s="177">
        <v>6.4000000000000003E-3</v>
      </c>
      <c r="DC88" s="178" t="str">
        <f t="shared" si="102"/>
        <v>V</v>
      </c>
      <c r="DD88" s="220" t="e">
        <f t="shared" si="69"/>
        <v>#DIV/0!</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143</v>
      </c>
      <c r="T89" s="319"/>
      <c r="U89" s="319"/>
      <c r="V89" s="319"/>
      <c r="W89" s="319"/>
      <c r="X89" s="291"/>
      <c r="Y89" s="291"/>
      <c r="Z89" s="291"/>
      <c r="AA89" s="291"/>
      <c r="AB89" s="291"/>
      <c r="AC89" s="291"/>
      <c r="AD89" s="291"/>
      <c r="AE89" s="291"/>
      <c r="AF89" s="291"/>
      <c r="AG89" s="291"/>
      <c r="AH89" s="291"/>
      <c r="AI89" s="291"/>
      <c r="AJ89" s="291"/>
      <c r="AK89" s="291"/>
      <c r="AL89" s="291"/>
      <c r="AM89" s="303" t="e">
        <f t="shared" si="81"/>
        <v>#DIV/0!</v>
      </c>
      <c r="AN89" s="303"/>
      <c r="AO89" s="303"/>
      <c r="AP89" s="303"/>
      <c r="AQ89" s="303"/>
      <c r="AR89" s="303" t="e">
        <f t="shared" si="82"/>
        <v>#DIV/0!</v>
      </c>
      <c r="AS89" s="303"/>
      <c r="AT89" s="303"/>
      <c r="AU89" s="303"/>
      <c r="AV89" s="303"/>
      <c r="AW89" s="139"/>
      <c r="AX89" s="139"/>
      <c r="AY89" s="139"/>
      <c r="AZ89" s="172"/>
      <c r="BA89" s="173"/>
      <c r="BB89" s="320" t="e">
        <f>(AM89*1%)+(4*CK89)</f>
        <v>#DIV/0!</v>
      </c>
      <c r="BC89" s="320"/>
      <c r="BD89" s="320"/>
      <c r="BE89" s="320"/>
      <c r="BF89" s="320"/>
      <c r="BG89" s="291" t="e">
        <f t="shared" si="83"/>
        <v>#DIV/0!</v>
      </c>
      <c r="BH89" s="291"/>
      <c r="BI89" s="291"/>
      <c r="BJ89" s="291"/>
      <c r="BK89" s="291"/>
      <c r="BL89" s="291" t="e">
        <f t="shared" si="84"/>
        <v>#DIV/0!</v>
      </c>
      <c r="BM89" s="291"/>
      <c r="BN89" s="291"/>
      <c r="BO89" s="291"/>
      <c r="BP89" s="291"/>
      <c r="BQ89" s="292" t="e">
        <f t="shared" si="85"/>
        <v>#DIV/0!</v>
      </c>
      <c r="BR89" s="292"/>
      <c r="BS89" s="292"/>
      <c r="BT89" s="292"/>
      <c r="BU89" s="292"/>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t="e">
        <f t="shared" si="90"/>
        <v>#DIV/0!</v>
      </c>
      <c r="CR89" s="1" t="str">
        <f t="shared" si="91"/>
        <v>V</v>
      </c>
      <c r="CS89" s="81">
        <f t="shared" si="97"/>
        <v>1.7320508075688772</v>
      </c>
      <c r="CT89" s="86" t="e">
        <f t="shared" si="98"/>
        <v>#DIV/0!</v>
      </c>
      <c r="CU89" s="8"/>
      <c r="CV89" s="94" t="e">
        <f t="shared" si="99"/>
        <v>#DIV/0!</v>
      </c>
      <c r="CW89" s="5" t="e">
        <f t="shared" si="100"/>
        <v>#DIV/0!</v>
      </c>
      <c r="CX89" s="95" t="e">
        <f t="shared" si="92"/>
        <v>#DIV/0!</v>
      </c>
      <c r="CY89" s="110" t="e">
        <f t="shared" si="109"/>
        <v>#DIV/0!</v>
      </c>
      <c r="CZ89" s="106" t="str">
        <f t="shared" si="93"/>
        <v>V</v>
      </c>
      <c r="DA89" s="8"/>
      <c r="DB89" s="177">
        <v>6.4000000000000003E-3</v>
      </c>
      <c r="DC89" s="178" t="str">
        <f t="shared" si="102"/>
        <v>V</v>
      </c>
      <c r="DD89" s="220" t="e">
        <f t="shared" si="69"/>
        <v>#DIV/0!</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c r="Y90" s="291"/>
      <c r="Z90" s="291"/>
      <c r="AA90" s="291"/>
      <c r="AB90" s="291"/>
      <c r="AC90" s="291"/>
      <c r="AD90" s="291"/>
      <c r="AE90" s="291"/>
      <c r="AF90" s="291"/>
      <c r="AG90" s="291"/>
      <c r="AH90" s="291"/>
      <c r="AI90" s="291"/>
      <c r="AJ90" s="291"/>
      <c r="AK90" s="291"/>
      <c r="AL90" s="291"/>
      <c r="AM90" s="291" t="e">
        <f t="shared" si="81"/>
        <v>#DIV/0!</v>
      </c>
      <c r="AN90" s="291"/>
      <c r="AO90" s="291"/>
      <c r="AP90" s="291"/>
      <c r="AQ90" s="291"/>
      <c r="AR90" s="291" t="e">
        <f t="shared" si="82"/>
        <v>#DIV/0!</v>
      </c>
      <c r="AS90" s="291"/>
      <c r="AT90" s="291"/>
      <c r="AU90" s="291"/>
      <c r="AV90" s="291"/>
      <c r="AW90" s="139"/>
      <c r="AX90" s="139"/>
      <c r="AY90" s="139"/>
      <c r="AZ90" s="172"/>
      <c r="BA90" s="173"/>
      <c r="BB90" s="320" t="e">
        <f>(AM90*0.7%)+(2*CK90)</f>
        <v>#DIV/0!</v>
      </c>
      <c r="BC90" s="320"/>
      <c r="BD90" s="320"/>
      <c r="BE90" s="320"/>
      <c r="BF90" s="320"/>
      <c r="BG90" s="302" t="e">
        <f t="shared" si="83"/>
        <v>#DIV/0!</v>
      </c>
      <c r="BH90" s="302"/>
      <c r="BI90" s="302"/>
      <c r="BJ90" s="302"/>
      <c r="BK90" s="302"/>
      <c r="BL90" s="302" t="e">
        <f t="shared" si="84"/>
        <v>#DIV/0!</v>
      </c>
      <c r="BM90" s="302"/>
      <c r="BN90" s="302"/>
      <c r="BO90" s="302"/>
      <c r="BP90" s="302"/>
      <c r="BQ90" s="292" t="e">
        <f t="shared" si="85"/>
        <v>#DIV/0!</v>
      </c>
      <c r="BR90" s="292"/>
      <c r="BS90" s="292"/>
      <c r="BT90" s="292"/>
      <c r="BU90" s="292"/>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t="e">
        <f t="shared" si="90"/>
        <v>#DIV/0!</v>
      </c>
      <c r="CR90" s="1" t="str">
        <f t="shared" si="91"/>
        <v>V</v>
      </c>
      <c r="CS90" s="81">
        <f t="shared" si="97"/>
        <v>1.7320508075688772</v>
      </c>
      <c r="CT90" s="86" t="e">
        <f t="shared" si="98"/>
        <v>#DIV/0!</v>
      </c>
      <c r="CU90" s="8"/>
      <c r="CV90" s="94" t="e">
        <f t="shared" si="99"/>
        <v>#DIV/0!</v>
      </c>
      <c r="CW90" s="5" t="e">
        <f t="shared" si="100"/>
        <v>#DIV/0!</v>
      </c>
      <c r="CX90" s="95" t="e">
        <f t="shared" si="92"/>
        <v>#DIV/0!</v>
      </c>
      <c r="CY90" s="112" t="e">
        <f t="shared" ref="CY90:CY91" si="110">(CV90*CX90)</f>
        <v>#DIV/0!</v>
      </c>
      <c r="CZ90" s="106" t="str">
        <f t="shared" si="93"/>
        <v>V</v>
      </c>
      <c r="DA90" s="8"/>
      <c r="DB90" s="177">
        <v>6.4000000000000003E-3</v>
      </c>
      <c r="DC90" s="178" t="str">
        <f t="shared" si="102"/>
        <v>V</v>
      </c>
      <c r="DD90" s="220" t="e">
        <f t="shared" si="69"/>
        <v>#DIV/0!</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143</v>
      </c>
      <c r="T91" s="319"/>
      <c r="U91" s="319"/>
      <c r="V91" s="319"/>
      <c r="W91" s="319"/>
      <c r="X91" s="291"/>
      <c r="Y91" s="291"/>
      <c r="Z91" s="291"/>
      <c r="AA91" s="291"/>
      <c r="AB91" s="291"/>
      <c r="AC91" s="291"/>
      <c r="AD91" s="291"/>
      <c r="AE91" s="291"/>
      <c r="AF91" s="291"/>
      <c r="AG91" s="291"/>
      <c r="AH91" s="291"/>
      <c r="AI91" s="291"/>
      <c r="AJ91" s="291"/>
      <c r="AK91" s="291"/>
      <c r="AL91" s="291"/>
      <c r="AM91" s="291" t="e">
        <f t="shared" si="81"/>
        <v>#DIV/0!</v>
      </c>
      <c r="AN91" s="291"/>
      <c r="AO91" s="291"/>
      <c r="AP91" s="291"/>
      <c r="AQ91" s="291"/>
      <c r="AR91" s="291" t="e">
        <f t="shared" si="82"/>
        <v>#DIV/0!</v>
      </c>
      <c r="AS91" s="291"/>
      <c r="AT91" s="291"/>
      <c r="AU91" s="291"/>
      <c r="AV91" s="291"/>
      <c r="AW91" s="139"/>
      <c r="AX91" s="139"/>
      <c r="AY91" s="139"/>
      <c r="AZ91" s="172"/>
      <c r="BA91" s="173"/>
      <c r="BB91" s="320" t="e">
        <f>(AM91*1%)+(4*CK91)</f>
        <v>#DIV/0!</v>
      </c>
      <c r="BC91" s="320"/>
      <c r="BD91" s="320"/>
      <c r="BE91" s="320"/>
      <c r="BF91" s="320"/>
      <c r="BG91" s="302" t="e">
        <f t="shared" si="83"/>
        <v>#DIV/0!</v>
      </c>
      <c r="BH91" s="302"/>
      <c r="BI91" s="302"/>
      <c r="BJ91" s="302"/>
      <c r="BK91" s="302"/>
      <c r="BL91" s="302" t="e">
        <f t="shared" si="84"/>
        <v>#DIV/0!</v>
      </c>
      <c r="BM91" s="302"/>
      <c r="BN91" s="302"/>
      <c r="BO91" s="302"/>
      <c r="BP91" s="302"/>
      <c r="BQ91" s="292" t="e">
        <f t="shared" si="85"/>
        <v>#DIV/0!</v>
      </c>
      <c r="BR91" s="292"/>
      <c r="BS91" s="292"/>
      <c r="BT91" s="292"/>
      <c r="BU91" s="292"/>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t="e">
        <f t="shared" si="90"/>
        <v>#DIV/0!</v>
      </c>
      <c r="CR91" s="1" t="str">
        <f t="shared" si="91"/>
        <v>V</v>
      </c>
      <c r="CS91" s="81">
        <f t="shared" si="97"/>
        <v>1.7320508075688772</v>
      </c>
      <c r="CT91" s="86" t="e">
        <f t="shared" si="98"/>
        <v>#DIV/0!</v>
      </c>
      <c r="CU91" s="8"/>
      <c r="CV91" s="94" t="e">
        <f t="shared" si="99"/>
        <v>#DIV/0!</v>
      </c>
      <c r="CW91" s="5" t="e">
        <f t="shared" si="100"/>
        <v>#DIV/0!</v>
      </c>
      <c r="CX91" s="95" t="e">
        <f t="shared" ref="CX91" si="112">ROUND(TINV(0.05,CW91),0)</f>
        <v>#DIV/0!</v>
      </c>
      <c r="CY91" s="112" t="e">
        <f t="shared" si="110"/>
        <v>#DIV/0!</v>
      </c>
      <c r="CZ91" s="106" t="str">
        <f t="shared" si="93"/>
        <v>V</v>
      </c>
      <c r="DA91" s="8"/>
      <c r="DB91" s="177">
        <v>6.4000000000000003E-3</v>
      </c>
      <c r="DC91" s="178" t="str">
        <f t="shared" si="102"/>
        <v>V</v>
      </c>
      <c r="DD91" s="220" t="e">
        <f t="shared" si="69"/>
        <v>#DIV/0!</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c r="Y92" s="291"/>
      <c r="Z92" s="291"/>
      <c r="AA92" s="291"/>
      <c r="AB92" s="291"/>
      <c r="AC92" s="291"/>
      <c r="AD92" s="291"/>
      <c r="AE92" s="291"/>
      <c r="AF92" s="291"/>
      <c r="AG92" s="291"/>
      <c r="AH92" s="291"/>
      <c r="AI92" s="291"/>
      <c r="AJ92" s="291"/>
      <c r="AK92" s="291"/>
      <c r="AL92" s="291"/>
      <c r="AM92" s="291" t="e">
        <f t="shared" si="81"/>
        <v>#DIV/0!</v>
      </c>
      <c r="AN92" s="291"/>
      <c r="AO92" s="291"/>
      <c r="AP92" s="291"/>
      <c r="AQ92" s="291"/>
      <c r="AR92" s="291" t="e">
        <f t="shared" si="82"/>
        <v>#DIV/0!</v>
      </c>
      <c r="AS92" s="291"/>
      <c r="AT92" s="291"/>
      <c r="AU92" s="291"/>
      <c r="AV92" s="291"/>
      <c r="AW92" s="139"/>
      <c r="AX92" s="139"/>
      <c r="AY92" s="139"/>
      <c r="AZ92" s="172"/>
      <c r="BA92" s="173"/>
      <c r="BB92" s="320" t="e">
        <f>(AM92*0.7%)+(2*CK92)</f>
        <v>#DIV/0!</v>
      </c>
      <c r="BC92" s="320"/>
      <c r="BD92" s="320"/>
      <c r="BE92" s="320"/>
      <c r="BF92" s="320"/>
      <c r="BG92" s="302" t="e">
        <f t="shared" si="83"/>
        <v>#DIV/0!</v>
      </c>
      <c r="BH92" s="302"/>
      <c r="BI92" s="302"/>
      <c r="BJ92" s="302"/>
      <c r="BK92" s="302"/>
      <c r="BL92" s="302" t="e">
        <f t="shared" si="84"/>
        <v>#DIV/0!</v>
      </c>
      <c r="BM92" s="302"/>
      <c r="BN92" s="302"/>
      <c r="BO92" s="302"/>
      <c r="BP92" s="302"/>
      <c r="BQ92" s="292" t="e">
        <f t="shared" si="85"/>
        <v>#DIV/0!</v>
      </c>
      <c r="BR92" s="292"/>
      <c r="BS92" s="292"/>
      <c r="BT92" s="292"/>
      <c r="BU92" s="292"/>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t="e">
        <f t="shared" si="90"/>
        <v>#DIV/0!</v>
      </c>
      <c r="CR92" s="1" t="str">
        <f t="shared" si="91"/>
        <v>V</v>
      </c>
      <c r="CS92" s="81">
        <f t="shared" si="97"/>
        <v>1.7320508075688772</v>
      </c>
      <c r="CT92" s="86" t="e">
        <f t="shared" si="98"/>
        <v>#DIV/0!</v>
      </c>
      <c r="CU92" s="8"/>
      <c r="CV92" s="94" t="e">
        <f t="shared" si="99"/>
        <v>#DIV/0!</v>
      </c>
      <c r="CW92" s="5" t="e">
        <f t="shared" si="100"/>
        <v>#DIV/0!</v>
      </c>
      <c r="CX92" s="95" t="e">
        <f t="shared" si="92"/>
        <v>#DIV/0!</v>
      </c>
      <c r="CY92" s="112" t="e">
        <f t="shared" ref="CY92:CY95" si="113">(CV92*CX92)</f>
        <v>#DIV/0!</v>
      </c>
      <c r="CZ92" s="106" t="str">
        <f t="shared" si="93"/>
        <v>V</v>
      </c>
      <c r="DA92" s="8"/>
      <c r="DB92" s="177">
        <v>8.4000000000000005E-2</v>
      </c>
      <c r="DC92" s="178" t="str">
        <f t="shared" si="102"/>
        <v>V</v>
      </c>
      <c r="DD92" s="220" t="e">
        <f t="shared" si="69"/>
        <v>#DIV/0!</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143</v>
      </c>
      <c r="T93" s="319"/>
      <c r="U93" s="319"/>
      <c r="V93" s="319"/>
      <c r="W93" s="319"/>
      <c r="X93" s="291"/>
      <c r="Y93" s="291"/>
      <c r="Z93" s="291"/>
      <c r="AA93" s="291"/>
      <c r="AB93" s="291"/>
      <c r="AC93" s="291"/>
      <c r="AD93" s="291"/>
      <c r="AE93" s="291"/>
      <c r="AF93" s="291"/>
      <c r="AG93" s="291"/>
      <c r="AH93" s="291"/>
      <c r="AI93" s="291"/>
      <c r="AJ93" s="291"/>
      <c r="AK93" s="291"/>
      <c r="AL93" s="291"/>
      <c r="AM93" s="291" t="e">
        <f t="shared" si="81"/>
        <v>#DIV/0!</v>
      </c>
      <c r="AN93" s="291"/>
      <c r="AO93" s="291"/>
      <c r="AP93" s="291"/>
      <c r="AQ93" s="291"/>
      <c r="AR93" s="291" t="e">
        <f t="shared" si="82"/>
        <v>#DIV/0!</v>
      </c>
      <c r="AS93" s="291"/>
      <c r="AT93" s="291"/>
      <c r="AU93" s="291"/>
      <c r="AV93" s="291"/>
      <c r="AW93" s="139"/>
      <c r="AX93" s="139"/>
      <c r="AY93" s="139"/>
      <c r="AZ93" s="172"/>
      <c r="BA93" s="173"/>
      <c r="BB93" s="320" t="e">
        <f>(AM93*1%)+(4*CK93)</f>
        <v>#DIV/0!</v>
      </c>
      <c r="BC93" s="320"/>
      <c r="BD93" s="320"/>
      <c r="BE93" s="320"/>
      <c r="BF93" s="320"/>
      <c r="BG93" s="302" t="e">
        <f t="shared" si="83"/>
        <v>#DIV/0!</v>
      </c>
      <c r="BH93" s="302"/>
      <c r="BI93" s="302"/>
      <c r="BJ93" s="302"/>
      <c r="BK93" s="302"/>
      <c r="BL93" s="302" t="e">
        <f t="shared" si="84"/>
        <v>#DIV/0!</v>
      </c>
      <c r="BM93" s="302"/>
      <c r="BN93" s="302"/>
      <c r="BO93" s="302"/>
      <c r="BP93" s="302"/>
      <c r="BQ93" s="292" t="e">
        <f t="shared" si="85"/>
        <v>#DIV/0!</v>
      </c>
      <c r="BR93" s="292"/>
      <c r="BS93" s="292"/>
      <c r="BT93" s="292"/>
      <c r="BU93" s="292"/>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t="e">
        <f t="shared" si="90"/>
        <v>#DIV/0!</v>
      </c>
      <c r="CR93" s="74" t="str">
        <f t="shared" si="91"/>
        <v>V</v>
      </c>
      <c r="CS93" s="82">
        <f t="shared" si="97"/>
        <v>1.7320508075688772</v>
      </c>
      <c r="CT93" s="87" t="e">
        <f t="shared" si="98"/>
        <v>#DIV/0!</v>
      </c>
      <c r="CU93" s="8"/>
      <c r="CV93" s="96" t="e">
        <f t="shared" si="99"/>
        <v>#DIV/0!</v>
      </c>
      <c r="CW93" s="89" t="e">
        <f t="shared" si="100"/>
        <v>#DIV/0!</v>
      </c>
      <c r="CX93" s="97" t="e">
        <f t="shared" si="92"/>
        <v>#DIV/0!</v>
      </c>
      <c r="CY93" s="113" t="e">
        <f t="shared" si="113"/>
        <v>#DIV/0!</v>
      </c>
      <c r="CZ93" s="108" t="str">
        <f t="shared" si="93"/>
        <v>V</v>
      </c>
      <c r="DA93" s="8"/>
      <c r="DB93" s="177">
        <v>8.4000000000000005E-2</v>
      </c>
      <c r="DC93" s="178" t="str">
        <f t="shared" si="102"/>
        <v>V</v>
      </c>
      <c r="DD93" s="220" t="e">
        <f t="shared" si="69"/>
        <v>#DIV/0!</v>
      </c>
      <c r="DE93" s="178" t="str">
        <f t="shared" si="103"/>
        <v>V</v>
      </c>
    </row>
    <row r="94" spans="1:109" s="174" customFormat="1" ht="18" customHeight="1">
      <c r="A94" s="173"/>
      <c r="B94" s="170"/>
      <c r="C94" s="139"/>
      <c r="D94" s="139"/>
      <c r="E94" s="139"/>
      <c r="F94" s="310" t="s">
        <v>158</v>
      </c>
      <c r="G94" s="311"/>
      <c r="H94" s="311"/>
      <c r="I94" s="311"/>
      <c r="J94" s="311"/>
      <c r="K94" s="312"/>
      <c r="L94" s="297">
        <f>1000*10%</f>
        <v>100</v>
      </c>
      <c r="M94" s="298"/>
      <c r="N94" s="298"/>
      <c r="O94" s="298"/>
      <c r="P94" s="299" t="s">
        <v>93</v>
      </c>
      <c r="Q94" s="299"/>
      <c r="R94" s="300"/>
      <c r="S94" s="319" t="s">
        <v>96</v>
      </c>
      <c r="T94" s="319"/>
      <c r="U94" s="319"/>
      <c r="V94" s="319"/>
      <c r="W94" s="319"/>
      <c r="X94" s="291"/>
      <c r="Y94" s="291"/>
      <c r="Z94" s="291"/>
      <c r="AA94" s="291"/>
      <c r="AB94" s="291"/>
      <c r="AC94" s="291"/>
      <c r="AD94" s="291"/>
      <c r="AE94" s="291"/>
      <c r="AF94" s="291"/>
      <c r="AG94" s="291"/>
      <c r="AH94" s="291"/>
      <c r="AI94" s="291"/>
      <c r="AJ94" s="291"/>
      <c r="AK94" s="291"/>
      <c r="AL94" s="291"/>
      <c r="AM94" s="302" t="e">
        <f t="shared" ref="AM94:AM97" si="114">AVERAGE(X94:AL94)</f>
        <v>#DIV/0!</v>
      </c>
      <c r="AN94" s="302"/>
      <c r="AO94" s="302"/>
      <c r="AP94" s="302"/>
      <c r="AQ94" s="302"/>
      <c r="AR94" s="302" t="e">
        <f t="shared" ref="AR94:AR97" si="115">AM94-L94</f>
        <v>#DIV/0!</v>
      </c>
      <c r="AS94" s="302"/>
      <c r="AT94" s="302"/>
      <c r="AU94" s="302"/>
      <c r="AV94" s="302"/>
      <c r="AW94" s="139"/>
      <c r="AX94" s="139"/>
      <c r="AY94" s="139"/>
      <c r="AZ94" s="172"/>
      <c r="BA94" s="173"/>
      <c r="BB94" s="320" t="e">
        <f>(AM94*0.7%)+(2*CK94)</f>
        <v>#DIV/0!</v>
      </c>
      <c r="BC94" s="320"/>
      <c r="BD94" s="320"/>
      <c r="BE94" s="320"/>
      <c r="BF94" s="320"/>
      <c r="BG94" s="302" t="e">
        <f t="shared" ref="BG94:BG97" si="116">L94+BB94</f>
        <v>#DIV/0!</v>
      </c>
      <c r="BH94" s="302"/>
      <c r="BI94" s="302"/>
      <c r="BJ94" s="302"/>
      <c r="BK94" s="302"/>
      <c r="BL94" s="302" t="e">
        <f t="shared" ref="BL94:BL97" si="117">L94-BB94</f>
        <v>#DIV/0!</v>
      </c>
      <c r="BM94" s="302"/>
      <c r="BN94" s="302"/>
      <c r="BO94" s="302"/>
      <c r="BP94" s="302"/>
      <c r="BQ94" s="292" t="e">
        <f t="shared" ref="BQ94:BQ97" si="118">IF(AND(AM94&lt;=BG94,AM94&gt;=BL94),"PASS","FAIL")</f>
        <v>#DIV/0!</v>
      </c>
      <c r="BR94" s="292"/>
      <c r="BS94" s="292"/>
      <c r="BT94" s="292"/>
      <c r="BU94" s="292"/>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t="e">
        <f t="shared" ref="CQ94:CQ97" si="125">STDEV(X94:AL94)</f>
        <v>#DIV/0!</v>
      </c>
      <c r="CR94" s="1" t="str">
        <f t="shared" ref="CR94:CR97" si="126">P94</f>
        <v>V</v>
      </c>
      <c r="CS94" s="81">
        <f t="shared" si="97"/>
        <v>1.7320508075688772</v>
      </c>
      <c r="CT94" s="86" t="e">
        <f t="shared" ref="CT94:CT97" si="127">CQ94/CS94</f>
        <v>#DIV/0!</v>
      </c>
      <c r="CU94" s="8"/>
      <c r="CV94" s="94" t="e">
        <f t="shared" ref="CV94:CV97" si="128">SQRT(SUMSQ(CT94,CN94,CH94,CB94))</f>
        <v>#DIV/0!</v>
      </c>
      <c r="CW94" s="5" t="e">
        <f t="shared" ref="CW94:CW97" si="129">(CV94^4)/(((CT94^4)/2)+((CN94^4)/200)+((CH94^4)/200)+((CB94^4)/200))</f>
        <v>#DIV/0!</v>
      </c>
      <c r="CX94" s="95" t="e">
        <f t="shared" ref="CX94:CX97" si="130">ROUND(TINV(0.05,CW94),0)</f>
        <v>#DIV/0!</v>
      </c>
      <c r="CY94" s="112" t="e">
        <f t="shared" si="113"/>
        <v>#DIV/0!</v>
      </c>
      <c r="CZ94" s="106" t="str">
        <f t="shared" ref="CZ94:CZ97" si="131">P94</f>
        <v>V</v>
      </c>
      <c r="DA94" s="8"/>
      <c r="DB94" s="177">
        <v>6.4000000000000003E-3</v>
      </c>
      <c r="DC94" s="178" t="str">
        <f t="shared" ref="DC94:DC97" si="132">CZ94</f>
        <v>V</v>
      </c>
      <c r="DD94" s="220" t="e">
        <f t="shared" si="69"/>
        <v>#DIV/0!</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143</v>
      </c>
      <c r="T95" s="319"/>
      <c r="U95" s="319"/>
      <c r="V95" s="319"/>
      <c r="W95" s="319"/>
      <c r="X95" s="291"/>
      <c r="Y95" s="291"/>
      <c r="Z95" s="291"/>
      <c r="AA95" s="291"/>
      <c r="AB95" s="291"/>
      <c r="AC95" s="291"/>
      <c r="AD95" s="291"/>
      <c r="AE95" s="291"/>
      <c r="AF95" s="291"/>
      <c r="AG95" s="291"/>
      <c r="AH95" s="291"/>
      <c r="AI95" s="291"/>
      <c r="AJ95" s="291"/>
      <c r="AK95" s="291"/>
      <c r="AL95" s="291"/>
      <c r="AM95" s="302" t="e">
        <f t="shared" si="114"/>
        <v>#DIV/0!</v>
      </c>
      <c r="AN95" s="302"/>
      <c r="AO95" s="302"/>
      <c r="AP95" s="302"/>
      <c r="AQ95" s="302"/>
      <c r="AR95" s="302" t="e">
        <f t="shared" si="115"/>
        <v>#DIV/0!</v>
      </c>
      <c r="AS95" s="302"/>
      <c r="AT95" s="302"/>
      <c r="AU95" s="302"/>
      <c r="AV95" s="302"/>
      <c r="AW95" s="139"/>
      <c r="AX95" s="139"/>
      <c r="AY95" s="139"/>
      <c r="AZ95" s="172"/>
      <c r="BA95" s="173"/>
      <c r="BB95" s="320" t="e">
        <f>(AM95*1%)+(4*CK95)</f>
        <v>#DIV/0!</v>
      </c>
      <c r="BC95" s="320"/>
      <c r="BD95" s="320"/>
      <c r="BE95" s="320"/>
      <c r="BF95" s="320"/>
      <c r="BG95" s="302" t="e">
        <f t="shared" si="116"/>
        <v>#DIV/0!</v>
      </c>
      <c r="BH95" s="302"/>
      <c r="BI95" s="302"/>
      <c r="BJ95" s="302"/>
      <c r="BK95" s="302"/>
      <c r="BL95" s="302" t="e">
        <f t="shared" si="117"/>
        <v>#DIV/0!</v>
      </c>
      <c r="BM95" s="302"/>
      <c r="BN95" s="302"/>
      <c r="BO95" s="302"/>
      <c r="BP95" s="302"/>
      <c r="BQ95" s="292" t="e">
        <f t="shared" si="118"/>
        <v>#DIV/0!</v>
      </c>
      <c r="BR95" s="292"/>
      <c r="BS95" s="292"/>
      <c r="BT95" s="292"/>
      <c r="BU95" s="292"/>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t="e">
        <f t="shared" si="125"/>
        <v>#DIV/0!</v>
      </c>
      <c r="CR95" s="1" t="str">
        <f t="shared" si="126"/>
        <v>V</v>
      </c>
      <c r="CS95" s="81">
        <f t="shared" si="97"/>
        <v>1.7320508075688772</v>
      </c>
      <c r="CT95" s="86" t="e">
        <f t="shared" si="127"/>
        <v>#DIV/0!</v>
      </c>
      <c r="CU95" s="8"/>
      <c r="CV95" s="94" t="e">
        <f t="shared" si="128"/>
        <v>#DIV/0!</v>
      </c>
      <c r="CW95" s="5" t="e">
        <f t="shared" si="129"/>
        <v>#DIV/0!</v>
      </c>
      <c r="CX95" s="95" t="e">
        <f t="shared" si="130"/>
        <v>#DIV/0!</v>
      </c>
      <c r="CY95" s="112" t="e">
        <f t="shared" si="113"/>
        <v>#DIV/0!</v>
      </c>
      <c r="CZ95" s="106" t="str">
        <f t="shared" si="131"/>
        <v>V</v>
      </c>
      <c r="DA95" s="8"/>
      <c r="DB95" s="177">
        <v>6.4000000000000003E-3</v>
      </c>
      <c r="DC95" s="178" t="str">
        <f t="shared" si="132"/>
        <v>V</v>
      </c>
      <c r="DD95" s="220" t="e">
        <f t="shared" si="69"/>
        <v>#DIV/0!</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c r="Y96" s="291"/>
      <c r="Z96" s="291"/>
      <c r="AA96" s="291"/>
      <c r="AB96" s="291"/>
      <c r="AC96" s="291"/>
      <c r="AD96" s="291"/>
      <c r="AE96" s="291"/>
      <c r="AF96" s="291"/>
      <c r="AG96" s="291"/>
      <c r="AH96" s="291"/>
      <c r="AI96" s="291"/>
      <c r="AJ96" s="291"/>
      <c r="AK96" s="291"/>
      <c r="AL96" s="291"/>
      <c r="AM96" s="302" t="e">
        <f t="shared" si="114"/>
        <v>#DIV/0!</v>
      </c>
      <c r="AN96" s="302"/>
      <c r="AO96" s="302"/>
      <c r="AP96" s="302"/>
      <c r="AQ96" s="302"/>
      <c r="AR96" s="302" t="e">
        <f t="shared" si="115"/>
        <v>#DIV/0!</v>
      </c>
      <c r="AS96" s="302"/>
      <c r="AT96" s="302"/>
      <c r="AU96" s="302"/>
      <c r="AV96" s="302"/>
      <c r="AW96" s="139"/>
      <c r="AX96" s="139"/>
      <c r="AY96" s="139"/>
      <c r="AZ96" s="172"/>
      <c r="BA96" s="173"/>
      <c r="BB96" s="320" t="e">
        <f>(AM96*0.7%)+(2*CK96)</f>
        <v>#DIV/0!</v>
      </c>
      <c r="BC96" s="320"/>
      <c r="BD96" s="320"/>
      <c r="BE96" s="320"/>
      <c r="BF96" s="320"/>
      <c r="BG96" s="302" t="e">
        <f t="shared" si="116"/>
        <v>#DIV/0!</v>
      </c>
      <c r="BH96" s="302"/>
      <c r="BI96" s="302"/>
      <c r="BJ96" s="302"/>
      <c r="BK96" s="302"/>
      <c r="BL96" s="302" t="e">
        <f t="shared" si="117"/>
        <v>#DIV/0!</v>
      </c>
      <c r="BM96" s="302"/>
      <c r="BN96" s="302"/>
      <c r="BO96" s="302"/>
      <c r="BP96" s="302"/>
      <c r="BQ96" s="292" t="e">
        <f t="shared" si="118"/>
        <v>#DIV/0!</v>
      </c>
      <c r="BR96" s="292"/>
      <c r="BS96" s="292"/>
      <c r="BT96" s="292"/>
      <c r="BU96" s="292"/>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t="e">
        <f t="shared" si="125"/>
        <v>#DIV/0!</v>
      </c>
      <c r="CR96" s="1" t="str">
        <f t="shared" si="126"/>
        <v>V</v>
      </c>
      <c r="CS96" s="81">
        <f t="shared" si="97"/>
        <v>1.7320508075688772</v>
      </c>
      <c r="CT96" s="86" t="e">
        <f t="shared" si="127"/>
        <v>#DIV/0!</v>
      </c>
      <c r="CU96" s="8"/>
      <c r="CV96" s="94" t="e">
        <f t="shared" si="128"/>
        <v>#DIV/0!</v>
      </c>
      <c r="CW96" s="5" t="e">
        <f t="shared" si="129"/>
        <v>#DIV/0!</v>
      </c>
      <c r="CX96" s="95" t="e">
        <f t="shared" si="130"/>
        <v>#DIV/0!</v>
      </c>
      <c r="CY96" s="112" t="e">
        <f t="shared" ref="CY96:CY97" si="134">(CV96*CX96)</f>
        <v>#DIV/0!</v>
      </c>
      <c r="CZ96" s="106" t="str">
        <f t="shared" si="131"/>
        <v>V</v>
      </c>
      <c r="DA96" s="8"/>
      <c r="DB96" s="177">
        <v>8.4000000000000005E-2</v>
      </c>
      <c r="DC96" s="178" t="str">
        <f t="shared" si="132"/>
        <v>V</v>
      </c>
      <c r="DD96" s="220" t="e">
        <f t="shared" si="69"/>
        <v>#DIV/0!</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143</v>
      </c>
      <c r="T97" s="319"/>
      <c r="U97" s="319"/>
      <c r="V97" s="319"/>
      <c r="W97" s="319"/>
      <c r="X97" s="291"/>
      <c r="Y97" s="291"/>
      <c r="Z97" s="291"/>
      <c r="AA97" s="291"/>
      <c r="AB97" s="291"/>
      <c r="AC97" s="291"/>
      <c r="AD97" s="291"/>
      <c r="AE97" s="291"/>
      <c r="AF97" s="291"/>
      <c r="AG97" s="291"/>
      <c r="AH97" s="291"/>
      <c r="AI97" s="291"/>
      <c r="AJ97" s="291"/>
      <c r="AK97" s="291"/>
      <c r="AL97" s="291"/>
      <c r="AM97" s="302" t="e">
        <f t="shared" si="114"/>
        <v>#DIV/0!</v>
      </c>
      <c r="AN97" s="302"/>
      <c r="AO97" s="302"/>
      <c r="AP97" s="302"/>
      <c r="AQ97" s="302"/>
      <c r="AR97" s="302" t="e">
        <f t="shared" si="115"/>
        <v>#DIV/0!</v>
      </c>
      <c r="AS97" s="302"/>
      <c r="AT97" s="302"/>
      <c r="AU97" s="302"/>
      <c r="AV97" s="302"/>
      <c r="AW97" s="139"/>
      <c r="AX97" s="139"/>
      <c r="AY97" s="139"/>
      <c r="AZ97" s="172"/>
      <c r="BA97" s="173"/>
      <c r="BB97" s="320" t="e">
        <f>(AM97*1%)+(4*CK97)</f>
        <v>#DIV/0!</v>
      </c>
      <c r="BC97" s="320"/>
      <c r="BD97" s="320"/>
      <c r="BE97" s="320"/>
      <c r="BF97" s="320"/>
      <c r="BG97" s="302" t="e">
        <f t="shared" si="116"/>
        <v>#DIV/0!</v>
      </c>
      <c r="BH97" s="302"/>
      <c r="BI97" s="302"/>
      <c r="BJ97" s="302"/>
      <c r="BK97" s="302"/>
      <c r="BL97" s="302" t="e">
        <f t="shared" si="117"/>
        <v>#DIV/0!</v>
      </c>
      <c r="BM97" s="302"/>
      <c r="BN97" s="302"/>
      <c r="BO97" s="302"/>
      <c r="BP97" s="302"/>
      <c r="BQ97" s="292" t="e">
        <f t="shared" si="118"/>
        <v>#DIV/0!</v>
      </c>
      <c r="BR97" s="292"/>
      <c r="BS97" s="292"/>
      <c r="BT97" s="292"/>
      <c r="BU97" s="292"/>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t="e">
        <f t="shared" si="125"/>
        <v>#DIV/0!</v>
      </c>
      <c r="CR97" s="74" t="str">
        <f t="shared" si="126"/>
        <v>V</v>
      </c>
      <c r="CS97" s="82">
        <f t="shared" si="97"/>
        <v>1.7320508075688772</v>
      </c>
      <c r="CT97" s="87" t="e">
        <f t="shared" si="127"/>
        <v>#DIV/0!</v>
      </c>
      <c r="CU97" s="8"/>
      <c r="CV97" s="96" t="e">
        <f t="shared" si="128"/>
        <v>#DIV/0!</v>
      </c>
      <c r="CW97" s="89" t="e">
        <f t="shared" si="129"/>
        <v>#DIV/0!</v>
      </c>
      <c r="CX97" s="97" t="e">
        <f t="shared" si="130"/>
        <v>#DIV/0!</v>
      </c>
      <c r="CY97" s="113" t="e">
        <f t="shared" si="134"/>
        <v>#DIV/0!</v>
      </c>
      <c r="CZ97" s="108" t="str">
        <f t="shared" si="131"/>
        <v>V</v>
      </c>
      <c r="DA97" s="8"/>
      <c r="DB97" s="177">
        <v>8.4000000000000005E-2</v>
      </c>
      <c r="DC97" s="178" t="str">
        <f t="shared" si="132"/>
        <v>V</v>
      </c>
      <c r="DD97" s="220" t="e">
        <f t="shared" si="69"/>
        <v>#DIV/0!</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124</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129</v>
      </c>
      <c r="CK99" s="364"/>
      <c r="CL99" s="364"/>
      <c r="CM99" s="364"/>
      <c r="CN99" s="365"/>
      <c r="CO99" s="2"/>
      <c r="CP99" s="363" t="s">
        <v>129</v>
      </c>
      <c r="CQ99" s="364"/>
      <c r="CR99" s="364"/>
      <c r="CS99" s="364"/>
      <c r="CT99" s="365"/>
      <c r="CV99" s="363" t="s">
        <v>71</v>
      </c>
      <c r="CW99" s="364"/>
      <c r="CX99" s="364"/>
      <c r="CY99" s="364"/>
      <c r="CZ99" s="365"/>
      <c r="DB99" s="354" t="s">
        <v>116</v>
      </c>
      <c r="DC99" s="352"/>
      <c r="DD99" s="354" t="s">
        <v>117</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137</v>
      </c>
      <c r="G102" s="294"/>
      <c r="H102" s="294"/>
      <c r="I102" s="294"/>
      <c r="J102" s="294"/>
      <c r="K102" s="295"/>
      <c r="L102" s="297">
        <v>0</v>
      </c>
      <c r="M102" s="298"/>
      <c r="N102" s="298"/>
      <c r="O102" s="298"/>
      <c r="P102" s="299" t="s">
        <v>98</v>
      </c>
      <c r="Q102" s="299"/>
      <c r="R102" s="300"/>
      <c r="S102" s="301" t="s">
        <v>56</v>
      </c>
      <c r="T102" s="301"/>
      <c r="U102" s="301"/>
      <c r="V102" s="301"/>
      <c r="W102" s="301"/>
      <c r="X102" s="291"/>
      <c r="Y102" s="291"/>
      <c r="Z102" s="291"/>
      <c r="AA102" s="291"/>
      <c r="AB102" s="291"/>
      <c r="AC102" s="291"/>
      <c r="AD102" s="291"/>
      <c r="AE102" s="291"/>
      <c r="AF102" s="291"/>
      <c r="AG102" s="291"/>
      <c r="AH102" s="291"/>
      <c r="AI102" s="291"/>
      <c r="AJ102" s="291"/>
      <c r="AK102" s="291"/>
      <c r="AL102" s="291"/>
      <c r="AM102" s="291" t="e">
        <f>AVERAGE(X102:AL102)</f>
        <v>#DIV/0!</v>
      </c>
      <c r="AN102" s="291"/>
      <c r="AO102" s="291"/>
      <c r="AP102" s="291"/>
      <c r="AQ102" s="291"/>
      <c r="AR102" s="291" t="e">
        <f>AM102-L102</f>
        <v>#DIV/0!</v>
      </c>
      <c r="AS102" s="291"/>
      <c r="AT102" s="291"/>
      <c r="AU102" s="291"/>
      <c r="AV102" s="291"/>
      <c r="AW102" s="139"/>
      <c r="AX102" s="139"/>
      <c r="AY102" s="139"/>
      <c r="AZ102" s="172"/>
      <c r="BA102" s="173"/>
      <c r="BB102" s="291" t="e">
        <f>(AM102*0.2%)+(2*CK102)</f>
        <v>#DIV/0!</v>
      </c>
      <c r="BC102" s="291"/>
      <c r="BD102" s="291"/>
      <c r="BE102" s="291"/>
      <c r="BF102" s="291"/>
      <c r="BG102" s="291" t="e">
        <f t="shared" ref="BG102:BG108" si="135">L102+BB102</f>
        <v>#DIV/0!</v>
      </c>
      <c r="BH102" s="291"/>
      <c r="BI102" s="291"/>
      <c r="BJ102" s="291"/>
      <c r="BK102" s="291"/>
      <c r="BL102" s="291" t="e">
        <f t="shared" ref="BL102:BL108" si="136">L102-BB102</f>
        <v>#DIV/0!</v>
      </c>
      <c r="BM102" s="291"/>
      <c r="BN102" s="291"/>
      <c r="BO102" s="291"/>
      <c r="BP102" s="291"/>
      <c r="BQ102" s="292" t="e">
        <f t="shared" ref="BQ102:BQ108" si="137">IF(AND(AM102&lt;=BG102,AM102&gt;=BL102),"PASS","FAIL")</f>
        <v>#DIV/0!</v>
      </c>
      <c r="BR102" s="292"/>
      <c r="BS102" s="292"/>
      <c r="BT102" s="292"/>
      <c r="BU102" s="292"/>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t="e">
        <f t="shared" ref="CQ102:CQ108" si="144">STDEV(X102:AL102)</f>
        <v>#DIV/0!</v>
      </c>
      <c r="CR102" s="71" t="str">
        <f t="shared" ref="CR102:CR108" si="145">P102</f>
        <v>Ω</v>
      </c>
      <c r="CS102" s="80">
        <f>SQRT(3)</f>
        <v>1.7320508075688772</v>
      </c>
      <c r="CT102" s="85" t="e">
        <f>CQ102/CS102</f>
        <v>#DIV/0!</v>
      </c>
      <c r="CU102" s="8"/>
      <c r="CV102" s="92" t="e">
        <f>SQRT(SUMSQ(CT102,CN102,CH102,CB102))</f>
        <v>#DIV/0!</v>
      </c>
      <c r="CW102" s="88" t="e">
        <f>(CV102^4)/(((CT102^4)/2)+((CN102^4)/200)+((CH102^4)/200)+((CB102^4)/200))</f>
        <v>#DIV/0!</v>
      </c>
      <c r="CX102" s="114" t="e">
        <f t="shared" ref="CX102:CX103" si="146">ROUND(TINV(0.05,CW102),0)</f>
        <v>#DIV/0!</v>
      </c>
      <c r="CY102" s="103" t="e">
        <f>(CV102*CX102)</f>
        <v>#DIV/0!</v>
      </c>
      <c r="CZ102" s="104" t="str">
        <f t="shared" ref="CZ102:CZ108" si="147">P102</f>
        <v>Ω</v>
      </c>
      <c r="DA102" s="8"/>
      <c r="DB102" s="177">
        <v>7.7999999999999996E-3</v>
      </c>
      <c r="DC102" s="178" t="str">
        <f>CZ102</f>
        <v>Ω</v>
      </c>
      <c r="DD102" s="220" t="e">
        <f t="shared" ref="DD102:DD108" si="148">MAX(DB102,CY102)</f>
        <v>#DIV/0!</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c r="Y103" s="291"/>
      <c r="Z103" s="291"/>
      <c r="AA103" s="291"/>
      <c r="AB103" s="291"/>
      <c r="AC103" s="291"/>
      <c r="AD103" s="291"/>
      <c r="AE103" s="291"/>
      <c r="AF103" s="291"/>
      <c r="AG103" s="291"/>
      <c r="AH103" s="291"/>
      <c r="AI103" s="291"/>
      <c r="AJ103" s="291"/>
      <c r="AK103" s="291"/>
      <c r="AL103" s="291"/>
      <c r="AM103" s="291" t="e">
        <f t="shared" ref="AM103:AM108" si="149">AVERAGE(X103:AL103)</f>
        <v>#DIV/0!</v>
      </c>
      <c r="AN103" s="291"/>
      <c r="AO103" s="291"/>
      <c r="AP103" s="291"/>
      <c r="AQ103" s="291"/>
      <c r="AR103" s="291" t="e">
        <f t="shared" ref="AR103:AR108" si="150">AM103-L103</f>
        <v>#DIV/0!</v>
      </c>
      <c r="AS103" s="291"/>
      <c r="AT103" s="291"/>
      <c r="AU103" s="291"/>
      <c r="AV103" s="291"/>
      <c r="AW103" s="139"/>
      <c r="AX103" s="139"/>
      <c r="AY103" s="139"/>
      <c r="AZ103" s="172"/>
      <c r="BA103" s="173"/>
      <c r="BB103" s="291" t="e">
        <f>(AM103*0.2%)+(2*CK103)</f>
        <v>#DIV/0!</v>
      </c>
      <c r="BC103" s="291"/>
      <c r="BD103" s="291"/>
      <c r="BE103" s="291"/>
      <c r="BF103" s="291"/>
      <c r="BG103" s="291" t="e">
        <f t="shared" si="135"/>
        <v>#DIV/0!</v>
      </c>
      <c r="BH103" s="291"/>
      <c r="BI103" s="291"/>
      <c r="BJ103" s="291"/>
      <c r="BK103" s="291"/>
      <c r="BL103" s="291" t="e">
        <f t="shared" si="136"/>
        <v>#DIV/0!</v>
      </c>
      <c r="BM103" s="291"/>
      <c r="BN103" s="291"/>
      <c r="BO103" s="291"/>
      <c r="BP103" s="291"/>
      <c r="BQ103" s="292" t="e">
        <f t="shared" si="137"/>
        <v>#DIV/0!</v>
      </c>
      <c r="BR103" s="292"/>
      <c r="BS103" s="292"/>
      <c r="BT103" s="292"/>
      <c r="BU103" s="292"/>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t="e">
        <f t="shared" si="144"/>
        <v>#DIV/0!</v>
      </c>
      <c r="CR103" s="1" t="str">
        <f t="shared" si="145"/>
        <v>Ω</v>
      </c>
      <c r="CS103" s="81">
        <f t="shared" ref="CS103:CS108" si="153">SQRT(3)</f>
        <v>1.7320508075688772</v>
      </c>
      <c r="CT103" s="86" t="e">
        <f t="shared" ref="CT103:CT108" si="154">CQ103/CS103</f>
        <v>#DIV/0!</v>
      </c>
      <c r="CU103" s="8"/>
      <c r="CV103" s="94" t="e">
        <f t="shared" ref="CV103:CV108" si="155">SQRT(SUMSQ(CT103,CN103,CH103,CB103))</f>
        <v>#DIV/0!</v>
      </c>
      <c r="CW103" s="5" t="e">
        <f t="shared" ref="CW103:CW108" si="156">(CV103^4)/(((CT103^4)/2)+((CN103^4)/200)+((CH103^4)/200)+((CB103^4)/200))</f>
        <v>#DIV/0!</v>
      </c>
      <c r="CX103" s="109" t="e">
        <f t="shared" si="146"/>
        <v>#DIV/0!</v>
      </c>
      <c r="CY103" s="105" t="e">
        <f t="shared" ref="CY103" si="157">(CV103*CX103)</f>
        <v>#DIV/0!</v>
      </c>
      <c r="CZ103" s="106" t="str">
        <f t="shared" si="147"/>
        <v>Ω</v>
      </c>
      <c r="DA103" s="8"/>
      <c r="DB103" s="177">
        <v>2.3E-2</v>
      </c>
      <c r="DC103" s="178" t="str">
        <f t="shared" ref="DC103:DC106" si="158">CZ103</f>
        <v>Ω</v>
      </c>
      <c r="DD103" s="220" t="e">
        <f t="shared" si="148"/>
        <v>#DIV/0!</v>
      </c>
      <c r="DE103" s="178" t="str">
        <f t="shared" ref="DE103:DE106" si="159">DC103</f>
        <v>Ω</v>
      </c>
    </row>
    <row r="104" spans="1:109" s="174" customFormat="1" ht="18" customHeight="1">
      <c r="A104" s="173"/>
      <c r="B104" s="170"/>
      <c r="C104" s="139"/>
      <c r="D104" s="139"/>
      <c r="E104" s="139"/>
      <c r="F104" s="296" t="s">
        <v>138</v>
      </c>
      <c r="G104" s="294"/>
      <c r="H104" s="294"/>
      <c r="I104" s="294"/>
      <c r="J104" s="294"/>
      <c r="K104" s="295"/>
      <c r="L104" s="297">
        <f>6*90%</f>
        <v>5.4</v>
      </c>
      <c r="M104" s="298"/>
      <c r="N104" s="298"/>
      <c r="O104" s="298"/>
      <c r="P104" s="299" t="s">
        <v>99</v>
      </c>
      <c r="Q104" s="299"/>
      <c r="R104" s="300"/>
      <c r="S104" s="301" t="s">
        <v>56</v>
      </c>
      <c r="T104" s="301"/>
      <c r="U104" s="301"/>
      <c r="V104" s="301"/>
      <c r="W104" s="301"/>
      <c r="X104" s="291"/>
      <c r="Y104" s="291"/>
      <c r="Z104" s="291"/>
      <c r="AA104" s="291"/>
      <c r="AB104" s="291"/>
      <c r="AC104" s="291"/>
      <c r="AD104" s="291"/>
      <c r="AE104" s="291"/>
      <c r="AF104" s="291"/>
      <c r="AG104" s="291"/>
      <c r="AH104" s="291"/>
      <c r="AI104" s="291"/>
      <c r="AJ104" s="291"/>
      <c r="AK104" s="291"/>
      <c r="AL104" s="291"/>
      <c r="AM104" s="320" t="e">
        <f t="shared" si="149"/>
        <v>#DIV/0!</v>
      </c>
      <c r="AN104" s="320"/>
      <c r="AO104" s="320"/>
      <c r="AP104" s="320"/>
      <c r="AQ104" s="320"/>
      <c r="AR104" s="320" t="e">
        <f t="shared" si="150"/>
        <v>#DIV/0!</v>
      </c>
      <c r="AS104" s="320"/>
      <c r="AT104" s="320"/>
      <c r="AU104" s="320"/>
      <c r="AV104" s="320"/>
      <c r="AW104" s="139"/>
      <c r="AX104" s="139"/>
      <c r="AY104" s="139"/>
      <c r="AZ104" s="172"/>
      <c r="BA104" s="173"/>
      <c r="BB104" s="291" t="e">
        <f>(AM104*0.2%)+(1*CK104)</f>
        <v>#DIV/0!</v>
      </c>
      <c r="BC104" s="291"/>
      <c r="BD104" s="291"/>
      <c r="BE104" s="291"/>
      <c r="BF104" s="291"/>
      <c r="BG104" s="320" t="e">
        <f t="shared" si="135"/>
        <v>#DIV/0!</v>
      </c>
      <c r="BH104" s="320"/>
      <c r="BI104" s="320"/>
      <c r="BJ104" s="320"/>
      <c r="BK104" s="320"/>
      <c r="BL104" s="320" t="e">
        <f t="shared" si="136"/>
        <v>#DIV/0!</v>
      </c>
      <c r="BM104" s="320"/>
      <c r="BN104" s="320"/>
      <c r="BO104" s="320"/>
      <c r="BP104" s="320"/>
      <c r="BQ104" s="292" t="e">
        <f t="shared" si="137"/>
        <v>#DIV/0!</v>
      </c>
      <c r="BR104" s="292"/>
      <c r="BS104" s="292"/>
      <c r="BT104" s="292"/>
      <c r="BU104" s="292"/>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t="e">
        <f t="shared" si="144"/>
        <v>#DIV/0!</v>
      </c>
      <c r="CR104" s="1" t="str">
        <f t="shared" si="145"/>
        <v>kΩ</v>
      </c>
      <c r="CS104" s="81">
        <f t="shared" si="153"/>
        <v>1.7320508075688772</v>
      </c>
      <c r="CT104" s="86" t="e">
        <f t="shared" si="154"/>
        <v>#DIV/0!</v>
      </c>
      <c r="CU104" s="8"/>
      <c r="CV104" s="94" t="e">
        <f t="shared" si="155"/>
        <v>#DIV/0!</v>
      </c>
      <c r="CW104" s="5" t="e">
        <f t="shared" si="156"/>
        <v>#DIV/0!</v>
      </c>
      <c r="CX104" s="109" t="e">
        <f t="shared" ref="CX104" si="161">ROUND(TINV(0.05,CW104),0)</f>
        <v>#DIV/0!</v>
      </c>
      <c r="CY104" s="111" t="e">
        <f t="shared" ref="CY104" si="162">(CV104*CX104)</f>
        <v>#DIV/0!</v>
      </c>
      <c r="CZ104" s="106" t="str">
        <f t="shared" si="147"/>
        <v>kΩ</v>
      </c>
      <c r="DA104" s="8"/>
      <c r="DB104" s="177">
        <v>2.3000000000000001E-4</v>
      </c>
      <c r="DC104" s="178" t="str">
        <f t="shared" si="158"/>
        <v>kΩ</v>
      </c>
      <c r="DD104" s="220" t="e">
        <f t="shared" si="148"/>
        <v>#DIV/0!</v>
      </c>
      <c r="DE104" s="178" t="str">
        <f t="shared" si="159"/>
        <v>kΩ</v>
      </c>
    </row>
    <row r="105" spans="1:109" s="174" customFormat="1" ht="18" customHeight="1">
      <c r="A105" s="173"/>
      <c r="B105" s="170"/>
      <c r="C105" s="139"/>
      <c r="D105" s="139"/>
      <c r="E105" s="139"/>
      <c r="F105" s="296" t="s">
        <v>139</v>
      </c>
      <c r="G105" s="294"/>
      <c r="H105" s="294"/>
      <c r="I105" s="294"/>
      <c r="J105" s="294"/>
      <c r="K105" s="295"/>
      <c r="L105" s="297">
        <f>60*90%</f>
        <v>54</v>
      </c>
      <c r="M105" s="298"/>
      <c r="N105" s="298"/>
      <c r="O105" s="298"/>
      <c r="P105" s="299" t="s">
        <v>99</v>
      </c>
      <c r="Q105" s="299"/>
      <c r="R105" s="300"/>
      <c r="S105" s="301" t="s">
        <v>56</v>
      </c>
      <c r="T105" s="301"/>
      <c r="U105" s="301"/>
      <c r="V105" s="301"/>
      <c r="W105" s="301"/>
      <c r="X105" s="291"/>
      <c r="Y105" s="291"/>
      <c r="Z105" s="291"/>
      <c r="AA105" s="291"/>
      <c r="AB105" s="291"/>
      <c r="AC105" s="291"/>
      <c r="AD105" s="291"/>
      <c r="AE105" s="291"/>
      <c r="AF105" s="291"/>
      <c r="AG105" s="291"/>
      <c r="AH105" s="291"/>
      <c r="AI105" s="291"/>
      <c r="AJ105" s="291"/>
      <c r="AK105" s="291"/>
      <c r="AL105" s="291"/>
      <c r="AM105" s="303" t="e">
        <f t="shared" si="149"/>
        <v>#DIV/0!</v>
      </c>
      <c r="AN105" s="303"/>
      <c r="AO105" s="303"/>
      <c r="AP105" s="303"/>
      <c r="AQ105" s="303"/>
      <c r="AR105" s="303" t="e">
        <f t="shared" si="150"/>
        <v>#DIV/0!</v>
      </c>
      <c r="AS105" s="303"/>
      <c r="AT105" s="303"/>
      <c r="AU105" s="303"/>
      <c r="AV105" s="303"/>
      <c r="AW105" s="139"/>
      <c r="AX105" s="139"/>
      <c r="AY105" s="139"/>
      <c r="AZ105" s="172"/>
      <c r="BA105" s="173"/>
      <c r="BB105" s="291" t="e">
        <f>(AM105*0.2%)+(1*CK105)</f>
        <v>#DIV/0!</v>
      </c>
      <c r="BC105" s="291"/>
      <c r="BD105" s="291"/>
      <c r="BE105" s="291"/>
      <c r="BF105" s="291"/>
      <c r="BG105" s="303" t="e">
        <f t="shared" si="135"/>
        <v>#DIV/0!</v>
      </c>
      <c r="BH105" s="303"/>
      <c r="BI105" s="303"/>
      <c r="BJ105" s="303"/>
      <c r="BK105" s="303"/>
      <c r="BL105" s="303" t="e">
        <f t="shared" si="136"/>
        <v>#DIV/0!</v>
      </c>
      <c r="BM105" s="303"/>
      <c r="BN105" s="303"/>
      <c r="BO105" s="303"/>
      <c r="BP105" s="303"/>
      <c r="BQ105" s="292" t="e">
        <f t="shared" si="137"/>
        <v>#DIV/0!</v>
      </c>
      <c r="BR105" s="292"/>
      <c r="BS105" s="292"/>
      <c r="BT105" s="292"/>
      <c r="BU105" s="292"/>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t="e">
        <f t="shared" si="144"/>
        <v>#DIV/0!</v>
      </c>
      <c r="CR105" s="1" t="str">
        <f t="shared" si="145"/>
        <v>kΩ</v>
      </c>
      <c r="CS105" s="81">
        <f t="shared" si="153"/>
        <v>1.7320508075688772</v>
      </c>
      <c r="CT105" s="86" t="e">
        <f t="shared" si="154"/>
        <v>#DIV/0!</v>
      </c>
      <c r="CU105" s="8"/>
      <c r="CV105" s="94" t="e">
        <f t="shared" si="155"/>
        <v>#DIV/0!</v>
      </c>
      <c r="CW105" s="5" t="e">
        <f t="shared" si="156"/>
        <v>#DIV/0!</v>
      </c>
      <c r="CX105" s="109" t="e">
        <f t="shared" ref="CX105:CX108" si="164">ROUND(TINV(0.05,CW105),0)</f>
        <v>#DIV/0!</v>
      </c>
      <c r="CY105" s="110" t="e">
        <f t="shared" ref="CY105:CY106" si="165">(CV105*CX105)</f>
        <v>#DIV/0!</v>
      </c>
      <c r="CZ105" s="106" t="str">
        <f t="shared" si="147"/>
        <v>kΩ</v>
      </c>
      <c r="DA105" s="8"/>
      <c r="DB105" s="177">
        <v>1.5E-3</v>
      </c>
      <c r="DC105" s="178" t="str">
        <f t="shared" si="158"/>
        <v>kΩ</v>
      </c>
      <c r="DD105" s="220" t="e">
        <f t="shared" si="148"/>
        <v>#DIV/0!</v>
      </c>
      <c r="DE105" s="178" t="str">
        <f t="shared" si="159"/>
        <v>kΩ</v>
      </c>
    </row>
    <row r="106" spans="1:109" s="174" customFormat="1" ht="18" customHeight="1">
      <c r="A106" s="173"/>
      <c r="B106" s="170"/>
      <c r="C106" s="139"/>
      <c r="D106" s="139"/>
      <c r="E106" s="139"/>
      <c r="F106" s="296" t="s">
        <v>140</v>
      </c>
      <c r="G106" s="294"/>
      <c r="H106" s="294"/>
      <c r="I106" s="294"/>
      <c r="J106" s="294"/>
      <c r="K106" s="295"/>
      <c r="L106" s="297">
        <f>600*90%</f>
        <v>540</v>
      </c>
      <c r="M106" s="298"/>
      <c r="N106" s="298"/>
      <c r="O106" s="298"/>
      <c r="P106" s="299" t="s">
        <v>99</v>
      </c>
      <c r="Q106" s="299"/>
      <c r="R106" s="300"/>
      <c r="S106" s="301" t="s">
        <v>56</v>
      </c>
      <c r="T106" s="301"/>
      <c r="U106" s="301"/>
      <c r="V106" s="301"/>
      <c r="W106" s="301"/>
      <c r="X106" s="291"/>
      <c r="Y106" s="291"/>
      <c r="Z106" s="291"/>
      <c r="AA106" s="291"/>
      <c r="AB106" s="291"/>
      <c r="AC106" s="291"/>
      <c r="AD106" s="291"/>
      <c r="AE106" s="291"/>
      <c r="AF106" s="291"/>
      <c r="AG106" s="291"/>
      <c r="AH106" s="291"/>
      <c r="AI106" s="291"/>
      <c r="AJ106" s="291"/>
      <c r="AK106" s="291"/>
      <c r="AL106" s="291"/>
      <c r="AM106" s="291" t="e">
        <f t="shared" si="149"/>
        <v>#DIV/0!</v>
      </c>
      <c r="AN106" s="291"/>
      <c r="AO106" s="291"/>
      <c r="AP106" s="291"/>
      <c r="AQ106" s="291"/>
      <c r="AR106" s="291" t="e">
        <f t="shared" si="150"/>
        <v>#DIV/0!</v>
      </c>
      <c r="AS106" s="291"/>
      <c r="AT106" s="291"/>
      <c r="AU106" s="291"/>
      <c r="AV106" s="291"/>
      <c r="AW106" s="139"/>
      <c r="AX106" s="139"/>
      <c r="AY106" s="139"/>
      <c r="AZ106" s="172"/>
      <c r="BA106" s="173"/>
      <c r="BB106" s="291" t="e">
        <f>(AM106*0.6%)+(1*CK106)</f>
        <v>#DIV/0!</v>
      </c>
      <c r="BC106" s="291"/>
      <c r="BD106" s="291"/>
      <c r="BE106" s="291"/>
      <c r="BF106" s="291"/>
      <c r="BG106" s="291" t="e">
        <f t="shared" si="135"/>
        <v>#DIV/0!</v>
      </c>
      <c r="BH106" s="291"/>
      <c r="BI106" s="291"/>
      <c r="BJ106" s="291"/>
      <c r="BK106" s="291"/>
      <c r="BL106" s="291" t="e">
        <f t="shared" si="136"/>
        <v>#DIV/0!</v>
      </c>
      <c r="BM106" s="291"/>
      <c r="BN106" s="291"/>
      <c r="BO106" s="291"/>
      <c r="BP106" s="291"/>
      <c r="BQ106" s="292" t="e">
        <f t="shared" si="137"/>
        <v>#DIV/0!</v>
      </c>
      <c r="BR106" s="292"/>
      <c r="BS106" s="292"/>
      <c r="BT106" s="292"/>
      <c r="BU106" s="292"/>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t="e">
        <f t="shared" si="144"/>
        <v>#DIV/0!</v>
      </c>
      <c r="CR106" s="1" t="str">
        <f t="shared" si="145"/>
        <v>kΩ</v>
      </c>
      <c r="CS106" s="81">
        <f t="shared" si="153"/>
        <v>1.7320508075688772</v>
      </c>
      <c r="CT106" s="86" t="e">
        <f t="shared" si="154"/>
        <v>#DIV/0!</v>
      </c>
      <c r="CU106" s="8"/>
      <c r="CV106" s="94" t="e">
        <f t="shared" si="155"/>
        <v>#DIV/0!</v>
      </c>
      <c r="CW106" s="5" t="e">
        <f t="shared" si="156"/>
        <v>#DIV/0!</v>
      </c>
      <c r="CX106" s="109" t="e">
        <f t="shared" si="164"/>
        <v>#DIV/0!</v>
      </c>
      <c r="CY106" s="105" t="e">
        <f t="shared" si="165"/>
        <v>#DIV/0!</v>
      </c>
      <c r="CZ106" s="106" t="str">
        <f t="shared" si="147"/>
        <v>kΩ</v>
      </c>
      <c r="DA106" s="8"/>
      <c r="DB106" s="177">
        <v>1.6E-2</v>
      </c>
      <c r="DC106" s="178" t="str">
        <f t="shared" si="158"/>
        <v>kΩ</v>
      </c>
      <c r="DD106" s="220" t="e">
        <f t="shared" si="148"/>
        <v>#DIV/0!</v>
      </c>
      <c r="DE106" s="178" t="str">
        <f t="shared" si="159"/>
        <v>kΩ</v>
      </c>
    </row>
    <row r="107" spans="1:109" s="174" customFormat="1" ht="18" customHeight="1">
      <c r="A107" s="173"/>
      <c r="B107" s="170"/>
      <c r="C107" s="139"/>
      <c r="D107" s="139"/>
      <c r="E107" s="139"/>
      <c r="F107" s="296" t="s">
        <v>144</v>
      </c>
      <c r="G107" s="294"/>
      <c r="H107" s="294"/>
      <c r="I107" s="294"/>
      <c r="J107" s="294"/>
      <c r="K107" s="295"/>
      <c r="L107" s="297">
        <f>6*90%</f>
        <v>5.4</v>
      </c>
      <c r="M107" s="298"/>
      <c r="N107" s="298"/>
      <c r="O107" s="298"/>
      <c r="P107" s="299" t="s">
        <v>100</v>
      </c>
      <c r="Q107" s="299"/>
      <c r="R107" s="300"/>
      <c r="S107" s="301" t="s">
        <v>56</v>
      </c>
      <c r="T107" s="301"/>
      <c r="U107" s="301"/>
      <c r="V107" s="301"/>
      <c r="W107" s="301"/>
      <c r="X107" s="291"/>
      <c r="Y107" s="291"/>
      <c r="Z107" s="291"/>
      <c r="AA107" s="291"/>
      <c r="AB107" s="291"/>
      <c r="AC107" s="291"/>
      <c r="AD107" s="291"/>
      <c r="AE107" s="291"/>
      <c r="AF107" s="291"/>
      <c r="AG107" s="291"/>
      <c r="AH107" s="291"/>
      <c r="AI107" s="291"/>
      <c r="AJ107" s="291"/>
      <c r="AK107" s="291"/>
      <c r="AL107" s="291"/>
      <c r="AM107" s="320" t="e">
        <f t="shared" ref="AM107" si="166">AVERAGE(X107:AL107)</f>
        <v>#DIV/0!</v>
      </c>
      <c r="AN107" s="320"/>
      <c r="AO107" s="320"/>
      <c r="AP107" s="320"/>
      <c r="AQ107" s="320"/>
      <c r="AR107" s="320" t="e">
        <f t="shared" ref="AR107" si="167">AM107-L107</f>
        <v>#DIV/0!</v>
      </c>
      <c r="AS107" s="320"/>
      <c r="AT107" s="320"/>
      <c r="AU107" s="320"/>
      <c r="AV107" s="320"/>
      <c r="AW107" s="139"/>
      <c r="AX107" s="139"/>
      <c r="AY107" s="139"/>
      <c r="AZ107" s="172"/>
      <c r="BA107" s="173"/>
      <c r="BB107" s="291" t="e">
        <f>(AM107*0.6%)+(1*CK107)</f>
        <v>#DIV/0!</v>
      </c>
      <c r="BC107" s="291"/>
      <c r="BD107" s="291"/>
      <c r="BE107" s="291"/>
      <c r="BF107" s="291"/>
      <c r="BG107" s="291" t="e">
        <f t="shared" ref="BG107" si="168">L107+BB107</f>
        <v>#DIV/0!</v>
      </c>
      <c r="BH107" s="291"/>
      <c r="BI107" s="291"/>
      <c r="BJ107" s="291"/>
      <c r="BK107" s="291"/>
      <c r="BL107" s="291" t="e">
        <f t="shared" ref="BL107" si="169">L107-BB107</f>
        <v>#DIV/0!</v>
      </c>
      <c r="BM107" s="291"/>
      <c r="BN107" s="291"/>
      <c r="BO107" s="291"/>
      <c r="BP107" s="291"/>
      <c r="BQ107" s="292" t="e">
        <f t="shared" ref="BQ107" si="170">IF(AND(AM107&lt;=BG107,AM107&gt;=BL107),"PASS","FAIL")</f>
        <v>#DIV/0!</v>
      </c>
      <c r="BR107" s="292"/>
      <c r="BS107" s="292"/>
      <c r="BT107" s="292"/>
      <c r="BU107" s="292"/>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t="e">
        <f t="shared" ref="CQ107" si="177">STDEV(X107:AL107)</f>
        <v>#DIV/0!</v>
      </c>
      <c r="CR107" s="1" t="str">
        <f t="shared" ref="CR107" si="178">P107</f>
        <v>MΩ</v>
      </c>
      <c r="CS107" s="81">
        <f t="shared" si="153"/>
        <v>1.7320508075688772</v>
      </c>
      <c r="CT107" s="86" t="e">
        <f t="shared" ref="CT107" si="179">CQ107/CS107</f>
        <v>#DIV/0!</v>
      </c>
      <c r="CU107" s="8"/>
      <c r="CV107" s="94" t="e">
        <f t="shared" ref="CV107" si="180">SQRT(SUMSQ(CT107,CN107,CH107,CB107))</f>
        <v>#DIV/0!</v>
      </c>
      <c r="CW107" s="5" t="e">
        <f t="shared" ref="CW107" si="181">(CV107^4)/(((CT107^4)/2)+((CN107^4)/200)+((CH107^4)/200)+((CB107^4)/200))</f>
        <v>#DIV/0!</v>
      </c>
      <c r="CX107" s="109" t="e">
        <f t="shared" ref="CX107" si="182">ROUND(TINV(0.05,CW107),0)</f>
        <v>#DIV/0!</v>
      </c>
      <c r="CY107" s="105" t="e">
        <f t="shared" ref="CY107" si="183">(CV107*CX107)</f>
        <v>#DIV/0!</v>
      </c>
      <c r="CZ107" s="106" t="str">
        <f t="shared" ref="CZ107" si="184">P107</f>
        <v>MΩ</v>
      </c>
      <c r="DA107" s="8"/>
      <c r="DB107" s="177">
        <v>5.2999999999999998E-4</v>
      </c>
      <c r="DC107" s="178" t="str">
        <f t="shared" ref="DC107" si="185">CZ107</f>
        <v>MΩ</v>
      </c>
      <c r="DD107" s="220" t="e">
        <f t="shared" si="148"/>
        <v>#DIV/0!</v>
      </c>
      <c r="DE107" s="178" t="str">
        <f t="shared" ref="DE107" si="186">DC107</f>
        <v>MΩ</v>
      </c>
    </row>
    <row r="108" spans="1:109" s="174" customFormat="1" ht="18" customHeight="1" thickBot="1">
      <c r="A108" s="173"/>
      <c r="B108" s="170"/>
      <c r="C108" s="139"/>
      <c r="D108" s="139"/>
      <c r="E108" s="139"/>
      <c r="F108" s="296" t="s">
        <v>145</v>
      </c>
      <c r="G108" s="294"/>
      <c r="H108" s="294"/>
      <c r="I108" s="294"/>
      <c r="J108" s="294"/>
      <c r="K108" s="295"/>
      <c r="L108" s="297">
        <f>50*90%</f>
        <v>45</v>
      </c>
      <c r="M108" s="298"/>
      <c r="N108" s="298"/>
      <c r="O108" s="298"/>
      <c r="P108" s="299" t="s">
        <v>100</v>
      </c>
      <c r="Q108" s="299"/>
      <c r="R108" s="300"/>
      <c r="S108" s="301" t="s">
        <v>56</v>
      </c>
      <c r="T108" s="301"/>
      <c r="U108" s="301"/>
      <c r="V108" s="301"/>
      <c r="W108" s="301"/>
      <c r="X108" s="291"/>
      <c r="Y108" s="291"/>
      <c r="Z108" s="291"/>
      <c r="AA108" s="291"/>
      <c r="AB108" s="291"/>
      <c r="AC108" s="291"/>
      <c r="AD108" s="291"/>
      <c r="AE108" s="291"/>
      <c r="AF108" s="291"/>
      <c r="AG108" s="291"/>
      <c r="AH108" s="291"/>
      <c r="AI108" s="291"/>
      <c r="AJ108" s="291"/>
      <c r="AK108" s="291"/>
      <c r="AL108" s="291"/>
      <c r="AM108" s="303" t="e">
        <f t="shared" si="149"/>
        <v>#DIV/0!</v>
      </c>
      <c r="AN108" s="303"/>
      <c r="AO108" s="303"/>
      <c r="AP108" s="303"/>
      <c r="AQ108" s="303"/>
      <c r="AR108" s="303" t="e">
        <f t="shared" si="150"/>
        <v>#DIV/0!</v>
      </c>
      <c r="AS108" s="303"/>
      <c r="AT108" s="303"/>
      <c r="AU108" s="303"/>
      <c r="AV108" s="303"/>
      <c r="AW108" s="139"/>
      <c r="AX108" s="139"/>
      <c r="AY108" s="139"/>
      <c r="AZ108" s="172"/>
      <c r="BA108" s="173"/>
      <c r="BB108" s="303" t="e">
        <f>(AM108*1%)+(10*CK108)</f>
        <v>#DIV/0!</v>
      </c>
      <c r="BC108" s="303"/>
      <c r="BD108" s="303"/>
      <c r="BE108" s="303"/>
      <c r="BF108" s="303"/>
      <c r="BG108" s="291" t="e">
        <f t="shared" si="135"/>
        <v>#DIV/0!</v>
      </c>
      <c r="BH108" s="291"/>
      <c r="BI108" s="291"/>
      <c r="BJ108" s="291"/>
      <c r="BK108" s="291"/>
      <c r="BL108" s="291" t="e">
        <f t="shared" si="136"/>
        <v>#DIV/0!</v>
      </c>
      <c r="BM108" s="291"/>
      <c r="BN108" s="291"/>
      <c r="BO108" s="291"/>
      <c r="BP108" s="291"/>
      <c r="BQ108" s="292" t="e">
        <f t="shared" si="137"/>
        <v>#DIV/0!</v>
      </c>
      <c r="BR108" s="292"/>
      <c r="BS108" s="292"/>
      <c r="BT108" s="292"/>
      <c r="BU108" s="292"/>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t="e">
        <f t="shared" si="144"/>
        <v>#DIV/0!</v>
      </c>
      <c r="CR108" s="74" t="str">
        <f t="shared" si="145"/>
        <v>MΩ</v>
      </c>
      <c r="CS108" s="82">
        <f t="shared" si="153"/>
        <v>1.7320508075688772</v>
      </c>
      <c r="CT108" s="87" t="e">
        <f t="shared" si="154"/>
        <v>#DIV/0!</v>
      </c>
      <c r="CU108" s="8"/>
      <c r="CV108" s="96" t="e">
        <f t="shared" si="155"/>
        <v>#DIV/0!</v>
      </c>
      <c r="CW108" s="89" t="e">
        <f t="shared" si="156"/>
        <v>#DIV/0!</v>
      </c>
      <c r="CX108" s="115" t="e">
        <f t="shared" si="164"/>
        <v>#DIV/0!</v>
      </c>
      <c r="CY108" s="116" t="e">
        <f>(CV108*CX108)</f>
        <v>#DIV/0!</v>
      </c>
      <c r="CZ108" s="108" t="str">
        <f t="shared" si="147"/>
        <v>MΩ</v>
      </c>
      <c r="DA108" s="8"/>
      <c r="DB108" s="177">
        <v>1.4999999999999999E-2</v>
      </c>
      <c r="DC108" s="178" t="str">
        <f t="shared" ref="DC108" si="187">CZ108</f>
        <v>MΩ</v>
      </c>
      <c r="DD108" s="220" t="e">
        <f t="shared" si="148"/>
        <v>#DIV/0!</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124</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129</v>
      </c>
      <c r="CK110" s="364"/>
      <c r="CL110" s="364"/>
      <c r="CM110" s="364"/>
      <c r="CN110" s="365"/>
      <c r="CO110" s="2"/>
      <c r="CP110" s="363" t="s">
        <v>129</v>
      </c>
      <c r="CQ110" s="364"/>
      <c r="CR110" s="364"/>
      <c r="CS110" s="364"/>
      <c r="CT110" s="365"/>
      <c r="CV110" s="363" t="s">
        <v>71</v>
      </c>
      <c r="CW110" s="364"/>
      <c r="CX110" s="364"/>
      <c r="CY110" s="364"/>
      <c r="CZ110" s="365"/>
      <c r="DB110" s="354" t="s">
        <v>116</v>
      </c>
      <c r="DC110" s="352"/>
      <c r="DD110" s="354" t="s">
        <v>117</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146</v>
      </c>
      <c r="G113" s="294"/>
      <c r="H113" s="294"/>
      <c r="I113" s="294"/>
      <c r="J113" s="294"/>
      <c r="K113" s="295"/>
      <c r="L113" s="297">
        <f>600*90%</f>
        <v>540</v>
      </c>
      <c r="M113" s="298"/>
      <c r="N113" s="298"/>
      <c r="O113" s="298"/>
      <c r="P113" s="299" t="s">
        <v>148</v>
      </c>
      <c r="Q113" s="299"/>
      <c r="R113" s="300"/>
      <c r="S113" s="301" t="s">
        <v>56</v>
      </c>
      <c r="T113" s="301"/>
      <c r="U113" s="301"/>
      <c r="V113" s="301"/>
      <c r="W113" s="301"/>
      <c r="X113" s="291"/>
      <c r="Y113" s="291"/>
      <c r="Z113" s="291"/>
      <c r="AA113" s="291"/>
      <c r="AB113" s="291"/>
      <c r="AC113" s="291"/>
      <c r="AD113" s="291"/>
      <c r="AE113" s="291"/>
      <c r="AF113" s="291"/>
      <c r="AG113" s="291"/>
      <c r="AH113" s="291"/>
      <c r="AI113" s="291"/>
      <c r="AJ113" s="291"/>
      <c r="AK113" s="291"/>
      <c r="AL113" s="291"/>
      <c r="AM113" s="291" t="e">
        <f>AVERAGE(X113:AL113)</f>
        <v>#DIV/0!</v>
      </c>
      <c r="AN113" s="291"/>
      <c r="AO113" s="291"/>
      <c r="AP113" s="291"/>
      <c r="AQ113" s="291"/>
      <c r="AR113" s="291" t="e">
        <f>AM113-L113</f>
        <v>#DIV/0!</v>
      </c>
      <c r="AS113" s="291"/>
      <c r="AT113" s="291"/>
      <c r="AU113" s="291"/>
      <c r="AV113" s="291"/>
      <c r="AW113" s="139"/>
      <c r="AX113" s="139"/>
      <c r="AY113" s="139"/>
      <c r="AZ113" s="172"/>
      <c r="BA113" s="173"/>
      <c r="BB113" s="303" t="e">
        <f>(AM113*0.2%)+(4*CK113)</f>
        <v>#DIV/0!</v>
      </c>
      <c r="BC113" s="303"/>
      <c r="BD113" s="303"/>
      <c r="BE113" s="303"/>
      <c r="BF113" s="303"/>
      <c r="BG113" s="303" t="e">
        <f t="shared" ref="BG113:BG121" si="189">L113+BB113</f>
        <v>#DIV/0!</v>
      </c>
      <c r="BH113" s="303"/>
      <c r="BI113" s="303"/>
      <c r="BJ113" s="303"/>
      <c r="BK113" s="303"/>
      <c r="BL113" s="303" t="e">
        <f t="shared" ref="BL113:BL121" si="190">L113-BB113</f>
        <v>#DIV/0!</v>
      </c>
      <c r="BM113" s="303"/>
      <c r="BN113" s="303"/>
      <c r="BO113" s="303"/>
      <c r="BP113" s="303"/>
      <c r="BQ113" s="292" t="e">
        <f t="shared" ref="BQ113:BQ121" si="191">IF(AND(AM113&lt;=BG113,AM113&gt;=BL113),"PASS","FAIL")</f>
        <v>#DIV/0!</v>
      </c>
      <c r="BR113" s="292"/>
      <c r="BS113" s="292"/>
      <c r="BT113" s="292"/>
      <c r="BU113" s="292"/>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t="e">
        <f t="shared" ref="CQ113:CQ121" si="200">STDEV(X113:AL113)</f>
        <v>#DIV/0!</v>
      </c>
      <c r="CR113" s="71" t="str">
        <f t="shared" ref="CR113:CR121" si="201">P113</f>
        <v>µA</v>
      </c>
      <c r="CS113" s="80">
        <f t="shared" ref="CS113:CS114" si="202">SQRT(3)</f>
        <v>1.7320508075688772</v>
      </c>
      <c r="CT113" s="85" t="e">
        <f t="shared" ref="CT113:CT114" si="203">CQ113/CS113</f>
        <v>#DIV/0!</v>
      </c>
      <c r="CU113" s="8"/>
      <c r="CV113" s="92" t="e">
        <f t="shared" ref="CV113:CV114" si="204">SQRT(SUMSQ(CT113,CN113,CH113,CB113))</f>
        <v>#DIV/0!</v>
      </c>
      <c r="CW113" s="88" t="e">
        <f t="shared" ref="CW113:CW114" si="205">(CV113^4)/(((CT113^4)/2)+((CN113^4)/200)+((CH113^4)/200)+((CB113^4)/200))</f>
        <v>#DIV/0!</v>
      </c>
      <c r="CX113" s="93" t="e">
        <f t="shared" ref="CX113:CX114" si="206">ROUND(TINV(0.05,CW113),0)</f>
        <v>#DIV/0!</v>
      </c>
      <c r="CY113" s="117" t="e">
        <f>(CV113*CX113)</f>
        <v>#DIV/0!</v>
      </c>
      <c r="CZ113" s="104" t="str">
        <f t="shared" ref="CZ113:CZ121" si="207">P113</f>
        <v>µA</v>
      </c>
      <c r="DA113" s="8"/>
      <c r="DB113" s="177">
        <v>6.4000000000000001E-2</v>
      </c>
      <c r="DC113" s="178" t="str">
        <f>CZ113</f>
        <v>µA</v>
      </c>
      <c r="DD113" s="220" t="e">
        <f t="shared" ref="DD113:DD121" si="208">MAX(DB113,CY113)</f>
        <v>#DIV/0!</v>
      </c>
      <c r="DE113" s="178" t="str">
        <f>DC113</f>
        <v>µA</v>
      </c>
    </row>
    <row r="114" spans="1:109" s="174" customFormat="1" ht="18" customHeight="1" thickBot="1">
      <c r="A114" s="173"/>
      <c r="B114" s="170"/>
      <c r="C114" s="139"/>
      <c r="D114" s="139"/>
      <c r="E114" s="139"/>
      <c r="F114" s="293" t="s">
        <v>159</v>
      </c>
      <c r="G114" s="294"/>
      <c r="H114" s="294"/>
      <c r="I114" s="294"/>
      <c r="J114" s="294"/>
      <c r="K114" s="295"/>
      <c r="L114" s="297">
        <f>6000*90%</f>
        <v>5400</v>
      </c>
      <c r="M114" s="298"/>
      <c r="N114" s="298"/>
      <c r="O114" s="298"/>
      <c r="P114" s="299" t="s">
        <v>148</v>
      </c>
      <c r="Q114" s="299"/>
      <c r="R114" s="300"/>
      <c r="S114" s="301" t="s">
        <v>56</v>
      </c>
      <c r="T114" s="301"/>
      <c r="U114" s="301"/>
      <c r="V114" s="301"/>
      <c r="W114" s="301"/>
      <c r="X114" s="291"/>
      <c r="Y114" s="291"/>
      <c r="Z114" s="291"/>
      <c r="AA114" s="291"/>
      <c r="AB114" s="291"/>
      <c r="AC114" s="291"/>
      <c r="AD114" s="291"/>
      <c r="AE114" s="291"/>
      <c r="AF114" s="291"/>
      <c r="AG114" s="291"/>
      <c r="AH114" s="291"/>
      <c r="AI114" s="291"/>
      <c r="AJ114" s="291"/>
      <c r="AK114" s="291"/>
      <c r="AL114" s="291"/>
      <c r="AM114" s="302" t="e">
        <f t="shared" ref="AM114" si="209">AVERAGE(X114:AL114)</f>
        <v>#DIV/0!</v>
      </c>
      <c r="AN114" s="302"/>
      <c r="AO114" s="302"/>
      <c r="AP114" s="302"/>
      <c r="AQ114" s="302"/>
      <c r="AR114" s="302" t="e">
        <f t="shared" ref="AR114" si="210">AM114-L114</f>
        <v>#DIV/0!</v>
      </c>
      <c r="AS114" s="302"/>
      <c r="AT114" s="302"/>
      <c r="AU114" s="302"/>
      <c r="AV114" s="302"/>
      <c r="AW114" s="139"/>
      <c r="AX114" s="139"/>
      <c r="AY114" s="139"/>
      <c r="AZ114" s="172"/>
      <c r="BA114" s="173"/>
      <c r="BB114" s="303" t="e">
        <f>(AM114*0.2%)+(2*CK114)</f>
        <v>#DIV/0!</v>
      </c>
      <c r="BC114" s="303"/>
      <c r="BD114" s="303"/>
      <c r="BE114" s="303"/>
      <c r="BF114" s="303"/>
      <c r="BG114" s="291" t="e">
        <f t="shared" si="189"/>
        <v>#DIV/0!</v>
      </c>
      <c r="BH114" s="291"/>
      <c r="BI114" s="291"/>
      <c r="BJ114" s="291"/>
      <c r="BK114" s="291"/>
      <c r="BL114" s="291" t="e">
        <f t="shared" si="190"/>
        <v>#DIV/0!</v>
      </c>
      <c r="BM114" s="291"/>
      <c r="BN114" s="291"/>
      <c r="BO114" s="291"/>
      <c r="BP114" s="291"/>
      <c r="BQ114" s="292" t="e">
        <f t="shared" si="191"/>
        <v>#DIV/0!</v>
      </c>
      <c r="BR114" s="292"/>
      <c r="BS114" s="292"/>
      <c r="BT114" s="292"/>
      <c r="BU114" s="292"/>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t="e">
        <f t="shared" si="200"/>
        <v>#DIV/0!</v>
      </c>
      <c r="CR114" s="74" t="str">
        <f t="shared" si="201"/>
        <v>µA</v>
      </c>
      <c r="CS114" s="82">
        <f t="shared" si="202"/>
        <v>1.7320508075688772</v>
      </c>
      <c r="CT114" s="87" t="e">
        <f t="shared" si="203"/>
        <v>#DIV/0!</v>
      </c>
      <c r="CU114" s="8"/>
      <c r="CV114" s="96" t="e">
        <f t="shared" si="204"/>
        <v>#DIV/0!</v>
      </c>
      <c r="CW114" s="89" t="e">
        <f t="shared" si="205"/>
        <v>#DIV/0!</v>
      </c>
      <c r="CX114" s="97" t="e">
        <f t="shared" si="206"/>
        <v>#DIV/0!</v>
      </c>
      <c r="CY114" s="107" t="e">
        <f t="shared" ref="CY114" si="211">(CV114*CX114)</f>
        <v>#DIV/0!</v>
      </c>
      <c r="CZ114" s="108" t="str">
        <f t="shared" si="207"/>
        <v>µA</v>
      </c>
      <c r="DA114" s="8"/>
      <c r="DB114" s="177">
        <v>0.45</v>
      </c>
      <c r="DC114" s="178" t="str">
        <f t="shared" ref="DC114" si="212">CZ114</f>
        <v>µA</v>
      </c>
      <c r="DD114" s="220" t="e">
        <f t="shared" si="208"/>
        <v>#DIV/0!</v>
      </c>
      <c r="DE114" s="178" t="str">
        <f t="shared" ref="DE114" si="213">DC114</f>
        <v>µA</v>
      </c>
    </row>
    <row r="115" spans="1:109" s="174" customFormat="1" ht="18" customHeight="1">
      <c r="A115" s="173"/>
      <c r="B115" s="170"/>
      <c r="C115" s="139"/>
      <c r="D115" s="139"/>
      <c r="E115" s="139"/>
      <c r="F115" s="293" t="s">
        <v>147</v>
      </c>
      <c r="G115" s="294"/>
      <c r="H115" s="294"/>
      <c r="I115" s="294"/>
      <c r="J115" s="294"/>
      <c r="K115" s="295"/>
      <c r="L115" s="297">
        <f>60*90%</f>
        <v>54</v>
      </c>
      <c r="M115" s="298"/>
      <c r="N115" s="298"/>
      <c r="O115" s="298"/>
      <c r="P115" s="299" t="s">
        <v>102</v>
      </c>
      <c r="Q115" s="299"/>
      <c r="R115" s="300"/>
      <c r="S115" s="301" t="s">
        <v>56</v>
      </c>
      <c r="T115" s="301"/>
      <c r="U115" s="301"/>
      <c r="V115" s="301"/>
      <c r="W115" s="301"/>
      <c r="X115" s="291"/>
      <c r="Y115" s="291"/>
      <c r="Z115" s="291"/>
      <c r="AA115" s="291"/>
      <c r="AB115" s="291"/>
      <c r="AC115" s="291"/>
      <c r="AD115" s="291"/>
      <c r="AE115" s="291"/>
      <c r="AF115" s="291"/>
      <c r="AG115" s="291"/>
      <c r="AH115" s="291"/>
      <c r="AI115" s="291"/>
      <c r="AJ115" s="291"/>
      <c r="AK115" s="291"/>
      <c r="AL115" s="291"/>
      <c r="AM115" s="303" t="e">
        <f>AVERAGE(X115:AL115)</f>
        <v>#DIV/0!</v>
      </c>
      <c r="AN115" s="303"/>
      <c r="AO115" s="303"/>
      <c r="AP115" s="303"/>
      <c r="AQ115" s="303"/>
      <c r="AR115" s="303" t="e">
        <f>AM115-L115</f>
        <v>#DIV/0!</v>
      </c>
      <c r="AS115" s="303"/>
      <c r="AT115" s="303"/>
      <c r="AU115" s="303"/>
      <c r="AV115" s="303"/>
      <c r="AW115" s="139"/>
      <c r="AX115" s="139"/>
      <c r="AY115" s="139"/>
      <c r="AZ115" s="172"/>
      <c r="BA115" s="173"/>
      <c r="BB115" s="303" t="e">
        <f>(AM115*0.2%)+(4*CK115)</f>
        <v>#DIV/0!</v>
      </c>
      <c r="BC115" s="303"/>
      <c r="BD115" s="303"/>
      <c r="BE115" s="303"/>
      <c r="BF115" s="303"/>
      <c r="BG115" s="303" t="e">
        <f t="shared" si="189"/>
        <v>#DIV/0!</v>
      </c>
      <c r="BH115" s="303"/>
      <c r="BI115" s="303"/>
      <c r="BJ115" s="303"/>
      <c r="BK115" s="303"/>
      <c r="BL115" s="303" t="e">
        <f t="shared" si="190"/>
        <v>#DIV/0!</v>
      </c>
      <c r="BM115" s="303"/>
      <c r="BN115" s="303"/>
      <c r="BO115" s="303"/>
      <c r="BP115" s="303"/>
      <c r="BQ115" s="292" t="e">
        <f t="shared" si="191"/>
        <v>#DIV/0!</v>
      </c>
      <c r="BR115" s="292"/>
      <c r="BS115" s="292"/>
      <c r="BT115" s="292"/>
      <c r="BU115" s="292"/>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t="e">
        <f t="shared" si="200"/>
        <v>#DIV/0!</v>
      </c>
      <c r="CR115" s="71" t="str">
        <f t="shared" si="201"/>
        <v>mA</v>
      </c>
      <c r="CS115" s="80">
        <f t="shared" ref="CS115:CS117" si="220">SQRT(3)</f>
        <v>1.7320508075688772</v>
      </c>
      <c r="CT115" s="85" t="e">
        <f t="shared" ref="CT115:CT117" si="221">CQ115/CS115</f>
        <v>#DIV/0!</v>
      </c>
      <c r="CU115" s="8"/>
      <c r="CV115" s="92" t="e">
        <f t="shared" ref="CV115:CV117" si="222">SQRT(SUMSQ(CT115,CN115,CH115,CB115))</f>
        <v>#DIV/0!</v>
      </c>
      <c r="CW115" s="88" t="e">
        <f t="shared" ref="CW115:CW117" si="223">(CV115^4)/(((CT115^4)/2)+((CN115^4)/200)+((CH115^4)/200)+((CB115^4)/200))</f>
        <v>#DIV/0!</v>
      </c>
      <c r="CX115" s="93" t="e">
        <f t="shared" ref="CX115:CX117" si="224">ROUND(TINV(0.05,CW115),0)</f>
        <v>#DIV/0!</v>
      </c>
      <c r="CY115" s="117" t="e">
        <f>(CV115*CX115)</f>
        <v>#DIV/0!</v>
      </c>
      <c r="CZ115" s="104" t="str">
        <f t="shared" si="207"/>
        <v>mA</v>
      </c>
      <c r="DA115" s="8"/>
      <c r="DB115" s="177">
        <v>4.3E-3</v>
      </c>
      <c r="DC115" s="178" t="str">
        <f>CZ115</f>
        <v>mA</v>
      </c>
      <c r="DD115" s="220" t="e">
        <f t="shared" si="208"/>
        <v>#DIV/0!</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c r="Y116" s="291"/>
      <c r="Z116" s="291"/>
      <c r="AA116" s="291"/>
      <c r="AB116" s="291"/>
      <c r="AC116" s="291"/>
      <c r="AD116" s="291"/>
      <c r="AE116" s="291"/>
      <c r="AF116" s="291"/>
      <c r="AG116" s="291"/>
      <c r="AH116" s="291"/>
      <c r="AI116" s="291"/>
      <c r="AJ116" s="291"/>
      <c r="AK116" s="291"/>
      <c r="AL116" s="291"/>
      <c r="AM116" s="303" t="e">
        <f t="shared" ref="AM116:AM117" si="225">AVERAGE(X116:AL116)</f>
        <v>#DIV/0!</v>
      </c>
      <c r="AN116" s="303"/>
      <c r="AO116" s="303"/>
      <c r="AP116" s="303"/>
      <c r="AQ116" s="303"/>
      <c r="AR116" s="303" t="e">
        <f t="shared" ref="AR116:AR117" si="226">AM116-L116</f>
        <v>#DIV/0!</v>
      </c>
      <c r="AS116" s="303"/>
      <c r="AT116" s="303"/>
      <c r="AU116" s="303"/>
      <c r="AV116" s="303"/>
      <c r="AW116" s="139"/>
      <c r="AX116" s="139"/>
      <c r="AY116" s="139"/>
      <c r="AZ116" s="172"/>
      <c r="BA116" s="173"/>
      <c r="BB116" s="303" t="e">
        <f>ABS(AM116*0.2%)+(4*CK116)</f>
        <v>#DIV/0!</v>
      </c>
      <c r="BC116" s="303"/>
      <c r="BD116" s="303"/>
      <c r="BE116" s="303"/>
      <c r="BF116" s="303"/>
      <c r="BG116" s="303" t="e">
        <f t="shared" si="189"/>
        <v>#DIV/0!</v>
      </c>
      <c r="BH116" s="303"/>
      <c r="BI116" s="303"/>
      <c r="BJ116" s="303"/>
      <c r="BK116" s="303"/>
      <c r="BL116" s="303" t="e">
        <f t="shared" si="190"/>
        <v>#DIV/0!</v>
      </c>
      <c r="BM116" s="303"/>
      <c r="BN116" s="303"/>
      <c r="BO116" s="303"/>
      <c r="BP116" s="303"/>
      <c r="BQ116" s="292" t="e">
        <f t="shared" si="191"/>
        <v>#DIV/0!</v>
      </c>
      <c r="BR116" s="292"/>
      <c r="BS116" s="292"/>
      <c r="BT116" s="292"/>
      <c r="BU116" s="292"/>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t="e">
        <f t="shared" si="200"/>
        <v>#DIV/0!</v>
      </c>
      <c r="CR116" s="1" t="str">
        <f t="shared" si="201"/>
        <v>mA</v>
      </c>
      <c r="CS116" s="81">
        <f t="shared" si="220"/>
        <v>1.7320508075688772</v>
      </c>
      <c r="CT116" s="86" t="e">
        <f t="shared" si="221"/>
        <v>#DIV/0!</v>
      </c>
      <c r="CU116" s="8"/>
      <c r="CV116" s="94" t="e">
        <f t="shared" si="222"/>
        <v>#DIV/0!</v>
      </c>
      <c r="CW116" s="5" t="e">
        <f t="shared" si="223"/>
        <v>#DIV/0!</v>
      </c>
      <c r="CX116" s="95" t="e">
        <f t="shared" si="224"/>
        <v>#DIV/0!</v>
      </c>
      <c r="CY116" s="110" t="e">
        <f t="shared" ref="CY116:CY117" si="227">(CV116*CX116)</f>
        <v>#DIV/0!</v>
      </c>
      <c r="CZ116" s="106" t="str">
        <f t="shared" si="207"/>
        <v>mA</v>
      </c>
      <c r="DA116" s="8"/>
      <c r="DB116" s="177">
        <v>4.3E-3</v>
      </c>
      <c r="DC116" s="178" t="str">
        <f t="shared" ref="DC116:DC117" si="228">CZ116</f>
        <v>mA</v>
      </c>
      <c r="DD116" s="220" t="e">
        <f t="shared" si="208"/>
        <v>#DIV/0!</v>
      </c>
      <c r="DE116" s="178" t="str">
        <f t="shared" ref="DE116:DE117" si="229">DC116</f>
        <v>mA</v>
      </c>
    </row>
    <row r="117" spans="1:109" s="174" customFormat="1" ht="18" customHeight="1" thickBot="1">
      <c r="A117" s="173"/>
      <c r="B117" s="170"/>
      <c r="C117" s="139"/>
      <c r="D117" s="139"/>
      <c r="E117" s="139"/>
      <c r="F117" s="304" t="s">
        <v>150</v>
      </c>
      <c r="G117" s="305"/>
      <c r="H117" s="305"/>
      <c r="I117" s="305"/>
      <c r="J117" s="305"/>
      <c r="K117" s="306"/>
      <c r="L117" s="297">
        <f>400*90%</f>
        <v>360</v>
      </c>
      <c r="M117" s="298"/>
      <c r="N117" s="298"/>
      <c r="O117" s="298"/>
      <c r="P117" s="299" t="s">
        <v>102</v>
      </c>
      <c r="Q117" s="299"/>
      <c r="R117" s="300"/>
      <c r="S117" s="301" t="s">
        <v>56</v>
      </c>
      <c r="T117" s="301"/>
      <c r="U117" s="301"/>
      <c r="V117" s="301"/>
      <c r="W117" s="301"/>
      <c r="X117" s="291"/>
      <c r="Y117" s="291"/>
      <c r="Z117" s="291"/>
      <c r="AA117" s="291"/>
      <c r="AB117" s="291"/>
      <c r="AC117" s="291"/>
      <c r="AD117" s="291"/>
      <c r="AE117" s="291"/>
      <c r="AF117" s="291"/>
      <c r="AG117" s="291"/>
      <c r="AH117" s="291"/>
      <c r="AI117" s="291"/>
      <c r="AJ117" s="291"/>
      <c r="AK117" s="291"/>
      <c r="AL117" s="291"/>
      <c r="AM117" s="291" t="e">
        <f t="shared" si="225"/>
        <v>#DIV/0!</v>
      </c>
      <c r="AN117" s="291"/>
      <c r="AO117" s="291"/>
      <c r="AP117" s="291"/>
      <c r="AQ117" s="291"/>
      <c r="AR117" s="291" t="e">
        <f t="shared" si="226"/>
        <v>#DIV/0!</v>
      </c>
      <c r="AS117" s="291"/>
      <c r="AT117" s="291"/>
      <c r="AU117" s="291"/>
      <c r="AV117" s="291"/>
      <c r="AW117" s="139"/>
      <c r="AX117" s="139"/>
      <c r="AY117" s="139"/>
      <c r="AZ117" s="172"/>
      <c r="BA117" s="173"/>
      <c r="BB117" s="303" t="e">
        <f>(AM117*0.2%)+(2*CK117)</f>
        <v>#DIV/0!</v>
      </c>
      <c r="BC117" s="303"/>
      <c r="BD117" s="303"/>
      <c r="BE117" s="303"/>
      <c r="BF117" s="303"/>
      <c r="BG117" s="291" t="e">
        <f t="shared" si="189"/>
        <v>#DIV/0!</v>
      </c>
      <c r="BH117" s="291"/>
      <c r="BI117" s="291"/>
      <c r="BJ117" s="291"/>
      <c r="BK117" s="291"/>
      <c r="BL117" s="291" t="e">
        <f t="shared" si="190"/>
        <v>#DIV/0!</v>
      </c>
      <c r="BM117" s="291"/>
      <c r="BN117" s="291"/>
      <c r="BO117" s="291"/>
      <c r="BP117" s="291"/>
      <c r="BQ117" s="292" t="e">
        <f t="shared" si="191"/>
        <v>#DIV/0!</v>
      </c>
      <c r="BR117" s="292"/>
      <c r="BS117" s="292"/>
      <c r="BT117" s="292"/>
      <c r="BU117" s="292"/>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t="e">
        <f t="shared" si="200"/>
        <v>#DIV/0!</v>
      </c>
      <c r="CR117" s="74" t="str">
        <f t="shared" si="201"/>
        <v>mA</v>
      </c>
      <c r="CS117" s="82">
        <f t="shared" si="220"/>
        <v>1.7320508075688772</v>
      </c>
      <c r="CT117" s="87" t="e">
        <f t="shared" si="221"/>
        <v>#DIV/0!</v>
      </c>
      <c r="CU117" s="8"/>
      <c r="CV117" s="96" t="e">
        <f t="shared" si="222"/>
        <v>#DIV/0!</v>
      </c>
      <c r="CW117" s="89" t="e">
        <f t="shared" si="223"/>
        <v>#DIV/0!</v>
      </c>
      <c r="CX117" s="97" t="e">
        <f t="shared" si="224"/>
        <v>#DIV/0!</v>
      </c>
      <c r="CY117" s="107" t="e">
        <f t="shared" si="227"/>
        <v>#DIV/0!</v>
      </c>
      <c r="CZ117" s="108" t="str">
        <f t="shared" si="207"/>
        <v>mA</v>
      </c>
      <c r="DA117" s="8"/>
      <c r="DB117" s="177">
        <v>8.2000000000000003E-2</v>
      </c>
      <c r="DC117" s="178" t="str">
        <f t="shared" si="228"/>
        <v>mA</v>
      </c>
      <c r="DD117" s="220" t="e">
        <f t="shared" si="208"/>
        <v>#DIV/0!</v>
      </c>
      <c r="DE117" s="178" t="str">
        <f t="shared" si="229"/>
        <v>mA</v>
      </c>
    </row>
    <row r="118" spans="1:109" s="174" customFormat="1" ht="18" customHeight="1">
      <c r="A118" s="173"/>
      <c r="B118" s="170"/>
      <c r="C118" s="139"/>
      <c r="D118" s="139"/>
      <c r="E118" s="139"/>
      <c r="F118" s="293" t="s">
        <v>141</v>
      </c>
      <c r="G118" s="294"/>
      <c r="H118" s="294"/>
      <c r="I118" s="294"/>
      <c r="J118" s="294"/>
      <c r="K118" s="295"/>
      <c r="L118" s="297">
        <f>6*50%</f>
        <v>3</v>
      </c>
      <c r="M118" s="298"/>
      <c r="N118" s="298"/>
      <c r="O118" s="298"/>
      <c r="P118" s="299" t="s">
        <v>149</v>
      </c>
      <c r="Q118" s="299"/>
      <c r="R118" s="300"/>
      <c r="S118" s="301" t="s">
        <v>56</v>
      </c>
      <c r="T118" s="301"/>
      <c r="U118" s="301"/>
      <c r="V118" s="301"/>
      <c r="W118" s="301"/>
      <c r="X118" s="291"/>
      <c r="Y118" s="291"/>
      <c r="Z118" s="291"/>
      <c r="AA118" s="291"/>
      <c r="AB118" s="291"/>
      <c r="AC118" s="291"/>
      <c r="AD118" s="291"/>
      <c r="AE118" s="291"/>
      <c r="AF118" s="291"/>
      <c r="AG118" s="291"/>
      <c r="AH118" s="291"/>
      <c r="AI118" s="291"/>
      <c r="AJ118" s="291"/>
      <c r="AK118" s="291"/>
      <c r="AL118" s="291"/>
      <c r="AM118" s="320" t="e">
        <f>AVERAGE(X118:AL118)</f>
        <v>#DIV/0!</v>
      </c>
      <c r="AN118" s="320"/>
      <c r="AO118" s="320"/>
      <c r="AP118" s="320"/>
      <c r="AQ118" s="320"/>
      <c r="AR118" s="320" t="e">
        <f>AM118-L118</f>
        <v>#DIV/0!</v>
      </c>
      <c r="AS118" s="320"/>
      <c r="AT118" s="320"/>
      <c r="AU118" s="320"/>
      <c r="AV118" s="320"/>
      <c r="AW118" s="139"/>
      <c r="AX118" s="139"/>
      <c r="AY118" s="139"/>
      <c r="AZ118" s="172"/>
      <c r="BA118" s="173"/>
      <c r="BB118" s="303" t="e">
        <f>(AM118*0.2%)+(4*CK118)</f>
        <v>#DIV/0!</v>
      </c>
      <c r="BC118" s="303"/>
      <c r="BD118" s="303"/>
      <c r="BE118" s="303"/>
      <c r="BF118" s="303"/>
      <c r="BG118" s="303" t="e">
        <f t="shared" si="189"/>
        <v>#DIV/0!</v>
      </c>
      <c r="BH118" s="303"/>
      <c r="BI118" s="303"/>
      <c r="BJ118" s="303"/>
      <c r="BK118" s="303"/>
      <c r="BL118" s="303" t="e">
        <f t="shared" si="190"/>
        <v>#DIV/0!</v>
      </c>
      <c r="BM118" s="303"/>
      <c r="BN118" s="303"/>
      <c r="BO118" s="303"/>
      <c r="BP118" s="303"/>
      <c r="BQ118" s="292" t="e">
        <f t="shared" si="191"/>
        <v>#DIV/0!</v>
      </c>
      <c r="BR118" s="292"/>
      <c r="BS118" s="292"/>
      <c r="BT118" s="292"/>
      <c r="BU118" s="292"/>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t="e">
        <f t="shared" si="200"/>
        <v>#DIV/0!</v>
      </c>
      <c r="CR118" s="71" t="str">
        <f t="shared" si="201"/>
        <v>A</v>
      </c>
      <c r="CS118" s="80">
        <f t="shared" ref="CS118:CS121" si="236">SQRT(3)</f>
        <v>1.7320508075688772</v>
      </c>
      <c r="CT118" s="85" t="e">
        <f t="shared" ref="CT118:CT121" si="237">CQ118/CS118</f>
        <v>#DIV/0!</v>
      </c>
      <c r="CU118" s="8"/>
      <c r="CV118" s="92" t="e">
        <f t="shared" ref="CV118:CV121" si="238">SQRT(SUMSQ(CT118,CN118,CH118,CB118))</f>
        <v>#DIV/0!</v>
      </c>
      <c r="CW118" s="88" t="e">
        <f t="shared" ref="CW118:CW121" si="239">(CV118^4)/(((CT118^4)/2)+((CN118^4)/200)+((CH118^4)/200)+((CB118^4)/200))</f>
        <v>#DIV/0!</v>
      </c>
      <c r="CX118" s="93" t="e">
        <f t="shared" ref="CX118:CX120" si="240">ROUND(TINV(0.05,CW118),0)</f>
        <v>#DIV/0!</v>
      </c>
      <c r="CY118" s="117" t="e">
        <f>(CV118*CX118)</f>
        <v>#DIV/0!</v>
      </c>
      <c r="CZ118" s="104" t="str">
        <f t="shared" si="207"/>
        <v>A</v>
      </c>
      <c r="DA118" s="8"/>
      <c r="DB118" s="177">
        <v>1.6000000000000001E-3</v>
      </c>
      <c r="DC118" s="178" t="str">
        <f>CZ118</f>
        <v>A</v>
      </c>
      <c r="DD118" s="220" t="e">
        <f t="shared" si="208"/>
        <v>#DIV/0!</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149</v>
      </c>
      <c r="Q119" s="299"/>
      <c r="R119" s="300"/>
      <c r="S119" s="301" t="s">
        <v>56</v>
      </c>
      <c r="T119" s="301"/>
      <c r="U119" s="301"/>
      <c r="V119" s="301"/>
      <c r="W119" s="301"/>
      <c r="X119" s="291"/>
      <c r="Y119" s="291"/>
      <c r="Z119" s="291"/>
      <c r="AA119" s="291"/>
      <c r="AB119" s="291"/>
      <c r="AC119" s="291"/>
      <c r="AD119" s="291"/>
      <c r="AE119" s="291"/>
      <c r="AF119" s="291"/>
      <c r="AG119" s="291"/>
      <c r="AH119" s="291"/>
      <c r="AI119" s="291"/>
      <c r="AJ119" s="291"/>
      <c r="AK119" s="291"/>
      <c r="AL119" s="291"/>
      <c r="AM119" s="320" t="e">
        <f t="shared" ref="AM119:AM120" si="241">AVERAGE(X119:AL119)</f>
        <v>#DIV/0!</v>
      </c>
      <c r="AN119" s="320"/>
      <c r="AO119" s="320"/>
      <c r="AP119" s="320"/>
      <c r="AQ119" s="320"/>
      <c r="AR119" s="320" t="e">
        <f t="shared" ref="AR119:AR120" si="242">AM119-L119</f>
        <v>#DIV/0!</v>
      </c>
      <c r="AS119" s="320"/>
      <c r="AT119" s="320"/>
      <c r="AU119" s="320"/>
      <c r="AV119" s="320"/>
      <c r="AW119" s="139"/>
      <c r="AX119" s="139"/>
      <c r="AY119" s="139"/>
      <c r="AZ119" s="172"/>
      <c r="BA119" s="173"/>
      <c r="BB119" s="303" t="e">
        <f>(AM119*0.2%)+(4*CK119)</f>
        <v>#DIV/0!</v>
      </c>
      <c r="BC119" s="303"/>
      <c r="BD119" s="303"/>
      <c r="BE119" s="303"/>
      <c r="BF119" s="303"/>
      <c r="BG119" s="303" t="e">
        <f t="shared" si="189"/>
        <v>#DIV/0!</v>
      </c>
      <c r="BH119" s="303"/>
      <c r="BI119" s="303"/>
      <c r="BJ119" s="303"/>
      <c r="BK119" s="303"/>
      <c r="BL119" s="303" t="e">
        <f t="shared" si="190"/>
        <v>#DIV/0!</v>
      </c>
      <c r="BM119" s="303"/>
      <c r="BN119" s="303"/>
      <c r="BO119" s="303"/>
      <c r="BP119" s="303"/>
      <c r="BQ119" s="292" t="e">
        <f t="shared" si="191"/>
        <v>#DIV/0!</v>
      </c>
      <c r="BR119" s="292"/>
      <c r="BS119" s="292"/>
      <c r="BT119" s="292"/>
      <c r="BU119" s="292"/>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t="e">
        <f t="shared" si="200"/>
        <v>#DIV/0!</v>
      </c>
      <c r="CR119" s="1" t="str">
        <f t="shared" si="201"/>
        <v>A</v>
      </c>
      <c r="CS119" s="81">
        <f t="shared" si="236"/>
        <v>1.7320508075688772</v>
      </c>
      <c r="CT119" s="86" t="e">
        <f t="shared" si="237"/>
        <v>#DIV/0!</v>
      </c>
      <c r="CU119" s="8"/>
      <c r="CV119" s="94" t="e">
        <f t="shared" si="238"/>
        <v>#DIV/0!</v>
      </c>
      <c r="CW119" s="5" t="e">
        <f t="shared" si="239"/>
        <v>#DIV/0!</v>
      </c>
      <c r="CX119" s="95" t="e">
        <f t="shared" si="240"/>
        <v>#DIV/0!</v>
      </c>
      <c r="CY119" s="110" t="e">
        <f t="shared" ref="CY119:CY120" si="243">(CV119*CX119)</f>
        <v>#DIV/0!</v>
      </c>
      <c r="CZ119" s="106" t="str">
        <f t="shared" si="207"/>
        <v>A</v>
      </c>
      <c r="DA119" s="8"/>
      <c r="DB119" s="177">
        <v>1.6000000000000001E-3</v>
      </c>
      <c r="DC119" s="178" t="str">
        <f t="shared" ref="DC119:DC121" si="244">CZ119</f>
        <v>A</v>
      </c>
      <c r="DD119" s="220" t="e">
        <f t="shared" si="208"/>
        <v>#DIV/0!</v>
      </c>
      <c r="DE119" s="178" t="str">
        <f t="shared" ref="DE119:DE121" si="245">DC119</f>
        <v>A</v>
      </c>
    </row>
    <row r="120" spans="1:109" s="174" customFormat="1" ht="18" customHeight="1" thickBot="1">
      <c r="A120" s="173"/>
      <c r="B120" s="170"/>
      <c r="C120" s="139"/>
      <c r="D120" s="139"/>
      <c r="E120" s="139"/>
      <c r="F120" s="304" t="s">
        <v>142</v>
      </c>
      <c r="G120" s="305"/>
      <c r="H120" s="305"/>
      <c r="I120" s="305"/>
      <c r="J120" s="305"/>
      <c r="K120" s="306"/>
      <c r="L120" s="297">
        <f>10*50%</f>
        <v>5</v>
      </c>
      <c r="M120" s="298"/>
      <c r="N120" s="298"/>
      <c r="O120" s="298"/>
      <c r="P120" s="299" t="s">
        <v>149</v>
      </c>
      <c r="Q120" s="299"/>
      <c r="R120" s="300"/>
      <c r="S120" s="301" t="s">
        <v>56</v>
      </c>
      <c r="T120" s="301"/>
      <c r="U120" s="301"/>
      <c r="V120" s="301"/>
      <c r="W120" s="301"/>
      <c r="X120" s="291"/>
      <c r="Y120" s="291"/>
      <c r="Z120" s="291"/>
      <c r="AA120" s="291"/>
      <c r="AB120" s="291"/>
      <c r="AC120" s="291"/>
      <c r="AD120" s="291"/>
      <c r="AE120" s="291"/>
      <c r="AF120" s="291"/>
      <c r="AG120" s="291"/>
      <c r="AH120" s="291"/>
      <c r="AI120" s="291"/>
      <c r="AJ120" s="291"/>
      <c r="AK120" s="291"/>
      <c r="AL120" s="291"/>
      <c r="AM120" s="303" t="e">
        <f t="shared" si="241"/>
        <v>#DIV/0!</v>
      </c>
      <c r="AN120" s="303"/>
      <c r="AO120" s="303"/>
      <c r="AP120" s="303"/>
      <c r="AQ120" s="303"/>
      <c r="AR120" s="303" t="e">
        <f t="shared" si="242"/>
        <v>#DIV/0!</v>
      </c>
      <c r="AS120" s="303"/>
      <c r="AT120" s="303"/>
      <c r="AU120" s="303"/>
      <c r="AV120" s="303"/>
      <c r="AW120" s="139"/>
      <c r="AX120" s="139"/>
      <c r="AY120" s="139"/>
      <c r="AZ120" s="172"/>
      <c r="BA120" s="173"/>
      <c r="BB120" s="303" t="e">
        <f>(AM120*0.2%)+(2*CK120)</f>
        <v>#DIV/0!</v>
      </c>
      <c r="BC120" s="303"/>
      <c r="BD120" s="303"/>
      <c r="BE120" s="303"/>
      <c r="BF120" s="303"/>
      <c r="BG120" s="291" t="e">
        <f t="shared" si="189"/>
        <v>#DIV/0!</v>
      </c>
      <c r="BH120" s="291"/>
      <c r="BI120" s="291"/>
      <c r="BJ120" s="291"/>
      <c r="BK120" s="291"/>
      <c r="BL120" s="291" t="e">
        <f t="shared" si="190"/>
        <v>#DIV/0!</v>
      </c>
      <c r="BM120" s="291"/>
      <c r="BN120" s="291"/>
      <c r="BO120" s="291"/>
      <c r="BP120" s="291"/>
      <c r="BQ120" s="292" t="e">
        <f t="shared" si="191"/>
        <v>#DIV/0!</v>
      </c>
      <c r="BR120" s="292"/>
      <c r="BS120" s="292"/>
      <c r="BT120" s="292"/>
      <c r="BU120" s="292"/>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t="e">
        <f t="shared" si="200"/>
        <v>#DIV/0!</v>
      </c>
      <c r="CR120" s="74" t="str">
        <f t="shared" si="201"/>
        <v>A</v>
      </c>
      <c r="CS120" s="82">
        <f t="shared" si="236"/>
        <v>1.7320508075688772</v>
      </c>
      <c r="CT120" s="87" t="e">
        <f t="shared" ref="CT120" si="249">CQ120/CS120</f>
        <v>#DIV/0!</v>
      </c>
      <c r="CU120" s="8"/>
      <c r="CV120" s="96" t="e">
        <f t="shared" ref="CV120" si="250">SQRT(SUMSQ(CT120,CN120,CH120,CB120))</f>
        <v>#DIV/0!</v>
      </c>
      <c r="CW120" s="89" t="e">
        <f t="shared" ref="CW120" si="251">(CV120^4)/(((CT120^4)/2)+((CN120^4)/200)+((CH120^4)/200)+((CB120^4)/200))</f>
        <v>#DIV/0!</v>
      </c>
      <c r="CX120" s="97" t="e">
        <f t="shared" si="240"/>
        <v>#DIV/0!</v>
      </c>
      <c r="CY120" s="107" t="e">
        <f t="shared" si="243"/>
        <v>#DIV/0!</v>
      </c>
      <c r="CZ120" s="108" t="str">
        <f t="shared" si="207"/>
        <v>A</v>
      </c>
      <c r="DA120" s="8"/>
      <c r="DB120" s="177">
        <v>1.6000000000000001E-3</v>
      </c>
      <c r="DC120" s="178" t="str">
        <f t="shared" ref="DC120" si="252">CZ120</f>
        <v>A</v>
      </c>
      <c r="DD120" s="220" t="e">
        <f t="shared" si="208"/>
        <v>#DIV/0!</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149</v>
      </c>
      <c r="Q121" s="299"/>
      <c r="R121" s="300"/>
      <c r="S121" s="301" t="s">
        <v>56</v>
      </c>
      <c r="T121" s="301"/>
      <c r="U121" s="301"/>
      <c r="V121" s="301"/>
      <c r="W121" s="301"/>
      <c r="X121" s="291"/>
      <c r="Y121" s="291"/>
      <c r="Z121" s="291"/>
      <c r="AA121" s="291"/>
      <c r="AB121" s="291"/>
      <c r="AC121" s="291"/>
      <c r="AD121" s="291"/>
      <c r="AE121" s="291"/>
      <c r="AF121" s="291"/>
      <c r="AG121" s="291"/>
      <c r="AH121" s="291"/>
      <c r="AI121" s="291"/>
      <c r="AJ121" s="291"/>
      <c r="AK121" s="291"/>
      <c r="AL121" s="291"/>
      <c r="AM121" s="303" t="e">
        <f t="shared" ref="AM121" si="254">AVERAGE(X121:AL121)</f>
        <v>#DIV/0!</v>
      </c>
      <c r="AN121" s="303"/>
      <c r="AO121" s="303"/>
      <c r="AP121" s="303"/>
      <c r="AQ121" s="303"/>
      <c r="AR121" s="303" t="e">
        <f t="shared" ref="AR121" si="255">AM121-L121</f>
        <v>#DIV/0!</v>
      </c>
      <c r="AS121" s="303"/>
      <c r="AT121" s="303"/>
      <c r="AU121" s="303"/>
      <c r="AV121" s="303"/>
      <c r="AW121" s="139"/>
      <c r="AX121" s="139"/>
      <c r="AY121" s="139"/>
      <c r="AZ121" s="172"/>
      <c r="BA121" s="173"/>
      <c r="BB121" s="303" t="e">
        <f>(AM121*0.2%)+(2*CK121)</f>
        <v>#DIV/0!</v>
      </c>
      <c r="BC121" s="303"/>
      <c r="BD121" s="303"/>
      <c r="BE121" s="303"/>
      <c r="BF121" s="303"/>
      <c r="BG121" s="291" t="e">
        <f t="shared" si="189"/>
        <v>#DIV/0!</v>
      </c>
      <c r="BH121" s="291"/>
      <c r="BI121" s="291"/>
      <c r="BJ121" s="291"/>
      <c r="BK121" s="291"/>
      <c r="BL121" s="291" t="e">
        <f t="shared" si="190"/>
        <v>#DIV/0!</v>
      </c>
      <c r="BM121" s="291"/>
      <c r="BN121" s="291"/>
      <c r="BO121" s="291"/>
      <c r="BP121" s="291"/>
      <c r="BQ121" s="292" t="e">
        <f t="shared" si="191"/>
        <v>#DIV/0!</v>
      </c>
      <c r="BR121" s="292"/>
      <c r="BS121" s="292"/>
      <c r="BT121" s="292"/>
      <c r="BU121" s="292"/>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t="e">
        <f t="shared" si="200"/>
        <v>#DIV/0!</v>
      </c>
      <c r="CR121" s="74" t="str">
        <f t="shared" si="201"/>
        <v>A</v>
      </c>
      <c r="CS121" s="82">
        <f t="shared" si="236"/>
        <v>1.7320508075688772</v>
      </c>
      <c r="CT121" s="87" t="e">
        <f t="shared" si="237"/>
        <v>#DIV/0!</v>
      </c>
      <c r="CU121" s="8"/>
      <c r="CV121" s="96" t="e">
        <f t="shared" si="238"/>
        <v>#DIV/0!</v>
      </c>
      <c r="CW121" s="89" t="e">
        <f t="shared" si="239"/>
        <v>#DIV/0!</v>
      </c>
      <c r="CX121" s="97" t="e">
        <f t="shared" ref="CX121" si="257">ROUND(TINV(0.05,CW121),0)</f>
        <v>#DIV/0!</v>
      </c>
      <c r="CY121" s="107" t="e">
        <f t="shared" ref="CY121" si="258">(CV121*CX121)</f>
        <v>#DIV/0!</v>
      </c>
      <c r="CZ121" s="108" t="str">
        <f t="shared" si="207"/>
        <v>A</v>
      </c>
      <c r="DA121" s="8"/>
      <c r="DB121" s="177">
        <v>1.6000000000000001E-3</v>
      </c>
      <c r="DC121" s="178" t="str">
        <f t="shared" si="244"/>
        <v>A</v>
      </c>
      <c r="DD121" s="220" t="e">
        <f t="shared" si="208"/>
        <v>#DIV/0!</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124</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129</v>
      </c>
      <c r="CK123" s="364"/>
      <c r="CL123" s="364"/>
      <c r="CM123" s="364"/>
      <c r="CN123" s="365"/>
      <c r="CO123" s="2"/>
      <c r="CP123" s="363" t="s">
        <v>129</v>
      </c>
      <c r="CQ123" s="364"/>
      <c r="CR123" s="364"/>
      <c r="CS123" s="364"/>
      <c r="CT123" s="365"/>
      <c r="CV123" s="363" t="s">
        <v>71</v>
      </c>
      <c r="CW123" s="364"/>
      <c r="CX123" s="364"/>
      <c r="CY123" s="364"/>
      <c r="CZ123" s="365"/>
      <c r="DB123" s="351" t="s">
        <v>116</v>
      </c>
      <c r="DC123" s="352"/>
      <c r="DD123" s="354" t="s">
        <v>117</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146</v>
      </c>
      <c r="G126" s="294"/>
      <c r="H126" s="294"/>
      <c r="I126" s="294"/>
      <c r="J126" s="294"/>
      <c r="K126" s="295"/>
      <c r="L126" s="297">
        <f>600*90%</f>
        <v>540</v>
      </c>
      <c r="M126" s="298"/>
      <c r="N126" s="298"/>
      <c r="O126" s="298"/>
      <c r="P126" s="299" t="s">
        <v>148</v>
      </c>
      <c r="Q126" s="299"/>
      <c r="R126" s="300"/>
      <c r="S126" s="301" t="s">
        <v>96</v>
      </c>
      <c r="T126" s="301"/>
      <c r="U126" s="301"/>
      <c r="V126" s="301"/>
      <c r="W126" s="301"/>
      <c r="X126" s="291"/>
      <c r="Y126" s="291"/>
      <c r="Z126" s="291"/>
      <c r="AA126" s="291"/>
      <c r="AB126" s="291"/>
      <c r="AC126" s="291"/>
      <c r="AD126" s="291"/>
      <c r="AE126" s="291"/>
      <c r="AF126" s="291"/>
      <c r="AG126" s="291"/>
      <c r="AH126" s="291"/>
      <c r="AI126" s="291"/>
      <c r="AJ126" s="291"/>
      <c r="AK126" s="291"/>
      <c r="AL126" s="291"/>
      <c r="AM126" s="291" t="e">
        <f>AVERAGE(X126:AL126)</f>
        <v>#DIV/0!</v>
      </c>
      <c r="AN126" s="291"/>
      <c r="AO126" s="291"/>
      <c r="AP126" s="291"/>
      <c r="AQ126" s="291"/>
      <c r="AR126" s="291" t="e">
        <f>AM126-L126</f>
        <v>#DIV/0!</v>
      </c>
      <c r="AS126" s="291"/>
      <c r="AT126" s="291"/>
      <c r="AU126" s="291"/>
      <c r="AV126" s="291"/>
      <c r="AW126" s="139"/>
      <c r="AX126" s="139"/>
      <c r="AY126" s="139"/>
      <c r="AZ126" s="172"/>
      <c r="BA126" s="173"/>
      <c r="BB126" s="303" t="e">
        <f>(AM126*1%)+(2*CK126)</f>
        <v>#DIV/0!</v>
      </c>
      <c r="BC126" s="303"/>
      <c r="BD126" s="303"/>
      <c r="BE126" s="303"/>
      <c r="BF126" s="303"/>
      <c r="BG126" s="303" t="e">
        <f t="shared" ref="BG126:BG137" si="259">L126+BB126</f>
        <v>#DIV/0!</v>
      </c>
      <c r="BH126" s="303"/>
      <c r="BI126" s="303"/>
      <c r="BJ126" s="303"/>
      <c r="BK126" s="303"/>
      <c r="BL126" s="303" t="e">
        <f t="shared" ref="BL126:BL137" si="260">L126-BB126</f>
        <v>#DIV/0!</v>
      </c>
      <c r="BM126" s="303"/>
      <c r="BN126" s="303"/>
      <c r="BO126" s="303"/>
      <c r="BP126" s="303"/>
      <c r="BQ126" s="292" t="e">
        <f t="shared" ref="BQ126:BQ137" si="261">IF(AND(AM126&lt;=BG126,AM126&gt;=BL126),"PASS","FAIL")</f>
        <v>#DIV/0!</v>
      </c>
      <c r="BR126" s="292"/>
      <c r="BS126" s="292"/>
      <c r="BT126" s="292"/>
      <c r="BU126" s="292"/>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t="e">
        <f t="shared" ref="CQ126:CQ137" si="269">STDEV(X126:AL126)</f>
        <v>#DIV/0!</v>
      </c>
      <c r="CR126" s="71" t="str">
        <f t="shared" ref="CR126:CR137" si="270">P126</f>
        <v>µA</v>
      </c>
      <c r="CS126" s="80">
        <f t="shared" ref="CS126:CS129" si="271">SQRT(3)</f>
        <v>1.7320508075688772</v>
      </c>
      <c r="CT126" s="85" t="e">
        <f t="shared" ref="CT126:CT129" si="272">CQ126/CS126</f>
        <v>#DIV/0!</v>
      </c>
      <c r="CU126" s="8"/>
      <c r="CV126" s="98" t="e">
        <f t="shared" ref="CV126:CV129" si="273">SQRT(SUMSQ(CT126,CN126,CH126,CB126))</f>
        <v>#DIV/0!</v>
      </c>
      <c r="CW126" s="99" t="e">
        <f t="shared" ref="CW126:CW129" si="274">(CV126^4)/(((CT126^4)/2)+((CN126^4)/200)+((CH126^4)/200)+((CB126^4)/200))</f>
        <v>#DIV/0!</v>
      </c>
      <c r="CX126" s="100" t="e">
        <f t="shared" ref="CX126:CX129" si="275">ROUND(TINV(0.05,CW126),0)</f>
        <v>#DIV/0!</v>
      </c>
      <c r="CY126" s="103" t="e">
        <f>(CV126*CX126)</f>
        <v>#DIV/0!</v>
      </c>
      <c r="CZ126" s="104" t="str">
        <f>P126</f>
        <v>µA</v>
      </c>
      <c r="DA126" s="8"/>
      <c r="DB126" s="177">
        <v>3.6999999999999999E-4</v>
      </c>
      <c r="DC126" s="178" t="str">
        <f>CZ126</f>
        <v>µA</v>
      </c>
      <c r="DD126" s="220" t="e">
        <f t="shared" ref="DD126:DD137" si="276">MAX(DB126,CY126)</f>
        <v>#DIV/0!</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148</v>
      </c>
      <c r="Q127" s="299"/>
      <c r="R127" s="300"/>
      <c r="S127" s="301" t="s">
        <v>143</v>
      </c>
      <c r="T127" s="301"/>
      <c r="U127" s="301"/>
      <c r="V127" s="301"/>
      <c r="W127" s="301"/>
      <c r="X127" s="291"/>
      <c r="Y127" s="291"/>
      <c r="Z127" s="291"/>
      <c r="AA127" s="291"/>
      <c r="AB127" s="291"/>
      <c r="AC127" s="291"/>
      <c r="AD127" s="291"/>
      <c r="AE127" s="291"/>
      <c r="AF127" s="291"/>
      <c r="AG127" s="291"/>
      <c r="AH127" s="291"/>
      <c r="AI127" s="291"/>
      <c r="AJ127" s="291"/>
      <c r="AK127" s="291"/>
      <c r="AL127" s="291"/>
      <c r="AM127" s="291" t="e">
        <f t="shared" ref="AM127:AM129" si="277">AVERAGE(X127:AL127)</f>
        <v>#DIV/0!</v>
      </c>
      <c r="AN127" s="291"/>
      <c r="AO127" s="291"/>
      <c r="AP127" s="291"/>
      <c r="AQ127" s="291"/>
      <c r="AR127" s="291" t="e">
        <f t="shared" ref="AR127:AR129" si="278">AM127-L127</f>
        <v>#DIV/0!</v>
      </c>
      <c r="AS127" s="291"/>
      <c r="AT127" s="291"/>
      <c r="AU127" s="291"/>
      <c r="AV127" s="291"/>
      <c r="AW127" s="139"/>
      <c r="AX127" s="139"/>
      <c r="AY127" s="139"/>
      <c r="AZ127" s="172"/>
      <c r="BA127" s="173"/>
      <c r="BB127" s="303" t="e">
        <f>(AM127*1%)+(2*CK127)</f>
        <v>#DIV/0!</v>
      </c>
      <c r="BC127" s="303"/>
      <c r="BD127" s="303"/>
      <c r="BE127" s="303"/>
      <c r="BF127" s="303"/>
      <c r="BG127" s="291" t="e">
        <f t="shared" si="259"/>
        <v>#DIV/0!</v>
      </c>
      <c r="BH127" s="291"/>
      <c r="BI127" s="291"/>
      <c r="BJ127" s="291"/>
      <c r="BK127" s="291"/>
      <c r="BL127" s="291" t="e">
        <f t="shared" si="260"/>
        <v>#DIV/0!</v>
      </c>
      <c r="BM127" s="291"/>
      <c r="BN127" s="291"/>
      <c r="BO127" s="291"/>
      <c r="BP127" s="291"/>
      <c r="BQ127" s="292" t="e">
        <f t="shared" si="261"/>
        <v>#DIV/0!</v>
      </c>
      <c r="BR127" s="292"/>
      <c r="BS127" s="292"/>
      <c r="BT127" s="292"/>
      <c r="BU127" s="292"/>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t="e">
        <f t="shared" si="269"/>
        <v>#DIV/0!</v>
      </c>
      <c r="CR127" s="1" t="str">
        <f t="shared" si="270"/>
        <v>µA</v>
      </c>
      <c r="CS127" s="81">
        <f t="shared" si="271"/>
        <v>1.7320508075688772</v>
      </c>
      <c r="CT127" s="86" t="e">
        <f t="shared" si="272"/>
        <v>#DIV/0!</v>
      </c>
      <c r="CU127" s="8"/>
      <c r="CV127" s="94" t="e">
        <f t="shared" si="273"/>
        <v>#DIV/0!</v>
      </c>
      <c r="CW127" s="5" t="e">
        <f t="shared" si="274"/>
        <v>#DIV/0!</v>
      </c>
      <c r="CX127" s="95" t="e">
        <f t="shared" si="275"/>
        <v>#DIV/0!</v>
      </c>
      <c r="CY127" s="105" t="e">
        <f t="shared" ref="CY127:CY128" si="279">(CV127*CX127)</f>
        <v>#DIV/0!</v>
      </c>
      <c r="CZ127" s="106" t="str">
        <f>P127</f>
        <v>µA</v>
      </c>
      <c r="DA127" s="8"/>
      <c r="DB127" s="177">
        <v>3.6999999999999999E-4</v>
      </c>
      <c r="DC127" s="178" t="str">
        <f t="shared" ref="DC127:DC129" si="280">CZ127</f>
        <v>µA</v>
      </c>
      <c r="DD127" s="220" t="e">
        <f t="shared" si="276"/>
        <v>#DIV/0!</v>
      </c>
      <c r="DE127" s="178" t="str">
        <f t="shared" ref="DE127:DE129" si="281">DC127</f>
        <v>µA</v>
      </c>
    </row>
    <row r="128" spans="1:109" s="174" customFormat="1" ht="18" customHeight="1">
      <c r="A128" s="173"/>
      <c r="B128" s="170"/>
      <c r="C128" s="139"/>
      <c r="D128" s="139"/>
      <c r="E128" s="139"/>
      <c r="F128" s="293" t="s">
        <v>159</v>
      </c>
      <c r="G128" s="294"/>
      <c r="H128" s="294"/>
      <c r="I128" s="294"/>
      <c r="J128" s="294"/>
      <c r="K128" s="295"/>
      <c r="L128" s="297">
        <f>6000*90%</f>
        <v>5400</v>
      </c>
      <c r="M128" s="298"/>
      <c r="N128" s="298"/>
      <c r="O128" s="298"/>
      <c r="P128" s="299" t="s">
        <v>148</v>
      </c>
      <c r="Q128" s="299"/>
      <c r="R128" s="300"/>
      <c r="S128" s="301" t="s">
        <v>96</v>
      </c>
      <c r="T128" s="301"/>
      <c r="U128" s="301"/>
      <c r="V128" s="301"/>
      <c r="W128" s="301"/>
      <c r="X128" s="291"/>
      <c r="Y128" s="291"/>
      <c r="Z128" s="291"/>
      <c r="AA128" s="291"/>
      <c r="AB128" s="291"/>
      <c r="AC128" s="291"/>
      <c r="AD128" s="291"/>
      <c r="AE128" s="291"/>
      <c r="AF128" s="291"/>
      <c r="AG128" s="291"/>
      <c r="AH128" s="291"/>
      <c r="AI128" s="291"/>
      <c r="AJ128" s="291"/>
      <c r="AK128" s="291"/>
      <c r="AL128" s="291"/>
      <c r="AM128" s="302" t="e">
        <f t="shared" si="277"/>
        <v>#DIV/0!</v>
      </c>
      <c r="AN128" s="302"/>
      <c r="AO128" s="302"/>
      <c r="AP128" s="302"/>
      <c r="AQ128" s="302"/>
      <c r="AR128" s="302" t="e">
        <f t="shared" si="278"/>
        <v>#DIV/0!</v>
      </c>
      <c r="AS128" s="302"/>
      <c r="AT128" s="302"/>
      <c r="AU128" s="302"/>
      <c r="AV128" s="302"/>
      <c r="AW128" s="139"/>
      <c r="AX128" s="139"/>
      <c r="AY128" s="139"/>
      <c r="AZ128" s="172"/>
      <c r="BA128" s="173"/>
      <c r="BB128" s="303" t="e">
        <f t="shared" ref="BB128:BB129" si="282">(AM128*1%)+(2*CK128)</f>
        <v>#DIV/0!</v>
      </c>
      <c r="BC128" s="303"/>
      <c r="BD128" s="303"/>
      <c r="BE128" s="303"/>
      <c r="BF128" s="303"/>
      <c r="BG128" s="291" t="e">
        <f t="shared" si="259"/>
        <v>#DIV/0!</v>
      </c>
      <c r="BH128" s="291"/>
      <c r="BI128" s="291"/>
      <c r="BJ128" s="291"/>
      <c r="BK128" s="291"/>
      <c r="BL128" s="291" t="e">
        <f t="shared" si="260"/>
        <v>#DIV/0!</v>
      </c>
      <c r="BM128" s="291"/>
      <c r="BN128" s="291"/>
      <c r="BO128" s="291"/>
      <c r="BP128" s="291"/>
      <c r="BQ128" s="292" t="e">
        <f t="shared" si="261"/>
        <v>#DIV/0!</v>
      </c>
      <c r="BR128" s="292"/>
      <c r="BS128" s="292"/>
      <c r="BT128" s="292"/>
      <c r="BU128" s="292"/>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t="e">
        <f t="shared" si="269"/>
        <v>#DIV/0!</v>
      </c>
      <c r="CR128" s="1" t="str">
        <f t="shared" si="270"/>
        <v>µA</v>
      </c>
      <c r="CS128" s="81">
        <f t="shared" si="271"/>
        <v>1.7320508075688772</v>
      </c>
      <c r="CT128" s="86" t="e">
        <f t="shared" si="272"/>
        <v>#DIV/0!</v>
      </c>
      <c r="CU128" s="8"/>
      <c r="CV128" s="94" t="e">
        <f t="shared" si="273"/>
        <v>#DIV/0!</v>
      </c>
      <c r="CW128" s="5" t="e">
        <f t="shared" si="274"/>
        <v>#DIV/0!</v>
      </c>
      <c r="CX128" s="95" t="e">
        <f t="shared" si="275"/>
        <v>#DIV/0!</v>
      </c>
      <c r="CY128" s="105" t="e">
        <f t="shared" si="279"/>
        <v>#DIV/0!</v>
      </c>
      <c r="CZ128" s="106" t="str">
        <f t="shared" ref="CZ128:CZ129" si="283">P128</f>
        <v>µA</v>
      </c>
      <c r="DA128" s="8"/>
      <c r="DB128" s="177">
        <v>2.6</v>
      </c>
      <c r="DC128" s="178" t="str">
        <f t="shared" si="280"/>
        <v>µA</v>
      </c>
      <c r="DD128" s="220" t="e">
        <f t="shared" si="276"/>
        <v>#DIV/0!</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148</v>
      </c>
      <c r="Q129" s="299"/>
      <c r="R129" s="300"/>
      <c r="S129" s="301" t="s">
        <v>143</v>
      </c>
      <c r="T129" s="301"/>
      <c r="U129" s="301"/>
      <c r="V129" s="301"/>
      <c r="W129" s="301"/>
      <c r="X129" s="291"/>
      <c r="Y129" s="291"/>
      <c r="Z129" s="291"/>
      <c r="AA129" s="291"/>
      <c r="AB129" s="291"/>
      <c r="AC129" s="291"/>
      <c r="AD129" s="291"/>
      <c r="AE129" s="291"/>
      <c r="AF129" s="291"/>
      <c r="AG129" s="291"/>
      <c r="AH129" s="291"/>
      <c r="AI129" s="291"/>
      <c r="AJ129" s="291"/>
      <c r="AK129" s="291"/>
      <c r="AL129" s="291"/>
      <c r="AM129" s="302" t="e">
        <f t="shared" si="277"/>
        <v>#DIV/0!</v>
      </c>
      <c r="AN129" s="302"/>
      <c r="AO129" s="302"/>
      <c r="AP129" s="302"/>
      <c r="AQ129" s="302"/>
      <c r="AR129" s="302" t="e">
        <f t="shared" si="278"/>
        <v>#DIV/0!</v>
      </c>
      <c r="AS129" s="302"/>
      <c r="AT129" s="302"/>
      <c r="AU129" s="302"/>
      <c r="AV129" s="302"/>
      <c r="AW129" s="139"/>
      <c r="AX129" s="139"/>
      <c r="AY129" s="139"/>
      <c r="AZ129" s="172"/>
      <c r="BA129" s="173"/>
      <c r="BB129" s="303" t="e">
        <f t="shared" si="282"/>
        <v>#DIV/0!</v>
      </c>
      <c r="BC129" s="303"/>
      <c r="BD129" s="303"/>
      <c r="BE129" s="303"/>
      <c r="BF129" s="303"/>
      <c r="BG129" s="291" t="e">
        <f t="shared" si="259"/>
        <v>#DIV/0!</v>
      </c>
      <c r="BH129" s="291"/>
      <c r="BI129" s="291"/>
      <c r="BJ129" s="291"/>
      <c r="BK129" s="291"/>
      <c r="BL129" s="291" t="e">
        <f t="shared" si="260"/>
        <v>#DIV/0!</v>
      </c>
      <c r="BM129" s="291"/>
      <c r="BN129" s="291"/>
      <c r="BO129" s="291"/>
      <c r="BP129" s="291"/>
      <c r="BQ129" s="292" t="e">
        <f t="shared" si="261"/>
        <v>#DIV/0!</v>
      </c>
      <c r="BR129" s="292"/>
      <c r="BS129" s="292"/>
      <c r="BT129" s="292"/>
      <c r="BU129" s="292"/>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t="e">
        <f t="shared" si="269"/>
        <v>#DIV/0!</v>
      </c>
      <c r="CR129" s="74" t="str">
        <f t="shared" si="270"/>
        <v>µA</v>
      </c>
      <c r="CS129" s="82">
        <f t="shared" si="271"/>
        <v>1.7320508075688772</v>
      </c>
      <c r="CT129" s="87" t="e">
        <f t="shared" si="272"/>
        <v>#DIV/0!</v>
      </c>
      <c r="CU129" s="8"/>
      <c r="CV129" s="96" t="e">
        <f t="shared" si="273"/>
        <v>#DIV/0!</v>
      </c>
      <c r="CW129" s="89" t="e">
        <f t="shared" si="274"/>
        <v>#DIV/0!</v>
      </c>
      <c r="CX129" s="97" t="e">
        <f t="shared" si="275"/>
        <v>#DIV/0!</v>
      </c>
      <c r="CY129" s="107" t="e">
        <f>(CV129*CX129)</f>
        <v>#DIV/0!</v>
      </c>
      <c r="CZ129" s="108" t="str">
        <f t="shared" si="283"/>
        <v>µA</v>
      </c>
      <c r="DA129" s="8"/>
      <c r="DB129" s="177">
        <v>2.6</v>
      </c>
      <c r="DC129" s="178" t="str">
        <f t="shared" si="280"/>
        <v>µA</v>
      </c>
      <c r="DD129" s="220" t="e">
        <f t="shared" si="276"/>
        <v>#DIV/0!</v>
      </c>
      <c r="DE129" s="178" t="str">
        <f t="shared" si="281"/>
        <v>µA</v>
      </c>
    </row>
    <row r="130" spans="1:109" s="174" customFormat="1" ht="18" customHeight="1">
      <c r="A130" s="173"/>
      <c r="B130" s="170"/>
      <c r="C130" s="139"/>
      <c r="D130" s="139"/>
      <c r="E130" s="139"/>
      <c r="F130" s="293" t="s">
        <v>147</v>
      </c>
      <c r="G130" s="294"/>
      <c r="H130" s="294"/>
      <c r="I130" s="294"/>
      <c r="J130" s="294"/>
      <c r="K130" s="295"/>
      <c r="L130" s="297">
        <f>60*90%</f>
        <v>54</v>
      </c>
      <c r="M130" s="298"/>
      <c r="N130" s="298"/>
      <c r="O130" s="298"/>
      <c r="P130" s="299" t="s">
        <v>102</v>
      </c>
      <c r="Q130" s="299"/>
      <c r="R130" s="300"/>
      <c r="S130" s="301" t="s">
        <v>96</v>
      </c>
      <c r="T130" s="301"/>
      <c r="U130" s="301"/>
      <c r="V130" s="301"/>
      <c r="W130" s="301"/>
      <c r="X130" s="291"/>
      <c r="Y130" s="291"/>
      <c r="Z130" s="291"/>
      <c r="AA130" s="291"/>
      <c r="AB130" s="291"/>
      <c r="AC130" s="291"/>
      <c r="AD130" s="291"/>
      <c r="AE130" s="291"/>
      <c r="AF130" s="291"/>
      <c r="AG130" s="291"/>
      <c r="AH130" s="291"/>
      <c r="AI130" s="291"/>
      <c r="AJ130" s="291"/>
      <c r="AK130" s="291"/>
      <c r="AL130" s="291"/>
      <c r="AM130" s="303" t="e">
        <f>AVERAGE(X130:AL130)</f>
        <v>#DIV/0!</v>
      </c>
      <c r="AN130" s="303"/>
      <c r="AO130" s="303"/>
      <c r="AP130" s="303"/>
      <c r="AQ130" s="303"/>
      <c r="AR130" s="303" t="e">
        <f>AM130-L130</f>
        <v>#DIV/0!</v>
      </c>
      <c r="AS130" s="303"/>
      <c r="AT130" s="303"/>
      <c r="AU130" s="303"/>
      <c r="AV130" s="303"/>
      <c r="AW130" s="139"/>
      <c r="AX130" s="139"/>
      <c r="AY130" s="139"/>
      <c r="AZ130" s="172"/>
      <c r="BA130" s="173"/>
      <c r="BB130" s="303" t="e">
        <f t="shared" ref="BB130:BB137" si="285">(AM130*1%)+(2*CK130)</f>
        <v>#DIV/0!</v>
      </c>
      <c r="BC130" s="303"/>
      <c r="BD130" s="303"/>
      <c r="BE130" s="303"/>
      <c r="BF130" s="303"/>
      <c r="BG130" s="303" t="e">
        <f t="shared" si="259"/>
        <v>#DIV/0!</v>
      </c>
      <c r="BH130" s="303"/>
      <c r="BI130" s="303"/>
      <c r="BJ130" s="303"/>
      <c r="BK130" s="303"/>
      <c r="BL130" s="303" t="e">
        <f t="shared" si="260"/>
        <v>#DIV/0!</v>
      </c>
      <c r="BM130" s="303"/>
      <c r="BN130" s="303"/>
      <c r="BO130" s="303"/>
      <c r="BP130" s="303"/>
      <c r="BQ130" s="292" t="e">
        <f t="shared" si="261"/>
        <v>#DIV/0!</v>
      </c>
      <c r="BR130" s="292"/>
      <c r="BS130" s="292"/>
      <c r="BT130" s="292"/>
      <c r="BU130" s="292"/>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t="e">
        <f t="shared" si="269"/>
        <v>#DIV/0!</v>
      </c>
      <c r="CR130" s="71" t="str">
        <f t="shared" si="270"/>
        <v>mA</v>
      </c>
      <c r="CS130" s="80">
        <f t="shared" ref="CS130:CS133" si="292">SQRT(3)</f>
        <v>1.7320508075688772</v>
      </c>
      <c r="CT130" s="85" t="e">
        <f t="shared" ref="CT130:CT133" si="293">CQ130/CS130</f>
        <v>#DIV/0!</v>
      </c>
      <c r="CU130" s="8"/>
      <c r="CV130" s="98" t="e">
        <f t="shared" ref="CV130:CV133" si="294">SQRT(SUMSQ(CT130,CN130,CH130,CB130))</f>
        <v>#DIV/0!</v>
      </c>
      <c r="CW130" s="99" t="e">
        <f t="shared" ref="CW130:CW133" si="295">(CV130^4)/(((CT130^4)/2)+((CN130^4)/200)+((CH130^4)/200)+((CB130^4)/200))</f>
        <v>#DIV/0!</v>
      </c>
      <c r="CX130" s="100" t="e">
        <f t="shared" ref="CX130:CX133" si="296">ROUND(TINV(0.05,CW130),0)</f>
        <v>#DIV/0!</v>
      </c>
      <c r="CY130" s="103" t="e">
        <f>(CV130*CX130)</f>
        <v>#DIV/0!</v>
      </c>
      <c r="CZ130" s="104" t="str">
        <f>P130</f>
        <v>mA</v>
      </c>
      <c r="DA130" s="8"/>
      <c r="DB130" s="177">
        <v>2.5999999999999999E-2</v>
      </c>
      <c r="DC130" s="178" t="str">
        <f>CZ130</f>
        <v>mA</v>
      </c>
      <c r="DD130" s="220" t="e">
        <f t="shared" si="276"/>
        <v>#DIV/0!</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143</v>
      </c>
      <c r="T131" s="301"/>
      <c r="U131" s="301"/>
      <c r="V131" s="301"/>
      <c r="W131" s="301"/>
      <c r="X131" s="291"/>
      <c r="Y131" s="291"/>
      <c r="Z131" s="291"/>
      <c r="AA131" s="291"/>
      <c r="AB131" s="291"/>
      <c r="AC131" s="291"/>
      <c r="AD131" s="291"/>
      <c r="AE131" s="291"/>
      <c r="AF131" s="291"/>
      <c r="AG131" s="291"/>
      <c r="AH131" s="291"/>
      <c r="AI131" s="291"/>
      <c r="AJ131" s="291"/>
      <c r="AK131" s="291"/>
      <c r="AL131" s="291"/>
      <c r="AM131" s="303" t="e">
        <f t="shared" ref="AM131:AM133" si="297">AVERAGE(X131:AL131)</f>
        <v>#DIV/0!</v>
      </c>
      <c r="AN131" s="303"/>
      <c r="AO131" s="303"/>
      <c r="AP131" s="303"/>
      <c r="AQ131" s="303"/>
      <c r="AR131" s="303" t="e">
        <f t="shared" ref="AR131:AR133" si="298">AM131-L131</f>
        <v>#DIV/0!</v>
      </c>
      <c r="AS131" s="303"/>
      <c r="AT131" s="303"/>
      <c r="AU131" s="303"/>
      <c r="AV131" s="303"/>
      <c r="AW131" s="139"/>
      <c r="AX131" s="139"/>
      <c r="AY131" s="139"/>
      <c r="AZ131" s="172"/>
      <c r="BA131" s="173"/>
      <c r="BB131" s="303" t="e">
        <f t="shared" si="285"/>
        <v>#DIV/0!</v>
      </c>
      <c r="BC131" s="303"/>
      <c r="BD131" s="303"/>
      <c r="BE131" s="303"/>
      <c r="BF131" s="303"/>
      <c r="BG131" s="291" t="e">
        <f t="shared" si="259"/>
        <v>#DIV/0!</v>
      </c>
      <c r="BH131" s="291"/>
      <c r="BI131" s="291"/>
      <c r="BJ131" s="291"/>
      <c r="BK131" s="291"/>
      <c r="BL131" s="291" t="e">
        <f t="shared" si="260"/>
        <v>#DIV/0!</v>
      </c>
      <c r="BM131" s="291"/>
      <c r="BN131" s="291"/>
      <c r="BO131" s="291"/>
      <c r="BP131" s="291"/>
      <c r="BQ131" s="292" t="e">
        <f t="shared" si="261"/>
        <v>#DIV/0!</v>
      </c>
      <c r="BR131" s="292"/>
      <c r="BS131" s="292"/>
      <c r="BT131" s="292"/>
      <c r="BU131" s="292"/>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t="e">
        <f t="shared" si="269"/>
        <v>#DIV/0!</v>
      </c>
      <c r="CR131" s="1" t="str">
        <f t="shared" si="270"/>
        <v>mA</v>
      </c>
      <c r="CS131" s="81">
        <f t="shared" si="292"/>
        <v>1.7320508075688772</v>
      </c>
      <c r="CT131" s="86" t="e">
        <f t="shared" si="293"/>
        <v>#DIV/0!</v>
      </c>
      <c r="CU131" s="8"/>
      <c r="CV131" s="94" t="e">
        <f t="shared" si="294"/>
        <v>#DIV/0!</v>
      </c>
      <c r="CW131" s="5" t="e">
        <f t="shared" si="295"/>
        <v>#DIV/0!</v>
      </c>
      <c r="CX131" s="95" t="e">
        <f t="shared" si="296"/>
        <v>#DIV/0!</v>
      </c>
      <c r="CY131" s="105" t="e">
        <f t="shared" ref="CY131:CY132" si="299">(CV131*CX131)</f>
        <v>#DIV/0!</v>
      </c>
      <c r="CZ131" s="106" t="str">
        <f>P131</f>
        <v>mA</v>
      </c>
      <c r="DA131" s="8"/>
      <c r="DB131" s="177">
        <v>2.5999999999999999E-2</v>
      </c>
      <c r="DC131" s="178" t="str">
        <f t="shared" ref="DC131:DC133" si="300">CZ131</f>
        <v>mA</v>
      </c>
      <c r="DD131" s="220" t="e">
        <f t="shared" si="276"/>
        <v>#DIV/0!</v>
      </c>
      <c r="DE131" s="178" t="str">
        <f t="shared" ref="DE131:DE133" si="301">DC131</f>
        <v>mA</v>
      </c>
    </row>
    <row r="132" spans="1:109" s="174" customFormat="1" ht="18" customHeight="1">
      <c r="A132" s="173"/>
      <c r="B132" s="170"/>
      <c r="C132" s="139"/>
      <c r="D132" s="139"/>
      <c r="E132" s="139"/>
      <c r="F132" s="304" t="s">
        <v>150</v>
      </c>
      <c r="G132" s="305"/>
      <c r="H132" s="305"/>
      <c r="I132" s="305"/>
      <c r="J132" s="305"/>
      <c r="K132" s="306"/>
      <c r="L132" s="297">
        <f>400*90%</f>
        <v>360</v>
      </c>
      <c r="M132" s="298"/>
      <c r="N132" s="298"/>
      <c r="O132" s="298"/>
      <c r="P132" s="299" t="s">
        <v>102</v>
      </c>
      <c r="Q132" s="299"/>
      <c r="R132" s="300"/>
      <c r="S132" s="301" t="s">
        <v>96</v>
      </c>
      <c r="T132" s="301"/>
      <c r="U132" s="301"/>
      <c r="V132" s="301"/>
      <c r="W132" s="301"/>
      <c r="X132" s="291"/>
      <c r="Y132" s="291"/>
      <c r="Z132" s="291"/>
      <c r="AA132" s="291"/>
      <c r="AB132" s="291"/>
      <c r="AC132" s="291"/>
      <c r="AD132" s="291"/>
      <c r="AE132" s="291"/>
      <c r="AF132" s="291"/>
      <c r="AG132" s="291"/>
      <c r="AH132" s="291"/>
      <c r="AI132" s="291"/>
      <c r="AJ132" s="291"/>
      <c r="AK132" s="291"/>
      <c r="AL132" s="291"/>
      <c r="AM132" s="291" t="e">
        <f t="shared" si="297"/>
        <v>#DIV/0!</v>
      </c>
      <c r="AN132" s="291"/>
      <c r="AO132" s="291"/>
      <c r="AP132" s="291"/>
      <c r="AQ132" s="291"/>
      <c r="AR132" s="291" t="e">
        <f t="shared" si="298"/>
        <v>#DIV/0!</v>
      </c>
      <c r="AS132" s="291"/>
      <c r="AT132" s="291"/>
      <c r="AU132" s="291"/>
      <c r="AV132" s="291"/>
      <c r="AW132" s="139"/>
      <c r="AX132" s="139"/>
      <c r="AY132" s="139"/>
      <c r="AZ132" s="172"/>
      <c r="BA132" s="173"/>
      <c r="BB132" s="303" t="e">
        <f t="shared" si="285"/>
        <v>#DIV/0!</v>
      </c>
      <c r="BC132" s="303"/>
      <c r="BD132" s="303"/>
      <c r="BE132" s="303"/>
      <c r="BF132" s="303"/>
      <c r="BG132" s="291" t="e">
        <f t="shared" si="259"/>
        <v>#DIV/0!</v>
      </c>
      <c r="BH132" s="291"/>
      <c r="BI132" s="291"/>
      <c r="BJ132" s="291"/>
      <c r="BK132" s="291"/>
      <c r="BL132" s="291" t="e">
        <f t="shared" si="260"/>
        <v>#DIV/0!</v>
      </c>
      <c r="BM132" s="291"/>
      <c r="BN132" s="291"/>
      <c r="BO132" s="291"/>
      <c r="BP132" s="291"/>
      <c r="BQ132" s="292" t="e">
        <f t="shared" si="261"/>
        <v>#DIV/0!</v>
      </c>
      <c r="BR132" s="292"/>
      <c r="BS132" s="292"/>
      <c r="BT132" s="292"/>
      <c r="BU132" s="292"/>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t="e">
        <f t="shared" si="269"/>
        <v>#DIV/0!</v>
      </c>
      <c r="CR132" s="1" t="str">
        <f t="shared" si="270"/>
        <v>mA</v>
      </c>
      <c r="CS132" s="81">
        <f t="shared" si="292"/>
        <v>1.7320508075688772</v>
      </c>
      <c r="CT132" s="86" t="e">
        <f t="shared" si="293"/>
        <v>#DIV/0!</v>
      </c>
      <c r="CU132" s="8"/>
      <c r="CV132" s="94" t="e">
        <f t="shared" si="294"/>
        <v>#DIV/0!</v>
      </c>
      <c r="CW132" s="5" t="e">
        <f t="shared" si="295"/>
        <v>#DIV/0!</v>
      </c>
      <c r="CX132" s="95" t="e">
        <f t="shared" si="296"/>
        <v>#DIV/0!</v>
      </c>
      <c r="CY132" s="105" t="e">
        <f t="shared" si="299"/>
        <v>#DIV/0!</v>
      </c>
      <c r="CZ132" s="106" t="str">
        <f t="shared" ref="CZ132:CZ133" si="302">P132</f>
        <v>mA</v>
      </c>
      <c r="DA132" s="8"/>
      <c r="DB132" s="177">
        <v>0.21</v>
      </c>
      <c r="DC132" s="178" t="str">
        <f t="shared" si="300"/>
        <v>mA</v>
      </c>
      <c r="DD132" s="220" t="e">
        <f t="shared" si="276"/>
        <v>#DIV/0!</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143</v>
      </c>
      <c r="T133" s="301"/>
      <c r="U133" s="301"/>
      <c r="V133" s="301"/>
      <c r="W133" s="301"/>
      <c r="X133" s="291"/>
      <c r="Y133" s="291"/>
      <c r="Z133" s="291"/>
      <c r="AA133" s="291"/>
      <c r="AB133" s="291"/>
      <c r="AC133" s="291"/>
      <c r="AD133" s="291"/>
      <c r="AE133" s="291"/>
      <c r="AF133" s="291"/>
      <c r="AG133" s="291"/>
      <c r="AH133" s="291"/>
      <c r="AI133" s="291"/>
      <c r="AJ133" s="291"/>
      <c r="AK133" s="291"/>
      <c r="AL133" s="291"/>
      <c r="AM133" s="291" t="e">
        <f t="shared" si="297"/>
        <v>#DIV/0!</v>
      </c>
      <c r="AN133" s="291"/>
      <c r="AO133" s="291"/>
      <c r="AP133" s="291"/>
      <c r="AQ133" s="291"/>
      <c r="AR133" s="291" t="e">
        <f t="shared" si="298"/>
        <v>#DIV/0!</v>
      </c>
      <c r="AS133" s="291"/>
      <c r="AT133" s="291"/>
      <c r="AU133" s="291"/>
      <c r="AV133" s="291"/>
      <c r="AW133" s="139"/>
      <c r="AX133" s="139"/>
      <c r="AY133" s="139"/>
      <c r="AZ133" s="172"/>
      <c r="BA133" s="173"/>
      <c r="BB133" s="303" t="e">
        <f t="shared" si="285"/>
        <v>#DIV/0!</v>
      </c>
      <c r="BC133" s="303"/>
      <c r="BD133" s="303"/>
      <c r="BE133" s="303"/>
      <c r="BF133" s="303"/>
      <c r="BG133" s="291" t="e">
        <f t="shared" si="259"/>
        <v>#DIV/0!</v>
      </c>
      <c r="BH133" s="291"/>
      <c r="BI133" s="291"/>
      <c r="BJ133" s="291"/>
      <c r="BK133" s="291"/>
      <c r="BL133" s="291" t="e">
        <f t="shared" si="260"/>
        <v>#DIV/0!</v>
      </c>
      <c r="BM133" s="291"/>
      <c r="BN133" s="291"/>
      <c r="BO133" s="291"/>
      <c r="BP133" s="291"/>
      <c r="BQ133" s="292" t="e">
        <f t="shared" si="261"/>
        <v>#DIV/0!</v>
      </c>
      <c r="BR133" s="292"/>
      <c r="BS133" s="292"/>
      <c r="BT133" s="292"/>
      <c r="BU133" s="292"/>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t="e">
        <f t="shared" si="269"/>
        <v>#DIV/0!</v>
      </c>
      <c r="CR133" s="74" t="str">
        <f t="shared" si="270"/>
        <v>mA</v>
      </c>
      <c r="CS133" s="82">
        <f t="shared" si="292"/>
        <v>1.7320508075688772</v>
      </c>
      <c r="CT133" s="87" t="e">
        <f t="shared" si="293"/>
        <v>#DIV/0!</v>
      </c>
      <c r="CU133" s="8"/>
      <c r="CV133" s="96" t="e">
        <f t="shared" si="294"/>
        <v>#DIV/0!</v>
      </c>
      <c r="CW133" s="89" t="e">
        <f t="shared" si="295"/>
        <v>#DIV/0!</v>
      </c>
      <c r="CX133" s="97" t="e">
        <f t="shared" si="296"/>
        <v>#DIV/0!</v>
      </c>
      <c r="CY133" s="107" t="e">
        <f>(CV133*CX133)</f>
        <v>#DIV/0!</v>
      </c>
      <c r="CZ133" s="108" t="str">
        <f t="shared" si="302"/>
        <v>mA</v>
      </c>
      <c r="DA133" s="8"/>
      <c r="DB133" s="177">
        <v>0.21</v>
      </c>
      <c r="DC133" s="178" t="str">
        <f t="shared" si="300"/>
        <v>mA</v>
      </c>
      <c r="DD133" s="220" t="e">
        <f t="shared" si="276"/>
        <v>#DIV/0!</v>
      </c>
      <c r="DE133" s="178" t="str">
        <f t="shared" si="301"/>
        <v>mA</v>
      </c>
    </row>
    <row r="134" spans="1:109" s="174" customFormat="1" ht="18" customHeight="1">
      <c r="A134" s="173"/>
      <c r="B134" s="170"/>
      <c r="C134" s="139"/>
      <c r="D134" s="139"/>
      <c r="E134" s="139"/>
      <c r="F134" s="293" t="s">
        <v>141</v>
      </c>
      <c r="G134" s="294"/>
      <c r="H134" s="294"/>
      <c r="I134" s="294"/>
      <c r="J134" s="294"/>
      <c r="K134" s="295"/>
      <c r="L134" s="297">
        <f>6*90%</f>
        <v>5.4</v>
      </c>
      <c r="M134" s="298"/>
      <c r="N134" s="298"/>
      <c r="O134" s="298"/>
      <c r="P134" s="299" t="s">
        <v>149</v>
      </c>
      <c r="Q134" s="299"/>
      <c r="R134" s="300"/>
      <c r="S134" s="301" t="s">
        <v>96</v>
      </c>
      <c r="T134" s="301"/>
      <c r="U134" s="301"/>
      <c r="V134" s="301"/>
      <c r="W134" s="301"/>
      <c r="X134" s="291"/>
      <c r="Y134" s="291"/>
      <c r="Z134" s="291"/>
      <c r="AA134" s="291"/>
      <c r="AB134" s="291"/>
      <c r="AC134" s="291"/>
      <c r="AD134" s="291"/>
      <c r="AE134" s="291"/>
      <c r="AF134" s="291"/>
      <c r="AG134" s="291"/>
      <c r="AH134" s="291"/>
      <c r="AI134" s="291"/>
      <c r="AJ134" s="291"/>
      <c r="AK134" s="291"/>
      <c r="AL134" s="291"/>
      <c r="AM134" s="320" t="e">
        <f>AVERAGE(X134:AL134)</f>
        <v>#DIV/0!</v>
      </c>
      <c r="AN134" s="320"/>
      <c r="AO134" s="320"/>
      <c r="AP134" s="320"/>
      <c r="AQ134" s="320"/>
      <c r="AR134" s="320" t="e">
        <f>AM134-L134</f>
        <v>#DIV/0!</v>
      </c>
      <c r="AS134" s="320"/>
      <c r="AT134" s="320"/>
      <c r="AU134" s="320"/>
      <c r="AV134" s="320"/>
      <c r="AW134" s="139"/>
      <c r="AX134" s="139"/>
      <c r="AY134" s="139"/>
      <c r="AZ134" s="172"/>
      <c r="BA134" s="173"/>
      <c r="BB134" s="303" t="e">
        <f t="shared" si="285"/>
        <v>#DIV/0!</v>
      </c>
      <c r="BC134" s="303"/>
      <c r="BD134" s="303"/>
      <c r="BE134" s="303"/>
      <c r="BF134" s="303"/>
      <c r="BG134" s="303" t="e">
        <f t="shared" si="259"/>
        <v>#DIV/0!</v>
      </c>
      <c r="BH134" s="303"/>
      <c r="BI134" s="303"/>
      <c r="BJ134" s="303"/>
      <c r="BK134" s="303"/>
      <c r="BL134" s="303" t="e">
        <f t="shared" si="260"/>
        <v>#DIV/0!</v>
      </c>
      <c r="BM134" s="303"/>
      <c r="BN134" s="303"/>
      <c r="BO134" s="303"/>
      <c r="BP134" s="303"/>
      <c r="BQ134" s="292" t="e">
        <f t="shared" si="261"/>
        <v>#DIV/0!</v>
      </c>
      <c r="BR134" s="292"/>
      <c r="BS134" s="292"/>
      <c r="BT134" s="292"/>
      <c r="BU134" s="292"/>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t="e">
        <f t="shared" si="269"/>
        <v>#DIV/0!</v>
      </c>
      <c r="CR134" s="71" t="str">
        <f t="shared" si="270"/>
        <v>A</v>
      </c>
      <c r="CS134" s="80">
        <f t="shared" ref="CS134:CS137" si="310">SQRT(3)</f>
        <v>1.7320508075688772</v>
      </c>
      <c r="CT134" s="85" t="e">
        <f t="shared" ref="CT134:CT137" si="311">CQ134/CS134</f>
        <v>#DIV/0!</v>
      </c>
      <c r="CU134" s="8"/>
      <c r="CV134" s="98" t="e">
        <f t="shared" ref="CV134:CV137" si="312">SQRT(SUMSQ(CT134,CN134,CH134,CB134))</f>
        <v>#DIV/0!</v>
      </c>
      <c r="CW134" s="99" t="e">
        <f t="shared" ref="CW134:CW137" si="313">(CV134^4)/(((CT134^4)/2)+((CN134^4)/200)+((CH134^4)/200)+((CB134^4)/200))</f>
        <v>#DIV/0!</v>
      </c>
      <c r="CX134" s="100" t="e">
        <f t="shared" ref="CX134:CX135" si="314">ROUND(TINV(0.05,CW134),0)</f>
        <v>#DIV/0!</v>
      </c>
      <c r="CY134" s="103" t="e">
        <f>(CV134*CX134)</f>
        <v>#DIV/0!</v>
      </c>
      <c r="CZ134" s="104" t="str">
        <f>P134</f>
        <v>A</v>
      </c>
      <c r="DA134" s="8"/>
      <c r="DB134" s="177">
        <v>2.8999999999999998E-3</v>
      </c>
      <c r="DC134" s="178" t="str">
        <f>CZ134</f>
        <v>A</v>
      </c>
      <c r="DD134" s="220" t="e">
        <f t="shared" si="276"/>
        <v>#DIV/0!</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149</v>
      </c>
      <c r="Q135" s="299"/>
      <c r="R135" s="300"/>
      <c r="S135" s="301" t="s">
        <v>143</v>
      </c>
      <c r="T135" s="301"/>
      <c r="U135" s="301"/>
      <c r="V135" s="301"/>
      <c r="W135" s="301"/>
      <c r="X135" s="291"/>
      <c r="Y135" s="291"/>
      <c r="Z135" s="291"/>
      <c r="AA135" s="291"/>
      <c r="AB135" s="291"/>
      <c r="AC135" s="291"/>
      <c r="AD135" s="291"/>
      <c r="AE135" s="291"/>
      <c r="AF135" s="291"/>
      <c r="AG135" s="291"/>
      <c r="AH135" s="291"/>
      <c r="AI135" s="291"/>
      <c r="AJ135" s="291"/>
      <c r="AK135" s="291"/>
      <c r="AL135" s="291"/>
      <c r="AM135" s="320" t="e">
        <f t="shared" ref="AM135:AM136" si="315">AVERAGE(X135:AL135)</f>
        <v>#DIV/0!</v>
      </c>
      <c r="AN135" s="320"/>
      <c r="AO135" s="320"/>
      <c r="AP135" s="320"/>
      <c r="AQ135" s="320"/>
      <c r="AR135" s="320" t="e">
        <f t="shared" ref="AR135:AR136" si="316">AM135-L135</f>
        <v>#DIV/0!</v>
      </c>
      <c r="AS135" s="320"/>
      <c r="AT135" s="320"/>
      <c r="AU135" s="320"/>
      <c r="AV135" s="320"/>
      <c r="AW135" s="139"/>
      <c r="AX135" s="139"/>
      <c r="AY135" s="139"/>
      <c r="AZ135" s="172"/>
      <c r="BA135" s="173"/>
      <c r="BB135" s="303" t="e">
        <f t="shared" si="285"/>
        <v>#DIV/0!</v>
      </c>
      <c r="BC135" s="303"/>
      <c r="BD135" s="303"/>
      <c r="BE135" s="303"/>
      <c r="BF135" s="303"/>
      <c r="BG135" s="291" t="e">
        <f t="shared" si="259"/>
        <v>#DIV/0!</v>
      </c>
      <c r="BH135" s="291"/>
      <c r="BI135" s="291"/>
      <c r="BJ135" s="291"/>
      <c r="BK135" s="291"/>
      <c r="BL135" s="291" t="e">
        <f t="shared" si="260"/>
        <v>#DIV/0!</v>
      </c>
      <c r="BM135" s="291"/>
      <c r="BN135" s="291"/>
      <c r="BO135" s="291"/>
      <c r="BP135" s="291"/>
      <c r="BQ135" s="292" t="e">
        <f t="shared" si="261"/>
        <v>#DIV/0!</v>
      </c>
      <c r="BR135" s="292"/>
      <c r="BS135" s="292"/>
      <c r="BT135" s="292"/>
      <c r="BU135" s="292"/>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t="e">
        <f t="shared" si="269"/>
        <v>#DIV/0!</v>
      </c>
      <c r="CR135" s="1" t="str">
        <f t="shared" si="270"/>
        <v>A</v>
      </c>
      <c r="CS135" s="81">
        <f t="shared" si="310"/>
        <v>1.7320508075688772</v>
      </c>
      <c r="CT135" s="86" t="e">
        <f t="shared" si="311"/>
        <v>#DIV/0!</v>
      </c>
      <c r="CU135" s="8"/>
      <c r="CV135" s="94" t="e">
        <f t="shared" si="312"/>
        <v>#DIV/0!</v>
      </c>
      <c r="CW135" s="5" t="e">
        <f t="shared" si="313"/>
        <v>#DIV/0!</v>
      </c>
      <c r="CX135" s="95" t="e">
        <f t="shared" si="314"/>
        <v>#DIV/0!</v>
      </c>
      <c r="CY135" s="105" t="e">
        <f t="shared" ref="CY135:CY136" si="317">(CV135*CX135)</f>
        <v>#DIV/0!</v>
      </c>
      <c r="CZ135" s="106" t="str">
        <f>P135</f>
        <v>A</v>
      </c>
      <c r="DA135" s="8"/>
      <c r="DB135" s="177">
        <v>3.8999999999999998E-3</v>
      </c>
      <c r="DC135" s="178" t="str">
        <f t="shared" ref="DC135:DC137" si="318">CZ135</f>
        <v>A</v>
      </c>
      <c r="DD135" s="220" t="e">
        <f t="shared" si="276"/>
        <v>#DIV/0!</v>
      </c>
      <c r="DE135" s="178" t="str">
        <f t="shared" ref="DE135:DE137" si="319">DC135</f>
        <v>A</v>
      </c>
    </row>
    <row r="136" spans="1:109" s="174" customFormat="1" ht="18" customHeight="1">
      <c r="A136" s="173"/>
      <c r="B136" s="170"/>
      <c r="C136" s="139"/>
      <c r="D136" s="139"/>
      <c r="E136" s="139"/>
      <c r="F136" s="304" t="s">
        <v>142</v>
      </c>
      <c r="G136" s="305"/>
      <c r="H136" s="305"/>
      <c r="I136" s="305"/>
      <c r="J136" s="305"/>
      <c r="K136" s="306"/>
      <c r="L136" s="297">
        <f>10*90%</f>
        <v>9</v>
      </c>
      <c r="M136" s="298"/>
      <c r="N136" s="298"/>
      <c r="O136" s="298"/>
      <c r="P136" s="299" t="s">
        <v>149</v>
      </c>
      <c r="Q136" s="299"/>
      <c r="R136" s="300"/>
      <c r="S136" s="301" t="s">
        <v>96</v>
      </c>
      <c r="T136" s="301"/>
      <c r="U136" s="301"/>
      <c r="V136" s="301"/>
      <c r="W136" s="301"/>
      <c r="X136" s="291"/>
      <c r="Y136" s="291"/>
      <c r="Z136" s="291"/>
      <c r="AA136" s="291"/>
      <c r="AB136" s="291"/>
      <c r="AC136" s="291"/>
      <c r="AD136" s="291"/>
      <c r="AE136" s="291"/>
      <c r="AF136" s="291"/>
      <c r="AG136" s="291"/>
      <c r="AH136" s="291"/>
      <c r="AI136" s="291"/>
      <c r="AJ136" s="291"/>
      <c r="AK136" s="291"/>
      <c r="AL136" s="291"/>
      <c r="AM136" s="303" t="e">
        <f t="shared" si="315"/>
        <v>#DIV/0!</v>
      </c>
      <c r="AN136" s="303"/>
      <c r="AO136" s="303"/>
      <c r="AP136" s="303"/>
      <c r="AQ136" s="303"/>
      <c r="AR136" s="303" t="e">
        <f t="shared" si="316"/>
        <v>#DIV/0!</v>
      </c>
      <c r="AS136" s="303"/>
      <c r="AT136" s="303"/>
      <c r="AU136" s="303"/>
      <c r="AV136" s="303"/>
      <c r="AW136" s="139"/>
      <c r="AX136" s="139"/>
      <c r="AY136" s="139"/>
      <c r="AZ136" s="172"/>
      <c r="BA136" s="173"/>
      <c r="BB136" s="303" t="e">
        <f t="shared" si="285"/>
        <v>#DIV/0!</v>
      </c>
      <c r="BC136" s="303"/>
      <c r="BD136" s="303"/>
      <c r="BE136" s="303"/>
      <c r="BF136" s="303"/>
      <c r="BG136" s="291" t="e">
        <f t="shared" si="259"/>
        <v>#DIV/0!</v>
      </c>
      <c r="BH136" s="291"/>
      <c r="BI136" s="291"/>
      <c r="BJ136" s="291"/>
      <c r="BK136" s="291"/>
      <c r="BL136" s="291" t="e">
        <f t="shared" si="260"/>
        <v>#DIV/0!</v>
      </c>
      <c r="BM136" s="291"/>
      <c r="BN136" s="291"/>
      <c r="BO136" s="291"/>
      <c r="BP136" s="291"/>
      <c r="BQ136" s="292" t="e">
        <f t="shared" si="261"/>
        <v>#DIV/0!</v>
      </c>
      <c r="BR136" s="292"/>
      <c r="BS136" s="292"/>
      <c r="BT136" s="292"/>
      <c r="BU136" s="292"/>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t="e">
        <f t="shared" si="269"/>
        <v>#DIV/0!</v>
      </c>
      <c r="CR136" s="1" t="str">
        <f t="shared" si="270"/>
        <v>A</v>
      </c>
      <c r="CS136" s="81">
        <f t="shared" si="310"/>
        <v>1.7320508075688772</v>
      </c>
      <c r="CT136" s="86" t="e">
        <f t="shared" si="311"/>
        <v>#DIV/0!</v>
      </c>
      <c r="CU136" s="8"/>
      <c r="CV136" s="94" t="e">
        <f t="shared" si="312"/>
        <v>#DIV/0!</v>
      </c>
      <c r="CW136" s="5" t="e">
        <f t="shared" si="313"/>
        <v>#DIV/0!</v>
      </c>
      <c r="CX136" s="95" t="e">
        <f t="shared" ref="CX136:CX137" si="321">ROUND(TINV(0.05,CW136),0)</f>
        <v>#DIV/0!</v>
      </c>
      <c r="CY136" s="105" t="e">
        <f t="shared" si="317"/>
        <v>#DIV/0!</v>
      </c>
      <c r="CZ136" s="106" t="str">
        <f t="shared" ref="CZ136:CZ137" si="322">P136</f>
        <v>A</v>
      </c>
      <c r="DA136" s="8"/>
      <c r="DB136" s="177">
        <v>2.8999999999999998E-3</v>
      </c>
      <c r="DC136" s="178" t="str">
        <f t="shared" si="318"/>
        <v>A</v>
      </c>
      <c r="DD136" s="220" t="e">
        <f t="shared" si="276"/>
        <v>#DIV/0!</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149</v>
      </c>
      <c r="Q137" s="299"/>
      <c r="R137" s="300"/>
      <c r="S137" s="301" t="s">
        <v>143</v>
      </c>
      <c r="T137" s="301"/>
      <c r="U137" s="301"/>
      <c r="V137" s="301"/>
      <c r="W137" s="301"/>
      <c r="X137" s="291"/>
      <c r="Y137" s="291"/>
      <c r="Z137" s="291"/>
      <c r="AA137" s="291"/>
      <c r="AB137" s="291"/>
      <c r="AC137" s="291"/>
      <c r="AD137" s="291"/>
      <c r="AE137" s="291"/>
      <c r="AF137" s="291"/>
      <c r="AG137" s="291"/>
      <c r="AH137" s="291"/>
      <c r="AI137" s="291"/>
      <c r="AJ137" s="291"/>
      <c r="AK137" s="291"/>
      <c r="AL137" s="291"/>
      <c r="AM137" s="303" t="e">
        <f t="shared" ref="AM137" si="323">AVERAGE(X137:AL137)</f>
        <v>#DIV/0!</v>
      </c>
      <c r="AN137" s="303"/>
      <c r="AO137" s="303"/>
      <c r="AP137" s="303"/>
      <c r="AQ137" s="303"/>
      <c r="AR137" s="303" t="e">
        <f t="shared" ref="AR137" si="324">AM137-L137</f>
        <v>#DIV/0!</v>
      </c>
      <c r="AS137" s="303"/>
      <c r="AT137" s="303"/>
      <c r="AU137" s="303"/>
      <c r="AV137" s="303"/>
      <c r="AW137" s="139"/>
      <c r="AX137" s="139"/>
      <c r="AY137" s="139"/>
      <c r="AZ137" s="172"/>
      <c r="BA137" s="173"/>
      <c r="BB137" s="303" t="e">
        <f t="shared" si="285"/>
        <v>#DIV/0!</v>
      </c>
      <c r="BC137" s="303"/>
      <c r="BD137" s="303"/>
      <c r="BE137" s="303"/>
      <c r="BF137" s="303"/>
      <c r="BG137" s="291" t="e">
        <f t="shared" si="259"/>
        <v>#DIV/0!</v>
      </c>
      <c r="BH137" s="291"/>
      <c r="BI137" s="291"/>
      <c r="BJ137" s="291"/>
      <c r="BK137" s="291"/>
      <c r="BL137" s="291" t="e">
        <f t="shared" si="260"/>
        <v>#DIV/0!</v>
      </c>
      <c r="BM137" s="291"/>
      <c r="BN137" s="291"/>
      <c r="BO137" s="291"/>
      <c r="BP137" s="291"/>
      <c r="BQ137" s="292" t="e">
        <f t="shared" si="261"/>
        <v>#DIV/0!</v>
      </c>
      <c r="BR137" s="292"/>
      <c r="BS137" s="292"/>
      <c r="BT137" s="292"/>
      <c r="BU137" s="292"/>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t="e">
        <f t="shared" si="269"/>
        <v>#DIV/0!</v>
      </c>
      <c r="CR137" s="74" t="str">
        <f t="shared" si="270"/>
        <v>A</v>
      </c>
      <c r="CS137" s="82">
        <f t="shared" si="310"/>
        <v>1.7320508075688772</v>
      </c>
      <c r="CT137" s="87" t="e">
        <f t="shared" si="311"/>
        <v>#DIV/0!</v>
      </c>
      <c r="CU137" s="8"/>
      <c r="CV137" s="96" t="e">
        <f t="shared" si="312"/>
        <v>#DIV/0!</v>
      </c>
      <c r="CW137" s="89" t="e">
        <f t="shared" si="313"/>
        <v>#DIV/0!</v>
      </c>
      <c r="CX137" s="97" t="e">
        <f t="shared" si="321"/>
        <v>#DIV/0!</v>
      </c>
      <c r="CY137" s="107" t="e">
        <f>(CV137*CX137)</f>
        <v>#DIV/0!</v>
      </c>
      <c r="CZ137" s="108" t="str">
        <f t="shared" si="322"/>
        <v>A</v>
      </c>
      <c r="DA137" s="8"/>
      <c r="DB137" s="177">
        <v>3.8999999999999998E-3</v>
      </c>
      <c r="DC137" s="178" t="str">
        <f t="shared" si="318"/>
        <v>A</v>
      </c>
      <c r="DD137" s="220" t="e">
        <f t="shared" si="276"/>
        <v>#DIV/0!</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178</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46000</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132</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152</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118</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124</v>
      </c>
      <c r="I3" s="470"/>
      <c r="J3" s="470"/>
      <c r="K3" s="470"/>
      <c r="L3" s="470"/>
      <c r="M3" s="458"/>
      <c r="N3" s="457" t="s">
        <v>125</v>
      </c>
      <c r="O3" s="470"/>
      <c r="P3" s="470"/>
      <c r="Q3" s="470"/>
      <c r="R3" s="470"/>
      <c r="S3" s="470"/>
      <c r="T3" s="470"/>
      <c r="U3" s="470"/>
      <c r="V3" s="470"/>
      <c r="W3" s="458"/>
      <c r="X3" s="448" t="s">
        <v>119</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122</v>
      </c>
      <c r="O7" s="463"/>
      <c r="P7" s="463" t="s">
        <v>76</v>
      </c>
      <c r="Q7" s="463"/>
      <c r="R7" s="463" t="s">
        <v>78</v>
      </c>
      <c r="S7" s="463"/>
      <c r="T7" s="466" t="s">
        <v>123</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t="e">
        <f>DataSheet!AM55</f>
        <v>#DIV/0!</v>
      </c>
      <c r="C10" s="44" t="str">
        <f>DataSheet!P55</f>
        <v>mV</v>
      </c>
      <c r="D10" s="51" t="e">
        <f>ABS((B10*0.7%)+(3*DataSheet!CK55))</f>
        <v>#DIV/0!</v>
      </c>
      <c r="E10" s="35" t="str">
        <f>C10</f>
        <v>mV</v>
      </c>
      <c r="F10" s="38" t="e">
        <f>DataSheet!DD55</f>
        <v>#DIV/0!</v>
      </c>
      <c r="G10" s="35" t="str">
        <f>E10</f>
        <v>mV</v>
      </c>
      <c r="H10" s="39" t="e">
        <f>DataSheet!L55+D10</f>
        <v>#DIV/0!</v>
      </c>
      <c r="I10" s="35" t="str">
        <f>G10</f>
        <v>mV</v>
      </c>
      <c r="J10" s="39" t="e">
        <f>DataSheet!L55-D10</f>
        <v>#DIV/0!</v>
      </c>
      <c r="K10" s="35" t="str">
        <f>I10</f>
        <v>mV</v>
      </c>
      <c r="L10" s="473" t="e">
        <f>IF(AND(B10&lt;=H10,B10&gt;=J10),"PASSED","FAILED")</f>
        <v>#DIV/0!</v>
      </c>
      <c r="M10" s="473"/>
      <c r="N10" s="39" t="e">
        <f>F10+B10</f>
        <v>#DIV/0!</v>
      </c>
      <c r="O10" s="40" t="str">
        <f>G10</f>
        <v>mV</v>
      </c>
      <c r="P10" s="39" t="e">
        <f>H10</f>
        <v>#DIV/0!</v>
      </c>
      <c r="Q10" s="35" t="str">
        <f>O10</f>
        <v>mV</v>
      </c>
      <c r="R10" s="467" t="e">
        <f>IF(AND(N10&lt;=H10,N10&gt;=J10),"PASSED","FAILED")</f>
        <v>#DIV/0!</v>
      </c>
      <c r="S10" s="467"/>
      <c r="T10" s="39" t="e">
        <f>-F10+B10</f>
        <v>#DIV/0!</v>
      </c>
      <c r="U10" s="37" t="str">
        <f>O10</f>
        <v>mV</v>
      </c>
      <c r="V10" s="465" t="e">
        <f>IF(AND(T10&lt;=H10,T10&gt;=J10),"PASSED","FAILED")</f>
        <v>#DIV/0!</v>
      </c>
      <c r="W10" s="465"/>
      <c r="X10" s="464" t="e">
        <f t="shared" ref="X10:X26" si="0">IF(AND(L10="PASSED",R10="PASSED",V10="PASSED"),"PASSED",IF(L10="FAILED","FAILED","UNDETERMINED"))</f>
        <v>#DIV/0!</v>
      </c>
      <c r="Y10" s="464"/>
    </row>
    <row r="11" spans="2:25">
      <c r="B11" s="43" t="e">
        <f>DataSheet!AM56</f>
        <v>#DIV/0!</v>
      </c>
      <c r="C11" s="44" t="str">
        <f>DataSheet!P56</f>
        <v>mV</v>
      </c>
      <c r="D11" s="51" t="e">
        <f>ABS((B11*0.7%)+(3*DataSheet!CK56))</f>
        <v>#DIV/0!</v>
      </c>
      <c r="E11" s="35" t="str">
        <f t="shared" ref="E11:E26" si="1">C11</f>
        <v>mV</v>
      </c>
      <c r="F11" s="38" t="e">
        <f>DataSheet!DD56</f>
        <v>#DIV/0!</v>
      </c>
      <c r="G11" s="35" t="str">
        <f t="shared" ref="G11:G26" si="2">E11</f>
        <v>mV</v>
      </c>
      <c r="H11" s="39" t="e">
        <f>DataSheet!L56+D11</f>
        <v>#DIV/0!</v>
      </c>
      <c r="I11" s="35" t="str">
        <f t="shared" ref="I11:I26" si="3">G11</f>
        <v>mV</v>
      </c>
      <c r="J11" s="39" t="e">
        <f>DataSheet!L56-D11</f>
        <v>#DIV/0!</v>
      </c>
      <c r="K11" s="35" t="str">
        <f t="shared" ref="K11:K26" si="4">I11</f>
        <v>mV</v>
      </c>
      <c r="L11" s="473" t="e">
        <f t="shared" ref="L11:L26" si="5">IF(AND(B11&lt;=H11,B11&gt;=J11),"PASSED","FAILED")</f>
        <v>#DIV/0!</v>
      </c>
      <c r="M11" s="473"/>
      <c r="N11" s="39" t="e">
        <f t="shared" ref="N11:N12" si="6">F11+B11</f>
        <v>#DIV/0!</v>
      </c>
      <c r="O11" s="40" t="str">
        <f t="shared" ref="O11:O26" si="7">G11</f>
        <v>mV</v>
      </c>
      <c r="P11" s="39" t="e">
        <f t="shared" ref="P11:P12" si="8">H11</f>
        <v>#DIV/0!</v>
      </c>
      <c r="Q11" s="35" t="str">
        <f t="shared" ref="Q11:Q26" si="9">O11</f>
        <v>mV</v>
      </c>
      <c r="R11" s="467" t="e">
        <f t="shared" ref="R11:R26" si="10">IF(AND(N11&lt;=H11,N11&gt;=J11),"PASSED","FAILED")</f>
        <v>#DIV/0!</v>
      </c>
      <c r="S11" s="467"/>
      <c r="T11" s="39" t="e">
        <f t="shared" ref="T11:T12" si="11">-F11+B11</f>
        <v>#DIV/0!</v>
      </c>
      <c r="U11" s="37" t="str">
        <f t="shared" ref="U11:U26" si="12">O11</f>
        <v>mV</v>
      </c>
      <c r="V11" s="465" t="e">
        <f t="shared" ref="V11:V26" si="13">IF(AND(T11&lt;=H11,T11&gt;=J11),"PASSED","FAILED")</f>
        <v>#DIV/0!</v>
      </c>
      <c r="W11" s="465"/>
      <c r="X11" s="464" t="e">
        <f t="shared" si="0"/>
        <v>#DIV/0!</v>
      </c>
      <c r="Y11" s="464"/>
    </row>
    <row r="12" spans="2:25">
      <c r="B12" s="43" t="e">
        <f>DataSheet!AM57</f>
        <v>#DIV/0!</v>
      </c>
      <c r="C12" s="44" t="str">
        <f>DataSheet!P57</f>
        <v>mV</v>
      </c>
      <c r="D12" s="51" t="e">
        <f>ABS((B12*0.7%)-(3*DataSheet!CK57))</f>
        <v>#DIV/0!</v>
      </c>
      <c r="E12" s="35" t="str">
        <f t="shared" si="1"/>
        <v>mV</v>
      </c>
      <c r="F12" s="38" t="e">
        <f>DataSheet!DD57</f>
        <v>#DIV/0!</v>
      </c>
      <c r="G12" s="35" t="str">
        <f t="shared" si="2"/>
        <v>mV</v>
      </c>
      <c r="H12" s="39" t="e">
        <f>DataSheet!L57+D12</f>
        <v>#DIV/0!</v>
      </c>
      <c r="I12" s="35" t="str">
        <f t="shared" si="3"/>
        <v>mV</v>
      </c>
      <c r="J12" s="39" t="e">
        <f>DataSheet!L57-D12</f>
        <v>#DIV/0!</v>
      </c>
      <c r="K12" s="35" t="str">
        <f t="shared" si="4"/>
        <v>mV</v>
      </c>
      <c r="L12" s="473" t="e">
        <f t="shared" si="5"/>
        <v>#DIV/0!</v>
      </c>
      <c r="M12" s="473"/>
      <c r="N12" s="39" t="e">
        <f t="shared" si="6"/>
        <v>#DIV/0!</v>
      </c>
      <c r="O12" s="40" t="str">
        <f t="shared" si="7"/>
        <v>mV</v>
      </c>
      <c r="P12" s="39" t="e">
        <f t="shared" si="8"/>
        <v>#DIV/0!</v>
      </c>
      <c r="Q12" s="35" t="str">
        <f t="shared" si="9"/>
        <v>mV</v>
      </c>
      <c r="R12" s="467" t="e">
        <f t="shared" si="10"/>
        <v>#DIV/0!</v>
      </c>
      <c r="S12" s="467"/>
      <c r="T12" s="39" t="e">
        <f t="shared" si="11"/>
        <v>#DIV/0!</v>
      </c>
      <c r="U12" s="37" t="str">
        <f t="shared" si="12"/>
        <v>mV</v>
      </c>
      <c r="V12" s="465" t="e">
        <f t="shared" si="13"/>
        <v>#DIV/0!</v>
      </c>
      <c r="W12" s="465"/>
      <c r="X12" s="464" t="e">
        <f t="shared" si="0"/>
        <v>#DIV/0!</v>
      </c>
      <c r="Y12" s="464"/>
    </row>
    <row r="13" spans="2:25">
      <c r="B13" s="47" t="e">
        <f>DataSheet!AM58</f>
        <v>#DIV/0!</v>
      </c>
      <c r="C13" s="48" t="str">
        <f>DataSheet!P58</f>
        <v>V</v>
      </c>
      <c r="D13" s="34" t="e">
        <f>ABS((B13*0.7%)+(3*DataSheet!CK58))</f>
        <v>#DIV/0!</v>
      </c>
      <c r="E13" s="35" t="str">
        <f t="shared" si="1"/>
        <v>V</v>
      </c>
      <c r="F13" s="52" t="e">
        <f>DataSheet!DD58</f>
        <v>#DIV/0!</v>
      </c>
      <c r="G13" s="35" t="str">
        <f t="shared" si="2"/>
        <v>V</v>
      </c>
      <c r="H13" s="36" t="e">
        <f>DataSheet!L58+D13</f>
        <v>#DIV/0!</v>
      </c>
      <c r="I13" s="37" t="str">
        <f t="shared" si="3"/>
        <v>V</v>
      </c>
      <c r="J13" s="36" t="e">
        <f>DataSheet!L58-D13</f>
        <v>#DIV/0!</v>
      </c>
      <c r="K13" s="35" t="str">
        <f t="shared" si="4"/>
        <v>V</v>
      </c>
      <c r="L13" s="473" t="e">
        <f t="shared" si="5"/>
        <v>#DIV/0!</v>
      </c>
      <c r="M13" s="473"/>
      <c r="N13" s="36" t="e">
        <f>F13+B13</f>
        <v>#DIV/0!</v>
      </c>
      <c r="O13" s="35" t="str">
        <f t="shared" si="7"/>
        <v>V</v>
      </c>
      <c r="P13" s="36" t="e">
        <f>H13</f>
        <v>#DIV/0!</v>
      </c>
      <c r="Q13" s="37" t="str">
        <f t="shared" si="9"/>
        <v>V</v>
      </c>
      <c r="R13" s="465" t="e">
        <f t="shared" si="10"/>
        <v>#DIV/0!</v>
      </c>
      <c r="S13" s="465"/>
      <c r="T13" s="36" t="e">
        <f>-F13+B13</f>
        <v>#DIV/0!</v>
      </c>
      <c r="U13" s="37" t="str">
        <f t="shared" si="12"/>
        <v>V</v>
      </c>
      <c r="V13" s="465" t="e">
        <f t="shared" si="13"/>
        <v>#DIV/0!</v>
      </c>
      <c r="W13" s="465"/>
      <c r="X13" s="464" t="e">
        <f t="shared" si="0"/>
        <v>#DIV/0!</v>
      </c>
      <c r="Y13" s="464"/>
    </row>
    <row r="14" spans="2:25">
      <c r="B14" s="47" t="e">
        <f>DataSheet!AM59</f>
        <v>#DIV/0!</v>
      </c>
      <c r="C14" s="48" t="str">
        <f>DataSheet!P59</f>
        <v>V</v>
      </c>
      <c r="D14" s="34" t="e">
        <f>ABS((B14*0.7%)+(3*DataSheet!CK59))</f>
        <v>#DIV/0!</v>
      </c>
      <c r="E14" s="35" t="str">
        <f t="shared" si="1"/>
        <v>V</v>
      </c>
      <c r="F14" s="38" t="e">
        <f>DataSheet!DD59</f>
        <v>#DIV/0!</v>
      </c>
      <c r="G14" s="35" t="str">
        <f t="shared" si="2"/>
        <v>V</v>
      </c>
      <c r="H14" s="36" t="e">
        <f>DataSheet!L59+D14</f>
        <v>#DIV/0!</v>
      </c>
      <c r="I14" s="37" t="str">
        <f t="shared" si="3"/>
        <v>V</v>
      </c>
      <c r="J14" s="36" t="e">
        <f>DataSheet!L59-D14</f>
        <v>#DIV/0!</v>
      </c>
      <c r="K14" s="35" t="str">
        <f t="shared" si="4"/>
        <v>V</v>
      </c>
      <c r="L14" s="473" t="e">
        <f t="shared" si="5"/>
        <v>#DIV/0!</v>
      </c>
      <c r="M14" s="473"/>
      <c r="N14" s="36" t="e">
        <f t="shared" ref="N14:N15" si="14">F14+B14</f>
        <v>#DIV/0!</v>
      </c>
      <c r="O14" s="35" t="str">
        <f t="shared" si="7"/>
        <v>V</v>
      </c>
      <c r="P14" s="36" t="e">
        <f t="shared" ref="P14:P15" si="15">H14</f>
        <v>#DIV/0!</v>
      </c>
      <c r="Q14" s="37" t="str">
        <f t="shared" si="9"/>
        <v>V</v>
      </c>
      <c r="R14" s="465" t="e">
        <f t="shared" si="10"/>
        <v>#DIV/0!</v>
      </c>
      <c r="S14" s="465"/>
      <c r="T14" s="36" t="e">
        <f>-DataSheet!DD59+B14</f>
        <v>#DIV/0!</v>
      </c>
      <c r="U14" s="37" t="str">
        <f t="shared" si="12"/>
        <v>V</v>
      </c>
      <c r="V14" s="465" t="e">
        <f t="shared" si="13"/>
        <v>#DIV/0!</v>
      </c>
      <c r="W14" s="465"/>
      <c r="X14" s="464" t="e">
        <f t="shared" si="0"/>
        <v>#DIV/0!</v>
      </c>
      <c r="Y14" s="464"/>
    </row>
    <row r="15" spans="2:25">
      <c r="B15" s="47" t="e">
        <f>DataSheet!AM60</f>
        <v>#DIV/0!</v>
      </c>
      <c r="C15" s="48" t="str">
        <f>DataSheet!P60</f>
        <v>V</v>
      </c>
      <c r="D15" s="34" t="e">
        <f>ABS((B15*0.7%)-(3*DataSheet!CK60))</f>
        <v>#DIV/0!</v>
      </c>
      <c r="E15" s="35" t="str">
        <f t="shared" si="1"/>
        <v>V</v>
      </c>
      <c r="F15" s="38" t="e">
        <f>DataSheet!DD60</f>
        <v>#DIV/0!</v>
      </c>
      <c r="G15" s="35" t="str">
        <f t="shared" si="2"/>
        <v>V</v>
      </c>
      <c r="H15" s="36" t="e">
        <f>DataSheet!L60+D15</f>
        <v>#DIV/0!</v>
      </c>
      <c r="I15" s="37" t="str">
        <f t="shared" si="3"/>
        <v>V</v>
      </c>
      <c r="J15" s="36" t="e">
        <f>DataSheet!L60-D15</f>
        <v>#DIV/0!</v>
      </c>
      <c r="K15" s="35" t="str">
        <f t="shared" si="4"/>
        <v>V</v>
      </c>
      <c r="L15" s="473" t="e">
        <f t="shared" si="5"/>
        <v>#DIV/0!</v>
      </c>
      <c r="M15" s="473"/>
      <c r="N15" s="36" t="e">
        <f t="shared" si="14"/>
        <v>#DIV/0!</v>
      </c>
      <c r="O15" s="35" t="str">
        <f t="shared" si="7"/>
        <v>V</v>
      </c>
      <c r="P15" s="36" t="e">
        <f t="shared" si="15"/>
        <v>#DIV/0!</v>
      </c>
      <c r="Q15" s="37" t="str">
        <f t="shared" si="9"/>
        <v>V</v>
      </c>
      <c r="R15" s="465" t="e">
        <f t="shared" si="10"/>
        <v>#DIV/0!</v>
      </c>
      <c r="S15" s="465"/>
      <c r="T15" s="36" t="e">
        <f>-DataSheet!DD60+B15</f>
        <v>#DIV/0!</v>
      </c>
      <c r="U15" s="37" t="str">
        <f t="shared" si="12"/>
        <v>V</v>
      </c>
      <c r="V15" s="465" t="e">
        <f t="shared" si="13"/>
        <v>#DIV/0!</v>
      </c>
      <c r="W15" s="465"/>
      <c r="X15" s="464" t="e">
        <f t="shared" si="0"/>
        <v>#DIV/0!</v>
      </c>
      <c r="Y15" s="464"/>
    </row>
    <row r="16" spans="2:25">
      <c r="B16" s="45" t="e">
        <f>DataSheet!AM61</f>
        <v>#DIV/0!</v>
      </c>
      <c r="C16" s="46" t="str">
        <f>DataSheet!P61</f>
        <v>V</v>
      </c>
      <c r="D16" s="34" t="e">
        <f>ABS((B16*0.7%)+(3*DataSheet!CK61))</f>
        <v>#DIV/0!</v>
      </c>
      <c r="E16" s="35" t="str">
        <f t="shared" si="1"/>
        <v>V</v>
      </c>
      <c r="F16" s="38" t="e">
        <f>DataSheet!DD61</f>
        <v>#DIV/0!</v>
      </c>
      <c r="G16" s="35" t="str">
        <f t="shared" si="2"/>
        <v>V</v>
      </c>
      <c r="H16" s="34" t="e">
        <f>DataSheet!L61+D16</f>
        <v>#DIV/0!</v>
      </c>
      <c r="I16" s="35" t="str">
        <f t="shared" si="3"/>
        <v>V</v>
      </c>
      <c r="J16" s="34" t="e">
        <f>DataSheet!L61-D16</f>
        <v>#DIV/0!</v>
      </c>
      <c r="K16" s="35" t="str">
        <f t="shared" si="4"/>
        <v>V</v>
      </c>
      <c r="L16" s="473" t="e">
        <f t="shared" si="5"/>
        <v>#DIV/0!</v>
      </c>
      <c r="M16" s="473"/>
      <c r="N16" s="34" t="e">
        <f>F16+B16</f>
        <v>#DIV/0!</v>
      </c>
      <c r="O16" s="35" t="str">
        <f t="shared" si="7"/>
        <v>V</v>
      </c>
      <c r="P16" s="34" t="e">
        <f>H16</f>
        <v>#DIV/0!</v>
      </c>
      <c r="Q16" s="35" t="str">
        <f t="shared" si="9"/>
        <v>V</v>
      </c>
      <c r="R16" s="465" t="e">
        <f t="shared" si="10"/>
        <v>#DIV/0!</v>
      </c>
      <c r="S16" s="465"/>
      <c r="T16" s="34" t="e">
        <f>-F16+B16</f>
        <v>#DIV/0!</v>
      </c>
      <c r="U16" s="37" t="str">
        <f t="shared" si="12"/>
        <v>V</v>
      </c>
      <c r="V16" s="465" t="e">
        <f t="shared" si="13"/>
        <v>#DIV/0!</v>
      </c>
      <c r="W16" s="465"/>
      <c r="X16" s="464" t="e">
        <f t="shared" si="0"/>
        <v>#DIV/0!</v>
      </c>
      <c r="Y16" s="464"/>
    </row>
    <row r="17" spans="2:25">
      <c r="B17" s="45" t="e">
        <f>DataSheet!AM62</f>
        <v>#DIV/0!</v>
      </c>
      <c r="C17" s="46" t="str">
        <f>DataSheet!P62</f>
        <v>V</v>
      </c>
      <c r="D17" s="34" t="e">
        <f>ABS((B17*0.7%)+(3*DataSheet!CK62))</f>
        <v>#DIV/0!</v>
      </c>
      <c r="E17" s="35" t="str">
        <f t="shared" si="1"/>
        <v>V</v>
      </c>
      <c r="F17" s="38" t="e">
        <f>DataSheet!DD62</f>
        <v>#DIV/0!</v>
      </c>
      <c r="G17" s="35" t="str">
        <f t="shared" si="2"/>
        <v>V</v>
      </c>
      <c r="H17" s="34" t="e">
        <f>DataSheet!L62+D17</f>
        <v>#DIV/0!</v>
      </c>
      <c r="I17" s="35" t="str">
        <f t="shared" si="3"/>
        <v>V</v>
      </c>
      <c r="J17" s="34" t="e">
        <f>DataSheet!L62-D17</f>
        <v>#DIV/0!</v>
      </c>
      <c r="K17" s="35" t="str">
        <f t="shared" si="4"/>
        <v>V</v>
      </c>
      <c r="L17" s="473" t="e">
        <f t="shared" si="5"/>
        <v>#DIV/0!</v>
      </c>
      <c r="M17" s="473"/>
      <c r="N17" s="34" t="e">
        <f t="shared" ref="N17:N20" si="16">F17+B17</f>
        <v>#DIV/0!</v>
      </c>
      <c r="O17" s="35" t="str">
        <f t="shared" si="7"/>
        <v>V</v>
      </c>
      <c r="P17" s="34" t="e">
        <f t="shared" ref="P17:P20" si="17">H17</f>
        <v>#DIV/0!</v>
      </c>
      <c r="Q17" s="35" t="str">
        <f t="shared" si="9"/>
        <v>V</v>
      </c>
      <c r="R17" s="465" t="e">
        <f t="shared" si="10"/>
        <v>#DIV/0!</v>
      </c>
      <c r="S17" s="465"/>
      <c r="T17" s="34" t="e">
        <f t="shared" ref="T17:T26" si="18">-F17+B17</f>
        <v>#DIV/0!</v>
      </c>
      <c r="U17" s="37" t="str">
        <f t="shared" si="12"/>
        <v>V</v>
      </c>
      <c r="V17" s="465" t="e">
        <f t="shared" si="13"/>
        <v>#DIV/0!</v>
      </c>
      <c r="W17" s="465"/>
      <c r="X17" s="464" t="e">
        <f t="shared" si="0"/>
        <v>#DIV/0!</v>
      </c>
      <c r="Y17" s="464"/>
    </row>
    <row r="18" spans="2:25">
      <c r="B18" s="45" t="e">
        <f>DataSheet!AM63</f>
        <v>#DIV/0!</v>
      </c>
      <c r="C18" s="46" t="str">
        <f>DataSheet!P63</f>
        <v>V</v>
      </c>
      <c r="D18" s="34" t="e">
        <f>ABS((B18*0.7%)+(3*DataSheet!CK63))</f>
        <v>#DIV/0!</v>
      </c>
      <c r="E18" s="35" t="str">
        <f t="shared" si="1"/>
        <v>V</v>
      </c>
      <c r="F18" s="38" t="e">
        <f>DataSheet!DD63</f>
        <v>#DIV/0!</v>
      </c>
      <c r="G18" s="35" t="str">
        <f t="shared" si="2"/>
        <v>V</v>
      </c>
      <c r="H18" s="34" t="e">
        <f>DataSheet!L63+D18</f>
        <v>#DIV/0!</v>
      </c>
      <c r="I18" s="35" t="str">
        <f t="shared" si="3"/>
        <v>V</v>
      </c>
      <c r="J18" s="34" t="e">
        <f>DataSheet!L63-D18</f>
        <v>#DIV/0!</v>
      </c>
      <c r="K18" s="35" t="str">
        <f t="shared" si="4"/>
        <v>V</v>
      </c>
      <c r="L18" s="473" t="e">
        <f t="shared" si="5"/>
        <v>#DIV/0!</v>
      </c>
      <c r="M18" s="473"/>
      <c r="N18" s="34" t="e">
        <f t="shared" si="16"/>
        <v>#DIV/0!</v>
      </c>
      <c r="O18" s="35" t="str">
        <f t="shared" si="7"/>
        <v>V</v>
      </c>
      <c r="P18" s="34" t="e">
        <f t="shared" si="17"/>
        <v>#DIV/0!</v>
      </c>
      <c r="Q18" s="35" t="str">
        <f t="shared" si="9"/>
        <v>V</v>
      </c>
      <c r="R18" s="465" t="e">
        <f t="shared" si="10"/>
        <v>#DIV/0!</v>
      </c>
      <c r="S18" s="465"/>
      <c r="T18" s="34" t="e">
        <f t="shared" si="18"/>
        <v>#DIV/0!</v>
      </c>
      <c r="U18" s="37" t="str">
        <f t="shared" si="12"/>
        <v>V</v>
      </c>
      <c r="V18" s="465" t="e">
        <f t="shared" si="13"/>
        <v>#DIV/0!</v>
      </c>
      <c r="W18" s="465"/>
      <c r="X18" s="464" t="e">
        <f t="shared" si="0"/>
        <v>#DIV/0!</v>
      </c>
      <c r="Y18" s="464"/>
    </row>
    <row r="19" spans="2:25">
      <c r="B19" s="45" t="e">
        <f>DataSheet!AM64</f>
        <v>#DIV/0!</v>
      </c>
      <c r="C19" s="46" t="str">
        <f>DataSheet!P64</f>
        <v>V</v>
      </c>
      <c r="D19" s="34" t="e">
        <f>ABS((B19*0.7%)-(3*DataSheet!CK64))</f>
        <v>#DIV/0!</v>
      </c>
      <c r="E19" s="35" t="str">
        <f t="shared" si="1"/>
        <v>V</v>
      </c>
      <c r="F19" s="38" t="e">
        <f>DataSheet!DD64</f>
        <v>#DIV/0!</v>
      </c>
      <c r="G19" s="35" t="str">
        <f t="shared" si="2"/>
        <v>V</v>
      </c>
      <c r="H19" s="34" t="e">
        <f>DataSheet!L64+D19</f>
        <v>#DIV/0!</v>
      </c>
      <c r="I19" s="35" t="str">
        <f t="shared" si="3"/>
        <v>V</v>
      </c>
      <c r="J19" s="34" t="e">
        <f>DataSheet!L64-D19</f>
        <v>#DIV/0!</v>
      </c>
      <c r="K19" s="35" t="str">
        <f t="shared" si="4"/>
        <v>V</v>
      </c>
      <c r="L19" s="473" t="e">
        <f t="shared" si="5"/>
        <v>#DIV/0!</v>
      </c>
      <c r="M19" s="473"/>
      <c r="N19" s="34" t="e">
        <f t="shared" si="16"/>
        <v>#DIV/0!</v>
      </c>
      <c r="O19" s="35" t="str">
        <f t="shared" si="7"/>
        <v>V</v>
      </c>
      <c r="P19" s="34" t="e">
        <f t="shared" si="17"/>
        <v>#DIV/0!</v>
      </c>
      <c r="Q19" s="35" t="str">
        <f t="shared" si="9"/>
        <v>V</v>
      </c>
      <c r="R19" s="465" t="e">
        <f t="shared" si="10"/>
        <v>#DIV/0!</v>
      </c>
      <c r="S19" s="465"/>
      <c r="T19" s="34" t="e">
        <f t="shared" si="18"/>
        <v>#DIV/0!</v>
      </c>
      <c r="U19" s="37" t="str">
        <f t="shared" si="12"/>
        <v>V</v>
      </c>
      <c r="V19" s="465" t="e">
        <f t="shared" si="13"/>
        <v>#DIV/0!</v>
      </c>
      <c r="W19" s="465"/>
      <c r="X19" s="464" t="e">
        <f t="shared" si="0"/>
        <v>#DIV/0!</v>
      </c>
      <c r="Y19" s="464"/>
    </row>
    <row r="20" spans="2:25">
      <c r="B20" s="45" t="e">
        <f>DataSheet!AM65</f>
        <v>#DIV/0!</v>
      </c>
      <c r="C20" s="46" t="str">
        <f>DataSheet!P65</f>
        <v>V</v>
      </c>
      <c r="D20" s="34" t="e">
        <f>ABS((B20*0.7%)-(3*DataSheet!CK65))</f>
        <v>#DIV/0!</v>
      </c>
      <c r="E20" s="35" t="str">
        <f t="shared" si="1"/>
        <v>V</v>
      </c>
      <c r="F20" s="38" t="e">
        <f>DataSheet!DD65</f>
        <v>#DIV/0!</v>
      </c>
      <c r="G20" s="35" t="str">
        <f t="shared" si="2"/>
        <v>V</v>
      </c>
      <c r="H20" s="34" t="e">
        <f>DataSheet!L65+D20</f>
        <v>#DIV/0!</v>
      </c>
      <c r="I20" s="35" t="str">
        <f t="shared" si="3"/>
        <v>V</v>
      </c>
      <c r="J20" s="34" t="e">
        <f>DataSheet!L65-D20</f>
        <v>#DIV/0!</v>
      </c>
      <c r="K20" s="35" t="str">
        <f t="shared" si="4"/>
        <v>V</v>
      </c>
      <c r="L20" s="473" t="e">
        <f t="shared" si="5"/>
        <v>#DIV/0!</v>
      </c>
      <c r="M20" s="473"/>
      <c r="N20" s="34" t="e">
        <f t="shared" si="16"/>
        <v>#DIV/0!</v>
      </c>
      <c r="O20" s="35" t="str">
        <f t="shared" si="7"/>
        <v>V</v>
      </c>
      <c r="P20" s="34" t="e">
        <f t="shared" si="17"/>
        <v>#DIV/0!</v>
      </c>
      <c r="Q20" s="35" t="str">
        <f t="shared" si="9"/>
        <v>V</v>
      </c>
      <c r="R20" s="465" t="e">
        <f t="shared" si="10"/>
        <v>#DIV/0!</v>
      </c>
      <c r="S20" s="465"/>
      <c r="T20" s="34" t="e">
        <f t="shared" si="18"/>
        <v>#DIV/0!</v>
      </c>
      <c r="U20" s="37" t="str">
        <f t="shared" si="12"/>
        <v>V</v>
      </c>
      <c r="V20" s="465" t="e">
        <f t="shared" si="13"/>
        <v>#DIV/0!</v>
      </c>
      <c r="W20" s="465"/>
      <c r="X20" s="464" t="e">
        <f t="shared" si="0"/>
        <v>#DIV/0!</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t="e">
        <f>DataSheet!AM66</f>
        <v>#DIV/0!</v>
      </c>
      <c r="C24" s="50" t="str">
        <f>DataSheet!P66</f>
        <v>V</v>
      </c>
      <c r="D24" s="34" t="e">
        <f>ABS((DataSheet!AM66*0.7%)+(3*DataSheet!CK66))</f>
        <v>#DIV/0!</v>
      </c>
      <c r="E24" s="35" t="str">
        <f t="shared" si="1"/>
        <v>V</v>
      </c>
      <c r="F24" s="38" t="e">
        <f>DataSheet!DD66</f>
        <v>#DIV/0!</v>
      </c>
      <c r="G24" s="35" t="str">
        <f t="shared" si="2"/>
        <v>V</v>
      </c>
      <c r="H24" s="41" t="e">
        <f>DataSheet!L66+D24</f>
        <v>#DIV/0!</v>
      </c>
      <c r="I24" s="42" t="str">
        <f t="shared" si="3"/>
        <v>V</v>
      </c>
      <c r="J24" s="41" t="e">
        <f>DataSheet!L66-D24</f>
        <v>#DIV/0!</v>
      </c>
      <c r="K24" s="35" t="str">
        <f t="shared" si="4"/>
        <v>V</v>
      </c>
      <c r="L24" s="473" t="e">
        <f t="shared" si="5"/>
        <v>#DIV/0!</v>
      </c>
      <c r="M24" s="473"/>
      <c r="N24" s="41" t="e">
        <f>F24+B24</f>
        <v>#DIV/0!</v>
      </c>
      <c r="O24" s="42" t="str">
        <f t="shared" si="7"/>
        <v>V</v>
      </c>
      <c r="P24" s="41" t="e">
        <f>H24</f>
        <v>#DIV/0!</v>
      </c>
      <c r="Q24" s="42" t="str">
        <f t="shared" si="9"/>
        <v>V</v>
      </c>
      <c r="R24" s="468" t="e">
        <f t="shared" si="10"/>
        <v>#DIV/0!</v>
      </c>
      <c r="S24" s="468"/>
      <c r="T24" s="41" t="e">
        <f t="shared" si="18"/>
        <v>#DIV/0!</v>
      </c>
      <c r="U24" s="37" t="str">
        <f t="shared" si="12"/>
        <v>V</v>
      </c>
      <c r="V24" s="465" t="e">
        <f t="shared" si="13"/>
        <v>#DIV/0!</v>
      </c>
      <c r="W24" s="465"/>
      <c r="X24" s="464" t="e">
        <f t="shared" si="0"/>
        <v>#DIV/0!</v>
      </c>
      <c r="Y24" s="464"/>
    </row>
    <row r="25" spans="2:25">
      <c r="B25" s="49" t="e">
        <f>DataSheet!AM67</f>
        <v>#DIV/0!</v>
      </c>
      <c r="C25" s="50" t="str">
        <f>DataSheet!P67</f>
        <v>V</v>
      </c>
      <c r="D25" s="34" t="e">
        <f>ABS((DataSheet!AM67*0.7%)+(3*DataSheet!CK67))</f>
        <v>#DIV/0!</v>
      </c>
      <c r="E25" s="35" t="str">
        <f t="shared" si="1"/>
        <v>V</v>
      </c>
      <c r="F25" s="38" t="e">
        <f>DataSheet!DD67</f>
        <v>#DIV/0!</v>
      </c>
      <c r="G25" s="35" t="str">
        <f t="shared" si="2"/>
        <v>V</v>
      </c>
      <c r="H25" s="41" t="e">
        <f>DataSheet!L67+D25</f>
        <v>#DIV/0!</v>
      </c>
      <c r="I25" s="42" t="str">
        <f t="shared" si="3"/>
        <v>V</v>
      </c>
      <c r="J25" s="41" t="e">
        <f>DataSheet!L67-D25</f>
        <v>#DIV/0!</v>
      </c>
      <c r="K25" s="35" t="str">
        <f t="shared" si="4"/>
        <v>V</v>
      </c>
      <c r="L25" s="473" t="e">
        <f t="shared" si="5"/>
        <v>#DIV/0!</v>
      </c>
      <c r="M25" s="473"/>
      <c r="N25" s="41" t="e">
        <f t="shared" ref="N25:N26" si="21">F25+B25</f>
        <v>#DIV/0!</v>
      </c>
      <c r="O25" s="42" t="str">
        <f t="shared" si="7"/>
        <v>V</v>
      </c>
      <c r="P25" s="41" t="e">
        <f t="shared" ref="P25:P26" si="22">H25</f>
        <v>#DIV/0!</v>
      </c>
      <c r="Q25" s="42" t="str">
        <f t="shared" si="9"/>
        <v>V</v>
      </c>
      <c r="R25" s="468" t="e">
        <f t="shared" si="10"/>
        <v>#DIV/0!</v>
      </c>
      <c r="S25" s="468"/>
      <c r="T25" s="41" t="e">
        <f t="shared" si="18"/>
        <v>#DIV/0!</v>
      </c>
      <c r="U25" s="37" t="str">
        <f t="shared" si="12"/>
        <v>V</v>
      </c>
      <c r="V25" s="465" t="e">
        <f t="shared" si="13"/>
        <v>#DIV/0!</v>
      </c>
      <c r="W25" s="465"/>
      <c r="X25" s="464" t="e">
        <f t="shared" si="0"/>
        <v>#DIV/0!</v>
      </c>
      <c r="Y25" s="464"/>
    </row>
    <row r="26" spans="2:25">
      <c r="B26" s="49" t="e">
        <f>DataSheet!AM68</f>
        <v>#DIV/0!</v>
      </c>
      <c r="C26" s="50" t="str">
        <f>DataSheet!P68</f>
        <v>V</v>
      </c>
      <c r="D26" s="34" t="e">
        <f>ABS((DataSheet!AM68*0.7%)-(3*DataSheet!CK68))</f>
        <v>#DIV/0!</v>
      </c>
      <c r="E26" s="35" t="str">
        <f t="shared" si="1"/>
        <v>V</v>
      </c>
      <c r="F26" s="38" t="e">
        <f>DataSheet!DD68</f>
        <v>#DIV/0!</v>
      </c>
      <c r="G26" s="35" t="str">
        <f t="shared" si="2"/>
        <v>V</v>
      </c>
      <c r="H26" s="41" t="e">
        <f>DataSheet!L68+D26</f>
        <v>#DIV/0!</v>
      </c>
      <c r="I26" s="42" t="str">
        <f t="shared" si="3"/>
        <v>V</v>
      </c>
      <c r="J26" s="41" t="e">
        <f>DataSheet!L68-D26</f>
        <v>#DIV/0!</v>
      </c>
      <c r="K26" s="35" t="str">
        <f t="shared" si="4"/>
        <v>V</v>
      </c>
      <c r="L26" s="473" t="e">
        <f t="shared" si="5"/>
        <v>#DIV/0!</v>
      </c>
      <c r="M26" s="473"/>
      <c r="N26" s="41" t="e">
        <f t="shared" si="21"/>
        <v>#DIV/0!</v>
      </c>
      <c r="O26" s="42" t="str">
        <f t="shared" si="7"/>
        <v>V</v>
      </c>
      <c r="P26" s="41" t="e">
        <f t="shared" si="22"/>
        <v>#DIV/0!</v>
      </c>
      <c r="Q26" s="42" t="str">
        <f t="shared" si="9"/>
        <v>V</v>
      </c>
      <c r="R26" s="468" t="e">
        <f t="shared" si="10"/>
        <v>#DIV/0!</v>
      </c>
      <c r="S26" s="468"/>
      <c r="T26" s="41" t="e">
        <f t="shared" si="18"/>
        <v>#DIV/0!</v>
      </c>
      <c r="U26" s="37" t="str">
        <f t="shared" si="12"/>
        <v>V</v>
      </c>
      <c r="V26" s="465" t="e">
        <f t="shared" si="13"/>
        <v>#DIV/0!</v>
      </c>
      <c r="W26" s="465"/>
      <c r="X26" s="464" t="e">
        <f t="shared" si="0"/>
        <v>#DIV/0!</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119</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120</v>
      </c>
      <c r="O29" s="463"/>
      <c r="P29" s="463" t="s">
        <v>76</v>
      </c>
      <c r="Q29" s="463"/>
      <c r="R29" s="463" t="s">
        <v>78</v>
      </c>
      <c r="S29" s="463"/>
      <c r="T29" s="466" t="s">
        <v>121</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t="e">
        <f>DataSheet!AM80</f>
        <v>#DIV/0!</v>
      </c>
      <c r="C31" s="48" t="str">
        <f>DataSheet!P80</f>
        <v>V</v>
      </c>
      <c r="D31" s="36" t="e">
        <f>ABS((DataSheet!AM80*1.6%)+(9*DataSheet!CK80))</f>
        <v>#DIV/0!</v>
      </c>
      <c r="E31" s="37" t="str">
        <f>C31</f>
        <v>V</v>
      </c>
      <c r="F31" s="38" t="e">
        <f>DataSheet!DD80</f>
        <v>#DIV/0!</v>
      </c>
      <c r="G31" s="35" t="str">
        <f t="shared" ref="G31" si="23">E31</f>
        <v>V</v>
      </c>
      <c r="H31" s="475" t="e">
        <f>DataSheet!L80+D31</f>
        <v>#DIV/0!</v>
      </c>
      <c r="I31" s="475"/>
      <c r="J31" s="475" t="e">
        <f>DataSheet!L80-D31</f>
        <v>#DIV/0!</v>
      </c>
      <c r="K31" s="475"/>
      <c r="L31" s="473" t="e">
        <f t="shared" ref="L31:L48" si="24">IF(AND(B31&lt;=H31,B31&gt;=J31),"PASSED","FAILED")</f>
        <v>#DIV/0!</v>
      </c>
      <c r="M31" s="473"/>
      <c r="N31" s="36" t="e">
        <f>DataSheet!DD80+B31</f>
        <v>#DIV/0!</v>
      </c>
      <c r="O31" s="35" t="str">
        <f t="shared" ref="O31:O48" si="25">G31</f>
        <v>V</v>
      </c>
      <c r="P31" s="36" t="e">
        <f>H31</f>
        <v>#DIV/0!</v>
      </c>
      <c r="Q31" s="37" t="str">
        <f t="shared" ref="Q31:Q48" si="26">O31</f>
        <v>V</v>
      </c>
      <c r="R31" s="465" t="e">
        <f t="shared" ref="R31:R48" si="27">IF(AND(N31&lt;=H31,N31&gt;=J31),"PASSED","FAILED")</f>
        <v>#DIV/0!</v>
      </c>
      <c r="S31" s="465"/>
      <c r="T31" s="36" t="e">
        <f>-DataSheet!DD80+B31</f>
        <v>#DIV/0!</v>
      </c>
      <c r="U31" s="37" t="str">
        <f t="shared" ref="U31:U48" si="28">O31</f>
        <v>V</v>
      </c>
      <c r="V31" s="465" t="e">
        <f t="shared" ref="V31:V48" si="29">IF(AND(T31&lt;=H31,T31&gt;=J31),"PASSED","FAILED")</f>
        <v>#DIV/0!</v>
      </c>
      <c r="W31" s="465"/>
      <c r="X31" s="464" t="e">
        <f t="shared" ref="X31:X48" si="30">IF(AND(L31="PASSED",R31="PASSED",V31="PASSED"),"PASSED",IF(L31="FAILED","FAILED","UNDETERMINED"))</f>
        <v>#DIV/0!</v>
      </c>
      <c r="Y31" s="464"/>
    </row>
    <row r="32" spans="2:25">
      <c r="B32" s="47" t="e">
        <f>DataSheet!AM81</f>
        <v>#DIV/0!</v>
      </c>
      <c r="C32" s="48" t="str">
        <f>DataSheet!P81</f>
        <v>V</v>
      </c>
      <c r="D32" s="36" t="e">
        <f>ABS((DataSheet!AM81*1.6%)+(9*DataSheet!CK81))</f>
        <v>#DIV/0!</v>
      </c>
      <c r="E32" s="37" t="str">
        <f t="shared" ref="E32:E48" si="31">C32</f>
        <v>V</v>
      </c>
      <c r="F32" s="38" t="e">
        <f>DataSheet!DD81</f>
        <v>#DIV/0!</v>
      </c>
      <c r="G32" s="35" t="str">
        <f t="shared" ref="G32:G48" si="32">E32</f>
        <v>V</v>
      </c>
      <c r="H32" s="475" t="e">
        <f>DataSheet!L81+D32</f>
        <v>#DIV/0!</v>
      </c>
      <c r="I32" s="475"/>
      <c r="J32" s="475" t="e">
        <f>DataSheet!L81-D32</f>
        <v>#DIV/0!</v>
      </c>
      <c r="K32" s="475"/>
      <c r="L32" s="473" t="e">
        <f t="shared" si="24"/>
        <v>#DIV/0!</v>
      </c>
      <c r="M32" s="473"/>
      <c r="N32" s="36" t="e">
        <f>DataSheet!DD81+B32</f>
        <v>#DIV/0!</v>
      </c>
      <c r="O32" s="35" t="str">
        <f t="shared" si="25"/>
        <v>V</v>
      </c>
      <c r="P32" s="36" t="e">
        <f>H32</f>
        <v>#DIV/0!</v>
      </c>
      <c r="Q32" s="37" t="str">
        <f t="shared" si="26"/>
        <v>V</v>
      </c>
      <c r="R32" s="465" t="e">
        <f t="shared" si="27"/>
        <v>#DIV/0!</v>
      </c>
      <c r="S32" s="465"/>
      <c r="T32" s="36" t="e">
        <f>-DataSheet!DD81+B32</f>
        <v>#DIV/0!</v>
      </c>
      <c r="U32" s="37" t="str">
        <f t="shared" si="28"/>
        <v>V</v>
      </c>
      <c r="V32" s="465" t="e">
        <f t="shared" si="29"/>
        <v>#DIV/0!</v>
      </c>
      <c r="W32" s="465"/>
      <c r="X32" s="464" t="e">
        <f t="shared" si="30"/>
        <v>#DIV/0!</v>
      </c>
      <c r="Y32" s="464"/>
    </row>
    <row r="33" spans="2:25">
      <c r="B33" s="47" t="e">
        <f>DataSheet!AM82</f>
        <v>#DIV/0!</v>
      </c>
      <c r="C33" s="48" t="str">
        <f>DataSheet!P82</f>
        <v>V</v>
      </c>
      <c r="D33" s="36" t="e">
        <f>ABS((DataSheet!AM82*1.6%)+(9*DataSheet!CK82))</f>
        <v>#DIV/0!</v>
      </c>
      <c r="E33" s="37" t="str">
        <f t="shared" si="31"/>
        <v>V</v>
      </c>
      <c r="F33" s="38" t="e">
        <f>DataSheet!DD82</f>
        <v>#DIV/0!</v>
      </c>
      <c r="G33" s="35" t="str">
        <f t="shared" si="32"/>
        <v>V</v>
      </c>
      <c r="H33" s="475" t="e">
        <f>DataSheet!L82+D33</f>
        <v>#DIV/0!</v>
      </c>
      <c r="I33" s="475"/>
      <c r="J33" s="475" t="e">
        <f>DataSheet!L82-D33</f>
        <v>#DIV/0!</v>
      </c>
      <c r="K33" s="475"/>
      <c r="L33" s="473" t="e">
        <f t="shared" si="24"/>
        <v>#DIV/0!</v>
      </c>
      <c r="M33" s="473"/>
      <c r="N33" s="36" t="e">
        <f>DataSheet!DD82+B33</f>
        <v>#DIV/0!</v>
      </c>
      <c r="O33" s="35" t="str">
        <f t="shared" si="25"/>
        <v>V</v>
      </c>
      <c r="P33" s="36" t="e">
        <f>H33</f>
        <v>#DIV/0!</v>
      </c>
      <c r="Q33" s="37" t="str">
        <f t="shared" si="26"/>
        <v>V</v>
      </c>
      <c r="R33" s="465" t="e">
        <f t="shared" si="27"/>
        <v>#DIV/0!</v>
      </c>
      <c r="S33" s="465"/>
      <c r="T33" s="36" t="e">
        <f>-DataSheet!DD82+B33</f>
        <v>#DIV/0!</v>
      </c>
      <c r="U33" s="37" t="str">
        <f t="shared" si="28"/>
        <v>V</v>
      </c>
      <c r="V33" s="465" t="e">
        <f t="shared" si="29"/>
        <v>#DIV/0!</v>
      </c>
      <c r="W33" s="465"/>
      <c r="X33" s="464" t="e">
        <f t="shared" si="30"/>
        <v>#DIV/0!</v>
      </c>
      <c r="Y33" s="464"/>
    </row>
    <row r="34" spans="2:25">
      <c r="B34" s="47" t="e">
        <f>DataSheet!AM83</f>
        <v>#DIV/0!</v>
      </c>
      <c r="C34" s="48" t="str">
        <f>DataSheet!P83</f>
        <v>V</v>
      </c>
      <c r="D34" s="36" t="e">
        <f>ABS((DataSheet!AM83*1.6%)+(9*DataSheet!CK83))</f>
        <v>#DIV/0!</v>
      </c>
      <c r="E34" s="37" t="str">
        <f t="shared" si="31"/>
        <v>V</v>
      </c>
      <c r="F34" s="38" t="e">
        <f>DataSheet!DD83</f>
        <v>#DIV/0!</v>
      </c>
      <c r="G34" s="35" t="str">
        <f t="shared" si="32"/>
        <v>V</v>
      </c>
      <c r="H34" s="475" t="e">
        <f>DataSheet!L83+D34</f>
        <v>#DIV/0!</v>
      </c>
      <c r="I34" s="475"/>
      <c r="J34" s="475" t="e">
        <f>DataSheet!L83-D34</f>
        <v>#DIV/0!</v>
      </c>
      <c r="K34" s="475"/>
      <c r="L34" s="473" t="e">
        <f t="shared" si="24"/>
        <v>#DIV/0!</v>
      </c>
      <c r="M34" s="473"/>
      <c r="N34" s="36" t="e">
        <f>DataSheet!DD83+B34</f>
        <v>#DIV/0!</v>
      </c>
      <c r="O34" s="35" t="str">
        <f t="shared" si="25"/>
        <v>V</v>
      </c>
      <c r="P34" s="36" t="e">
        <f>H34</f>
        <v>#DIV/0!</v>
      </c>
      <c r="Q34" s="37" t="str">
        <f t="shared" si="26"/>
        <v>V</v>
      </c>
      <c r="R34" s="465" t="e">
        <f t="shared" si="27"/>
        <v>#DIV/0!</v>
      </c>
      <c r="S34" s="465"/>
      <c r="T34" s="36" t="e">
        <f>-DataSheet!DD83+B34</f>
        <v>#DIV/0!</v>
      </c>
      <c r="U34" s="37" t="str">
        <f t="shared" si="28"/>
        <v>V</v>
      </c>
      <c r="V34" s="465" t="e">
        <f t="shared" si="29"/>
        <v>#DIV/0!</v>
      </c>
      <c r="W34" s="465"/>
      <c r="X34" s="464" t="e">
        <f t="shared" si="30"/>
        <v>#DIV/0!</v>
      </c>
      <c r="Y34" s="464"/>
    </row>
    <row r="35" spans="2:25">
      <c r="B35" s="45" t="e">
        <f>DataSheet!AM84</f>
        <v>#DIV/0!</v>
      </c>
      <c r="C35" s="48" t="str">
        <f>DataSheet!P84</f>
        <v>V</v>
      </c>
      <c r="D35" s="34" t="e">
        <f>ABS((DataSheet!AM84*1.6%)+(9*DataSheet!CK84))</f>
        <v>#DIV/0!</v>
      </c>
      <c r="E35" s="35" t="str">
        <f t="shared" si="31"/>
        <v>V</v>
      </c>
      <c r="F35" s="38" t="e">
        <f>DataSheet!DD84</f>
        <v>#DIV/0!</v>
      </c>
      <c r="G35" s="35" t="str">
        <f t="shared" si="32"/>
        <v>V</v>
      </c>
      <c r="H35" s="474" t="e">
        <f>DataSheet!L84+D35</f>
        <v>#DIV/0!</v>
      </c>
      <c r="I35" s="474"/>
      <c r="J35" s="474" t="e">
        <f>DataSheet!L84-D35</f>
        <v>#DIV/0!</v>
      </c>
      <c r="K35" s="474"/>
      <c r="L35" s="474" t="e">
        <f t="shared" si="24"/>
        <v>#DIV/0!</v>
      </c>
      <c r="M35" s="474"/>
      <c r="N35" s="34" t="e">
        <f>DataSheet!DD84+B35</f>
        <v>#DIV/0!</v>
      </c>
      <c r="O35" s="35" t="str">
        <f t="shared" si="25"/>
        <v>V</v>
      </c>
      <c r="P35" s="34" t="e">
        <f t="shared" ref="P35:P48" si="33">H35</f>
        <v>#DIV/0!</v>
      </c>
      <c r="Q35" s="35" t="str">
        <f t="shared" si="26"/>
        <v>V</v>
      </c>
      <c r="R35" s="469" t="e">
        <f t="shared" si="27"/>
        <v>#DIV/0!</v>
      </c>
      <c r="S35" s="469"/>
      <c r="T35" s="34" t="e">
        <f t="shared" ref="T35:T48" si="34">-F35+B35</f>
        <v>#DIV/0!</v>
      </c>
      <c r="U35" s="37" t="str">
        <f t="shared" si="28"/>
        <v>V</v>
      </c>
      <c r="V35" s="465" t="e">
        <f t="shared" si="29"/>
        <v>#DIV/0!</v>
      </c>
      <c r="W35" s="465"/>
      <c r="X35" s="464" t="e">
        <f t="shared" si="30"/>
        <v>#DIV/0!</v>
      </c>
      <c r="Y35" s="464"/>
    </row>
    <row r="36" spans="2:25">
      <c r="B36" s="45" t="e">
        <f>DataSheet!AM85</f>
        <v>#DIV/0!</v>
      </c>
      <c r="C36" s="48" t="str">
        <f>DataSheet!P85</f>
        <v>V</v>
      </c>
      <c r="D36" s="34" t="e">
        <f>ABS((DataSheet!AM85*1.6%)+(9*DataSheet!CK85))</f>
        <v>#DIV/0!</v>
      </c>
      <c r="E36" s="35" t="str">
        <f t="shared" si="31"/>
        <v>V</v>
      </c>
      <c r="F36" s="38" t="e">
        <f>DataSheet!DD85</f>
        <v>#DIV/0!</v>
      </c>
      <c r="G36" s="35" t="str">
        <f t="shared" si="32"/>
        <v>V</v>
      </c>
      <c r="H36" s="474" t="e">
        <f>DataSheet!L85+D36</f>
        <v>#DIV/0!</v>
      </c>
      <c r="I36" s="474"/>
      <c r="J36" s="474" t="e">
        <f>DataSheet!L85-D36</f>
        <v>#DIV/0!</v>
      </c>
      <c r="K36" s="474"/>
      <c r="L36" s="474" t="e">
        <f t="shared" si="24"/>
        <v>#DIV/0!</v>
      </c>
      <c r="M36" s="474"/>
      <c r="N36" s="34" t="e">
        <f>DataSheet!DD85+B36</f>
        <v>#DIV/0!</v>
      </c>
      <c r="O36" s="35" t="str">
        <f t="shared" si="25"/>
        <v>V</v>
      </c>
      <c r="P36" s="34" t="e">
        <f t="shared" si="33"/>
        <v>#DIV/0!</v>
      </c>
      <c r="Q36" s="35" t="str">
        <f t="shared" si="26"/>
        <v>V</v>
      </c>
      <c r="R36" s="469" t="e">
        <f t="shared" si="27"/>
        <v>#DIV/0!</v>
      </c>
      <c r="S36" s="469"/>
      <c r="T36" s="34" t="e">
        <f t="shared" si="34"/>
        <v>#DIV/0!</v>
      </c>
      <c r="U36" s="37" t="str">
        <f t="shared" si="28"/>
        <v>V</v>
      </c>
      <c r="V36" s="465" t="e">
        <f t="shared" si="29"/>
        <v>#DIV/0!</v>
      </c>
      <c r="W36" s="465"/>
      <c r="X36" s="464" t="e">
        <f t="shared" si="30"/>
        <v>#DIV/0!</v>
      </c>
      <c r="Y36" s="464"/>
    </row>
    <row r="37" spans="2:25">
      <c r="B37" s="45" t="e">
        <f>DataSheet!AM86</f>
        <v>#DIV/0!</v>
      </c>
      <c r="C37" s="46" t="str">
        <f>DataSheet!P86</f>
        <v>V</v>
      </c>
      <c r="D37" s="34" t="e">
        <f>ABS((DataSheet!AM86*1.6%)+(9*DataSheet!CK86))</f>
        <v>#DIV/0!</v>
      </c>
      <c r="E37" s="35" t="str">
        <f t="shared" si="31"/>
        <v>V</v>
      </c>
      <c r="F37" s="38" t="e">
        <f>DataSheet!DD86</f>
        <v>#DIV/0!</v>
      </c>
      <c r="G37" s="35" t="str">
        <f t="shared" si="32"/>
        <v>V</v>
      </c>
      <c r="H37" s="474" t="e">
        <f>DataSheet!L86+D37</f>
        <v>#DIV/0!</v>
      </c>
      <c r="I37" s="474"/>
      <c r="J37" s="474" t="e">
        <f>DataSheet!L86-D37</f>
        <v>#DIV/0!</v>
      </c>
      <c r="K37" s="474"/>
      <c r="L37" s="474" t="e">
        <f t="shared" si="24"/>
        <v>#DIV/0!</v>
      </c>
      <c r="M37" s="474"/>
      <c r="N37" s="34" t="e">
        <f>DataSheet!DD86+B37</f>
        <v>#DIV/0!</v>
      </c>
      <c r="O37" s="35" t="str">
        <f t="shared" si="25"/>
        <v>V</v>
      </c>
      <c r="P37" s="34" t="e">
        <f t="shared" si="33"/>
        <v>#DIV/0!</v>
      </c>
      <c r="Q37" s="35" t="str">
        <f t="shared" si="26"/>
        <v>V</v>
      </c>
      <c r="R37" s="469" t="e">
        <f t="shared" si="27"/>
        <v>#DIV/0!</v>
      </c>
      <c r="S37" s="469"/>
      <c r="T37" s="34" t="e">
        <f t="shared" si="34"/>
        <v>#DIV/0!</v>
      </c>
      <c r="U37" s="37" t="str">
        <f t="shared" si="28"/>
        <v>V</v>
      </c>
      <c r="V37" s="465" t="e">
        <f t="shared" si="29"/>
        <v>#DIV/0!</v>
      </c>
      <c r="W37" s="465"/>
      <c r="X37" s="464" t="e">
        <f t="shared" si="30"/>
        <v>#DIV/0!</v>
      </c>
      <c r="Y37" s="464"/>
    </row>
    <row r="38" spans="2:25">
      <c r="B38" s="45" t="e">
        <f>DataSheet!AM87</f>
        <v>#DIV/0!</v>
      </c>
      <c r="C38" s="46" t="str">
        <f>DataSheet!P87</f>
        <v>V</v>
      </c>
      <c r="D38" s="34" t="e">
        <f>ABS((DataSheet!AM87*1.6%)+(9*DataSheet!CK87))</f>
        <v>#DIV/0!</v>
      </c>
      <c r="E38" s="35" t="str">
        <f t="shared" si="31"/>
        <v>V</v>
      </c>
      <c r="F38" s="38" t="e">
        <f>DataSheet!DD87</f>
        <v>#DIV/0!</v>
      </c>
      <c r="G38" s="35" t="str">
        <f t="shared" si="32"/>
        <v>V</v>
      </c>
      <c r="H38" s="474" t="e">
        <f>DataSheet!L87+D38</f>
        <v>#DIV/0!</v>
      </c>
      <c r="I38" s="474"/>
      <c r="J38" s="474" t="e">
        <f>DataSheet!L87-D38</f>
        <v>#DIV/0!</v>
      </c>
      <c r="K38" s="474"/>
      <c r="L38" s="474" t="e">
        <f t="shared" si="24"/>
        <v>#DIV/0!</v>
      </c>
      <c r="M38" s="474"/>
      <c r="N38" s="34" t="e">
        <f>DataSheet!DD87+B38</f>
        <v>#DIV/0!</v>
      </c>
      <c r="O38" s="35" t="str">
        <f t="shared" si="25"/>
        <v>V</v>
      </c>
      <c r="P38" s="34" t="e">
        <f t="shared" si="33"/>
        <v>#DIV/0!</v>
      </c>
      <c r="Q38" s="35" t="str">
        <f t="shared" si="26"/>
        <v>V</v>
      </c>
      <c r="R38" s="469" t="e">
        <f t="shared" si="27"/>
        <v>#DIV/0!</v>
      </c>
      <c r="S38" s="469"/>
      <c r="T38" s="34" t="e">
        <f t="shared" si="34"/>
        <v>#DIV/0!</v>
      </c>
      <c r="U38" s="37" t="str">
        <f t="shared" si="28"/>
        <v>V</v>
      </c>
      <c r="V38" s="465" t="e">
        <f t="shared" si="29"/>
        <v>#DIV/0!</v>
      </c>
      <c r="W38" s="465"/>
      <c r="X38" s="464" t="e">
        <f t="shared" si="30"/>
        <v>#DIV/0!</v>
      </c>
      <c r="Y38" s="464"/>
    </row>
    <row r="39" spans="2:25">
      <c r="B39" s="45" t="e">
        <f>DataSheet!AM88</f>
        <v>#DIV/0!</v>
      </c>
      <c r="C39" s="46" t="str">
        <f>DataSheet!P88</f>
        <v>V</v>
      </c>
      <c r="D39" s="34" t="e">
        <f>ABS((DataSheet!AM88*1.6%)+(9*DataSheet!CK88))</f>
        <v>#DIV/0!</v>
      </c>
      <c r="E39" s="35" t="str">
        <f t="shared" si="31"/>
        <v>V</v>
      </c>
      <c r="F39" s="38" t="e">
        <f>DataSheet!DD88</f>
        <v>#DIV/0!</v>
      </c>
      <c r="G39" s="35" t="str">
        <f t="shared" si="32"/>
        <v>V</v>
      </c>
      <c r="H39" s="474" t="e">
        <f>DataSheet!L88+D39</f>
        <v>#DIV/0!</v>
      </c>
      <c r="I39" s="474"/>
      <c r="J39" s="474" t="e">
        <f>DataSheet!L88-D39</f>
        <v>#DIV/0!</v>
      </c>
      <c r="K39" s="474"/>
      <c r="L39" s="474" t="e">
        <f t="shared" si="24"/>
        <v>#DIV/0!</v>
      </c>
      <c r="M39" s="474"/>
      <c r="N39" s="34" t="e">
        <f>DataSheet!DD88+B39</f>
        <v>#DIV/0!</v>
      </c>
      <c r="O39" s="35" t="str">
        <f t="shared" si="25"/>
        <v>V</v>
      </c>
      <c r="P39" s="34" t="e">
        <f t="shared" si="33"/>
        <v>#DIV/0!</v>
      </c>
      <c r="Q39" s="35" t="str">
        <f t="shared" si="26"/>
        <v>V</v>
      </c>
      <c r="R39" s="469" t="e">
        <f t="shared" si="27"/>
        <v>#DIV/0!</v>
      </c>
      <c r="S39" s="469"/>
      <c r="T39" s="34" t="e">
        <f t="shared" si="34"/>
        <v>#DIV/0!</v>
      </c>
      <c r="U39" s="37" t="str">
        <f t="shared" si="28"/>
        <v>V</v>
      </c>
      <c r="V39" s="465" t="e">
        <f t="shared" si="29"/>
        <v>#DIV/0!</v>
      </c>
      <c r="W39" s="465"/>
      <c r="X39" s="464" t="e">
        <f t="shared" si="30"/>
        <v>#DIV/0!</v>
      </c>
      <c r="Y39" s="464"/>
    </row>
    <row r="40" spans="2:25">
      <c r="B40" s="45" t="e">
        <f>DataSheet!AM89</f>
        <v>#DIV/0!</v>
      </c>
      <c r="C40" s="46" t="str">
        <f>DataSheet!P89</f>
        <v>V</v>
      </c>
      <c r="D40" s="34" t="e">
        <f>ABS((DataSheet!AM89*1.6%)+(9*DataSheet!CK89))</f>
        <v>#DIV/0!</v>
      </c>
      <c r="E40" s="35" t="str">
        <f t="shared" si="31"/>
        <v>V</v>
      </c>
      <c r="F40" s="38" t="e">
        <f>DataSheet!DD89</f>
        <v>#DIV/0!</v>
      </c>
      <c r="G40" s="35" t="str">
        <f t="shared" si="32"/>
        <v>V</v>
      </c>
      <c r="H40" s="474" t="e">
        <f>DataSheet!L89+D40</f>
        <v>#DIV/0!</v>
      </c>
      <c r="I40" s="474"/>
      <c r="J40" s="474" t="e">
        <f>DataSheet!L89-D40</f>
        <v>#DIV/0!</v>
      </c>
      <c r="K40" s="474"/>
      <c r="L40" s="474" t="e">
        <f t="shared" si="24"/>
        <v>#DIV/0!</v>
      </c>
      <c r="M40" s="474"/>
      <c r="N40" s="34" t="e">
        <f>DataSheet!DD89+B40</f>
        <v>#DIV/0!</v>
      </c>
      <c r="O40" s="35" t="str">
        <f t="shared" si="25"/>
        <v>V</v>
      </c>
      <c r="P40" s="34" t="e">
        <f t="shared" si="33"/>
        <v>#DIV/0!</v>
      </c>
      <c r="Q40" s="35" t="str">
        <f t="shared" si="26"/>
        <v>V</v>
      </c>
      <c r="R40" s="469" t="e">
        <f t="shared" si="27"/>
        <v>#DIV/0!</v>
      </c>
      <c r="S40" s="469"/>
      <c r="T40" s="34" t="e">
        <f t="shared" si="34"/>
        <v>#DIV/0!</v>
      </c>
      <c r="U40" s="37" t="str">
        <f t="shared" si="28"/>
        <v>V</v>
      </c>
      <c r="V40" s="465" t="e">
        <f t="shared" si="29"/>
        <v>#DIV/0!</v>
      </c>
      <c r="W40" s="465"/>
      <c r="X40" s="464" t="e">
        <f t="shared" si="30"/>
        <v>#DIV/0!</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t="e">
        <f>DataSheet!AM90</f>
        <v>#DIV/0!</v>
      </c>
      <c r="C45" s="50" t="str">
        <f>DataSheet!P90</f>
        <v>V</v>
      </c>
      <c r="D45" s="41" t="e">
        <f>ABS((DataSheet!AM90*1.6%)+(9*DataSheet!CK90))</f>
        <v>#DIV/0!</v>
      </c>
      <c r="E45" s="37" t="str">
        <f t="shared" si="31"/>
        <v>V</v>
      </c>
      <c r="F45" s="38" t="e">
        <f>DataSheet!DD90</f>
        <v>#DIV/0!</v>
      </c>
      <c r="G45" s="35" t="str">
        <f t="shared" si="32"/>
        <v>V</v>
      </c>
      <c r="H45" s="476" t="e">
        <f>DataSheet!L90+D45</f>
        <v>#DIV/0!</v>
      </c>
      <c r="I45" s="476"/>
      <c r="J45" s="476" t="e">
        <f>DataSheet!L90-D45</f>
        <v>#DIV/0!</v>
      </c>
      <c r="K45" s="476"/>
      <c r="L45" s="476" t="e">
        <f t="shared" si="24"/>
        <v>#DIV/0!</v>
      </c>
      <c r="M45" s="476"/>
      <c r="N45" s="41" t="e">
        <f>DataSheet!DD90+B45</f>
        <v>#DIV/0!</v>
      </c>
      <c r="O45" s="42" t="str">
        <f t="shared" si="25"/>
        <v>V</v>
      </c>
      <c r="P45" s="41" t="e">
        <f t="shared" si="33"/>
        <v>#DIV/0!</v>
      </c>
      <c r="Q45" s="42" t="str">
        <f t="shared" si="26"/>
        <v>V</v>
      </c>
      <c r="R45" s="468" t="e">
        <f t="shared" si="27"/>
        <v>#DIV/0!</v>
      </c>
      <c r="S45" s="468"/>
      <c r="T45" s="41" t="e">
        <f t="shared" si="34"/>
        <v>#DIV/0!</v>
      </c>
      <c r="U45" s="42" t="str">
        <f t="shared" si="28"/>
        <v>V</v>
      </c>
      <c r="V45" s="465" t="e">
        <f t="shared" si="29"/>
        <v>#DIV/0!</v>
      </c>
      <c r="W45" s="465"/>
      <c r="X45" s="464" t="e">
        <f t="shared" si="30"/>
        <v>#DIV/0!</v>
      </c>
      <c r="Y45" s="464"/>
    </row>
    <row r="46" spans="2:25">
      <c r="B46" s="49" t="e">
        <f>DataSheet!AM91</f>
        <v>#DIV/0!</v>
      </c>
      <c r="C46" s="50" t="str">
        <f>DataSheet!P91</f>
        <v>V</v>
      </c>
      <c r="D46" s="41" t="e">
        <f>ABS((DataSheet!AM91*1.6%)+(9*DataSheet!CK91))</f>
        <v>#DIV/0!</v>
      </c>
      <c r="E46" s="37" t="str">
        <f t="shared" si="31"/>
        <v>V</v>
      </c>
      <c r="F46" s="38" t="e">
        <f>DataSheet!DD91</f>
        <v>#DIV/0!</v>
      </c>
      <c r="G46" s="35" t="str">
        <f t="shared" si="32"/>
        <v>V</v>
      </c>
      <c r="H46" s="476" t="e">
        <f>DataSheet!L91+D46</f>
        <v>#DIV/0!</v>
      </c>
      <c r="I46" s="476"/>
      <c r="J46" s="476" t="e">
        <f>DataSheet!L91-D46</f>
        <v>#DIV/0!</v>
      </c>
      <c r="K46" s="476"/>
      <c r="L46" s="476" t="e">
        <f t="shared" si="24"/>
        <v>#DIV/0!</v>
      </c>
      <c r="M46" s="476"/>
      <c r="N46" s="41" t="e">
        <f>DataSheet!DD91+B46</f>
        <v>#DIV/0!</v>
      </c>
      <c r="O46" s="42" t="str">
        <f t="shared" si="25"/>
        <v>V</v>
      </c>
      <c r="P46" s="41" t="e">
        <f t="shared" si="33"/>
        <v>#DIV/0!</v>
      </c>
      <c r="Q46" s="42" t="str">
        <f t="shared" si="26"/>
        <v>V</v>
      </c>
      <c r="R46" s="468" t="e">
        <f t="shared" si="27"/>
        <v>#DIV/0!</v>
      </c>
      <c r="S46" s="468"/>
      <c r="T46" s="41" t="e">
        <f t="shared" si="34"/>
        <v>#DIV/0!</v>
      </c>
      <c r="U46" s="42" t="str">
        <f t="shared" si="28"/>
        <v>V</v>
      </c>
      <c r="V46" s="465" t="e">
        <f t="shared" si="29"/>
        <v>#DIV/0!</v>
      </c>
      <c r="W46" s="465"/>
      <c r="X46" s="464" t="e">
        <f t="shared" si="30"/>
        <v>#DIV/0!</v>
      </c>
      <c r="Y46" s="464"/>
    </row>
    <row r="47" spans="2:25">
      <c r="B47" s="49" t="e">
        <f>DataSheet!AM92</f>
        <v>#DIV/0!</v>
      </c>
      <c r="C47" s="50" t="str">
        <f>DataSheet!P92</f>
        <v>V</v>
      </c>
      <c r="D47" s="41" t="e">
        <f>ABS((DataSheet!AM92*1.6%)+(9*DataSheet!CK92))</f>
        <v>#DIV/0!</v>
      </c>
      <c r="E47" s="37" t="str">
        <f t="shared" si="31"/>
        <v>V</v>
      </c>
      <c r="F47" s="38" t="e">
        <f>DataSheet!DD92</f>
        <v>#DIV/0!</v>
      </c>
      <c r="G47" s="35" t="str">
        <f t="shared" si="32"/>
        <v>V</v>
      </c>
      <c r="H47" s="476" t="e">
        <f>DataSheet!L92+D47</f>
        <v>#DIV/0!</v>
      </c>
      <c r="I47" s="476"/>
      <c r="J47" s="476" t="e">
        <f>DataSheet!L92-D47</f>
        <v>#DIV/0!</v>
      </c>
      <c r="K47" s="476"/>
      <c r="L47" s="476" t="e">
        <f t="shared" si="24"/>
        <v>#DIV/0!</v>
      </c>
      <c r="M47" s="476"/>
      <c r="N47" s="41" t="e">
        <f>DataSheet!DD92+B47</f>
        <v>#DIV/0!</v>
      </c>
      <c r="O47" s="42" t="str">
        <f t="shared" si="25"/>
        <v>V</v>
      </c>
      <c r="P47" s="41" t="e">
        <f t="shared" si="33"/>
        <v>#DIV/0!</v>
      </c>
      <c r="Q47" s="42" t="str">
        <f t="shared" si="26"/>
        <v>V</v>
      </c>
      <c r="R47" s="468" t="e">
        <f t="shared" si="27"/>
        <v>#DIV/0!</v>
      </c>
      <c r="S47" s="468"/>
      <c r="T47" s="41" t="e">
        <f t="shared" si="34"/>
        <v>#DIV/0!</v>
      </c>
      <c r="U47" s="42" t="str">
        <f t="shared" si="28"/>
        <v>V</v>
      </c>
      <c r="V47" s="465" t="e">
        <f t="shared" si="29"/>
        <v>#DIV/0!</v>
      </c>
      <c r="W47" s="465"/>
      <c r="X47" s="464" t="e">
        <f t="shared" si="30"/>
        <v>#DIV/0!</v>
      </c>
      <c r="Y47" s="464"/>
    </row>
    <row r="48" spans="2:25">
      <c r="B48" s="49" t="e">
        <f>DataSheet!AM93</f>
        <v>#DIV/0!</v>
      </c>
      <c r="C48" s="50" t="str">
        <f>DataSheet!P93</f>
        <v>V</v>
      </c>
      <c r="D48" s="41" t="e">
        <f>ABS((DataSheet!AM93*1.6%)+(9*DataSheet!CK93))</f>
        <v>#DIV/0!</v>
      </c>
      <c r="E48" s="37" t="str">
        <f t="shared" si="31"/>
        <v>V</v>
      </c>
      <c r="F48" s="38" t="e">
        <f>DataSheet!DD93</f>
        <v>#DIV/0!</v>
      </c>
      <c r="G48" s="35" t="str">
        <f t="shared" si="32"/>
        <v>V</v>
      </c>
      <c r="H48" s="476" t="e">
        <f>DataSheet!L93+D48</f>
        <v>#DIV/0!</v>
      </c>
      <c r="I48" s="476"/>
      <c r="J48" s="476" t="e">
        <f>DataSheet!L93-D48</f>
        <v>#DIV/0!</v>
      </c>
      <c r="K48" s="476"/>
      <c r="L48" s="476" t="e">
        <f t="shared" si="24"/>
        <v>#DIV/0!</v>
      </c>
      <c r="M48" s="476"/>
      <c r="N48" s="41" t="e">
        <f>DataSheet!DD93+B48</f>
        <v>#DIV/0!</v>
      </c>
      <c r="O48" s="42" t="str">
        <f t="shared" si="25"/>
        <v>V</v>
      </c>
      <c r="P48" s="41" t="e">
        <f t="shared" si="33"/>
        <v>#DIV/0!</v>
      </c>
      <c r="Q48" s="42" t="str">
        <f t="shared" si="26"/>
        <v>V</v>
      </c>
      <c r="R48" s="468" t="e">
        <f t="shared" si="27"/>
        <v>#DIV/0!</v>
      </c>
      <c r="S48" s="468"/>
      <c r="T48" s="41" t="e">
        <f t="shared" si="34"/>
        <v>#DIV/0!</v>
      </c>
      <c r="U48" s="42" t="str">
        <f t="shared" si="28"/>
        <v>V</v>
      </c>
      <c r="V48" s="465" t="e">
        <f t="shared" si="29"/>
        <v>#DIV/0!</v>
      </c>
      <c r="W48" s="465"/>
      <c r="X48" s="464" t="e">
        <f t="shared" si="30"/>
        <v>#DIV/0!</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119</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120</v>
      </c>
      <c r="O51" s="463"/>
      <c r="P51" s="463" t="s">
        <v>76</v>
      </c>
      <c r="Q51" s="463"/>
      <c r="R51" s="463" t="s">
        <v>78</v>
      </c>
      <c r="S51" s="463"/>
      <c r="T51" s="466" t="s">
        <v>121</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t="e">
        <f>DataSheet!AM102</f>
        <v>#DIV/0!</v>
      </c>
      <c r="C53" s="48" t="str">
        <f>DataSheet!P102</f>
        <v>Ω</v>
      </c>
      <c r="D53" s="39" t="e">
        <f>ABS((DataSheet!AM102*1.5%)+(5*DataSheet!CK102))</f>
        <v>#DIV/0!</v>
      </c>
      <c r="E53" s="37" t="str">
        <f t="shared" ref="E53:E59" si="35">C53</f>
        <v>Ω</v>
      </c>
      <c r="F53" s="38" t="e">
        <f>DataSheet!DD102</f>
        <v>#DIV/0!</v>
      </c>
      <c r="G53" s="35" t="str">
        <f>C53</f>
        <v>Ω</v>
      </c>
      <c r="H53" s="472" t="e">
        <f>DataSheet!L102+D53</f>
        <v>#DIV/0!</v>
      </c>
      <c r="I53" s="472"/>
      <c r="J53" s="472" t="e">
        <f>DataSheet!L102-D53</f>
        <v>#DIV/0!</v>
      </c>
      <c r="K53" s="472"/>
      <c r="L53" s="473" t="e">
        <f t="shared" ref="L53:L59" si="36">IF(AND(B53&lt;=H53,B53&gt;=J53),"PASSED","FAILED")</f>
        <v>#DIV/0!</v>
      </c>
      <c r="M53" s="473"/>
      <c r="N53" s="39" t="e">
        <f>DataSheet!DD102+B53</f>
        <v>#DIV/0!</v>
      </c>
      <c r="O53" s="35" t="str">
        <f t="shared" ref="O53:O59" si="37">G53</f>
        <v>Ω</v>
      </c>
      <c r="P53" s="39" t="e">
        <f t="shared" ref="P53:P54" si="38">H53</f>
        <v>#DIV/0!</v>
      </c>
      <c r="Q53" s="40" t="str">
        <f t="shared" ref="Q53:Q56" si="39">O53</f>
        <v>Ω</v>
      </c>
      <c r="R53" s="465" t="e">
        <f t="shared" ref="R53:R59" si="40">IF(AND(N53&lt;=H53,N53&gt;=J53),"PASSED","FAILED")</f>
        <v>#DIV/0!</v>
      </c>
      <c r="S53" s="465"/>
      <c r="T53" s="39" t="e">
        <f t="shared" ref="T53:T54" si="41">-F53+B53</f>
        <v>#DIV/0!</v>
      </c>
      <c r="U53" s="37" t="str">
        <f t="shared" ref="U53:U59" si="42">O53</f>
        <v>Ω</v>
      </c>
      <c r="V53" s="465" t="e">
        <f t="shared" ref="V53:V59" si="43">IF(AND(T53&lt;=H53,T53&gt;=J53),"PASSED","FAILED")</f>
        <v>#DIV/0!</v>
      </c>
      <c r="W53" s="465"/>
      <c r="X53" s="464" t="e">
        <f t="shared" ref="X53:X59" si="44">IF(AND(L53="PASSED",R53="PASSED",V53="PASSED"),"PASSED",IF(L53="FAILED","FAILED","UNDETERMINED"))</f>
        <v>#DIV/0!</v>
      </c>
      <c r="Y53" s="464"/>
    </row>
    <row r="54" spans="2:25">
      <c r="B54" s="43" t="e">
        <f>DataSheet!AM103</f>
        <v>#DIV/0!</v>
      </c>
      <c r="C54" s="48" t="str">
        <f>DataSheet!P103</f>
        <v>Ω</v>
      </c>
      <c r="D54" s="39" t="e">
        <f>ABS((DataSheet!AM103*1.5%)+(5*DataSheet!CK103))</f>
        <v>#DIV/0!</v>
      </c>
      <c r="E54" s="37" t="str">
        <f t="shared" si="35"/>
        <v>Ω</v>
      </c>
      <c r="F54" s="38" t="e">
        <f>DataSheet!DD103</f>
        <v>#DIV/0!</v>
      </c>
      <c r="G54" s="35" t="str">
        <f t="shared" ref="G54:G59" si="45">C54</f>
        <v>Ω</v>
      </c>
      <c r="H54" s="472" t="e">
        <f>DataSheet!L103+D54</f>
        <v>#DIV/0!</v>
      </c>
      <c r="I54" s="472"/>
      <c r="J54" s="472" t="e">
        <f>DataSheet!L103-D54</f>
        <v>#DIV/0!</v>
      </c>
      <c r="K54" s="472"/>
      <c r="L54" s="473" t="e">
        <f t="shared" si="36"/>
        <v>#DIV/0!</v>
      </c>
      <c r="M54" s="473"/>
      <c r="N54" s="39" t="e">
        <f>DataSheet!DD103+B54</f>
        <v>#DIV/0!</v>
      </c>
      <c r="O54" s="35" t="str">
        <f t="shared" si="37"/>
        <v>Ω</v>
      </c>
      <c r="P54" s="39" t="e">
        <f t="shared" si="38"/>
        <v>#DIV/0!</v>
      </c>
      <c r="Q54" s="40" t="str">
        <f t="shared" si="39"/>
        <v>Ω</v>
      </c>
      <c r="R54" s="465" t="e">
        <f t="shared" si="40"/>
        <v>#DIV/0!</v>
      </c>
      <c r="S54" s="465"/>
      <c r="T54" s="39" t="e">
        <f t="shared" si="41"/>
        <v>#DIV/0!</v>
      </c>
      <c r="U54" s="37" t="str">
        <f t="shared" si="42"/>
        <v>Ω</v>
      </c>
      <c r="V54" s="465" t="e">
        <f t="shared" si="43"/>
        <v>#DIV/0!</v>
      </c>
      <c r="W54" s="465"/>
      <c r="X54" s="464" t="e">
        <f t="shared" si="44"/>
        <v>#DIV/0!</v>
      </c>
      <c r="Y54" s="464"/>
    </row>
    <row r="55" spans="2:25">
      <c r="B55" s="47" t="e">
        <f>DataSheet!AM104</f>
        <v>#DIV/0!</v>
      </c>
      <c r="C55" s="48" t="str">
        <f>DataSheet!P104</f>
        <v>kΩ</v>
      </c>
      <c r="D55" s="36" t="e">
        <f>ABS((DataSheet!AM104*1.5%)+(5*DataSheet!CK104))</f>
        <v>#DIV/0!</v>
      </c>
      <c r="E55" s="37" t="str">
        <f t="shared" si="35"/>
        <v>kΩ</v>
      </c>
      <c r="F55" s="38" t="e">
        <f>DataSheet!DD104</f>
        <v>#DIV/0!</v>
      </c>
      <c r="G55" s="35" t="str">
        <f t="shared" si="45"/>
        <v>kΩ</v>
      </c>
      <c r="H55" s="475" t="e">
        <f>DataSheet!L104+D55</f>
        <v>#DIV/0!</v>
      </c>
      <c r="I55" s="475"/>
      <c r="J55" s="475" t="e">
        <f>DataSheet!L104-D55</f>
        <v>#DIV/0!</v>
      </c>
      <c r="K55" s="475"/>
      <c r="L55" s="473" t="e">
        <f t="shared" si="36"/>
        <v>#DIV/0!</v>
      </c>
      <c r="M55" s="473"/>
      <c r="N55" s="36" t="e">
        <f>DataSheet!DD104+B55</f>
        <v>#DIV/0!</v>
      </c>
      <c r="O55" s="35" t="str">
        <f t="shared" si="37"/>
        <v>kΩ</v>
      </c>
      <c r="P55" s="36" t="e">
        <f>H55</f>
        <v>#DIV/0!</v>
      </c>
      <c r="Q55" s="37" t="str">
        <f t="shared" si="39"/>
        <v>kΩ</v>
      </c>
      <c r="R55" s="465" t="e">
        <f t="shared" si="40"/>
        <v>#DIV/0!</v>
      </c>
      <c r="S55" s="465"/>
      <c r="T55" s="36" t="e">
        <f>-DataSheet!DD104+B55</f>
        <v>#DIV/0!</v>
      </c>
      <c r="U55" s="37" t="str">
        <f t="shared" si="42"/>
        <v>kΩ</v>
      </c>
      <c r="V55" s="465" t="e">
        <f t="shared" si="43"/>
        <v>#DIV/0!</v>
      </c>
      <c r="W55" s="465"/>
      <c r="X55" s="464" t="e">
        <f t="shared" si="44"/>
        <v>#DIV/0!</v>
      </c>
      <c r="Y55" s="464"/>
    </row>
    <row r="56" spans="2:25">
      <c r="B56" s="45" t="e">
        <f>DataSheet!AM105</f>
        <v>#DIV/0!</v>
      </c>
      <c r="C56" s="48" t="str">
        <f>DataSheet!P105</f>
        <v>kΩ</v>
      </c>
      <c r="D56" s="34" t="e">
        <f>ABS((DataSheet!AM105*1.5%)+(5*DataSheet!CK105))</f>
        <v>#DIV/0!</v>
      </c>
      <c r="E56" s="37" t="str">
        <f t="shared" si="35"/>
        <v>kΩ</v>
      </c>
      <c r="F56" s="38" t="e">
        <f>DataSheet!DD105</f>
        <v>#DIV/0!</v>
      </c>
      <c r="G56" s="35" t="str">
        <f t="shared" si="45"/>
        <v>kΩ</v>
      </c>
      <c r="H56" s="474" t="e">
        <f>DataSheet!L105+D56</f>
        <v>#DIV/0!</v>
      </c>
      <c r="I56" s="474"/>
      <c r="J56" s="474" t="e">
        <f>DataSheet!L105-D56</f>
        <v>#DIV/0!</v>
      </c>
      <c r="K56" s="474"/>
      <c r="L56" s="473" t="e">
        <f t="shared" si="36"/>
        <v>#DIV/0!</v>
      </c>
      <c r="M56" s="473"/>
      <c r="N56" s="34" t="e">
        <f>DataSheet!DD105+B56</f>
        <v>#DIV/0!</v>
      </c>
      <c r="O56" s="35" t="str">
        <f t="shared" si="37"/>
        <v>kΩ</v>
      </c>
      <c r="P56" s="34" t="e">
        <f t="shared" ref="P56:P57" si="46">H56</f>
        <v>#DIV/0!</v>
      </c>
      <c r="Q56" s="35" t="str">
        <f t="shared" si="39"/>
        <v>kΩ</v>
      </c>
      <c r="R56" s="465" t="e">
        <f t="shared" si="40"/>
        <v>#DIV/0!</v>
      </c>
      <c r="S56" s="465"/>
      <c r="T56" s="34" t="e">
        <f t="shared" ref="T56:T59" si="47">-F56+B56</f>
        <v>#DIV/0!</v>
      </c>
      <c r="U56" s="37" t="str">
        <f t="shared" si="42"/>
        <v>kΩ</v>
      </c>
      <c r="V56" s="465" t="e">
        <f t="shared" si="43"/>
        <v>#DIV/0!</v>
      </c>
      <c r="W56" s="465"/>
      <c r="X56" s="464" t="e">
        <f t="shared" si="44"/>
        <v>#DIV/0!</v>
      </c>
      <c r="Y56" s="464"/>
    </row>
    <row r="57" spans="2:25">
      <c r="B57" s="43" t="e">
        <f>DataSheet!AM106</f>
        <v>#DIV/0!</v>
      </c>
      <c r="C57" s="48" t="str">
        <f>DataSheet!P106</f>
        <v>kΩ</v>
      </c>
      <c r="D57" s="39" t="e">
        <f>ABS((DataSheet!AM106*1.5%)+(5*DataSheet!CK106))</f>
        <v>#DIV/0!</v>
      </c>
      <c r="E57" s="37" t="str">
        <f t="shared" si="35"/>
        <v>kΩ</v>
      </c>
      <c r="F57" s="38" t="e">
        <f>DataSheet!DD106</f>
        <v>#DIV/0!</v>
      </c>
      <c r="G57" s="35" t="str">
        <f t="shared" si="45"/>
        <v>kΩ</v>
      </c>
      <c r="H57" s="472" t="e">
        <f>DataSheet!L106+D57</f>
        <v>#DIV/0!</v>
      </c>
      <c r="I57" s="472"/>
      <c r="J57" s="472" t="e">
        <f>DataSheet!L106-D57</f>
        <v>#DIV/0!</v>
      </c>
      <c r="K57" s="472"/>
      <c r="L57" s="473" t="e">
        <f t="shared" si="36"/>
        <v>#DIV/0!</v>
      </c>
      <c r="M57" s="473"/>
      <c r="N57" s="39" t="e">
        <f>DataSheet!DD106+B57</f>
        <v>#DIV/0!</v>
      </c>
      <c r="O57" s="35" t="str">
        <f t="shared" si="37"/>
        <v>kΩ</v>
      </c>
      <c r="P57" s="39" t="e">
        <f t="shared" si="46"/>
        <v>#DIV/0!</v>
      </c>
      <c r="Q57" s="40" t="str">
        <f t="shared" ref="Q57:Q59" si="48">O57</f>
        <v>kΩ</v>
      </c>
      <c r="R57" s="465" t="e">
        <f t="shared" si="40"/>
        <v>#DIV/0!</v>
      </c>
      <c r="S57" s="465"/>
      <c r="T57" s="39" t="e">
        <f t="shared" si="47"/>
        <v>#DIV/0!</v>
      </c>
      <c r="U57" s="37" t="str">
        <f t="shared" si="42"/>
        <v>kΩ</v>
      </c>
      <c r="V57" s="465" t="e">
        <f t="shared" si="43"/>
        <v>#DIV/0!</v>
      </c>
      <c r="W57" s="465"/>
      <c r="X57" s="464" t="e">
        <f t="shared" si="44"/>
        <v>#DIV/0!</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t="e">
        <f>DataSheet!AM108</f>
        <v>#DIV/0!</v>
      </c>
      <c r="C59" s="48" t="str">
        <f>DataSheet!P108</f>
        <v>MΩ</v>
      </c>
      <c r="D59" s="34" t="e">
        <f>ABS((DataSheet!AM108*1.5%)+(5*DataSheet!CK108))</f>
        <v>#DIV/0!</v>
      </c>
      <c r="E59" s="37" t="str">
        <f t="shared" si="35"/>
        <v>MΩ</v>
      </c>
      <c r="F59" s="38" t="e">
        <f>DataSheet!DD108</f>
        <v>#DIV/0!</v>
      </c>
      <c r="G59" s="35" t="str">
        <f t="shared" si="45"/>
        <v>MΩ</v>
      </c>
      <c r="H59" s="474" t="e">
        <f>DataSheet!L108+D59</f>
        <v>#DIV/0!</v>
      </c>
      <c r="I59" s="474"/>
      <c r="J59" s="474" t="e">
        <f>DataSheet!L108-D59</f>
        <v>#DIV/0!</v>
      </c>
      <c r="K59" s="474"/>
      <c r="L59" s="473" t="e">
        <f t="shared" si="36"/>
        <v>#DIV/0!</v>
      </c>
      <c r="M59" s="473"/>
      <c r="N59" s="34" t="e">
        <f>DataSheet!DD108+B59</f>
        <v>#DIV/0!</v>
      </c>
      <c r="O59" s="35" t="str">
        <f t="shared" si="37"/>
        <v>MΩ</v>
      </c>
      <c r="P59" s="34" t="e">
        <f t="shared" ref="P59" si="49">H59</f>
        <v>#DIV/0!</v>
      </c>
      <c r="Q59" s="35" t="str">
        <f t="shared" si="48"/>
        <v>MΩ</v>
      </c>
      <c r="R59" s="465" t="e">
        <f t="shared" si="40"/>
        <v>#DIV/0!</v>
      </c>
      <c r="S59" s="465"/>
      <c r="T59" s="34" t="e">
        <f t="shared" si="47"/>
        <v>#DIV/0!</v>
      </c>
      <c r="U59" s="37" t="str">
        <f t="shared" si="42"/>
        <v>MΩ</v>
      </c>
      <c r="V59" s="465" t="e">
        <f t="shared" si="43"/>
        <v>#DIV/0!</v>
      </c>
      <c r="W59" s="465"/>
      <c r="X59" s="464" t="e">
        <f t="shared" si="44"/>
        <v>#DIV/0!</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119</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120</v>
      </c>
      <c r="O62" s="463"/>
      <c r="P62" s="463" t="s">
        <v>76</v>
      </c>
      <c r="Q62" s="463"/>
      <c r="R62" s="463" t="s">
        <v>78</v>
      </c>
      <c r="S62" s="463"/>
      <c r="T62" s="466" t="s">
        <v>121</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t="e">
        <f>DataSheet!AM118</f>
        <v>#DIV/0!</v>
      </c>
      <c r="C64" s="48" t="str">
        <f>DataSheet!P118</f>
        <v>A</v>
      </c>
      <c r="D64" s="34" t="e">
        <f>ABS((DataSheet!AM118*2.2%)+(5*DataSheet!CK118))</f>
        <v>#DIV/0!</v>
      </c>
      <c r="E64" s="37" t="str">
        <f t="shared" ref="E64:E66" si="50">C64</f>
        <v>A</v>
      </c>
      <c r="F64" s="38" t="e">
        <f>DataSheet!DD118</f>
        <v>#DIV/0!</v>
      </c>
      <c r="G64" s="35" t="str">
        <f>C64</f>
        <v>A</v>
      </c>
      <c r="H64" s="474" t="e">
        <f>DataSheet!L118+D64</f>
        <v>#DIV/0!</v>
      </c>
      <c r="I64" s="474"/>
      <c r="J64" s="474" t="e">
        <f>DataSheet!L118-D64</f>
        <v>#DIV/0!</v>
      </c>
      <c r="K64" s="474"/>
      <c r="L64" s="473" t="e">
        <f t="shared" ref="L64:L66" si="51">IF(AND(B64&lt;=H64,B64&gt;=J64),"PASSED","FAILED")</f>
        <v>#DIV/0!</v>
      </c>
      <c r="M64" s="473"/>
      <c r="N64" s="34" t="e">
        <f>DataSheet!DD118+B64</f>
        <v>#DIV/0!</v>
      </c>
      <c r="O64" s="35" t="str">
        <f t="shared" ref="O64:O66" si="52">G64</f>
        <v>A</v>
      </c>
      <c r="P64" s="34" t="e">
        <f t="shared" ref="P64" si="53">H64</f>
        <v>#DIV/0!</v>
      </c>
      <c r="Q64" s="35" t="str">
        <f t="shared" ref="Q64" si="54">O64</f>
        <v>A</v>
      </c>
      <c r="R64" s="469" t="e">
        <f t="shared" ref="R64:R66" si="55">IF(AND(N64&lt;=H64,N64&gt;=J64),"PASSED","FAILED")</f>
        <v>#DIV/0!</v>
      </c>
      <c r="S64" s="469"/>
      <c r="T64" s="34" t="e">
        <f t="shared" ref="T64:T66" si="56">-F64+B64</f>
        <v>#DIV/0!</v>
      </c>
      <c r="U64" s="37" t="str">
        <f t="shared" ref="U64:U66" si="57">O64</f>
        <v>A</v>
      </c>
      <c r="V64" s="465" t="e">
        <f t="shared" ref="V64:V66" si="58">IF(AND(T64&lt;=H64,T64&gt;=J64),"PASSED","FAILED")</f>
        <v>#DIV/0!</v>
      </c>
      <c r="W64" s="465"/>
      <c r="X64" s="464" t="e">
        <f>IF(AND(L64="PASSED",R64="PASSED",V64="PASSED"),"PASSED",IF(L64="FAILED","FAILED","UNDETERMINED"))</f>
        <v>#DIV/0!</v>
      </c>
      <c r="Y64" s="464"/>
    </row>
    <row r="65" spans="2:25">
      <c r="B65" s="45" t="e">
        <f>DataSheet!AM119</f>
        <v>#DIV/0!</v>
      </c>
      <c r="C65" s="48" t="str">
        <f>DataSheet!P119</f>
        <v>A</v>
      </c>
      <c r="D65" s="34" t="e">
        <f>ABS((DataSheet!AM119*2.2%)-(5*DataSheet!CK119))</f>
        <v>#DIV/0!</v>
      </c>
      <c r="E65" s="37" t="str">
        <f t="shared" si="50"/>
        <v>A</v>
      </c>
      <c r="F65" s="38" t="e">
        <f>DataSheet!DD119</f>
        <v>#DIV/0!</v>
      </c>
      <c r="G65" s="35" t="str">
        <f t="shared" ref="G65:G66" si="59">C65</f>
        <v>A</v>
      </c>
      <c r="H65" s="474" t="e">
        <f>DataSheet!L119+D65</f>
        <v>#DIV/0!</v>
      </c>
      <c r="I65" s="474"/>
      <c r="J65" s="474" t="e">
        <f>DataSheet!L119-D65</f>
        <v>#DIV/0!</v>
      </c>
      <c r="K65" s="474"/>
      <c r="L65" s="473" t="e">
        <f t="shared" si="51"/>
        <v>#DIV/0!</v>
      </c>
      <c r="M65" s="473"/>
      <c r="N65" s="34" t="e">
        <f>DataSheet!DD119+B65</f>
        <v>#DIV/0!</v>
      </c>
      <c r="O65" s="35" t="str">
        <f t="shared" si="52"/>
        <v>A</v>
      </c>
      <c r="P65" s="34" t="e">
        <f t="shared" ref="P65:P66" si="60">H65</f>
        <v>#DIV/0!</v>
      </c>
      <c r="Q65" s="35" t="str">
        <f t="shared" ref="Q65:Q66" si="61">O65</f>
        <v>A</v>
      </c>
      <c r="R65" s="469" t="e">
        <f t="shared" si="55"/>
        <v>#DIV/0!</v>
      </c>
      <c r="S65" s="469"/>
      <c r="T65" s="34" t="e">
        <f t="shared" si="56"/>
        <v>#DIV/0!</v>
      </c>
      <c r="U65" s="37" t="str">
        <f t="shared" si="57"/>
        <v>A</v>
      </c>
      <c r="V65" s="465" t="e">
        <f t="shared" si="58"/>
        <v>#DIV/0!</v>
      </c>
      <c r="W65" s="465"/>
      <c r="X65" s="464" t="e">
        <f>IF(AND(L65="PASSED",R65="PASSED",V65="PASSED"),"PASSED",IF(L65="FAILED","FAILED","UNDETERMINED"))</f>
        <v>#DIV/0!</v>
      </c>
      <c r="Y65" s="464"/>
    </row>
    <row r="66" spans="2:25">
      <c r="B66" s="43" t="e">
        <f>DataSheet!AM121</f>
        <v>#DIV/0!</v>
      </c>
      <c r="C66" s="48" t="str">
        <f>DataSheet!P121</f>
        <v>A</v>
      </c>
      <c r="D66" s="39" t="e">
        <f>ABS((DataSheet!AM121*2.2%)+(5*DataSheet!CK121))</f>
        <v>#DIV/0!</v>
      </c>
      <c r="E66" s="37" t="str">
        <f t="shared" si="50"/>
        <v>A</v>
      </c>
      <c r="F66" s="38" t="e">
        <f>DataSheet!DD121</f>
        <v>#DIV/0!</v>
      </c>
      <c r="G66" s="35" t="str">
        <f t="shared" si="59"/>
        <v>A</v>
      </c>
      <c r="H66" s="472" t="e">
        <f>DataSheet!L121+D66</f>
        <v>#DIV/0!</v>
      </c>
      <c r="I66" s="472"/>
      <c r="J66" s="472" t="e">
        <f>DataSheet!L121-D66</f>
        <v>#DIV/0!</v>
      </c>
      <c r="K66" s="472"/>
      <c r="L66" s="473" t="e">
        <f t="shared" si="51"/>
        <v>#DIV/0!</v>
      </c>
      <c r="M66" s="473"/>
      <c r="N66" s="39" t="e">
        <f>DataSheet!DD121+B66</f>
        <v>#DIV/0!</v>
      </c>
      <c r="O66" s="40" t="str">
        <f t="shared" si="52"/>
        <v>A</v>
      </c>
      <c r="P66" s="39" t="e">
        <f t="shared" si="60"/>
        <v>#DIV/0!</v>
      </c>
      <c r="Q66" s="40" t="str">
        <f t="shared" si="61"/>
        <v>A</v>
      </c>
      <c r="R66" s="467" t="e">
        <f t="shared" si="55"/>
        <v>#DIV/0!</v>
      </c>
      <c r="S66" s="467"/>
      <c r="T66" s="39" t="e">
        <f t="shared" si="56"/>
        <v>#DIV/0!</v>
      </c>
      <c r="U66" s="37" t="str">
        <f t="shared" si="57"/>
        <v>A</v>
      </c>
      <c r="V66" s="465" t="e">
        <f t="shared" si="58"/>
        <v>#DIV/0!</v>
      </c>
      <c r="W66" s="465"/>
      <c r="X66" s="464" t="e">
        <f>IF(AND(L66="PASSED",R66="PASSED",V66="PASSED"),"PASSED",IF(L66="FAILED","FAILED","UNDETERMINED"))</f>
        <v>#DIV/0!</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119</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120</v>
      </c>
      <c r="O69" s="463"/>
      <c r="P69" s="463" t="s">
        <v>76</v>
      </c>
      <c r="Q69" s="463"/>
      <c r="R69" s="463" t="s">
        <v>78</v>
      </c>
      <c r="S69" s="463"/>
      <c r="T69" s="466" t="s">
        <v>121</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t="e">
        <f>DataSheet!AM134</f>
        <v>#DIV/0!</v>
      </c>
      <c r="C71" s="46" t="str">
        <f>DataSheet!P134</f>
        <v>A</v>
      </c>
      <c r="D71" s="34" t="e">
        <f>ABS((DataSheet!AM134*2.8%)+(5*DataSheet!CK134))</f>
        <v>#DIV/0!</v>
      </c>
      <c r="E71" s="37" t="str">
        <f t="shared" ref="E71:E74" si="62">C71</f>
        <v>A</v>
      </c>
      <c r="F71" s="38" t="e">
        <f>DataSheet!DD134</f>
        <v>#DIV/0!</v>
      </c>
      <c r="G71" s="35" t="str">
        <f>C71</f>
        <v>A</v>
      </c>
      <c r="H71" s="474" t="e">
        <f>DataSheet!L134+D71</f>
        <v>#DIV/0!</v>
      </c>
      <c r="I71" s="474"/>
      <c r="J71" s="474" t="e">
        <f>DataSheet!L134-D71</f>
        <v>#DIV/0!</v>
      </c>
      <c r="K71" s="474"/>
      <c r="L71" s="473" t="e">
        <f t="shared" ref="L71:L74" si="63">IF(AND(B71&lt;=H71,B71&gt;=J71),"PASSED","FAILED")</f>
        <v>#DIV/0!</v>
      </c>
      <c r="M71" s="473"/>
      <c r="N71" s="34" t="e">
        <f>DataSheet!DD134+B71</f>
        <v>#DIV/0!</v>
      </c>
      <c r="O71" s="35" t="str">
        <f t="shared" ref="O71:O74" si="64">G71</f>
        <v>A</v>
      </c>
      <c r="P71" s="34" t="e">
        <f t="shared" ref="P71" si="65">H71</f>
        <v>#DIV/0!</v>
      </c>
      <c r="Q71" s="35" t="str">
        <f t="shared" ref="Q71" si="66">O71</f>
        <v>A</v>
      </c>
      <c r="R71" s="469" t="e">
        <f t="shared" ref="R71:R74" si="67">IF(AND(N71&lt;=H71,N71&gt;=J71),"PASSED","FAILED")</f>
        <v>#DIV/0!</v>
      </c>
      <c r="S71" s="469"/>
      <c r="T71" s="34" t="e">
        <f t="shared" ref="T71:T74" si="68">-F71+B71</f>
        <v>#DIV/0!</v>
      </c>
      <c r="U71" s="35" t="str">
        <f t="shared" ref="U71:U74" si="69">O71</f>
        <v>A</v>
      </c>
      <c r="V71" s="465" t="e">
        <f t="shared" ref="V71:V74" si="70">IF(AND(T71&lt;=H71,T71&gt;=J71),"PASSED","FAILED")</f>
        <v>#DIV/0!</v>
      </c>
      <c r="W71" s="465"/>
      <c r="X71" s="464" t="e">
        <f>IF(AND(L71="PASSED",R71="PASSED",V71="PASSED"),"PASSED",IF(L71="FAILED","FAILED","UNDETERMINED"))</f>
        <v>#DIV/0!</v>
      </c>
      <c r="Y71" s="464"/>
    </row>
    <row r="72" spans="2:25">
      <c r="B72" s="45" t="e">
        <f>DataSheet!AM135</f>
        <v>#DIV/0!</v>
      </c>
      <c r="C72" s="46" t="str">
        <f>DataSheet!P135</f>
        <v>A</v>
      </c>
      <c r="D72" s="34" t="e">
        <f>ABS((DataSheet!AM135*2.8%)+(5*DataSheet!CK135))</f>
        <v>#DIV/0!</v>
      </c>
      <c r="E72" s="37" t="str">
        <f t="shared" si="62"/>
        <v>A</v>
      </c>
      <c r="F72" s="38" t="e">
        <f>DataSheet!DD135</f>
        <v>#DIV/0!</v>
      </c>
      <c r="G72" s="35" t="str">
        <f t="shared" ref="G72:G74" si="71">C72</f>
        <v>A</v>
      </c>
      <c r="H72" s="474" t="e">
        <f>DataSheet!L135+D72</f>
        <v>#DIV/0!</v>
      </c>
      <c r="I72" s="474"/>
      <c r="J72" s="474" t="e">
        <f>DataSheet!L135-D72</f>
        <v>#DIV/0!</v>
      </c>
      <c r="K72" s="474"/>
      <c r="L72" s="473" t="e">
        <f t="shared" si="63"/>
        <v>#DIV/0!</v>
      </c>
      <c r="M72" s="473"/>
      <c r="N72" s="34" t="e">
        <f>DataSheet!DD135+B72</f>
        <v>#DIV/0!</v>
      </c>
      <c r="O72" s="35" t="str">
        <f t="shared" si="64"/>
        <v>A</v>
      </c>
      <c r="P72" s="34" t="e">
        <f t="shared" ref="P72:P73" si="72">H72</f>
        <v>#DIV/0!</v>
      </c>
      <c r="Q72" s="35" t="str">
        <f t="shared" ref="Q72:Q73" si="73">O72</f>
        <v>A</v>
      </c>
      <c r="R72" s="469" t="e">
        <f t="shared" si="67"/>
        <v>#DIV/0!</v>
      </c>
      <c r="S72" s="469"/>
      <c r="T72" s="34" t="e">
        <f t="shared" si="68"/>
        <v>#DIV/0!</v>
      </c>
      <c r="U72" s="35" t="str">
        <f t="shared" si="69"/>
        <v>A</v>
      </c>
      <c r="V72" s="465" t="e">
        <f t="shared" si="70"/>
        <v>#DIV/0!</v>
      </c>
      <c r="W72" s="465"/>
      <c r="X72" s="464" t="e">
        <f>IF(AND(L72="PASSED",R72="PASSED",V72="PASSED"),"PASSED",IF(L72="FAILED","FAILED","UNDETERMINED"))</f>
        <v>#DIV/0!</v>
      </c>
      <c r="Y72" s="464"/>
    </row>
    <row r="73" spans="2:25">
      <c r="B73" s="43" t="e">
        <f>DataSheet!AM136</f>
        <v>#DIV/0!</v>
      </c>
      <c r="C73" s="44" t="str">
        <f>DataSheet!P136</f>
        <v>A</v>
      </c>
      <c r="D73" s="39" t="e">
        <f>ABS((DataSheet!AM136*2.8%)+(5*DataSheet!CK136))</f>
        <v>#DIV/0!</v>
      </c>
      <c r="E73" s="37" t="str">
        <f t="shared" si="62"/>
        <v>A</v>
      </c>
      <c r="F73" s="38" t="e">
        <f>DataSheet!DD136</f>
        <v>#DIV/0!</v>
      </c>
      <c r="G73" s="35" t="str">
        <f t="shared" si="71"/>
        <v>A</v>
      </c>
      <c r="H73" s="472" t="e">
        <f>DataSheet!L136+D73</f>
        <v>#DIV/0!</v>
      </c>
      <c r="I73" s="472"/>
      <c r="J73" s="472" t="e">
        <f>DataSheet!L136-D73</f>
        <v>#DIV/0!</v>
      </c>
      <c r="K73" s="472"/>
      <c r="L73" s="473" t="e">
        <f t="shared" si="63"/>
        <v>#DIV/0!</v>
      </c>
      <c r="M73" s="473"/>
      <c r="N73" s="39" t="e">
        <f>DataSheet!DD136+B73</f>
        <v>#DIV/0!</v>
      </c>
      <c r="O73" s="40" t="str">
        <f t="shared" si="64"/>
        <v>A</v>
      </c>
      <c r="P73" s="39" t="e">
        <f t="shared" si="72"/>
        <v>#DIV/0!</v>
      </c>
      <c r="Q73" s="40" t="str">
        <f t="shared" si="73"/>
        <v>A</v>
      </c>
      <c r="R73" s="467" t="e">
        <f t="shared" si="67"/>
        <v>#DIV/0!</v>
      </c>
      <c r="S73" s="467"/>
      <c r="T73" s="39" t="e">
        <f t="shared" si="68"/>
        <v>#DIV/0!</v>
      </c>
      <c r="U73" s="37" t="str">
        <f t="shared" si="69"/>
        <v>A</v>
      </c>
      <c r="V73" s="465" t="e">
        <f t="shared" si="70"/>
        <v>#DIV/0!</v>
      </c>
      <c r="W73" s="465"/>
      <c r="X73" s="464" t="e">
        <f>IF(AND(L73="PASSED",R73="PASSED",V73="PASSED"),"PASSED",IF(L73="FAILED","FAILED","UNDETERMINED"))</f>
        <v>#DIV/0!</v>
      </c>
      <c r="Y73" s="464"/>
    </row>
    <row r="74" spans="2:25">
      <c r="B74" s="43" t="e">
        <f>DataSheet!AM137</f>
        <v>#DIV/0!</v>
      </c>
      <c r="C74" s="44" t="str">
        <f>DataSheet!P137</f>
        <v>A</v>
      </c>
      <c r="D74" s="39" t="e">
        <f>ABS((DataSheet!AM137*2.8%)+(5*DataSheet!CK137))</f>
        <v>#DIV/0!</v>
      </c>
      <c r="E74" s="37" t="str">
        <f t="shared" si="62"/>
        <v>A</v>
      </c>
      <c r="F74" s="38" t="e">
        <f>DataSheet!DD137</f>
        <v>#DIV/0!</v>
      </c>
      <c r="G74" s="35" t="str">
        <f t="shared" si="71"/>
        <v>A</v>
      </c>
      <c r="H74" s="472" t="e">
        <f>DataSheet!L137+D74</f>
        <v>#DIV/0!</v>
      </c>
      <c r="I74" s="472"/>
      <c r="J74" s="472" t="e">
        <f>DataSheet!L137-D74</f>
        <v>#DIV/0!</v>
      </c>
      <c r="K74" s="472"/>
      <c r="L74" s="473" t="e">
        <f t="shared" si="63"/>
        <v>#DIV/0!</v>
      </c>
      <c r="M74" s="473"/>
      <c r="N74" s="39" t="e">
        <f>DataSheet!DD137+B74</f>
        <v>#DIV/0!</v>
      </c>
      <c r="O74" s="40" t="str">
        <f t="shared" si="64"/>
        <v>A</v>
      </c>
      <c r="P74" s="39" t="e">
        <f t="shared" ref="P74" si="74">H74</f>
        <v>#DIV/0!</v>
      </c>
      <c r="Q74" s="40" t="str">
        <f t="shared" ref="Q74" si="75">O74</f>
        <v>A</v>
      </c>
      <c r="R74" s="467" t="e">
        <f t="shared" si="67"/>
        <v>#DIV/0!</v>
      </c>
      <c r="S74" s="467"/>
      <c r="T74" s="39" t="e">
        <f t="shared" si="68"/>
        <v>#DIV/0!</v>
      </c>
      <c r="U74" s="37" t="str">
        <f t="shared" si="69"/>
        <v>A</v>
      </c>
      <c r="V74" s="465" t="e">
        <f t="shared" si="70"/>
        <v>#DIV/0!</v>
      </c>
      <c r="W74" s="465"/>
      <c r="X74" s="464" t="e">
        <f>IF(AND(L74="PASSED",R74="PASSED",V74="PASSED"),"PASSED",IF(L74="FAILED","FAILED","UNDETERMINED"))</f>
        <v>#DIV/0!</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2025-09-09T04:14:23Z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