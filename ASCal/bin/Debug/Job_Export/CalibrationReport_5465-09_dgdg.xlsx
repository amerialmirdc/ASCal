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<sst xmlns="http://schemas.openxmlformats.org/spreadsheetml/2006/main" count="923" uniqueCount="171">
  <si>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</si>
  <si>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</si>
  <si>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</si>
  <si>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</si>
  <si>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</si>
  <si>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</si>
  <si>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</si>
  <si>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</si>
  <si>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</si>
  <si>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</si>
  <si>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</si>
  <si>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</si>
  <si>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</si>
  <si>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</si>
  <si>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</si>
  <si>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</si>
  <si>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</si>
  <si>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</si>
  <si>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</si>
  <si>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</si>
  <si>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</si>
  <si>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</si>
  <si>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</si>
  <si>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</si>
  <si>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</si>
  <si>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</si>
  <si>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</si>
  <si>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</si>
  <si>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</si>
  <si>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</si>
  <si>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</si>
  <si>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</si>
  <si>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</si>
  <si>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</si>
  <si>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</si>
  <si>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</si>
  <si>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</si>
  <si>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</si>
  <si>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</si>
  <si>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</si>
  <si>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</si>
  <si>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</si>
  <si>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</si>
  <si>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</si>
  <si>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</si>
  <si>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</si>
  <si>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</si>
  <si>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</si>
  <si>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</si>
  <si>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</si>
  <si>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</si>
  <si>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</si>
  <si>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</si>
  <si>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</si>
  <si>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</si>
  <si>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</si>
  <si>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</si>
  <si>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</si>
  <si>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</si>
  <si>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</si>
  <si>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</si>
  <si>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</si>
  <si>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</si>
  <si>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</si>
  <si>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</si>
  <si>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</si>
  <si>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</si>
  <si>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</si>
  <si>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</si>
  <si>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</si>
  <si>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</si>
  <si>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</si>
  <si>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</si>
  <si>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</si>
  <si>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</si>
  <si>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</si>
  <si>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</si>
  <si>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</si>
  <si>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</si>
  <si>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</si>
  <si>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</si>
  <si>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</si>
  <si>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</si>
  <si>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</si>
  <si>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</si>
  <si>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</si>
  <si>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</si>
  <si>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</si>
  <si>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</si>
  <si>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</si>
  <si>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</si>
  <si>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</si>
  <si>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</si>
  <si>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</si>
  <si>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</si>
  <si>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</si>
  <si>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</si>
  <si>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</si>
  <si>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</si>
  <si>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</si>
  <si>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</si>
  <si>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</si>
  <si>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</si>
  <si>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</si>
  <si>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</si>
  <si>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</si>
  <si>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</si>
  <si>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</si>
  <si>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</si>
  <si>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</si>
  <si>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</si>
  <si>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</si>
  <si>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</si>
  <si>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</si>
  <si>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</si>
  <si>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</si>
  <si>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</si>
  <si>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</si>
  <si>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</si>
  <si>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</si>
  <si>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</si>
  <si>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</si>
  <si>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</si>
  <si>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</si>
  <si>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</si>
  <si>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</si>
  <si>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</si>
  <si>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</si>
  <si>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</si>
  <si>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</si>
  <si>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</si>
  <si>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</si>
  <si>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</si>
  <si>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</si>
  <si>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</si>
  <si>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</si>
  <si>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</si>
  <si>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</si>
  <si>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</si>
  <si>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</si>
  <si>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</si>
  <si>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</si>
  <si>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</si>
  <si>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</si>
  <si>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</si>
  <si>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</si>
  <si>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</si>
  <si>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</si>
  <si>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</si>
  <si>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</si>
  <si>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</si>
  <si>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</si>
  <si>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</si>
  <si>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</si>
  <si>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</si>
  <si>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</si>
  <si>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</si>
  <si>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</si>
  <si>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</si>
  <si>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</si>
  <si>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</si>
  <si>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</si>
  <si>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</si>
  <si>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dgdg</t>
  </si>
  <si>
    <t>See Specification Sheet</t>
  </si>
  <si>
    <t>NA</t>
  </si>
  <si>
    <t>NEW5</t>
  </si>
  <si>
    <t>x</t>
  </si>
  <si>
    <t>Thursday, 4 September 2025</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</si>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</sst>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2" fontId="16" fillId="0" borderId="31"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2" fontId="11" fillId="0" borderId="31" xfId="0" applyNumberFormat="1"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0" fontId="10" fillId="0" borderId="31" xfId="0" applyFont="1" applyBorder="1" applyAlignment="1">
      <alignment horizontal="center" vertical="center"/>
    </xf>
    <xf numFmtId="0" fontId="10" fillId="0" borderId="31" xfId="0" applyFont="1" applyBorder="1" applyAlignment="1">
      <alignment horizontal="center" vertical="center" wrapText="1"/>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top" wrapText="1"/>
    </xf>
    <xf numFmtId="0" fontId="11" fillId="0" borderId="0" xfId="0" applyFont="1" applyAlignment="1" applyProtection="1">
      <alignment horizontal="left" vertical="top" wrapText="1"/>
      <protection locked="0"/>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167" fontId="11" fillId="0" borderId="0" xfId="0" applyNumberFormat="1" applyFont="1" applyAlignment="1">
      <alignment horizontal="left"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6" fillId="5" borderId="8" xfId="0" applyFont="1" applyFill="1" applyBorder="1" applyAlignment="1">
      <alignment horizontal="center" vertical="center"/>
    </xf>
    <xf numFmtId="164" fontId="7" fillId="5" borderId="8" xfId="0" applyNumberFormat="1" applyFont="1" applyFill="1" applyBorder="1" applyAlignment="1">
      <alignment horizontal="center" vertical="center"/>
    </xf>
    <xf numFmtId="166"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44" xfId="0" applyFont="1" applyFill="1" applyBorder="1" applyAlignment="1">
      <alignment horizontal="left"/>
    </xf>
    <xf numFmtId="0" fontId="7" fillId="5" borderId="0" xfId="0" applyFont="1" applyFill="1" applyAlignment="1">
      <alignment horizontal="left"/>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164" fontId="7" fillId="5" borderId="3" xfId="0" applyNumberFormat="1" applyFont="1" applyFill="1" applyBorder="1" applyAlignment="1">
      <alignment horizontal="center" vertic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51" xfId="0" quotePrefix="1" applyFont="1" applyFill="1" applyBorder="1" applyAlignment="1">
      <alignment horizontal="center"/>
    </xf>
    <xf numFmtId="0" fontId="7" fillId="5" borderId="2" xfId="0" applyFont="1" applyFill="1" applyBorder="1" applyAlignment="1">
      <alignment horizontal="center"/>
    </xf>
    <xf numFmtId="0" fontId="7" fillId="5" borderId="20" xfId="0" quotePrefix="1" applyFont="1" applyFill="1" applyBorder="1" applyAlignment="1">
      <alignment horizontal="center"/>
    </xf>
    <xf numFmtId="0" fontId="7" fillId="5" borderId="26" xfId="0"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7" fillId="5" borderId="0" xfId="0" applyFont="1" applyFill="1" applyAlignment="1">
      <alignment horizontal="center"/>
    </xf>
    <xf numFmtId="0" fontId="8" fillId="5" borderId="20" xfId="0" applyFont="1" applyFill="1" applyBorder="1" applyAlignment="1">
      <alignment horizontal="center"/>
    </xf>
    <xf numFmtId="0" fontId="8" fillId="5" borderId="2"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7" fillId="0" borderId="8" xfId="0" applyFont="1" applyBorder="1" applyAlignment="1">
      <alignment horizontal="center" vertical="center"/>
    </xf>
    <xf numFmtId="0" fontId="6" fillId="5" borderId="13" xfId="0" applyFont="1" applyFill="1" applyBorder="1" applyAlignment="1">
      <alignment horizont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6" fillId="0" borderId="93" xfId="1" applyFont="1" applyBorder="1" applyAlignment="1">
      <alignment horizontal="center" vertical="center"/>
    </xf>
    <xf numFmtId="1" fontId="7" fillId="5" borderId="8" xfId="0" applyNumberFormat="1" applyFont="1" applyFill="1" applyBorder="1" applyAlignment="1">
      <alignment horizontal="center" vertic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7" fillId="5" borderId="4" xfId="0" applyFont="1" applyFill="1" applyBorder="1" applyAlignment="1">
      <alignment horizontal="left"/>
    </xf>
    <xf numFmtId="0" fontId="7" fillId="5" borderId="3" xfId="0" applyFont="1" applyFill="1" applyBorder="1" applyAlignment="1">
      <alignment horizontal="left"/>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20" fillId="2" borderId="0" xfId="0" applyFont="1" applyFill="1" applyAlignment="1">
      <alignment horizontal="center"/>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0" fontId="20" fillId="0" borderId="33" xfId="0" applyFont="1" applyBorder="1" applyAlignment="1">
      <alignment horizontal="center" vertical="center" wrapText="1"/>
    </xf>
    <xf numFmtId="0" fontId="23" fillId="0" borderId="31" xfId="0" applyFont="1" applyBorder="1" applyAlignment="1">
      <alignment horizontal="center" vertical="center" wrapText="1"/>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169" fontId="4" fillId="5" borderId="31" xfId="0" applyNumberFormat="1" applyFont="1" applyFill="1" applyBorder="1" applyAlignment="1">
      <alignment horizontal="center" vertical="center"/>
    </xf>
    <xf numFmtId="0" fontId="5" fillId="5" borderId="31" xfId="0" applyFont="1" applyFill="1" applyBorder="1" applyAlignment="1">
      <alignment horizontal="center" vertical="center"/>
    </xf>
    <xf numFmtId="166" fontId="4" fillId="5" borderId="31" xfId="0" applyNumberFormat="1" applyFont="1" applyFill="1" applyBorder="1" applyAlignment="1">
      <alignment horizontal="center" vertic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2" fontId="4" fillId="5" borderId="31" xfId="0" applyNumberFormat="1" applyFont="1" applyFill="1" applyBorder="1" applyAlignment="1">
      <alignment horizontal="center" vertical="center"/>
    </xf>
    <xf numFmtId="164"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xf numFmtId="169" fontId="7" fillId="4" borderId="31" xfId="3" applyNumberFormat="1" applyFont="1" applyBorder="1" applyAlignment="1">
      <alignment horizontal="center" vertical="center"/>
    </xf>
    <xf numFmtId="164"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4" fillId="0" borderId="31" xfId="0" applyFont="1" applyBorder="1" applyAlignment="1">
      <alignment horizontal="center"/>
    </xf>
    <xf numFmtId="0" fontId="5" fillId="0" borderId="31" xfId="0" applyFont="1" applyBorder="1" applyAlignment="1">
      <alignment horizontal="center" vertic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50" t="s">
        <v>0</v>
      </c>
      <c r="D5" s="250"/>
      <c r="E5" s="250"/>
      <c r="F5" s="250"/>
      <c r="G5" s="250"/>
      <c r="H5" s="250"/>
      <c r="I5" s="250"/>
      <c r="J5" s="250"/>
      <c r="K5" s="250"/>
      <c r="L5" s="250"/>
      <c r="M5" s="250"/>
      <c r="N5" s="250"/>
      <c r="O5" s="250"/>
      <c r="P5" s="250"/>
      <c r="Q5" s="250"/>
      <c r="R5" s="250"/>
      <c r="S5" s="250"/>
      <c r="T5" s="250"/>
      <c r="U5" s="250"/>
      <c r="V5" s="250"/>
      <c r="W5" s="250"/>
      <c r="X5" s="250"/>
      <c r="Y5" s="250"/>
      <c r="Z5" s="250"/>
    </row>
    <row r="6" spans="3:26" ht="12.75" customHeight="1">
      <c r="C6" s="250"/>
      <c r="D6" s="250"/>
      <c r="E6" s="250"/>
      <c r="F6" s="250"/>
      <c r="G6" s="250"/>
      <c r="H6" s="250"/>
      <c r="I6" s="250"/>
      <c r="J6" s="250"/>
      <c r="K6" s="250"/>
      <c r="L6" s="250"/>
      <c r="M6" s="250"/>
      <c r="N6" s="250"/>
      <c r="O6" s="250"/>
      <c r="P6" s="250"/>
      <c r="Q6" s="250"/>
      <c r="R6" s="250"/>
      <c r="S6" s="250"/>
      <c r="T6" s="250"/>
      <c r="U6" s="250"/>
      <c r="V6" s="250"/>
      <c r="W6" s="250"/>
      <c r="X6" s="250"/>
      <c r="Y6" s="250"/>
      <c r="Z6" s="250"/>
    </row>
    <row r="7" spans="3:26" ht="12.75" customHeight="1">
      <c r="R7" s="285" t="s">
        <v>1</v>
      </c>
      <c r="S7" s="285"/>
      <c r="T7" s="285"/>
      <c r="U7" s="285"/>
      <c r="V7" s="286" t="str">
        <f>CONCATENATE("25-",DataSheet!L7,DataSheet!N7,DataSheet!O7,DataSheet!AN7," ","Rev.00")</f>
        <v>25-5465-09DBN Rev.00</v>
      </c>
      <c r="W7" s="286"/>
      <c r="X7" s="286"/>
      <c r="Y7" s="286"/>
      <c r="Z7" s="286"/>
    </row>
    <row r="9" spans="3:26" ht="15" customHeight="1">
      <c r="C9" s="21" t="s">
        <v>2</v>
      </c>
      <c r="O9" s="21" t="s">
        <v>3</v>
      </c>
    </row>
    <row r="10" spans="3:26" ht="15" customHeight="1">
      <c r="D10" s="19" t="str">
        <f>DataSheet!H25</f>
        <v>NEW5</v>
      </c>
      <c r="E10" s="19"/>
      <c r="F10" s="19"/>
      <c r="G10" s="19"/>
      <c r="H10" s="19"/>
      <c r="I10" s="19"/>
      <c r="J10" s="19"/>
      <c r="K10" s="19"/>
      <c r="L10" s="19"/>
      <c r="M10" s="19"/>
      <c r="N10" s="19"/>
      <c r="P10" s="19" t="str">
        <f>IF(DataSheet!AE25="x","SONJU ENGINEERING SERVICES",D10)</f>
        <v>NEW5</v>
      </c>
      <c r="Q10" s="19"/>
      <c r="R10" s="19"/>
      <c r="S10" s="19"/>
      <c r="T10" s="19"/>
      <c r="U10" s="19"/>
      <c r="V10" s="19"/>
      <c r="W10" s="19"/>
      <c r="X10" s="19"/>
      <c r="Y10" s="19"/>
      <c r="Z10" s="19"/>
    </row>
    <row r="11" spans="3:26" ht="12.95" customHeight="1">
      <c r="C11" s="21"/>
      <c r="D11" s="289" t="str">
        <f>DataSheet!H27</f>
        <v>NEW5</v>
      </c>
      <c r="E11" s="289"/>
      <c r="F11" s="289"/>
      <c r="G11" s="289"/>
      <c r="H11" s="289"/>
      <c r="I11" s="289"/>
      <c r="J11" s="289"/>
      <c r="K11" s="289"/>
      <c r="L11" s="289"/>
      <c r="M11" s="289"/>
      <c r="N11" s="25"/>
      <c r="O11" s="25"/>
      <c r="P11" s="289" t="str">
        <f>IF(DataSheet!AE25="x",DataSheet!AG29,DataSheet!AG29)</f>
        <v>NEW5</v>
      </c>
      <c r="Q11" s="289"/>
      <c r="R11" s="289"/>
      <c r="S11" s="289"/>
      <c r="T11" s="289"/>
      <c r="U11" s="289"/>
      <c r="V11" s="289"/>
      <c r="W11" s="289"/>
      <c r="X11" s="289"/>
      <c r="Y11" s="289"/>
      <c r="Z11" s="25"/>
    </row>
    <row r="12" spans="3:26" ht="12.95" customHeight="1">
      <c r="D12" s="289"/>
      <c r="E12" s="289"/>
      <c r="F12" s="289"/>
      <c r="G12" s="289"/>
      <c r="H12" s="289"/>
      <c r="I12" s="289"/>
      <c r="J12" s="289"/>
      <c r="K12" s="289"/>
      <c r="L12" s="289"/>
      <c r="M12" s="289"/>
      <c r="N12" s="25"/>
      <c r="O12" s="24"/>
      <c r="P12" s="289"/>
      <c r="Q12" s="289"/>
      <c r="R12" s="289"/>
      <c r="S12" s="289"/>
      <c r="T12" s="289"/>
      <c r="U12" s="289"/>
      <c r="V12" s="289"/>
      <c r="W12" s="289"/>
      <c r="X12" s="289"/>
      <c r="Y12" s="289"/>
      <c r="Z12" s="25"/>
    </row>
    <row r="13" spans="3:26" ht="12.95" customHeight="1">
      <c r="D13" s="289"/>
      <c r="E13" s="289"/>
      <c r="F13" s="289"/>
      <c r="G13" s="289"/>
      <c r="H13" s="289"/>
      <c r="I13" s="289"/>
      <c r="J13" s="289"/>
      <c r="K13" s="289"/>
      <c r="L13" s="289"/>
      <c r="M13" s="289"/>
      <c r="N13" s="25"/>
      <c r="O13" s="24"/>
      <c r="P13" s="55"/>
      <c r="Q13" s="55"/>
      <c r="R13" s="55"/>
      <c r="S13" s="55"/>
      <c r="T13" s="55"/>
      <c r="U13" s="55"/>
      <c r="V13" s="55"/>
      <c r="W13" s="55"/>
      <c r="X13" s="55"/>
      <c r="Y13" s="55"/>
      <c r="Z13" s="31"/>
    </row>
    <row r="14" spans="3:26" ht="12.95" customHeight="1"/>
    <row r="15" spans="3:26" ht="15" customHeight="1">
      <c r="C15" s="21" t="s">
        <v>4</v>
      </c>
      <c r="H15" s="252" t="str">
        <f>DataSheet!K11</f>
        <v>AA</v>
      </c>
      <c r="I15" s="252"/>
      <c r="J15" s="252"/>
      <c r="K15" s="252"/>
      <c r="L15" s="252"/>
      <c r="M15" s="252"/>
      <c r="N15" s="26"/>
      <c r="O15" s="21" t="s">
        <v>5</v>
      </c>
      <c r="T15" s="20" t="str">
        <f>DataSheet!K9</f>
        <v>AA</v>
      </c>
    </row>
    <row r="16" spans="3:26" ht="15" customHeight="1">
      <c r="C16" s="21" t="s">
        <v>6</v>
      </c>
      <c r="H16" s="252" t="str">
        <f>DataSheet!K13</f>
        <v>AA</v>
      </c>
      <c r="I16" s="252"/>
      <c r="J16" s="252"/>
      <c r="K16" s="252"/>
      <c r="L16" s="252"/>
      <c r="M16" s="252"/>
      <c r="N16" s="26"/>
      <c r="O16" s="21" t="s">
        <v>7</v>
      </c>
      <c r="T16" s="252" t="str">
        <f>DataSheet!AL13</f>
        <v>dgdg</v>
      </c>
      <c r="U16" s="252"/>
      <c r="V16" s="252"/>
      <c r="W16" s="252"/>
      <c r="X16" s="252"/>
      <c r="Y16" s="252"/>
      <c r="Z16" s="252"/>
    </row>
    <row r="17" spans="1:26" ht="15" customHeight="1">
      <c r="C17" s="27" t="s">
        <v>8</v>
      </c>
      <c r="H17" s="287" t="str">
        <f>DataSheet!K15</f>
        <v>dgdg</v>
      </c>
      <c r="I17" s="252"/>
      <c r="J17" s="252"/>
      <c r="K17" s="252"/>
      <c r="L17" s="252"/>
      <c r="M17" s="252"/>
      <c r="N17" s="26"/>
      <c r="O17" s="21" t="s">
        <v>9</v>
      </c>
      <c r="T17" s="252" t="str">
        <f>DataSheet!AL17</f>
        <v>dgdg</v>
      </c>
      <c r="U17" s="252"/>
      <c r="V17" s="252"/>
      <c r="W17" s="252"/>
      <c r="X17" s="252"/>
      <c r="Y17" s="252"/>
      <c r="Z17" s="252"/>
    </row>
    <row r="18" spans="1:26" ht="15" customHeight="1">
      <c r="C18" s="21" t="s">
        <v>10</v>
      </c>
      <c r="H18" s="288">
        <f>DataSheet!AL11</f>
        <v>45756</v>
      </c>
      <c r="I18" s="288"/>
      <c r="J18" s="288"/>
      <c r="K18" s="288"/>
      <c r="L18" s="288"/>
      <c r="M18" s="288"/>
      <c r="N18" s="26"/>
      <c r="O18" s="21" t="s">
        <v>11</v>
      </c>
      <c r="T18" s="252" t="str">
        <f>DataSheet!L7</f>
        <v>5465-09</v>
      </c>
      <c r="U18" s="252"/>
      <c r="V18" s="252"/>
      <c r="W18" s="252"/>
      <c r="X18" s="252"/>
      <c r="Y18" s="252"/>
      <c r="Z18" s="252"/>
    </row>
    <row r="19" spans="1:26" ht="15" customHeight="1">
      <c r="C19" s="21" t="s">
        <v>133</v>
      </c>
      <c r="H19" s="290">
        <f>DataSheet!AL9</f>
        <v>45756</v>
      </c>
      <c r="I19" s="290"/>
      <c r="J19" s="290"/>
      <c r="K19" s="290"/>
      <c r="L19" s="290"/>
      <c r="M19" s="290"/>
      <c r="N19" s="290"/>
      <c r="O19" s="21" t="s">
        <v>12</v>
      </c>
      <c r="T19" s="252" t="str">
        <f>DataSheet!AL15</f>
        <v>dgdg</v>
      </c>
      <c r="U19" s="252"/>
      <c r="V19" s="252"/>
      <c r="W19" s="252"/>
      <c r="X19" s="252"/>
      <c r="Y19" s="252"/>
      <c r="Z19" s="252"/>
    </row>
    <row r="20" spans="1:26" ht="15" customHeight="1">
      <c r="C20" s="21" t="s">
        <v>13</v>
      </c>
      <c r="H20" s="252" t="str">
        <f>IF(DataSheet!AE25="x","23 °C ± 5 °C",CONCATENATE(ROUND(AVERAGE(DataSheet!K41:L42),1)," ","°C"))</f>
        <v>5.5 °C</v>
      </c>
      <c r="I20" s="252"/>
      <c r="J20" s="252"/>
      <c r="K20" s="252"/>
      <c r="L20" s="252"/>
      <c r="M20" s="252"/>
      <c r="N20" s="26"/>
      <c r="O20" s="21" t="s">
        <v>14</v>
      </c>
      <c r="T20" s="252" t="str">
        <f>IF(DataSheet!AE25="x","55 %rh ± 15 %rh",CONCATENATE(ROUND(AVERAGE(DataSheet!T41:U42),1)," ","%rh"))</f>
        <v>7 %rh</v>
      </c>
      <c r="U20" s="252"/>
      <c r="V20" s="252"/>
      <c r="W20" s="252"/>
      <c r="X20" s="252"/>
      <c r="Y20" s="252"/>
      <c r="Z20" s="252"/>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53" t="s">
        <v>16</v>
      </c>
      <c r="D26" s="253"/>
      <c r="E26" s="253"/>
      <c r="F26" s="253"/>
      <c r="G26" s="253"/>
      <c r="H26" s="253"/>
      <c r="I26" s="253"/>
      <c r="J26" s="253"/>
      <c r="K26" s="253"/>
      <c r="L26" s="253"/>
      <c r="M26" s="253"/>
      <c r="N26" s="253"/>
      <c r="O26" s="253"/>
      <c r="P26" s="253"/>
      <c r="Q26" s="253"/>
      <c r="R26" s="253"/>
      <c r="S26" s="253"/>
      <c r="T26" s="253"/>
      <c r="U26" s="253"/>
      <c r="V26" s="253"/>
      <c r="W26" s="253"/>
      <c r="X26" s="253"/>
      <c r="Y26" s="253"/>
      <c r="Z26" s="253"/>
    </row>
    <row r="27" spans="1:26" ht="15" customHeight="1">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row>
    <row r="28" spans="1:26" ht="9.9499999999999993" customHeight="1"/>
    <row r="29" spans="1:26" s="26" customFormat="1" ht="15" customHeight="1">
      <c r="A29" s="56"/>
      <c r="C29" s="19" t="s">
        <v>111</v>
      </c>
    </row>
    <row r="30" spans="1:26" ht="15" customHeight="1">
      <c r="C30" s="253" t="s">
        <v>126</v>
      </c>
      <c r="D30" s="253"/>
      <c r="E30" s="253"/>
      <c r="F30" s="253"/>
      <c r="G30" s="253"/>
      <c r="H30" s="253"/>
      <c r="I30" s="253"/>
      <c r="J30" s="253"/>
      <c r="K30" s="253"/>
      <c r="L30" s="253"/>
      <c r="M30" s="253"/>
      <c r="N30" s="253"/>
      <c r="O30" s="253"/>
      <c r="P30" s="253"/>
      <c r="Q30" s="253"/>
      <c r="R30" s="253"/>
      <c r="S30" s="253"/>
      <c r="T30" s="253"/>
      <c r="U30" s="253"/>
      <c r="V30" s="253"/>
      <c r="W30" s="253"/>
      <c r="X30" s="253"/>
      <c r="Y30" s="253"/>
      <c r="Z30" s="253"/>
    </row>
    <row r="31" spans="1:26" ht="15" customHeight="1">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row>
    <row r="32" spans="1:26" ht="15" customHeight="1">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54" t="s">
        <v>155</v>
      </c>
      <c r="D35" s="254"/>
      <c r="E35" s="254"/>
      <c r="F35" s="254"/>
      <c r="G35" s="254"/>
      <c r="H35" s="254"/>
      <c r="I35" s="254"/>
      <c r="J35" s="254"/>
      <c r="K35" s="254"/>
      <c r="L35" s="254"/>
      <c r="M35" s="254"/>
      <c r="N35" s="254"/>
      <c r="O35" s="254"/>
      <c r="P35" s="254"/>
      <c r="Q35" s="254"/>
      <c r="R35" s="254"/>
      <c r="S35" s="254"/>
      <c r="T35" s="254"/>
      <c r="U35" s="254"/>
      <c r="V35" s="254"/>
      <c r="W35" s="254"/>
      <c r="X35" s="254"/>
      <c r="Y35" s="254"/>
      <c r="Z35" s="254"/>
    </row>
    <row r="36" spans="1:27" s="54" customFormat="1" ht="15" customHeight="1">
      <c r="A36" s="53"/>
      <c r="C36" s="254"/>
      <c r="D36" s="254"/>
      <c r="E36" s="254"/>
      <c r="F36" s="254"/>
      <c r="G36" s="254"/>
      <c r="H36" s="254"/>
      <c r="I36" s="254"/>
      <c r="J36" s="254"/>
      <c r="K36" s="254"/>
      <c r="L36" s="254"/>
      <c r="M36" s="254"/>
      <c r="N36" s="254"/>
      <c r="O36" s="254"/>
      <c r="P36" s="254"/>
      <c r="Q36" s="254"/>
      <c r="R36" s="254"/>
      <c r="S36" s="254"/>
      <c r="T36" s="254"/>
      <c r="U36" s="254"/>
      <c r="V36" s="254"/>
      <c r="W36" s="254"/>
      <c r="X36" s="254"/>
      <c r="Y36" s="254"/>
      <c r="Z36" s="254"/>
    </row>
    <row r="37" spans="1:27" ht="9.9499999999999993" customHeight="1"/>
    <row r="38" spans="1:27" s="26" customFormat="1" ht="15" customHeight="1">
      <c r="A38" s="56"/>
      <c r="C38" s="19" t="s">
        <v>17</v>
      </c>
    </row>
    <row r="39" spans="1:27" ht="9.9499999999999993" customHeight="1"/>
    <row r="40" spans="1:27" s="26" customFormat="1" ht="15" customHeight="1">
      <c r="A40" s="56"/>
      <c r="D40" s="248" t="s">
        <v>18</v>
      </c>
      <c r="E40" s="248"/>
      <c r="F40" s="248"/>
      <c r="G40" s="248"/>
      <c r="H40" s="248"/>
      <c r="I40" s="248"/>
      <c r="J40" s="248" t="s">
        <v>19</v>
      </c>
      <c r="K40" s="248"/>
      <c r="L40" s="248"/>
      <c r="M40" s="248"/>
      <c r="N40" s="248"/>
      <c r="O40" s="248"/>
      <c r="P40" s="248" t="s">
        <v>20</v>
      </c>
      <c r="Q40" s="248"/>
      <c r="R40" s="248"/>
      <c r="S40" s="248"/>
      <c r="T40" s="248"/>
      <c r="U40" s="248"/>
      <c r="V40" s="248" t="s">
        <v>21</v>
      </c>
      <c r="W40" s="248"/>
      <c r="X40" s="248"/>
      <c r="Y40" s="248"/>
      <c r="Z40" s="248"/>
    </row>
    <row r="41" spans="1:27" s="26" customFormat="1" ht="15" customHeight="1">
      <c r="A41" s="56"/>
      <c r="D41" s="248"/>
      <c r="E41" s="248"/>
      <c r="F41" s="248"/>
      <c r="G41" s="248"/>
      <c r="H41" s="248"/>
      <c r="I41" s="248"/>
      <c r="J41" s="248"/>
      <c r="K41" s="248"/>
      <c r="L41" s="248"/>
      <c r="M41" s="248"/>
      <c r="N41" s="248"/>
      <c r="O41" s="248"/>
      <c r="P41" s="248"/>
      <c r="Q41" s="248"/>
      <c r="R41" s="248"/>
      <c r="S41" s="248"/>
      <c r="T41" s="248"/>
      <c r="U41" s="248"/>
      <c r="V41" s="248"/>
      <c r="W41" s="248"/>
      <c r="X41" s="248"/>
      <c r="Y41" s="248"/>
      <c r="Z41" s="248"/>
    </row>
    <row r="42" spans="1:27" s="26" customFormat="1" ht="15" customHeight="1">
      <c r="A42" s="56"/>
      <c r="D42" s="244" t="str">
        <f>DataSheet!B33</f>
        <v>dgdg</v>
      </c>
      <c r="E42" s="244"/>
      <c r="F42" s="244"/>
      <c r="G42" s="244"/>
      <c r="H42" s="244"/>
      <c r="I42" s="244"/>
      <c r="J42" s="244" t="str">
        <f>DataSheet!Q33</f>
        <v>dgdg</v>
      </c>
      <c r="K42" s="244"/>
      <c r="L42" s="244"/>
      <c r="M42" s="244"/>
      <c r="N42" s="244"/>
      <c r="O42" s="244"/>
      <c r="P42" s="283" t="str">
        <f>DataSheet!AB33</f>
        <v>dgdg</v>
      </c>
      <c r="Q42" s="283"/>
      <c r="R42" s="283"/>
      <c r="S42" s="283"/>
      <c r="T42" s="283"/>
      <c r="U42" s="283"/>
      <c r="V42" s="284" t="str">
        <f>DataSheet!AO33</f>
        <v>Thursday, 4 September 2025</v>
      </c>
      <c r="W42" s="284"/>
      <c r="X42" s="284"/>
      <c r="Y42" s="284"/>
      <c r="Z42" s="284"/>
    </row>
    <row r="43" spans="1:27" ht="9.9499999999999993" customHeight="1"/>
    <row r="44" spans="1:27" s="26" customFormat="1" ht="15" customHeight="1">
      <c r="A44" s="56"/>
      <c r="C44" s="19" t="s">
        <v>22</v>
      </c>
    </row>
    <row r="45" spans="1:27" s="26" customFormat="1" ht="15" customHeight="1">
      <c r="A45" s="56"/>
      <c r="C45" s="251" t="s">
        <v>115</v>
      </c>
      <c r="D45" s="251"/>
      <c r="E45" s="251"/>
      <c r="F45" s="251"/>
      <c r="G45" s="251"/>
      <c r="H45" s="251"/>
      <c r="I45" s="251"/>
      <c r="J45" s="251"/>
      <c r="K45" s="251"/>
      <c r="L45" s="251"/>
      <c r="M45" s="251"/>
      <c r="N45" s="251"/>
      <c r="O45" s="251"/>
      <c r="P45" s="251"/>
      <c r="Q45" s="251"/>
      <c r="R45" s="251"/>
      <c r="S45" s="251"/>
      <c r="T45" s="251"/>
      <c r="U45" s="251"/>
      <c r="V45" s="251"/>
      <c r="W45" s="251"/>
      <c r="X45" s="251"/>
      <c r="Y45" s="251"/>
      <c r="Z45" s="251"/>
      <c r="AA45" s="59"/>
    </row>
    <row r="46" spans="1:27" s="26" customFormat="1" ht="15" customHeight="1">
      <c r="A46" s="56"/>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1"/>
      <c r="AA46" s="59"/>
    </row>
    <row r="47" spans="1:27" s="26" customFormat="1" ht="15" customHeight="1">
      <c r="A47" s="56"/>
      <c r="C47" s="251"/>
      <c r="D47" s="251"/>
      <c r="E47" s="251"/>
      <c r="F47" s="251"/>
      <c r="G47" s="251"/>
      <c r="H47" s="251"/>
      <c r="I47" s="251"/>
      <c r="J47" s="251"/>
      <c r="K47" s="251"/>
      <c r="L47" s="251"/>
      <c r="M47" s="251"/>
      <c r="N47" s="251"/>
      <c r="O47" s="251"/>
      <c r="P47" s="251"/>
      <c r="Q47" s="251"/>
      <c r="R47" s="251"/>
      <c r="S47" s="251"/>
      <c r="T47" s="251"/>
      <c r="U47" s="251"/>
      <c r="V47" s="251"/>
      <c r="W47" s="251"/>
      <c r="X47" s="251"/>
      <c r="Y47" s="251"/>
      <c r="Z47" s="251"/>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80">
        <f>EDATE(DataSheet!AL11,12)</f>
        <v>46121</v>
      </c>
      <c r="P51" s="280"/>
      <c r="Q51" s="280"/>
    </row>
    <row r="52" spans="1:23" s="26" customFormat="1" ht="15" customHeight="1">
      <c r="A52" s="56"/>
      <c r="N52" s="65"/>
    </row>
    <row r="53" spans="1:23" s="24" customFormat="1" ht="15" customHeight="1">
      <c r="A53" s="28"/>
      <c r="O53" s="32"/>
      <c r="P53" s="32"/>
      <c r="Q53" s="32"/>
    </row>
    <row r="54" spans="1:23" ht="15" customHeight="1">
      <c r="E54" s="281" t="str">
        <f>DataSheet!B140</f>
        <v>DANICA BEA NERI</v>
      </c>
      <c r="F54" s="281"/>
      <c r="G54" s="281"/>
      <c r="H54" s="281"/>
      <c r="I54" s="281"/>
      <c r="J54" s="281"/>
      <c r="K54" s="281"/>
      <c r="S54" s="281" t="str">
        <f>DataSheet!B143</f>
        <v>Jennefer S. Ilas</v>
      </c>
      <c r="T54" s="281"/>
      <c r="U54" s="281"/>
      <c r="V54" s="281"/>
      <c r="W54" s="281"/>
    </row>
    <row r="55" spans="1:23" ht="15" customHeight="1">
      <c r="E55" s="277" t="s">
        <v>24</v>
      </c>
      <c r="F55" s="277"/>
      <c r="G55" s="277"/>
      <c r="H55" s="277"/>
      <c r="I55" s="277"/>
      <c r="J55" s="277"/>
      <c r="K55" s="277"/>
      <c r="S55" s="277" t="s">
        <v>151</v>
      </c>
      <c r="T55" s="277"/>
      <c r="U55" s="277"/>
      <c r="V55" s="277"/>
      <c r="W55" s="277"/>
    </row>
    <row r="56" spans="1:23" ht="15" customHeight="1"/>
    <row r="57" spans="1:23" ht="15" customHeight="1">
      <c r="D57" s="30" t="s">
        <v>25</v>
      </c>
      <c r="G57" s="282"/>
      <c r="H57" s="282"/>
      <c r="I57" s="282"/>
      <c r="J57" s="282"/>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8" t="s">
        <v>27</v>
      </c>
      <c r="F68" s="248"/>
      <c r="G68" s="248"/>
      <c r="H68" s="248"/>
      <c r="I68" s="248" t="s">
        <v>28</v>
      </c>
      <c r="J68" s="248"/>
      <c r="K68" s="248"/>
      <c r="L68" s="248"/>
      <c r="M68" s="249" t="s">
        <v>73</v>
      </c>
      <c r="N68" s="248"/>
      <c r="O68" s="248"/>
      <c r="P68" s="248"/>
      <c r="Q68" s="248" t="s">
        <v>29</v>
      </c>
      <c r="R68" s="248"/>
      <c r="S68" s="248"/>
      <c r="T68" s="248"/>
      <c r="U68" s="249" t="s">
        <v>114</v>
      </c>
      <c r="V68" s="248"/>
      <c r="W68" s="248"/>
      <c r="X68" s="248"/>
    </row>
    <row r="69" spans="3:24" ht="15" customHeight="1">
      <c r="C69" s="19"/>
      <c r="E69" s="248"/>
      <c r="F69" s="248"/>
      <c r="G69" s="248"/>
      <c r="H69" s="248"/>
      <c r="I69" s="248"/>
      <c r="J69" s="248"/>
      <c r="K69" s="248"/>
      <c r="L69" s="248"/>
      <c r="M69" s="248"/>
      <c r="N69" s="248"/>
      <c r="O69" s="248"/>
      <c r="P69" s="248"/>
      <c r="Q69" s="248"/>
      <c r="R69" s="248"/>
      <c r="S69" s="248"/>
      <c r="T69" s="248"/>
      <c r="U69" s="248"/>
      <c r="V69" s="248"/>
      <c r="W69" s="248"/>
      <c r="X69" s="248"/>
    </row>
    <row r="70" spans="3:24" ht="15" customHeight="1">
      <c r="C70" s="19"/>
      <c r="E70" s="244" t="str">
        <f>DataSheet!F55</f>
        <v>600 mV</v>
      </c>
      <c r="F70" s="244"/>
      <c r="G70" s="244"/>
      <c r="H70" s="244"/>
      <c r="I70" s="244" t="str">
        <f>CONCATENATE(DataSheet!L55," ",DataSheet!P55)</f>
        <v>60 mV</v>
      </c>
      <c r="J70" s="244"/>
      <c r="K70" s="244"/>
      <c r="L70" s="244"/>
      <c r="M70" s="244" t="str">
        <f>CONCATENATE(TEXT(DataSheet!AM55,"0.0")," ",DataSheet!P55)</f>
        <v>60.0 mV</v>
      </c>
      <c r="N70" s="244"/>
      <c r="O70" s="244"/>
      <c r="P70" s="244"/>
      <c r="Q70" s="244" t="str">
        <f>CONCATENATE(TEXT(DataSheet!AR55,"0.0")," ",DataSheet!P55)</f>
        <v>0.0 mV</v>
      </c>
      <c r="R70" s="244"/>
      <c r="S70" s="244"/>
      <c r="T70" s="244"/>
      <c r="U70" s="244" t="str">
        <f>CONCATENATE(," ",TEXT(DataSheet!DD55,"0.000")," ",DataSheet!CZ55)</f>
        <v xml:space="preserve"> 0.058 mV</v>
      </c>
      <c r="V70" s="244"/>
      <c r="W70" s="244"/>
      <c r="X70" s="244"/>
    </row>
    <row r="71" spans="3:24" ht="15" customHeight="1">
      <c r="C71" s="19"/>
      <c r="E71" s="244"/>
      <c r="F71" s="244"/>
      <c r="G71" s="244"/>
      <c r="H71" s="244"/>
      <c r="I71" s="244" t="str">
        <f>CONCATENATE(DataSheet!L56," ",DataSheet!P56)</f>
        <v>540 mV</v>
      </c>
      <c r="J71" s="244"/>
      <c r="K71" s="244"/>
      <c r="L71" s="244"/>
      <c r="M71" s="244" t="str">
        <f>CONCATENATE(TEXT(DataSheet!AM56,"0.0")," ",DataSheet!P56)</f>
        <v>540.0 mV</v>
      </c>
      <c r="N71" s="244"/>
      <c r="O71" s="244"/>
      <c r="P71" s="244"/>
      <c r="Q71" s="244" t="str">
        <f>CONCATENATE(TEXT(DataSheet!AR56,"0.0")," ",DataSheet!P56)</f>
        <v>0.0 mV</v>
      </c>
      <c r="R71" s="244"/>
      <c r="S71" s="244"/>
      <c r="T71" s="244"/>
      <c r="U71" s="244" t="str">
        <f>CONCATENATE(," ",TEXT(DataSheet!DD56,"0.000")," ",DataSheet!CZ56)</f>
        <v xml:space="preserve"> 0.058 mV</v>
      </c>
      <c r="V71" s="244"/>
      <c r="W71" s="244"/>
      <c r="X71" s="244"/>
    </row>
    <row r="72" spans="3:24" ht="15" customHeight="1">
      <c r="C72" s="19"/>
      <c r="E72" s="244"/>
      <c r="F72" s="244"/>
      <c r="G72" s="244"/>
      <c r="H72" s="244"/>
      <c r="I72" s="244" t="str">
        <f>CONCATENATE(DataSheet!L57," ",DataSheet!P57)</f>
        <v>-540 mV</v>
      </c>
      <c r="J72" s="244"/>
      <c r="K72" s="244"/>
      <c r="L72" s="244"/>
      <c r="M72" s="244" t="str">
        <f>CONCATENATE(TEXT(DataSheet!AM57,"0.0")," ",DataSheet!P57)</f>
        <v>-540.0 mV</v>
      </c>
      <c r="N72" s="244"/>
      <c r="O72" s="244"/>
      <c r="P72" s="244"/>
      <c r="Q72" s="244" t="str">
        <f>CONCATENATE(TEXT(DataSheet!AR57,"0.0")," ",DataSheet!P57)</f>
        <v>0.0 mV</v>
      </c>
      <c r="R72" s="244"/>
      <c r="S72" s="244"/>
      <c r="T72" s="244"/>
      <c r="U72" s="244" t="str">
        <f>CONCATENATE(," ",TEXT(DataSheet!DD57,"0.000")," ",DataSheet!CZ57)</f>
        <v xml:space="preserve"> 0.058 mV</v>
      </c>
      <c r="V72" s="244"/>
      <c r="W72" s="244"/>
      <c r="X72" s="244"/>
    </row>
    <row r="73" spans="3:24" ht="15" customHeight="1">
      <c r="C73" s="19"/>
      <c r="E73" s="244" t="str">
        <f>DataSheet!F58</f>
        <v>6 V</v>
      </c>
      <c r="F73" s="244"/>
      <c r="G73" s="244"/>
      <c r="H73" s="244"/>
      <c r="I73" s="244" t="str">
        <f>CONCATENATE(DataSheet!L58," ",DataSheet!P58)</f>
        <v>0.6 V</v>
      </c>
      <c r="J73" s="244"/>
      <c r="K73" s="244"/>
      <c r="L73" s="244"/>
      <c r="M73" s="244" t="str">
        <f>CONCATENATE(TEXT(DataSheet!AM58,"0.000")," ",DataSheet!P58)</f>
        <v>0.600 V</v>
      </c>
      <c r="N73" s="244"/>
      <c r="O73" s="244"/>
      <c r="P73" s="244"/>
      <c r="Q73" s="244" t="str">
        <f>CONCATENATE(TEXT(DataSheet!AR58,"0.000")," ",DataSheet!P58)</f>
        <v>0.000 V</v>
      </c>
      <c r="R73" s="244"/>
      <c r="S73" s="244"/>
      <c r="T73" s="244"/>
      <c r="U73" s="244" t="str">
        <f>CONCATENATE(" ",TEXT(DataSheet!DD58,"0.000 00")," ",DataSheet!CZ58)</f>
        <v xml:space="preserve"> 0.000 58 V</v>
      </c>
      <c r="V73" s="244"/>
      <c r="W73" s="244"/>
      <c r="X73" s="244"/>
    </row>
    <row r="74" spans="3:24" ht="15" customHeight="1">
      <c r="C74" s="19"/>
      <c r="E74" s="244"/>
      <c r="F74" s="244"/>
      <c r="G74" s="244"/>
      <c r="H74" s="244"/>
      <c r="I74" s="244" t="str">
        <f>CONCATENATE(DataSheet!L59," ",DataSheet!P59)</f>
        <v>5.4 V</v>
      </c>
      <c r="J74" s="244"/>
      <c r="K74" s="244"/>
      <c r="L74" s="244"/>
      <c r="M74" s="244" t="str">
        <f>CONCATENATE(TEXT(DataSheet!AM59,"0.000")," ",DataSheet!P59)</f>
        <v>5.400 V</v>
      </c>
      <c r="N74" s="244"/>
      <c r="O74" s="244"/>
      <c r="P74" s="244"/>
      <c r="Q74" s="244" t="str">
        <f>CONCATENATE(TEXT(DataSheet!AR59,"0.000")," ",DataSheet!P59)</f>
        <v>0.000 V</v>
      </c>
      <c r="R74" s="244"/>
      <c r="S74" s="244"/>
      <c r="T74" s="244"/>
      <c r="U74" s="244" t="str">
        <f>CONCATENATE(" ",TEXT(DataSheet!DD59,"0.000 00")," ",DataSheet!CZ59)</f>
        <v xml:space="preserve"> 0.000 58 V</v>
      </c>
      <c r="V74" s="244"/>
      <c r="W74" s="244"/>
      <c r="X74" s="244"/>
    </row>
    <row r="75" spans="3:24" ht="15" customHeight="1">
      <c r="C75" s="19"/>
      <c r="E75" s="244"/>
      <c r="F75" s="244"/>
      <c r="G75" s="244"/>
      <c r="H75" s="244"/>
      <c r="I75" s="244" t="str">
        <f>CONCATENATE(DataSheet!L60," ",DataSheet!P60)</f>
        <v>-5.4 V</v>
      </c>
      <c r="J75" s="244"/>
      <c r="K75" s="244"/>
      <c r="L75" s="244"/>
      <c r="M75" s="244" t="str">
        <f>CONCATENATE(TEXT(DataSheet!AM60,"0.000")," ",DataSheet!P60)</f>
        <v>-5.400 V</v>
      </c>
      <c r="N75" s="244"/>
      <c r="O75" s="244"/>
      <c r="P75" s="244"/>
      <c r="Q75" s="244" t="str">
        <f>CONCATENATE(TEXT(DataSheet!AR60,"0.000")," ",DataSheet!P60)</f>
        <v>0.000 V</v>
      </c>
      <c r="R75" s="244"/>
      <c r="S75" s="244"/>
      <c r="T75" s="244"/>
      <c r="U75" s="244" t="str">
        <f>CONCATENATE(" ",TEXT(DataSheet!DD60,"0.000 00")," ",DataSheet!CZ60)</f>
        <v xml:space="preserve"> 0.000 58 V</v>
      </c>
      <c r="V75" s="244"/>
      <c r="W75" s="244"/>
      <c r="X75" s="244"/>
    </row>
    <row r="76" spans="3:24" ht="15" customHeight="1">
      <c r="C76" s="19"/>
      <c r="E76" s="244" t="str">
        <f>DataSheet!F61</f>
        <v>60 V</v>
      </c>
      <c r="F76" s="244"/>
      <c r="G76" s="244"/>
      <c r="H76" s="244"/>
      <c r="I76" s="244" t="str">
        <f>CONCATENATE(DataSheet!L61," ",DataSheet!P61)</f>
        <v>6 V</v>
      </c>
      <c r="J76" s="244"/>
      <c r="K76" s="244"/>
      <c r="L76" s="244"/>
      <c r="M76" s="244" t="str">
        <f>CONCATENATE(TEXT(DataSheet!AM61,"0.00")," ",DataSheet!P61)</f>
        <v>6.00 V</v>
      </c>
      <c r="N76" s="244"/>
      <c r="O76" s="244"/>
      <c r="P76" s="244"/>
      <c r="Q76" s="244" t="str">
        <f>CONCATENATE(TEXT(DataSheet!AR61,"0.00")," ",DataSheet!P61)</f>
        <v>0.00 V</v>
      </c>
      <c r="R76" s="244"/>
      <c r="S76" s="244"/>
      <c r="T76" s="244"/>
      <c r="U76" s="244" t="str">
        <f>CONCATENATE(" ",TEXT(DataSheet!DD61,"0.000 0")," ",DataSheet!CZ61)</f>
        <v xml:space="preserve"> 0.005 8 V</v>
      </c>
      <c r="V76" s="244"/>
      <c r="W76" s="244"/>
      <c r="X76" s="244"/>
    </row>
    <row r="77" spans="3:24" ht="15" customHeight="1">
      <c r="C77" s="19"/>
      <c r="E77" s="244"/>
      <c r="F77" s="244"/>
      <c r="G77" s="244"/>
      <c r="H77" s="244"/>
      <c r="I77" s="244" t="str">
        <f>CONCATENATE(DataSheet!L62," ",DataSheet!P62)</f>
        <v>30 V</v>
      </c>
      <c r="J77" s="244"/>
      <c r="K77" s="244"/>
      <c r="L77" s="244"/>
      <c r="M77" s="244" t="str">
        <f>CONCATENATE(TEXT(DataSheet!AM62,"0.00")," ",DataSheet!P62)</f>
        <v>30.00 V</v>
      </c>
      <c r="N77" s="244"/>
      <c r="O77" s="244"/>
      <c r="P77" s="244"/>
      <c r="Q77" s="244" t="str">
        <f>CONCATENATE(TEXT(DataSheet!AR62,"0.00")," ",DataSheet!P62)</f>
        <v>0.00 V</v>
      </c>
      <c r="R77" s="244"/>
      <c r="S77" s="244"/>
      <c r="T77" s="244"/>
      <c r="U77" s="244" t="str">
        <f>CONCATENATE(" ",TEXT(DataSheet!DD62,"0.000 0")," ",DataSheet!CZ62)</f>
        <v xml:space="preserve"> 0.005 8 V</v>
      </c>
      <c r="V77" s="244"/>
      <c r="W77" s="244"/>
      <c r="X77" s="244"/>
    </row>
    <row r="78" spans="3:24" ht="15" customHeight="1">
      <c r="C78" s="19"/>
      <c r="E78" s="244"/>
      <c r="F78" s="244"/>
      <c r="G78" s="244"/>
      <c r="H78" s="244"/>
      <c r="I78" s="244" t="str">
        <f>CONCATENATE(DataSheet!L63," ",DataSheet!P63)</f>
        <v>54 V</v>
      </c>
      <c r="J78" s="244"/>
      <c r="K78" s="244"/>
      <c r="L78" s="244"/>
      <c r="M78" s="244" t="str">
        <f>CONCATENATE(TEXT(DataSheet!AM63,"0.00")," ",DataSheet!P63)</f>
        <v>54.00 V</v>
      </c>
      <c r="N78" s="244"/>
      <c r="O78" s="244"/>
      <c r="P78" s="244"/>
      <c r="Q78" s="244" t="str">
        <f>CONCATENATE(TEXT(DataSheet!AR63,"0.00")," ",DataSheet!P63)</f>
        <v>0.00 V</v>
      </c>
      <c r="R78" s="244"/>
      <c r="S78" s="244"/>
      <c r="T78" s="244"/>
      <c r="U78" s="244" t="str">
        <f>CONCATENATE(" ",TEXT(DataSheet!DD63,"0.000 0")," ",DataSheet!CZ63)</f>
        <v xml:space="preserve"> 0.005 8 V</v>
      </c>
      <c r="V78" s="244"/>
      <c r="W78" s="244"/>
      <c r="X78" s="244"/>
    </row>
    <row r="79" spans="3:24" ht="15" customHeight="1">
      <c r="C79" s="19"/>
      <c r="E79" s="244"/>
      <c r="F79" s="244"/>
      <c r="G79" s="244"/>
      <c r="H79" s="244"/>
      <c r="I79" s="244" t="str">
        <f>CONCATENATE(DataSheet!L64," ",DataSheet!P64)</f>
        <v>-6 V</v>
      </c>
      <c r="J79" s="244"/>
      <c r="K79" s="244"/>
      <c r="L79" s="244"/>
      <c r="M79" s="244" t="str">
        <f>CONCATENATE(TEXT(DataSheet!AM64,"0.00")," ",DataSheet!P64)</f>
        <v>-6.00 V</v>
      </c>
      <c r="N79" s="244"/>
      <c r="O79" s="244"/>
      <c r="P79" s="244"/>
      <c r="Q79" s="244" t="str">
        <f>CONCATENATE(TEXT(DataSheet!AR64,"0.00")," ",DataSheet!P64)</f>
        <v>0.00 V</v>
      </c>
      <c r="R79" s="244"/>
      <c r="S79" s="244"/>
      <c r="T79" s="244"/>
      <c r="U79" s="244" t="str">
        <f>CONCATENATE(" ",TEXT(DataSheet!DD64,"0.000 0")," ",DataSheet!CZ64)</f>
        <v xml:space="preserve"> 0.005 8 V</v>
      </c>
      <c r="V79" s="244"/>
      <c r="W79" s="244"/>
      <c r="X79" s="244"/>
    </row>
    <row r="80" spans="3:24" ht="15" customHeight="1">
      <c r="C80" s="19"/>
      <c r="E80" s="244"/>
      <c r="F80" s="244"/>
      <c r="G80" s="244"/>
      <c r="H80" s="244"/>
      <c r="I80" s="244" t="str">
        <f>CONCATENATE(DataSheet!L65," ",DataSheet!P65)</f>
        <v>-54 V</v>
      </c>
      <c r="J80" s="244"/>
      <c r="K80" s="244"/>
      <c r="L80" s="244"/>
      <c r="M80" s="244" t="str">
        <f>CONCATENATE(TEXT(DataSheet!AM65,"0.00")," ",DataSheet!P65)</f>
        <v>-54.00 V</v>
      </c>
      <c r="N80" s="244"/>
      <c r="O80" s="244"/>
      <c r="P80" s="244"/>
      <c r="Q80" s="244" t="str">
        <f>CONCATENATE(TEXT(DataSheet!AR65,"0.00")," ",DataSheet!P65)</f>
        <v>0.00 V</v>
      </c>
      <c r="R80" s="244"/>
      <c r="S80" s="244"/>
      <c r="T80" s="244"/>
      <c r="U80" s="244" t="str">
        <f>CONCATENATE(" ",TEXT(DataSheet!DD65,"0.000 0")," ",DataSheet!CZ65)</f>
        <v xml:space="preserve"> 0.005 8 V</v>
      </c>
      <c r="V80" s="244"/>
      <c r="W80" s="244"/>
      <c r="X80" s="244"/>
    </row>
    <row r="81" spans="3:24" ht="15" customHeight="1">
      <c r="C81" s="19"/>
      <c r="E81" s="244" t="str">
        <f>DataSheet!F66</f>
        <v>600 V</v>
      </c>
      <c r="F81" s="244"/>
      <c r="G81" s="244"/>
      <c r="H81" s="244"/>
      <c r="I81" s="244" t="str">
        <f>CONCATENATE(DataSheet!L66," ",DataSheet!P66)</f>
        <v>60 V</v>
      </c>
      <c r="J81" s="244"/>
      <c r="K81" s="244"/>
      <c r="L81" s="244"/>
      <c r="M81" s="244" t="str">
        <f>CONCATENATE(TEXT(DataSheet!AM66,"0.0")," ",DataSheet!P66)</f>
        <v>60.0 V</v>
      </c>
      <c r="N81" s="244"/>
      <c r="O81" s="244"/>
      <c r="P81" s="244"/>
      <c r="Q81" s="244" t="str">
        <f>CONCATENATE(TEXT(DataSheet!AR66,"0.0")," ",DataSheet!P66)</f>
        <v>0.0 V</v>
      </c>
      <c r="R81" s="244"/>
      <c r="S81" s="244"/>
      <c r="T81" s="244"/>
      <c r="U81" s="245" t="str">
        <f>CONCATENATE(" ",TEXT(DataSheet!DD66,"0.000")," ",DataSheet!CZ66)</f>
        <v xml:space="preserve"> 0.058 V</v>
      </c>
      <c r="V81" s="246"/>
      <c r="W81" s="246"/>
      <c r="X81" s="247"/>
    </row>
    <row r="82" spans="3:24" ht="15" customHeight="1">
      <c r="C82" s="19"/>
      <c r="E82" s="244"/>
      <c r="F82" s="244"/>
      <c r="G82" s="244"/>
      <c r="H82" s="244"/>
      <c r="I82" s="244" t="str">
        <f>CONCATENATE(DataSheet!L67," ",DataSheet!P67)</f>
        <v>540 V</v>
      </c>
      <c r="J82" s="244"/>
      <c r="K82" s="244"/>
      <c r="L82" s="244"/>
      <c r="M82" s="244" t="str">
        <f>CONCATENATE(TEXT(DataSheet!AM67,"0.0")," ",DataSheet!P67)</f>
        <v>540.0 V</v>
      </c>
      <c r="N82" s="244"/>
      <c r="O82" s="244"/>
      <c r="P82" s="244"/>
      <c r="Q82" s="244" t="str">
        <f>CONCATENATE(TEXT(DataSheet!AR67,"0.0")," ",DataSheet!P67)</f>
        <v>0.0 V</v>
      </c>
      <c r="R82" s="244"/>
      <c r="S82" s="244"/>
      <c r="T82" s="244"/>
      <c r="U82" s="245" t="str">
        <f>CONCATENATE(" ",TEXT(DataSheet!DD67,"0.000")," ",DataSheet!CZ67)</f>
        <v xml:space="preserve"> 0.058 V</v>
      </c>
      <c r="V82" s="246"/>
      <c r="W82" s="246"/>
      <c r="X82" s="247"/>
    </row>
    <row r="83" spans="3:24" ht="15" customHeight="1">
      <c r="C83" s="19"/>
      <c r="E83" s="244"/>
      <c r="F83" s="244"/>
      <c r="G83" s="244"/>
      <c r="H83" s="244"/>
      <c r="I83" s="244" t="str">
        <f>CONCATENATE(DataSheet!L68," ",DataSheet!P68)</f>
        <v>-540 V</v>
      </c>
      <c r="J83" s="244"/>
      <c r="K83" s="244"/>
      <c r="L83" s="244"/>
      <c r="M83" s="244" t="str">
        <f>CONCATENATE(TEXT(DataSheet!AM68,"0.0")," ",DataSheet!P68)</f>
        <v>-540.0 V</v>
      </c>
      <c r="N83" s="244"/>
      <c r="O83" s="244"/>
      <c r="P83" s="244"/>
      <c r="Q83" s="244" t="str">
        <f>CONCATENATE(TEXT(DataSheet!AR68,"0.0")," ",DataSheet!P68)</f>
        <v>0.0 V</v>
      </c>
      <c r="R83" s="244"/>
      <c r="S83" s="244"/>
      <c r="T83" s="244"/>
      <c r="U83" s="245" t="str">
        <f>CONCATENATE(" ",TEXT(DataSheet!DD68,"0.000")," ",DataSheet!CZ68)</f>
        <v xml:space="preserve"> 0.058 V</v>
      </c>
      <c r="V83" s="246"/>
      <c r="W83" s="246"/>
      <c r="X83" s="247"/>
    </row>
    <row r="84" spans="3:24" ht="15" customHeight="1">
      <c r="C84" s="19"/>
      <c r="E84" s="244" t="str">
        <f>DataSheet!F69</f>
        <v>1000 V</v>
      </c>
      <c r="F84" s="244"/>
      <c r="G84" s="244"/>
      <c r="H84" s="244"/>
      <c r="I84" s="244" t="str">
        <f>CONCATENATE(DataSheet!L69," ",DataSheet!P69)</f>
        <v>100 V</v>
      </c>
      <c r="J84" s="244"/>
      <c r="K84" s="244"/>
      <c r="L84" s="244"/>
      <c r="M84" s="244" t="str">
        <f>CONCATENATE(TEXT(DataSheet!AM69,"0")," ",DataSheet!P69)</f>
        <v>100 V</v>
      </c>
      <c r="N84" s="244"/>
      <c r="O84" s="244"/>
      <c r="P84" s="244"/>
      <c r="Q84" s="244" t="str">
        <f>CONCATENATE(TEXT(DataSheet!AR69,"0")," ",DataSheet!P69)</f>
        <v>0 V</v>
      </c>
      <c r="R84" s="244"/>
      <c r="S84" s="244"/>
      <c r="T84" s="244"/>
      <c r="U84" s="245" t="str">
        <f>CONCATENATE(" ",TEXT(DataSheet!DD69,"0.00")," ",DataSheet!CZ69)</f>
        <v xml:space="preserve"> 0.58 V</v>
      </c>
      <c r="V84" s="246"/>
      <c r="W84" s="246"/>
      <c r="X84" s="247"/>
    </row>
    <row r="85" spans="3:24" ht="15" customHeight="1">
      <c r="C85" s="19"/>
      <c r="E85" s="244"/>
      <c r="F85" s="244"/>
      <c r="G85" s="244"/>
      <c r="H85" s="244"/>
      <c r="I85" s="244" t="str">
        <f>CONCATENATE(DataSheet!L70," ",DataSheet!P70)</f>
        <v>900 V</v>
      </c>
      <c r="J85" s="244"/>
      <c r="K85" s="244"/>
      <c r="L85" s="244"/>
      <c r="M85" s="244" t="str">
        <f>CONCATENATE(TEXT(DataSheet!AM70,"0")," ",DataSheet!P70)</f>
        <v>900 V</v>
      </c>
      <c r="N85" s="244"/>
      <c r="O85" s="244"/>
      <c r="P85" s="244"/>
      <c r="Q85" s="244" t="str">
        <f>CONCATENATE(TEXT(DataSheet!AR70,"0")," ",DataSheet!P70)</f>
        <v>0 V</v>
      </c>
      <c r="R85" s="244"/>
      <c r="S85" s="244"/>
      <c r="T85" s="244"/>
      <c r="U85" s="245" t="str">
        <f>CONCATENATE(" ",TEXT(DataSheet!DD70,"0.00")," ",DataSheet!CZ70)</f>
        <v xml:space="preserve"> 0.58 V</v>
      </c>
      <c r="V85" s="246"/>
      <c r="W85" s="246"/>
      <c r="X85" s="247"/>
    </row>
    <row r="86" spans="3:24" ht="15" customHeight="1">
      <c r="C86" s="19"/>
      <c r="E86" s="244"/>
      <c r="F86" s="244"/>
      <c r="G86" s="244"/>
      <c r="H86" s="244"/>
      <c r="I86" s="244" t="str">
        <f>CONCATENATE(DataSheet!L71," ",DataSheet!P71)</f>
        <v>-900 V</v>
      </c>
      <c r="J86" s="244"/>
      <c r="K86" s="244"/>
      <c r="L86" s="244"/>
      <c r="M86" s="244" t="str">
        <f>CONCATENATE(TEXT(DataSheet!AM71,"0")," ",DataSheet!P71)</f>
        <v>-900 V</v>
      </c>
      <c r="N86" s="244"/>
      <c r="O86" s="244"/>
      <c r="P86" s="244"/>
      <c r="Q86" s="244" t="str">
        <f>CONCATENATE(TEXT(DataSheet!AR71,"0")," ",DataSheet!P71)</f>
        <v>0 V</v>
      </c>
      <c r="R86" s="244"/>
      <c r="S86" s="244"/>
      <c r="T86" s="244"/>
      <c r="U86" s="245" t="str">
        <f>CONCATENATE(" ",TEXT(DataSheet!DD71,"0.00")," ",DataSheet!CZ71)</f>
        <v xml:space="preserve"> 0.58 V</v>
      </c>
      <c r="V86" s="246"/>
      <c r="W86" s="246"/>
      <c r="X86" s="247"/>
    </row>
    <row r="87" spans="3:24" ht="15" customHeight="1">
      <c r="C87" s="19"/>
      <c r="G87" s="21"/>
    </row>
    <row r="88" spans="3:24" ht="15" customHeight="1">
      <c r="E88" s="21" t="str">
        <f>DataSheet!F99</f>
        <v>Resistance Test</v>
      </c>
      <c r="I88" s="21"/>
    </row>
    <row r="89" spans="3:24" ht="15" customHeight="1">
      <c r="E89" s="248" t="s">
        <v>27</v>
      </c>
      <c r="F89" s="248"/>
      <c r="G89" s="248"/>
      <c r="H89" s="248"/>
      <c r="I89" s="248" t="s">
        <v>28</v>
      </c>
      <c r="J89" s="248"/>
      <c r="K89" s="248"/>
      <c r="L89" s="248"/>
      <c r="M89" s="249" t="s">
        <v>73</v>
      </c>
      <c r="N89" s="248"/>
      <c r="O89" s="248"/>
      <c r="P89" s="248"/>
      <c r="Q89" s="248" t="s">
        <v>29</v>
      </c>
      <c r="R89" s="248"/>
      <c r="S89" s="248"/>
      <c r="T89" s="248"/>
      <c r="U89" s="249" t="s">
        <v>114</v>
      </c>
      <c r="V89" s="248"/>
      <c r="W89" s="248"/>
      <c r="X89" s="248"/>
    </row>
    <row r="90" spans="3:24" ht="15" customHeight="1">
      <c r="E90" s="248"/>
      <c r="F90" s="248"/>
      <c r="G90" s="248"/>
      <c r="H90" s="248"/>
      <c r="I90" s="248"/>
      <c r="J90" s="248"/>
      <c r="K90" s="248"/>
      <c r="L90" s="248"/>
      <c r="M90" s="248"/>
      <c r="N90" s="248"/>
      <c r="O90" s="248"/>
      <c r="P90" s="248"/>
      <c r="Q90" s="248"/>
      <c r="R90" s="248"/>
      <c r="S90" s="248"/>
      <c r="T90" s="248"/>
      <c r="U90" s="248"/>
      <c r="V90" s="248"/>
      <c r="W90" s="248"/>
      <c r="X90" s="248"/>
    </row>
    <row r="91" spans="3:24" ht="15" customHeight="1">
      <c r="E91" s="237" t="str">
        <f>DataSheet!F102</f>
        <v>600 Ω</v>
      </c>
      <c r="F91" s="238"/>
      <c r="G91" s="238"/>
      <c r="H91" s="239"/>
      <c r="I91" s="243" t="str">
        <f>CONCATENATE(DataSheet!L102," ",DataSheet!P102)</f>
        <v>0 Ω</v>
      </c>
      <c r="J91" s="243"/>
      <c r="K91" s="243"/>
      <c r="L91" s="243"/>
      <c r="M91" s="243" t="str">
        <f>CONCATENATE(TEXT(DataSheet!AM102,"0.0")," ",DataSheet!P102)</f>
        <v>0.0 Ω</v>
      </c>
      <c r="N91" s="243"/>
      <c r="O91" s="243"/>
      <c r="P91" s="243"/>
      <c r="Q91" s="243" t="str">
        <f>CONCATENATE(TEXT(DataSheet!AR102,"0.0")," ",DataSheet!P102)</f>
        <v>0.0 Ω</v>
      </c>
      <c r="R91" s="243"/>
      <c r="S91" s="243"/>
      <c r="T91" s="243"/>
      <c r="U91" s="243" t="str">
        <f>CONCATENATE(" ",TEXT(DataSheet!DD102,"0.000")," ",DataSheet!CZ102)</f>
        <v xml:space="preserve"> 0.058 Ω</v>
      </c>
      <c r="V91" s="243"/>
      <c r="W91" s="243"/>
      <c r="X91" s="243"/>
    </row>
    <row r="92" spans="3:24" ht="15" customHeight="1">
      <c r="E92" s="240"/>
      <c r="F92" s="241"/>
      <c r="G92" s="241"/>
      <c r="H92" s="242"/>
      <c r="I92" s="243" t="str">
        <f>CONCATENATE(DataSheet!L103," ",DataSheet!P103)</f>
        <v>540 Ω</v>
      </c>
      <c r="J92" s="243"/>
      <c r="K92" s="243"/>
      <c r="L92" s="243"/>
      <c r="M92" s="243" t="str">
        <f>CONCATENATE(TEXT(DataSheet!AM103,"0.0")," ",DataSheet!P103)</f>
        <v>540.0 Ω</v>
      </c>
      <c r="N92" s="243"/>
      <c r="O92" s="243"/>
      <c r="P92" s="243"/>
      <c r="Q92" s="243" t="str">
        <f>CONCATENATE(TEXT(DataSheet!AR103,"0.0")," ",DataSheet!P103)</f>
        <v>0.0 Ω</v>
      </c>
      <c r="R92" s="243"/>
      <c r="S92" s="243"/>
      <c r="T92" s="243"/>
      <c r="U92" s="243" t="str">
        <f>CONCATENATE(" ",TEXT(DataSheet!DD103,"0.000")," ",DataSheet!CZ103)</f>
        <v xml:space="preserve"> 0.058 Ω</v>
      </c>
      <c r="V92" s="243"/>
      <c r="W92" s="243"/>
      <c r="X92" s="243"/>
    </row>
    <row r="93" spans="3:24" ht="15" customHeight="1">
      <c r="E93" s="243" t="str">
        <f>DataSheet!F104</f>
        <v>6 kΩ</v>
      </c>
      <c r="F93" s="243"/>
      <c r="G93" s="243"/>
      <c r="H93" s="243"/>
      <c r="I93" s="243" t="str">
        <f>CONCATENATE(DataSheet!L104," ",DataSheet!P104)</f>
        <v>5.4 kΩ</v>
      </c>
      <c r="J93" s="243"/>
      <c r="K93" s="243"/>
      <c r="L93" s="243"/>
      <c r="M93" s="243" t="str">
        <f>CONCATENATE(TEXT(DataSheet!AM104,"0.000")," ",DataSheet!P104)</f>
        <v>5.400 kΩ</v>
      </c>
      <c r="N93" s="243"/>
      <c r="O93" s="243"/>
      <c r="P93" s="243"/>
      <c r="Q93" s="243" t="str">
        <f>CONCATENATE(TEXT(DataSheet!AR104,"0.000")," ",DataSheet!P104)</f>
        <v>0.000 kΩ</v>
      </c>
      <c r="R93" s="243"/>
      <c r="S93" s="243"/>
      <c r="T93" s="243"/>
      <c r="U93" s="243" t="str">
        <f>CONCATENATE(" ",TEXT(DataSheet!DD104,"0.000 00")," ",DataSheet!CZ104)</f>
        <v xml:space="preserve"> 0.000 58 kΩ</v>
      </c>
      <c r="V93" s="243"/>
      <c r="W93" s="243"/>
      <c r="X93" s="243"/>
    </row>
    <row r="94" spans="3:24" ht="15" customHeight="1">
      <c r="E94" s="243" t="str">
        <f>DataSheet!F105</f>
        <v>60 kΩ</v>
      </c>
      <c r="F94" s="243"/>
      <c r="G94" s="243"/>
      <c r="H94" s="243"/>
      <c r="I94" s="243" t="str">
        <f>CONCATENATE(DataSheet!L105," ",DataSheet!P105)</f>
        <v>54 kΩ</v>
      </c>
      <c r="J94" s="243"/>
      <c r="K94" s="243"/>
      <c r="L94" s="243"/>
      <c r="M94" s="243" t="str">
        <f>CONCATENATE(TEXT(DataSheet!AM105,"0.00")," ",DataSheet!P105)</f>
        <v>54.00 kΩ</v>
      </c>
      <c r="N94" s="243"/>
      <c r="O94" s="243"/>
      <c r="P94" s="243"/>
      <c r="Q94" s="243" t="str">
        <f>CONCATENATE(TEXT(DataSheet!AR105,"0.00")," ",DataSheet!P105)</f>
        <v>0.00 kΩ</v>
      </c>
      <c r="R94" s="243"/>
      <c r="S94" s="243"/>
      <c r="T94" s="243"/>
      <c r="U94" s="243" t="str">
        <f>CONCATENATE(" ",TEXT(DataSheet!DD105,"0.000 0")," ",DataSheet!CZ105)</f>
        <v xml:space="preserve"> 0.005 8 kΩ</v>
      </c>
      <c r="V94" s="243"/>
      <c r="W94" s="243"/>
      <c r="X94" s="243"/>
    </row>
    <row r="95" spans="3:24" ht="15" customHeight="1">
      <c r="E95" s="243" t="str">
        <f>DataSheet!F106</f>
        <v>600 kΩ</v>
      </c>
      <c r="F95" s="243"/>
      <c r="G95" s="243"/>
      <c r="H95" s="243"/>
      <c r="I95" s="243" t="str">
        <f>CONCATENATE(DataSheet!L106," ",DataSheet!P106)</f>
        <v>540 kΩ</v>
      </c>
      <c r="J95" s="243"/>
      <c r="K95" s="243"/>
      <c r="L95" s="243"/>
      <c r="M95" s="243" t="str">
        <f>CONCATENATE(TEXT(DataSheet!AM106,"0.0")," ",DataSheet!P106)</f>
        <v>540.0 kΩ</v>
      </c>
      <c r="N95" s="243"/>
      <c r="O95" s="243"/>
      <c r="P95" s="243"/>
      <c r="Q95" s="243" t="str">
        <f>CONCATENATE(TEXT(DataSheet!AR106,"0.0")," ",DataSheet!P106)</f>
        <v>0.0 kΩ</v>
      </c>
      <c r="R95" s="243"/>
      <c r="S95" s="243"/>
      <c r="T95" s="243"/>
      <c r="U95" s="243" t="str">
        <f>CONCATENATE(" ",TEXT(DataSheet!DD106,"0.000")," ",DataSheet!CZ106)</f>
        <v xml:space="preserve"> 0.058 kΩ</v>
      </c>
      <c r="V95" s="243"/>
      <c r="W95" s="243"/>
      <c r="X95" s="243"/>
    </row>
    <row r="96" spans="3:24" ht="15" customHeight="1">
      <c r="E96" s="243" t="str">
        <f>DataSheet!F107</f>
        <v>6 MΩ</v>
      </c>
      <c r="F96" s="243"/>
      <c r="G96" s="243"/>
      <c r="H96" s="243"/>
      <c r="I96" s="243" t="str">
        <f>CONCATENATE(DataSheet!L107," ",DataSheet!P107)</f>
        <v>5.4 MΩ</v>
      </c>
      <c r="J96" s="243"/>
      <c r="K96" s="243"/>
      <c r="L96" s="243"/>
      <c r="M96" s="243" t="str">
        <f>CONCATENATE(TEXT(DataSheet!AM107,"0.000")," ",DataSheet!P107)</f>
        <v>5.400 MΩ</v>
      </c>
      <c r="N96" s="243"/>
      <c r="O96" s="243"/>
      <c r="P96" s="243"/>
      <c r="Q96" s="243" t="str">
        <f>CONCATENATE(TEXT(DataSheet!AR107,"0.000")," ",DataSheet!P107)</f>
        <v>0.000 MΩ</v>
      </c>
      <c r="R96" s="243"/>
      <c r="S96" s="243"/>
      <c r="T96" s="243"/>
      <c r="U96" s="243" t="str">
        <f>CONCATENATE(" ",TEXT(DataSheet!DD107,"0.000 00")," ",DataSheet!CZ107)</f>
        <v xml:space="preserve"> 0.000 75 MΩ</v>
      </c>
      <c r="V96" s="243"/>
      <c r="W96" s="243"/>
      <c r="X96" s="243"/>
    </row>
    <row r="97" spans="3:26" ht="15" customHeight="1">
      <c r="E97" s="243" t="str">
        <f>DataSheet!F108</f>
        <v>50 MΩ</v>
      </c>
      <c r="F97" s="243"/>
      <c r="G97" s="243"/>
      <c r="H97" s="243"/>
      <c r="I97" s="243" t="str">
        <f>CONCATENATE(DataSheet!L108," ",DataSheet!P108)</f>
        <v>45 MΩ</v>
      </c>
      <c r="J97" s="243"/>
      <c r="K97" s="243"/>
      <c r="L97" s="243"/>
      <c r="M97" s="243" t="str">
        <f>CONCATENATE(TEXT(DataSheet!AM108,"0.00")," ",DataSheet!P108)</f>
        <v>45.00 MΩ</v>
      </c>
      <c r="N97" s="243"/>
      <c r="O97" s="243"/>
      <c r="P97" s="243"/>
      <c r="Q97" s="243" t="str">
        <f>CONCATENATE(TEXT(DataSheet!AR108,"0.00")," ",DataSheet!P108)</f>
        <v>0.00 MΩ</v>
      </c>
      <c r="R97" s="243"/>
      <c r="S97" s="243"/>
      <c r="T97" s="243"/>
      <c r="U97" s="243" t="str">
        <f>CONCATENATE(" ",TEXT(DataSheet!DD108,"0.000")," ",DataSheet!CZ108)</f>
        <v xml:space="preserve"> 0.015 MΩ</v>
      </c>
      <c r="V97" s="243"/>
      <c r="W97" s="243"/>
      <c r="X97" s="243"/>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76" t="str">
        <f>DataSheet!B140</f>
        <v>DANICA BEA NERI</v>
      </c>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row>
    <row r="107" spans="3:26" ht="15" customHeight="1">
      <c r="C107" s="277" t="s">
        <v>24</v>
      </c>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8" t="s">
        <v>27</v>
      </c>
      <c r="F120" s="248"/>
      <c r="G120" s="248"/>
      <c r="H120" s="248"/>
      <c r="I120" s="248" t="s">
        <v>28</v>
      </c>
      <c r="J120" s="248"/>
      <c r="K120" s="248"/>
      <c r="L120" s="248"/>
      <c r="M120" s="249" t="s">
        <v>73</v>
      </c>
      <c r="N120" s="248"/>
      <c r="O120" s="248"/>
      <c r="P120" s="248"/>
      <c r="Q120" s="248" t="s">
        <v>29</v>
      </c>
      <c r="R120" s="248"/>
      <c r="S120" s="248"/>
      <c r="T120" s="248"/>
      <c r="U120" s="249" t="s">
        <v>114</v>
      </c>
      <c r="V120" s="248"/>
      <c r="W120" s="248"/>
      <c r="X120" s="248"/>
    </row>
    <row r="121" spans="3:24" ht="15" customHeight="1">
      <c r="C121" s="19"/>
      <c r="E121" s="248"/>
      <c r="F121" s="248"/>
      <c r="G121" s="248"/>
      <c r="H121" s="248"/>
      <c r="I121" s="248"/>
      <c r="J121" s="248"/>
      <c r="K121" s="248"/>
      <c r="L121" s="248"/>
      <c r="M121" s="248"/>
      <c r="N121" s="248"/>
      <c r="O121" s="248"/>
      <c r="P121" s="248"/>
      <c r="Q121" s="248"/>
      <c r="R121" s="248"/>
      <c r="S121" s="248"/>
      <c r="T121" s="248"/>
      <c r="U121" s="248"/>
      <c r="V121" s="248"/>
      <c r="W121" s="248"/>
      <c r="X121" s="248"/>
    </row>
    <row r="122" spans="3:24" ht="15" customHeight="1">
      <c r="C122" s="19"/>
      <c r="E122" s="244" t="str">
        <f>DataSheet!F76</f>
        <v>600 mV</v>
      </c>
      <c r="F122" s="244"/>
      <c r="G122" s="244"/>
      <c r="H122" s="244"/>
      <c r="I122" s="244" t="str">
        <f>CONCATENATE(DataSheet!L76," ",DataSheet!P76," / ",DataSheet!S76)</f>
        <v>60 mV / 50 Hz</v>
      </c>
      <c r="J122" s="244"/>
      <c r="K122" s="244"/>
      <c r="L122" s="244"/>
      <c r="M122" s="244" t="str">
        <f>CONCATENATE(TEXT(DataSheet!AM76,"0.0")," ",DataSheet!P76)</f>
        <v>60.0 mV</v>
      </c>
      <c r="N122" s="244"/>
      <c r="O122" s="244"/>
      <c r="P122" s="244"/>
      <c r="Q122" s="244" t="str">
        <f>CONCATENATE(TEXT(DataSheet!AR76,"0.0")," ",DataSheet!P76)</f>
        <v>0.0 mV</v>
      </c>
      <c r="R122" s="244"/>
      <c r="S122" s="244"/>
      <c r="T122" s="244"/>
      <c r="U122" s="244" t="str">
        <f>CONCATENATE(" ",TEXT(DataSheet!DD76,"0.000 ")," ",DataSheet!CZ76)</f>
        <v xml:space="preserve"> 0.091  mV</v>
      </c>
      <c r="V122" s="244"/>
      <c r="W122" s="244"/>
      <c r="X122" s="244"/>
    </row>
    <row r="123" spans="3:24" ht="15" customHeight="1">
      <c r="C123" s="19"/>
      <c r="E123" s="244"/>
      <c r="F123" s="244"/>
      <c r="G123" s="244"/>
      <c r="H123" s="244"/>
      <c r="I123" s="244" t="str">
        <f>CONCATENATE(DataSheet!L77," ",DataSheet!P77," / ",DataSheet!S77)</f>
        <v>60 mV / 1 kHz</v>
      </c>
      <c r="J123" s="244"/>
      <c r="K123" s="244"/>
      <c r="L123" s="244"/>
      <c r="M123" s="244" t="str">
        <f>CONCATENATE(TEXT(DataSheet!AM77,"0.0")," ",DataSheet!P77)</f>
        <v>60.0 mV</v>
      </c>
      <c r="N123" s="244"/>
      <c r="O123" s="244"/>
      <c r="P123" s="244"/>
      <c r="Q123" s="244" t="str">
        <f>CONCATENATE(TEXT(DataSheet!AR77,"0.0")," ",DataSheet!P77)</f>
        <v>0.0 mV</v>
      </c>
      <c r="R123" s="244"/>
      <c r="S123" s="244"/>
      <c r="T123" s="244"/>
      <c r="U123" s="244" t="str">
        <f>CONCATENATE(" ",TEXT(DataSheet!DD77,"0.000 ")," ",DataSheet!CZ77)</f>
        <v xml:space="preserve"> 0.091  mV</v>
      </c>
      <c r="V123" s="244"/>
      <c r="W123" s="244"/>
      <c r="X123" s="244"/>
    </row>
    <row r="124" spans="3:24" ht="15" customHeight="1">
      <c r="C124" s="19"/>
      <c r="E124" s="244"/>
      <c r="F124" s="244"/>
      <c r="G124" s="244"/>
      <c r="H124" s="244"/>
      <c r="I124" s="244" t="str">
        <f>CONCATENATE(DataSheet!L78," ",DataSheet!P78," / ",DataSheet!S78)</f>
        <v>540 mV / 50 Hz</v>
      </c>
      <c r="J124" s="244"/>
      <c r="K124" s="244"/>
      <c r="L124" s="244"/>
      <c r="M124" s="244" t="str">
        <f>CONCATENATE(TEXT(DataSheet!AM78,"0.0")," ",DataSheet!P78)</f>
        <v>540.0 mV</v>
      </c>
      <c r="N124" s="244"/>
      <c r="O124" s="244"/>
      <c r="P124" s="244"/>
      <c r="Q124" s="244" t="str">
        <f>CONCATENATE(TEXT(DataSheet!AR78,"0.0")," ",DataSheet!P78)</f>
        <v>0.0 mV</v>
      </c>
      <c r="R124" s="244"/>
      <c r="S124" s="244"/>
      <c r="T124" s="244"/>
      <c r="U124" s="244" t="str">
        <f>CONCATENATE(" ",TEXT(DataSheet!DD78,"0.00")," ",DataSheet!CZ78)</f>
        <v xml:space="preserve"> 0.91 mV</v>
      </c>
      <c r="V124" s="244"/>
      <c r="W124" s="244"/>
      <c r="X124" s="244"/>
    </row>
    <row r="125" spans="3:24" ht="15" customHeight="1">
      <c r="C125" s="19"/>
      <c r="E125" s="244"/>
      <c r="F125" s="244"/>
      <c r="G125" s="244"/>
      <c r="H125" s="244"/>
      <c r="I125" s="244" t="str">
        <f>CONCATENATE(DataSheet!L79," ",DataSheet!P79," / ",DataSheet!S79)</f>
        <v>540 mV / 1 kHz</v>
      </c>
      <c r="J125" s="244"/>
      <c r="K125" s="244"/>
      <c r="L125" s="244"/>
      <c r="M125" s="244" t="str">
        <f>CONCATENATE(TEXT(DataSheet!AM79,"0.0")," ",DataSheet!P79)</f>
        <v>540.0 mV</v>
      </c>
      <c r="N125" s="244"/>
      <c r="O125" s="244"/>
      <c r="P125" s="244"/>
      <c r="Q125" s="244" t="str">
        <f>CONCATENATE(TEXT(DataSheet!AR79,"0.0")," ",DataSheet!P79)</f>
        <v>0.0 mV</v>
      </c>
      <c r="R125" s="244"/>
      <c r="S125" s="244"/>
      <c r="T125" s="244"/>
      <c r="U125" s="244" t="str">
        <f>CONCATENATE(" ",TEXT(DataSheet!DD79,"0.00")," ",DataSheet!CZ79)</f>
        <v xml:space="preserve"> 0.91 mV</v>
      </c>
      <c r="V125" s="244"/>
      <c r="W125" s="244"/>
      <c r="X125" s="244"/>
    </row>
    <row r="126" spans="3:24" ht="15" customHeight="1">
      <c r="C126" s="19"/>
      <c r="E126" s="244" t="str">
        <f>DataSheet!F80</f>
        <v>6 V</v>
      </c>
      <c r="F126" s="244"/>
      <c r="G126" s="244"/>
      <c r="H126" s="244"/>
      <c r="I126" s="244" t="str">
        <f>CONCATENATE(DataSheet!L80," ",DataSheet!P80," / ",DataSheet!S80)</f>
        <v>0.6 V / 50 Hz</v>
      </c>
      <c r="J126" s="244"/>
      <c r="K126" s="244"/>
      <c r="L126" s="244"/>
      <c r="M126" s="244" t="str">
        <f>CONCATENATE(TEXT(DataSheet!AM80,"0.000")," ",DataSheet!P80)</f>
        <v>0.600 V</v>
      </c>
      <c r="N126" s="244"/>
      <c r="O126" s="244"/>
      <c r="P126" s="244"/>
      <c r="Q126" s="244" t="str">
        <f>CONCATENATE(TEXT(DataSheet!AR80,"0.000")," ",DataSheet!P80)</f>
        <v>0.000 V</v>
      </c>
      <c r="R126" s="244"/>
      <c r="S126" s="244"/>
      <c r="T126" s="244"/>
      <c r="U126" s="244" t="str">
        <f>CONCATENATE(" ",TEXT(DataSheet!DD80,"0.000 0")," ",DataSheet!CZ80)</f>
        <v xml:space="preserve"> 0.001 1 V</v>
      </c>
      <c r="V126" s="244"/>
      <c r="W126" s="244"/>
      <c r="X126" s="244"/>
    </row>
    <row r="127" spans="3:24" ht="15" customHeight="1">
      <c r="C127" s="19"/>
      <c r="E127" s="244"/>
      <c r="F127" s="244"/>
      <c r="G127" s="244"/>
      <c r="H127" s="244"/>
      <c r="I127" s="244" t="str">
        <f>CONCATENATE(DataSheet!L81," ",DataSheet!P81," / ",DataSheet!S81)</f>
        <v>0.6 V / 1 kHz</v>
      </c>
      <c r="J127" s="244"/>
      <c r="K127" s="244"/>
      <c r="L127" s="244"/>
      <c r="M127" s="244" t="str">
        <f>CONCATENATE(TEXT(DataSheet!AM81,"0.000")," ",DataSheet!P81)</f>
        <v>0.600 V</v>
      </c>
      <c r="N127" s="244"/>
      <c r="O127" s="244"/>
      <c r="P127" s="244"/>
      <c r="Q127" s="244" t="str">
        <f>CONCATENATE(TEXT(DataSheet!AR81,"0.000")," ",DataSheet!P81)</f>
        <v>0.000 V</v>
      </c>
      <c r="R127" s="244"/>
      <c r="S127" s="244"/>
      <c r="T127" s="244"/>
      <c r="U127" s="244" t="str">
        <f>CONCATENATE(" ",TEXT(DataSheet!DD81,"0.000 0")," ",DataSheet!CZ81)</f>
        <v xml:space="preserve"> 0.001 1 V</v>
      </c>
      <c r="V127" s="244"/>
      <c r="W127" s="244"/>
      <c r="X127" s="244"/>
    </row>
    <row r="128" spans="3:24" ht="15" customHeight="1">
      <c r="C128" s="19"/>
      <c r="E128" s="244"/>
      <c r="F128" s="244"/>
      <c r="G128" s="244"/>
      <c r="H128" s="244"/>
      <c r="I128" s="244" t="str">
        <f>CONCATENATE(DataSheet!L82," ",DataSheet!P82," / ",DataSheet!S82)</f>
        <v>5.4 V / 50 Hz</v>
      </c>
      <c r="J128" s="244"/>
      <c r="K128" s="244"/>
      <c r="L128" s="244"/>
      <c r="M128" s="244" t="str">
        <f>CONCATENATE(TEXT(DataSheet!AM82,"0.000")," ",DataSheet!P82)</f>
        <v>5.400 V</v>
      </c>
      <c r="N128" s="244"/>
      <c r="O128" s="244"/>
      <c r="P128" s="244"/>
      <c r="Q128" s="244" t="str">
        <f>CONCATENATE(TEXT(DataSheet!AR82,"0.000")," ",DataSheet!P82)</f>
        <v>0.000 V</v>
      </c>
      <c r="R128" s="244"/>
      <c r="S128" s="244"/>
      <c r="T128" s="244"/>
      <c r="U128" s="244" t="str">
        <f>CONCATENATE(" ",TEXT(DataSheet!DD82,"0.000 0")," ",DataSheet!CZ82)</f>
        <v xml:space="preserve"> 0.007 3 V</v>
      </c>
      <c r="V128" s="244"/>
      <c r="W128" s="244"/>
      <c r="X128" s="244"/>
    </row>
    <row r="129" spans="3:26" ht="15" customHeight="1">
      <c r="C129" s="19"/>
      <c r="E129" s="244"/>
      <c r="F129" s="244"/>
      <c r="G129" s="244"/>
      <c r="H129" s="244"/>
      <c r="I129" s="244" t="str">
        <f>CONCATENATE(DataSheet!L83," ",DataSheet!P83," / ",DataSheet!S83)</f>
        <v>5.4 V / 1 kHz</v>
      </c>
      <c r="J129" s="244"/>
      <c r="K129" s="244"/>
      <c r="L129" s="244"/>
      <c r="M129" s="244" t="str">
        <f>CONCATENATE(TEXT(DataSheet!AM83,"0.000")," ",DataSheet!P83)</f>
        <v>5.400 V</v>
      </c>
      <c r="N129" s="244"/>
      <c r="O129" s="244"/>
      <c r="P129" s="244"/>
      <c r="Q129" s="244" t="str">
        <f>CONCATENATE(TEXT(DataSheet!AR83,"0.000")," ",DataSheet!P83)</f>
        <v>0.000 V</v>
      </c>
      <c r="R129" s="244"/>
      <c r="S129" s="244"/>
      <c r="T129" s="244"/>
      <c r="U129" s="244" t="str">
        <f>CONCATENATE(" ",TEXT(DataSheet!DD83,"0.000 0")," ",DataSheet!CZ83)</f>
        <v xml:space="preserve"> 0.007 3 V</v>
      </c>
      <c r="V129" s="244"/>
      <c r="W129" s="244"/>
      <c r="X129" s="244"/>
    </row>
    <row r="130" spans="3:26" ht="15" customHeight="1">
      <c r="C130" s="19"/>
      <c r="E130" s="244" t="str">
        <f>DataSheet!F84</f>
        <v>60 V</v>
      </c>
      <c r="F130" s="244"/>
      <c r="G130" s="244"/>
      <c r="H130" s="244"/>
      <c r="I130" s="244" t="str">
        <f>CONCATENATE(DataSheet!L84," ",DataSheet!P84," / ",DataSheet!S84)</f>
        <v>6 V / 50 Hz</v>
      </c>
      <c r="J130" s="244"/>
      <c r="K130" s="244"/>
      <c r="L130" s="244"/>
      <c r="M130" s="244" t="str">
        <f>CONCATENATE(TEXT(DataSheet!AM84,"0.00")," ",DataSheet!P84)</f>
        <v>6.00 V</v>
      </c>
      <c r="N130" s="244"/>
      <c r="O130" s="244"/>
      <c r="P130" s="244"/>
      <c r="Q130" s="244" t="str">
        <f>CONCATENATE(TEXT(DataSheet!AR84,"0.00")," ",DataSheet!P84)</f>
        <v>0.00 V</v>
      </c>
      <c r="R130" s="244"/>
      <c r="S130" s="244"/>
      <c r="T130" s="244"/>
      <c r="U130" s="244" t="str">
        <f>CONCATENATE(" ",TEXT(DataSheet!DD84,"0.000 0")," ",DataSheet!CZ84)</f>
        <v xml:space="preserve"> 0.009 3 V</v>
      </c>
      <c r="V130" s="244"/>
      <c r="W130" s="244"/>
      <c r="X130" s="244"/>
    </row>
    <row r="131" spans="3:26" ht="15" customHeight="1">
      <c r="C131" s="19"/>
      <c r="E131" s="244"/>
      <c r="F131" s="244"/>
      <c r="G131" s="244"/>
      <c r="H131" s="244"/>
      <c r="I131" s="244" t="str">
        <f>CONCATENATE(DataSheet!L85," ",DataSheet!P85," / ",DataSheet!S85)</f>
        <v>6 V / 1 kHz</v>
      </c>
      <c r="J131" s="244"/>
      <c r="K131" s="244"/>
      <c r="L131" s="244"/>
      <c r="M131" s="244" t="str">
        <f>CONCATENATE(TEXT(DataSheet!AM85,"0.00")," ",DataSheet!P85)</f>
        <v>6.00 V</v>
      </c>
      <c r="N131" s="244"/>
      <c r="O131" s="244"/>
      <c r="P131" s="244"/>
      <c r="Q131" s="244" t="str">
        <f>CONCATENATE(TEXT(DataSheet!AR85,"0.00")," ",DataSheet!P85)</f>
        <v>0.00 V</v>
      </c>
      <c r="R131" s="244"/>
      <c r="S131" s="244"/>
      <c r="T131" s="244"/>
      <c r="U131" s="244" t="str">
        <f>CONCATENATE(" ",TEXT(DataSheet!DD85,"0.000 0")," ",DataSheet!CZ85)</f>
        <v xml:space="preserve"> 0.009 3 V</v>
      </c>
      <c r="V131" s="244"/>
      <c r="W131" s="244"/>
      <c r="X131" s="244"/>
    </row>
    <row r="132" spans="3:26" ht="15" customHeight="1">
      <c r="C132" s="19"/>
      <c r="E132" s="244"/>
      <c r="F132" s="244"/>
      <c r="G132" s="244"/>
      <c r="H132" s="244"/>
      <c r="I132" s="244" t="str">
        <f>CONCATENATE(DataSheet!L86," ",DataSheet!P86," / ",DataSheet!S86)</f>
        <v>30 V / 50 Hz</v>
      </c>
      <c r="J132" s="244"/>
      <c r="K132" s="244"/>
      <c r="L132" s="244"/>
      <c r="M132" s="244" t="str">
        <f>CONCATENATE(TEXT(DataSheet!AM86,"0.00")," ",DataSheet!P86)</f>
        <v>30.00 V</v>
      </c>
      <c r="N132" s="244"/>
      <c r="O132" s="244"/>
      <c r="P132" s="244"/>
      <c r="Q132" s="244" t="str">
        <f>CONCATENATE(TEXT(DataSheet!AR86,"0.00")," ",DataSheet!P86)</f>
        <v>0.00 V</v>
      </c>
      <c r="R132" s="244"/>
      <c r="S132" s="244"/>
      <c r="T132" s="244"/>
      <c r="U132" s="244" t="str">
        <f>CONCATENATE(" ",TEXT(DataSheet!DD86,"0.000 0")," ",DataSheet!CZ86)</f>
        <v xml:space="preserve"> 0.009 3 V</v>
      </c>
      <c r="V132" s="244"/>
      <c r="W132" s="244"/>
      <c r="X132" s="244"/>
    </row>
    <row r="133" spans="3:26" ht="15" customHeight="1">
      <c r="C133" s="19"/>
      <c r="E133" s="244"/>
      <c r="F133" s="244"/>
      <c r="G133" s="244"/>
      <c r="H133" s="244"/>
      <c r="I133" s="244" t="str">
        <f>CONCATENATE(DataSheet!L87," ",DataSheet!P87," / ",DataSheet!S87)</f>
        <v>30 V / 1 kHz</v>
      </c>
      <c r="J133" s="244"/>
      <c r="K133" s="244"/>
      <c r="L133" s="244"/>
      <c r="M133" s="244" t="str">
        <f>CONCATENATE(TEXT(DataSheet!AM87,"0.00")," ",DataSheet!P87)</f>
        <v>30.00 V</v>
      </c>
      <c r="N133" s="244"/>
      <c r="O133" s="244"/>
      <c r="P133" s="244"/>
      <c r="Q133" s="244" t="str">
        <f>CONCATENATE(TEXT(DataSheet!AR87,"0.00")," ",DataSheet!P87)</f>
        <v>0.00 V</v>
      </c>
      <c r="R133" s="244"/>
      <c r="S133" s="244"/>
      <c r="T133" s="244"/>
      <c r="U133" s="244" t="str">
        <f>CONCATENATE(" ",TEXT(DataSheet!DD87,"0.000 0")," ",DataSheet!CZ87)</f>
        <v xml:space="preserve"> 0.009 3 V</v>
      </c>
      <c r="V133" s="244"/>
      <c r="W133" s="244"/>
      <c r="X133" s="244"/>
    </row>
    <row r="134" spans="3:26" ht="15" customHeight="1">
      <c r="C134" s="19"/>
      <c r="E134" s="244"/>
      <c r="F134" s="244"/>
      <c r="G134" s="244"/>
      <c r="H134" s="244"/>
      <c r="I134" s="244" t="str">
        <f>CONCATENATE(DataSheet!L88," ",DataSheet!P88," / ",DataSheet!S88)</f>
        <v>54 V / 50 Hz</v>
      </c>
      <c r="J134" s="244"/>
      <c r="K134" s="244"/>
      <c r="L134" s="244"/>
      <c r="M134" s="244" t="str">
        <f>CONCATENATE(TEXT(DataSheet!AM88,"0.00")," ",DataSheet!P88)</f>
        <v>54.00 V</v>
      </c>
      <c r="N134" s="244"/>
      <c r="O134" s="244"/>
      <c r="P134" s="244"/>
      <c r="Q134" s="244" t="str">
        <f>CONCATENATE(TEXT(DataSheet!AR88,"0.00")," ",DataSheet!P88)</f>
        <v>0.00 V</v>
      </c>
      <c r="R134" s="244"/>
      <c r="S134" s="244"/>
      <c r="T134" s="244"/>
      <c r="U134" s="244" t="str">
        <f>CONCATENATE(" ",TEXT(DataSheet!DD88,"0.000")," ",DataSheet!CZ88)</f>
        <v xml:space="preserve"> 0.071 V</v>
      </c>
      <c r="V134" s="244"/>
      <c r="W134" s="244"/>
      <c r="X134" s="244"/>
    </row>
    <row r="135" spans="3:26" ht="15" customHeight="1">
      <c r="C135" s="19"/>
      <c r="E135" s="244"/>
      <c r="F135" s="244"/>
      <c r="G135" s="244"/>
      <c r="H135" s="244"/>
      <c r="I135" s="244" t="str">
        <f>CONCATENATE(DataSheet!L89," ",DataSheet!P89," / ",DataSheet!S89)</f>
        <v>54 V / 1 kHz</v>
      </c>
      <c r="J135" s="244"/>
      <c r="K135" s="244"/>
      <c r="L135" s="244"/>
      <c r="M135" s="244" t="str">
        <f>CONCATENATE(TEXT(DataSheet!AM89,"0.00")," ",DataSheet!P89)</f>
        <v>54.00 V</v>
      </c>
      <c r="N135" s="244"/>
      <c r="O135" s="244"/>
      <c r="P135" s="244"/>
      <c r="Q135" s="244" t="str">
        <f>CONCATENATE(TEXT(DataSheet!AR89,"0.00")," ",DataSheet!P89)</f>
        <v>0.00 V</v>
      </c>
      <c r="R135" s="244"/>
      <c r="S135" s="244"/>
      <c r="T135" s="244"/>
      <c r="U135" s="244" t="str">
        <f>CONCATENATE(" ",TEXT(DataSheet!DD89,"0.000")," ",DataSheet!CZ89)</f>
        <v xml:space="preserve"> 0.071 V</v>
      </c>
      <c r="V135" s="244"/>
      <c r="W135" s="244"/>
      <c r="X135" s="244"/>
    </row>
    <row r="136" spans="3:26" ht="15" customHeight="1">
      <c r="C136" s="19"/>
      <c r="E136" s="244" t="str">
        <f>DataSheet!F90</f>
        <v>600 V</v>
      </c>
      <c r="F136" s="244"/>
      <c r="G136" s="244"/>
      <c r="H136" s="244"/>
      <c r="I136" s="244" t="str">
        <f>CONCATENATE(DataSheet!L90," ",DataSheet!P90," / ",DataSheet!S90)</f>
        <v>60 V / 50 Hz</v>
      </c>
      <c r="J136" s="244"/>
      <c r="K136" s="244"/>
      <c r="L136" s="244"/>
      <c r="M136" s="244" t="str">
        <f>CONCATENATE(TEXT(DataSheet!AM90,"0.0")," ",DataSheet!P90)</f>
        <v>60.0 V</v>
      </c>
      <c r="N136" s="244"/>
      <c r="O136" s="244"/>
      <c r="P136" s="244"/>
      <c r="Q136" s="244" t="str">
        <f>CONCATENATE(TEXT(DataSheet!AR90,"0.0")," ",DataSheet!P90)</f>
        <v>0.0 V</v>
      </c>
      <c r="R136" s="244"/>
      <c r="S136" s="244"/>
      <c r="T136" s="244"/>
      <c r="U136" s="244" t="str">
        <f>CONCATENATE(" ",TEXT(DataSheet!DD90,"0.000")," ",DataSheet!CZ90)</f>
        <v xml:space="preserve"> 0.092 V</v>
      </c>
      <c r="V136" s="244"/>
      <c r="W136" s="244"/>
      <c r="X136" s="244"/>
    </row>
    <row r="137" spans="3:26" ht="15" customHeight="1">
      <c r="C137" s="19"/>
      <c r="E137" s="244"/>
      <c r="F137" s="244"/>
      <c r="G137" s="244"/>
      <c r="H137" s="244"/>
      <c r="I137" s="244" t="str">
        <f>CONCATENATE(DataSheet!L91," ",DataSheet!P91," / ",DataSheet!S91)</f>
        <v>60 V / 1 kHz</v>
      </c>
      <c r="J137" s="244"/>
      <c r="K137" s="244"/>
      <c r="L137" s="244"/>
      <c r="M137" s="244" t="str">
        <f>CONCATENATE(TEXT(DataSheet!AM91,"0.0")," ",DataSheet!P91)</f>
        <v>60.0 V</v>
      </c>
      <c r="N137" s="244"/>
      <c r="O137" s="244"/>
      <c r="P137" s="244"/>
      <c r="Q137" s="244" t="str">
        <f>CONCATENATE(TEXT(DataSheet!AR91,"0.0")," ",DataSheet!P91)</f>
        <v>0.0 V</v>
      </c>
      <c r="R137" s="244"/>
      <c r="S137" s="244"/>
      <c r="T137" s="244"/>
      <c r="U137" s="244" t="str">
        <f>CONCATENATE(" ",TEXT(DataSheet!DD91,"0.000")," ",DataSheet!CZ91)</f>
        <v xml:space="preserve"> 0.092 V</v>
      </c>
      <c r="V137" s="244"/>
      <c r="W137" s="244"/>
      <c r="X137" s="244"/>
    </row>
    <row r="138" spans="3:26" ht="15" customHeight="1">
      <c r="C138" s="29"/>
      <c r="D138" s="29"/>
      <c r="E138" s="244"/>
      <c r="F138" s="244"/>
      <c r="G138" s="244"/>
      <c r="H138" s="244"/>
      <c r="I138" s="244" t="str">
        <f>CONCATENATE(DataSheet!L92," ",DataSheet!P92," / ",DataSheet!S92)</f>
        <v>540 V / 50 Hz</v>
      </c>
      <c r="J138" s="244"/>
      <c r="K138" s="244"/>
      <c r="L138" s="244"/>
      <c r="M138" s="244" t="str">
        <f>CONCATENATE(TEXT(DataSheet!AM92,"0.0")," ",DataSheet!P92)</f>
        <v>540.0 V</v>
      </c>
      <c r="N138" s="244"/>
      <c r="O138" s="244"/>
      <c r="P138" s="244"/>
      <c r="Q138" s="244" t="str">
        <f>CONCATENATE(TEXT(DataSheet!AR92,"0.0")," ",DataSheet!P92)</f>
        <v>0.0 V</v>
      </c>
      <c r="R138" s="244"/>
      <c r="S138" s="244"/>
      <c r="T138" s="244"/>
      <c r="U138" s="244" t="str">
        <f>CONCATENATE(" ",TEXT(DataSheet!DD92,"0.000")," ",DataSheet!CZ92)</f>
        <v xml:space="preserve"> 0.092 V</v>
      </c>
      <c r="V138" s="244"/>
      <c r="W138" s="244"/>
      <c r="X138" s="244"/>
      <c r="Y138" s="29"/>
      <c r="Z138" s="29"/>
    </row>
    <row r="139" spans="3:26" ht="15" customHeight="1">
      <c r="C139" s="29"/>
      <c r="D139" s="29"/>
      <c r="E139" s="244"/>
      <c r="F139" s="244"/>
      <c r="G139" s="244"/>
      <c r="H139" s="244"/>
      <c r="I139" s="244" t="str">
        <f>CONCATENATE(DataSheet!L93," ",DataSheet!P93," / ",DataSheet!S93)</f>
        <v>540 V / 1 kHz</v>
      </c>
      <c r="J139" s="244"/>
      <c r="K139" s="244"/>
      <c r="L139" s="244"/>
      <c r="M139" s="244" t="str">
        <f>CONCATENATE(TEXT(DataSheet!AM93,"0.0")," ",DataSheet!P93)</f>
        <v>540.0 V</v>
      </c>
      <c r="N139" s="244"/>
      <c r="O139" s="244"/>
      <c r="P139" s="244"/>
      <c r="Q139" s="244" t="str">
        <f>CONCATENATE(TEXT(DataSheet!AR93,"0.0")," ",DataSheet!P93)</f>
        <v>0.0 V</v>
      </c>
      <c r="R139" s="244"/>
      <c r="S139" s="244"/>
      <c r="T139" s="244"/>
      <c r="U139" s="244" t="str">
        <f>CONCATENATE(" ",TEXT(DataSheet!DD93,"0.000")," ",DataSheet!CZ93)</f>
        <v xml:space="preserve"> 0.092 V</v>
      </c>
      <c r="V139" s="244"/>
      <c r="W139" s="244"/>
      <c r="X139" s="244"/>
    </row>
    <row r="140" spans="3:26" ht="15" customHeight="1">
      <c r="C140" s="29"/>
      <c r="D140" s="29"/>
      <c r="E140" s="244" t="str">
        <f>DataSheet!F94</f>
        <v>1000 V</v>
      </c>
      <c r="F140" s="244"/>
      <c r="G140" s="244"/>
      <c r="H140" s="244"/>
      <c r="I140" s="244" t="str">
        <f>CONCATENATE(DataSheet!L94," ",DataSheet!P94," / ",DataSheet!S94)</f>
        <v>100 V / 50 Hz</v>
      </c>
      <c r="J140" s="244"/>
      <c r="K140" s="244"/>
      <c r="L140" s="244"/>
      <c r="M140" s="244" t="str">
        <f>CONCATENATE(TEXT(DataSheet!AM94,"0")," ",DataSheet!P94)</f>
        <v>100 V</v>
      </c>
      <c r="N140" s="244"/>
      <c r="O140" s="244"/>
      <c r="P140" s="244"/>
      <c r="Q140" s="244" t="str">
        <f>CONCATENATE(TEXT(DataSheet!AR94,"0")," ",DataSheet!P94)</f>
        <v>0 V</v>
      </c>
      <c r="R140" s="244"/>
      <c r="S140" s="244"/>
      <c r="T140" s="244"/>
      <c r="U140" s="244" t="str">
        <f>CONCATENATE(" ",TEXT(DataSheet!DD94,"0.00")," ",DataSheet!CZ94)</f>
        <v xml:space="preserve"> 0.58 V</v>
      </c>
      <c r="V140" s="244"/>
      <c r="W140" s="244"/>
      <c r="X140" s="244"/>
    </row>
    <row r="141" spans="3:26" ht="15" customHeight="1">
      <c r="C141" s="29"/>
      <c r="D141" s="29"/>
      <c r="E141" s="244"/>
      <c r="F141" s="244"/>
      <c r="G141" s="244"/>
      <c r="H141" s="244"/>
      <c r="I141" s="244" t="str">
        <f>CONCATENATE(DataSheet!L95," ",DataSheet!P95," / ",DataSheet!S95)</f>
        <v>100 V / 1 kHz</v>
      </c>
      <c r="J141" s="244"/>
      <c r="K141" s="244"/>
      <c r="L141" s="244"/>
      <c r="M141" s="244" t="str">
        <f>CONCATENATE(TEXT(DataSheet!AM95,"0")," ",DataSheet!P95)</f>
        <v>100 V</v>
      </c>
      <c r="N141" s="244"/>
      <c r="O141" s="244"/>
      <c r="P141" s="244"/>
      <c r="Q141" s="244" t="str">
        <f>CONCATENATE(TEXT(DataSheet!AR95,"0")," ",DataSheet!P95)</f>
        <v>0 V</v>
      </c>
      <c r="R141" s="244"/>
      <c r="S141" s="244"/>
      <c r="T141" s="244"/>
      <c r="U141" s="244" t="str">
        <f>CONCATENATE(" ",TEXT(DataSheet!DD95,"0.00")," ",DataSheet!CZ95)</f>
        <v xml:space="preserve"> 0.58 V</v>
      </c>
      <c r="V141" s="244"/>
      <c r="W141" s="244"/>
      <c r="X141" s="244"/>
    </row>
    <row r="142" spans="3:26" ht="15" customHeight="1">
      <c r="C142" s="29"/>
      <c r="D142" s="29"/>
      <c r="E142" s="244"/>
      <c r="F142" s="244"/>
      <c r="G142" s="244"/>
      <c r="H142" s="244"/>
      <c r="I142" s="244" t="str">
        <f>CONCATENATE(DataSheet!L96," ",DataSheet!P96," / ",DataSheet!S96)</f>
        <v>900 V / 50 Hz</v>
      </c>
      <c r="J142" s="244"/>
      <c r="K142" s="244"/>
      <c r="L142" s="244"/>
      <c r="M142" s="244" t="str">
        <f>CONCATENATE(TEXT(DataSheet!AM96,"0")," ",DataSheet!P96)</f>
        <v>900 V</v>
      </c>
      <c r="N142" s="244"/>
      <c r="O142" s="244"/>
      <c r="P142" s="244"/>
      <c r="Q142" s="244" t="str">
        <f>CONCATENATE(TEXT(DataSheet!AR96,"0")," ",DataSheet!P96)</f>
        <v>0 V</v>
      </c>
      <c r="R142" s="244"/>
      <c r="S142" s="244"/>
      <c r="T142" s="244"/>
      <c r="U142" s="244" t="str">
        <f>CONCATENATE(" ",TEXT(DataSheet!DD96,"0.00")," ",DataSheet!CZ96)</f>
        <v xml:space="preserve"> 0.58 V</v>
      </c>
      <c r="V142" s="244"/>
      <c r="W142" s="244"/>
      <c r="X142" s="244"/>
    </row>
    <row r="143" spans="3:26" ht="15" customHeight="1">
      <c r="C143" s="29"/>
      <c r="D143" s="29"/>
      <c r="E143" s="244"/>
      <c r="F143" s="244"/>
      <c r="G143" s="244"/>
      <c r="H143" s="244"/>
      <c r="I143" s="244" t="str">
        <f>CONCATENATE(DataSheet!L97," ",DataSheet!P97," / ",DataSheet!S97)</f>
        <v>900 V / 1 kHz</v>
      </c>
      <c r="J143" s="244"/>
      <c r="K143" s="244"/>
      <c r="L143" s="244"/>
      <c r="M143" s="244" t="str">
        <f>CONCATENATE(TEXT(DataSheet!AM97,"0")," ",DataSheet!P97)</f>
        <v>900 V</v>
      </c>
      <c r="N143" s="244"/>
      <c r="O143" s="244"/>
      <c r="P143" s="244"/>
      <c r="Q143" s="244" t="str">
        <f>CONCATENATE(TEXT(DataSheet!AR97,"0")," ",DataSheet!P97)</f>
        <v>0 V</v>
      </c>
      <c r="R143" s="244"/>
      <c r="S143" s="244"/>
      <c r="T143" s="244"/>
      <c r="U143" s="244" t="str">
        <f>CONCATENATE(" ",TEXT(DataSheet!DD97,"0.00")," ",DataSheet!CZ97)</f>
        <v xml:space="preserve"> 0.58 V</v>
      </c>
      <c r="V143" s="244"/>
      <c r="W143" s="244"/>
      <c r="X143" s="244"/>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78" t="s">
        <v>27</v>
      </c>
      <c r="F146" s="278"/>
      <c r="G146" s="278"/>
      <c r="H146" s="278"/>
      <c r="I146" s="278" t="s">
        <v>28</v>
      </c>
      <c r="J146" s="278"/>
      <c r="K146" s="278"/>
      <c r="L146" s="278"/>
      <c r="M146" s="279" t="s">
        <v>73</v>
      </c>
      <c r="N146" s="278"/>
      <c r="O146" s="278"/>
      <c r="P146" s="278"/>
      <c r="Q146" s="278" t="s">
        <v>29</v>
      </c>
      <c r="R146" s="278"/>
      <c r="S146" s="278"/>
      <c r="T146" s="278"/>
      <c r="U146" s="279" t="s">
        <v>114</v>
      </c>
      <c r="V146" s="278"/>
      <c r="W146" s="278"/>
      <c r="X146" s="278"/>
    </row>
    <row r="147" spans="1:26" s="61" customFormat="1" ht="15" customHeight="1">
      <c r="A147" s="60"/>
      <c r="E147" s="278"/>
      <c r="F147" s="278"/>
      <c r="G147" s="278"/>
      <c r="H147" s="278"/>
      <c r="I147" s="278"/>
      <c r="J147" s="278"/>
      <c r="K147" s="278"/>
      <c r="L147" s="278"/>
      <c r="M147" s="278"/>
      <c r="N147" s="278"/>
      <c r="O147" s="278"/>
      <c r="P147" s="278"/>
      <c r="Q147" s="278"/>
      <c r="R147" s="278"/>
      <c r="S147" s="278"/>
      <c r="T147" s="278"/>
      <c r="U147" s="278"/>
      <c r="V147" s="278"/>
      <c r="W147" s="278"/>
      <c r="X147" s="278"/>
    </row>
    <row r="148" spans="1:26" s="61" customFormat="1" ht="15" customHeight="1">
      <c r="A148" s="60"/>
      <c r="E148" s="228" t="str">
        <f>DataSheet!F113</f>
        <v>600 µA</v>
      </c>
      <c r="F148" s="229"/>
      <c r="G148" s="229"/>
      <c r="H148" s="230"/>
      <c r="I148" s="227" t="str">
        <f>CONCATENATE(DataSheet!L113," ",DataSheet!P113)</f>
        <v>540 µA</v>
      </c>
      <c r="J148" s="227"/>
      <c r="K148" s="227"/>
      <c r="L148" s="227"/>
      <c r="M148" s="227" t="str">
        <f>CONCATENATE(TEXT(DataSheet!AM113,"0.0")," ",DataSheet!P113)</f>
        <v>540.0 µA</v>
      </c>
      <c r="N148" s="227"/>
      <c r="O148" s="227"/>
      <c r="P148" s="227"/>
      <c r="Q148" s="227" t="str">
        <f>CONCATENATE(TEXT(DataSheet!AR113,"0.0")," ",DataSheet!P113)</f>
        <v>0.0 µA</v>
      </c>
      <c r="R148" s="227"/>
      <c r="S148" s="227"/>
      <c r="T148" s="227"/>
      <c r="U148" s="227" t="str">
        <f>CONCATENATE(" ",TEXT(DataSheet!DD113,"0.00")," ",DataSheet!CZ113)</f>
        <v xml:space="preserve"> 0.11 µA</v>
      </c>
      <c r="V148" s="227"/>
      <c r="W148" s="227"/>
      <c r="X148" s="227"/>
    </row>
    <row r="149" spans="1:26" s="61" customFormat="1" ht="15" customHeight="1">
      <c r="A149" s="60"/>
      <c r="E149" s="228" t="str">
        <f>DataSheet!F114</f>
        <v>6000 µA</v>
      </c>
      <c r="F149" s="229"/>
      <c r="G149" s="229"/>
      <c r="H149" s="230"/>
      <c r="I149" s="227" t="str">
        <f>CONCATENATE(TEXT(DataSheet!L114,"0 000")," ",DataSheet!P114)</f>
        <v>5 400 µA</v>
      </c>
      <c r="J149" s="227"/>
      <c r="K149" s="227"/>
      <c r="L149" s="227"/>
      <c r="M149" s="227" t="str">
        <f>CONCATENATE(TEXT(DataSheet!AM114,"0 000")," ",DataSheet!P114)</f>
        <v>5 400 µA</v>
      </c>
      <c r="N149" s="227"/>
      <c r="O149" s="227"/>
      <c r="P149" s="227"/>
      <c r="Q149" s="227" t="str">
        <f>CONCATENATE(TEXT(DataSheet!AR114,"0")," ",DataSheet!P114)</f>
        <v>0 µA</v>
      </c>
      <c r="R149" s="227"/>
      <c r="S149" s="227"/>
      <c r="T149" s="227"/>
      <c r="U149" s="227" t="str">
        <f>CONCATENATE(" ",TEXT(DataSheet!DD114,"0.00")," ",DataSheet!CZ114)</f>
        <v xml:space="preserve"> 0.69 µA</v>
      </c>
      <c r="V149" s="227"/>
      <c r="W149" s="227"/>
      <c r="X149" s="227"/>
    </row>
    <row r="150" spans="1:26" s="61" customFormat="1" ht="15" customHeight="1">
      <c r="A150" s="60"/>
      <c r="E150" s="231" t="str">
        <f>DataSheet!F115</f>
        <v>60 mA</v>
      </c>
      <c r="F150" s="232"/>
      <c r="G150" s="232"/>
      <c r="H150" s="233"/>
      <c r="I150" s="227" t="str">
        <f>CONCATENATE(DataSheet!L115," ",DataSheet!P115)</f>
        <v>54 mA</v>
      </c>
      <c r="J150" s="227"/>
      <c r="K150" s="227"/>
      <c r="L150" s="227"/>
      <c r="M150" s="227" t="str">
        <f>CONCATENATE(TEXT(DataSheet!AM115,"0.00")," ",DataSheet!P115)</f>
        <v>54.00 mA</v>
      </c>
      <c r="N150" s="227"/>
      <c r="O150" s="227"/>
      <c r="P150" s="227"/>
      <c r="Q150" s="227" t="str">
        <f>CONCATENATE(TEXT(DataSheet!AR115,"0.00")," ",DataSheet!P115)</f>
        <v>0.00 mA</v>
      </c>
      <c r="R150" s="227"/>
      <c r="S150" s="227"/>
      <c r="T150" s="227"/>
      <c r="U150" s="227" t="str">
        <f>CONCATENATE(" ",TEXT(DataSheet!DD115,"0.000 0")," ",DataSheet!CZ115)</f>
        <v xml:space="preserve"> 0.005 9 mA</v>
      </c>
      <c r="V150" s="227"/>
      <c r="W150" s="227"/>
      <c r="X150" s="227"/>
    </row>
    <row r="151" spans="1:26" s="61" customFormat="1" ht="15" customHeight="1">
      <c r="A151" s="60"/>
      <c r="E151" s="234"/>
      <c r="F151" s="235"/>
      <c r="G151" s="235"/>
      <c r="H151" s="236"/>
      <c r="I151" s="227" t="str">
        <f>CONCATENATE(DataSheet!L116," ",DataSheet!P116)</f>
        <v>-54 mA</v>
      </c>
      <c r="J151" s="227"/>
      <c r="K151" s="227"/>
      <c r="L151" s="227"/>
      <c r="M151" s="227" t="str">
        <f>CONCATENATE(TEXT(DataSheet!AM116,"0.00")," ",DataSheet!P116)</f>
        <v>-54.00 mA</v>
      </c>
      <c r="N151" s="227"/>
      <c r="O151" s="227"/>
      <c r="P151" s="227"/>
      <c r="Q151" s="227" t="str">
        <f>CONCATENATE(TEXT(DataSheet!AR116,"0.00")," ",DataSheet!P116)</f>
        <v>0.00 mA</v>
      </c>
      <c r="R151" s="227"/>
      <c r="S151" s="227"/>
      <c r="T151" s="227"/>
      <c r="U151" s="227" t="str">
        <f>CONCATENATE(" ",TEXT(DataSheet!DD116,"0.000")," ",DataSheet!CZ116)</f>
        <v xml:space="preserve"> 0.006 mA</v>
      </c>
      <c r="V151" s="227"/>
      <c r="W151" s="227"/>
      <c r="X151" s="227"/>
    </row>
    <row r="152" spans="1:26" s="61" customFormat="1" ht="15" customHeight="1">
      <c r="A152" s="60"/>
      <c r="E152" s="228" t="str">
        <f>DataSheet!F117</f>
        <v>400 mA</v>
      </c>
      <c r="F152" s="229"/>
      <c r="G152" s="229"/>
      <c r="H152" s="230"/>
      <c r="I152" s="227" t="str">
        <f>CONCATENATE(DataSheet!L117," ",DataSheet!P117)</f>
        <v>360 mA</v>
      </c>
      <c r="J152" s="227"/>
      <c r="K152" s="227"/>
      <c r="L152" s="227"/>
      <c r="M152" s="227" t="str">
        <f>CONCATENATE(TEXT(DataSheet!AM117,"0.0")," ",DataSheet!P117)</f>
        <v>360.0 mA</v>
      </c>
      <c r="N152" s="227"/>
      <c r="O152" s="227"/>
      <c r="P152" s="227"/>
      <c r="Q152" s="227" t="str">
        <f>CONCATENATE(TEXT(DataSheet!AR117,"0.0")," ",DataSheet!P117)</f>
        <v>0.0 mA</v>
      </c>
      <c r="R152" s="227"/>
      <c r="S152" s="227"/>
      <c r="T152" s="227"/>
      <c r="U152" s="227" t="str">
        <f>CONCATENATE(" ",TEXT(DataSheet!DD117,"0.000")," ",DataSheet!CZ117)</f>
        <v xml:space="preserve"> 0.082 mA</v>
      </c>
      <c r="V152" s="227"/>
      <c r="W152" s="227"/>
      <c r="X152" s="227"/>
    </row>
    <row r="153" spans="1:26" s="61" customFormat="1" ht="15" customHeight="1">
      <c r="A153" s="60"/>
      <c r="E153" s="227" t="str">
        <f>DataSheet!F118</f>
        <v>6 A</v>
      </c>
      <c r="F153" s="227"/>
      <c r="G153" s="227"/>
      <c r="H153" s="227"/>
      <c r="I153" s="227" t="str">
        <f>CONCATENATE(DataSheet!L118," ",DataSheet!P118)</f>
        <v>3 A</v>
      </c>
      <c r="J153" s="227"/>
      <c r="K153" s="227"/>
      <c r="L153" s="227"/>
      <c r="M153" s="227" t="str">
        <f>CONCATENATE(TEXT(DataSheet!AM118,"0.000")," ",DataSheet!P118)</f>
        <v>3.000 A</v>
      </c>
      <c r="N153" s="227"/>
      <c r="O153" s="227"/>
      <c r="P153" s="227"/>
      <c r="Q153" s="227" t="str">
        <f>CONCATENATE(TEXT(DataSheet!AR118,"0.000")," ",DataSheet!P118)</f>
        <v>0.000 A</v>
      </c>
      <c r="R153" s="227"/>
      <c r="S153" s="227"/>
      <c r="T153" s="227"/>
      <c r="U153" s="227" t="str">
        <f>CONCATENATE(" ",TEXT(DataSheet!DD118,"0.000 0")," ",DataSheet!CZ118)</f>
        <v xml:space="preserve"> 0.001 6 A</v>
      </c>
      <c r="V153" s="227"/>
      <c r="W153" s="227"/>
      <c r="X153" s="227"/>
    </row>
    <row r="154" spans="1:26" s="61" customFormat="1" ht="15" customHeight="1">
      <c r="A154" s="60"/>
      <c r="E154" s="227"/>
      <c r="F154" s="227"/>
      <c r="G154" s="227"/>
      <c r="H154" s="227"/>
      <c r="I154" s="227" t="str">
        <f>CONCATENATE(DataSheet!L119," ",DataSheet!P119)</f>
        <v>5.4 A</v>
      </c>
      <c r="J154" s="227"/>
      <c r="K154" s="227"/>
      <c r="L154" s="227"/>
      <c r="M154" s="227" t="str">
        <f>CONCATENATE(TEXT(DataSheet!AM119,"0.000")," ",DataSheet!P119)</f>
        <v>5.400 A</v>
      </c>
      <c r="N154" s="227"/>
      <c r="O154" s="227"/>
      <c r="P154" s="227"/>
      <c r="Q154" s="227" t="str">
        <f>CONCATENATE(TEXT(DataSheet!AR119,"0.000")," ",DataSheet!P119)</f>
        <v>0.000 A</v>
      </c>
      <c r="R154" s="227"/>
      <c r="S154" s="227"/>
      <c r="T154" s="227"/>
      <c r="U154" s="227" t="str">
        <f>CONCATENATE(" ",TEXT(DataSheet!DD119,"0.000 0")," ",DataSheet!CZ119)</f>
        <v xml:space="preserve"> 0.001 6 A</v>
      </c>
      <c r="V154" s="227"/>
      <c r="W154" s="227"/>
      <c r="X154" s="227"/>
    </row>
    <row r="155" spans="1:26" s="61" customFormat="1" ht="15" customHeight="1">
      <c r="A155" s="60"/>
      <c r="E155" s="231" t="str">
        <f>DataSheet!F120</f>
        <v>10 A</v>
      </c>
      <c r="F155" s="232"/>
      <c r="G155" s="232"/>
      <c r="H155" s="233"/>
      <c r="I155" s="227" t="str">
        <f>CONCATENATE(DataSheet!L120," ",DataSheet!P120)</f>
        <v>5 A</v>
      </c>
      <c r="J155" s="227"/>
      <c r="K155" s="227"/>
      <c r="L155" s="227"/>
      <c r="M155" s="227" t="str">
        <f>CONCATENATE(TEXT(DataSheet!AM120,"0.00")," ",DataSheet!P120)</f>
        <v>5.00 A</v>
      </c>
      <c r="N155" s="227"/>
      <c r="O155" s="227"/>
      <c r="P155" s="227"/>
      <c r="Q155" s="227" t="str">
        <f>CONCATENATE(TEXT(DataSheet!AR120,"0.00")," ",DataSheet!P120)</f>
        <v>0.00 A</v>
      </c>
      <c r="R155" s="227"/>
      <c r="S155" s="227"/>
      <c r="T155" s="227"/>
      <c r="U155" s="227" t="str">
        <f>CONCATENATE(" ",TEXT(DataSheet!DD120,"0.000 0")," ",DataSheet!CZ120)</f>
        <v xml:space="preserve"> 0.005 9 A</v>
      </c>
      <c r="V155" s="227"/>
      <c r="W155" s="227"/>
      <c r="X155" s="227"/>
    </row>
    <row r="156" spans="1:26" s="61" customFormat="1" ht="15" customHeight="1">
      <c r="A156" s="60"/>
      <c r="E156" s="234"/>
      <c r="F156" s="235"/>
      <c r="G156" s="235"/>
      <c r="H156" s="236"/>
      <c r="I156" s="227" t="str">
        <f>CONCATENATE(DataSheet!L121," ",DataSheet!P121)</f>
        <v>9 A</v>
      </c>
      <c r="J156" s="227"/>
      <c r="K156" s="227"/>
      <c r="L156" s="227"/>
      <c r="M156" s="227" t="str">
        <f>CONCATENATE(TEXT(DataSheet!AM121,"0.00")," ",DataSheet!P121)</f>
        <v>9.00 A</v>
      </c>
      <c r="N156" s="227"/>
      <c r="O156" s="227"/>
      <c r="P156" s="227"/>
      <c r="Q156" s="227" t="str">
        <f>CONCATENATE(TEXT(DataSheet!AR121,"0.00")," ",DataSheet!P121)</f>
        <v>0.00 A</v>
      </c>
      <c r="R156" s="227"/>
      <c r="S156" s="227"/>
      <c r="T156" s="227"/>
      <c r="U156" s="227" t="str">
        <f>CONCATENATE(" ",TEXT(DataSheet!DD121,"0.000 0")," ",DataSheet!CZ121)</f>
        <v xml:space="preserve"> 0.005 9 A</v>
      </c>
      <c r="V156" s="227"/>
      <c r="W156" s="227"/>
      <c r="X156" s="227"/>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76" t="str">
        <f>DataSheet!B140</f>
        <v>DANICA BEA NERI</v>
      </c>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row>
    <row r="160" spans="1:26" ht="15" customHeight="1">
      <c r="C160" s="277" t="s">
        <v>24</v>
      </c>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4" t="s">
        <v>27</v>
      </c>
      <c r="F173" s="265"/>
      <c r="G173" s="265"/>
      <c r="H173" s="266"/>
      <c r="I173" s="264" t="s">
        <v>28</v>
      </c>
      <c r="J173" s="265"/>
      <c r="K173" s="265"/>
      <c r="L173" s="266"/>
      <c r="M173" s="258" t="s">
        <v>73</v>
      </c>
      <c r="N173" s="259"/>
      <c r="O173" s="259"/>
      <c r="P173" s="260"/>
      <c r="Q173" s="264" t="s">
        <v>29</v>
      </c>
      <c r="R173" s="265"/>
      <c r="S173" s="265"/>
      <c r="T173" s="266"/>
      <c r="U173" s="258" t="s">
        <v>114</v>
      </c>
      <c r="V173" s="259"/>
      <c r="W173" s="259"/>
      <c r="X173" s="260"/>
    </row>
    <row r="174" spans="3:24" ht="13.5" customHeight="1">
      <c r="E174" s="267"/>
      <c r="F174" s="268"/>
      <c r="G174" s="268"/>
      <c r="H174" s="269"/>
      <c r="I174" s="267"/>
      <c r="J174" s="268"/>
      <c r="K174" s="268"/>
      <c r="L174" s="269"/>
      <c r="M174" s="261"/>
      <c r="N174" s="262"/>
      <c r="O174" s="262"/>
      <c r="P174" s="263"/>
      <c r="Q174" s="267"/>
      <c r="R174" s="268"/>
      <c r="S174" s="268"/>
      <c r="T174" s="269"/>
      <c r="U174" s="261"/>
      <c r="V174" s="262"/>
      <c r="W174" s="262"/>
      <c r="X174" s="263"/>
    </row>
    <row r="175" spans="3:24" ht="12.75" customHeight="1">
      <c r="E175" s="231" t="str">
        <f>DataSheet!F126</f>
        <v>600 µA</v>
      </c>
      <c r="F175" s="232"/>
      <c r="G175" s="232"/>
      <c r="H175" s="233"/>
      <c r="I175" s="255" t="str">
        <f>CONCATENATE(DataSheet!L126," ",DataSheet!P126," / ",DataSheet!S126)</f>
        <v>540 µA / 50 Hz</v>
      </c>
      <c r="J175" s="256"/>
      <c r="K175" s="256"/>
      <c r="L175" s="257"/>
      <c r="M175" s="255" t="str">
        <f>CONCATENATE(TEXT(DataSheet!AM126,"0.0")," ",DataSheet!P126)</f>
        <v>540.0 µA</v>
      </c>
      <c r="N175" s="256"/>
      <c r="O175" s="256"/>
      <c r="P175" s="257"/>
      <c r="Q175" s="255" t="str">
        <f>CONCATENATE(TEXT(DataSheet!AR126,"0.0")," ",DataSheet!P126)</f>
        <v>0.0 µA</v>
      </c>
      <c r="R175" s="256"/>
      <c r="S175" s="256"/>
      <c r="T175" s="257"/>
      <c r="U175" s="255" t="str">
        <f>CONCATENATE(" ",TEXT(DataSheet!DD126,"0.0")," ",DataSheet!CZ126)</f>
        <v xml:space="preserve"> 1.7 µA</v>
      </c>
      <c r="V175" s="256"/>
      <c r="W175" s="256"/>
      <c r="X175" s="257"/>
    </row>
    <row r="176" spans="3:24">
      <c r="E176" s="234"/>
      <c r="F176" s="235"/>
      <c r="G176" s="235"/>
      <c r="H176" s="236"/>
      <c r="I176" s="255" t="str">
        <f>CONCATENATE(DataSheet!L127," ",DataSheet!P127," / ",DataSheet!S127)</f>
        <v>540 µA / 1 kHz</v>
      </c>
      <c r="J176" s="256"/>
      <c r="K176" s="256"/>
      <c r="L176" s="257"/>
      <c r="M176" s="255" t="str">
        <f>CONCATENATE(TEXT(DataSheet!AM127,"0.0")," ",DataSheet!P127)</f>
        <v>540.0 µA</v>
      </c>
      <c r="N176" s="256"/>
      <c r="O176" s="256"/>
      <c r="P176" s="257"/>
      <c r="Q176" s="255" t="str">
        <f>CONCATENATE(TEXT(DataSheet!AR127,"0.0")," ",DataSheet!P127)</f>
        <v>0.0 µA</v>
      </c>
      <c r="R176" s="256"/>
      <c r="S176" s="256"/>
      <c r="T176" s="257"/>
      <c r="U176" s="255" t="str">
        <f>CONCATENATE(" ",TEXT(DataSheet!DD127,"0.0")," ",DataSheet!CZ127)</f>
        <v xml:space="preserve"> 1.7 µA</v>
      </c>
      <c r="V176" s="256"/>
      <c r="W176" s="256"/>
      <c r="X176" s="257"/>
    </row>
    <row r="177" spans="5:24" ht="15" customHeight="1">
      <c r="E177" s="231" t="str">
        <f>DataSheet!F128</f>
        <v>6000 µA</v>
      </c>
      <c r="F177" s="232"/>
      <c r="G177" s="232"/>
      <c r="H177" s="233"/>
      <c r="I177" s="255" t="str">
        <f>CONCATENATE(TEXT(DataSheet!L128,"0 000")," ",DataSheet!P128," / ",DataSheet!S128)</f>
        <v>5 400 µA / 50 Hz</v>
      </c>
      <c r="J177" s="256"/>
      <c r="K177" s="256"/>
      <c r="L177" s="257"/>
      <c r="M177" s="255" t="str">
        <f>CONCATENATE(TEXT(DataSheet!AM128,"0 000")," ",DataSheet!P128)</f>
        <v>5 400 µA</v>
      </c>
      <c r="N177" s="256"/>
      <c r="O177" s="256"/>
      <c r="P177" s="257"/>
      <c r="Q177" s="255" t="str">
        <f>CONCATENATE(TEXT(DataSheet!AR128,"0")," ",DataSheet!P128)</f>
        <v>0 µA</v>
      </c>
      <c r="R177" s="256"/>
      <c r="S177" s="256"/>
      <c r="T177" s="257"/>
      <c r="U177" s="255" t="str">
        <f>CONCATENATE(" ",TEXT(DataSheet!DD128,"0")," ",DataSheet!CZ128)</f>
        <v xml:space="preserve"> 13 µA</v>
      </c>
      <c r="V177" s="256"/>
      <c r="W177" s="256"/>
      <c r="X177" s="257"/>
    </row>
    <row r="178" spans="5:24">
      <c r="E178" s="234"/>
      <c r="F178" s="235"/>
      <c r="G178" s="235"/>
      <c r="H178" s="236"/>
      <c r="I178" s="255" t="str">
        <f>CONCATENATE(TEXT(DataSheet!L129,"0 000")," ",DataSheet!P129," / ",DataSheet!S129)</f>
        <v>5 400 µA / 1 kHz</v>
      </c>
      <c r="J178" s="256"/>
      <c r="K178" s="256"/>
      <c r="L178" s="257"/>
      <c r="M178" s="255" t="str">
        <f>CONCATENATE(TEXT(DataSheet!AM129,"0 000")," ",DataSheet!P129)</f>
        <v>5 400 µA</v>
      </c>
      <c r="N178" s="256"/>
      <c r="O178" s="256"/>
      <c r="P178" s="257"/>
      <c r="Q178" s="255" t="str">
        <f>CONCATENATE(TEXT(DataSheet!AR129,"0")," ",DataSheet!P129)</f>
        <v>0 µA</v>
      </c>
      <c r="R178" s="256"/>
      <c r="S178" s="256"/>
      <c r="T178" s="257"/>
      <c r="U178" s="255" t="str">
        <f>CONCATENATE(" ",TEXT(DataSheet!DD129,"0")," ",DataSheet!CZ129)</f>
        <v xml:space="preserve"> 13 µA</v>
      </c>
      <c r="V178" s="256"/>
      <c r="W178" s="256"/>
      <c r="X178" s="257"/>
    </row>
    <row r="179" spans="5:24">
      <c r="E179" s="231" t="str">
        <f>DataSheet!F130</f>
        <v>60 mA</v>
      </c>
      <c r="F179" s="232"/>
      <c r="G179" s="232"/>
      <c r="H179" s="233"/>
      <c r="I179" s="255" t="str">
        <f>CONCATENATE(DataSheet!L130," ",DataSheet!P130," / ",DataSheet!S130)</f>
        <v>54 mA / 50 Hz</v>
      </c>
      <c r="J179" s="256"/>
      <c r="K179" s="256"/>
      <c r="L179" s="257"/>
      <c r="M179" s="255" t="str">
        <f>CONCATENATE(TEXT(DataSheet!AM130,"0.00")," ",DataSheet!P130)</f>
        <v>54.00 mA</v>
      </c>
      <c r="N179" s="256"/>
      <c r="O179" s="256"/>
      <c r="P179" s="257"/>
      <c r="Q179" s="255" t="str">
        <f>CONCATENATE(TEXT(DataSheet!AR130,"0.00")," ",DataSheet!P130)</f>
        <v>0.00 mA</v>
      </c>
      <c r="R179" s="256"/>
      <c r="S179" s="256"/>
      <c r="T179" s="257"/>
      <c r="U179" s="255" t="str">
        <f>CONCATENATE(" ",TEXT(DataSheet!DD130,"0.00")," ",DataSheet!CZ130)</f>
        <v xml:space="preserve"> 0.22 mA</v>
      </c>
      <c r="V179" s="256"/>
      <c r="W179" s="256"/>
      <c r="X179" s="257"/>
    </row>
    <row r="180" spans="5:24">
      <c r="E180" s="234"/>
      <c r="F180" s="235"/>
      <c r="G180" s="235"/>
      <c r="H180" s="236"/>
      <c r="I180" s="255" t="str">
        <f>CONCATENATE(DataSheet!L131," ",DataSheet!P131," / ",DataSheet!S131)</f>
        <v>54 mA / 1 kHz</v>
      </c>
      <c r="J180" s="256"/>
      <c r="K180" s="256"/>
      <c r="L180" s="257"/>
      <c r="M180" s="255" t="str">
        <f>CONCATENATE(TEXT(DataSheet!AM131,"0.00")," ",DataSheet!P131)</f>
        <v>54.00 mA</v>
      </c>
      <c r="N180" s="256"/>
      <c r="O180" s="256"/>
      <c r="P180" s="257"/>
      <c r="Q180" s="255" t="str">
        <f>CONCATENATE(TEXT(DataSheet!AR131,"0.00")," ",DataSheet!P131)</f>
        <v>0.00 mA</v>
      </c>
      <c r="R180" s="256"/>
      <c r="S180" s="256"/>
      <c r="T180" s="257"/>
      <c r="U180" s="255" t="str">
        <f>CONCATENATE(" ",TEXT(DataSheet!DD131,"0.00")," ",DataSheet!CZ131)</f>
        <v xml:space="preserve"> 0.22 mA</v>
      </c>
      <c r="V180" s="256"/>
      <c r="W180" s="256"/>
      <c r="X180" s="257"/>
    </row>
    <row r="181" spans="5:24">
      <c r="E181" s="231" t="str">
        <f>DataSheet!F132</f>
        <v>400 mA</v>
      </c>
      <c r="F181" s="232"/>
      <c r="G181" s="232"/>
      <c r="H181" s="233"/>
      <c r="I181" s="255" t="str">
        <f>CONCATENATE(DataSheet!L132," ",DataSheet!P132," / ",DataSheet!S132)</f>
        <v>360 mA / 50 Hz</v>
      </c>
      <c r="J181" s="256"/>
      <c r="K181" s="256"/>
      <c r="L181" s="257"/>
      <c r="M181" s="255" t="str">
        <f>CONCATENATE(TEXT(DataSheet!AM132,"0.0")," ",DataSheet!P132)</f>
        <v>360.0 mA</v>
      </c>
      <c r="N181" s="256"/>
      <c r="O181" s="256"/>
      <c r="P181" s="257"/>
      <c r="Q181" s="255" t="str">
        <f>CONCATENATE(TEXT(DataSheet!AR132,"0.0")," ",DataSheet!P132)</f>
        <v>0.0 mA</v>
      </c>
      <c r="R181" s="256"/>
      <c r="S181" s="256"/>
      <c r="T181" s="257"/>
      <c r="U181" s="255" t="str">
        <f>CONCATENATE(" ",TEXT(DataSheet!DD132,"0.00")," ",DataSheet!CZ132)</f>
        <v xml:space="preserve"> 0.72 mA</v>
      </c>
      <c r="V181" s="256"/>
      <c r="W181" s="256"/>
      <c r="X181" s="257"/>
    </row>
    <row r="182" spans="5:24" ht="12.75" customHeight="1">
      <c r="E182" s="234"/>
      <c r="F182" s="235"/>
      <c r="G182" s="235"/>
      <c r="H182" s="236"/>
      <c r="I182" s="255" t="str">
        <f>CONCATENATE(DataSheet!L133," ",DataSheet!P133," / ",DataSheet!S133)</f>
        <v>360 mA / 1 kHz</v>
      </c>
      <c r="J182" s="256"/>
      <c r="K182" s="256"/>
      <c r="L182" s="257"/>
      <c r="M182" s="255" t="str">
        <f>CONCATENATE(TEXT(DataSheet!AM133,"0.0")," ",DataSheet!P133)</f>
        <v>360.0 mA</v>
      </c>
      <c r="N182" s="256"/>
      <c r="O182" s="256"/>
      <c r="P182" s="257"/>
      <c r="Q182" s="255" t="str">
        <f>CONCATENATE(TEXT(DataSheet!AR133,"0.0")," ",DataSheet!P133)</f>
        <v>0.0 mA</v>
      </c>
      <c r="R182" s="256"/>
      <c r="S182" s="256"/>
      <c r="T182" s="257"/>
      <c r="U182" s="255" t="str">
        <f>CONCATENATE(" ",TEXT(DataSheet!DD133,"0.00")," ",DataSheet!CZ133)</f>
        <v xml:space="preserve"> 0.72 mA</v>
      </c>
      <c r="V182" s="256"/>
      <c r="W182" s="256"/>
      <c r="X182" s="257"/>
    </row>
    <row r="183" spans="5:24">
      <c r="E183" s="270" t="str">
        <f>DataSheet!F134</f>
        <v>6 A</v>
      </c>
      <c r="F183" s="271"/>
      <c r="G183" s="271"/>
      <c r="H183" s="272"/>
      <c r="I183" s="255" t="str">
        <f>CONCATENATE(DataSheet!L134," ",DataSheet!P134," / ",DataSheet!S134)</f>
        <v>5.4 A / 50 Hz</v>
      </c>
      <c r="J183" s="256"/>
      <c r="K183" s="256"/>
      <c r="L183" s="257"/>
      <c r="M183" s="255" t="str">
        <f>CONCATENATE(TEXT(DataSheet!AM134,"0.000")," ",DataSheet!P134)</f>
        <v>5.400 A</v>
      </c>
      <c r="N183" s="256"/>
      <c r="O183" s="256"/>
      <c r="P183" s="257"/>
      <c r="Q183" s="255" t="str">
        <f>CONCATENATE(TEXT(DataSheet!AR134,"0.000")," ",DataSheet!P134)</f>
        <v>0.000 A</v>
      </c>
      <c r="R183" s="256"/>
      <c r="S183" s="256"/>
      <c r="T183" s="257"/>
      <c r="U183" s="255" t="str">
        <f>CONCATENATE(" ",TEXT(DataSheet!DD134,"0.000")," ",DataSheet!CZ134)</f>
        <v xml:space="preserve"> 0.010 A</v>
      </c>
      <c r="V183" s="256"/>
      <c r="W183" s="256"/>
      <c r="X183" s="257"/>
    </row>
    <row r="184" spans="5:24" ht="12.95" customHeight="1">
      <c r="E184" s="273"/>
      <c r="F184" s="274"/>
      <c r="G184" s="274"/>
      <c r="H184" s="275"/>
      <c r="I184" s="255" t="str">
        <f>CONCATENATE(DataSheet!L135," ",DataSheet!P135," / ",DataSheet!S135)</f>
        <v>5.4 A / 1 kHz</v>
      </c>
      <c r="J184" s="256"/>
      <c r="K184" s="256"/>
      <c r="L184" s="257"/>
      <c r="M184" s="255" t="str">
        <f>CONCATENATE(TEXT(DataSheet!AM135,"0.000")," ",DataSheet!P135)</f>
        <v>5.400 A</v>
      </c>
      <c r="N184" s="256"/>
      <c r="O184" s="256"/>
      <c r="P184" s="257"/>
      <c r="Q184" s="255" t="str">
        <f>CONCATENATE(TEXT(DataSheet!AR135,"0.000")," ",DataSheet!P135)</f>
        <v>0.000 A</v>
      </c>
      <c r="R184" s="256"/>
      <c r="S184" s="256"/>
      <c r="T184" s="257"/>
      <c r="U184" s="255" t="str">
        <f>CONCATENATE(" ",TEXT(DataSheet!DD135,"0.000")," ",DataSheet!CZ135)</f>
        <v xml:space="preserve"> 0.011 A</v>
      </c>
      <c r="V184" s="256"/>
      <c r="W184" s="256"/>
      <c r="X184" s="257"/>
    </row>
    <row r="185" spans="5:24" ht="12.95" customHeight="1">
      <c r="E185" s="270" t="str">
        <f>DataSheet!F136</f>
        <v>10 A</v>
      </c>
      <c r="F185" s="271"/>
      <c r="G185" s="271"/>
      <c r="H185" s="272"/>
      <c r="I185" s="255" t="str">
        <f>CONCATENATE(DataSheet!L136," ",DataSheet!P136," / ",DataSheet!S136)</f>
        <v>9 A / 50 Hz</v>
      </c>
      <c r="J185" s="256"/>
      <c r="K185" s="256"/>
      <c r="L185" s="257"/>
      <c r="M185" s="255" t="str">
        <f>CONCATENATE(TEXT(DataSheet!AM136,"0.00")," ",DataSheet!P136)</f>
        <v>9.00 A</v>
      </c>
      <c r="N185" s="256"/>
      <c r="O185" s="256"/>
      <c r="P185" s="257"/>
      <c r="Q185" s="255" t="str">
        <f>CONCATENATE(TEXT(DataSheet!AR136,"0.00")," ",DataSheet!P136)</f>
        <v>0.00 A</v>
      </c>
      <c r="R185" s="256"/>
      <c r="S185" s="256"/>
      <c r="T185" s="257"/>
      <c r="U185" s="255" t="str">
        <f>CONCATENATE(" ",TEXT(DataSheet!DD136,"0.000")," ",DataSheet!CZ136)</f>
        <v xml:space="preserve"> 0.012 A</v>
      </c>
      <c r="V185" s="256"/>
      <c r="W185" s="256"/>
      <c r="X185" s="257"/>
    </row>
    <row r="186" spans="5:24" ht="12.95" customHeight="1">
      <c r="E186" s="273"/>
      <c r="F186" s="274"/>
      <c r="G186" s="274"/>
      <c r="H186" s="275"/>
      <c r="I186" s="255" t="str">
        <f>CONCATENATE(DataSheet!L137," ",DataSheet!P137," / ",DataSheet!S137)</f>
        <v>9 A / 1 kHz</v>
      </c>
      <c r="J186" s="256"/>
      <c r="K186" s="256"/>
      <c r="L186" s="257"/>
      <c r="M186" s="255" t="str">
        <f>CONCATENATE(TEXT(DataSheet!AM137,"0.00")," ",DataSheet!P137)</f>
        <v>9.00 A</v>
      </c>
      <c r="N186" s="256"/>
      <c r="O186" s="256"/>
      <c r="P186" s="257"/>
      <c r="Q186" s="255" t="str">
        <f>CONCATENATE(TEXT(DataSheet!AR137,"0.00")," ",DataSheet!P137)</f>
        <v>0.00 A</v>
      </c>
      <c r="R186" s="256"/>
      <c r="S186" s="256"/>
      <c r="T186" s="257"/>
      <c r="U186" s="255" t="str">
        <f>CONCATENATE(" ",TEXT(DataSheet!DD137,"0.000")," ",DataSheet!CZ137)</f>
        <v xml:space="preserve"> 0.012 A</v>
      </c>
      <c r="V186" s="256"/>
      <c r="W186" s="256"/>
      <c r="X186" s="257"/>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76" t="str">
        <f>DataSheet!B140</f>
        <v>DANICA BEA NERI</v>
      </c>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row>
    <row r="214" spans="3:26" ht="15" customHeight="1">
      <c r="C214" s="277" t="s">
        <v>24</v>
      </c>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O51:Q51"/>
    <mergeCell ref="S54:W54"/>
    <mergeCell ref="E55:K55"/>
    <mergeCell ref="S55:W55"/>
    <mergeCell ref="G57:J57"/>
    <mergeCell ref="I70:L70"/>
    <mergeCell ref="M70:P70"/>
    <mergeCell ref="Q70:T70"/>
    <mergeCell ref="U70:X70"/>
    <mergeCell ref="E54:K54"/>
    <mergeCell ref="I71:L71"/>
    <mergeCell ref="M71:P71"/>
    <mergeCell ref="Q71:T71"/>
    <mergeCell ref="U71:X71"/>
    <mergeCell ref="I72:L72"/>
    <mergeCell ref="M72:P72"/>
    <mergeCell ref="Q72:T72"/>
    <mergeCell ref="U72:X72"/>
    <mergeCell ref="I73:L73"/>
    <mergeCell ref="M73:P73"/>
    <mergeCell ref="Q73:T73"/>
    <mergeCell ref="U73:X73"/>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81:L81"/>
    <mergeCell ref="M81:P81"/>
    <mergeCell ref="Q81:T81"/>
    <mergeCell ref="U81:X81"/>
    <mergeCell ref="I82:L82"/>
    <mergeCell ref="M82:P82"/>
    <mergeCell ref="Q82:T82"/>
    <mergeCell ref="U82:X82"/>
    <mergeCell ref="I91:L91"/>
    <mergeCell ref="M91:P91"/>
    <mergeCell ref="Q91:T91"/>
    <mergeCell ref="U91:X91"/>
    <mergeCell ref="I93:L93"/>
    <mergeCell ref="M93:P93"/>
    <mergeCell ref="Q93:T93"/>
    <mergeCell ref="U93:X93"/>
    <mergeCell ref="I84:L84"/>
    <mergeCell ref="M84:P84"/>
    <mergeCell ref="M86:P86"/>
    <mergeCell ref="Q86:T86"/>
    <mergeCell ref="U86:X86"/>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U186:X186"/>
    <mergeCell ref="I184:L184"/>
    <mergeCell ref="M184:P184"/>
    <mergeCell ref="Q184:T184"/>
    <mergeCell ref="U184:X184"/>
    <mergeCell ref="I185:L185"/>
    <mergeCell ref="M185:P185"/>
    <mergeCell ref="Q185:T185"/>
    <mergeCell ref="U185:X185"/>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421" t="s">
        <v>160</v>
      </c>
      <c r="M7" s="421"/>
      <c r="N7" s="421"/>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422" t="s">
        <v>161</v>
      </c>
      <c r="AO7" s="422"/>
      <c r="AP7" s="422"/>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423" t="s">
        <v>32</v>
      </c>
      <c r="C8" s="424"/>
      <c r="D8" s="424"/>
      <c r="E8" s="424"/>
      <c r="F8" s="424"/>
      <c r="G8" s="424"/>
      <c r="H8" s="424"/>
      <c r="I8" s="424"/>
      <c r="J8" s="424"/>
      <c r="K8" s="424"/>
      <c r="L8" s="424"/>
      <c r="M8" s="424"/>
      <c r="N8" s="424"/>
      <c r="O8" s="424"/>
      <c r="P8" s="424"/>
      <c r="Q8" s="424"/>
      <c r="R8" s="424"/>
      <c r="S8" s="424"/>
      <c r="T8" s="424"/>
      <c r="U8" s="424"/>
      <c r="V8" s="424"/>
      <c r="W8" s="424"/>
      <c r="X8" s="424"/>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5"/>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25" t="s">
        <v>18</v>
      </c>
      <c r="C9" s="326"/>
      <c r="D9" s="326"/>
      <c r="E9" s="326"/>
      <c r="F9" s="326"/>
      <c r="G9" s="326"/>
      <c r="H9" s="326"/>
      <c r="I9" s="326"/>
      <c r="J9" s="349" t="s">
        <v>33</v>
      </c>
      <c r="K9" s="426" t="s">
        <v>162</v>
      </c>
      <c r="L9" s="426"/>
      <c r="M9" s="426"/>
      <c r="N9" s="426"/>
      <c r="O9" s="426"/>
      <c r="P9" s="426"/>
      <c r="Q9" s="426"/>
      <c r="R9" s="426"/>
      <c r="S9" s="426"/>
      <c r="T9" s="426"/>
      <c r="U9" s="426"/>
      <c r="V9" s="426"/>
      <c r="W9" s="426"/>
      <c r="X9" s="426"/>
      <c r="Y9" s="426"/>
      <c r="Z9" s="426"/>
      <c r="AA9" s="426"/>
      <c r="AB9" s="326" t="s">
        <v>34</v>
      </c>
      <c r="AC9" s="326"/>
      <c r="AD9" s="326"/>
      <c r="AE9" s="326"/>
      <c r="AF9" s="326"/>
      <c r="AG9" s="326"/>
      <c r="AH9" s="326"/>
      <c r="AI9" s="326"/>
      <c r="AJ9" s="326"/>
      <c r="AK9" s="349" t="s">
        <v>33</v>
      </c>
      <c r="AL9" s="428">
        <v>45756</v>
      </c>
      <c r="AM9" s="428"/>
      <c r="AN9" s="428"/>
      <c r="AO9" s="428"/>
      <c r="AP9" s="428"/>
      <c r="AQ9" s="428"/>
      <c r="AR9" s="428"/>
      <c r="AS9" s="428"/>
      <c r="AT9" s="428"/>
      <c r="AU9" s="428"/>
      <c r="AV9" s="428"/>
      <c r="AW9" s="428"/>
      <c r="AX9" s="428"/>
      <c r="AY9" s="428"/>
      <c r="AZ9" s="429"/>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25"/>
      <c r="C10" s="326"/>
      <c r="D10" s="326"/>
      <c r="E10" s="326"/>
      <c r="F10" s="326"/>
      <c r="G10" s="326"/>
      <c r="H10" s="326"/>
      <c r="I10" s="326"/>
      <c r="J10" s="349"/>
      <c r="K10" s="427"/>
      <c r="L10" s="427"/>
      <c r="M10" s="427"/>
      <c r="N10" s="427"/>
      <c r="O10" s="427"/>
      <c r="P10" s="427"/>
      <c r="Q10" s="427"/>
      <c r="R10" s="427"/>
      <c r="S10" s="427"/>
      <c r="T10" s="427"/>
      <c r="U10" s="427"/>
      <c r="V10" s="427"/>
      <c r="W10" s="427"/>
      <c r="X10" s="427"/>
      <c r="Y10" s="427"/>
      <c r="Z10" s="427"/>
      <c r="AA10" s="427"/>
      <c r="AB10" s="326"/>
      <c r="AC10" s="326"/>
      <c r="AD10" s="326"/>
      <c r="AE10" s="326"/>
      <c r="AF10" s="326"/>
      <c r="AG10" s="326"/>
      <c r="AH10" s="326"/>
      <c r="AI10" s="326"/>
      <c r="AJ10" s="326"/>
      <c r="AK10" s="349"/>
      <c r="AL10" s="403"/>
      <c r="AM10" s="403"/>
      <c r="AN10" s="403"/>
      <c r="AO10" s="403"/>
      <c r="AP10" s="403"/>
      <c r="AQ10" s="403"/>
      <c r="AR10" s="403"/>
      <c r="AS10" s="403"/>
      <c r="AT10" s="403"/>
      <c r="AU10" s="403"/>
      <c r="AV10" s="403"/>
      <c r="AW10" s="403"/>
      <c r="AX10" s="403"/>
      <c r="AY10" s="403"/>
      <c r="AZ10" s="404"/>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25" t="s">
        <v>35</v>
      </c>
      <c r="C11" s="326"/>
      <c r="D11" s="326"/>
      <c r="E11" s="326"/>
      <c r="F11" s="326"/>
      <c r="G11" s="326"/>
      <c r="H11" s="326"/>
      <c r="I11" s="326"/>
      <c r="J11" s="349" t="s">
        <v>33</v>
      </c>
      <c r="K11" s="397" t="s">
        <v>162</v>
      </c>
      <c r="L11" s="397"/>
      <c r="M11" s="397"/>
      <c r="N11" s="397"/>
      <c r="O11" s="397"/>
      <c r="P11" s="397"/>
      <c r="Q11" s="397"/>
      <c r="R11" s="397"/>
      <c r="S11" s="397"/>
      <c r="T11" s="397"/>
      <c r="U11" s="397"/>
      <c r="V11" s="397"/>
      <c r="W11" s="397"/>
      <c r="X11" s="397"/>
      <c r="Y11" s="397"/>
      <c r="Z11" s="397"/>
      <c r="AA11" s="397"/>
      <c r="AB11" s="326" t="s">
        <v>36</v>
      </c>
      <c r="AC11" s="326"/>
      <c r="AD11" s="326"/>
      <c r="AE11" s="326"/>
      <c r="AF11" s="326"/>
      <c r="AG11" s="326"/>
      <c r="AH11" s="326"/>
      <c r="AI11" s="326"/>
      <c r="AJ11" s="326"/>
      <c r="AK11" s="349" t="s">
        <v>33</v>
      </c>
      <c r="AL11" s="401">
        <v>45756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25"/>
      <c r="C12" s="326"/>
      <c r="D12" s="326"/>
      <c r="E12" s="326"/>
      <c r="F12" s="326"/>
      <c r="G12" s="326"/>
      <c r="H12" s="326"/>
      <c r="I12" s="326"/>
      <c r="J12" s="349"/>
      <c r="K12" s="398"/>
      <c r="L12" s="398"/>
      <c r="M12" s="398"/>
      <c r="N12" s="398"/>
      <c r="O12" s="398"/>
      <c r="P12" s="398"/>
      <c r="Q12" s="398"/>
      <c r="R12" s="398"/>
      <c r="S12" s="398"/>
      <c r="T12" s="398"/>
      <c r="U12" s="398"/>
      <c r="V12" s="398"/>
      <c r="W12" s="398"/>
      <c r="X12" s="398"/>
      <c r="Y12" s="398"/>
      <c r="Z12" s="398"/>
      <c r="AA12" s="398"/>
      <c r="AB12" s="326"/>
      <c r="AC12" s="326"/>
      <c r="AD12" s="326"/>
      <c r="AE12" s="326"/>
      <c r="AF12" s="326"/>
      <c r="AG12" s="326"/>
      <c r="AH12" s="326"/>
      <c r="AI12" s="326"/>
      <c r="AJ12" s="326"/>
      <c r="AK12" s="349"/>
      <c r="AL12" s="403"/>
      <c r="AM12" s="403"/>
      <c r="AN12" s="403"/>
      <c r="AO12" s="403"/>
      <c r="AP12" s="403"/>
      <c r="AQ12" s="403"/>
      <c r="AR12" s="403"/>
      <c r="AS12" s="403"/>
      <c r="AT12" s="403"/>
      <c r="AU12" s="403"/>
      <c r="AV12" s="403"/>
      <c r="AW12" s="403"/>
      <c r="AX12" s="403"/>
      <c r="AY12" s="403"/>
      <c r="AZ12" s="404"/>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25" t="s">
        <v>37</v>
      </c>
      <c r="C13" s="326"/>
      <c r="D13" s="326"/>
      <c r="E13" s="326"/>
      <c r="F13" s="326"/>
      <c r="G13" s="326"/>
      <c r="H13" s="326"/>
      <c r="I13" s="326"/>
      <c r="J13" s="349" t="s">
        <v>33</v>
      </c>
      <c r="K13" s="397" t="s">
        <v>162</v>
      </c>
      <c r="L13" s="397"/>
      <c r="M13" s="397"/>
      <c r="N13" s="397"/>
      <c r="O13" s="397"/>
      <c r="P13" s="397"/>
      <c r="Q13" s="397"/>
      <c r="R13" s="397"/>
      <c r="S13" s="397"/>
      <c r="T13" s="397"/>
      <c r="U13" s="397"/>
      <c r="V13" s="397"/>
      <c r="W13" s="397"/>
      <c r="X13" s="397"/>
      <c r="Y13" s="397"/>
      <c r="Z13" s="397"/>
      <c r="AA13" s="397"/>
      <c r="AB13" s="326" t="s">
        <v>38</v>
      </c>
      <c r="AC13" s="326"/>
      <c r="AD13" s="326"/>
      <c r="AE13" s="326"/>
      <c r="AF13" s="326"/>
      <c r="AG13" s="326"/>
      <c r="AH13" s="326"/>
      <c r="AI13" s="326"/>
      <c r="AJ13" s="326"/>
      <c r="AK13" s="349" t="s">
        <v>33</v>
      </c>
      <c r="AL13" s="397" t="s">
        <v>163</v>
      </c>
      <c r="AM13" s="397"/>
      <c r="AN13" s="397"/>
      <c r="AO13" s="397"/>
      <c r="AP13" s="397"/>
      <c r="AQ13" s="397"/>
      <c r="AR13" s="397"/>
      <c r="AS13" s="397"/>
      <c r="AT13" s="397"/>
      <c r="AU13" s="397"/>
      <c r="AV13" s="397"/>
      <c r="AW13" s="397"/>
      <c r="AX13" s="397"/>
      <c r="AY13" s="397"/>
      <c r="AZ13" s="409"/>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25"/>
      <c r="C14" s="326"/>
      <c r="D14" s="326"/>
      <c r="E14" s="326"/>
      <c r="F14" s="326"/>
      <c r="G14" s="326"/>
      <c r="H14" s="326"/>
      <c r="I14" s="326"/>
      <c r="J14" s="349"/>
      <c r="K14" s="398"/>
      <c r="L14" s="398"/>
      <c r="M14" s="398"/>
      <c r="N14" s="398"/>
      <c r="O14" s="398"/>
      <c r="P14" s="398"/>
      <c r="Q14" s="398"/>
      <c r="R14" s="398"/>
      <c r="S14" s="398"/>
      <c r="T14" s="398"/>
      <c r="U14" s="398"/>
      <c r="V14" s="398"/>
      <c r="W14" s="398"/>
      <c r="X14" s="398"/>
      <c r="Y14" s="398"/>
      <c r="Z14" s="398"/>
      <c r="AA14" s="398"/>
      <c r="AB14" s="326"/>
      <c r="AC14" s="326"/>
      <c r="AD14" s="326"/>
      <c r="AE14" s="326"/>
      <c r="AF14" s="326"/>
      <c r="AG14" s="326"/>
      <c r="AH14" s="326"/>
      <c r="AI14" s="326"/>
      <c r="AJ14" s="326"/>
      <c r="AK14" s="349"/>
      <c r="AL14" s="398"/>
      <c r="AM14" s="398"/>
      <c r="AN14" s="398"/>
      <c r="AO14" s="398"/>
      <c r="AP14" s="398"/>
      <c r="AQ14" s="398"/>
      <c r="AR14" s="398"/>
      <c r="AS14" s="398"/>
      <c r="AT14" s="398"/>
      <c r="AU14" s="398"/>
      <c r="AV14" s="398"/>
      <c r="AW14" s="398"/>
      <c r="AX14" s="398"/>
      <c r="AY14" s="398"/>
      <c r="AZ14" s="410"/>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25" t="s">
        <v>39</v>
      </c>
      <c r="C15" s="326"/>
      <c r="D15" s="326"/>
      <c r="E15" s="326"/>
      <c r="F15" s="326"/>
      <c r="G15" s="326"/>
      <c r="H15" s="326"/>
      <c r="I15" s="326"/>
      <c r="J15" s="349" t="s">
        <v>33</v>
      </c>
      <c r="K15" s="411" t="s">
        <v>163</v>
      </c>
      <c r="L15" s="397"/>
      <c r="M15" s="397"/>
      <c r="N15" s="397"/>
      <c r="O15" s="397"/>
      <c r="P15" s="397"/>
      <c r="Q15" s="397"/>
      <c r="R15" s="397"/>
      <c r="S15" s="397"/>
      <c r="T15" s="397"/>
      <c r="U15" s="397"/>
      <c r="V15" s="397"/>
      <c r="W15" s="397"/>
      <c r="X15" s="397"/>
      <c r="Y15" s="397"/>
      <c r="Z15" s="397"/>
      <c r="AA15" s="397"/>
      <c r="AB15" s="326" t="s">
        <v>40</v>
      </c>
      <c r="AC15" s="326"/>
      <c r="AD15" s="326"/>
      <c r="AE15" s="326"/>
      <c r="AF15" s="326"/>
      <c r="AG15" s="326"/>
      <c r="AH15" s="326"/>
      <c r="AI15" s="326"/>
      <c r="AJ15" s="326"/>
      <c r="AK15" s="349" t="s">
        <v>33</v>
      </c>
      <c r="AL15" s="397" t="s">
        <v>163</v>
      </c>
      <c r="AM15" s="397"/>
      <c r="AN15" s="397"/>
      <c r="AO15" s="397"/>
      <c r="AP15" s="397"/>
      <c r="AQ15" s="397"/>
      <c r="AR15" s="397"/>
      <c r="AS15" s="397"/>
      <c r="AT15" s="397"/>
      <c r="AU15" s="397"/>
      <c r="AV15" s="397"/>
      <c r="AW15" s="397"/>
      <c r="AX15" s="397"/>
      <c r="AY15" s="397"/>
      <c r="AZ15" s="409"/>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25"/>
      <c r="C16" s="326"/>
      <c r="D16" s="326"/>
      <c r="E16" s="326"/>
      <c r="F16" s="326"/>
      <c r="G16" s="326"/>
      <c r="H16" s="326"/>
      <c r="I16" s="326"/>
      <c r="J16" s="349"/>
      <c r="K16" s="398"/>
      <c r="L16" s="398"/>
      <c r="M16" s="398"/>
      <c r="N16" s="398"/>
      <c r="O16" s="398"/>
      <c r="P16" s="398"/>
      <c r="Q16" s="398"/>
      <c r="R16" s="398"/>
      <c r="S16" s="398"/>
      <c r="T16" s="398"/>
      <c r="U16" s="398"/>
      <c r="V16" s="398"/>
      <c r="W16" s="398"/>
      <c r="X16" s="398"/>
      <c r="Y16" s="398"/>
      <c r="Z16" s="398"/>
      <c r="AA16" s="398"/>
      <c r="AB16" s="326"/>
      <c r="AC16" s="326"/>
      <c r="AD16" s="326"/>
      <c r="AE16" s="326"/>
      <c r="AF16" s="326"/>
      <c r="AG16" s="326"/>
      <c r="AH16" s="326"/>
      <c r="AI16" s="326"/>
      <c r="AJ16" s="326"/>
      <c r="AK16" s="349"/>
      <c r="AL16" s="398"/>
      <c r="AM16" s="398"/>
      <c r="AN16" s="398"/>
      <c r="AO16" s="398"/>
      <c r="AP16" s="398"/>
      <c r="AQ16" s="398"/>
      <c r="AR16" s="398"/>
      <c r="AS16" s="398"/>
      <c r="AT16" s="398"/>
      <c r="AU16" s="398"/>
      <c r="AV16" s="398"/>
      <c r="AW16" s="398"/>
      <c r="AX16" s="398"/>
      <c r="AY16" s="398"/>
      <c r="AZ16" s="410"/>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25" t="s">
        <v>27</v>
      </c>
      <c r="C17" s="326"/>
      <c r="D17" s="326"/>
      <c r="E17" s="326"/>
      <c r="F17" s="326"/>
      <c r="G17" s="326"/>
      <c r="H17" s="326"/>
      <c r="I17" s="326"/>
      <c r="J17" s="349" t="s">
        <v>33</v>
      </c>
      <c r="K17" s="397" t="s">
        <v>164</v>
      </c>
      <c r="L17" s="397"/>
      <c r="M17" s="397"/>
      <c r="N17" s="397"/>
      <c r="O17" s="397"/>
      <c r="P17" s="397"/>
      <c r="Q17" s="397"/>
      <c r="R17" s="397"/>
      <c r="S17" s="397"/>
      <c r="T17" s="397"/>
      <c r="U17" s="397"/>
      <c r="V17" s="397"/>
      <c r="W17" s="397"/>
      <c r="X17" s="397"/>
      <c r="Y17" s="397"/>
      <c r="Z17" s="397"/>
      <c r="AA17" s="397"/>
      <c r="AB17" s="326" t="s">
        <v>41</v>
      </c>
      <c r="AC17" s="326"/>
      <c r="AD17" s="326"/>
      <c r="AE17" s="326"/>
      <c r="AF17" s="326"/>
      <c r="AG17" s="326"/>
      <c r="AH17" s="326"/>
      <c r="AI17" s="326"/>
      <c r="AJ17" s="138"/>
      <c r="AK17" s="349" t="s">
        <v>33</v>
      </c>
      <c r="AL17" s="397" t="s">
        <v>163</v>
      </c>
      <c r="AM17" s="397"/>
      <c r="AN17" s="397"/>
      <c r="AO17" s="397"/>
      <c r="AP17" s="397"/>
      <c r="AQ17" s="397"/>
      <c r="AR17" s="397"/>
      <c r="AS17" s="397"/>
      <c r="AT17" s="397"/>
      <c r="AU17" s="397"/>
      <c r="AV17" s="397"/>
      <c r="AW17" s="397"/>
      <c r="AX17" s="397"/>
      <c r="AY17" s="397"/>
      <c r="AZ17" s="409"/>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25"/>
      <c r="C18" s="326"/>
      <c r="D18" s="326"/>
      <c r="E18" s="326"/>
      <c r="F18" s="326"/>
      <c r="G18" s="326"/>
      <c r="H18" s="326"/>
      <c r="I18" s="326"/>
      <c r="J18" s="349"/>
      <c r="K18" s="398"/>
      <c r="L18" s="398"/>
      <c r="M18" s="398"/>
      <c r="N18" s="398"/>
      <c r="O18" s="398"/>
      <c r="P18" s="398"/>
      <c r="Q18" s="398"/>
      <c r="R18" s="398"/>
      <c r="S18" s="398"/>
      <c r="T18" s="398"/>
      <c r="U18" s="398"/>
      <c r="V18" s="398"/>
      <c r="W18" s="398"/>
      <c r="X18" s="398"/>
      <c r="Y18" s="398"/>
      <c r="Z18" s="398"/>
      <c r="AA18" s="398"/>
      <c r="AB18" s="326"/>
      <c r="AC18" s="326"/>
      <c r="AD18" s="326"/>
      <c r="AE18" s="326"/>
      <c r="AF18" s="326"/>
      <c r="AG18" s="326"/>
      <c r="AH18" s="326"/>
      <c r="AI18" s="326"/>
      <c r="AJ18" s="138"/>
      <c r="AK18" s="349"/>
      <c r="AL18" s="398"/>
      <c r="AM18" s="398"/>
      <c r="AN18" s="398"/>
      <c r="AO18" s="398"/>
      <c r="AP18" s="398"/>
      <c r="AQ18" s="398"/>
      <c r="AR18" s="398"/>
      <c r="AS18" s="398"/>
      <c r="AT18" s="398"/>
      <c r="AU18" s="398"/>
      <c r="AV18" s="398"/>
      <c r="AW18" s="398"/>
      <c r="AX18" s="398"/>
      <c r="AY18" s="398"/>
      <c r="AZ18" s="410"/>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25" t="s">
        <v>42</v>
      </c>
      <c r="C19" s="326"/>
      <c r="D19" s="326"/>
      <c r="E19" s="326"/>
      <c r="F19" s="326"/>
      <c r="G19" s="326"/>
      <c r="H19" s="326"/>
      <c r="I19" s="326"/>
      <c r="J19" s="349" t="s">
        <v>33</v>
      </c>
      <c r="K19" s="397" t="s">
        <v>164</v>
      </c>
      <c r="L19" s="397"/>
      <c r="M19" s="397"/>
      <c r="N19" s="397"/>
      <c r="O19" s="397"/>
      <c r="P19" s="397"/>
      <c r="Q19" s="397"/>
      <c r="R19" s="397"/>
      <c r="S19" s="397"/>
      <c r="T19" s="397"/>
      <c r="U19" s="397"/>
      <c r="V19" s="397"/>
      <c r="W19" s="397"/>
      <c r="X19" s="397"/>
      <c r="Y19" s="397"/>
      <c r="Z19" s="397"/>
      <c r="AA19" s="397"/>
      <c r="AB19" s="326" t="s">
        <v>43</v>
      </c>
      <c r="AC19" s="326"/>
      <c r="AD19" s="326"/>
      <c r="AE19" s="326"/>
      <c r="AF19" s="326"/>
      <c r="AG19" s="326"/>
      <c r="AH19" s="326"/>
      <c r="AI19" s="326"/>
      <c r="AJ19" s="326"/>
      <c r="AK19" s="349" t="s">
        <v>33</v>
      </c>
      <c r="AL19" s="397" t="s">
        <v>164</v>
      </c>
      <c r="AM19" s="397"/>
      <c r="AN19" s="397"/>
      <c r="AO19" s="397"/>
      <c r="AP19" s="397"/>
      <c r="AQ19" s="397"/>
      <c r="AR19" s="397"/>
      <c r="AS19" s="397"/>
      <c r="AT19" s="397"/>
      <c r="AU19" s="397"/>
      <c r="AV19" s="397"/>
      <c r="AW19" s="397"/>
      <c r="AX19" s="397"/>
      <c r="AY19" s="397"/>
      <c r="AZ19" s="409"/>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25"/>
      <c r="C20" s="326"/>
      <c r="D20" s="326"/>
      <c r="E20" s="326"/>
      <c r="F20" s="326"/>
      <c r="G20" s="326"/>
      <c r="H20" s="326"/>
      <c r="I20" s="326"/>
      <c r="J20" s="349"/>
      <c r="K20" s="398"/>
      <c r="L20" s="398"/>
      <c r="M20" s="398"/>
      <c r="N20" s="398"/>
      <c r="O20" s="398"/>
      <c r="P20" s="398"/>
      <c r="Q20" s="398"/>
      <c r="R20" s="398"/>
      <c r="S20" s="398"/>
      <c r="T20" s="398"/>
      <c r="U20" s="398"/>
      <c r="V20" s="398"/>
      <c r="W20" s="398"/>
      <c r="X20" s="398"/>
      <c r="Y20" s="398"/>
      <c r="Z20" s="398"/>
      <c r="AA20" s="398"/>
      <c r="AB20" s="326"/>
      <c r="AC20" s="326"/>
      <c r="AD20" s="326"/>
      <c r="AE20" s="326"/>
      <c r="AF20" s="326"/>
      <c r="AG20" s="326"/>
      <c r="AH20" s="326"/>
      <c r="AI20" s="326"/>
      <c r="AJ20" s="326"/>
      <c r="AK20" s="349"/>
      <c r="AL20" s="398"/>
      <c r="AM20" s="398"/>
      <c r="AN20" s="398"/>
      <c r="AO20" s="398"/>
      <c r="AP20" s="398"/>
      <c r="AQ20" s="398"/>
      <c r="AR20" s="398"/>
      <c r="AS20" s="398"/>
      <c r="AT20" s="398"/>
      <c r="AU20" s="398"/>
      <c r="AV20" s="398"/>
      <c r="AW20" s="398"/>
      <c r="AX20" s="398"/>
      <c r="AY20" s="398"/>
      <c r="AZ20" s="410"/>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25" t="s">
        <v>44</v>
      </c>
      <c r="C21" s="326"/>
      <c r="D21" s="326"/>
      <c r="E21" s="326"/>
      <c r="F21" s="326"/>
      <c r="G21" s="326"/>
      <c r="H21" s="326"/>
      <c r="I21" s="326"/>
      <c r="J21" s="349" t="s">
        <v>33</v>
      </c>
      <c r="K21" s="397" t="s">
        <v>165</v>
      </c>
      <c r="L21" s="397"/>
      <c r="M21" s="397"/>
      <c r="N21" s="397"/>
      <c r="O21" s="397"/>
      <c r="P21" s="397"/>
      <c r="Q21" s="397"/>
      <c r="R21" s="397"/>
      <c r="S21" s="397"/>
      <c r="T21" s="397"/>
      <c r="U21" s="397"/>
      <c r="V21" s="397"/>
      <c r="W21" s="397"/>
      <c r="X21" s="397"/>
      <c r="Y21" s="397"/>
      <c r="Z21" s="397"/>
      <c r="AA21" s="397"/>
      <c r="AB21" s="326" t="s">
        <v>46</v>
      </c>
      <c r="AC21" s="326"/>
      <c r="AD21" s="326"/>
      <c r="AE21" s="326"/>
      <c r="AF21" s="326"/>
      <c r="AG21" s="326"/>
      <c r="AH21" s="326"/>
      <c r="AI21" s="326"/>
      <c r="AJ21" s="326"/>
      <c r="AK21" s="349" t="s">
        <v>33</v>
      </c>
      <c r="AL21" s="397" t="s">
        <v>165</v>
      </c>
      <c r="AM21" s="397"/>
      <c r="AN21" s="397"/>
      <c r="AO21" s="397"/>
      <c r="AP21" s="397"/>
      <c r="AQ21" s="397"/>
      <c r="AR21" s="397"/>
      <c r="AS21" s="397"/>
      <c r="AT21" s="397"/>
      <c r="AU21" s="397"/>
      <c r="AV21" s="397"/>
      <c r="AW21" s="397"/>
      <c r="AX21" s="397"/>
      <c r="AY21" s="397"/>
      <c r="AZ21" s="409"/>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25"/>
      <c r="C22" s="326"/>
      <c r="D22" s="326"/>
      <c r="E22" s="326"/>
      <c r="F22" s="326"/>
      <c r="G22" s="326"/>
      <c r="H22" s="326"/>
      <c r="I22" s="326"/>
      <c r="J22" s="349"/>
      <c r="K22" s="398"/>
      <c r="L22" s="398"/>
      <c r="M22" s="398"/>
      <c r="N22" s="398"/>
      <c r="O22" s="398"/>
      <c r="P22" s="398"/>
      <c r="Q22" s="398"/>
      <c r="R22" s="398"/>
      <c r="S22" s="398"/>
      <c r="T22" s="398"/>
      <c r="U22" s="398"/>
      <c r="V22" s="398"/>
      <c r="W22" s="398"/>
      <c r="X22" s="398"/>
      <c r="Y22" s="398"/>
      <c r="Z22" s="398"/>
      <c r="AA22" s="398"/>
      <c r="AB22" s="326"/>
      <c r="AC22" s="326"/>
      <c r="AD22" s="326"/>
      <c r="AE22" s="326"/>
      <c r="AF22" s="326"/>
      <c r="AG22" s="326"/>
      <c r="AH22" s="326"/>
      <c r="AI22" s="326"/>
      <c r="AJ22" s="326"/>
      <c r="AK22" s="349"/>
      <c r="AL22" s="398"/>
      <c r="AM22" s="398"/>
      <c r="AN22" s="398"/>
      <c r="AO22" s="398"/>
      <c r="AP22" s="398"/>
      <c r="AQ22" s="398"/>
      <c r="AR22" s="398"/>
      <c r="AS22" s="398"/>
      <c r="AT22" s="398"/>
      <c r="AU22" s="398"/>
      <c r="AV22" s="398"/>
      <c r="AW22" s="398"/>
      <c r="AX22" s="398"/>
      <c r="AY22" s="398"/>
      <c r="AZ22" s="410"/>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31" t="s">
        <v>47</v>
      </c>
      <c r="C24" s="332"/>
      <c r="D24" s="332"/>
      <c r="E24" s="332"/>
      <c r="F24" s="332"/>
      <c r="G24" s="332"/>
      <c r="H24" s="332"/>
      <c r="I24" s="332"/>
      <c r="J24" s="332"/>
      <c r="K24" s="332"/>
      <c r="L24" s="332"/>
      <c r="M24" s="332"/>
      <c r="N24" s="332"/>
      <c r="O24" s="332"/>
      <c r="P24" s="332"/>
      <c r="Q24" s="332"/>
      <c r="R24" s="332"/>
      <c r="S24" s="332"/>
      <c r="T24" s="332"/>
      <c r="U24" s="332"/>
      <c r="V24" s="332"/>
      <c r="W24" s="332"/>
      <c r="X24" s="332"/>
      <c r="Y24" s="332"/>
      <c r="Z24" s="332"/>
      <c r="AA24" s="332"/>
      <c r="AB24" s="332" t="s">
        <v>48</v>
      </c>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3"/>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25" t="s">
        <v>49</v>
      </c>
      <c r="C25" s="326"/>
      <c r="D25" s="326"/>
      <c r="E25" s="326"/>
      <c r="F25" s="326"/>
      <c r="G25" s="349" t="s">
        <v>33</v>
      </c>
      <c r="H25" s="399" t="s">
        <v>166</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36"/>
      <c r="AF25" s="138"/>
      <c r="AG25" s="326" t="s">
        <v>50</v>
      </c>
      <c r="AH25" s="326"/>
      <c r="AI25" s="326"/>
      <c r="AJ25" s="326"/>
      <c r="AK25" s="326"/>
      <c r="AL25" s="326"/>
      <c r="AM25" s="326"/>
      <c r="AN25" s="326"/>
      <c r="AO25" s="326"/>
      <c r="AP25" s="326"/>
      <c r="AQ25" s="326"/>
      <c r="AR25" s="326"/>
      <c r="AS25" s="326"/>
      <c r="AT25" s="326"/>
      <c r="AU25" s="326"/>
      <c r="AV25" s="326"/>
      <c r="AW25" s="326"/>
      <c r="AX25" s="326"/>
      <c r="AY25" s="326"/>
      <c r="AZ25" s="327"/>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25"/>
      <c r="C26" s="326"/>
      <c r="D26" s="326"/>
      <c r="E26" s="326"/>
      <c r="F26" s="326"/>
      <c r="G26" s="34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36"/>
      <c r="AF26" s="138"/>
      <c r="AG26" s="326"/>
      <c r="AH26" s="326"/>
      <c r="AI26" s="326"/>
      <c r="AJ26" s="326"/>
      <c r="AK26" s="326"/>
      <c r="AL26" s="326"/>
      <c r="AM26" s="326"/>
      <c r="AN26" s="326"/>
      <c r="AO26" s="326"/>
      <c r="AP26" s="326"/>
      <c r="AQ26" s="326"/>
      <c r="AR26" s="326"/>
      <c r="AS26" s="326"/>
      <c r="AT26" s="326"/>
      <c r="AU26" s="326"/>
      <c r="AV26" s="326"/>
      <c r="AW26" s="326"/>
      <c r="AX26" s="326"/>
      <c r="AY26" s="326"/>
      <c r="AZ26" s="327"/>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25" t="s">
        <v>51</v>
      </c>
      <c r="C27" s="326"/>
      <c r="D27" s="326"/>
      <c r="E27" s="326"/>
      <c r="F27" s="326"/>
      <c r="G27" s="349" t="s">
        <v>33</v>
      </c>
      <c r="H27" s="412" t="s">
        <v>166</v>
      </c>
      <c r="I27" s="412"/>
      <c r="J27" s="412"/>
      <c r="K27" s="412"/>
      <c r="L27" s="412"/>
      <c r="M27" s="412"/>
      <c r="N27" s="412"/>
      <c r="O27" s="412"/>
      <c r="P27" s="412"/>
      <c r="Q27" s="412"/>
      <c r="R27" s="412"/>
      <c r="S27" s="412"/>
      <c r="T27" s="412"/>
      <c r="U27" s="412"/>
      <c r="V27" s="412"/>
      <c r="W27" s="412"/>
      <c r="X27" s="412"/>
      <c r="Y27" s="412"/>
      <c r="Z27" s="412"/>
      <c r="AA27" s="150"/>
      <c r="AB27" s="151"/>
      <c r="AC27" s="138"/>
      <c r="AD27" s="138"/>
      <c r="AE27" s="336" t="s">
        <v>167</v>
      </c>
      <c r="AF27" s="138"/>
      <c r="AG27" s="326" t="s">
        <v>52</v>
      </c>
      <c r="AH27" s="326"/>
      <c r="AI27" s="326"/>
      <c r="AJ27" s="326"/>
      <c r="AK27" s="326"/>
      <c r="AL27" s="326"/>
      <c r="AM27" s="326"/>
      <c r="AN27" s="326"/>
      <c r="AO27" s="326"/>
      <c r="AP27" s="326"/>
      <c r="AQ27" s="326"/>
      <c r="AR27" s="326"/>
      <c r="AS27" s="326"/>
      <c r="AT27" s="326"/>
      <c r="AU27" s="326"/>
      <c r="AV27" s="326"/>
      <c r="AW27" s="326"/>
      <c r="AX27" s="326"/>
      <c r="AY27" s="326"/>
      <c r="AZ27" s="327"/>
      <c r="BA27" s="136"/>
      <c r="BB27" s="136"/>
      <c r="BC27" s="136"/>
      <c r="BD27" s="136"/>
      <c r="BE27" s="136"/>
      <c r="BF27" s="136"/>
      <c r="BG27" s="136"/>
      <c r="BH27" s="136"/>
      <c r="BI27" s="136"/>
      <c r="BJ27" s="136"/>
      <c r="BK27" s="136"/>
      <c r="BL27" s="136"/>
      <c r="BM27" s="136"/>
      <c r="BN27" s="136"/>
      <c r="BO27" s="408"/>
      <c r="BP27" s="408"/>
      <c r="BQ27" s="136"/>
      <c r="BR27" s="136"/>
      <c r="BS27" s="136"/>
      <c r="BT27" s="136"/>
      <c r="BU27" s="136"/>
      <c r="BV27" s="136"/>
    </row>
    <row r="28" spans="1:74" s="143" customFormat="1" ht="7.5" customHeight="1">
      <c r="A28" s="136"/>
      <c r="B28" s="325"/>
      <c r="C28" s="326"/>
      <c r="D28" s="326"/>
      <c r="E28" s="326"/>
      <c r="F28" s="326"/>
      <c r="G28" s="349"/>
      <c r="H28" s="413"/>
      <c r="I28" s="413"/>
      <c r="J28" s="413"/>
      <c r="K28" s="413"/>
      <c r="L28" s="413"/>
      <c r="M28" s="413"/>
      <c r="N28" s="413"/>
      <c r="O28" s="413"/>
      <c r="P28" s="413"/>
      <c r="Q28" s="413"/>
      <c r="R28" s="413"/>
      <c r="S28" s="413"/>
      <c r="T28" s="413"/>
      <c r="U28" s="413"/>
      <c r="V28" s="413"/>
      <c r="W28" s="413"/>
      <c r="X28" s="413"/>
      <c r="Y28" s="413"/>
      <c r="Z28" s="413"/>
      <c r="AA28" s="150"/>
      <c r="AB28" s="151"/>
      <c r="AC28" s="138"/>
      <c r="AD28" s="138"/>
      <c r="AE28" s="336"/>
      <c r="AF28" s="138"/>
      <c r="AG28" s="326"/>
      <c r="AH28" s="326"/>
      <c r="AI28" s="326"/>
      <c r="AJ28" s="326"/>
      <c r="AK28" s="326"/>
      <c r="AL28" s="326"/>
      <c r="AM28" s="326"/>
      <c r="AN28" s="326"/>
      <c r="AO28" s="326"/>
      <c r="AP28" s="326"/>
      <c r="AQ28" s="326"/>
      <c r="AR28" s="326"/>
      <c r="AS28" s="326"/>
      <c r="AT28" s="326"/>
      <c r="AU28" s="326"/>
      <c r="AV28" s="326"/>
      <c r="AW28" s="326"/>
      <c r="AX28" s="326"/>
      <c r="AY28" s="326"/>
      <c r="AZ28" s="327"/>
      <c r="BA28" s="136"/>
      <c r="BB28" s="136"/>
      <c r="BC28" s="136"/>
      <c r="BD28" s="136"/>
      <c r="BE28" s="136"/>
      <c r="BF28" s="136"/>
      <c r="BG28" s="136"/>
      <c r="BH28" s="136"/>
      <c r="BI28" s="136"/>
      <c r="BJ28" s="136"/>
      <c r="BK28" s="136"/>
      <c r="BL28" s="136"/>
      <c r="BM28" s="136"/>
      <c r="BN28" s="136"/>
      <c r="BO28" s="408"/>
      <c r="BP28" s="408"/>
      <c r="BQ28" s="136"/>
      <c r="BR28" s="136"/>
      <c r="BS28" s="136"/>
      <c r="BT28" s="136"/>
      <c r="BU28" s="136"/>
      <c r="BV28" s="136"/>
    </row>
    <row r="29" spans="1:74" s="143" customFormat="1" ht="13.5" customHeight="1">
      <c r="A29" s="136"/>
      <c r="B29" s="137"/>
      <c r="C29" s="138"/>
      <c r="D29" s="138"/>
      <c r="E29" s="138"/>
      <c r="F29" s="138"/>
      <c r="G29" s="138"/>
      <c r="H29" s="413"/>
      <c r="I29" s="413"/>
      <c r="J29" s="413"/>
      <c r="K29" s="413"/>
      <c r="L29" s="413"/>
      <c r="M29" s="413"/>
      <c r="N29" s="413"/>
      <c r="O29" s="413"/>
      <c r="P29" s="413"/>
      <c r="Q29" s="413"/>
      <c r="R29" s="413"/>
      <c r="S29" s="413"/>
      <c r="T29" s="413"/>
      <c r="U29" s="413"/>
      <c r="V29" s="413"/>
      <c r="W29" s="413"/>
      <c r="X29" s="413"/>
      <c r="Y29" s="413"/>
      <c r="Z29" s="413"/>
      <c r="AA29" s="150"/>
      <c r="AB29" s="151"/>
      <c r="AC29" s="138"/>
      <c r="AD29" s="138"/>
      <c r="AE29" s="138"/>
      <c r="AF29" s="138"/>
      <c r="AG29" s="398" t="s">
        <v>166</v>
      </c>
      <c r="AH29" s="398"/>
      <c r="AI29" s="398"/>
      <c r="AJ29" s="398"/>
      <c r="AK29" s="398"/>
      <c r="AL29" s="398"/>
      <c r="AM29" s="398"/>
      <c r="AN29" s="398"/>
      <c r="AO29" s="398"/>
      <c r="AP29" s="398"/>
      <c r="AQ29" s="398"/>
      <c r="AR29" s="398"/>
      <c r="AS29" s="398"/>
      <c r="AT29" s="398"/>
      <c r="AU29" s="398"/>
      <c r="AV29" s="398"/>
      <c r="AW29" s="398"/>
      <c r="AX29" s="398"/>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414"/>
      <c r="I30" s="414"/>
      <c r="J30" s="414"/>
      <c r="K30" s="414"/>
      <c r="L30" s="414"/>
      <c r="M30" s="414"/>
      <c r="N30" s="414"/>
      <c r="O30" s="414"/>
      <c r="P30" s="414"/>
      <c r="Q30" s="414"/>
      <c r="R30" s="414"/>
      <c r="S30" s="414"/>
      <c r="T30" s="414"/>
      <c r="U30" s="414"/>
      <c r="V30" s="414"/>
      <c r="W30" s="414"/>
      <c r="X30" s="414"/>
      <c r="Y30" s="414"/>
      <c r="Z30" s="414"/>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31" t="s">
        <v>53</v>
      </c>
      <c r="C31" s="332"/>
      <c r="D31" s="332"/>
      <c r="E31" s="332"/>
      <c r="F31" s="332"/>
      <c r="G31" s="332"/>
      <c r="H31" s="332"/>
      <c r="I31" s="332"/>
      <c r="J31" s="332"/>
      <c r="K31" s="332"/>
      <c r="L31" s="332"/>
      <c r="M31" s="332"/>
      <c r="N31" s="332"/>
      <c r="O31" s="332"/>
      <c r="P31" s="332"/>
      <c r="Q31" s="332"/>
      <c r="R31" s="332"/>
      <c r="S31" s="332"/>
      <c r="T31" s="332"/>
      <c r="U31" s="332"/>
      <c r="V31" s="332"/>
      <c r="W31" s="332"/>
      <c r="X31" s="332"/>
      <c r="Y31" s="332"/>
      <c r="Z31" s="332"/>
      <c r="AA31" s="332"/>
      <c r="AB31" s="332"/>
      <c r="AC31" s="332"/>
      <c r="AD31" s="332"/>
      <c r="AE31" s="332"/>
      <c r="AF31" s="332"/>
      <c r="AG31" s="332"/>
      <c r="AH31" s="332"/>
      <c r="AI31" s="332"/>
      <c r="AJ31" s="332"/>
      <c r="AK31" s="332"/>
      <c r="AL31" s="332"/>
      <c r="AM31" s="332"/>
      <c r="AN31" s="332"/>
      <c r="AO31" s="332"/>
      <c r="AP31" s="332"/>
      <c r="AQ31" s="332"/>
      <c r="AR31" s="332"/>
      <c r="AS31" s="332"/>
      <c r="AT31" s="332"/>
      <c r="AU31" s="332"/>
      <c r="AV31" s="332"/>
      <c r="AW31" s="332"/>
      <c r="AX31" s="332"/>
      <c r="AY31" s="332"/>
      <c r="AZ31" s="333"/>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35" t="s">
        <v>18</v>
      </c>
      <c r="C32" s="336"/>
      <c r="D32" s="336"/>
      <c r="E32" s="336"/>
      <c r="F32" s="336"/>
      <c r="G32" s="336"/>
      <c r="H32" s="336"/>
      <c r="I32" s="336"/>
      <c r="J32" s="336"/>
      <c r="K32" s="336"/>
      <c r="L32" s="336"/>
      <c r="M32" s="336"/>
      <c r="N32" s="336"/>
      <c r="O32" s="336"/>
      <c r="P32" s="336"/>
      <c r="Q32" s="337" t="s">
        <v>19</v>
      </c>
      <c r="R32" s="336"/>
      <c r="S32" s="336"/>
      <c r="T32" s="336"/>
      <c r="U32" s="336"/>
      <c r="V32" s="336"/>
      <c r="W32" s="336"/>
      <c r="X32" s="336"/>
      <c r="Y32" s="336"/>
      <c r="Z32" s="336"/>
      <c r="AA32" s="338"/>
      <c r="AB32" s="336" t="s">
        <v>20</v>
      </c>
      <c r="AC32" s="336"/>
      <c r="AD32" s="336"/>
      <c r="AE32" s="336"/>
      <c r="AF32" s="336"/>
      <c r="AG32" s="336"/>
      <c r="AH32" s="336"/>
      <c r="AI32" s="336"/>
      <c r="AJ32" s="336"/>
      <c r="AK32" s="336"/>
      <c r="AL32" s="336"/>
      <c r="AM32" s="336"/>
      <c r="AN32" s="338"/>
      <c r="AO32" s="336" t="s">
        <v>21</v>
      </c>
      <c r="AP32" s="336"/>
      <c r="AQ32" s="336"/>
      <c r="AR32" s="336"/>
      <c r="AS32" s="336"/>
      <c r="AT32" s="336"/>
      <c r="AU32" s="336"/>
      <c r="AV32" s="336"/>
      <c r="AW32" s="336"/>
      <c r="AX32" s="336"/>
      <c r="AY32" s="336"/>
      <c r="AZ32" s="339"/>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447" t="s">
        <v>163</v>
      </c>
      <c r="C33" s="445"/>
      <c r="D33" s="445"/>
      <c r="E33" s="445"/>
      <c r="F33" s="445"/>
      <c r="G33" s="445"/>
      <c r="H33" s="445"/>
      <c r="I33" s="445"/>
      <c r="J33" s="445"/>
      <c r="K33" s="445"/>
      <c r="L33" s="445"/>
      <c r="M33" s="445"/>
      <c r="N33" s="445"/>
      <c r="O33" s="445"/>
      <c r="P33" s="446"/>
      <c r="Q33" s="444" t="s">
        <v>163</v>
      </c>
      <c r="R33" s="445"/>
      <c r="S33" s="445"/>
      <c r="T33" s="445"/>
      <c r="U33" s="445"/>
      <c r="V33" s="445"/>
      <c r="W33" s="445"/>
      <c r="X33" s="445"/>
      <c r="Y33" s="445"/>
      <c r="Z33" s="445"/>
      <c r="AA33" s="446"/>
      <c r="AB33" s="437" t="s">
        <v>163</v>
      </c>
      <c r="AC33" s="438"/>
      <c r="AD33" s="438"/>
      <c r="AE33" s="438"/>
      <c r="AF33" s="438"/>
      <c r="AG33" s="438"/>
      <c r="AH33" s="438"/>
      <c r="AI33" s="438"/>
      <c r="AJ33" s="438"/>
      <c r="AK33" s="438"/>
      <c r="AL33" s="438"/>
      <c r="AM33" s="438"/>
      <c r="AN33" s="439"/>
      <c r="AO33" s="440" t="s">
        <v>168</v>
      </c>
      <c r="AP33" s="441"/>
      <c r="AQ33" s="441"/>
      <c r="AR33" s="441"/>
      <c r="AS33" s="441"/>
      <c r="AT33" s="441"/>
      <c r="AU33" s="441"/>
      <c r="AV33" s="441"/>
      <c r="AW33" s="441"/>
      <c r="AX33" s="441"/>
      <c r="AY33" s="441"/>
      <c r="AZ33" s="442"/>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443" t="s">
        <v>163</v>
      </c>
      <c r="C34" s="351"/>
      <c r="D34" s="351"/>
      <c r="E34" s="351"/>
      <c r="F34" s="351"/>
      <c r="G34" s="351"/>
      <c r="H34" s="351"/>
      <c r="I34" s="351"/>
      <c r="J34" s="351"/>
      <c r="K34" s="351"/>
      <c r="L34" s="351"/>
      <c r="M34" s="351"/>
      <c r="N34" s="351"/>
      <c r="O34" s="351"/>
      <c r="P34" s="351"/>
      <c r="Q34" s="350" t="s">
        <v>163</v>
      </c>
      <c r="R34" s="351"/>
      <c r="S34" s="351"/>
      <c r="T34" s="351"/>
      <c r="U34" s="351"/>
      <c r="V34" s="351"/>
      <c r="W34" s="351"/>
      <c r="X34" s="351"/>
      <c r="Y34" s="351"/>
      <c r="Z34" s="351"/>
      <c r="AA34" s="352"/>
      <c r="AB34" s="351" t="s">
        <v>163</v>
      </c>
      <c r="AC34" s="351"/>
      <c r="AD34" s="351"/>
      <c r="AE34" s="351"/>
      <c r="AF34" s="351"/>
      <c r="AG34" s="351"/>
      <c r="AH34" s="351"/>
      <c r="AI34" s="351"/>
      <c r="AJ34" s="351"/>
      <c r="AK34" s="351"/>
      <c r="AL34" s="351"/>
      <c r="AM34" s="351"/>
      <c r="AN34" s="352"/>
      <c r="AO34" s="353" t="s">
        <v>168</v>
      </c>
      <c r="AP34" s="351"/>
      <c r="AQ34" s="351"/>
      <c r="AR34" s="351"/>
      <c r="AS34" s="351"/>
      <c r="AT34" s="351"/>
      <c r="AU34" s="351"/>
      <c r="AV34" s="351"/>
      <c r="AW34" s="351"/>
      <c r="AX34" s="351"/>
      <c r="AY34" s="351"/>
      <c r="AZ34" s="354"/>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423" t="s">
        <v>54</v>
      </c>
      <c r="C35" s="424"/>
      <c r="D35" s="424"/>
      <c r="E35" s="424"/>
      <c r="F35" s="424"/>
      <c r="G35" s="424"/>
      <c r="H35" s="424"/>
      <c r="I35" s="424"/>
      <c r="J35" s="424"/>
      <c r="K35" s="424"/>
      <c r="L35" s="424"/>
      <c r="M35" s="424"/>
      <c r="N35" s="424"/>
      <c r="O35" s="424"/>
      <c r="P35" s="424"/>
      <c r="Q35" s="424"/>
      <c r="R35" s="424"/>
      <c r="S35" s="424"/>
      <c r="T35" s="424"/>
      <c r="U35" s="424"/>
      <c r="V35" s="424"/>
      <c r="W35" s="424"/>
      <c r="X35" s="424"/>
      <c r="Y35" s="424"/>
      <c r="Z35" s="424"/>
      <c r="AA35" s="424"/>
      <c r="AB35" s="424"/>
      <c r="AC35" s="424"/>
      <c r="AD35" s="424"/>
      <c r="AE35" s="424"/>
      <c r="AF35" s="424"/>
      <c r="AG35" s="424"/>
      <c r="AH35" s="424"/>
      <c r="AI35" s="424"/>
      <c r="AJ35" s="424"/>
      <c r="AK35" s="424"/>
      <c r="AL35" s="424"/>
      <c r="AM35" s="424"/>
      <c r="AN35" s="424"/>
      <c r="AO35" s="424"/>
      <c r="AP35" s="424"/>
      <c r="AQ35" s="424"/>
      <c r="AR35" s="424"/>
      <c r="AS35" s="424"/>
      <c r="AT35" s="424"/>
      <c r="AU35" s="424"/>
      <c r="AV35" s="424"/>
      <c r="AW35" s="424"/>
      <c r="AX35" s="424"/>
      <c r="AY35" s="424"/>
      <c r="AZ35" s="425"/>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35" t="s">
        <v>18</v>
      </c>
      <c r="C36" s="336"/>
      <c r="D36" s="336"/>
      <c r="E36" s="336"/>
      <c r="F36" s="336"/>
      <c r="G36" s="336"/>
      <c r="H36" s="336"/>
      <c r="I36" s="336"/>
      <c r="J36" s="336"/>
      <c r="K36" s="336"/>
      <c r="L36" s="336"/>
      <c r="M36" s="336"/>
      <c r="N36" s="336"/>
      <c r="O36" s="336"/>
      <c r="P36" s="336"/>
      <c r="Q36" s="337" t="s">
        <v>19</v>
      </c>
      <c r="R36" s="336"/>
      <c r="S36" s="336"/>
      <c r="T36" s="336"/>
      <c r="U36" s="336"/>
      <c r="V36" s="336"/>
      <c r="W36" s="336"/>
      <c r="X36" s="336"/>
      <c r="Y36" s="336"/>
      <c r="Z36" s="336"/>
      <c r="AA36" s="338"/>
      <c r="AB36" s="336" t="s">
        <v>55</v>
      </c>
      <c r="AC36" s="336"/>
      <c r="AD36" s="336"/>
      <c r="AE36" s="336"/>
      <c r="AF36" s="336"/>
      <c r="AG36" s="336"/>
      <c r="AH36" s="336"/>
      <c r="AI36" s="336"/>
      <c r="AJ36" s="336"/>
      <c r="AK36" s="336"/>
      <c r="AL36" s="336"/>
      <c r="AM36" s="336"/>
      <c r="AN36" s="338"/>
      <c r="AO36" s="336" t="s">
        <v>37</v>
      </c>
      <c r="AP36" s="336"/>
      <c r="AQ36" s="336"/>
      <c r="AR36" s="336"/>
      <c r="AS36" s="336"/>
      <c r="AT36" s="336"/>
      <c r="AU36" s="336"/>
      <c r="AV36" s="336"/>
      <c r="AW36" s="336"/>
      <c r="AX36" s="336"/>
      <c r="AY36" s="336"/>
      <c r="AZ36" s="339"/>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340" t="s">
        <v>163</v>
      </c>
      <c r="C37" s="341"/>
      <c r="D37" s="341"/>
      <c r="E37" s="341"/>
      <c r="F37" s="341"/>
      <c r="G37" s="341"/>
      <c r="H37" s="341"/>
      <c r="I37" s="341"/>
      <c r="J37" s="341"/>
      <c r="K37" s="341"/>
      <c r="L37" s="341"/>
      <c r="M37" s="341"/>
      <c r="N37" s="341"/>
      <c r="O37" s="341"/>
      <c r="P37" s="341"/>
      <c r="Q37" s="342" t="s">
        <v>163</v>
      </c>
      <c r="R37" s="341"/>
      <c r="S37" s="341"/>
      <c r="T37" s="341"/>
      <c r="U37" s="341"/>
      <c r="V37" s="341"/>
      <c r="W37" s="341"/>
      <c r="X37" s="341"/>
      <c r="Y37" s="341"/>
      <c r="Z37" s="341"/>
      <c r="AA37" s="343"/>
      <c r="AB37" s="344" t="s">
        <v>163</v>
      </c>
      <c r="AC37" s="341"/>
      <c r="AD37" s="341"/>
      <c r="AE37" s="341"/>
      <c r="AF37" s="341"/>
      <c r="AG37" s="341"/>
      <c r="AH37" s="341"/>
      <c r="AI37" s="341"/>
      <c r="AJ37" s="341"/>
      <c r="AK37" s="341"/>
      <c r="AL37" s="341"/>
      <c r="AM37" s="341"/>
      <c r="AN37" s="343"/>
      <c r="AO37" s="344" t="s">
        <v>163</v>
      </c>
      <c r="AP37" s="341"/>
      <c r="AQ37" s="341"/>
      <c r="AR37" s="341"/>
      <c r="AS37" s="341"/>
      <c r="AT37" s="341"/>
      <c r="AU37" s="341"/>
      <c r="AV37" s="341"/>
      <c r="AW37" s="341"/>
      <c r="AX37" s="341"/>
      <c r="AY37" s="341"/>
      <c r="AZ37" s="345"/>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346" t="s">
        <v>163</v>
      </c>
      <c r="C38" s="341"/>
      <c r="D38" s="341"/>
      <c r="E38" s="341"/>
      <c r="F38" s="341"/>
      <c r="G38" s="341"/>
      <c r="H38" s="341"/>
      <c r="I38" s="341"/>
      <c r="J38" s="341"/>
      <c r="K38" s="341"/>
      <c r="L38" s="341"/>
      <c r="M38" s="341"/>
      <c r="N38" s="341"/>
      <c r="O38" s="341"/>
      <c r="P38" s="341"/>
      <c r="Q38" s="347" t="s">
        <v>163</v>
      </c>
      <c r="R38" s="341"/>
      <c r="S38" s="341"/>
      <c r="T38" s="341"/>
      <c r="U38" s="341"/>
      <c r="V38" s="341"/>
      <c r="W38" s="341"/>
      <c r="X38" s="341"/>
      <c r="Y38" s="341"/>
      <c r="Z38" s="341"/>
      <c r="AA38" s="343"/>
      <c r="AB38" s="341" t="s">
        <v>163</v>
      </c>
      <c r="AC38" s="341"/>
      <c r="AD38" s="341"/>
      <c r="AE38" s="341"/>
      <c r="AF38" s="341"/>
      <c r="AG38" s="341"/>
      <c r="AH38" s="341"/>
      <c r="AI38" s="341"/>
      <c r="AJ38" s="341"/>
      <c r="AK38" s="341"/>
      <c r="AL38" s="341"/>
      <c r="AM38" s="341"/>
      <c r="AN38" s="343"/>
      <c r="AO38" s="341" t="s">
        <v>163</v>
      </c>
      <c r="AP38" s="341"/>
      <c r="AQ38" s="341"/>
      <c r="AR38" s="341"/>
      <c r="AS38" s="341"/>
      <c r="AT38" s="341"/>
      <c r="AU38" s="341"/>
      <c r="AV38" s="341"/>
      <c r="AW38" s="341"/>
      <c r="AX38" s="341"/>
      <c r="AY38" s="341"/>
      <c r="AZ38" s="345"/>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31" t="s">
        <v>57</v>
      </c>
      <c r="C39" s="332"/>
      <c r="D39" s="332"/>
      <c r="E39" s="332"/>
      <c r="F39" s="332"/>
      <c r="G39" s="332"/>
      <c r="H39" s="332"/>
      <c r="I39" s="332"/>
      <c r="J39" s="332"/>
      <c r="K39" s="332"/>
      <c r="L39" s="332"/>
      <c r="M39" s="332"/>
      <c r="N39" s="332"/>
      <c r="O39" s="332"/>
      <c r="P39" s="332"/>
      <c r="Q39" s="332"/>
      <c r="R39" s="332"/>
      <c r="S39" s="332"/>
      <c r="T39" s="332"/>
      <c r="U39" s="332"/>
      <c r="V39" s="332"/>
      <c r="W39" s="332"/>
      <c r="X39" s="332"/>
      <c r="Y39" s="332"/>
      <c r="Z39" s="332"/>
      <c r="AA39" s="332"/>
      <c r="AB39" s="332" t="s">
        <v>58</v>
      </c>
      <c r="AC39" s="332"/>
      <c r="AD39" s="332"/>
      <c r="AE39" s="332"/>
      <c r="AF39" s="332"/>
      <c r="AG39" s="332"/>
      <c r="AH39" s="332"/>
      <c r="AI39" s="332"/>
      <c r="AJ39" s="332"/>
      <c r="AK39" s="332"/>
      <c r="AL39" s="332"/>
      <c r="AM39" s="332"/>
      <c r="AN39" s="332"/>
      <c r="AO39" s="332"/>
      <c r="AP39" s="332"/>
      <c r="AQ39" s="332"/>
      <c r="AR39" s="332"/>
      <c r="AS39" s="332"/>
      <c r="AT39" s="332"/>
      <c r="AU39" s="332"/>
      <c r="AV39" s="332"/>
      <c r="AW39" s="332"/>
      <c r="AX39" s="332"/>
      <c r="AY39" s="332"/>
      <c r="AZ39" s="333"/>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434" t="s">
        <v>169</v>
      </c>
      <c r="AC40" s="435"/>
      <c r="AD40" s="435"/>
      <c r="AE40" s="435"/>
      <c r="AF40" s="435"/>
      <c r="AG40" s="435"/>
      <c r="AH40" s="435"/>
      <c r="AI40" s="435"/>
      <c r="AJ40" s="435"/>
      <c r="AK40" s="435"/>
      <c r="AL40" s="435"/>
      <c r="AM40" s="435"/>
      <c r="AN40" s="435"/>
      <c r="AO40" s="435"/>
      <c r="AP40" s="435"/>
      <c r="AQ40" s="435"/>
      <c r="AR40" s="435"/>
      <c r="AS40" s="435"/>
      <c r="AT40" s="435"/>
      <c r="AU40" s="435"/>
      <c r="AV40" s="435"/>
      <c r="AW40" s="435"/>
      <c r="AX40" s="435"/>
      <c r="AY40" s="435"/>
      <c r="AZ40" s="4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334">
        <v>1</v>
      </c>
      <c r="L41" s="334"/>
      <c r="M41" s="138" t="s">
        <v>131</v>
      </c>
      <c r="N41" s="154"/>
      <c r="O41" s="154"/>
      <c r="P41" s="138"/>
      <c r="Q41" s="154"/>
      <c r="R41" s="154"/>
      <c r="S41" s="155" t="s">
        <v>61</v>
      </c>
      <c r="T41" s="334">
        <v>2</v>
      </c>
      <c r="U41" s="334"/>
      <c r="V41" s="138" t="s">
        <v>110</v>
      </c>
      <c r="W41" s="156"/>
      <c r="X41" s="139"/>
      <c r="Y41" s="138"/>
      <c r="Z41" s="138"/>
      <c r="AA41" s="138"/>
      <c r="AB41" s="434"/>
      <c r="AC41" s="435"/>
      <c r="AD41" s="435"/>
      <c r="AE41" s="435"/>
      <c r="AF41" s="435"/>
      <c r="AG41" s="435"/>
      <c r="AH41" s="435"/>
      <c r="AI41" s="435"/>
      <c r="AJ41" s="435"/>
      <c r="AK41" s="435"/>
      <c r="AL41" s="435"/>
      <c r="AM41" s="435"/>
      <c r="AN41" s="435"/>
      <c r="AO41" s="435"/>
      <c r="AP41" s="435"/>
      <c r="AQ41" s="435"/>
      <c r="AR41" s="435"/>
      <c r="AS41" s="435"/>
      <c r="AT41" s="435"/>
      <c r="AU41" s="435"/>
      <c r="AV41" s="435"/>
      <c r="AW41" s="435"/>
      <c r="AX41" s="435"/>
      <c r="AY41" s="435"/>
      <c r="AZ41" s="4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348">
        <v>10</v>
      </c>
      <c r="L42" s="348"/>
      <c r="M42" s="138" t="s">
        <v>131</v>
      </c>
      <c r="N42" s="154"/>
      <c r="O42" s="154"/>
      <c r="P42" s="138"/>
      <c r="Q42" s="154"/>
      <c r="R42" s="154"/>
      <c r="S42" s="155" t="s">
        <v>62</v>
      </c>
      <c r="T42" s="348">
        <v>12</v>
      </c>
      <c r="U42" s="348"/>
      <c r="V42" s="138" t="s">
        <v>110</v>
      </c>
      <c r="W42" s="157"/>
      <c r="X42" s="158"/>
      <c r="Y42" s="138"/>
      <c r="Z42" s="138"/>
      <c r="AA42" s="138"/>
      <c r="AB42" s="434"/>
      <c r="AC42" s="435"/>
      <c r="AD42" s="435"/>
      <c r="AE42" s="435"/>
      <c r="AF42" s="435"/>
      <c r="AG42" s="435"/>
      <c r="AH42" s="435"/>
      <c r="AI42" s="435"/>
      <c r="AJ42" s="435"/>
      <c r="AK42" s="435"/>
      <c r="AL42" s="435"/>
      <c r="AM42" s="435"/>
      <c r="AN42" s="435"/>
      <c r="AO42" s="435"/>
      <c r="AP42" s="435"/>
      <c r="AQ42" s="435"/>
      <c r="AR42" s="435"/>
      <c r="AS42" s="435"/>
      <c r="AT42" s="435"/>
      <c r="AU42" s="435"/>
      <c r="AV42" s="435"/>
      <c r="AW42" s="435"/>
      <c r="AX42" s="435"/>
      <c r="AY42" s="435"/>
      <c r="AZ42" s="4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434"/>
      <c r="AC43" s="435"/>
      <c r="AD43" s="435"/>
      <c r="AE43" s="435"/>
      <c r="AF43" s="435"/>
      <c r="AG43" s="435"/>
      <c r="AH43" s="435"/>
      <c r="AI43" s="435"/>
      <c r="AJ43" s="435"/>
      <c r="AK43" s="435"/>
      <c r="AL43" s="435"/>
      <c r="AM43" s="435"/>
      <c r="AN43" s="435"/>
      <c r="AO43" s="435"/>
      <c r="AP43" s="435"/>
      <c r="AQ43" s="435"/>
      <c r="AR43" s="435"/>
      <c r="AS43" s="435"/>
      <c r="AT43" s="435"/>
      <c r="AU43" s="435"/>
      <c r="AV43" s="435"/>
      <c r="AW43" s="435"/>
      <c r="AX43" s="435"/>
      <c r="AY43" s="435"/>
      <c r="AZ43" s="4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432" t="s">
        <v>56</v>
      </c>
      <c r="D45" s="433"/>
      <c r="E45" s="433"/>
      <c r="F45" s="433"/>
      <c r="G45" s="433"/>
      <c r="H45" s="433"/>
      <c r="I45" s="433"/>
      <c r="J45" s="433"/>
      <c r="K45" s="433"/>
      <c r="L45" s="433"/>
      <c r="M45" s="433"/>
      <c r="N45" s="433"/>
      <c r="O45" s="433"/>
      <c r="P45" s="433"/>
      <c r="Q45" s="433"/>
      <c r="R45" s="433"/>
      <c r="S45" s="433"/>
      <c r="T45" s="433"/>
      <c r="U45" s="433"/>
      <c r="V45" s="433"/>
      <c r="W45" s="433"/>
      <c r="X45" s="433"/>
      <c r="Y45" s="433"/>
      <c r="Z45" s="433"/>
      <c r="AA45" s="433"/>
      <c r="AB45" s="433"/>
      <c r="AC45" s="433"/>
      <c r="AD45" s="433"/>
      <c r="AE45" s="433"/>
      <c r="AF45" s="433"/>
      <c r="AG45" s="433"/>
      <c r="AH45" s="433"/>
      <c r="AI45" s="433"/>
      <c r="AJ45" s="433"/>
      <c r="AK45" s="433"/>
      <c r="AL45" s="433"/>
      <c r="AM45" s="433"/>
      <c r="AN45" s="433"/>
      <c r="AO45" s="433"/>
      <c r="AP45" s="433"/>
      <c r="AQ45" s="433"/>
      <c r="AR45" s="433"/>
      <c r="AS45" s="4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432" t="s">
        <v>56</v>
      </c>
      <c r="D46" s="433"/>
      <c r="E46" s="433"/>
      <c r="F46" s="433"/>
      <c r="G46" s="433"/>
      <c r="H46" s="433"/>
      <c r="I46" s="433"/>
      <c r="J46" s="433"/>
      <c r="K46" s="433"/>
      <c r="L46" s="433"/>
      <c r="M46" s="433"/>
      <c r="N46" s="433"/>
      <c r="O46" s="433"/>
      <c r="P46" s="433"/>
      <c r="Q46" s="433"/>
      <c r="R46" s="433"/>
      <c r="S46" s="433"/>
      <c r="T46" s="433"/>
      <c r="U46" s="433"/>
      <c r="V46" s="433"/>
      <c r="W46" s="433"/>
      <c r="X46" s="433"/>
      <c r="Y46" s="433"/>
      <c r="Z46" s="433"/>
      <c r="AA46" s="433"/>
      <c r="AB46" s="433"/>
      <c r="AC46" s="433"/>
      <c r="AD46" s="433"/>
      <c r="AE46" s="433"/>
      <c r="AF46" s="433"/>
      <c r="AG46" s="433"/>
      <c r="AH46" s="433"/>
      <c r="AI46" s="433"/>
      <c r="AJ46" s="433"/>
      <c r="AK46" s="433"/>
      <c r="AL46" s="433"/>
      <c r="AM46" s="433"/>
      <c r="AN46" s="433"/>
      <c r="AO46" s="433"/>
      <c r="AP46" s="433"/>
      <c r="AQ46" s="433"/>
      <c r="AR46" s="433"/>
      <c r="AS46" s="4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433" t="s">
        <v>56</v>
      </c>
      <c r="D47" s="433"/>
      <c r="E47" s="433"/>
      <c r="F47" s="433"/>
      <c r="G47" s="433"/>
      <c r="H47" s="433"/>
      <c r="I47" s="433"/>
      <c r="J47" s="433"/>
      <c r="K47" s="433"/>
      <c r="L47" s="433"/>
      <c r="M47" s="433"/>
      <c r="N47" s="433"/>
      <c r="O47" s="433"/>
      <c r="P47" s="433"/>
      <c r="Q47" s="433"/>
      <c r="R47" s="433"/>
      <c r="S47" s="433"/>
      <c r="T47" s="433"/>
      <c r="U47" s="433"/>
      <c r="V47" s="433"/>
      <c r="W47" s="433"/>
      <c r="X47" s="433"/>
      <c r="Y47" s="433"/>
      <c r="Z47" s="433"/>
      <c r="AA47" s="433"/>
      <c r="AB47" s="433"/>
      <c r="AC47" s="433"/>
      <c r="AD47" s="433"/>
      <c r="AE47" s="433"/>
      <c r="AF47" s="433"/>
      <c r="AG47" s="433"/>
      <c r="AH47" s="433"/>
      <c r="AI47" s="433"/>
      <c r="AJ47" s="433"/>
      <c r="AK47" s="433"/>
      <c r="AL47" s="433"/>
      <c r="AM47" s="433"/>
      <c r="AN47" s="433"/>
      <c r="AO47" s="433"/>
      <c r="AP47" s="433"/>
      <c r="AQ47" s="433"/>
      <c r="AR47" s="433"/>
      <c r="AS47" s="4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433" t="s">
        <v>56</v>
      </c>
      <c r="D48" s="433"/>
      <c r="E48" s="433"/>
      <c r="F48" s="433"/>
      <c r="G48" s="433"/>
      <c r="H48" s="433"/>
      <c r="I48" s="433"/>
      <c r="J48" s="433"/>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328" t="s">
        <v>67</v>
      </c>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329"/>
      <c r="AE50" s="329"/>
      <c r="AF50" s="329"/>
      <c r="AG50" s="329"/>
      <c r="AH50" s="329"/>
      <c r="AI50" s="329"/>
      <c r="AJ50" s="329"/>
      <c r="AK50" s="329"/>
      <c r="AL50" s="329"/>
      <c r="AM50" s="329"/>
      <c r="AN50" s="329"/>
      <c r="AO50" s="329"/>
      <c r="AP50" s="329"/>
      <c r="AQ50" s="329"/>
      <c r="AR50" s="329"/>
      <c r="AS50" s="329"/>
      <c r="AT50" s="329"/>
      <c r="AU50" s="329"/>
      <c r="AV50" s="329"/>
      <c r="AW50" s="329"/>
      <c r="AX50" s="329"/>
      <c r="AY50" s="329"/>
      <c r="AZ50" s="330"/>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415"/>
      <c r="DC51" s="416"/>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56" t="s">
        <v>124</v>
      </c>
      <c r="BC52" s="356"/>
      <c r="BD52" s="356"/>
      <c r="BE52" s="356"/>
      <c r="BF52" s="356"/>
      <c r="BG52" s="356"/>
      <c r="BH52" s="356"/>
      <c r="BI52" s="356"/>
      <c r="BJ52" s="356"/>
      <c r="BK52" s="356"/>
      <c r="BL52" s="356"/>
      <c r="BM52" s="356"/>
      <c r="BN52" s="356"/>
      <c r="BO52" s="356"/>
      <c r="BP52" s="356"/>
      <c r="BQ52" s="356"/>
      <c r="BR52" s="356"/>
      <c r="BS52" s="356"/>
      <c r="BT52" s="356"/>
      <c r="BU52" s="356"/>
      <c r="BV52" s="169"/>
      <c r="BX52" s="291" t="s">
        <v>69</v>
      </c>
      <c r="BY52" s="292"/>
      <c r="BZ52" s="292"/>
      <c r="CA52" s="292"/>
      <c r="CB52" s="293"/>
      <c r="CC52" s="2"/>
      <c r="CD52" s="291" t="s">
        <v>69</v>
      </c>
      <c r="CE52" s="292"/>
      <c r="CF52" s="292"/>
      <c r="CG52" s="292"/>
      <c r="CH52" s="293"/>
      <c r="CI52" s="2"/>
      <c r="CJ52" s="291" t="s">
        <v>129</v>
      </c>
      <c r="CK52" s="292"/>
      <c r="CL52" s="292"/>
      <c r="CM52" s="292"/>
      <c r="CN52" s="293"/>
      <c r="CO52" s="2"/>
      <c r="CP52" s="291" t="s">
        <v>129</v>
      </c>
      <c r="CQ52" s="292"/>
      <c r="CR52" s="292"/>
      <c r="CS52" s="292"/>
      <c r="CT52" s="293"/>
      <c r="CV52" s="291" t="s">
        <v>71</v>
      </c>
      <c r="CW52" s="292"/>
      <c r="CX52" s="292"/>
      <c r="CY52" s="292"/>
      <c r="CZ52" s="293"/>
      <c r="DB52" s="417" t="s">
        <v>116</v>
      </c>
      <c r="DC52" s="418"/>
      <c r="DD52" s="431" t="s">
        <v>117</v>
      </c>
      <c r="DE52" s="431"/>
    </row>
    <row r="53" spans="1:109" s="174" customFormat="1" ht="18" customHeight="1">
      <c r="A53" s="173"/>
      <c r="B53" s="170"/>
      <c r="C53" s="139"/>
      <c r="D53" s="139"/>
      <c r="E53" s="139"/>
      <c r="F53" s="315" t="s">
        <v>27</v>
      </c>
      <c r="G53" s="315"/>
      <c r="H53" s="315"/>
      <c r="I53" s="315"/>
      <c r="J53" s="315"/>
      <c r="K53" s="315"/>
      <c r="L53" s="315" t="s">
        <v>28</v>
      </c>
      <c r="M53" s="315"/>
      <c r="N53" s="315"/>
      <c r="O53" s="315"/>
      <c r="P53" s="315"/>
      <c r="Q53" s="315"/>
      <c r="R53" s="315"/>
      <c r="S53" s="315" t="s">
        <v>72</v>
      </c>
      <c r="T53" s="315"/>
      <c r="U53" s="315"/>
      <c r="V53" s="315"/>
      <c r="W53" s="315"/>
      <c r="X53" s="315" t="s">
        <v>73</v>
      </c>
      <c r="Y53" s="315"/>
      <c r="Z53" s="315"/>
      <c r="AA53" s="315"/>
      <c r="AB53" s="315"/>
      <c r="AC53" s="315"/>
      <c r="AD53" s="315"/>
      <c r="AE53" s="315"/>
      <c r="AF53" s="315"/>
      <c r="AG53" s="315"/>
      <c r="AH53" s="315"/>
      <c r="AI53" s="315"/>
      <c r="AJ53" s="315"/>
      <c r="AK53" s="315"/>
      <c r="AL53" s="315"/>
      <c r="AM53" s="315" t="s">
        <v>74</v>
      </c>
      <c r="AN53" s="315"/>
      <c r="AO53" s="315"/>
      <c r="AP53" s="315"/>
      <c r="AQ53" s="315"/>
      <c r="AR53" s="315" t="s">
        <v>29</v>
      </c>
      <c r="AS53" s="315"/>
      <c r="AT53" s="315"/>
      <c r="AU53" s="315"/>
      <c r="AV53" s="315"/>
      <c r="AW53" s="139"/>
      <c r="AX53" s="139"/>
      <c r="AY53" s="139"/>
      <c r="AZ53" s="172"/>
      <c r="BA53" s="173"/>
      <c r="BB53" s="315" t="s">
        <v>75</v>
      </c>
      <c r="BC53" s="315"/>
      <c r="BD53" s="315"/>
      <c r="BE53" s="315"/>
      <c r="BF53" s="315"/>
      <c r="BG53" s="315" t="s">
        <v>76</v>
      </c>
      <c r="BH53" s="315"/>
      <c r="BI53" s="315"/>
      <c r="BJ53" s="315"/>
      <c r="BK53" s="315"/>
      <c r="BL53" s="315" t="s">
        <v>77</v>
      </c>
      <c r="BM53" s="315"/>
      <c r="BN53" s="315"/>
      <c r="BO53" s="315"/>
      <c r="BP53" s="315"/>
      <c r="BQ53" s="315" t="s">
        <v>78</v>
      </c>
      <c r="BR53" s="315"/>
      <c r="BS53" s="315"/>
      <c r="BT53" s="315"/>
      <c r="BU53" s="315"/>
      <c r="BV53" s="173"/>
      <c r="BX53" s="298" t="s">
        <v>79</v>
      </c>
      <c r="BY53" s="294" t="s">
        <v>114</v>
      </c>
      <c r="BZ53" s="294" t="s">
        <v>80</v>
      </c>
      <c r="CA53" s="300" t="s">
        <v>81</v>
      </c>
      <c r="CB53" s="296" t="s">
        <v>82</v>
      </c>
      <c r="CC53" s="3"/>
      <c r="CD53" s="298" t="s">
        <v>79</v>
      </c>
      <c r="CE53" s="294" t="s">
        <v>114</v>
      </c>
      <c r="CF53" s="294" t="s">
        <v>80</v>
      </c>
      <c r="CG53" s="300" t="s">
        <v>81</v>
      </c>
      <c r="CH53" s="296" t="s">
        <v>82</v>
      </c>
      <c r="CI53" s="3"/>
      <c r="CJ53" s="298" t="s">
        <v>79</v>
      </c>
      <c r="CK53" s="294" t="s">
        <v>114</v>
      </c>
      <c r="CL53" s="294" t="s">
        <v>80</v>
      </c>
      <c r="CM53" s="300" t="s">
        <v>81</v>
      </c>
      <c r="CN53" s="296" t="s">
        <v>82</v>
      </c>
      <c r="CO53" s="3"/>
      <c r="CP53" s="298" t="s">
        <v>79</v>
      </c>
      <c r="CQ53" s="294" t="s">
        <v>114</v>
      </c>
      <c r="CR53" s="294" t="s">
        <v>80</v>
      </c>
      <c r="CS53" s="300" t="s">
        <v>81</v>
      </c>
      <c r="CT53" s="296" t="s">
        <v>82</v>
      </c>
      <c r="CU53" s="8"/>
      <c r="CV53" s="119" t="s">
        <v>83</v>
      </c>
      <c r="CW53" s="101" t="s">
        <v>84</v>
      </c>
      <c r="CX53" s="121" t="s">
        <v>85</v>
      </c>
      <c r="CY53" s="298" t="s">
        <v>86</v>
      </c>
      <c r="CZ53" s="387"/>
      <c r="DA53" s="8"/>
      <c r="DB53" s="417"/>
      <c r="DC53" s="418"/>
      <c r="DD53" s="431"/>
      <c r="DE53" s="431"/>
    </row>
    <row r="54" spans="1:109" s="174" customFormat="1" ht="18" customHeight="1" thickBot="1">
      <c r="A54" s="173"/>
      <c r="B54" s="170"/>
      <c r="C54" s="139"/>
      <c r="D54" s="139"/>
      <c r="E54" s="139"/>
      <c r="F54" s="315"/>
      <c r="G54" s="315"/>
      <c r="H54" s="315"/>
      <c r="I54" s="315"/>
      <c r="J54" s="315"/>
      <c r="K54" s="315"/>
      <c r="L54" s="315"/>
      <c r="M54" s="315"/>
      <c r="N54" s="315"/>
      <c r="O54" s="315"/>
      <c r="P54" s="315"/>
      <c r="Q54" s="315"/>
      <c r="R54" s="315"/>
      <c r="S54" s="315"/>
      <c r="T54" s="315"/>
      <c r="U54" s="315"/>
      <c r="V54" s="315"/>
      <c r="W54" s="315"/>
      <c r="X54" s="315">
        <v>1</v>
      </c>
      <c r="Y54" s="315"/>
      <c r="Z54" s="315"/>
      <c r="AA54" s="315"/>
      <c r="AB54" s="315"/>
      <c r="AC54" s="315">
        <v>2</v>
      </c>
      <c r="AD54" s="315"/>
      <c r="AE54" s="315"/>
      <c r="AF54" s="315"/>
      <c r="AG54" s="315"/>
      <c r="AH54" s="315">
        <v>3</v>
      </c>
      <c r="AI54" s="315"/>
      <c r="AJ54" s="315"/>
      <c r="AK54" s="315"/>
      <c r="AL54" s="315"/>
      <c r="AM54" s="315"/>
      <c r="AN54" s="315"/>
      <c r="AO54" s="315"/>
      <c r="AP54" s="315"/>
      <c r="AQ54" s="315"/>
      <c r="AR54" s="315"/>
      <c r="AS54" s="315"/>
      <c r="AT54" s="315"/>
      <c r="AU54" s="315"/>
      <c r="AV54" s="315"/>
      <c r="AW54" s="139"/>
      <c r="AX54" s="139"/>
      <c r="AY54" s="139"/>
      <c r="AZ54" s="172"/>
      <c r="BA54" s="173"/>
      <c r="BB54" s="315"/>
      <c r="BC54" s="315"/>
      <c r="BD54" s="315"/>
      <c r="BE54" s="315"/>
      <c r="BF54" s="315"/>
      <c r="BG54" s="315"/>
      <c r="BH54" s="315"/>
      <c r="BI54" s="315"/>
      <c r="BJ54" s="315"/>
      <c r="BK54" s="315"/>
      <c r="BL54" s="315"/>
      <c r="BM54" s="315"/>
      <c r="BN54" s="315"/>
      <c r="BO54" s="315"/>
      <c r="BP54" s="315"/>
      <c r="BQ54" s="315"/>
      <c r="BR54" s="315"/>
      <c r="BS54" s="315"/>
      <c r="BT54" s="315"/>
      <c r="BU54" s="315"/>
      <c r="BV54" s="173"/>
      <c r="BX54" s="299"/>
      <c r="BY54" s="295"/>
      <c r="BZ54" s="295"/>
      <c r="CA54" s="301"/>
      <c r="CB54" s="297"/>
      <c r="CC54" s="3"/>
      <c r="CD54" s="299"/>
      <c r="CE54" s="295"/>
      <c r="CF54" s="295"/>
      <c r="CG54" s="301"/>
      <c r="CH54" s="297"/>
      <c r="CI54" s="3"/>
      <c r="CJ54" s="299"/>
      <c r="CK54" s="295"/>
      <c r="CL54" s="295"/>
      <c r="CM54" s="301"/>
      <c r="CN54" s="297"/>
      <c r="CO54" s="3"/>
      <c r="CP54" s="299"/>
      <c r="CQ54" s="295"/>
      <c r="CR54" s="295"/>
      <c r="CS54" s="301"/>
      <c r="CT54" s="297"/>
      <c r="CU54" s="8"/>
      <c r="CV54" s="120" t="s">
        <v>87</v>
      </c>
      <c r="CW54" s="102" t="s">
        <v>88</v>
      </c>
      <c r="CX54" s="122" t="s">
        <v>89</v>
      </c>
      <c r="CY54" s="299" t="s">
        <v>90</v>
      </c>
      <c r="CZ54" s="388"/>
      <c r="DA54" s="8"/>
      <c r="DB54" s="417"/>
      <c r="DC54" s="418"/>
      <c r="DD54" s="431"/>
      <c r="DE54" s="431"/>
    </row>
    <row r="55" spans="1:109" s="174" customFormat="1" ht="18" customHeight="1">
      <c r="A55" s="173"/>
      <c r="B55" s="170"/>
      <c r="C55" s="139"/>
      <c r="D55" s="139"/>
      <c r="E55" s="139"/>
      <c r="F55" s="302" t="s">
        <v>134</v>
      </c>
      <c r="G55" s="303"/>
      <c r="H55" s="303"/>
      <c r="I55" s="303"/>
      <c r="J55" s="303"/>
      <c r="K55" s="304"/>
      <c r="L55" s="319">
        <v>60</v>
      </c>
      <c r="M55" s="320"/>
      <c r="N55" s="320"/>
      <c r="O55" s="320"/>
      <c r="P55" s="321" t="s">
        <v>91</v>
      </c>
      <c r="Q55" s="321"/>
      <c r="R55" s="322"/>
      <c r="S55" s="323"/>
      <c r="T55" s="323"/>
      <c r="U55" s="323"/>
      <c r="V55" s="323"/>
      <c r="W55" s="323"/>
      <c r="X55" s="316">
        <v>60</v>
      </c>
      <c r="Y55" s="316"/>
      <c r="Z55" s="316"/>
      <c r="AA55" s="316"/>
      <c r="AB55" s="316"/>
      <c r="AC55" s="405">
        <v>60</v>
      </c>
      <c r="AD55" s="406"/>
      <c r="AE55" s="406"/>
      <c r="AF55" s="406"/>
      <c r="AG55" s="407"/>
      <c r="AH55" s="405">
        <v>60</v>
      </c>
      <c r="AI55" s="406"/>
      <c r="AJ55" s="406"/>
      <c r="AK55" s="406"/>
      <c r="AL55" s="407"/>
      <c r="AM55" s="316">
        <f t="shared" ref="AM55:AM68" si="0">AVERAGE(X55:AL55)</f>
        <v>60</v>
      </c>
      <c r="AN55" s="316"/>
      <c r="AO55" s="316"/>
      <c r="AP55" s="316"/>
      <c r="AQ55" s="316"/>
      <c r="AR55" s="316">
        <f>AM55-L55</f>
        <v>0</v>
      </c>
      <c r="AS55" s="316"/>
      <c r="AT55" s="316"/>
      <c r="AU55" s="316"/>
      <c r="AV55" s="316"/>
      <c r="AW55" s="139"/>
      <c r="AX55" s="139"/>
      <c r="AY55" s="139"/>
      <c r="AZ55" s="172"/>
      <c r="BA55" s="173"/>
      <c r="BB55" s="318">
        <f>ABS(AM55*0.1%)+(1*CK55)</f>
        <v>0.16</v>
      </c>
      <c r="BC55" s="318"/>
      <c r="BD55" s="318"/>
      <c r="BE55" s="318"/>
      <c r="BF55" s="318"/>
      <c r="BG55" s="318">
        <f>L55+BB55</f>
        <v>60.16</v>
      </c>
      <c r="BH55" s="318"/>
      <c r="BI55" s="318"/>
      <c r="BJ55" s="318"/>
      <c r="BK55" s="318"/>
      <c r="BL55" s="318">
        <f>L55-BB55</f>
        <v>59.84</v>
      </c>
      <c r="BM55" s="318"/>
      <c r="BN55" s="318"/>
      <c r="BO55" s="318"/>
      <c r="BP55" s="318"/>
      <c r="BQ55" s="324" t="str">
        <f>IF(AND(AM55&lt;=BG55,AM55&gt;=BL55),"PASS","FAIL")</f>
        <v>PASS</v>
      </c>
      <c r="BR55" s="324"/>
      <c r="BS55" s="324"/>
      <c r="BT55" s="324"/>
      <c r="BU55" s="324"/>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05"/>
      <c r="G56" s="306"/>
      <c r="H56" s="306"/>
      <c r="I56" s="306"/>
      <c r="J56" s="306"/>
      <c r="K56" s="307"/>
      <c r="L56" s="319">
        <f>600*90%</f>
        <v>540</v>
      </c>
      <c r="M56" s="320"/>
      <c r="N56" s="320"/>
      <c r="O56" s="320"/>
      <c r="P56" s="321" t="s">
        <v>91</v>
      </c>
      <c r="Q56" s="321"/>
      <c r="R56" s="322"/>
      <c r="S56" s="323" t="s">
        <v>56</v>
      </c>
      <c r="T56" s="323"/>
      <c r="U56" s="323"/>
      <c r="V56" s="323"/>
      <c r="W56" s="323"/>
      <c r="X56" s="316">
        <v>540</v>
      </c>
      <c r="Y56" s="316"/>
      <c r="Z56" s="316"/>
      <c r="AA56" s="316"/>
      <c r="AB56" s="316"/>
      <c r="AC56" s="316">
        <v>540</v>
      </c>
      <c r="AD56" s="316"/>
      <c r="AE56" s="316"/>
      <c r="AF56" s="316"/>
      <c r="AG56" s="316"/>
      <c r="AH56" s="316">
        <v>540</v>
      </c>
      <c r="AI56" s="316"/>
      <c r="AJ56" s="316"/>
      <c r="AK56" s="316"/>
      <c r="AL56" s="316"/>
      <c r="AM56" s="405">
        <f t="shared" si="0"/>
        <v>540</v>
      </c>
      <c r="AN56" s="406"/>
      <c r="AO56" s="406"/>
      <c r="AP56" s="406"/>
      <c r="AQ56" s="407"/>
      <c r="AR56" s="405">
        <f t="shared" ref="AR56:AR68" si="4">AM56-L56</f>
        <v>0</v>
      </c>
      <c r="AS56" s="406"/>
      <c r="AT56" s="406"/>
      <c r="AU56" s="406"/>
      <c r="AV56" s="407"/>
      <c r="AW56" s="139"/>
      <c r="AX56" s="139"/>
      <c r="AY56" s="139"/>
      <c r="AZ56" s="172"/>
      <c r="BA56" s="173"/>
      <c r="BB56" s="391">
        <f t="shared" ref="BB56:BB71" si="5">ABS(AM56*0.1%)+(1*CK56)</f>
        <v>0.64</v>
      </c>
      <c r="BC56" s="392"/>
      <c r="BD56" s="392"/>
      <c r="BE56" s="392"/>
      <c r="BF56" s="393"/>
      <c r="BG56" s="391">
        <f t="shared" ref="BG56:BG71" si="6">L56+BB56</f>
        <v>540.64</v>
      </c>
      <c r="BH56" s="392"/>
      <c r="BI56" s="392"/>
      <c r="BJ56" s="392"/>
      <c r="BK56" s="393"/>
      <c r="BL56" s="391">
        <f t="shared" ref="BL56:BL71" si="7">L56-BB56</f>
        <v>539.36</v>
      </c>
      <c r="BM56" s="392"/>
      <c r="BN56" s="392"/>
      <c r="BO56" s="392"/>
      <c r="BP56" s="393"/>
      <c r="BQ56" s="324" t="str">
        <f t="shared" ref="BQ56:BQ68" si="8">IF(AND(AM56&lt;=BG56,AM56&gt;=BL56),"PASS","FAIL")</f>
        <v>PASS</v>
      </c>
      <c r="BR56" s="324"/>
      <c r="BS56" s="324"/>
      <c r="BT56" s="324"/>
      <c r="BU56" s="324"/>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08"/>
      <c r="G57" s="309"/>
      <c r="H57" s="309"/>
      <c r="I57" s="309"/>
      <c r="J57" s="309"/>
      <c r="K57" s="310"/>
      <c r="L57" s="319">
        <f>600*-90%</f>
        <v>-540</v>
      </c>
      <c r="M57" s="320"/>
      <c r="N57" s="320"/>
      <c r="O57" s="320"/>
      <c r="P57" s="321" t="s">
        <v>91</v>
      </c>
      <c r="Q57" s="321"/>
      <c r="R57" s="322"/>
      <c r="S57" s="323" t="s">
        <v>56</v>
      </c>
      <c r="T57" s="323"/>
      <c r="U57" s="323"/>
      <c r="V57" s="323"/>
      <c r="W57" s="323"/>
      <c r="X57" s="316">
        <v>-540</v>
      </c>
      <c r="Y57" s="316"/>
      <c r="Z57" s="316"/>
      <c r="AA57" s="316"/>
      <c r="AB57" s="316"/>
      <c r="AC57" s="316">
        <v>-540</v>
      </c>
      <c r="AD57" s="316"/>
      <c r="AE57" s="316"/>
      <c r="AF57" s="316"/>
      <c r="AG57" s="316"/>
      <c r="AH57" s="316">
        <v>-540</v>
      </c>
      <c r="AI57" s="316"/>
      <c r="AJ57" s="316"/>
      <c r="AK57" s="316"/>
      <c r="AL57" s="316"/>
      <c r="AM57" s="316">
        <f t="shared" si="0"/>
        <v>-540</v>
      </c>
      <c r="AN57" s="316"/>
      <c r="AO57" s="316"/>
      <c r="AP57" s="316"/>
      <c r="AQ57" s="316"/>
      <c r="AR57" s="316">
        <f t="shared" si="4"/>
        <v>0</v>
      </c>
      <c r="AS57" s="316"/>
      <c r="AT57" s="316"/>
      <c r="AU57" s="316"/>
      <c r="AV57" s="316"/>
      <c r="AW57" s="139"/>
      <c r="AX57" s="139"/>
      <c r="AY57" s="139"/>
      <c r="AZ57" s="172"/>
      <c r="BA57" s="173"/>
      <c r="BB57" s="391">
        <f t="shared" si="5"/>
        <v>0.64</v>
      </c>
      <c r="BC57" s="392"/>
      <c r="BD57" s="392"/>
      <c r="BE57" s="392"/>
      <c r="BF57" s="393"/>
      <c r="BG57" s="391">
        <f t="shared" si="6"/>
        <v>-539.36</v>
      </c>
      <c r="BH57" s="392"/>
      <c r="BI57" s="392"/>
      <c r="BJ57" s="392"/>
      <c r="BK57" s="393"/>
      <c r="BL57" s="391">
        <f t="shared" si="7"/>
        <v>-540.64</v>
      </c>
      <c r="BM57" s="392"/>
      <c r="BN57" s="392"/>
      <c r="BO57" s="392"/>
      <c r="BP57" s="393"/>
      <c r="BQ57" s="324" t="str">
        <f t="shared" si="8"/>
        <v>PASS</v>
      </c>
      <c r="BR57" s="324"/>
      <c r="BS57" s="324"/>
      <c r="BT57" s="324"/>
      <c r="BU57" s="324"/>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02" t="s">
        <v>135</v>
      </c>
      <c r="G58" s="303"/>
      <c r="H58" s="303"/>
      <c r="I58" s="303"/>
      <c r="J58" s="303"/>
      <c r="K58" s="304"/>
      <c r="L58" s="319">
        <f>6*10%</f>
        <v>0.60000000000000009</v>
      </c>
      <c r="M58" s="320"/>
      <c r="N58" s="320"/>
      <c r="O58" s="320"/>
      <c r="P58" s="321" t="s">
        <v>93</v>
      </c>
      <c r="Q58" s="321"/>
      <c r="R58" s="322"/>
      <c r="S58" s="323" t="s">
        <v>56</v>
      </c>
      <c r="T58" s="323"/>
      <c r="U58" s="323"/>
      <c r="V58" s="323"/>
      <c r="W58" s="323"/>
      <c r="X58" s="316">
        <v>0.6</v>
      </c>
      <c r="Y58" s="316"/>
      <c r="Z58" s="316"/>
      <c r="AA58" s="316"/>
      <c r="AB58" s="316"/>
      <c r="AC58" s="316">
        <v>0.6</v>
      </c>
      <c r="AD58" s="316"/>
      <c r="AE58" s="316"/>
      <c r="AF58" s="316"/>
      <c r="AG58" s="316"/>
      <c r="AH58" s="316">
        <v>0.6</v>
      </c>
      <c r="AI58" s="316"/>
      <c r="AJ58" s="316"/>
      <c r="AK58" s="316"/>
      <c r="AL58" s="316"/>
      <c r="AM58" s="317">
        <f t="shared" si="0"/>
        <v>0.6</v>
      </c>
      <c r="AN58" s="317"/>
      <c r="AO58" s="317"/>
      <c r="AP58" s="317"/>
      <c r="AQ58" s="317"/>
      <c r="AR58" s="317">
        <f t="shared" si="4"/>
        <v>0</v>
      </c>
      <c r="AS58" s="317"/>
      <c r="AT58" s="317"/>
      <c r="AU58" s="317"/>
      <c r="AV58" s="317"/>
      <c r="AW58" s="139"/>
      <c r="AX58" s="139"/>
      <c r="AY58" s="139"/>
      <c r="AZ58" s="172"/>
      <c r="BA58" s="173"/>
      <c r="BB58" s="391">
        <f t="shared" si="5"/>
        <v>1.5999999999999999E-3</v>
      </c>
      <c r="BC58" s="392"/>
      <c r="BD58" s="392"/>
      <c r="BE58" s="392"/>
      <c r="BF58" s="393"/>
      <c r="BG58" s="391">
        <f t="shared" si="6"/>
        <v>0.60160000000000013</v>
      </c>
      <c r="BH58" s="392"/>
      <c r="BI58" s="392"/>
      <c r="BJ58" s="392"/>
      <c r="BK58" s="393"/>
      <c r="BL58" s="391">
        <f t="shared" si="7"/>
        <v>0.59840000000000004</v>
      </c>
      <c r="BM58" s="392"/>
      <c r="BN58" s="392"/>
      <c r="BO58" s="392"/>
      <c r="BP58" s="393"/>
      <c r="BQ58" s="324" t="str">
        <f t="shared" si="8"/>
        <v>PASS</v>
      </c>
      <c r="BR58" s="324"/>
      <c r="BS58" s="324"/>
      <c r="BT58" s="324"/>
      <c r="BU58" s="324"/>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05"/>
      <c r="G59" s="306"/>
      <c r="H59" s="306"/>
      <c r="I59" s="306"/>
      <c r="J59" s="306"/>
      <c r="K59" s="307"/>
      <c r="L59" s="319">
        <f>6*90%</f>
        <v>5.4</v>
      </c>
      <c r="M59" s="320"/>
      <c r="N59" s="320"/>
      <c r="O59" s="320"/>
      <c r="P59" s="321" t="s">
        <v>93</v>
      </c>
      <c r="Q59" s="321"/>
      <c r="R59" s="322"/>
      <c r="S59" s="323" t="s">
        <v>56</v>
      </c>
      <c r="T59" s="323"/>
      <c r="U59" s="323"/>
      <c r="V59" s="323"/>
      <c r="W59" s="323"/>
      <c r="X59" s="316">
        <v>5.4</v>
      </c>
      <c r="Y59" s="316"/>
      <c r="Z59" s="316"/>
      <c r="AA59" s="316"/>
      <c r="AB59" s="316"/>
      <c r="AC59" s="316">
        <v>5.4</v>
      </c>
      <c r="AD59" s="316"/>
      <c r="AE59" s="316"/>
      <c r="AF59" s="316"/>
      <c r="AG59" s="316"/>
      <c r="AH59" s="316">
        <v>5.4</v>
      </c>
      <c r="AI59" s="316"/>
      <c r="AJ59" s="316"/>
      <c r="AK59" s="316"/>
      <c r="AL59" s="316"/>
      <c r="AM59" s="317">
        <f t="shared" si="0"/>
        <v>5.4000000000000012</v>
      </c>
      <c r="AN59" s="317"/>
      <c r="AO59" s="317"/>
      <c r="AP59" s="317"/>
      <c r="AQ59" s="317"/>
      <c r="AR59" s="317">
        <f t="shared" si="4"/>
        <v>0</v>
      </c>
      <c r="AS59" s="317"/>
      <c r="AT59" s="317"/>
      <c r="AU59" s="317"/>
      <c r="AV59" s="317"/>
      <c r="AW59" s="139"/>
      <c r="AX59" s="139"/>
      <c r="AY59" s="139"/>
      <c r="AZ59" s="172"/>
      <c r="BA59" s="173"/>
      <c r="BB59" s="391">
        <f t="shared" si="5"/>
        <v>6.4000000000000012E-3</v>
      </c>
      <c r="BC59" s="392"/>
      <c r="BD59" s="392"/>
      <c r="BE59" s="392"/>
      <c r="BF59" s="393"/>
      <c r="BG59" s="391">
        <f t="shared" si="6"/>
        <v>5.4064000000000005</v>
      </c>
      <c r="BH59" s="392"/>
      <c r="BI59" s="392"/>
      <c r="BJ59" s="392"/>
      <c r="BK59" s="393"/>
      <c r="BL59" s="391">
        <f t="shared" si="7"/>
        <v>5.3936000000000002</v>
      </c>
      <c r="BM59" s="392"/>
      <c r="BN59" s="392"/>
      <c r="BO59" s="392"/>
      <c r="BP59" s="393"/>
      <c r="BQ59" s="324" t="str">
        <f t="shared" si="8"/>
        <v>PASS</v>
      </c>
      <c r="BR59" s="324"/>
      <c r="BS59" s="324"/>
      <c r="BT59" s="324"/>
      <c r="BU59" s="324"/>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08"/>
      <c r="G60" s="309"/>
      <c r="H60" s="309"/>
      <c r="I60" s="309"/>
      <c r="J60" s="309"/>
      <c r="K60" s="310"/>
      <c r="L60" s="319">
        <f>6*-90%</f>
        <v>-5.4</v>
      </c>
      <c r="M60" s="320"/>
      <c r="N60" s="320"/>
      <c r="O60" s="320"/>
      <c r="P60" s="321" t="s">
        <v>93</v>
      </c>
      <c r="Q60" s="321"/>
      <c r="R60" s="322"/>
      <c r="S60" s="323" t="s">
        <v>56</v>
      </c>
      <c r="T60" s="323"/>
      <c r="U60" s="323"/>
      <c r="V60" s="323"/>
      <c r="W60" s="323"/>
      <c r="X60" s="316">
        <v>-5.4</v>
      </c>
      <c r="Y60" s="316"/>
      <c r="Z60" s="316"/>
      <c r="AA60" s="316"/>
      <c r="AB60" s="316"/>
      <c r="AC60" s="316">
        <v>-5.4</v>
      </c>
      <c r="AD60" s="316"/>
      <c r="AE60" s="316"/>
      <c r="AF60" s="316"/>
      <c r="AG60" s="316"/>
      <c r="AH60" s="316">
        <v>-5.4</v>
      </c>
      <c r="AI60" s="316"/>
      <c r="AJ60" s="316"/>
      <c r="AK60" s="316"/>
      <c r="AL60" s="316"/>
      <c r="AM60" s="394">
        <f t="shared" si="0"/>
        <v>-5.4000000000000012</v>
      </c>
      <c r="AN60" s="395"/>
      <c r="AO60" s="395"/>
      <c r="AP60" s="395"/>
      <c r="AQ60" s="396"/>
      <c r="AR60" s="317">
        <f t="shared" si="4"/>
        <v>0</v>
      </c>
      <c r="AS60" s="317"/>
      <c r="AT60" s="317"/>
      <c r="AU60" s="317"/>
      <c r="AV60" s="317"/>
      <c r="AW60" s="139"/>
      <c r="AX60" s="139"/>
      <c r="AY60" s="139"/>
      <c r="AZ60" s="172"/>
      <c r="BA60" s="173"/>
      <c r="BB60" s="391">
        <f t="shared" si="5"/>
        <v>6.4000000000000012E-3</v>
      </c>
      <c r="BC60" s="392"/>
      <c r="BD60" s="392"/>
      <c r="BE60" s="392"/>
      <c r="BF60" s="393"/>
      <c r="BG60" s="391">
        <f t="shared" si="6"/>
        <v>-5.3936000000000002</v>
      </c>
      <c r="BH60" s="392"/>
      <c r="BI60" s="392"/>
      <c r="BJ60" s="392"/>
      <c r="BK60" s="393"/>
      <c r="BL60" s="391">
        <f t="shared" si="7"/>
        <v>-5.4064000000000005</v>
      </c>
      <c r="BM60" s="392"/>
      <c r="BN60" s="392"/>
      <c r="BO60" s="392"/>
      <c r="BP60" s="393"/>
      <c r="BQ60" s="324" t="str">
        <f t="shared" si="8"/>
        <v>PASS</v>
      </c>
      <c r="BR60" s="324"/>
      <c r="BS60" s="324"/>
      <c r="BT60" s="324"/>
      <c r="BU60" s="324"/>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02" t="s">
        <v>136</v>
      </c>
      <c r="G61" s="303"/>
      <c r="H61" s="303"/>
      <c r="I61" s="303"/>
      <c r="J61" s="303"/>
      <c r="K61" s="304"/>
      <c r="L61" s="319">
        <f>60*10%</f>
        <v>6</v>
      </c>
      <c r="M61" s="320"/>
      <c r="N61" s="320"/>
      <c r="O61" s="320"/>
      <c r="P61" s="321" t="s">
        <v>93</v>
      </c>
      <c r="Q61" s="321"/>
      <c r="R61" s="322"/>
      <c r="S61" s="323" t="s">
        <v>56</v>
      </c>
      <c r="T61" s="323"/>
      <c r="U61" s="323"/>
      <c r="V61" s="323"/>
      <c r="W61" s="323"/>
      <c r="X61" s="316">
        <v>6</v>
      </c>
      <c r="Y61" s="316"/>
      <c r="Z61" s="316"/>
      <c r="AA61" s="316"/>
      <c r="AB61" s="316"/>
      <c r="AC61" s="316">
        <v>6</v>
      </c>
      <c r="AD61" s="316"/>
      <c r="AE61" s="316"/>
      <c r="AF61" s="316"/>
      <c r="AG61" s="316"/>
      <c r="AH61" s="316">
        <v>6</v>
      </c>
      <c r="AI61" s="316"/>
      <c r="AJ61" s="316"/>
      <c r="AK61" s="316"/>
      <c r="AL61" s="316"/>
      <c r="AM61" s="318">
        <f t="shared" si="0"/>
        <v>6</v>
      </c>
      <c r="AN61" s="318"/>
      <c r="AO61" s="318"/>
      <c r="AP61" s="318"/>
      <c r="AQ61" s="318"/>
      <c r="AR61" s="318">
        <f t="shared" si="4"/>
        <v>0</v>
      </c>
      <c r="AS61" s="318"/>
      <c r="AT61" s="318"/>
      <c r="AU61" s="318"/>
      <c r="AV61" s="318"/>
      <c r="AW61" s="139"/>
      <c r="AX61" s="139"/>
      <c r="AY61" s="139"/>
      <c r="AZ61" s="172"/>
      <c r="BA61" s="173"/>
      <c r="BB61" s="391">
        <f t="shared" si="5"/>
        <v>1.6E-2</v>
      </c>
      <c r="BC61" s="392"/>
      <c r="BD61" s="392"/>
      <c r="BE61" s="392"/>
      <c r="BF61" s="393"/>
      <c r="BG61" s="391">
        <f t="shared" si="6"/>
        <v>6.016</v>
      </c>
      <c r="BH61" s="392"/>
      <c r="BI61" s="392"/>
      <c r="BJ61" s="392"/>
      <c r="BK61" s="393"/>
      <c r="BL61" s="391">
        <f t="shared" si="7"/>
        <v>5.984</v>
      </c>
      <c r="BM61" s="392"/>
      <c r="BN61" s="392"/>
      <c r="BO61" s="392"/>
      <c r="BP61" s="393"/>
      <c r="BQ61" s="324" t="str">
        <f t="shared" si="8"/>
        <v>PASS</v>
      </c>
      <c r="BR61" s="324"/>
      <c r="BS61" s="324"/>
      <c r="BT61" s="324"/>
      <c r="BU61" s="324"/>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05"/>
      <c r="G62" s="306"/>
      <c r="H62" s="306"/>
      <c r="I62" s="306"/>
      <c r="J62" s="306"/>
      <c r="K62" s="307"/>
      <c r="L62" s="319">
        <f>60*50%</f>
        <v>30</v>
      </c>
      <c r="M62" s="320"/>
      <c r="N62" s="320"/>
      <c r="O62" s="320"/>
      <c r="P62" s="321" t="s">
        <v>93</v>
      </c>
      <c r="Q62" s="321"/>
      <c r="R62" s="322"/>
      <c r="S62" s="323" t="s">
        <v>56</v>
      </c>
      <c r="T62" s="323"/>
      <c r="U62" s="323"/>
      <c r="V62" s="323"/>
      <c r="W62" s="323"/>
      <c r="X62" s="316">
        <v>30</v>
      </c>
      <c r="Y62" s="316"/>
      <c r="Z62" s="316"/>
      <c r="AA62" s="316"/>
      <c r="AB62" s="316"/>
      <c r="AC62" s="316">
        <v>30</v>
      </c>
      <c r="AD62" s="316"/>
      <c r="AE62" s="316"/>
      <c r="AF62" s="316"/>
      <c r="AG62" s="316"/>
      <c r="AH62" s="316">
        <v>30</v>
      </c>
      <c r="AI62" s="316"/>
      <c r="AJ62" s="316"/>
      <c r="AK62" s="316"/>
      <c r="AL62" s="316"/>
      <c r="AM62" s="318">
        <f t="shared" si="0"/>
        <v>30</v>
      </c>
      <c r="AN62" s="318"/>
      <c r="AO62" s="318"/>
      <c r="AP62" s="318"/>
      <c r="AQ62" s="318"/>
      <c r="AR62" s="318">
        <f t="shared" si="4"/>
        <v>0</v>
      </c>
      <c r="AS62" s="318"/>
      <c r="AT62" s="318"/>
      <c r="AU62" s="318"/>
      <c r="AV62" s="318"/>
      <c r="AW62" s="139"/>
      <c r="AX62" s="139"/>
      <c r="AY62" s="139"/>
      <c r="AZ62" s="172"/>
      <c r="BA62" s="173"/>
      <c r="BB62" s="391">
        <f t="shared" si="5"/>
        <v>0.04</v>
      </c>
      <c r="BC62" s="392"/>
      <c r="BD62" s="392"/>
      <c r="BE62" s="392"/>
      <c r="BF62" s="393"/>
      <c r="BG62" s="391">
        <f t="shared" si="6"/>
        <v>30.04</v>
      </c>
      <c r="BH62" s="392"/>
      <c r="BI62" s="392"/>
      <c r="BJ62" s="392"/>
      <c r="BK62" s="393"/>
      <c r="BL62" s="391">
        <f t="shared" si="7"/>
        <v>29.96</v>
      </c>
      <c r="BM62" s="392"/>
      <c r="BN62" s="392"/>
      <c r="BO62" s="392"/>
      <c r="BP62" s="393"/>
      <c r="BQ62" s="324" t="str">
        <f t="shared" si="8"/>
        <v>PASS</v>
      </c>
      <c r="BR62" s="324"/>
      <c r="BS62" s="324"/>
      <c r="BT62" s="324"/>
      <c r="BU62" s="324"/>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05"/>
      <c r="G63" s="306"/>
      <c r="H63" s="306"/>
      <c r="I63" s="306"/>
      <c r="J63" s="306"/>
      <c r="K63" s="307"/>
      <c r="L63" s="319">
        <f>60*90%</f>
        <v>54</v>
      </c>
      <c r="M63" s="320"/>
      <c r="N63" s="320"/>
      <c r="O63" s="320"/>
      <c r="P63" s="321" t="s">
        <v>93</v>
      </c>
      <c r="Q63" s="321"/>
      <c r="R63" s="322"/>
      <c r="S63" s="323" t="s">
        <v>56</v>
      </c>
      <c r="T63" s="323"/>
      <c r="U63" s="323"/>
      <c r="V63" s="323"/>
      <c r="W63" s="323"/>
      <c r="X63" s="316">
        <v>54</v>
      </c>
      <c r="Y63" s="316"/>
      <c r="Z63" s="316"/>
      <c r="AA63" s="316"/>
      <c r="AB63" s="316"/>
      <c r="AC63" s="316">
        <v>54</v>
      </c>
      <c r="AD63" s="316"/>
      <c r="AE63" s="316"/>
      <c r="AF63" s="316"/>
      <c r="AG63" s="316"/>
      <c r="AH63" s="316">
        <v>54</v>
      </c>
      <c r="AI63" s="316"/>
      <c r="AJ63" s="316"/>
      <c r="AK63" s="316"/>
      <c r="AL63" s="316"/>
      <c r="AM63" s="318">
        <f t="shared" si="0"/>
        <v>54</v>
      </c>
      <c r="AN63" s="318"/>
      <c r="AO63" s="318"/>
      <c r="AP63" s="318"/>
      <c r="AQ63" s="318"/>
      <c r="AR63" s="318">
        <f t="shared" si="4"/>
        <v>0</v>
      </c>
      <c r="AS63" s="318"/>
      <c r="AT63" s="318"/>
      <c r="AU63" s="318"/>
      <c r="AV63" s="318"/>
      <c r="AW63" s="139"/>
      <c r="AX63" s="139"/>
      <c r="AY63" s="139"/>
      <c r="AZ63" s="172"/>
      <c r="BA63" s="173"/>
      <c r="BB63" s="391">
        <f t="shared" si="5"/>
        <v>6.4000000000000001E-2</v>
      </c>
      <c r="BC63" s="392"/>
      <c r="BD63" s="392"/>
      <c r="BE63" s="392"/>
      <c r="BF63" s="393"/>
      <c r="BG63" s="391">
        <f t="shared" si="6"/>
        <v>54.064</v>
      </c>
      <c r="BH63" s="392"/>
      <c r="BI63" s="392"/>
      <c r="BJ63" s="392"/>
      <c r="BK63" s="393"/>
      <c r="BL63" s="391">
        <f t="shared" si="7"/>
        <v>53.936</v>
      </c>
      <c r="BM63" s="392"/>
      <c r="BN63" s="392"/>
      <c r="BO63" s="392"/>
      <c r="BP63" s="393"/>
      <c r="BQ63" s="324" t="str">
        <f t="shared" si="8"/>
        <v>PASS</v>
      </c>
      <c r="BR63" s="324"/>
      <c r="BS63" s="324"/>
      <c r="BT63" s="324"/>
      <c r="BU63" s="324"/>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05"/>
      <c r="G64" s="306"/>
      <c r="H64" s="306"/>
      <c r="I64" s="306"/>
      <c r="J64" s="306"/>
      <c r="K64" s="307"/>
      <c r="L64" s="319">
        <f>60*-10%</f>
        <v>-6</v>
      </c>
      <c r="M64" s="320"/>
      <c r="N64" s="320"/>
      <c r="O64" s="320"/>
      <c r="P64" s="321" t="s">
        <v>93</v>
      </c>
      <c r="Q64" s="321"/>
      <c r="R64" s="322"/>
      <c r="S64" s="323" t="s">
        <v>56</v>
      </c>
      <c r="T64" s="323"/>
      <c r="U64" s="323"/>
      <c r="V64" s="323"/>
      <c r="W64" s="323"/>
      <c r="X64" s="316">
        <v>-6</v>
      </c>
      <c r="Y64" s="316"/>
      <c r="Z64" s="316"/>
      <c r="AA64" s="316"/>
      <c r="AB64" s="316"/>
      <c r="AC64" s="316">
        <v>-6</v>
      </c>
      <c r="AD64" s="316"/>
      <c r="AE64" s="316"/>
      <c r="AF64" s="316"/>
      <c r="AG64" s="316"/>
      <c r="AH64" s="316">
        <v>-6</v>
      </c>
      <c r="AI64" s="316"/>
      <c r="AJ64" s="316"/>
      <c r="AK64" s="316"/>
      <c r="AL64" s="316"/>
      <c r="AM64" s="318">
        <f t="shared" si="0"/>
        <v>-6</v>
      </c>
      <c r="AN64" s="318"/>
      <c r="AO64" s="318"/>
      <c r="AP64" s="318"/>
      <c r="AQ64" s="318"/>
      <c r="AR64" s="318">
        <f t="shared" si="4"/>
        <v>0</v>
      </c>
      <c r="AS64" s="318"/>
      <c r="AT64" s="318"/>
      <c r="AU64" s="318"/>
      <c r="AV64" s="318"/>
      <c r="AW64" s="139"/>
      <c r="AX64" s="139"/>
      <c r="AY64" s="139"/>
      <c r="AZ64" s="172"/>
      <c r="BA64" s="173"/>
      <c r="BB64" s="391">
        <f t="shared" si="5"/>
        <v>1.6E-2</v>
      </c>
      <c r="BC64" s="392"/>
      <c r="BD64" s="392"/>
      <c r="BE64" s="392"/>
      <c r="BF64" s="393"/>
      <c r="BG64" s="391">
        <f t="shared" si="6"/>
        <v>-5.984</v>
      </c>
      <c r="BH64" s="392"/>
      <c r="BI64" s="392"/>
      <c r="BJ64" s="392"/>
      <c r="BK64" s="393"/>
      <c r="BL64" s="391">
        <f t="shared" si="7"/>
        <v>-6.016</v>
      </c>
      <c r="BM64" s="392"/>
      <c r="BN64" s="392"/>
      <c r="BO64" s="392"/>
      <c r="BP64" s="393"/>
      <c r="BQ64" s="324" t="str">
        <f t="shared" si="8"/>
        <v>PASS</v>
      </c>
      <c r="BR64" s="324"/>
      <c r="BS64" s="324"/>
      <c r="BT64" s="324"/>
      <c r="BU64" s="324"/>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08"/>
      <c r="G65" s="309"/>
      <c r="H65" s="309"/>
      <c r="I65" s="309"/>
      <c r="J65" s="309"/>
      <c r="K65" s="310"/>
      <c r="L65" s="319">
        <f>60*-90%</f>
        <v>-54</v>
      </c>
      <c r="M65" s="320"/>
      <c r="N65" s="320"/>
      <c r="O65" s="320"/>
      <c r="P65" s="321" t="s">
        <v>93</v>
      </c>
      <c r="Q65" s="321"/>
      <c r="R65" s="322"/>
      <c r="S65" s="323" t="s">
        <v>56</v>
      </c>
      <c r="T65" s="323"/>
      <c r="U65" s="323"/>
      <c r="V65" s="323"/>
      <c r="W65" s="323"/>
      <c r="X65" s="316">
        <v>-54</v>
      </c>
      <c r="Y65" s="316"/>
      <c r="Z65" s="316"/>
      <c r="AA65" s="316"/>
      <c r="AB65" s="316"/>
      <c r="AC65" s="316">
        <v>-54</v>
      </c>
      <c r="AD65" s="316"/>
      <c r="AE65" s="316"/>
      <c r="AF65" s="316"/>
      <c r="AG65" s="316"/>
      <c r="AH65" s="316">
        <v>-54</v>
      </c>
      <c r="AI65" s="316"/>
      <c r="AJ65" s="316"/>
      <c r="AK65" s="316"/>
      <c r="AL65" s="316"/>
      <c r="AM65" s="318">
        <f t="shared" si="0"/>
        <v>-54</v>
      </c>
      <c r="AN65" s="318"/>
      <c r="AO65" s="318"/>
      <c r="AP65" s="318"/>
      <c r="AQ65" s="318"/>
      <c r="AR65" s="318">
        <f t="shared" si="4"/>
        <v>0</v>
      </c>
      <c r="AS65" s="318"/>
      <c r="AT65" s="318"/>
      <c r="AU65" s="318"/>
      <c r="AV65" s="318"/>
      <c r="AW65" s="139"/>
      <c r="AX65" s="139"/>
      <c r="AY65" s="139"/>
      <c r="AZ65" s="172"/>
      <c r="BA65" s="173"/>
      <c r="BB65" s="391">
        <f t="shared" si="5"/>
        <v>6.4000000000000001E-2</v>
      </c>
      <c r="BC65" s="392"/>
      <c r="BD65" s="392"/>
      <c r="BE65" s="392"/>
      <c r="BF65" s="393"/>
      <c r="BG65" s="391">
        <f t="shared" si="6"/>
        <v>-53.936</v>
      </c>
      <c r="BH65" s="392"/>
      <c r="BI65" s="392"/>
      <c r="BJ65" s="392"/>
      <c r="BK65" s="393"/>
      <c r="BL65" s="391">
        <f t="shared" si="7"/>
        <v>-54.064</v>
      </c>
      <c r="BM65" s="392"/>
      <c r="BN65" s="392"/>
      <c r="BO65" s="392"/>
      <c r="BP65" s="393"/>
      <c r="BQ65" s="324" t="str">
        <f t="shared" si="8"/>
        <v>PASS</v>
      </c>
      <c r="BR65" s="324"/>
      <c r="BS65" s="324"/>
      <c r="BT65" s="324"/>
      <c r="BU65" s="324"/>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02" t="s">
        <v>94</v>
      </c>
      <c r="G66" s="303"/>
      <c r="H66" s="303"/>
      <c r="I66" s="303"/>
      <c r="J66" s="303"/>
      <c r="K66" s="304"/>
      <c r="L66" s="319">
        <v>60</v>
      </c>
      <c r="M66" s="320"/>
      <c r="N66" s="320"/>
      <c r="O66" s="320"/>
      <c r="P66" s="321" t="s">
        <v>93</v>
      </c>
      <c r="Q66" s="321"/>
      <c r="R66" s="322"/>
      <c r="S66" s="323" t="s">
        <v>56</v>
      </c>
      <c r="T66" s="323"/>
      <c r="U66" s="323"/>
      <c r="V66" s="323"/>
      <c r="W66" s="323"/>
      <c r="X66" s="316">
        <v>60</v>
      </c>
      <c r="Y66" s="316"/>
      <c r="Z66" s="316"/>
      <c r="AA66" s="316"/>
      <c r="AB66" s="316"/>
      <c r="AC66" s="316">
        <v>60</v>
      </c>
      <c r="AD66" s="316"/>
      <c r="AE66" s="316"/>
      <c r="AF66" s="316"/>
      <c r="AG66" s="316"/>
      <c r="AH66" s="316">
        <v>60</v>
      </c>
      <c r="AI66" s="316"/>
      <c r="AJ66" s="316"/>
      <c r="AK66" s="316"/>
      <c r="AL66" s="316"/>
      <c r="AM66" s="316">
        <f t="shared" si="0"/>
        <v>60</v>
      </c>
      <c r="AN66" s="316"/>
      <c r="AO66" s="316"/>
      <c r="AP66" s="316"/>
      <c r="AQ66" s="316"/>
      <c r="AR66" s="316">
        <f t="shared" si="4"/>
        <v>0</v>
      </c>
      <c r="AS66" s="316"/>
      <c r="AT66" s="316"/>
      <c r="AU66" s="316"/>
      <c r="AV66" s="316"/>
      <c r="AW66" s="139"/>
      <c r="AX66" s="139"/>
      <c r="AY66" s="139"/>
      <c r="AZ66" s="172"/>
      <c r="BA66" s="173"/>
      <c r="BB66" s="391">
        <f t="shared" si="5"/>
        <v>0.16</v>
      </c>
      <c r="BC66" s="392"/>
      <c r="BD66" s="392"/>
      <c r="BE66" s="392"/>
      <c r="BF66" s="393"/>
      <c r="BG66" s="391">
        <f t="shared" si="6"/>
        <v>60.16</v>
      </c>
      <c r="BH66" s="392"/>
      <c r="BI66" s="392"/>
      <c r="BJ66" s="392"/>
      <c r="BK66" s="393"/>
      <c r="BL66" s="391">
        <f t="shared" si="7"/>
        <v>59.84</v>
      </c>
      <c r="BM66" s="392"/>
      <c r="BN66" s="392"/>
      <c r="BO66" s="392"/>
      <c r="BP66" s="393"/>
      <c r="BQ66" s="324" t="str">
        <f t="shared" si="8"/>
        <v>PASS</v>
      </c>
      <c r="BR66" s="324"/>
      <c r="BS66" s="324"/>
      <c r="BT66" s="324"/>
      <c r="BU66" s="324"/>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05"/>
      <c r="G67" s="306"/>
      <c r="H67" s="306"/>
      <c r="I67" s="306"/>
      <c r="J67" s="306"/>
      <c r="K67" s="307"/>
      <c r="L67" s="319">
        <v>540</v>
      </c>
      <c r="M67" s="320"/>
      <c r="N67" s="320"/>
      <c r="O67" s="320"/>
      <c r="P67" s="321" t="s">
        <v>93</v>
      </c>
      <c r="Q67" s="321"/>
      <c r="R67" s="322"/>
      <c r="S67" s="323" t="s">
        <v>56</v>
      </c>
      <c r="T67" s="323"/>
      <c r="U67" s="323"/>
      <c r="V67" s="323"/>
      <c r="W67" s="323"/>
      <c r="X67" s="316">
        <v>540</v>
      </c>
      <c r="Y67" s="316"/>
      <c r="Z67" s="316"/>
      <c r="AA67" s="316"/>
      <c r="AB67" s="316"/>
      <c r="AC67" s="316">
        <v>540</v>
      </c>
      <c r="AD67" s="316"/>
      <c r="AE67" s="316"/>
      <c r="AF67" s="316"/>
      <c r="AG67" s="316"/>
      <c r="AH67" s="316">
        <v>540</v>
      </c>
      <c r="AI67" s="316"/>
      <c r="AJ67" s="316"/>
      <c r="AK67" s="316"/>
      <c r="AL67" s="316"/>
      <c r="AM67" s="316">
        <f t="shared" si="0"/>
        <v>540</v>
      </c>
      <c r="AN67" s="316"/>
      <c r="AO67" s="316"/>
      <c r="AP67" s="316"/>
      <c r="AQ67" s="316"/>
      <c r="AR67" s="316">
        <f t="shared" si="4"/>
        <v>0</v>
      </c>
      <c r="AS67" s="316"/>
      <c r="AT67" s="316"/>
      <c r="AU67" s="316"/>
      <c r="AV67" s="316"/>
      <c r="AW67" s="139"/>
      <c r="AX67" s="139"/>
      <c r="AY67" s="139"/>
      <c r="AZ67" s="172"/>
      <c r="BA67" s="173"/>
      <c r="BB67" s="391">
        <f t="shared" si="5"/>
        <v>0.64</v>
      </c>
      <c r="BC67" s="392"/>
      <c r="BD67" s="392"/>
      <c r="BE67" s="392"/>
      <c r="BF67" s="393"/>
      <c r="BG67" s="391">
        <f t="shared" si="6"/>
        <v>540.64</v>
      </c>
      <c r="BH67" s="392"/>
      <c r="BI67" s="392"/>
      <c r="BJ67" s="392"/>
      <c r="BK67" s="393"/>
      <c r="BL67" s="391">
        <f t="shared" si="7"/>
        <v>539.36</v>
      </c>
      <c r="BM67" s="392"/>
      <c r="BN67" s="392"/>
      <c r="BO67" s="392"/>
      <c r="BP67" s="393"/>
      <c r="BQ67" s="324" t="str">
        <f t="shared" si="8"/>
        <v>PASS</v>
      </c>
      <c r="BR67" s="324"/>
      <c r="BS67" s="324"/>
      <c r="BT67" s="324"/>
      <c r="BU67" s="324"/>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08"/>
      <c r="G68" s="309"/>
      <c r="H68" s="309"/>
      <c r="I68" s="309"/>
      <c r="J68" s="309"/>
      <c r="K68" s="310"/>
      <c r="L68" s="319">
        <v>-540</v>
      </c>
      <c r="M68" s="320"/>
      <c r="N68" s="320"/>
      <c r="O68" s="320"/>
      <c r="P68" s="321" t="s">
        <v>93</v>
      </c>
      <c r="Q68" s="321"/>
      <c r="R68" s="322"/>
      <c r="S68" s="323" t="s">
        <v>56</v>
      </c>
      <c r="T68" s="323"/>
      <c r="U68" s="323"/>
      <c r="V68" s="323"/>
      <c r="W68" s="323"/>
      <c r="X68" s="316">
        <v>-540</v>
      </c>
      <c r="Y68" s="316"/>
      <c r="Z68" s="316"/>
      <c r="AA68" s="316"/>
      <c r="AB68" s="316"/>
      <c r="AC68" s="316">
        <v>-540</v>
      </c>
      <c r="AD68" s="316"/>
      <c r="AE68" s="316"/>
      <c r="AF68" s="316"/>
      <c r="AG68" s="316"/>
      <c r="AH68" s="316">
        <v>-540</v>
      </c>
      <c r="AI68" s="316"/>
      <c r="AJ68" s="316"/>
      <c r="AK68" s="316"/>
      <c r="AL68" s="316"/>
      <c r="AM68" s="316">
        <f t="shared" si="0"/>
        <v>-540</v>
      </c>
      <c r="AN68" s="316"/>
      <c r="AO68" s="316"/>
      <c r="AP68" s="316"/>
      <c r="AQ68" s="316"/>
      <c r="AR68" s="316">
        <f t="shared" si="4"/>
        <v>0</v>
      </c>
      <c r="AS68" s="316"/>
      <c r="AT68" s="316"/>
      <c r="AU68" s="316"/>
      <c r="AV68" s="316"/>
      <c r="AW68" s="139"/>
      <c r="AX68" s="139"/>
      <c r="AY68" s="139"/>
      <c r="AZ68" s="172"/>
      <c r="BA68" s="173"/>
      <c r="BB68" s="391">
        <f t="shared" si="5"/>
        <v>0.64</v>
      </c>
      <c r="BC68" s="392"/>
      <c r="BD68" s="392"/>
      <c r="BE68" s="392"/>
      <c r="BF68" s="393"/>
      <c r="BG68" s="391">
        <f t="shared" si="6"/>
        <v>-539.36</v>
      </c>
      <c r="BH68" s="392"/>
      <c r="BI68" s="392"/>
      <c r="BJ68" s="392"/>
      <c r="BK68" s="393"/>
      <c r="BL68" s="391">
        <f t="shared" si="7"/>
        <v>-540.64</v>
      </c>
      <c r="BM68" s="392"/>
      <c r="BN68" s="392"/>
      <c r="BO68" s="392"/>
      <c r="BP68" s="393"/>
      <c r="BQ68" s="324" t="str">
        <f t="shared" si="8"/>
        <v>PASS</v>
      </c>
      <c r="BR68" s="324"/>
      <c r="BS68" s="324"/>
      <c r="BT68" s="324"/>
      <c r="BU68" s="324"/>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02" t="s">
        <v>158</v>
      </c>
      <c r="G69" s="303"/>
      <c r="H69" s="303"/>
      <c r="I69" s="303"/>
      <c r="J69" s="303"/>
      <c r="K69" s="304"/>
      <c r="L69" s="319">
        <f>1000*10%</f>
        <v>100</v>
      </c>
      <c r="M69" s="320"/>
      <c r="N69" s="320"/>
      <c r="O69" s="320"/>
      <c r="P69" s="321" t="s">
        <v>93</v>
      </c>
      <c r="Q69" s="321"/>
      <c r="R69" s="322"/>
      <c r="S69" s="323" t="s">
        <v>56</v>
      </c>
      <c r="T69" s="323"/>
      <c r="U69" s="323"/>
      <c r="V69" s="323"/>
      <c r="W69" s="323"/>
      <c r="X69" s="316">
        <v>100</v>
      </c>
      <c r="Y69" s="316"/>
      <c r="Z69" s="316"/>
      <c r="AA69" s="316"/>
      <c r="AB69" s="316"/>
      <c r="AC69" s="316">
        <v>100</v>
      </c>
      <c r="AD69" s="316"/>
      <c r="AE69" s="316"/>
      <c r="AF69" s="316"/>
      <c r="AG69" s="316"/>
      <c r="AH69" s="316">
        <v>100</v>
      </c>
      <c r="AI69" s="316"/>
      <c r="AJ69" s="316"/>
      <c r="AK69" s="316"/>
      <c r="AL69" s="316"/>
      <c r="AM69" s="390">
        <f t="shared" ref="AM69:AM71" si="37">AVERAGE(X69:AL69)</f>
        <v>100</v>
      </c>
      <c r="AN69" s="390"/>
      <c r="AO69" s="390"/>
      <c r="AP69" s="390"/>
      <c r="AQ69" s="390"/>
      <c r="AR69" s="390">
        <f t="shared" ref="AR69:AR71" si="38">AM69-L69</f>
        <v>0</v>
      </c>
      <c r="AS69" s="390"/>
      <c r="AT69" s="390"/>
      <c r="AU69" s="390"/>
      <c r="AV69" s="390"/>
      <c r="AW69" s="139"/>
      <c r="AX69" s="139"/>
      <c r="AY69" s="139"/>
      <c r="AZ69" s="172"/>
      <c r="BA69" s="173"/>
      <c r="BB69" s="391">
        <f t="shared" si="5"/>
        <v>1.1000000000000001</v>
      </c>
      <c r="BC69" s="392"/>
      <c r="BD69" s="392"/>
      <c r="BE69" s="392"/>
      <c r="BF69" s="393"/>
      <c r="BG69" s="391">
        <f t="shared" si="6"/>
        <v>101.1</v>
      </c>
      <c r="BH69" s="392"/>
      <c r="BI69" s="392"/>
      <c r="BJ69" s="392"/>
      <c r="BK69" s="393"/>
      <c r="BL69" s="391">
        <f t="shared" si="7"/>
        <v>98.9</v>
      </c>
      <c r="BM69" s="392"/>
      <c r="BN69" s="392"/>
      <c r="BO69" s="392"/>
      <c r="BP69" s="393"/>
      <c r="BQ69" s="324" t="str">
        <f t="shared" ref="BQ69:BQ71" si="39">IF(AND(AM69&lt;=BG69,AM69&gt;=BL69),"PASS","FAIL")</f>
        <v>PASS</v>
      </c>
      <c r="BR69" s="324"/>
      <c r="BS69" s="324"/>
      <c r="BT69" s="324"/>
      <c r="BU69" s="324"/>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05"/>
      <c r="G70" s="306"/>
      <c r="H70" s="306"/>
      <c r="I70" s="306"/>
      <c r="J70" s="306"/>
      <c r="K70" s="307"/>
      <c r="L70" s="319">
        <f>1000*90%</f>
        <v>900</v>
      </c>
      <c r="M70" s="320"/>
      <c r="N70" s="320"/>
      <c r="O70" s="320"/>
      <c r="P70" s="321" t="s">
        <v>93</v>
      </c>
      <c r="Q70" s="321"/>
      <c r="R70" s="322"/>
      <c r="S70" s="323" t="s">
        <v>56</v>
      </c>
      <c r="T70" s="323"/>
      <c r="U70" s="323"/>
      <c r="V70" s="323"/>
      <c r="W70" s="323"/>
      <c r="X70" s="316">
        <v>900</v>
      </c>
      <c r="Y70" s="316"/>
      <c r="Z70" s="316"/>
      <c r="AA70" s="316"/>
      <c r="AB70" s="316"/>
      <c r="AC70" s="316">
        <v>900</v>
      </c>
      <c r="AD70" s="316"/>
      <c r="AE70" s="316"/>
      <c r="AF70" s="316"/>
      <c r="AG70" s="316"/>
      <c r="AH70" s="316">
        <v>900</v>
      </c>
      <c r="AI70" s="316"/>
      <c r="AJ70" s="316"/>
      <c r="AK70" s="316"/>
      <c r="AL70" s="316"/>
      <c r="AM70" s="390">
        <f t="shared" si="37"/>
        <v>900</v>
      </c>
      <c r="AN70" s="390"/>
      <c r="AO70" s="390"/>
      <c r="AP70" s="390"/>
      <c r="AQ70" s="390"/>
      <c r="AR70" s="390">
        <f t="shared" si="38"/>
        <v>0</v>
      </c>
      <c r="AS70" s="390"/>
      <c r="AT70" s="390"/>
      <c r="AU70" s="390"/>
      <c r="AV70" s="390"/>
      <c r="AW70" s="139"/>
      <c r="AX70" s="139"/>
      <c r="AY70" s="139"/>
      <c r="AZ70" s="172"/>
      <c r="BA70" s="173"/>
      <c r="BB70" s="391">
        <f t="shared" si="5"/>
        <v>1.9</v>
      </c>
      <c r="BC70" s="392"/>
      <c r="BD70" s="392"/>
      <c r="BE70" s="392"/>
      <c r="BF70" s="393"/>
      <c r="BG70" s="391">
        <f t="shared" si="6"/>
        <v>901.9</v>
      </c>
      <c r="BH70" s="392"/>
      <c r="BI70" s="392"/>
      <c r="BJ70" s="392"/>
      <c r="BK70" s="393"/>
      <c r="BL70" s="391">
        <f t="shared" si="7"/>
        <v>898.1</v>
      </c>
      <c r="BM70" s="392"/>
      <c r="BN70" s="392"/>
      <c r="BO70" s="392"/>
      <c r="BP70" s="393"/>
      <c r="BQ70" s="324" t="str">
        <f t="shared" si="39"/>
        <v>PASS</v>
      </c>
      <c r="BR70" s="324"/>
      <c r="BS70" s="324"/>
      <c r="BT70" s="324"/>
      <c r="BU70" s="324"/>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08"/>
      <c r="G71" s="309"/>
      <c r="H71" s="309"/>
      <c r="I71" s="309"/>
      <c r="J71" s="309"/>
      <c r="K71" s="310"/>
      <c r="L71" s="319">
        <f>1000*-90%</f>
        <v>-900</v>
      </c>
      <c r="M71" s="320"/>
      <c r="N71" s="320"/>
      <c r="O71" s="320"/>
      <c r="P71" s="321" t="s">
        <v>93</v>
      </c>
      <c r="Q71" s="321"/>
      <c r="R71" s="322"/>
      <c r="S71" s="323" t="s">
        <v>56</v>
      </c>
      <c r="T71" s="323"/>
      <c r="U71" s="323"/>
      <c r="V71" s="323"/>
      <c r="W71" s="323"/>
      <c r="X71" s="316">
        <v>-900</v>
      </c>
      <c r="Y71" s="316"/>
      <c r="Z71" s="316"/>
      <c r="AA71" s="316"/>
      <c r="AB71" s="316"/>
      <c r="AC71" s="316">
        <v>-900</v>
      </c>
      <c r="AD71" s="316"/>
      <c r="AE71" s="316"/>
      <c r="AF71" s="316"/>
      <c r="AG71" s="316"/>
      <c r="AH71" s="316">
        <v>-900</v>
      </c>
      <c r="AI71" s="316"/>
      <c r="AJ71" s="316"/>
      <c r="AK71" s="316"/>
      <c r="AL71" s="316"/>
      <c r="AM71" s="390">
        <f t="shared" si="37"/>
        <v>-900</v>
      </c>
      <c r="AN71" s="390"/>
      <c r="AO71" s="390"/>
      <c r="AP71" s="390"/>
      <c r="AQ71" s="390"/>
      <c r="AR71" s="390">
        <f t="shared" si="38"/>
        <v>0</v>
      </c>
      <c r="AS71" s="390"/>
      <c r="AT71" s="390"/>
      <c r="AU71" s="390"/>
      <c r="AV71" s="390"/>
      <c r="AW71" s="139"/>
      <c r="AX71" s="139"/>
      <c r="AY71" s="139"/>
      <c r="AZ71" s="172"/>
      <c r="BA71" s="173"/>
      <c r="BB71" s="391">
        <f t="shared" si="5"/>
        <v>1.9</v>
      </c>
      <c r="BC71" s="392"/>
      <c r="BD71" s="392"/>
      <c r="BE71" s="392"/>
      <c r="BF71" s="393"/>
      <c r="BG71" s="391">
        <f t="shared" si="6"/>
        <v>-898.1</v>
      </c>
      <c r="BH71" s="392"/>
      <c r="BI71" s="392"/>
      <c r="BJ71" s="392"/>
      <c r="BK71" s="393"/>
      <c r="BL71" s="391">
        <f t="shared" si="7"/>
        <v>-901.9</v>
      </c>
      <c r="BM71" s="392"/>
      <c r="BN71" s="392"/>
      <c r="BO71" s="392"/>
      <c r="BP71" s="393"/>
      <c r="BQ71" s="324" t="str">
        <f t="shared" si="39"/>
        <v>PASS</v>
      </c>
      <c r="BR71" s="324"/>
      <c r="BS71" s="324"/>
      <c r="BT71" s="324"/>
      <c r="BU71" s="324"/>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56" t="s">
        <v>124</v>
      </c>
      <c r="BC73" s="356"/>
      <c r="BD73" s="356"/>
      <c r="BE73" s="356"/>
      <c r="BF73" s="356"/>
      <c r="BG73" s="356"/>
      <c r="BH73" s="356"/>
      <c r="BI73" s="356"/>
      <c r="BJ73" s="356"/>
      <c r="BK73" s="356"/>
      <c r="BL73" s="356"/>
      <c r="BM73" s="356"/>
      <c r="BN73" s="356"/>
      <c r="BO73" s="356"/>
      <c r="BP73" s="356"/>
      <c r="BQ73" s="356"/>
      <c r="BR73" s="356"/>
      <c r="BS73" s="356"/>
      <c r="BT73" s="356"/>
      <c r="BU73" s="356"/>
      <c r="BV73" s="169"/>
      <c r="BX73" s="291" t="s">
        <v>69</v>
      </c>
      <c r="BY73" s="292"/>
      <c r="BZ73" s="292"/>
      <c r="CA73" s="292"/>
      <c r="CB73" s="293"/>
      <c r="CC73" s="2"/>
      <c r="CD73" s="291" t="s">
        <v>69</v>
      </c>
      <c r="CE73" s="292"/>
      <c r="CF73" s="292"/>
      <c r="CG73" s="292"/>
      <c r="CH73" s="293"/>
      <c r="CI73" s="2"/>
      <c r="CJ73" s="291" t="s">
        <v>129</v>
      </c>
      <c r="CK73" s="292"/>
      <c r="CL73" s="292"/>
      <c r="CM73" s="292"/>
      <c r="CN73" s="293"/>
      <c r="CO73" s="2"/>
      <c r="CP73" s="291" t="s">
        <v>129</v>
      </c>
      <c r="CQ73" s="292"/>
      <c r="CR73" s="292"/>
      <c r="CS73" s="292"/>
      <c r="CT73" s="293"/>
      <c r="CV73" s="291" t="s">
        <v>71</v>
      </c>
      <c r="CW73" s="292"/>
      <c r="CX73" s="292"/>
      <c r="CY73" s="292"/>
      <c r="CZ73" s="293"/>
      <c r="DB73" s="419" t="s">
        <v>116</v>
      </c>
      <c r="DC73" s="420"/>
      <c r="DD73" s="419" t="s">
        <v>117</v>
      </c>
      <c r="DE73" s="419"/>
    </row>
    <row r="74" spans="1:109" s="174" customFormat="1" ht="18" customHeight="1">
      <c r="A74" s="173"/>
      <c r="B74" s="170"/>
      <c r="C74" s="139"/>
      <c r="D74" s="139"/>
      <c r="E74" s="139"/>
      <c r="F74" s="315" t="s">
        <v>27</v>
      </c>
      <c r="G74" s="315"/>
      <c r="H74" s="315"/>
      <c r="I74" s="315"/>
      <c r="J74" s="315"/>
      <c r="K74" s="315"/>
      <c r="L74" s="315" t="s">
        <v>28</v>
      </c>
      <c r="M74" s="315"/>
      <c r="N74" s="315"/>
      <c r="O74" s="315"/>
      <c r="P74" s="315"/>
      <c r="Q74" s="315"/>
      <c r="R74" s="315"/>
      <c r="S74" s="315" t="s">
        <v>72</v>
      </c>
      <c r="T74" s="315"/>
      <c r="U74" s="315"/>
      <c r="V74" s="315"/>
      <c r="W74" s="315"/>
      <c r="X74" s="315" t="s">
        <v>73</v>
      </c>
      <c r="Y74" s="315"/>
      <c r="Z74" s="315"/>
      <c r="AA74" s="315"/>
      <c r="AB74" s="315"/>
      <c r="AC74" s="315"/>
      <c r="AD74" s="315"/>
      <c r="AE74" s="315"/>
      <c r="AF74" s="315"/>
      <c r="AG74" s="315"/>
      <c r="AH74" s="315"/>
      <c r="AI74" s="315"/>
      <c r="AJ74" s="315"/>
      <c r="AK74" s="315"/>
      <c r="AL74" s="315"/>
      <c r="AM74" s="315" t="s">
        <v>74</v>
      </c>
      <c r="AN74" s="315"/>
      <c r="AO74" s="315"/>
      <c r="AP74" s="315"/>
      <c r="AQ74" s="315"/>
      <c r="AR74" s="315" t="s">
        <v>29</v>
      </c>
      <c r="AS74" s="315"/>
      <c r="AT74" s="315"/>
      <c r="AU74" s="315"/>
      <c r="AV74" s="315"/>
      <c r="AW74" s="139"/>
      <c r="AX74" s="139"/>
      <c r="AY74" s="139"/>
      <c r="AZ74" s="172"/>
      <c r="BA74" s="173"/>
      <c r="BB74" s="315" t="s">
        <v>75</v>
      </c>
      <c r="BC74" s="315"/>
      <c r="BD74" s="315"/>
      <c r="BE74" s="315"/>
      <c r="BF74" s="315"/>
      <c r="BG74" s="315" t="s">
        <v>76</v>
      </c>
      <c r="BH74" s="315"/>
      <c r="BI74" s="315"/>
      <c r="BJ74" s="315"/>
      <c r="BK74" s="315"/>
      <c r="BL74" s="315" t="s">
        <v>77</v>
      </c>
      <c r="BM74" s="315"/>
      <c r="BN74" s="315"/>
      <c r="BO74" s="315"/>
      <c r="BP74" s="315"/>
      <c r="BQ74" s="315" t="s">
        <v>78</v>
      </c>
      <c r="BR74" s="315"/>
      <c r="BS74" s="315"/>
      <c r="BT74" s="315"/>
      <c r="BU74" s="315"/>
      <c r="BV74" s="173"/>
      <c r="BX74" s="298" t="s">
        <v>79</v>
      </c>
      <c r="BY74" s="294" t="s">
        <v>114</v>
      </c>
      <c r="BZ74" s="294" t="s">
        <v>80</v>
      </c>
      <c r="CA74" s="300" t="s">
        <v>81</v>
      </c>
      <c r="CB74" s="296" t="s">
        <v>82</v>
      </c>
      <c r="CC74" s="3"/>
      <c r="CD74" s="298" t="s">
        <v>79</v>
      </c>
      <c r="CE74" s="294" t="s">
        <v>114</v>
      </c>
      <c r="CF74" s="294" t="s">
        <v>80</v>
      </c>
      <c r="CG74" s="300" t="s">
        <v>81</v>
      </c>
      <c r="CH74" s="296" t="s">
        <v>82</v>
      </c>
      <c r="CI74" s="3"/>
      <c r="CJ74" s="298" t="s">
        <v>79</v>
      </c>
      <c r="CK74" s="294" t="s">
        <v>114</v>
      </c>
      <c r="CL74" s="294" t="s">
        <v>80</v>
      </c>
      <c r="CM74" s="300" t="s">
        <v>81</v>
      </c>
      <c r="CN74" s="296" t="s">
        <v>82</v>
      </c>
      <c r="CO74" s="3"/>
      <c r="CP74" s="298" t="s">
        <v>79</v>
      </c>
      <c r="CQ74" s="294" t="s">
        <v>114</v>
      </c>
      <c r="CR74" s="294" t="s">
        <v>80</v>
      </c>
      <c r="CS74" s="300" t="s">
        <v>81</v>
      </c>
      <c r="CT74" s="296" t="s">
        <v>82</v>
      </c>
      <c r="CU74" s="8"/>
      <c r="CV74" s="119" t="s">
        <v>83</v>
      </c>
      <c r="CW74" s="101" t="s">
        <v>84</v>
      </c>
      <c r="CX74" s="121" t="s">
        <v>85</v>
      </c>
      <c r="CY74" s="298" t="s">
        <v>86</v>
      </c>
      <c r="CZ74" s="387"/>
      <c r="DA74" s="8"/>
      <c r="DB74" s="419"/>
      <c r="DC74" s="420"/>
      <c r="DD74" s="419"/>
      <c r="DE74" s="419"/>
    </row>
    <row r="75" spans="1:109" s="174" customFormat="1" ht="18" customHeight="1" thickBot="1">
      <c r="A75" s="173"/>
      <c r="B75" s="170"/>
      <c r="C75" s="139"/>
      <c r="D75" s="139"/>
      <c r="E75" s="139"/>
      <c r="F75" s="315"/>
      <c r="G75" s="315"/>
      <c r="H75" s="315"/>
      <c r="I75" s="315"/>
      <c r="J75" s="315"/>
      <c r="K75" s="315"/>
      <c r="L75" s="315"/>
      <c r="M75" s="315"/>
      <c r="N75" s="315"/>
      <c r="O75" s="315"/>
      <c r="P75" s="315"/>
      <c r="Q75" s="315"/>
      <c r="R75" s="315"/>
      <c r="S75" s="315"/>
      <c r="T75" s="315"/>
      <c r="U75" s="315"/>
      <c r="V75" s="315"/>
      <c r="W75" s="315"/>
      <c r="X75" s="315">
        <v>1</v>
      </c>
      <c r="Y75" s="315"/>
      <c r="Z75" s="315"/>
      <c r="AA75" s="315"/>
      <c r="AB75" s="315"/>
      <c r="AC75" s="315">
        <v>2</v>
      </c>
      <c r="AD75" s="315"/>
      <c r="AE75" s="315"/>
      <c r="AF75" s="315"/>
      <c r="AG75" s="315"/>
      <c r="AH75" s="315">
        <v>3</v>
      </c>
      <c r="AI75" s="315"/>
      <c r="AJ75" s="315"/>
      <c r="AK75" s="315"/>
      <c r="AL75" s="315"/>
      <c r="AM75" s="315"/>
      <c r="AN75" s="315"/>
      <c r="AO75" s="315"/>
      <c r="AP75" s="315"/>
      <c r="AQ75" s="315"/>
      <c r="AR75" s="315"/>
      <c r="AS75" s="315"/>
      <c r="AT75" s="315"/>
      <c r="AU75" s="315"/>
      <c r="AV75" s="315"/>
      <c r="AW75" s="139"/>
      <c r="AX75" s="139"/>
      <c r="AY75" s="139"/>
      <c r="AZ75" s="172"/>
      <c r="BA75" s="173"/>
      <c r="BB75" s="315"/>
      <c r="BC75" s="315"/>
      <c r="BD75" s="315"/>
      <c r="BE75" s="315"/>
      <c r="BF75" s="315"/>
      <c r="BG75" s="315"/>
      <c r="BH75" s="315"/>
      <c r="BI75" s="315"/>
      <c r="BJ75" s="315"/>
      <c r="BK75" s="315"/>
      <c r="BL75" s="315"/>
      <c r="BM75" s="315"/>
      <c r="BN75" s="315"/>
      <c r="BO75" s="315"/>
      <c r="BP75" s="315"/>
      <c r="BQ75" s="315"/>
      <c r="BR75" s="315"/>
      <c r="BS75" s="315"/>
      <c r="BT75" s="315"/>
      <c r="BU75" s="315"/>
      <c r="BV75" s="173"/>
      <c r="BX75" s="299"/>
      <c r="BY75" s="295"/>
      <c r="BZ75" s="295"/>
      <c r="CA75" s="301"/>
      <c r="CB75" s="297"/>
      <c r="CC75" s="3"/>
      <c r="CD75" s="299"/>
      <c r="CE75" s="295"/>
      <c r="CF75" s="295"/>
      <c r="CG75" s="301"/>
      <c r="CH75" s="297"/>
      <c r="CI75" s="3"/>
      <c r="CJ75" s="299"/>
      <c r="CK75" s="295"/>
      <c r="CL75" s="295"/>
      <c r="CM75" s="301"/>
      <c r="CN75" s="297"/>
      <c r="CO75" s="3"/>
      <c r="CP75" s="299"/>
      <c r="CQ75" s="295"/>
      <c r="CR75" s="295"/>
      <c r="CS75" s="301"/>
      <c r="CT75" s="297"/>
      <c r="CU75" s="8"/>
      <c r="CV75" s="120" t="s">
        <v>87</v>
      </c>
      <c r="CW75" s="102" t="s">
        <v>88</v>
      </c>
      <c r="CX75" s="122" t="s">
        <v>89</v>
      </c>
      <c r="CY75" s="299" t="s">
        <v>90</v>
      </c>
      <c r="CZ75" s="388"/>
      <c r="DA75" s="8"/>
      <c r="DB75" s="419"/>
      <c r="DC75" s="420"/>
      <c r="DD75" s="419"/>
      <c r="DE75" s="419"/>
    </row>
    <row r="76" spans="1:109" s="174" customFormat="1" ht="18" customHeight="1">
      <c r="A76" s="173"/>
      <c r="B76" s="170"/>
      <c r="C76" s="139"/>
      <c r="D76" s="139"/>
      <c r="E76" s="139"/>
      <c r="F76" s="302" t="s">
        <v>134</v>
      </c>
      <c r="G76" s="303"/>
      <c r="H76" s="303"/>
      <c r="I76" s="303"/>
      <c r="J76" s="303"/>
      <c r="K76" s="304"/>
      <c r="L76" s="319">
        <f>600*10%</f>
        <v>60</v>
      </c>
      <c r="M76" s="320"/>
      <c r="N76" s="320"/>
      <c r="O76" s="320"/>
      <c r="P76" s="321" t="s">
        <v>91</v>
      </c>
      <c r="Q76" s="321"/>
      <c r="R76" s="322"/>
      <c r="S76" s="355" t="s">
        <v>96</v>
      </c>
      <c r="T76" s="355"/>
      <c r="U76" s="355"/>
      <c r="V76" s="355"/>
      <c r="W76" s="355"/>
      <c r="X76" s="316">
        <v>60</v>
      </c>
      <c r="Y76" s="316"/>
      <c r="Z76" s="316"/>
      <c r="AA76" s="316"/>
      <c r="AB76" s="316"/>
      <c r="AC76" s="316">
        <v>60</v>
      </c>
      <c r="AD76" s="316"/>
      <c r="AE76" s="316"/>
      <c r="AF76" s="316"/>
      <c r="AG76" s="316"/>
      <c r="AH76" s="316">
        <v>60</v>
      </c>
      <c r="AI76" s="316"/>
      <c r="AJ76" s="316"/>
      <c r="AK76" s="316"/>
      <c r="AL76" s="316"/>
      <c r="AM76" s="405">
        <f t="shared" ref="AM76:AM79" si="56">AVERAGE(X76:AL76)</f>
        <v>60</v>
      </c>
      <c r="AN76" s="406"/>
      <c r="AO76" s="406"/>
      <c r="AP76" s="406"/>
      <c r="AQ76" s="407"/>
      <c r="AR76" s="316">
        <f t="shared" ref="AR76:AR79" si="57">AM76-L76</f>
        <v>0</v>
      </c>
      <c r="AS76" s="316"/>
      <c r="AT76" s="316"/>
      <c r="AU76" s="316"/>
      <c r="AV76" s="316"/>
      <c r="AW76" s="139"/>
      <c r="AX76" s="139"/>
      <c r="AY76" s="139"/>
      <c r="AZ76" s="172"/>
      <c r="BA76" s="173"/>
      <c r="BB76" s="317">
        <f>(AM76*0.7%)+(4*CK76)</f>
        <v>0.82</v>
      </c>
      <c r="BC76" s="317"/>
      <c r="BD76" s="317"/>
      <c r="BE76" s="317"/>
      <c r="BF76" s="317"/>
      <c r="BG76" s="317">
        <f t="shared" ref="BG76:BG79" si="58">L76+BB76</f>
        <v>60.82</v>
      </c>
      <c r="BH76" s="317"/>
      <c r="BI76" s="317"/>
      <c r="BJ76" s="317"/>
      <c r="BK76" s="317"/>
      <c r="BL76" s="317">
        <f t="shared" ref="BL76:BL79" si="59">L76-BB76</f>
        <v>59.18</v>
      </c>
      <c r="BM76" s="317"/>
      <c r="BN76" s="317"/>
      <c r="BO76" s="317"/>
      <c r="BP76" s="317"/>
      <c r="BQ76" s="324" t="str">
        <f t="shared" ref="BQ76:BQ79" si="60">IF(AND(AM76&lt;=BG76,AM76&gt;=BL76),"PASS","FAIL")</f>
        <v>PASS</v>
      </c>
      <c r="BR76" s="324"/>
      <c r="BS76" s="324"/>
      <c r="BT76" s="324"/>
      <c r="BU76" s="324"/>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05"/>
      <c r="G77" s="306"/>
      <c r="H77" s="306"/>
      <c r="I77" s="306"/>
      <c r="J77" s="306"/>
      <c r="K77" s="307"/>
      <c r="L77" s="319">
        <f t="shared" ref="L77" si="70">600*10%</f>
        <v>60</v>
      </c>
      <c r="M77" s="320"/>
      <c r="N77" s="320"/>
      <c r="O77" s="320"/>
      <c r="P77" s="321" t="s">
        <v>91</v>
      </c>
      <c r="Q77" s="321"/>
      <c r="R77" s="322"/>
      <c r="S77" s="355" t="s">
        <v>143</v>
      </c>
      <c r="T77" s="355"/>
      <c r="U77" s="355"/>
      <c r="V77" s="355"/>
      <c r="W77" s="355"/>
      <c r="X77" s="316">
        <v>60</v>
      </c>
      <c r="Y77" s="316"/>
      <c r="Z77" s="316"/>
      <c r="AA77" s="316"/>
      <c r="AB77" s="316"/>
      <c r="AC77" s="316">
        <v>60</v>
      </c>
      <c r="AD77" s="316"/>
      <c r="AE77" s="316"/>
      <c r="AF77" s="316"/>
      <c r="AG77" s="316"/>
      <c r="AH77" s="316">
        <v>60</v>
      </c>
      <c r="AI77" s="316"/>
      <c r="AJ77" s="316"/>
      <c r="AK77" s="316"/>
      <c r="AL77" s="316"/>
      <c r="AM77" s="316">
        <f t="shared" si="56"/>
        <v>60</v>
      </c>
      <c r="AN77" s="316"/>
      <c r="AO77" s="316"/>
      <c r="AP77" s="316"/>
      <c r="AQ77" s="316"/>
      <c r="AR77" s="316">
        <f t="shared" si="57"/>
        <v>0</v>
      </c>
      <c r="AS77" s="316"/>
      <c r="AT77" s="316"/>
      <c r="AU77" s="316"/>
      <c r="AV77" s="316"/>
      <c r="AW77" s="139"/>
      <c r="AX77" s="139"/>
      <c r="AY77" s="139"/>
      <c r="AZ77" s="172"/>
      <c r="BA77" s="173"/>
      <c r="BB77" s="317">
        <f>(AM77*1%)+(4*CK77)</f>
        <v>1</v>
      </c>
      <c r="BC77" s="317"/>
      <c r="BD77" s="317"/>
      <c r="BE77" s="317"/>
      <c r="BF77" s="317"/>
      <c r="BG77" s="317">
        <f t="shared" si="58"/>
        <v>61</v>
      </c>
      <c r="BH77" s="317"/>
      <c r="BI77" s="317"/>
      <c r="BJ77" s="317"/>
      <c r="BK77" s="317"/>
      <c r="BL77" s="317">
        <f t="shared" si="59"/>
        <v>59</v>
      </c>
      <c r="BM77" s="317"/>
      <c r="BN77" s="317"/>
      <c r="BO77" s="317"/>
      <c r="BP77" s="317"/>
      <c r="BQ77" s="324" t="str">
        <f t="shared" si="60"/>
        <v>PASS</v>
      </c>
      <c r="BR77" s="324"/>
      <c r="BS77" s="324"/>
      <c r="BT77" s="324"/>
      <c r="BU77" s="324"/>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05"/>
      <c r="G78" s="306"/>
      <c r="H78" s="306"/>
      <c r="I78" s="306"/>
      <c r="J78" s="306"/>
      <c r="K78" s="307"/>
      <c r="L78" s="319">
        <f>600*90%</f>
        <v>540</v>
      </c>
      <c r="M78" s="320"/>
      <c r="N78" s="320"/>
      <c r="O78" s="320"/>
      <c r="P78" s="321" t="s">
        <v>91</v>
      </c>
      <c r="Q78" s="321"/>
      <c r="R78" s="322"/>
      <c r="S78" s="355" t="s">
        <v>96</v>
      </c>
      <c r="T78" s="355"/>
      <c r="U78" s="355"/>
      <c r="V78" s="355"/>
      <c r="W78" s="355"/>
      <c r="X78" s="316">
        <v>540</v>
      </c>
      <c r="Y78" s="316"/>
      <c r="Z78" s="316"/>
      <c r="AA78" s="316"/>
      <c r="AB78" s="316"/>
      <c r="AC78" s="316">
        <v>540</v>
      </c>
      <c r="AD78" s="316"/>
      <c r="AE78" s="316"/>
      <c r="AF78" s="316"/>
      <c r="AG78" s="316"/>
      <c r="AH78" s="316">
        <v>540</v>
      </c>
      <c r="AI78" s="316"/>
      <c r="AJ78" s="316"/>
      <c r="AK78" s="316"/>
      <c r="AL78" s="316"/>
      <c r="AM78" s="316">
        <f t="shared" si="56"/>
        <v>540</v>
      </c>
      <c r="AN78" s="316"/>
      <c r="AO78" s="316"/>
      <c r="AP78" s="316"/>
      <c r="AQ78" s="316"/>
      <c r="AR78" s="316">
        <f t="shared" si="57"/>
        <v>0</v>
      </c>
      <c r="AS78" s="316"/>
      <c r="AT78" s="316"/>
      <c r="AU78" s="316"/>
      <c r="AV78" s="316"/>
      <c r="AW78" s="139"/>
      <c r="AX78" s="139"/>
      <c r="AY78" s="139"/>
      <c r="AZ78" s="172"/>
      <c r="BA78" s="173"/>
      <c r="BB78" s="317">
        <f>(AM78*0.7%)+(4*CK78)</f>
        <v>4.18</v>
      </c>
      <c r="BC78" s="317"/>
      <c r="BD78" s="317"/>
      <c r="BE78" s="317"/>
      <c r="BF78" s="317"/>
      <c r="BG78" s="317">
        <f t="shared" si="58"/>
        <v>544.17999999999995</v>
      </c>
      <c r="BH78" s="317"/>
      <c r="BI78" s="317"/>
      <c r="BJ78" s="317"/>
      <c r="BK78" s="317"/>
      <c r="BL78" s="317">
        <f t="shared" si="59"/>
        <v>535.82000000000005</v>
      </c>
      <c r="BM78" s="317"/>
      <c r="BN78" s="317"/>
      <c r="BO78" s="317"/>
      <c r="BP78" s="317"/>
      <c r="BQ78" s="324" t="str">
        <f t="shared" si="60"/>
        <v>PASS</v>
      </c>
      <c r="BR78" s="324"/>
      <c r="BS78" s="324"/>
      <c r="BT78" s="324"/>
      <c r="BU78" s="324"/>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08"/>
      <c r="G79" s="309"/>
      <c r="H79" s="309"/>
      <c r="I79" s="309"/>
      <c r="J79" s="309"/>
      <c r="K79" s="310"/>
      <c r="L79" s="319">
        <f>600*90%</f>
        <v>540</v>
      </c>
      <c r="M79" s="320"/>
      <c r="N79" s="320"/>
      <c r="O79" s="320"/>
      <c r="P79" s="321" t="s">
        <v>91</v>
      </c>
      <c r="Q79" s="321"/>
      <c r="R79" s="322"/>
      <c r="S79" s="355" t="s">
        <v>143</v>
      </c>
      <c r="T79" s="355"/>
      <c r="U79" s="355"/>
      <c r="V79" s="355"/>
      <c r="W79" s="355"/>
      <c r="X79" s="316">
        <v>540</v>
      </c>
      <c r="Y79" s="316"/>
      <c r="Z79" s="316"/>
      <c r="AA79" s="316"/>
      <c r="AB79" s="316"/>
      <c r="AC79" s="316">
        <v>540</v>
      </c>
      <c r="AD79" s="316"/>
      <c r="AE79" s="316"/>
      <c r="AF79" s="316"/>
      <c r="AG79" s="316"/>
      <c r="AH79" s="316">
        <v>540</v>
      </c>
      <c r="AI79" s="316"/>
      <c r="AJ79" s="316"/>
      <c r="AK79" s="316"/>
      <c r="AL79" s="316"/>
      <c r="AM79" s="316">
        <f t="shared" si="56"/>
        <v>540</v>
      </c>
      <c r="AN79" s="316"/>
      <c r="AO79" s="316"/>
      <c r="AP79" s="316"/>
      <c r="AQ79" s="316"/>
      <c r="AR79" s="316">
        <f t="shared" si="57"/>
        <v>0</v>
      </c>
      <c r="AS79" s="316"/>
      <c r="AT79" s="316"/>
      <c r="AU79" s="316"/>
      <c r="AV79" s="316"/>
      <c r="AW79" s="139"/>
      <c r="AX79" s="139"/>
      <c r="AY79" s="139"/>
      <c r="AZ79" s="172"/>
      <c r="BA79" s="173"/>
      <c r="BB79" s="317">
        <f>(AM79*1%)+(4*CK79)</f>
        <v>5.8000000000000007</v>
      </c>
      <c r="BC79" s="317"/>
      <c r="BD79" s="317"/>
      <c r="BE79" s="317"/>
      <c r="BF79" s="317"/>
      <c r="BG79" s="317">
        <f t="shared" si="58"/>
        <v>545.79999999999995</v>
      </c>
      <c r="BH79" s="317"/>
      <c r="BI79" s="317"/>
      <c r="BJ79" s="317"/>
      <c r="BK79" s="317"/>
      <c r="BL79" s="317">
        <f t="shared" si="59"/>
        <v>534.20000000000005</v>
      </c>
      <c r="BM79" s="317"/>
      <c r="BN79" s="317"/>
      <c r="BO79" s="317"/>
      <c r="BP79" s="317"/>
      <c r="BQ79" s="324" t="str">
        <f t="shared" si="60"/>
        <v>PASS</v>
      </c>
      <c r="BR79" s="324"/>
      <c r="BS79" s="324"/>
      <c r="BT79" s="324"/>
      <c r="BU79" s="324"/>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02" t="s">
        <v>135</v>
      </c>
      <c r="G80" s="303"/>
      <c r="H80" s="303"/>
      <c r="I80" s="303"/>
      <c r="J80" s="303"/>
      <c r="K80" s="304"/>
      <c r="L80" s="319">
        <f>6*10%</f>
        <v>0.60000000000000009</v>
      </c>
      <c r="M80" s="320"/>
      <c r="N80" s="320"/>
      <c r="O80" s="320"/>
      <c r="P80" s="321" t="s">
        <v>93</v>
      </c>
      <c r="Q80" s="321"/>
      <c r="R80" s="322"/>
      <c r="S80" s="355" t="s">
        <v>96</v>
      </c>
      <c r="T80" s="355"/>
      <c r="U80" s="355"/>
      <c r="V80" s="355"/>
      <c r="W80" s="355"/>
      <c r="X80" s="316">
        <v>0.6</v>
      </c>
      <c r="Y80" s="316"/>
      <c r="Z80" s="316"/>
      <c r="AA80" s="316"/>
      <c r="AB80" s="316"/>
      <c r="AC80" s="316">
        <v>0.6</v>
      </c>
      <c r="AD80" s="316"/>
      <c r="AE80" s="316"/>
      <c r="AF80" s="316"/>
      <c r="AG80" s="316"/>
      <c r="AH80" s="316">
        <v>0.6</v>
      </c>
      <c r="AI80" s="316"/>
      <c r="AJ80" s="316"/>
      <c r="AK80" s="316"/>
      <c r="AL80" s="316"/>
      <c r="AM80" s="317">
        <f t="shared" ref="AM80:AM93" si="81">AVERAGE(X80:AL80)</f>
        <v>0.6</v>
      </c>
      <c r="AN80" s="317"/>
      <c r="AO80" s="317"/>
      <c r="AP80" s="317"/>
      <c r="AQ80" s="317"/>
      <c r="AR80" s="317">
        <f t="shared" ref="AR80:AR93" si="82">AM80-L80</f>
        <v>0</v>
      </c>
      <c r="AS80" s="317"/>
      <c r="AT80" s="317"/>
      <c r="AU80" s="317"/>
      <c r="AV80" s="317"/>
      <c r="AW80" s="139"/>
      <c r="AX80" s="139"/>
      <c r="AY80" s="139"/>
      <c r="AZ80" s="172"/>
      <c r="BA80" s="173"/>
      <c r="BB80" s="317">
        <f>(AM80*0.7%)+(2*CK80)</f>
        <v>6.1999999999999998E-3</v>
      </c>
      <c r="BC80" s="317"/>
      <c r="BD80" s="317"/>
      <c r="BE80" s="317"/>
      <c r="BF80" s="317"/>
      <c r="BG80" s="317">
        <f t="shared" ref="BG80:BG93" si="83">L80+BB80</f>
        <v>0.60620000000000007</v>
      </c>
      <c r="BH80" s="317"/>
      <c r="BI80" s="317"/>
      <c r="BJ80" s="317"/>
      <c r="BK80" s="317"/>
      <c r="BL80" s="317">
        <f t="shared" ref="BL80:BL93" si="84">L80-BB80</f>
        <v>0.59380000000000011</v>
      </c>
      <c r="BM80" s="317"/>
      <c r="BN80" s="317"/>
      <c r="BO80" s="317"/>
      <c r="BP80" s="317"/>
      <c r="BQ80" s="324" t="str">
        <f t="shared" ref="BQ80:BQ93" si="85">IF(AND(AM80&lt;=BG80,AM80&gt;=BL80),"PASS","FAIL")</f>
        <v>PASS</v>
      </c>
      <c r="BR80" s="324"/>
      <c r="BS80" s="324"/>
      <c r="BT80" s="324"/>
      <c r="BU80" s="324"/>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05"/>
      <c r="G81" s="306"/>
      <c r="H81" s="306"/>
      <c r="I81" s="306"/>
      <c r="J81" s="306"/>
      <c r="K81" s="307"/>
      <c r="L81" s="319">
        <f>6*10%</f>
        <v>0.60000000000000009</v>
      </c>
      <c r="M81" s="320"/>
      <c r="N81" s="320"/>
      <c r="O81" s="320"/>
      <c r="P81" s="321" t="s">
        <v>93</v>
      </c>
      <c r="Q81" s="321"/>
      <c r="R81" s="322"/>
      <c r="S81" s="355" t="s">
        <v>143</v>
      </c>
      <c r="T81" s="355"/>
      <c r="U81" s="355"/>
      <c r="V81" s="355"/>
      <c r="W81" s="355"/>
      <c r="X81" s="316">
        <v>0.6</v>
      </c>
      <c r="Y81" s="316"/>
      <c r="Z81" s="316"/>
      <c r="AA81" s="316"/>
      <c r="AB81" s="316"/>
      <c r="AC81" s="316">
        <v>0.6</v>
      </c>
      <c r="AD81" s="316"/>
      <c r="AE81" s="316"/>
      <c r="AF81" s="316"/>
      <c r="AG81" s="316"/>
      <c r="AH81" s="316">
        <v>0.6</v>
      </c>
      <c r="AI81" s="316"/>
      <c r="AJ81" s="316"/>
      <c r="AK81" s="316"/>
      <c r="AL81" s="316"/>
      <c r="AM81" s="317">
        <f t="shared" si="81"/>
        <v>0.6</v>
      </c>
      <c r="AN81" s="317"/>
      <c r="AO81" s="317"/>
      <c r="AP81" s="317"/>
      <c r="AQ81" s="317"/>
      <c r="AR81" s="317">
        <f t="shared" si="82"/>
        <v>0</v>
      </c>
      <c r="AS81" s="317"/>
      <c r="AT81" s="317"/>
      <c r="AU81" s="317"/>
      <c r="AV81" s="317"/>
      <c r="AW81" s="139"/>
      <c r="AX81" s="139"/>
      <c r="AY81" s="139"/>
      <c r="AZ81" s="172"/>
      <c r="BA81" s="173"/>
      <c r="BB81" s="317">
        <f>(AM81*1%)+(4*CK81)</f>
        <v>0.01</v>
      </c>
      <c r="BC81" s="317"/>
      <c r="BD81" s="317"/>
      <c r="BE81" s="317"/>
      <c r="BF81" s="317"/>
      <c r="BG81" s="317">
        <f t="shared" si="83"/>
        <v>0.6100000000000001</v>
      </c>
      <c r="BH81" s="317"/>
      <c r="BI81" s="317"/>
      <c r="BJ81" s="317"/>
      <c r="BK81" s="317"/>
      <c r="BL81" s="317">
        <f t="shared" si="84"/>
        <v>0.59000000000000008</v>
      </c>
      <c r="BM81" s="317"/>
      <c r="BN81" s="317"/>
      <c r="BO81" s="317"/>
      <c r="BP81" s="317"/>
      <c r="BQ81" s="324" t="str">
        <f t="shared" si="85"/>
        <v>PASS</v>
      </c>
      <c r="BR81" s="324"/>
      <c r="BS81" s="324"/>
      <c r="BT81" s="324"/>
      <c r="BU81" s="324"/>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05"/>
      <c r="G82" s="306"/>
      <c r="H82" s="306"/>
      <c r="I82" s="306"/>
      <c r="J82" s="306"/>
      <c r="K82" s="307"/>
      <c r="L82" s="319">
        <f>6*90%</f>
        <v>5.4</v>
      </c>
      <c r="M82" s="320"/>
      <c r="N82" s="320"/>
      <c r="O82" s="320"/>
      <c r="P82" s="321" t="s">
        <v>93</v>
      </c>
      <c r="Q82" s="321"/>
      <c r="R82" s="322"/>
      <c r="S82" s="355" t="s">
        <v>96</v>
      </c>
      <c r="T82" s="355"/>
      <c r="U82" s="355"/>
      <c r="V82" s="355"/>
      <c r="W82" s="355"/>
      <c r="X82" s="316">
        <v>5.4</v>
      </c>
      <c r="Y82" s="316"/>
      <c r="Z82" s="316"/>
      <c r="AA82" s="316"/>
      <c r="AB82" s="316"/>
      <c r="AC82" s="316">
        <v>5.4</v>
      </c>
      <c r="AD82" s="316"/>
      <c r="AE82" s="316"/>
      <c r="AF82" s="316"/>
      <c r="AG82" s="316"/>
      <c r="AH82" s="316">
        <v>5.4</v>
      </c>
      <c r="AI82" s="316"/>
      <c r="AJ82" s="316"/>
      <c r="AK82" s="316"/>
      <c r="AL82" s="316"/>
      <c r="AM82" s="317">
        <f t="shared" si="81"/>
        <v>5.4000000000000012</v>
      </c>
      <c r="AN82" s="317"/>
      <c r="AO82" s="317"/>
      <c r="AP82" s="317"/>
      <c r="AQ82" s="317"/>
      <c r="AR82" s="317">
        <f t="shared" si="82"/>
        <v>0</v>
      </c>
      <c r="AS82" s="317"/>
      <c r="AT82" s="317"/>
      <c r="AU82" s="317"/>
      <c r="AV82" s="317"/>
      <c r="AW82" s="139"/>
      <c r="AX82" s="139"/>
      <c r="AY82" s="139"/>
      <c r="AZ82" s="172"/>
      <c r="BA82" s="173"/>
      <c r="BB82" s="317">
        <f>(AM82*0.7%)+(2*CK82)</f>
        <v>3.9800000000000009E-2</v>
      </c>
      <c r="BC82" s="317"/>
      <c r="BD82" s="317"/>
      <c r="BE82" s="317"/>
      <c r="BF82" s="317"/>
      <c r="BG82" s="317">
        <f t="shared" si="83"/>
        <v>5.4398</v>
      </c>
      <c r="BH82" s="317"/>
      <c r="BI82" s="317"/>
      <c r="BJ82" s="317"/>
      <c r="BK82" s="317"/>
      <c r="BL82" s="317">
        <f t="shared" si="84"/>
        <v>5.3602000000000007</v>
      </c>
      <c r="BM82" s="317"/>
      <c r="BN82" s="317"/>
      <c r="BO82" s="317"/>
      <c r="BP82" s="317"/>
      <c r="BQ82" s="324" t="str">
        <f t="shared" si="85"/>
        <v>PASS</v>
      </c>
      <c r="BR82" s="324"/>
      <c r="BS82" s="324"/>
      <c r="BT82" s="324"/>
      <c r="BU82" s="324"/>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08"/>
      <c r="G83" s="309"/>
      <c r="H83" s="309"/>
      <c r="I83" s="309"/>
      <c r="J83" s="309"/>
      <c r="K83" s="310"/>
      <c r="L83" s="319">
        <f>6*90%</f>
        <v>5.4</v>
      </c>
      <c r="M83" s="320"/>
      <c r="N83" s="320"/>
      <c r="O83" s="320"/>
      <c r="P83" s="321" t="s">
        <v>93</v>
      </c>
      <c r="Q83" s="321"/>
      <c r="R83" s="322"/>
      <c r="S83" s="355" t="s">
        <v>143</v>
      </c>
      <c r="T83" s="355"/>
      <c r="U83" s="355"/>
      <c r="V83" s="355"/>
      <c r="W83" s="355"/>
      <c r="X83" s="316">
        <v>5.4</v>
      </c>
      <c r="Y83" s="316"/>
      <c r="Z83" s="316"/>
      <c r="AA83" s="316"/>
      <c r="AB83" s="316"/>
      <c r="AC83" s="316">
        <v>5.4</v>
      </c>
      <c r="AD83" s="316"/>
      <c r="AE83" s="316"/>
      <c r="AF83" s="316"/>
      <c r="AG83" s="316"/>
      <c r="AH83" s="316">
        <v>5.4</v>
      </c>
      <c r="AI83" s="316"/>
      <c r="AJ83" s="316"/>
      <c r="AK83" s="316"/>
      <c r="AL83" s="316"/>
      <c r="AM83" s="317">
        <f t="shared" si="81"/>
        <v>5.4000000000000012</v>
      </c>
      <c r="AN83" s="317"/>
      <c r="AO83" s="317"/>
      <c r="AP83" s="317"/>
      <c r="AQ83" s="317"/>
      <c r="AR83" s="317">
        <f t="shared" si="82"/>
        <v>0</v>
      </c>
      <c r="AS83" s="317"/>
      <c r="AT83" s="317"/>
      <c r="AU83" s="317"/>
      <c r="AV83" s="317"/>
      <c r="AW83" s="139"/>
      <c r="AX83" s="139"/>
      <c r="AY83" s="139"/>
      <c r="AZ83" s="172"/>
      <c r="BA83" s="173"/>
      <c r="BB83" s="317">
        <f>(AM83*1%)+(4*CK83)</f>
        <v>5.800000000000001E-2</v>
      </c>
      <c r="BC83" s="317"/>
      <c r="BD83" s="317"/>
      <c r="BE83" s="317"/>
      <c r="BF83" s="317"/>
      <c r="BG83" s="317">
        <f t="shared" si="83"/>
        <v>5.4580000000000002</v>
      </c>
      <c r="BH83" s="317"/>
      <c r="BI83" s="317"/>
      <c r="BJ83" s="317"/>
      <c r="BK83" s="317"/>
      <c r="BL83" s="317">
        <f t="shared" si="84"/>
        <v>5.3420000000000005</v>
      </c>
      <c r="BM83" s="317"/>
      <c r="BN83" s="317"/>
      <c r="BO83" s="317"/>
      <c r="BP83" s="317"/>
      <c r="BQ83" s="324" t="str">
        <f t="shared" si="85"/>
        <v>PASS</v>
      </c>
      <c r="BR83" s="324"/>
      <c r="BS83" s="324"/>
      <c r="BT83" s="324"/>
      <c r="BU83" s="324"/>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02" t="s">
        <v>136</v>
      </c>
      <c r="G84" s="303"/>
      <c r="H84" s="303"/>
      <c r="I84" s="303"/>
      <c r="J84" s="303"/>
      <c r="K84" s="304"/>
      <c r="L84" s="319">
        <f>60*10%</f>
        <v>6</v>
      </c>
      <c r="M84" s="320"/>
      <c r="N84" s="320"/>
      <c r="O84" s="320"/>
      <c r="P84" s="321" t="s">
        <v>93</v>
      </c>
      <c r="Q84" s="321"/>
      <c r="R84" s="322"/>
      <c r="S84" s="355" t="s">
        <v>96</v>
      </c>
      <c r="T84" s="355"/>
      <c r="U84" s="355"/>
      <c r="V84" s="355"/>
      <c r="W84" s="355"/>
      <c r="X84" s="316">
        <v>6</v>
      </c>
      <c r="Y84" s="316"/>
      <c r="Z84" s="316"/>
      <c r="AA84" s="316"/>
      <c r="AB84" s="316"/>
      <c r="AC84" s="316">
        <v>6</v>
      </c>
      <c r="AD84" s="316"/>
      <c r="AE84" s="316"/>
      <c r="AF84" s="316"/>
      <c r="AG84" s="316"/>
      <c r="AH84" s="316">
        <v>6</v>
      </c>
      <c r="AI84" s="316"/>
      <c r="AJ84" s="316"/>
      <c r="AK84" s="316"/>
      <c r="AL84" s="316"/>
      <c r="AM84" s="318">
        <f t="shared" si="81"/>
        <v>6</v>
      </c>
      <c r="AN84" s="318"/>
      <c r="AO84" s="318"/>
      <c r="AP84" s="318"/>
      <c r="AQ84" s="318"/>
      <c r="AR84" s="318">
        <f t="shared" si="82"/>
        <v>0</v>
      </c>
      <c r="AS84" s="318"/>
      <c r="AT84" s="318"/>
      <c r="AU84" s="318"/>
      <c r="AV84" s="318"/>
      <c r="AW84" s="139"/>
      <c r="AX84" s="139"/>
      <c r="AY84" s="139"/>
      <c r="AZ84" s="172"/>
      <c r="BA84" s="173"/>
      <c r="BB84" s="317">
        <f>(AM84*0.7%)+(2*CK84)</f>
        <v>6.2E-2</v>
      </c>
      <c r="BC84" s="317"/>
      <c r="BD84" s="317"/>
      <c r="BE84" s="317"/>
      <c r="BF84" s="317"/>
      <c r="BG84" s="318">
        <f t="shared" si="83"/>
        <v>6.0620000000000003</v>
      </c>
      <c r="BH84" s="318"/>
      <c r="BI84" s="318"/>
      <c r="BJ84" s="318"/>
      <c r="BK84" s="318"/>
      <c r="BL84" s="318">
        <f t="shared" si="84"/>
        <v>5.9379999999999997</v>
      </c>
      <c r="BM84" s="318"/>
      <c r="BN84" s="318"/>
      <c r="BO84" s="318"/>
      <c r="BP84" s="318"/>
      <c r="BQ84" s="324" t="str">
        <f t="shared" si="85"/>
        <v>PASS</v>
      </c>
      <c r="BR84" s="324"/>
      <c r="BS84" s="324"/>
      <c r="BT84" s="324"/>
      <c r="BU84" s="324"/>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05"/>
      <c r="G85" s="306"/>
      <c r="H85" s="306"/>
      <c r="I85" s="306"/>
      <c r="J85" s="306"/>
      <c r="K85" s="307"/>
      <c r="L85" s="319">
        <f>60*10%</f>
        <v>6</v>
      </c>
      <c r="M85" s="320"/>
      <c r="N85" s="320"/>
      <c r="O85" s="320"/>
      <c r="P85" s="321" t="s">
        <v>93</v>
      </c>
      <c r="Q85" s="321"/>
      <c r="R85" s="322"/>
      <c r="S85" s="355" t="s">
        <v>143</v>
      </c>
      <c r="T85" s="355"/>
      <c r="U85" s="355"/>
      <c r="V85" s="355"/>
      <c r="W85" s="355"/>
      <c r="X85" s="316">
        <v>6</v>
      </c>
      <c r="Y85" s="316"/>
      <c r="Z85" s="316"/>
      <c r="AA85" s="316"/>
      <c r="AB85" s="316"/>
      <c r="AC85" s="316">
        <v>6</v>
      </c>
      <c r="AD85" s="316"/>
      <c r="AE85" s="316"/>
      <c r="AF85" s="316"/>
      <c r="AG85" s="316"/>
      <c r="AH85" s="316">
        <v>6</v>
      </c>
      <c r="AI85" s="316"/>
      <c r="AJ85" s="316"/>
      <c r="AK85" s="316"/>
      <c r="AL85" s="316"/>
      <c r="AM85" s="318">
        <f t="shared" si="81"/>
        <v>6</v>
      </c>
      <c r="AN85" s="318"/>
      <c r="AO85" s="318"/>
      <c r="AP85" s="318"/>
      <c r="AQ85" s="318"/>
      <c r="AR85" s="318">
        <f t="shared" si="82"/>
        <v>0</v>
      </c>
      <c r="AS85" s="318"/>
      <c r="AT85" s="318"/>
      <c r="AU85" s="318"/>
      <c r="AV85" s="318"/>
      <c r="AW85" s="139"/>
      <c r="AX85" s="139"/>
      <c r="AY85" s="139"/>
      <c r="AZ85" s="172"/>
      <c r="BA85" s="173"/>
      <c r="BB85" s="317">
        <f>(AM85*1%)+(4*CK85)</f>
        <v>0.1</v>
      </c>
      <c r="BC85" s="317"/>
      <c r="BD85" s="317"/>
      <c r="BE85" s="317"/>
      <c r="BF85" s="317"/>
      <c r="BG85" s="318">
        <f t="shared" si="83"/>
        <v>6.1</v>
      </c>
      <c r="BH85" s="318"/>
      <c r="BI85" s="318"/>
      <c r="BJ85" s="318"/>
      <c r="BK85" s="318"/>
      <c r="BL85" s="318">
        <f t="shared" si="84"/>
        <v>5.9</v>
      </c>
      <c r="BM85" s="318"/>
      <c r="BN85" s="318"/>
      <c r="BO85" s="318"/>
      <c r="BP85" s="318"/>
      <c r="BQ85" s="324" t="str">
        <f t="shared" si="85"/>
        <v>PASS</v>
      </c>
      <c r="BR85" s="324"/>
      <c r="BS85" s="324"/>
      <c r="BT85" s="324"/>
      <c r="BU85" s="324"/>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05"/>
      <c r="G86" s="306"/>
      <c r="H86" s="306"/>
      <c r="I86" s="306"/>
      <c r="J86" s="306"/>
      <c r="K86" s="307"/>
      <c r="L86" s="319">
        <f>60*50%</f>
        <v>30</v>
      </c>
      <c r="M86" s="320"/>
      <c r="N86" s="320"/>
      <c r="O86" s="320"/>
      <c r="P86" s="321" t="s">
        <v>93</v>
      </c>
      <c r="Q86" s="321"/>
      <c r="R86" s="322"/>
      <c r="S86" s="355" t="s">
        <v>96</v>
      </c>
      <c r="T86" s="355"/>
      <c r="U86" s="355"/>
      <c r="V86" s="355"/>
      <c r="W86" s="355"/>
      <c r="X86" s="316">
        <v>30</v>
      </c>
      <c r="Y86" s="316"/>
      <c r="Z86" s="316"/>
      <c r="AA86" s="316"/>
      <c r="AB86" s="316"/>
      <c r="AC86" s="316">
        <v>30</v>
      </c>
      <c r="AD86" s="316"/>
      <c r="AE86" s="316"/>
      <c r="AF86" s="316"/>
      <c r="AG86" s="316"/>
      <c r="AH86" s="316">
        <v>30</v>
      </c>
      <c r="AI86" s="316"/>
      <c r="AJ86" s="316"/>
      <c r="AK86" s="316"/>
      <c r="AL86" s="316"/>
      <c r="AM86" s="318">
        <f t="shared" si="81"/>
        <v>30</v>
      </c>
      <c r="AN86" s="318"/>
      <c r="AO86" s="318"/>
      <c r="AP86" s="318"/>
      <c r="AQ86" s="318"/>
      <c r="AR86" s="318">
        <f t="shared" si="82"/>
        <v>0</v>
      </c>
      <c r="AS86" s="318"/>
      <c r="AT86" s="318"/>
      <c r="AU86" s="318"/>
      <c r="AV86" s="318"/>
      <c r="AW86" s="139"/>
      <c r="AX86" s="139"/>
      <c r="AY86" s="139"/>
      <c r="AZ86" s="172"/>
      <c r="BA86" s="173"/>
      <c r="BB86" s="317">
        <f>(AM86*0.7%)+(2*CK86)</f>
        <v>0.22999999999999995</v>
      </c>
      <c r="BC86" s="317"/>
      <c r="BD86" s="317"/>
      <c r="BE86" s="317"/>
      <c r="BF86" s="317"/>
      <c r="BG86" s="318">
        <f t="shared" si="83"/>
        <v>30.23</v>
      </c>
      <c r="BH86" s="318"/>
      <c r="BI86" s="318"/>
      <c r="BJ86" s="318"/>
      <c r="BK86" s="318"/>
      <c r="BL86" s="318">
        <f t="shared" si="84"/>
        <v>29.77</v>
      </c>
      <c r="BM86" s="318"/>
      <c r="BN86" s="318"/>
      <c r="BO86" s="318"/>
      <c r="BP86" s="318"/>
      <c r="BQ86" s="324" t="str">
        <f t="shared" si="85"/>
        <v>PASS</v>
      </c>
      <c r="BR86" s="324"/>
      <c r="BS86" s="324"/>
      <c r="BT86" s="324"/>
      <c r="BU86" s="324"/>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05"/>
      <c r="G87" s="306"/>
      <c r="H87" s="306"/>
      <c r="I87" s="306"/>
      <c r="J87" s="306"/>
      <c r="K87" s="307"/>
      <c r="L87" s="319">
        <f>60*50%</f>
        <v>30</v>
      </c>
      <c r="M87" s="320"/>
      <c r="N87" s="320"/>
      <c r="O87" s="320"/>
      <c r="P87" s="321" t="s">
        <v>93</v>
      </c>
      <c r="Q87" s="321"/>
      <c r="R87" s="322"/>
      <c r="S87" s="355" t="s">
        <v>143</v>
      </c>
      <c r="T87" s="355"/>
      <c r="U87" s="355"/>
      <c r="V87" s="355"/>
      <c r="W87" s="355"/>
      <c r="X87" s="316">
        <v>30</v>
      </c>
      <c r="Y87" s="316"/>
      <c r="Z87" s="316"/>
      <c r="AA87" s="316"/>
      <c r="AB87" s="316"/>
      <c r="AC87" s="316">
        <v>30</v>
      </c>
      <c r="AD87" s="316"/>
      <c r="AE87" s="316"/>
      <c r="AF87" s="316"/>
      <c r="AG87" s="316"/>
      <c r="AH87" s="316">
        <v>30</v>
      </c>
      <c r="AI87" s="316"/>
      <c r="AJ87" s="316"/>
      <c r="AK87" s="316"/>
      <c r="AL87" s="316"/>
      <c r="AM87" s="318">
        <f t="shared" si="81"/>
        <v>30</v>
      </c>
      <c r="AN87" s="318"/>
      <c r="AO87" s="318"/>
      <c r="AP87" s="318"/>
      <c r="AQ87" s="318"/>
      <c r="AR87" s="318">
        <f t="shared" si="82"/>
        <v>0</v>
      </c>
      <c r="AS87" s="318"/>
      <c r="AT87" s="318"/>
      <c r="AU87" s="318"/>
      <c r="AV87" s="318"/>
      <c r="AW87" s="139"/>
      <c r="AX87" s="139"/>
      <c r="AY87" s="139"/>
      <c r="AZ87" s="172"/>
      <c r="BA87" s="173"/>
      <c r="BB87" s="317">
        <f>(AM87*1%)+(4*CK87)</f>
        <v>0.33999999999999997</v>
      </c>
      <c r="BC87" s="317"/>
      <c r="BD87" s="317"/>
      <c r="BE87" s="317"/>
      <c r="BF87" s="317"/>
      <c r="BG87" s="318">
        <f t="shared" si="83"/>
        <v>30.34</v>
      </c>
      <c r="BH87" s="318"/>
      <c r="BI87" s="318"/>
      <c r="BJ87" s="318"/>
      <c r="BK87" s="318"/>
      <c r="BL87" s="318">
        <f t="shared" si="84"/>
        <v>29.66</v>
      </c>
      <c r="BM87" s="318"/>
      <c r="BN87" s="318"/>
      <c r="BO87" s="318"/>
      <c r="BP87" s="318"/>
      <c r="BQ87" s="324" t="str">
        <f t="shared" si="85"/>
        <v>PASS</v>
      </c>
      <c r="BR87" s="324"/>
      <c r="BS87" s="324"/>
      <c r="BT87" s="324"/>
      <c r="BU87" s="324"/>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05"/>
      <c r="G88" s="306"/>
      <c r="H88" s="306"/>
      <c r="I88" s="306"/>
      <c r="J88" s="306"/>
      <c r="K88" s="307"/>
      <c r="L88" s="319">
        <f>60*90%</f>
        <v>54</v>
      </c>
      <c r="M88" s="320"/>
      <c r="N88" s="320"/>
      <c r="O88" s="320"/>
      <c r="P88" s="321" t="s">
        <v>93</v>
      </c>
      <c r="Q88" s="321"/>
      <c r="R88" s="322"/>
      <c r="S88" s="355" t="s">
        <v>96</v>
      </c>
      <c r="T88" s="355"/>
      <c r="U88" s="355"/>
      <c r="V88" s="355"/>
      <c r="W88" s="355"/>
      <c r="X88" s="316">
        <v>54</v>
      </c>
      <c r="Y88" s="316"/>
      <c r="Z88" s="316"/>
      <c r="AA88" s="316"/>
      <c r="AB88" s="316"/>
      <c r="AC88" s="316">
        <v>54</v>
      </c>
      <c r="AD88" s="316"/>
      <c r="AE88" s="316"/>
      <c r="AF88" s="316"/>
      <c r="AG88" s="316"/>
      <c r="AH88" s="316">
        <v>54</v>
      </c>
      <c r="AI88" s="316"/>
      <c r="AJ88" s="316"/>
      <c r="AK88" s="316"/>
      <c r="AL88" s="316"/>
      <c r="AM88" s="318">
        <f t="shared" si="81"/>
        <v>54</v>
      </c>
      <c r="AN88" s="318"/>
      <c r="AO88" s="318"/>
      <c r="AP88" s="318"/>
      <c r="AQ88" s="318"/>
      <c r="AR88" s="318">
        <f t="shared" si="82"/>
        <v>0</v>
      </c>
      <c r="AS88" s="318"/>
      <c r="AT88" s="318"/>
      <c r="AU88" s="318"/>
      <c r="AV88" s="318"/>
      <c r="AW88" s="139"/>
      <c r="AX88" s="139"/>
      <c r="AY88" s="139"/>
      <c r="AZ88" s="172"/>
      <c r="BA88" s="173"/>
      <c r="BB88" s="317">
        <f>(AM88*0.7%)+(2*CK88)</f>
        <v>0.39799999999999996</v>
      </c>
      <c r="BC88" s="317"/>
      <c r="BD88" s="317"/>
      <c r="BE88" s="317"/>
      <c r="BF88" s="317"/>
      <c r="BG88" s="316">
        <f t="shared" si="83"/>
        <v>54.398000000000003</v>
      </c>
      <c r="BH88" s="316"/>
      <c r="BI88" s="316"/>
      <c r="BJ88" s="316"/>
      <c r="BK88" s="316"/>
      <c r="BL88" s="316">
        <f t="shared" si="84"/>
        <v>53.601999999999997</v>
      </c>
      <c r="BM88" s="316"/>
      <c r="BN88" s="316"/>
      <c r="BO88" s="316"/>
      <c r="BP88" s="316"/>
      <c r="BQ88" s="324" t="str">
        <f t="shared" si="85"/>
        <v>PASS</v>
      </c>
      <c r="BR88" s="324"/>
      <c r="BS88" s="324"/>
      <c r="BT88" s="324"/>
      <c r="BU88" s="324"/>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08"/>
      <c r="G89" s="309"/>
      <c r="H89" s="309"/>
      <c r="I89" s="309"/>
      <c r="J89" s="309"/>
      <c r="K89" s="310"/>
      <c r="L89" s="319">
        <f>60*90%</f>
        <v>54</v>
      </c>
      <c r="M89" s="320"/>
      <c r="N89" s="320"/>
      <c r="O89" s="320"/>
      <c r="P89" s="321" t="s">
        <v>93</v>
      </c>
      <c r="Q89" s="321"/>
      <c r="R89" s="322"/>
      <c r="S89" s="355" t="s">
        <v>143</v>
      </c>
      <c r="T89" s="355"/>
      <c r="U89" s="355"/>
      <c r="V89" s="355"/>
      <c r="W89" s="355"/>
      <c r="X89" s="316">
        <v>54</v>
      </c>
      <c r="Y89" s="316"/>
      <c r="Z89" s="316"/>
      <c r="AA89" s="316"/>
      <c r="AB89" s="316"/>
      <c r="AC89" s="316">
        <v>54</v>
      </c>
      <c r="AD89" s="316"/>
      <c r="AE89" s="316"/>
      <c r="AF89" s="316"/>
      <c r="AG89" s="316"/>
      <c r="AH89" s="316">
        <v>54</v>
      </c>
      <c r="AI89" s="316"/>
      <c r="AJ89" s="316"/>
      <c r="AK89" s="316"/>
      <c r="AL89" s="316"/>
      <c r="AM89" s="318">
        <f t="shared" si="81"/>
        <v>54</v>
      </c>
      <c r="AN89" s="318"/>
      <c r="AO89" s="318"/>
      <c r="AP89" s="318"/>
      <c r="AQ89" s="318"/>
      <c r="AR89" s="318">
        <f t="shared" si="82"/>
        <v>0</v>
      </c>
      <c r="AS89" s="318"/>
      <c r="AT89" s="318"/>
      <c r="AU89" s="318"/>
      <c r="AV89" s="318"/>
      <c r="AW89" s="139"/>
      <c r="AX89" s="139"/>
      <c r="AY89" s="139"/>
      <c r="AZ89" s="172"/>
      <c r="BA89" s="173"/>
      <c r="BB89" s="317">
        <f>(AM89*1%)+(4*CK89)</f>
        <v>0.58000000000000007</v>
      </c>
      <c r="BC89" s="317"/>
      <c r="BD89" s="317"/>
      <c r="BE89" s="317"/>
      <c r="BF89" s="317"/>
      <c r="BG89" s="316">
        <f t="shared" si="83"/>
        <v>54.58</v>
      </c>
      <c r="BH89" s="316"/>
      <c r="BI89" s="316"/>
      <c r="BJ89" s="316"/>
      <c r="BK89" s="316"/>
      <c r="BL89" s="316">
        <f t="shared" si="84"/>
        <v>53.42</v>
      </c>
      <c r="BM89" s="316"/>
      <c r="BN89" s="316"/>
      <c r="BO89" s="316"/>
      <c r="BP89" s="316"/>
      <c r="BQ89" s="324" t="str">
        <f t="shared" si="85"/>
        <v>PASS</v>
      </c>
      <c r="BR89" s="324"/>
      <c r="BS89" s="324"/>
      <c r="BT89" s="324"/>
      <c r="BU89" s="324"/>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02" t="s">
        <v>94</v>
      </c>
      <c r="G90" s="303"/>
      <c r="H90" s="303"/>
      <c r="I90" s="303"/>
      <c r="J90" s="303"/>
      <c r="K90" s="304"/>
      <c r="L90" s="319">
        <v>60</v>
      </c>
      <c r="M90" s="320"/>
      <c r="N90" s="320"/>
      <c r="O90" s="320"/>
      <c r="P90" s="321" t="s">
        <v>93</v>
      </c>
      <c r="Q90" s="321"/>
      <c r="R90" s="322"/>
      <c r="S90" s="355" t="s">
        <v>96</v>
      </c>
      <c r="T90" s="355"/>
      <c r="U90" s="355"/>
      <c r="V90" s="355"/>
      <c r="W90" s="355"/>
      <c r="X90" s="316">
        <v>60</v>
      </c>
      <c r="Y90" s="316"/>
      <c r="Z90" s="316"/>
      <c r="AA90" s="316"/>
      <c r="AB90" s="316"/>
      <c r="AC90" s="316">
        <v>60</v>
      </c>
      <c r="AD90" s="316"/>
      <c r="AE90" s="316"/>
      <c r="AF90" s="316"/>
      <c r="AG90" s="316"/>
      <c r="AH90" s="316">
        <v>60</v>
      </c>
      <c r="AI90" s="316"/>
      <c r="AJ90" s="316"/>
      <c r="AK90" s="316"/>
      <c r="AL90" s="316"/>
      <c r="AM90" s="316">
        <f t="shared" si="81"/>
        <v>60</v>
      </c>
      <c r="AN90" s="316"/>
      <c r="AO90" s="316"/>
      <c r="AP90" s="316"/>
      <c r="AQ90" s="316"/>
      <c r="AR90" s="316">
        <f t="shared" si="82"/>
        <v>0</v>
      </c>
      <c r="AS90" s="316"/>
      <c r="AT90" s="316"/>
      <c r="AU90" s="316"/>
      <c r="AV90" s="316"/>
      <c r="AW90" s="139"/>
      <c r="AX90" s="139"/>
      <c r="AY90" s="139"/>
      <c r="AZ90" s="172"/>
      <c r="BA90" s="173"/>
      <c r="BB90" s="317">
        <f>(AM90*0.7%)+(2*CK90)</f>
        <v>0.61999999999999988</v>
      </c>
      <c r="BC90" s="317"/>
      <c r="BD90" s="317"/>
      <c r="BE90" s="317"/>
      <c r="BF90" s="317"/>
      <c r="BG90" s="390">
        <f t="shared" si="83"/>
        <v>60.62</v>
      </c>
      <c r="BH90" s="390"/>
      <c r="BI90" s="390"/>
      <c r="BJ90" s="390"/>
      <c r="BK90" s="390"/>
      <c r="BL90" s="390">
        <f t="shared" si="84"/>
        <v>59.38</v>
      </c>
      <c r="BM90" s="390"/>
      <c r="BN90" s="390"/>
      <c r="BO90" s="390"/>
      <c r="BP90" s="390"/>
      <c r="BQ90" s="324" t="str">
        <f t="shared" si="85"/>
        <v>PASS</v>
      </c>
      <c r="BR90" s="324"/>
      <c r="BS90" s="324"/>
      <c r="BT90" s="324"/>
      <c r="BU90" s="324"/>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05"/>
      <c r="G91" s="306"/>
      <c r="H91" s="306"/>
      <c r="I91" s="306"/>
      <c r="J91" s="306"/>
      <c r="K91" s="307"/>
      <c r="L91" s="319">
        <v>60</v>
      </c>
      <c r="M91" s="320"/>
      <c r="N91" s="320"/>
      <c r="O91" s="320"/>
      <c r="P91" s="321" t="s">
        <v>93</v>
      </c>
      <c r="Q91" s="321"/>
      <c r="R91" s="322"/>
      <c r="S91" s="355" t="s">
        <v>143</v>
      </c>
      <c r="T91" s="355"/>
      <c r="U91" s="355"/>
      <c r="V91" s="355"/>
      <c r="W91" s="355"/>
      <c r="X91" s="316">
        <v>60</v>
      </c>
      <c r="Y91" s="316"/>
      <c r="Z91" s="316"/>
      <c r="AA91" s="316"/>
      <c r="AB91" s="316"/>
      <c r="AC91" s="316">
        <v>60</v>
      </c>
      <c r="AD91" s="316"/>
      <c r="AE91" s="316"/>
      <c r="AF91" s="316"/>
      <c r="AG91" s="316"/>
      <c r="AH91" s="316">
        <v>60</v>
      </c>
      <c r="AI91" s="316"/>
      <c r="AJ91" s="316"/>
      <c r="AK91" s="316"/>
      <c r="AL91" s="316"/>
      <c r="AM91" s="316">
        <f t="shared" si="81"/>
        <v>60</v>
      </c>
      <c r="AN91" s="316"/>
      <c r="AO91" s="316"/>
      <c r="AP91" s="316"/>
      <c r="AQ91" s="316"/>
      <c r="AR91" s="316">
        <f t="shared" si="82"/>
        <v>0</v>
      </c>
      <c r="AS91" s="316"/>
      <c r="AT91" s="316"/>
      <c r="AU91" s="316"/>
      <c r="AV91" s="316"/>
      <c r="AW91" s="139"/>
      <c r="AX91" s="139"/>
      <c r="AY91" s="139"/>
      <c r="AZ91" s="172"/>
      <c r="BA91" s="173"/>
      <c r="BB91" s="317">
        <f>(AM91*1%)+(4*CK91)</f>
        <v>1</v>
      </c>
      <c r="BC91" s="317"/>
      <c r="BD91" s="317"/>
      <c r="BE91" s="317"/>
      <c r="BF91" s="317"/>
      <c r="BG91" s="390">
        <f t="shared" si="83"/>
        <v>61</v>
      </c>
      <c r="BH91" s="390"/>
      <c r="BI91" s="390"/>
      <c r="BJ91" s="390"/>
      <c r="BK91" s="390"/>
      <c r="BL91" s="390">
        <f t="shared" si="84"/>
        <v>59</v>
      </c>
      <c r="BM91" s="390"/>
      <c r="BN91" s="390"/>
      <c r="BO91" s="390"/>
      <c r="BP91" s="390"/>
      <c r="BQ91" s="324" t="str">
        <f t="shared" si="85"/>
        <v>PASS</v>
      </c>
      <c r="BR91" s="324"/>
      <c r="BS91" s="324"/>
      <c r="BT91" s="324"/>
      <c r="BU91" s="324"/>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05"/>
      <c r="G92" s="306"/>
      <c r="H92" s="306"/>
      <c r="I92" s="306"/>
      <c r="J92" s="306"/>
      <c r="K92" s="307"/>
      <c r="L92" s="319">
        <v>540</v>
      </c>
      <c r="M92" s="320"/>
      <c r="N92" s="320"/>
      <c r="O92" s="320"/>
      <c r="P92" s="321" t="s">
        <v>93</v>
      </c>
      <c r="Q92" s="321"/>
      <c r="R92" s="322"/>
      <c r="S92" s="355" t="s">
        <v>96</v>
      </c>
      <c r="T92" s="355"/>
      <c r="U92" s="355"/>
      <c r="V92" s="355"/>
      <c r="W92" s="355"/>
      <c r="X92" s="316">
        <v>540</v>
      </c>
      <c r="Y92" s="316"/>
      <c r="Z92" s="316"/>
      <c r="AA92" s="316"/>
      <c r="AB92" s="316"/>
      <c r="AC92" s="316">
        <v>540</v>
      </c>
      <c r="AD92" s="316"/>
      <c r="AE92" s="316"/>
      <c r="AF92" s="316"/>
      <c r="AG92" s="316"/>
      <c r="AH92" s="316">
        <v>540</v>
      </c>
      <c r="AI92" s="316"/>
      <c r="AJ92" s="316"/>
      <c r="AK92" s="316"/>
      <c r="AL92" s="316"/>
      <c r="AM92" s="316">
        <f t="shared" si="81"/>
        <v>540</v>
      </c>
      <c r="AN92" s="316"/>
      <c r="AO92" s="316"/>
      <c r="AP92" s="316"/>
      <c r="AQ92" s="316"/>
      <c r="AR92" s="316">
        <f t="shared" si="82"/>
        <v>0</v>
      </c>
      <c r="AS92" s="316"/>
      <c r="AT92" s="316"/>
      <c r="AU92" s="316"/>
      <c r="AV92" s="316"/>
      <c r="AW92" s="139"/>
      <c r="AX92" s="139"/>
      <c r="AY92" s="139"/>
      <c r="AZ92" s="172"/>
      <c r="BA92" s="173"/>
      <c r="BB92" s="317">
        <f>(AM92*0.7%)+(2*CK92)</f>
        <v>3.98</v>
      </c>
      <c r="BC92" s="317"/>
      <c r="BD92" s="317"/>
      <c r="BE92" s="317"/>
      <c r="BF92" s="317"/>
      <c r="BG92" s="390">
        <f t="shared" si="83"/>
        <v>543.98</v>
      </c>
      <c r="BH92" s="390"/>
      <c r="BI92" s="390"/>
      <c r="BJ92" s="390"/>
      <c r="BK92" s="390"/>
      <c r="BL92" s="390">
        <f t="shared" si="84"/>
        <v>536.02</v>
      </c>
      <c r="BM92" s="390"/>
      <c r="BN92" s="390"/>
      <c r="BO92" s="390"/>
      <c r="BP92" s="390"/>
      <c r="BQ92" s="324" t="str">
        <f t="shared" si="85"/>
        <v>PASS</v>
      </c>
      <c r="BR92" s="324"/>
      <c r="BS92" s="324"/>
      <c r="BT92" s="324"/>
      <c r="BU92" s="324"/>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08"/>
      <c r="G93" s="309"/>
      <c r="H93" s="309"/>
      <c r="I93" s="309"/>
      <c r="J93" s="309"/>
      <c r="K93" s="310"/>
      <c r="L93" s="319">
        <v>540</v>
      </c>
      <c r="M93" s="320"/>
      <c r="N93" s="320"/>
      <c r="O93" s="320"/>
      <c r="P93" s="321" t="s">
        <v>93</v>
      </c>
      <c r="Q93" s="321"/>
      <c r="R93" s="322"/>
      <c r="S93" s="355" t="s">
        <v>143</v>
      </c>
      <c r="T93" s="355"/>
      <c r="U93" s="355"/>
      <c r="V93" s="355"/>
      <c r="W93" s="355"/>
      <c r="X93" s="316">
        <v>540</v>
      </c>
      <c r="Y93" s="316"/>
      <c r="Z93" s="316"/>
      <c r="AA93" s="316"/>
      <c r="AB93" s="316"/>
      <c r="AC93" s="316">
        <v>540</v>
      </c>
      <c r="AD93" s="316"/>
      <c r="AE93" s="316"/>
      <c r="AF93" s="316"/>
      <c r="AG93" s="316"/>
      <c r="AH93" s="316">
        <v>540</v>
      </c>
      <c r="AI93" s="316"/>
      <c r="AJ93" s="316"/>
      <c r="AK93" s="316"/>
      <c r="AL93" s="316"/>
      <c r="AM93" s="316">
        <f t="shared" si="81"/>
        <v>540</v>
      </c>
      <c r="AN93" s="316"/>
      <c r="AO93" s="316"/>
      <c r="AP93" s="316"/>
      <c r="AQ93" s="316"/>
      <c r="AR93" s="316">
        <f t="shared" si="82"/>
        <v>0</v>
      </c>
      <c r="AS93" s="316"/>
      <c r="AT93" s="316"/>
      <c r="AU93" s="316"/>
      <c r="AV93" s="316"/>
      <c r="AW93" s="139"/>
      <c r="AX93" s="139"/>
      <c r="AY93" s="139"/>
      <c r="AZ93" s="172"/>
      <c r="BA93" s="173"/>
      <c r="BB93" s="317">
        <f>(AM93*1%)+(4*CK93)</f>
        <v>5.8000000000000007</v>
      </c>
      <c r="BC93" s="317"/>
      <c r="BD93" s="317"/>
      <c r="BE93" s="317"/>
      <c r="BF93" s="317"/>
      <c r="BG93" s="390">
        <f t="shared" si="83"/>
        <v>545.79999999999995</v>
      </c>
      <c r="BH93" s="390"/>
      <c r="BI93" s="390"/>
      <c r="BJ93" s="390"/>
      <c r="BK93" s="390"/>
      <c r="BL93" s="390">
        <f t="shared" si="84"/>
        <v>534.20000000000005</v>
      </c>
      <c r="BM93" s="390"/>
      <c r="BN93" s="390"/>
      <c r="BO93" s="390"/>
      <c r="BP93" s="390"/>
      <c r="BQ93" s="324" t="str">
        <f t="shared" si="85"/>
        <v>PASS</v>
      </c>
      <c r="BR93" s="324"/>
      <c r="BS93" s="324"/>
      <c r="BT93" s="324"/>
      <c r="BU93" s="324"/>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02" t="s">
        <v>158</v>
      </c>
      <c r="G94" s="303"/>
      <c r="H94" s="303"/>
      <c r="I94" s="303"/>
      <c r="J94" s="303"/>
      <c r="K94" s="304"/>
      <c r="L94" s="319">
        <f>1000*10%</f>
        <v>100</v>
      </c>
      <c r="M94" s="320"/>
      <c r="N94" s="320"/>
      <c r="O94" s="320"/>
      <c r="P94" s="321" t="s">
        <v>93</v>
      </c>
      <c r="Q94" s="321"/>
      <c r="R94" s="322"/>
      <c r="S94" s="355" t="s">
        <v>96</v>
      </c>
      <c r="T94" s="355"/>
      <c r="U94" s="355"/>
      <c r="V94" s="355"/>
      <c r="W94" s="355"/>
      <c r="X94" s="316">
        <v>100</v>
      </c>
      <c r="Y94" s="316"/>
      <c r="Z94" s="316"/>
      <c r="AA94" s="316"/>
      <c r="AB94" s="316"/>
      <c r="AC94" s="316">
        <v>100</v>
      </c>
      <c r="AD94" s="316"/>
      <c r="AE94" s="316"/>
      <c r="AF94" s="316"/>
      <c r="AG94" s="316"/>
      <c r="AH94" s="316">
        <v>100</v>
      </c>
      <c r="AI94" s="316"/>
      <c r="AJ94" s="316"/>
      <c r="AK94" s="316"/>
      <c r="AL94" s="316"/>
      <c r="AM94" s="390">
        <f t="shared" ref="AM94:AM97" si="114">AVERAGE(X94:AL94)</f>
        <v>100</v>
      </c>
      <c r="AN94" s="390"/>
      <c r="AO94" s="390"/>
      <c r="AP94" s="390"/>
      <c r="AQ94" s="390"/>
      <c r="AR94" s="390">
        <f t="shared" ref="AR94:AR97" si="115">AM94-L94</f>
        <v>0</v>
      </c>
      <c r="AS94" s="390"/>
      <c r="AT94" s="390"/>
      <c r="AU94" s="390"/>
      <c r="AV94" s="390"/>
      <c r="AW94" s="139"/>
      <c r="AX94" s="139"/>
      <c r="AY94" s="139"/>
      <c r="AZ94" s="172"/>
      <c r="BA94" s="173"/>
      <c r="BB94" s="317">
        <f>(AM94*0.7%)+(2*CK94)</f>
        <v>2.7</v>
      </c>
      <c r="BC94" s="317"/>
      <c r="BD94" s="317"/>
      <c r="BE94" s="317"/>
      <c r="BF94" s="317"/>
      <c r="BG94" s="390">
        <f t="shared" ref="BG94:BG97" si="116">L94+BB94</f>
        <v>102.7</v>
      </c>
      <c r="BH94" s="390"/>
      <c r="BI94" s="390"/>
      <c r="BJ94" s="390"/>
      <c r="BK94" s="390"/>
      <c r="BL94" s="390">
        <f t="shared" ref="BL94:BL97" si="117">L94-BB94</f>
        <v>97.3</v>
      </c>
      <c r="BM94" s="390"/>
      <c r="BN94" s="390"/>
      <c r="BO94" s="390"/>
      <c r="BP94" s="390"/>
      <c r="BQ94" s="324" t="str">
        <f t="shared" ref="BQ94:BQ97" si="118">IF(AND(AM94&lt;=BG94,AM94&gt;=BL94),"PASS","FAIL")</f>
        <v>PASS</v>
      </c>
      <c r="BR94" s="324"/>
      <c r="BS94" s="324"/>
      <c r="BT94" s="324"/>
      <c r="BU94" s="324"/>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05"/>
      <c r="G95" s="306"/>
      <c r="H95" s="306"/>
      <c r="I95" s="306"/>
      <c r="J95" s="306"/>
      <c r="K95" s="307"/>
      <c r="L95" s="319">
        <f>1000*10%</f>
        <v>100</v>
      </c>
      <c r="M95" s="320"/>
      <c r="N95" s="320"/>
      <c r="O95" s="320"/>
      <c r="P95" s="321" t="s">
        <v>93</v>
      </c>
      <c r="Q95" s="321"/>
      <c r="R95" s="322"/>
      <c r="S95" s="355" t="s">
        <v>143</v>
      </c>
      <c r="T95" s="355"/>
      <c r="U95" s="355"/>
      <c r="V95" s="355"/>
      <c r="W95" s="355"/>
      <c r="X95" s="316">
        <v>100</v>
      </c>
      <c r="Y95" s="316"/>
      <c r="Z95" s="316"/>
      <c r="AA95" s="316"/>
      <c r="AB95" s="316"/>
      <c r="AC95" s="316">
        <v>100</v>
      </c>
      <c r="AD95" s="316"/>
      <c r="AE95" s="316"/>
      <c r="AF95" s="316"/>
      <c r="AG95" s="316"/>
      <c r="AH95" s="316">
        <v>100</v>
      </c>
      <c r="AI95" s="316"/>
      <c r="AJ95" s="316"/>
      <c r="AK95" s="316"/>
      <c r="AL95" s="316"/>
      <c r="AM95" s="390">
        <f t="shared" si="114"/>
        <v>100</v>
      </c>
      <c r="AN95" s="390"/>
      <c r="AO95" s="390"/>
      <c r="AP95" s="390"/>
      <c r="AQ95" s="390"/>
      <c r="AR95" s="390">
        <f t="shared" si="115"/>
        <v>0</v>
      </c>
      <c r="AS95" s="390"/>
      <c r="AT95" s="390"/>
      <c r="AU95" s="390"/>
      <c r="AV95" s="390"/>
      <c r="AW95" s="139"/>
      <c r="AX95" s="139"/>
      <c r="AY95" s="139"/>
      <c r="AZ95" s="172"/>
      <c r="BA95" s="173"/>
      <c r="BB95" s="317">
        <f>(AM95*1%)+(4*CK95)</f>
        <v>5</v>
      </c>
      <c r="BC95" s="317"/>
      <c r="BD95" s="317"/>
      <c r="BE95" s="317"/>
      <c r="BF95" s="317"/>
      <c r="BG95" s="390">
        <f t="shared" si="116"/>
        <v>105</v>
      </c>
      <c r="BH95" s="390"/>
      <c r="BI95" s="390"/>
      <c r="BJ95" s="390"/>
      <c r="BK95" s="390"/>
      <c r="BL95" s="390">
        <f t="shared" si="117"/>
        <v>95</v>
      </c>
      <c r="BM95" s="390"/>
      <c r="BN95" s="390"/>
      <c r="BO95" s="390"/>
      <c r="BP95" s="390"/>
      <c r="BQ95" s="324" t="str">
        <f t="shared" si="118"/>
        <v>PASS</v>
      </c>
      <c r="BR95" s="324"/>
      <c r="BS95" s="324"/>
      <c r="BT95" s="324"/>
      <c r="BU95" s="324"/>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05"/>
      <c r="G96" s="306"/>
      <c r="H96" s="306"/>
      <c r="I96" s="306"/>
      <c r="J96" s="306"/>
      <c r="K96" s="307"/>
      <c r="L96" s="319">
        <f>1000*90%</f>
        <v>900</v>
      </c>
      <c r="M96" s="320"/>
      <c r="N96" s="320"/>
      <c r="O96" s="320"/>
      <c r="P96" s="321" t="s">
        <v>93</v>
      </c>
      <c r="Q96" s="321"/>
      <c r="R96" s="322"/>
      <c r="S96" s="355" t="s">
        <v>96</v>
      </c>
      <c r="T96" s="355"/>
      <c r="U96" s="355"/>
      <c r="V96" s="355"/>
      <c r="W96" s="355"/>
      <c r="X96" s="316">
        <v>900</v>
      </c>
      <c r="Y96" s="316"/>
      <c r="Z96" s="316"/>
      <c r="AA96" s="316"/>
      <c r="AB96" s="316"/>
      <c r="AC96" s="316">
        <v>900</v>
      </c>
      <c r="AD96" s="316"/>
      <c r="AE96" s="316"/>
      <c r="AF96" s="316"/>
      <c r="AG96" s="316"/>
      <c r="AH96" s="316">
        <v>900</v>
      </c>
      <c r="AI96" s="316"/>
      <c r="AJ96" s="316"/>
      <c r="AK96" s="316"/>
      <c r="AL96" s="316"/>
      <c r="AM96" s="390">
        <f t="shared" si="114"/>
        <v>900</v>
      </c>
      <c r="AN96" s="390"/>
      <c r="AO96" s="390"/>
      <c r="AP96" s="390"/>
      <c r="AQ96" s="390"/>
      <c r="AR96" s="390">
        <f t="shared" si="115"/>
        <v>0</v>
      </c>
      <c r="AS96" s="390"/>
      <c r="AT96" s="390"/>
      <c r="AU96" s="390"/>
      <c r="AV96" s="390"/>
      <c r="AW96" s="139"/>
      <c r="AX96" s="139"/>
      <c r="AY96" s="139"/>
      <c r="AZ96" s="172"/>
      <c r="BA96" s="173"/>
      <c r="BB96" s="317">
        <f>(AM96*0.7%)+(2*CK96)</f>
        <v>8.2999999999999989</v>
      </c>
      <c r="BC96" s="317"/>
      <c r="BD96" s="317"/>
      <c r="BE96" s="317"/>
      <c r="BF96" s="317"/>
      <c r="BG96" s="390">
        <f t="shared" si="116"/>
        <v>908.3</v>
      </c>
      <c r="BH96" s="390"/>
      <c r="BI96" s="390"/>
      <c r="BJ96" s="390"/>
      <c r="BK96" s="390"/>
      <c r="BL96" s="390">
        <f t="shared" si="117"/>
        <v>891.7</v>
      </c>
      <c r="BM96" s="390"/>
      <c r="BN96" s="390"/>
      <c r="BO96" s="390"/>
      <c r="BP96" s="390"/>
      <c r="BQ96" s="324" t="str">
        <f t="shared" si="118"/>
        <v>PASS</v>
      </c>
      <c r="BR96" s="324"/>
      <c r="BS96" s="324"/>
      <c r="BT96" s="324"/>
      <c r="BU96" s="324"/>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08"/>
      <c r="G97" s="309"/>
      <c r="H97" s="309"/>
      <c r="I97" s="309"/>
      <c r="J97" s="309"/>
      <c r="K97" s="310"/>
      <c r="L97" s="319">
        <f>1000*90%</f>
        <v>900</v>
      </c>
      <c r="M97" s="320"/>
      <c r="N97" s="320"/>
      <c r="O97" s="320"/>
      <c r="P97" s="321" t="s">
        <v>93</v>
      </c>
      <c r="Q97" s="321"/>
      <c r="R97" s="322"/>
      <c r="S97" s="355" t="s">
        <v>143</v>
      </c>
      <c r="T97" s="355"/>
      <c r="U97" s="355"/>
      <c r="V97" s="355"/>
      <c r="W97" s="355"/>
      <c r="X97" s="316">
        <v>900</v>
      </c>
      <c r="Y97" s="316"/>
      <c r="Z97" s="316"/>
      <c r="AA97" s="316"/>
      <c r="AB97" s="316"/>
      <c r="AC97" s="316">
        <v>900</v>
      </c>
      <c r="AD97" s="316"/>
      <c r="AE97" s="316"/>
      <c r="AF97" s="316"/>
      <c r="AG97" s="316"/>
      <c r="AH97" s="316">
        <v>900</v>
      </c>
      <c r="AI97" s="316"/>
      <c r="AJ97" s="316"/>
      <c r="AK97" s="316"/>
      <c r="AL97" s="316"/>
      <c r="AM97" s="390">
        <f t="shared" si="114"/>
        <v>900</v>
      </c>
      <c r="AN97" s="390"/>
      <c r="AO97" s="390"/>
      <c r="AP97" s="390"/>
      <c r="AQ97" s="390"/>
      <c r="AR97" s="390">
        <f t="shared" si="115"/>
        <v>0</v>
      </c>
      <c r="AS97" s="390"/>
      <c r="AT97" s="390"/>
      <c r="AU97" s="390"/>
      <c r="AV97" s="390"/>
      <c r="AW97" s="139"/>
      <c r="AX97" s="139"/>
      <c r="AY97" s="139"/>
      <c r="AZ97" s="172"/>
      <c r="BA97" s="173"/>
      <c r="BB97" s="317">
        <f>(AM97*1%)+(4*CK97)</f>
        <v>13</v>
      </c>
      <c r="BC97" s="317"/>
      <c r="BD97" s="317"/>
      <c r="BE97" s="317"/>
      <c r="BF97" s="317"/>
      <c r="BG97" s="390">
        <f t="shared" si="116"/>
        <v>913</v>
      </c>
      <c r="BH97" s="390"/>
      <c r="BI97" s="390"/>
      <c r="BJ97" s="390"/>
      <c r="BK97" s="390"/>
      <c r="BL97" s="390">
        <f t="shared" si="117"/>
        <v>887</v>
      </c>
      <c r="BM97" s="390"/>
      <c r="BN97" s="390"/>
      <c r="BO97" s="390"/>
      <c r="BP97" s="390"/>
      <c r="BQ97" s="324" t="str">
        <f t="shared" si="118"/>
        <v>PASS</v>
      </c>
      <c r="BR97" s="324"/>
      <c r="BS97" s="324"/>
      <c r="BT97" s="324"/>
      <c r="BU97" s="324"/>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56" t="s">
        <v>124</v>
      </c>
      <c r="BC99" s="356"/>
      <c r="BD99" s="356"/>
      <c r="BE99" s="356"/>
      <c r="BF99" s="356"/>
      <c r="BG99" s="356"/>
      <c r="BH99" s="356"/>
      <c r="BI99" s="356"/>
      <c r="BJ99" s="356"/>
      <c r="BK99" s="356"/>
      <c r="BL99" s="356"/>
      <c r="BM99" s="356"/>
      <c r="BN99" s="356"/>
      <c r="BO99" s="356"/>
      <c r="BP99" s="356"/>
      <c r="BQ99" s="356"/>
      <c r="BR99" s="356"/>
      <c r="BS99" s="356"/>
      <c r="BT99" s="356"/>
      <c r="BU99" s="356"/>
      <c r="BV99" s="169"/>
      <c r="BX99" s="291" t="s">
        <v>69</v>
      </c>
      <c r="BY99" s="292"/>
      <c r="BZ99" s="292"/>
      <c r="CA99" s="292"/>
      <c r="CB99" s="293"/>
      <c r="CC99" s="2"/>
      <c r="CD99" s="291" t="s">
        <v>69</v>
      </c>
      <c r="CE99" s="292"/>
      <c r="CF99" s="292"/>
      <c r="CG99" s="292"/>
      <c r="CH99" s="293"/>
      <c r="CI99" s="2"/>
      <c r="CJ99" s="291" t="s">
        <v>129</v>
      </c>
      <c r="CK99" s="292"/>
      <c r="CL99" s="292"/>
      <c r="CM99" s="292"/>
      <c r="CN99" s="293"/>
      <c r="CO99" s="2"/>
      <c r="CP99" s="291" t="s">
        <v>129</v>
      </c>
      <c r="CQ99" s="292"/>
      <c r="CR99" s="292"/>
      <c r="CS99" s="292"/>
      <c r="CT99" s="293"/>
      <c r="CV99" s="291" t="s">
        <v>71</v>
      </c>
      <c r="CW99" s="292"/>
      <c r="CX99" s="292"/>
      <c r="CY99" s="292"/>
      <c r="CZ99" s="293"/>
      <c r="DB99" s="419" t="s">
        <v>116</v>
      </c>
      <c r="DC99" s="420"/>
      <c r="DD99" s="419" t="s">
        <v>117</v>
      </c>
      <c r="DE99" s="419"/>
    </row>
    <row r="100" spans="1:109" s="174" customFormat="1" ht="18" customHeight="1">
      <c r="A100" s="173"/>
      <c r="B100" s="170"/>
      <c r="C100" s="139"/>
      <c r="D100" s="139"/>
      <c r="E100" s="139"/>
      <c r="F100" s="315" t="s">
        <v>27</v>
      </c>
      <c r="G100" s="315"/>
      <c r="H100" s="315"/>
      <c r="I100" s="315"/>
      <c r="J100" s="315"/>
      <c r="K100" s="315"/>
      <c r="L100" s="315" t="s">
        <v>28</v>
      </c>
      <c r="M100" s="315"/>
      <c r="N100" s="315"/>
      <c r="O100" s="315"/>
      <c r="P100" s="315"/>
      <c r="Q100" s="315"/>
      <c r="R100" s="315"/>
      <c r="S100" s="315" t="s">
        <v>72</v>
      </c>
      <c r="T100" s="315"/>
      <c r="U100" s="315"/>
      <c r="V100" s="315"/>
      <c r="W100" s="315"/>
      <c r="X100" s="315" t="s">
        <v>73</v>
      </c>
      <c r="Y100" s="315"/>
      <c r="Z100" s="315"/>
      <c r="AA100" s="315"/>
      <c r="AB100" s="315"/>
      <c r="AC100" s="315"/>
      <c r="AD100" s="315"/>
      <c r="AE100" s="315"/>
      <c r="AF100" s="315"/>
      <c r="AG100" s="315"/>
      <c r="AH100" s="315"/>
      <c r="AI100" s="315"/>
      <c r="AJ100" s="315"/>
      <c r="AK100" s="315"/>
      <c r="AL100" s="315"/>
      <c r="AM100" s="315" t="s">
        <v>74</v>
      </c>
      <c r="AN100" s="315"/>
      <c r="AO100" s="315"/>
      <c r="AP100" s="315"/>
      <c r="AQ100" s="315"/>
      <c r="AR100" s="315" t="s">
        <v>29</v>
      </c>
      <c r="AS100" s="315"/>
      <c r="AT100" s="315"/>
      <c r="AU100" s="315"/>
      <c r="AV100" s="315"/>
      <c r="AW100" s="139"/>
      <c r="AX100" s="139"/>
      <c r="AY100" s="139"/>
      <c r="AZ100" s="172"/>
      <c r="BA100" s="173"/>
      <c r="BB100" s="315" t="s">
        <v>75</v>
      </c>
      <c r="BC100" s="315"/>
      <c r="BD100" s="315"/>
      <c r="BE100" s="315"/>
      <c r="BF100" s="315"/>
      <c r="BG100" s="315" t="s">
        <v>76</v>
      </c>
      <c r="BH100" s="315"/>
      <c r="BI100" s="315"/>
      <c r="BJ100" s="315"/>
      <c r="BK100" s="315"/>
      <c r="BL100" s="315" t="s">
        <v>77</v>
      </c>
      <c r="BM100" s="315"/>
      <c r="BN100" s="315"/>
      <c r="BO100" s="315"/>
      <c r="BP100" s="315"/>
      <c r="BQ100" s="315" t="s">
        <v>78</v>
      </c>
      <c r="BR100" s="315"/>
      <c r="BS100" s="315"/>
      <c r="BT100" s="315"/>
      <c r="BU100" s="315"/>
      <c r="BV100" s="173"/>
      <c r="BX100" s="298" t="s">
        <v>79</v>
      </c>
      <c r="BY100" s="294" t="s">
        <v>114</v>
      </c>
      <c r="BZ100" s="294" t="s">
        <v>80</v>
      </c>
      <c r="CA100" s="300" t="s">
        <v>81</v>
      </c>
      <c r="CB100" s="296" t="s">
        <v>82</v>
      </c>
      <c r="CC100" s="3"/>
      <c r="CD100" s="298" t="s">
        <v>79</v>
      </c>
      <c r="CE100" s="294" t="s">
        <v>114</v>
      </c>
      <c r="CF100" s="294" t="s">
        <v>80</v>
      </c>
      <c r="CG100" s="300" t="s">
        <v>81</v>
      </c>
      <c r="CH100" s="296" t="s">
        <v>82</v>
      </c>
      <c r="CI100" s="3"/>
      <c r="CJ100" s="298" t="s">
        <v>79</v>
      </c>
      <c r="CK100" s="294" t="s">
        <v>114</v>
      </c>
      <c r="CL100" s="294" t="s">
        <v>80</v>
      </c>
      <c r="CM100" s="300" t="s">
        <v>81</v>
      </c>
      <c r="CN100" s="296" t="s">
        <v>82</v>
      </c>
      <c r="CO100" s="3"/>
      <c r="CP100" s="298" t="s">
        <v>79</v>
      </c>
      <c r="CQ100" s="294" t="s">
        <v>114</v>
      </c>
      <c r="CR100" s="294" t="s">
        <v>80</v>
      </c>
      <c r="CS100" s="300" t="s">
        <v>81</v>
      </c>
      <c r="CT100" s="296" t="s">
        <v>82</v>
      </c>
      <c r="CU100" s="8"/>
      <c r="CV100" s="119" t="s">
        <v>83</v>
      </c>
      <c r="CW100" s="101" t="s">
        <v>84</v>
      </c>
      <c r="CX100" s="121" t="s">
        <v>85</v>
      </c>
      <c r="CY100" s="298" t="s">
        <v>86</v>
      </c>
      <c r="CZ100" s="387"/>
      <c r="DA100" s="8"/>
      <c r="DB100" s="419"/>
      <c r="DC100" s="420"/>
      <c r="DD100" s="419"/>
      <c r="DE100" s="419"/>
    </row>
    <row r="101" spans="1:109" s="174" customFormat="1" ht="18" customHeight="1" thickBot="1">
      <c r="A101" s="173"/>
      <c r="B101" s="170"/>
      <c r="C101" s="139"/>
      <c r="D101" s="139"/>
      <c r="E101" s="139"/>
      <c r="F101" s="315"/>
      <c r="G101" s="315"/>
      <c r="H101" s="315"/>
      <c r="I101" s="315"/>
      <c r="J101" s="315"/>
      <c r="K101" s="315"/>
      <c r="L101" s="315"/>
      <c r="M101" s="315"/>
      <c r="N101" s="315"/>
      <c r="O101" s="315"/>
      <c r="P101" s="315"/>
      <c r="Q101" s="315"/>
      <c r="R101" s="315"/>
      <c r="S101" s="315"/>
      <c r="T101" s="315"/>
      <c r="U101" s="315"/>
      <c r="V101" s="315"/>
      <c r="W101" s="315"/>
      <c r="X101" s="315">
        <v>1</v>
      </c>
      <c r="Y101" s="315"/>
      <c r="Z101" s="315"/>
      <c r="AA101" s="315"/>
      <c r="AB101" s="315"/>
      <c r="AC101" s="315">
        <v>2</v>
      </c>
      <c r="AD101" s="315"/>
      <c r="AE101" s="315"/>
      <c r="AF101" s="315"/>
      <c r="AG101" s="315"/>
      <c r="AH101" s="315">
        <v>3</v>
      </c>
      <c r="AI101" s="315"/>
      <c r="AJ101" s="315"/>
      <c r="AK101" s="315"/>
      <c r="AL101" s="315"/>
      <c r="AM101" s="315"/>
      <c r="AN101" s="315"/>
      <c r="AO101" s="315"/>
      <c r="AP101" s="315"/>
      <c r="AQ101" s="315"/>
      <c r="AR101" s="315"/>
      <c r="AS101" s="315"/>
      <c r="AT101" s="315"/>
      <c r="AU101" s="315"/>
      <c r="AV101" s="315"/>
      <c r="AW101" s="139"/>
      <c r="AX101" s="139"/>
      <c r="AY101" s="139"/>
      <c r="AZ101" s="172"/>
      <c r="BA101" s="173"/>
      <c r="BB101" s="315"/>
      <c r="BC101" s="315"/>
      <c r="BD101" s="315"/>
      <c r="BE101" s="315"/>
      <c r="BF101" s="315"/>
      <c r="BG101" s="315"/>
      <c r="BH101" s="315"/>
      <c r="BI101" s="315"/>
      <c r="BJ101" s="315"/>
      <c r="BK101" s="315"/>
      <c r="BL101" s="315"/>
      <c r="BM101" s="315"/>
      <c r="BN101" s="315"/>
      <c r="BO101" s="315"/>
      <c r="BP101" s="315"/>
      <c r="BQ101" s="315"/>
      <c r="BR101" s="315"/>
      <c r="BS101" s="315"/>
      <c r="BT101" s="315"/>
      <c r="BU101" s="315"/>
      <c r="BV101" s="173"/>
      <c r="BX101" s="299"/>
      <c r="BY101" s="295"/>
      <c r="BZ101" s="295"/>
      <c r="CA101" s="301"/>
      <c r="CB101" s="297"/>
      <c r="CC101" s="3"/>
      <c r="CD101" s="299"/>
      <c r="CE101" s="295"/>
      <c r="CF101" s="295"/>
      <c r="CG101" s="301"/>
      <c r="CH101" s="297"/>
      <c r="CI101" s="3"/>
      <c r="CJ101" s="299"/>
      <c r="CK101" s="295"/>
      <c r="CL101" s="295"/>
      <c r="CM101" s="301"/>
      <c r="CN101" s="297"/>
      <c r="CO101" s="3"/>
      <c r="CP101" s="299"/>
      <c r="CQ101" s="295"/>
      <c r="CR101" s="295"/>
      <c r="CS101" s="301"/>
      <c r="CT101" s="297"/>
      <c r="CU101" s="8"/>
      <c r="CV101" s="120" t="s">
        <v>87</v>
      </c>
      <c r="CW101" s="102" t="s">
        <v>88</v>
      </c>
      <c r="CX101" s="122" t="s">
        <v>89</v>
      </c>
      <c r="CY101" s="299" t="s">
        <v>90</v>
      </c>
      <c r="CZ101" s="388"/>
      <c r="DA101" s="8"/>
      <c r="DB101" s="419"/>
      <c r="DC101" s="420"/>
      <c r="DD101" s="419"/>
      <c r="DE101" s="419"/>
    </row>
    <row r="102" spans="1:109" s="174" customFormat="1" ht="18" customHeight="1">
      <c r="A102" s="173"/>
      <c r="B102" s="170"/>
      <c r="C102" s="139"/>
      <c r="D102" s="139"/>
      <c r="E102" s="139"/>
      <c r="F102" s="314" t="s">
        <v>137</v>
      </c>
      <c r="G102" s="312"/>
      <c r="H102" s="312"/>
      <c r="I102" s="312"/>
      <c r="J102" s="312"/>
      <c r="K102" s="313"/>
      <c r="L102" s="319">
        <v>0</v>
      </c>
      <c r="M102" s="320"/>
      <c r="N102" s="320"/>
      <c r="O102" s="320"/>
      <c r="P102" s="321" t="s">
        <v>98</v>
      </c>
      <c r="Q102" s="321"/>
      <c r="R102" s="322"/>
      <c r="S102" s="323" t="s">
        <v>56</v>
      </c>
      <c r="T102" s="323"/>
      <c r="U102" s="323"/>
      <c r="V102" s="323"/>
      <c r="W102" s="323"/>
      <c r="X102" s="316">
        <v>0</v>
      </c>
      <c r="Y102" s="316"/>
      <c r="Z102" s="316"/>
      <c r="AA102" s="316"/>
      <c r="AB102" s="316"/>
      <c r="AC102" s="316">
        <v>0</v>
      </c>
      <c r="AD102" s="316"/>
      <c r="AE102" s="316"/>
      <c r="AF102" s="316"/>
      <c r="AG102" s="316"/>
      <c r="AH102" s="316">
        <v>0</v>
      </c>
      <c r="AI102" s="316"/>
      <c r="AJ102" s="316"/>
      <c r="AK102" s="316"/>
      <c r="AL102" s="316"/>
      <c r="AM102" s="316">
        <f>AVERAGE(X102:AL102)</f>
        <v>0</v>
      </c>
      <c r="AN102" s="316"/>
      <c r="AO102" s="316"/>
      <c r="AP102" s="316"/>
      <c r="AQ102" s="316"/>
      <c r="AR102" s="316">
        <f>AM102-L102</f>
        <v>0</v>
      </c>
      <c r="AS102" s="316"/>
      <c r="AT102" s="316"/>
      <c r="AU102" s="316"/>
      <c r="AV102" s="316"/>
      <c r="AW102" s="139"/>
      <c r="AX102" s="139"/>
      <c r="AY102" s="139"/>
      <c r="AZ102" s="172"/>
      <c r="BA102" s="173"/>
      <c r="BB102" s="316">
        <f>(AM102*0.2%)+(2*CK102)</f>
        <v>0.2</v>
      </c>
      <c r="BC102" s="316"/>
      <c r="BD102" s="316"/>
      <c r="BE102" s="316"/>
      <c r="BF102" s="316"/>
      <c r="BG102" s="316">
        <f t="shared" ref="BG102:BG108" si="135">L102+BB102</f>
        <v>0.2</v>
      </c>
      <c r="BH102" s="316"/>
      <c r="BI102" s="316"/>
      <c r="BJ102" s="316"/>
      <c r="BK102" s="316"/>
      <c r="BL102" s="316">
        <f t="shared" ref="BL102:BL108" si="136">L102-BB102</f>
        <v>-0.2</v>
      </c>
      <c r="BM102" s="316"/>
      <c r="BN102" s="316"/>
      <c r="BO102" s="316"/>
      <c r="BP102" s="316"/>
      <c r="BQ102" s="324" t="str">
        <f t="shared" ref="BQ102:BQ108" si="137">IF(AND(AM102&lt;=BG102,AM102&gt;=BL102),"PASS","FAIL")</f>
        <v>PASS</v>
      </c>
      <c r="BR102" s="324"/>
      <c r="BS102" s="324"/>
      <c r="BT102" s="324"/>
      <c r="BU102" s="324"/>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314"/>
      <c r="G103" s="312"/>
      <c r="H103" s="312"/>
      <c r="I103" s="312"/>
      <c r="J103" s="312"/>
      <c r="K103" s="313"/>
      <c r="L103" s="319">
        <f>600*90%</f>
        <v>540</v>
      </c>
      <c r="M103" s="320"/>
      <c r="N103" s="320"/>
      <c r="O103" s="320"/>
      <c r="P103" s="321" t="s">
        <v>98</v>
      </c>
      <c r="Q103" s="321"/>
      <c r="R103" s="322"/>
      <c r="S103" s="323" t="s">
        <v>56</v>
      </c>
      <c r="T103" s="323"/>
      <c r="U103" s="323"/>
      <c r="V103" s="323"/>
      <c r="W103" s="323"/>
      <c r="X103" s="316">
        <v>540</v>
      </c>
      <c r="Y103" s="316"/>
      <c r="Z103" s="316"/>
      <c r="AA103" s="316"/>
      <c r="AB103" s="316"/>
      <c r="AC103" s="316">
        <v>540</v>
      </c>
      <c r="AD103" s="316"/>
      <c r="AE103" s="316"/>
      <c r="AF103" s="316"/>
      <c r="AG103" s="316"/>
      <c r="AH103" s="316">
        <v>540</v>
      </c>
      <c r="AI103" s="316"/>
      <c r="AJ103" s="316"/>
      <c r="AK103" s="316"/>
      <c r="AL103" s="316"/>
      <c r="AM103" s="316">
        <f t="shared" ref="AM103:AM108" si="149">AVERAGE(X103:AL103)</f>
        <v>540</v>
      </c>
      <c r="AN103" s="316"/>
      <c r="AO103" s="316"/>
      <c r="AP103" s="316"/>
      <c r="AQ103" s="316"/>
      <c r="AR103" s="316">
        <f t="shared" ref="AR103:AR108" si="150">AM103-L103</f>
        <v>0</v>
      </c>
      <c r="AS103" s="316"/>
      <c r="AT103" s="316"/>
      <c r="AU103" s="316"/>
      <c r="AV103" s="316"/>
      <c r="AW103" s="139"/>
      <c r="AX103" s="139"/>
      <c r="AY103" s="139"/>
      <c r="AZ103" s="172"/>
      <c r="BA103" s="173"/>
      <c r="BB103" s="316">
        <f>(AM103*0.2%)+(2*CK103)</f>
        <v>1.28</v>
      </c>
      <c r="BC103" s="316"/>
      <c r="BD103" s="316"/>
      <c r="BE103" s="316"/>
      <c r="BF103" s="316"/>
      <c r="BG103" s="316">
        <f t="shared" si="135"/>
        <v>541.28</v>
      </c>
      <c r="BH103" s="316"/>
      <c r="BI103" s="316"/>
      <c r="BJ103" s="316"/>
      <c r="BK103" s="316"/>
      <c r="BL103" s="316">
        <f t="shared" si="136"/>
        <v>538.72</v>
      </c>
      <c r="BM103" s="316"/>
      <c r="BN103" s="316"/>
      <c r="BO103" s="316"/>
      <c r="BP103" s="316"/>
      <c r="BQ103" s="324" t="str">
        <f t="shared" si="137"/>
        <v>PASS</v>
      </c>
      <c r="BR103" s="324"/>
      <c r="BS103" s="324"/>
      <c r="BT103" s="324"/>
      <c r="BU103" s="324"/>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314" t="s">
        <v>138</v>
      </c>
      <c r="G104" s="312"/>
      <c r="H104" s="312"/>
      <c r="I104" s="312"/>
      <c r="J104" s="312"/>
      <c r="K104" s="313"/>
      <c r="L104" s="319">
        <f>6*90%</f>
        <v>5.4</v>
      </c>
      <c r="M104" s="320"/>
      <c r="N104" s="320"/>
      <c r="O104" s="320"/>
      <c r="P104" s="321" t="s">
        <v>99</v>
      </c>
      <c r="Q104" s="321"/>
      <c r="R104" s="322"/>
      <c r="S104" s="323" t="s">
        <v>56</v>
      </c>
      <c r="T104" s="323"/>
      <c r="U104" s="323"/>
      <c r="V104" s="323"/>
      <c r="W104" s="323"/>
      <c r="X104" s="316">
        <v>5.4</v>
      </c>
      <c r="Y104" s="316"/>
      <c r="Z104" s="316"/>
      <c r="AA104" s="316"/>
      <c r="AB104" s="316"/>
      <c r="AC104" s="316">
        <v>5.4</v>
      </c>
      <c r="AD104" s="316"/>
      <c r="AE104" s="316"/>
      <c r="AF104" s="316"/>
      <c r="AG104" s="316"/>
      <c r="AH104" s="316">
        <v>5.4</v>
      </c>
      <c r="AI104" s="316"/>
      <c r="AJ104" s="316"/>
      <c r="AK104" s="316"/>
      <c r="AL104" s="316"/>
      <c r="AM104" s="317">
        <f t="shared" si="149"/>
        <v>5.4000000000000012</v>
      </c>
      <c r="AN104" s="317"/>
      <c r="AO104" s="317"/>
      <c r="AP104" s="317"/>
      <c r="AQ104" s="317"/>
      <c r="AR104" s="317">
        <f t="shared" si="150"/>
        <v>0</v>
      </c>
      <c r="AS104" s="317"/>
      <c r="AT104" s="317"/>
      <c r="AU104" s="317"/>
      <c r="AV104" s="317"/>
      <c r="AW104" s="139"/>
      <c r="AX104" s="139"/>
      <c r="AY104" s="139"/>
      <c r="AZ104" s="172"/>
      <c r="BA104" s="173"/>
      <c r="BB104" s="316">
        <f>(AM104*0.2%)+(1*CK104)</f>
        <v>1.1800000000000001E-2</v>
      </c>
      <c r="BC104" s="316"/>
      <c r="BD104" s="316"/>
      <c r="BE104" s="316"/>
      <c r="BF104" s="316"/>
      <c r="BG104" s="317">
        <f t="shared" si="135"/>
        <v>5.4118000000000004</v>
      </c>
      <c r="BH104" s="317"/>
      <c r="BI104" s="317"/>
      <c r="BJ104" s="317"/>
      <c r="BK104" s="317"/>
      <c r="BL104" s="317">
        <f t="shared" si="136"/>
        <v>5.3882000000000003</v>
      </c>
      <c r="BM104" s="317"/>
      <c r="BN104" s="317"/>
      <c r="BO104" s="317"/>
      <c r="BP104" s="317"/>
      <c r="BQ104" s="324" t="str">
        <f t="shared" si="137"/>
        <v>PASS</v>
      </c>
      <c r="BR104" s="324"/>
      <c r="BS104" s="324"/>
      <c r="BT104" s="324"/>
      <c r="BU104" s="324"/>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314" t="s">
        <v>139</v>
      </c>
      <c r="G105" s="312"/>
      <c r="H105" s="312"/>
      <c r="I105" s="312"/>
      <c r="J105" s="312"/>
      <c r="K105" s="313"/>
      <c r="L105" s="319">
        <f>60*90%</f>
        <v>54</v>
      </c>
      <c r="M105" s="320"/>
      <c r="N105" s="320"/>
      <c r="O105" s="320"/>
      <c r="P105" s="321" t="s">
        <v>99</v>
      </c>
      <c r="Q105" s="321"/>
      <c r="R105" s="322"/>
      <c r="S105" s="323" t="s">
        <v>56</v>
      </c>
      <c r="T105" s="323"/>
      <c r="U105" s="323"/>
      <c r="V105" s="323"/>
      <c r="W105" s="323"/>
      <c r="X105" s="316">
        <v>54</v>
      </c>
      <c r="Y105" s="316"/>
      <c r="Z105" s="316"/>
      <c r="AA105" s="316"/>
      <c r="AB105" s="316"/>
      <c r="AC105" s="316">
        <v>54</v>
      </c>
      <c r="AD105" s="316"/>
      <c r="AE105" s="316"/>
      <c r="AF105" s="316"/>
      <c r="AG105" s="316"/>
      <c r="AH105" s="316">
        <v>54</v>
      </c>
      <c r="AI105" s="316"/>
      <c r="AJ105" s="316"/>
      <c r="AK105" s="316"/>
      <c r="AL105" s="316"/>
      <c r="AM105" s="318">
        <f t="shared" si="149"/>
        <v>54</v>
      </c>
      <c r="AN105" s="318"/>
      <c r="AO105" s="318"/>
      <c r="AP105" s="318"/>
      <c r="AQ105" s="318"/>
      <c r="AR105" s="318">
        <f t="shared" si="150"/>
        <v>0</v>
      </c>
      <c r="AS105" s="318"/>
      <c r="AT105" s="318"/>
      <c r="AU105" s="318"/>
      <c r="AV105" s="318"/>
      <c r="AW105" s="139"/>
      <c r="AX105" s="139"/>
      <c r="AY105" s="139"/>
      <c r="AZ105" s="172"/>
      <c r="BA105" s="173"/>
      <c r="BB105" s="316">
        <f>(AM105*0.2%)+(1*CK105)</f>
        <v>0.11799999999999999</v>
      </c>
      <c r="BC105" s="316"/>
      <c r="BD105" s="316"/>
      <c r="BE105" s="316"/>
      <c r="BF105" s="316"/>
      <c r="BG105" s="318">
        <f t="shared" si="135"/>
        <v>54.118000000000002</v>
      </c>
      <c r="BH105" s="318"/>
      <c r="BI105" s="318"/>
      <c r="BJ105" s="318"/>
      <c r="BK105" s="318"/>
      <c r="BL105" s="318">
        <f t="shared" si="136"/>
        <v>53.881999999999998</v>
      </c>
      <c r="BM105" s="318"/>
      <c r="BN105" s="318"/>
      <c r="BO105" s="318"/>
      <c r="BP105" s="318"/>
      <c r="BQ105" s="324" t="str">
        <f t="shared" si="137"/>
        <v>PASS</v>
      </c>
      <c r="BR105" s="324"/>
      <c r="BS105" s="324"/>
      <c r="BT105" s="324"/>
      <c r="BU105" s="324"/>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314" t="s">
        <v>140</v>
      </c>
      <c r="G106" s="312"/>
      <c r="H106" s="312"/>
      <c r="I106" s="312"/>
      <c r="J106" s="312"/>
      <c r="K106" s="313"/>
      <c r="L106" s="319">
        <f>600*90%</f>
        <v>540</v>
      </c>
      <c r="M106" s="320"/>
      <c r="N106" s="320"/>
      <c r="O106" s="320"/>
      <c r="P106" s="321" t="s">
        <v>99</v>
      </c>
      <c r="Q106" s="321"/>
      <c r="R106" s="322"/>
      <c r="S106" s="323" t="s">
        <v>56</v>
      </c>
      <c r="T106" s="323"/>
      <c r="U106" s="323"/>
      <c r="V106" s="323"/>
      <c r="W106" s="323"/>
      <c r="X106" s="316">
        <v>540</v>
      </c>
      <c r="Y106" s="316"/>
      <c r="Z106" s="316"/>
      <c r="AA106" s="316"/>
      <c r="AB106" s="316"/>
      <c r="AC106" s="316">
        <v>540</v>
      </c>
      <c r="AD106" s="316"/>
      <c r="AE106" s="316"/>
      <c r="AF106" s="316"/>
      <c r="AG106" s="316"/>
      <c r="AH106" s="316">
        <v>540</v>
      </c>
      <c r="AI106" s="316"/>
      <c r="AJ106" s="316"/>
      <c r="AK106" s="316"/>
      <c r="AL106" s="316"/>
      <c r="AM106" s="316">
        <f t="shared" si="149"/>
        <v>540</v>
      </c>
      <c r="AN106" s="316"/>
      <c r="AO106" s="316"/>
      <c r="AP106" s="316"/>
      <c r="AQ106" s="316"/>
      <c r="AR106" s="316">
        <f t="shared" si="150"/>
        <v>0</v>
      </c>
      <c r="AS106" s="316"/>
      <c r="AT106" s="316"/>
      <c r="AU106" s="316"/>
      <c r="AV106" s="316"/>
      <c r="AW106" s="139"/>
      <c r="AX106" s="139"/>
      <c r="AY106" s="139"/>
      <c r="AZ106" s="172"/>
      <c r="BA106" s="173"/>
      <c r="BB106" s="316">
        <f>(AM106*0.6%)+(1*CK106)</f>
        <v>3.3400000000000003</v>
      </c>
      <c r="BC106" s="316"/>
      <c r="BD106" s="316"/>
      <c r="BE106" s="316"/>
      <c r="BF106" s="316"/>
      <c r="BG106" s="316">
        <f t="shared" si="135"/>
        <v>543.34</v>
      </c>
      <c r="BH106" s="316"/>
      <c r="BI106" s="316"/>
      <c r="BJ106" s="316"/>
      <c r="BK106" s="316"/>
      <c r="BL106" s="316">
        <f t="shared" si="136"/>
        <v>536.66</v>
      </c>
      <c r="BM106" s="316"/>
      <c r="BN106" s="316"/>
      <c r="BO106" s="316"/>
      <c r="BP106" s="316"/>
      <c r="BQ106" s="324" t="str">
        <f t="shared" si="137"/>
        <v>PASS</v>
      </c>
      <c r="BR106" s="324"/>
      <c r="BS106" s="324"/>
      <c r="BT106" s="324"/>
      <c r="BU106" s="324"/>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314" t="s">
        <v>144</v>
      </c>
      <c r="G107" s="312"/>
      <c r="H107" s="312"/>
      <c r="I107" s="312"/>
      <c r="J107" s="312"/>
      <c r="K107" s="313"/>
      <c r="L107" s="319">
        <f>6*90%</f>
        <v>5.4</v>
      </c>
      <c r="M107" s="320"/>
      <c r="N107" s="320"/>
      <c r="O107" s="320"/>
      <c r="P107" s="321" t="s">
        <v>100</v>
      </c>
      <c r="Q107" s="321"/>
      <c r="R107" s="322"/>
      <c r="S107" s="323" t="s">
        <v>56</v>
      </c>
      <c r="T107" s="323"/>
      <c r="U107" s="323"/>
      <c r="V107" s="323"/>
      <c r="W107" s="323"/>
      <c r="X107" s="316">
        <v>5.4</v>
      </c>
      <c r="Y107" s="316"/>
      <c r="Z107" s="316"/>
      <c r="AA107" s="316"/>
      <c r="AB107" s="316"/>
      <c r="AC107" s="316">
        <v>5.4</v>
      </c>
      <c r="AD107" s="316"/>
      <c r="AE107" s="316"/>
      <c r="AF107" s="316"/>
      <c r="AG107" s="316"/>
      <c r="AH107" s="316">
        <v>5.4</v>
      </c>
      <c r="AI107" s="316"/>
      <c r="AJ107" s="316"/>
      <c r="AK107" s="316"/>
      <c r="AL107" s="316"/>
      <c r="AM107" s="317">
        <f t="shared" ref="AM107" si="166">AVERAGE(X107:AL107)</f>
        <v>5.4000000000000012</v>
      </c>
      <c r="AN107" s="317"/>
      <c r="AO107" s="317"/>
      <c r="AP107" s="317"/>
      <c r="AQ107" s="317"/>
      <c r="AR107" s="317">
        <f t="shared" ref="AR107" si="167">AM107-L107</f>
        <v>0</v>
      </c>
      <c r="AS107" s="317"/>
      <c r="AT107" s="317"/>
      <c r="AU107" s="317"/>
      <c r="AV107" s="317"/>
      <c r="AW107" s="139"/>
      <c r="AX107" s="139"/>
      <c r="AY107" s="139"/>
      <c r="AZ107" s="172"/>
      <c r="BA107" s="173"/>
      <c r="BB107" s="316">
        <f>(AM107*0.6%)+(1*CK107)</f>
        <v>3.3400000000000006E-2</v>
      </c>
      <c r="BC107" s="316"/>
      <c r="BD107" s="316"/>
      <c r="BE107" s="316"/>
      <c r="BF107" s="316"/>
      <c r="BG107" s="316">
        <f t="shared" ref="BG107" si="168">L107+BB107</f>
        <v>5.4334000000000007</v>
      </c>
      <c r="BH107" s="316"/>
      <c r="BI107" s="316"/>
      <c r="BJ107" s="316"/>
      <c r="BK107" s="316"/>
      <c r="BL107" s="316">
        <f t="shared" ref="BL107" si="169">L107-BB107</f>
        <v>5.3666</v>
      </c>
      <c r="BM107" s="316"/>
      <c r="BN107" s="316"/>
      <c r="BO107" s="316"/>
      <c r="BP107" s="316"/>
      <c r="BQ107" s="324" t="str">
        <f t="shared" ref="BQ107" si="170">IF(AND(AM107&lt;=BG107,AM107&gt;=BL107),"PASS","FAIL")</f>
        <v>PASS</v>
      </c>
      <c r="BR107" s="324"/>
      <c r="BS107" s="324"/>
      <c r="BT107" s="324"/>
      <c r="BU107" s="324"/>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314" t="s">
        <v>145</v>
      </c>
      <c r="G108" s="312"/>
      <c r="H108" s="312"/>
      <c r="I108" s="312"/>
      <c r="J108" s="312"/>
      <c r="K108" s="313"/>
      <c r="L108" s="319">
        <f>50*90%</f>
        <v>45</v>
      </c>
      <c r="M108" s="320"/>
      <c r="N108" s="320"/>
      <c r="O108" s="320"/>
      <c r="P108" s="321" t="s">
        <v>100</v>
      </c>
      <c r="Q108" s="321"/>
      <c r="R108" s="322"/>
      <c r="S108" s="323" t="s">
        <v>56</v>
      </c>
      <c r="T108" s="323"/>
      <c r="U108" s="323"/>
      <c r="V108" s="323"/>
      <c r="W108" s="323"/>
      <c r="X108" s="316">
        <v>45</v>
      </c>
      <c r="Y108" s="316"/>
      <c r="Z108" s="316"/>
      <c r="AA108" s="316"/>
      <c r="AB108" s="316"/>
      <c r="AC108" s="316">
        <v>45</v>
      </c>
      <c r="AD108" s="316"/>
      <c r="AE108" s="316"/>
      <c r="AF108" s="316"/>
      <c r="AG108" s="316"/>
      <c r="AH108" s="316">
        <v>45</v>
      </c>
      <c r="AI108" s="316"/>
      <c r="AJ108" s="316"/>
      <c r="AK108" s="316"/>
      <c r="AL108" s="316"/>
      <c r="AM108" s="318">
        <f t="shared" si="149"/>
        <v>45</v>
      </c>
      <c r="AN108" s="318"/>
      <c r="AO108" s="318"/>
      <c r="AP108" s="318"/>
      <c r="AQ108" s="318"/>
      <c r="AR108" s="318">
        <f t="shared" si="150"/>
        <v>0</v>
      </c>
      <c r="AS108" s="318"/>
      <c r="AT108" s="318"/>
      <c r="AU108" s="318"/>
      <c r="AV108" s="318"/>
      <c r="AW108" s="139"/>
      <c r="AX108" s="139"/>
      <c r="AY108" s="139"/>
      <c r="AZ108" s="172"/>
      <c r="BA108" s="173"/>
      <c r="BB108" s="318">
        <f>(AM108*1%)+(10*CK108)</f>
        <v>0.55000000000000004</v>
      </c>
      <c r="BC108" s="318"/>
      <c r="BD108" s="318"/>
      <c r="BE108" s="318"/>
      <c r="BF108" s="318"/>
      <c r="BG108" s="316">
        <f t="shared" si="135"/>
        <v>45.55</v>
      </c>
      <c r="BH108" s="316"/>
      <c r="BI108" s="316"/>
      <c r="BJ108" s="316"/>
      <c r="BK108" s="316"/>
      <c r="BL108" s="316">
        <f t="shared" si="136"/>
        <v>44.45</v>
      </c>
      <c r="BM108" s="316"/>
      <c r="BN108" s="316"/>
      <c r="BO108" s="316"/>
      <c r="BP108" s="316"/>
      <c r="BQ108" s="324" t="str">
        <f t="shared" si="137"/>
        <v>PASS</v>
      </c>
      <c r="BR108" s="324"/>
      <c r="BS108" s="324"/>
      <c r="BT108" s="324"/>
      <c r="BU108" s="324"/>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56" t="s">
        <v>124</v>
      </c>
      <c r="BC110" s="356"/>
      <c r="BD110" s="356"/>
      <c r="BE110" s="356"/>
      <c r="BF110" s="356"/>
      <c r="BG110" s="356"/>
      <c r="BH110" s="356"/>
      <c r="BI110" s="356"/>
      <c r="BJ110" s="356"/>
      <c r="BK110" s="356"/>
      <c r="BL110" s="356"/>
      <c r="BM110" s="356"/>
      <c r="BN110" s="356"/>
      <c r="BO110" s="356"/>
      <c r="BP110" s="356"/>
      <c r="BQ110" s="356"/>
      <c r="BR110" s="356"/>
      <c r="BS110" s="356"/>
      <c r="BT110" s="356"/>
      <c r="BU110" s="356"/>
      <c r="BV110" s="169"/>
      <c r="BX110" s="291" t="s">
        <v>69</v>
      </c>
      <c r="BY110" s="292"/>
      <c r="BZ110" s="292"/>
      <c r="CA110" s="292"/>
      <c r="CB110" s="293"/>
      <c r="CC110" s="2"/>
      <c r="CD110" s="291" t="s">
        <v>69</v>
      </c>
      <c r="CE110" s="292"/>
      <c r="CF110" s="292"/>
      <c r="CG110" s="292"/>
      <c r="CH110" s="293"/>
      <c r="CI110" s="2"/>
      <c r="CJ110" s="291" t="s">
        <v>129</v>
      </c>
      <c r="CK110" s="292"/>
      <c r="CL110" s="292"/>
      <c r="CM110" s="292"/>
      <c r="CN110" s="293"/>
      <c r="CO110" s="2"/>
      <c r="CP110" s="291" t="s">
        <v>129</v>
      </c>
      <c r="CQ110" s="292"/>
      <c r="CR110" s="292"/>
      <c r="CS110" s="292"/>
      <c r="CT110" s="293"/>
      <c r="CV110" s="291" t="s">
        <v>71</v>
      </c>
      <c r="CW110" s="292"/>
      <c r="CX110" s="292"/>
      <c r="CY110" s="292"/>
      <c r="CZ110" s="293"/>
      <c r="DB110" s="419" t="s">
        <v>116</v>
      </c>
      <c r="DC110" s="420"/>
      <c r="DD110" s="419" t="s">
        <v>117</v>
      </c>
      <c r="DE110" s="419"/>
    </row>
    <row r="111" spans="1:109" s="174" customFormat="1" ht="18" customHeight="1">
      <c r="A111" s="173"/>
      <c r="B111" s="170"/>
      <c r="C111" s="139"/>
      <c r="D111" s="139"/>
      <c r="E111" s="139"/>
      <c r="F111" s="315" t="s">
        <v>27</v>
      </c>
      <c r="G111" s="315"/>
      <c r="H111" s="315"/>
      <c r="I111" s="315"/>
      <c r="J111" s="315"/>
      <c r="K111" s="315"/>
      <c r="L111" s="315" t="s">
        <v>28</v>
      </c>
      <c r="M111" s="315"/>
      <c r="N111" s="315"/>
      <c r="O111" s="315"/>
      <c r="P111" s="315"/>
      <c r="Q111" s="315"/>
      <c r="R111" s="315"/>
      <c r="S111" s="315" t="s">
        <v>72</v>
      </c>
      <c r="T111" s="315"/>
      <c r="U111" s="315"/>
      <c r="V111" s="315"/>
      <c r="W111" s="315"/>
      <c r="X111" s="315" t="s">
        <v>73</v>
      </c>
      <c r="Y111" s="315"/>
      <c r="Z111" s="315"/>
      <c r="AA111" s="315"/>
      <c r="AB111" s="315"/>
      <c r="AC111" s="315"/>
      <c r="AD111" s="315"/>
      <c r="AE111" s="315"/>
      <c r="AF111" s="315"/>
      <c r="AG111" s="315"/>
      <c r="AH111" s="315"/>
      <c r="AI111" s="315"/>
      <c r="AJ111" s="315"/>
      <c r="AK111" s="315"/>
      <c r="AL111" s="315"/>
      <c r="AM111" s="315" t="s">
        <v>74</v>
      </c>
      <c r="AN111" s="315"/>
      <c r="AO111" s="315"/>
      <c r="AP111" s="315"/>
      <c r="AQ111" s="315"/>
      <c r="AR111" s="315" t="s">
        <v>29</v>
      </c>
      <c r="AS111" s="315"/>
      <c r="AT111" s="315"/>
      <c r="AU111" s="315"/>
      <c r="AV111" s="315"/>
      <c r="AW111" s="139"/>
      <c r="AX111" s="139"/>
      <c r="AY111" s="139"/>
      <c r="AZ111" s="172"/>
      <c r="BA111" s="173"/>
      <c r="BB111" s="315" t="s">
        <v>75</v>
      </c>
      <c r="BC111" s="315"/>
      <c r="BD111" s="315"/>
      <c r="BE111" s="315"/>
      <c r="BF111" s="315"/>
      <c r="BG111" s="315" t="s">
        <v>76</v>
      </c>
      <c r="BH111" s="315"/>
      <c r="BI111" s="315"/>
      <c r="BJ111" s="315"/>
      <c r="BK111" s="315"/>
      <c r="BL111" s="315" t="s">
        <v>77</v>
      </c>
      <c r="BM111" s="315"/>
      <c r="BN111" s="315"/>
      <c r="BO111" s="315"/>
      <c r="BP111" s="315"/>
      <c r="BQ111" s="315" t="s">
        <v>78</v>
      </c>
      <c r="BR111" s="315"/>
      <c r="BS111" s="315"/>
      <c r="BT111" s="315"/>
      <c r="BU111" s="315"/>
      <c r="BV111" s="173"/>
      <c r="BX111" s="298" t="s">
        <v>79</v>
      </c>
      <c r="BY111" s="294" t="s">
        <v>114</v>
      </c>
      <c r="BZ111" s="294" t="s">
        <v>80</v>
      </c>
      <c r="CA111" s="300" t="s">
        <v>81</v>
      </c>
      <c r="CB111" s="296" t="s">
        <v>82</v>
      </c>
      <c r="CC111" s="3"/>
      <c r="CD111" s="298" t="s">
        <v>79</v>
      </c>
      <c r="CE111" s="294" t="s">
        <v>114</v>
      </c>
      <c r="CF111" s="294" t="s">
        <v>80</v>
      </c>
      <c r="CG111" s="300" t="s">
        <v>81</v>
      </c>
      <c r="CH111" s="296" t="s">
        <v>82</v>
      </c>
      <c r="CI111" s="3"/>
      <c r="CJ111" s="298" t="s">
        <v>79</v>
      </c>
      <c r="CK111" s="294" t="s">
        <v>114</v>
      </c>
      <c r="CL111" s="294" t="s">
        <v>80</v>
      </c>
      <c r="CM111" s="300" t="s">
        <v>81</v>
      </c>
      <c r="CN111" s="296" t="s">
        <v>82</v>
      </c>
      <c r="CO111" s="3"/>
      <c r="CP111" s="298" t="s">
        <v>79</v>
      </c>
      <c r="CQ111" s="294" t="s">
        <v>114</v>
      </c>
      <c r="CR111" s="294" t="s">
        <v>80</v>
      </c>
      <c r="CS111" s="300" t="s">
        <v>81</v>
      </c>
      <c r="CT111" s="296" t="s">
        <v>82</v>
      </c>
      <c r="CU111" s="8"/>
      <c r="CV111" s="119" t="s">
        <v>83</v>
      </c>
      <c r="CW111" s="101" t="s">
        <v>84</v>
      </c>
      <c r="CX111" s="121" t="s">
        <v>85</v>
      </c>
      <c r="CY111" s="298" t="s">
        <v>86</v>
      </c>
      <c r="CZ111" s="387"/>
      <c r="DA111" s="8"/>
      <c r="DB111" s="419"/>
      <c r="DC111" s="420"/>
      <c r="DD111" s="419"/>
      <c r="DE111" s="419"/>
    </row>
    <row r="112" spans="1:109" s="174" customFormat="1" ht="18" customHeight="1" thickBot="1">
      <c r="A112" s="173"/>
      <c r="B112" s="170"/>
      <c r="C112" s="139"/>
      <c r="D112" s="139"/>
      <c r="E112" s="139"/>
      <c r="F112" s="315"/>
      <c r="G112" s="315"/>
      <c r="H112" s="315"/>
      <c r="I112" s="315"/>
      <c r="J112" s="315"/>
      <c r="K112" s="315"/>
      <c r="L112" s="315"/>
      <c r="M112" s="315"/>
      <c r="N112" s="315"/>
      <c r="O112" s="315"/>
      <c r="P112" s="315"/>
      <c r="Q112" s="315"/>
      <c r="R112" s="315"/>
      <c r="S112" s="315"/>
      <c r="T112" s="315"/>
      <c r="U112" s="315"/>
      <c r="V112" s="315"/>
      <c r="W112" s="315"/>
      <c r="X112" s="315">
        <v>1</v>
      </c>
      <c r="Y112" s="315"/>
      <c r="Z112" s="315"/>
      <c r="AA112" s="315"/>
      <c r="AB112" s="315"/>
      <c r="AC112" s="315">
        <v>2</v>
      </c>
      <c r="AD112" s="315"/>
      <c r="AE112" s="315"/>
      <c r="AF112" s="315"/>
      <c r="AG112" s="315"/>
      <c r="AH112" s="315">
        <v>3</v>
      </c>
      <c r="AI112" s="315"/>
      <c r="AJ112" s="315"/>
      <c r="AK112" s="315"/>
      <c r="AL112" s="315"/>
      <c r="AM112" s="315"/>
      <c r="AN112" s="315"/>
      <c r="AO112" s="315"/>
      <c r="AP112" s="315"/>
      <c r="AQ112" s="315"/>
      <c r="AR112" s="315"/>
      <c r="AS112" s="315"/>
      <c r="AT112" s="315"/>
      <c r="AU112" s="315"/>
      <c r="AV112" s="315"/>
      <c r="AW112" s="139"/>
      <c r="AX112" s="139"/>
      <c r="AY112" s="139"/>
      <c r="AZ112" s="172"/>
      <c r="BA112" s="173"/>
      <c r="BB112" s="315"/>
      <c r="BC112" s="315"/>
      <c r="BD112" s="315"/>
      <c r="BE112" s="315"/>
      <c r="BF112" s="315"/>
      <c r="BG112" s="315"/>
      <c r="BH112" s="315"/>
      <c r="BI112" s="315"/>
      <c r="BJ112" s="315"/>
      <c r="BK112" s="315"/>
      <c r="BL112" s="315"/>
      <c r="BM112" s="315"/>
      <c r="BN112" s="315"/>
      <c r="BO112" s="315"/>
      <c r="BP112" s="315"/>
      <c r="BQ112" s="315"/>
      <c r="BR112" s="315"/>
      <c r="BS112" s="315"/>
      <c r="BT112" s="315"/>
      <c r="BU112" s="315"/>
      <c r="BV112" s="173"/>
      <c r="BX112" s="299"/>
      <c r="BY112" s="295"/>
      <c r="BZ112" s="295"/>
      <c r="CA112" s="301"/>
      <c r="CB112" s="297"/>
      <c r="CC112" s="3"/>
      <c r="CD112" s="299"/>
      <c r="CE112" s="295"/>
      <c r="CF112" s="295"/>
      <c r="CG112" s="301"/>
      <c r="CH112" s="297"/>
      <c r="CI112" s="3"/>
      <c r="CJ112" s="299"/>
      <c r="CK112" s="295"/>
      <c r="CL112" s="295"/>
      <c r="CM112" s="301"/>
      <c r="CN112" s="297"/>
      <c r="CO112" s="3"/>
      <c r="CP112" s="299"/>
      <c r="CQ112" s="295"/>
      <c r="CR112" s="295"/>
      <c r="CS112" s="301"/>
      <c r="CT112" s="297"/>
      <c r="CU112" s="8"/>
      <c r="CV112" s="120" t="s">
        <v>87</v>
      </c>
      <c r="CW112" s="102" t="s">
        <v>88</v>
      </c>
      <c r="CX112" s="122" t="s">
        <v>89</v>
      </c>
      <c r="CY112" s="299" t="s">
        <v>90</v>
      </c>
      <c r="CZ112" s="388"/>
      <c r="DA112" s="8"/>
      <c r="DB112" s="419"/>
      <c r="DC112" s="420"/>
      <c r="DD112" s="419"/>
      <c r="DE112" s="419"/>
    </row>
    <row r="113" spans="1:109" s="174" customFormat="1" ht="18" customHeight="1">
      <c r="A113" s="173"/>
      <c r="B113" s="170"/>
      <c r="C113" s="139"/>
      <c r="D113" s="139"/>
      <c r="E113" s="139"/>
      <c r="F113" s="311" t="s">
        <v>146</v>
      </c>
      <c r="G113" s="312"/>
      <c r="H113" s="312"/>
      <c r="I113" s="312"/>
      <c r="J113" s="312"/>
      <c r="K113" s="313"/>
      <c r="L113" s="319">
        <f>600*90%</f>
        <v>540</v>
      </c>
      <c r="M113" s="320"/>
      <c r="N113" s="320"/>
      <c r="O113" s="320"/>
      <c r="P113" s="321" t="s">
        <v>148</v>
      </c>
      <c r="Q113" s="321"/>
      <c r="R113" s="322"/>
      <c r="S113" s="323" t="s">
        <v>56</v>
      </c>
      <c r="T113" s="323"/>
      <c r="U113" s="323"/>
      <c r="V113" s="323"/>
      <c r="W113" s="323"/>
      <c r="X113" s="316">
        <v>540</v>
      </c>
      <c r="Y113" s="316"/>
      <c r="Z113" s="316"/>
      <c r="AA113" s="316"/>
      <c r="AB113" s="316"/>
      <c r="AC113" s="316">
        <v>540</v>
      </c>
      <c r="AD113" s="316"/>
      <c r="AE113" s="316"/>
      <c r="AF113" s="316"/>
      <c r="AG113" s="316"/>
      <c r="AH113" s="316">
        <v>540</v>
      </c>
      <c r="AI113" s="316"/>
      <c r="AJ113" s="316"/>
      <c r="AK113" s="316"/>
      <c r="AL113" s="316"/>
      <c r="AM113" s="316">
        <f>AVERAGE(X113:AL113)</f>
        <v>540</v>
      </c>
      <c r="AN113" s="316"/>
      <c r="AO113" s="316"/>
      <c r="AP113" s="316"/>
      <c r="AQ113" s="316"/>
      <c r="AR113" s="316">
        <f>AM113-L113</f>
        <v>0</v>
      </c>
      <c r="AS113" s="316"/>
      <c r="AT113" s="316"/>
      <c r="AU113" s="316"/>
      <c r="AV113" s="316"/>
      <c r="AW113" s="139"/>
      <c r="AX113" s="139"/>
      <c r="AY113" s="139"/>
      <c r="AZ113" s="172"/>
      <c r="BA113" s="173"/>
      <c r="BB113" s="318">
        <f>(AM113*0.2%)+(4*CK113)</f>
        <v>1.48</v>
      </c>
      <c r="BC113" s="318"/>
      <c r="BD113" s="318"/>
      <c r="BE113" s="318"/>
      <c r="BF113" s="318"/>
      <c r="BG113" s="318">
        <f t="shared" ref="BG113:BG121" si="189">L113+BB113</f>
        <v>541.48</v>
      </c>
      <c r="BH113" s="318"/>
      <c r="BI113" s="318"/>
      <c r="BJ113" s="318"/>
      <c r="BK113" s="318"/>
      <c r="BL113" s="318">
        <f t="shared" ref="BL113:BL121" si="190">L113-BB113</f>
        <v>538.52</v>
      </c>
      <c r="BM113" s="318"/>
      <c r="BN113" s="318"/>
      <c r="BO113" s="318"/>
      <c r="BP113" s="318"/>
      <c r="BQ113" s="324" t="str">
        <f t="shared" ref="BQ113:BQ121" si="191">IF(AND(AM113&lt;=BG113,AM113&gt;=BL113),"PASS","FAIL")</f>
        <v>PASS</v>
      </c>
      <c r="BR113" s="324"/>
      <c r="BS113" s="324"/>
      <c r="BT113" s="324"/>
      <c r="BU113" s="324"/>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311" t="s">
        <v>159</v>
      </c>
      <c r="G114" s="312"/>
      <c r="H114" s="312"/>
      <c r="I114" s="312"/>
      <c r="J114" s="312"/>
      <c r="K114" s="313"/>
      <c r="L114" s="319">
        <f>6000*90%</f>
        <v>5400</v>
      </c>
      <c r="M114" s="320"/>
      <c r="N114" s="320"/>
      <c r="O114" s="320"/>
      <c r="P114" s="321" t="s">
        <v>148</v>
      </c>
      <c r="Q114" s="321"/>
      <c r="R114" s="322"/>
      <c r="S114" s="323" t="s">
        <v>56</v>
      </c>
      <c r="T114" s="323"/>
      <c r="U114" s="323"/>
      <c r="V114" s="323"/>
      <c r="W114" s="323"/>
      <c r="X114" s="316">
        <v>5400</v>
      </c>
      <c r="Y114" s="316"/>
      <c r="Z114" s="316"/>
      <c r="AA114" s="316"/>
      <c r="AB114" s="316"/>
      <c r="AC114" s="316">
        <v>5400</v>
      </c>
      <c r="AD114" s="316"/>
      <c r="AE114" s="316"/>
      <c r="AF114" s="316"/>
      <c r="AG114" s="316"/>
      <c r="AH114" s="316">
        <v>5400</v>
      </c>
      <c r="AI114" s="316"/>
      <c r="AJ114" s="316"/>
      <c r="AK114" s="316"/>
      <c r="AL114" s="316"/>
      <c r="AM114" s="390">
        <f t="shared" ref="AM114" si="209">AVERAGE(X114:AL114)</f>
        <v>5400</v>
      </c>
      <c r="AN114" s="390"/>
      <c r="AO114" s="390"/>
      <c r="AP114" s="390"/>
      <c r="AQ114" s="390"/>
      <c r="AR114" s="390">
        <f t="shared" ref="AR114" si="210">AM114-L114</f>
        <v>0</v>
      </c>
      <c r="AS114" s="390"/>
      <c r="AT114" s="390"/>
      <c r="AU114" s="390"/>
      <c r="AV114" s="390"/>
      <c r="AW114" s="139"/>
      <c r="AX114" s="139"/>
      <c r="AY114" s="139"/>
      <c r="AZ114" s="172"/>
      <c r="BA114" s="173"/>
      <c r="BB114" s="318">
        <f>(AM114*0.2%)+(2*CK114)</f>
        <v>12.8</v>
      </c>
      <c r="BC114" s="318"/>
      <c r="BD114" s="318"/>
      <c r="BE114" s="318"/>
      <c r="BF114" s="318"/>
      <c r="BG114" s="316">
        <f t="shared" si="189"/>
        <v>5412.8</v>
      </c>
      <c r="BH114" s="316"/>
      <c r="BI114" s="316"/>
      <c r="BJ114" s="316"/>
      <c r="BK114" s="316"/>
      <c r="BL114" s="316">
        <f t="shared" si="190"/>
        <v>5387.2</v>
      </c>
      <c r="BM114" s="316"/>
      <c r="BN114" s="316"/>
      <c r="BO114" s="316"/>
      <c r="BP114" s="316"/>
      <c r="BQ114" s="324" t="str">
        <f t="shared" si="191"/>
        <v>PASS</v>
      </c>
      <c r="BR114" s="324"/>
      <c r="BS114" s="324"/>
      <c r="BT114" s="324"/>
      <c r="BU114" s="324"/>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311" t="s">
        <v>147</v>
      </c>
      <c r="G115" s="312"/>
      <c r="H115" s="312"/>
      <c r="I115" s="312"/>
      <c r="J115" s="312"/>
      <c r="K115" s="313"/>
      <c r="L115" s="319">
        <f>60*90%</f>
        <v>54</v>
      </c>
      <c r="M115" s="320"/>
      <c r="N115" s="320"/>
      <c r="O115" s="320"/>
      <c r="P115" s="321" t="s">
        <v>102</v>
      </c>
      <c r="Q115" s="321"/>
      <c r="R115" s="322"/>
      <c r="S115" s="323" t="s">
        <v>56</v>
      </c>
      <c r="T115" s="323"/>
      <c r="U115" s="323"/>
      <c r="V115" s="323"/>
      <c r="W115" s="323"/>
      <c r="X115" s="316">
        <v>54</v>
      </c>
      <c r="Y115" s="316"/>
      <c r="Z115" s="316"/>
      <c r="AA115" s="316"/>
      <c r="AB115" s="316"/>
      <c r="AC115" s="316">
        <v>54</v>
      </c>
      <c r="AD115" s="316"/>
      <c r="AE115" s="316"/>
      <c r="AF115" s="316"/>
      <c r="AG115" s="316"/>
      <c r="AH115" s="316">
        <v>54</v>
      </c>
      <c r="AI115" s="316"/>
      <c r="AJ115" s="316"/>
      <c r="AK115" s="316"/>
      <c r="AL115" s="316"/>
      <c r="AM115" s="318">
        <f>AVERAGE(X115:AL115)</f>
        <v>54</v>
      </c>
      <c r="AN115" s="318"/>
      <c r="AO115" s="318"/>
      <c r="AP115" s="318"/>
      <c r="AQ115" s="318"/>
      <c r="AR115" s="318">
        <f>AM115-L115</f>
        <v>0</v>
      </c>
      <c r="AS115" s="318"/>
      <c r="AT115" s="318"/>
      <c r="AU115" s="318"/>
      <c r="AV115" s="318"/>
      <c r="AW115" s="139"/>
      <c r="AX115" s="139"/>
      <c r="AY115" s="139"/>
      <c r="AZ115" s="172"/>
      <c r="BA115" s="173"/>
      <c r="BB115" s="318">
        <f>(AM115*0.2%)+(4*CK115)</f>
        <v>0.14799999999999999</v>
      </c>
      <c r="BC115" s="318"/>
      <c r="BD115" s="318"/>
      <c r="BE115" s="318"/>
      <c r="BF115" s="318"/>
      <c r="BG115" s="318">
        <f t="shared" si="189"/>
        <v>54.148000000000003</v>
      </c>
      <c r="BH115" s="318"/>
      <c r="BI115" s="318"/>
      <c r="BJ115" s="318"/>
      <c r="BK115" s="318"/>
      <c r="BL115" s="318">
        <f t="shared" si="190"/>
        <v>53.851999999999997</v>
      </c>
      <c r="BM115" s="318"/>
      <c r="BN115" s="318"/>
      <c r="BO115" s="318"/>
      <c r="BP115" s="318"/>
      <c r="BQ115" s="324" t="str">
        <f t="shared" si="191"/>
        <v>PASS</v>
      </c>
      <c r="BR115" s="324"/>
      <c r="BS115" s="324"/>
      <c r="BT115" s="324"/>
      <c r="BU115" s="324"/>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314"/>
      <c r="G116" s="312"/>
      <c r="H116" s="312"/>
      <c r="I116" s="312"/>
      <c r="J116" s="312"/>
      <c r="K116" s="313"/>
      <c r="L116" s="319">
        <f>60*-90%</f>
        <v>-54</v>
      </c>
      <c r="M116" s="320"/>
      <c r="N116" s="320"/>
      <c r="O116" s="320"/>
      <c r="P116" s="321" t="s">
        <v>102</v>
      </c>
      <c r="Q116" s="321"/>
      <c r="R116" s="322"/>
      <c r="S116" s="323" t="s">
        <v>56</v>
      </c>
      <c r="T116" s="323"/>
      <c r="U116" s="323"/>
      <c r="V116" s="323"/>
      <c r="W116" s="323"/>
      <c r="X116" s="316">
        <v>-54</v>
      </c>
      <c r="Y116" s="316"/>
      <c r="Z116" s="316"/>
      <c r="AA116" s="316"/>
      <c r="AB116" s="316"/>
      <c r="AC116" s="316">
        <v>-54</v>
      </c>
      <c r="AD116" s="316"/>
      <c r="AE116" s="316"/>
      <c r="AF116" s="316"/>
      <c r="AG116" s="316"/>
      <c r="AH116" s="316">
        <v>-54</v>
      </c>
      <c r="AI116" s="316"/>
      <c r="AJ116" s="316"/>
      <c r="AK116" s="316"/>
      <c r="AL116" s="316"/>
      <c r="AM116" s="318">
        <f t="shared" ref="AM116:AM117" si="225">AVERAGE(X116:AL116)</f>
        <v>-54</v>
      </c>
      <c r="AN116" s="318"/>
      <c r="AO116" s="318"/>
      <c r="AP116" s="318"/>
      <c r="AQ116" s="318"/>
      <c r="AR116" s="318">
        <f t="shared" ref="AR116:AR117" si="226">AM116-L116</f>
        <v>0</v>
      </c>
      <c r="AS116" s="318"/>
      <c r="AT116" s="318"/>
      <c r="AU116" s="318"/>
      <c r="AV116" s="318"/>
      <c r="AW116" s="139"/>
      <c r="AX116" s="139"/>
      <c r="AY116" s="139"/>
      <c r="AZ116" s="172"/>
      <c r="BA116" s="173"/>
      <c r="BB116" s="318">
        <f>ABS(AM116*0.2%)+(4*CK116)</f>
        <v>0.14799999999999999</v>
      </c>
      <c r="BC116" s="318"/>
      <c r="BD116" s="318"/>
      <c r="BE116" s="318"/>
      <c r="BF116" s="318"/>
      <c r="BG116" s="318">
        <f t="shared" si="189"/>
        <v>-53.851999999999997</v>
      </c>
      <c r="BH116" s="318"/>
      <c r="BI116" s="318"/>
      <c r="BJ116" s="318"/>
      <c r="BK116" s="318"/>
      <c r="BL116" s="318">
        <f t="shared" si="190"/>
        <v>-54.148000000000003</v>
      </c>
      <c r="BM116" s="318"/>
      <c r="BN116" s="318"/>
      <c r="BO116" s="318"/>
      <c r="BP116" s="318"/>
      <c r="BQ116" s="324" t="str">
        <f t="shared" si="191"/>
        <v>PASS</v>
      </c>
      <c r="BR116" s="324"/>
      <c r="BS116" s="324"/>
      <c r="BT116" s="324"/>
      <c r="BU116" s="324"/>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81" t="s">
        <v>150</v>
      </c>
      <c r="G117" s="382"/>
      <c r="H117" s="382"/>
      <c r="I117" s="382"/>
      <c r="J117" s="382"/>
      <c r="K117" s="383"/>
      <c r="L117" s="319">
        <f>400*90%</f>
        <v>360</v>
      </c>
      <c r="M117" s="320"/>
      <c r="N117" s="320"/>
      <c r="O117" s="320"/>
      <c r="P117" s="321" t="s">
        <v>102</v>
      </c>
      <c r="Q117" s="321"/>
      <c r="R117" s="322"/>
      <c r="S117" s="323" t="s">
        <v>56</v>
      </c>
      <c r="T117" s="323"/>
      <c r="U117" s="323"/>
      <c r="V117" s="323"/>
      <c r="W117" s="323"/>
      <c r="X117" s="316">
        <v>360</v>
      </c>
      <c r="Y117" s="316"/>
      <c r="Z117" s="316"/>
      <c r="AA117" s="316"/>
      <c r="AB117" s="316"/>
      <c r="AC117" s="316">
        <v>360</v>
      </c>
      <c r="AD117" s="316"/>
      <c r="AE117" s="316"/>
      <c r="AF117" s="316"/>
      <c r="AG117" s="316"/>
      <c r="AH117" s="316">
        <v>360</v>
      </c>
      <c r="AI117" s="316"/>
      <c r="AJ117" s="316"/>
      <c r="AK117" s="316"/>
      <c r="AL117" s="316"/>
      <c r="AM117" s="316">
        <f t="shared" si="225"/>
        <v>360</v>
      </c>
      <c r="AN117" s="316"/>
      <c r="AO117" s="316"/>
      <c r="AP117" s="316"/>
      <c r="AQ117" s="316"/>
      <c r="AR117" s="316">
        <f t="shared" si="226"/>
        <v>0</v>
      </c>
      <c r="AS117" s="316"/>
      <c r="AT117" s="316"/>
      <c r="AU117" s="316"/>
      <c r="AV117" s="316"/>
      <c r="AW117" s="139"/>
      <c r="AX117" s="139"/>
      <c r="AY117" s="139"/>
      <c r="AZ117" s="172"/>
      <c r="BA117" s="173"/>
      <c r="BB117" s="318">
        <f>(AM117*0.2%)+(2*CK117)</f>
        <v>0.91999999999999993</v>
      </c>
      <c r="BC117" s="318"/>
      <c r="BD117" s="318"/>
      <c r="BE117" s="318"/>
      <c r="BF117" s="318"/>
      <c r="BG117" s="316">
        <f t="shared" si="189"/>
        <v>360.92</v>
      </c>
      <c r="BH117" s="316"/>
      <c r="BI117" s="316"/>
      <c r="BJ117" s="316"/>
      <c r="BK117" s="316"/>
      <c r="BL117" s="316">
        <f t="shared" si="190"/>
        <v>359.08</v>
      </c>
      <c r="BM117" s="316"/>
      <c r="BN117" s="316"/>
      <c r="BO117" s="316"/>
      <c r="BP117" s="316"/>
      <c r="BQ117" s="324" t="str">
        <f t="shared" si="191"/>
        <v>PASS</v>
      </c>
      <c r="BR117" s="324"/>
      <c r="BS117" s="324"/>
      <c r="BT117" s="324"/>
      <c r="BU117" s="324"/>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311" t="s">
        <v>141</v>
      </c>
      <c r="G118" s="312"/>
      <c r="H118" s="312"/>
      <c r="I118" s="312"/>
      <c r="J118" s="312"/>
      <c r="K118" s="313"/>
      <c r="L118" s="319">
        <f>6*50%</f>
        <v>3</v>
      </c>
      <c r="M118" s="320"/>
      <c r="N118" s="320"/>
      <c r="O118" s="320"/>
      <c r="P118" s="321" t="s">
        <v>149</v>
      </c>
      <c r="Q118" s="321"/>
      <c r="R118" s="322"/>
      <c r="S118" s="323" t="s">
        <v>56</v>
      </c>
      <c r="T118" s="323"/>
      <c r="U118" s="323"/>
      <c r="V118" s="323"/>
      <c r="W118" s="323"/>
      <c r="X118" s="316">
        <v>3</v>
      </c>
      <c r="Y118" s="316"/>
      <c r="Z118" s="316"/>
      <c r="AA118" s="316"/>
      <c r="AB118" s="316"/>
      <c r="AC118" s="316">
        <v>3</v>
      </c>
      <c r="AD118" s="316"/>
      <c r="AE118" s="316"/>
      <c r="AF118" s="316"/>
      <c r="AG118" s="316"/>
      <c r="AH118" s="316">
        <v>3</v>
      </c>
      <c r="AI118" s="316"/>
      <c r="AJ118" s="316"/>
      <c r="AK118" s="316"/>
      <c r="AL118" s="316"/>
      <c r="AM118" s="317">
        <f>AVERAGE(X118:AL118)</f>
        <v>3</v>
      </c>
      <c r="AN118" s="317"/>
      <c r="AO118" s="317"/>
      <c r="AP118" s="317"/>
      <c r="AQ118" s="317"/>
      <c r="AR118" s="317">
        <f>AM118-L118</f>
        <v>0</v>
      </c>
      <c r="AS118" s="317"/>
      <c r="AT118" s="317"/>
      <c r="AU118" s="317"/>
      <c r="AV118" s="317"/>
      <c r="AW118" s="139"/>
      <c r="AX118" s="139"/>
      <c r="AY118" s="139"/>
      <c r="AZ118" s="172"/>
      <c r="BA118" s="173"/>
      <c r="BB118" s="318">
        <f>(AM118*0.2%)+(4*CK118)</f>
        <v>0.01</v>
      </c>
      <c r="BC118" s="318"/>
      <c r="BD118" s="318"/>
      <c r="BE118" s="318"/>
      <c r="BF118" s="318"/>
      <c r="BG118" s="318">
        <f t="shared" si="189"/>
        <v>3.01</v>
      </c>
      <c r="BH118" s="318"/>
      <c r="BI118" s="318"/>
      <c r="BJ118" s="318"/>
      <c r="BK118" s="318"/>
      <c r="BL118" s="318">
        <f t="shared" si="190"/>
        <v>2.99</v>
      </c>
      <c r="BM118" s="318"/>
      <c r="BN118" s="318"/>
      <c r="BO118" s="318"/>
      <c r="BP118" s="318"/>
      <c r="BQ118" s="324" t="str">
        <f t="shared" si="191"/>
        <v>PASS</v>
      </c>
      <c r="BR118" s="324"/>
      <c r="BS118" s="324"/>
      <c r="BT118" s="324"/>
      <c r="BU118" s="324"/>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314"/>
      <c r="G119" s="312"/>
      <c r="H119" s="312"/>
      <c r="I119" s="312"/>
      <c r="J119" s="312"/>
      <c r="K119" s="313"/>
      <c r="L119" s="319">
        <f>6*90%</f>
        <v>5.4</v>
      </c>
      <c r="M119" s="320"/>
      <c r="N119" s="320"/>
      <c r="O119" s="320"/>
      <c r="P119" s="321" t="s">
        <v>149</v>
      </c>
      <c r="Q119" s="321"/>
      <c r="R119" s="322"/>
      <c r="S119" s="323" t="s">
        <v>56</v>
      </c>
      <c r="T119" s="323"/>
      <c r="U119" s="323"/>
      <c r="V119" s="323"/>
      <c r="W119" s="323"/>
      <c r="X119" s="316">
        <v>5.4</v>
      </c>
      <c r="Y119" s="316"/>
      <c r="Z119" s="316"/>
      <c r="AA119" s="316"/>
      <c r="AB119" s="316"/>
      <c r="AC119" s="316">
        <v>5.4</v>
      </c>
      <c r="AD119" s="316"/>
      <c r="AE119" s="316"/>
      <c r="AF119" s="316"/>
      <c r="AG119" s="316"/>
      <c r="AH119" s="316">
        <v>5.4</v>
      </c>
      <c r="AI119" s="316"/>
      <c r="AJ119" s="316"/>
      <c r="AK119" s="316"/>
      <c r="AL119" s="316"/>
      <c r="AM119" s="317">
        <f t="shared" ref="AM119:AM120" si="241">AVERAGE(X119:AL119)</f>
        <v>5.4000000000000012</v>
      </c>
      <c r="AN119" s="317"/>
      <c r="AO119" s="317"/>
      <c r="AP119" s="317"/>
      <c r="AQ119" s="317"/>
      <c r="AR119" s="317">
        <f t="shared" ref="AR119:AR120" si="242">AM119-L119</f>
        <v>0</v>
      </c>
      <c r="AS119" s="317"/>
      <c r="AT119" s="317"/>
      <c r="AU119" s="317"/>
      <c r="AV119" s="317"/>
      <c r="AW119" s="139"/>
      <c r="AX119" s="139"/>
      <c r="AY119" s="139"/>
      <c r="AZ119" s="172"/>
      <c r="BA119" s="173"/>
      <c r="BB119" s="318">
        <f>(AM119*0.2%)+(4*CK119)</f>
        <v>1.4800000000000002E-2</v>
      </c>
      <c r="BC119" s="318"/>
      <c r="BD119" s="318"/>
      <c r="BE119" s="318"/>
      <c r="BF119" s="318"/>
      <c r="BG119" s="318">
        <f t="shared" si="189"/>
        <v>5.4148000000000005</v>
      </c>
      <c r="BH119" s="318"/>
      <c r="BI119" s="318"/>
      <c r="BJ119" s="318"/>
      <c r="BK119" s="318"/>
      <c r="BL119" s="318">
        <f t="shared" si="190"/>
        <v>5.3852000000000002</v>
      </c>
      <c r="BM119" s="318"/>
      <c r="BN119" s="318"/>
      <c r="BO119" s="318"/>
      <c r="BP119" s="318"/>
      <c r="BQ119" s="324" t="str">
        <f t="shared" si="191"/>
        <v>PASS</v>
      </c>
      <c r="BR119" s="324"/>
      <c r="BS119" s="324"/>
      <c r="BT119" s="324"/>
      <c r="BU119" s="324"/>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81" t="s">
        <v>142</v>
      </c>
      <c r="G120" s="382"/>
      <c r="H120" s="382"/>
      <c r="I120" s="382"/>
      <c r="J120" s="382"/>
      <c r="K120" s="383"/>
      <c r="L120" s="319">
        <f>10*50%</f>
        <v>5</v>
      </c>
      <c r="M120" s="320"/>
      <c r="N120" s="320"/>
      <c r="O120" s="320"/>
      <c r="P120" s="321" t="s">
        <v>149</v>
      </c>
      <c r="Q120" s="321"/>
      <c r="R120" s="322"/>
      <c r="S120" s="323" t="s">
        <v>56</v>
      </c>
      <c r="T120" s="323"/>
      <c r="U120" s="323"/>
      <c r="V120" s="323"/>
      <c r="W120" s="323"/>
      <c r="X120" s="316">
        <v>5</v>
      </c>
      <c r="Y120" s="316"/>
      <c r="Z120" s="316"/>
      <c r="AA120" s="316"/>
      <c r="AB120" s="316"/>
      <c r="AC120" s="316">
        <v>5</v>
      </c>
      <c r="AD120" s="316"/>
      <c r="AE120" s="316"/>
      <c r="AF120" s="316"/>
      <c r="AG120" s="316"/>
      <c r="AH120" s="316">
        <v>5</v>
      </c>
      <c r="AI120" s="316"/>
      <c r="AJ120" s="316"/>
      <c r="AK120" s="316"/>
      <c r="AL120" s="316"/>
      <c r="AM120" s="318">
        <f t="shared" si="241"/>
        <v>5</v>
      </c>
      <c r="AN120" s="318"/>
      <c r="AO120" s="318"/>
      <c r="AP120" s="318"/>
      <c r="AQ120" s="318"/>
      <c r="AR120" s="318">
        <f t="shared" si="242"/>
        <v>0</v>
      </c>
      <c r="AS120" s="318"/>
      <c r="AT120" s="318"/>
      <c r="AU120" s="318"/>
      <c r="AV120" s="318"/>
      <c r="AW120" s="139"/>
      <c r="AX120" s="139"/>
      <c r="AY120" s="139"/>
      <c r="AZ120" s="172"/>
      <c r="BA120" s="173"/>
      <c r="BB120" s="318">
        <f>(AM120*0.2%)+(2*CK120)</f>
        <v>0.03</v>
      </c>
      <c r="BC120" s="318"/>
      <c r="BD120" s="318"/>
      <c r="BE120" s="318"/>
      <c r="BF120" s="318"/>
      <c r="BG120" s="316">
        <f t="shared" si="189"/>
        <v>5.03</v>
      </c>
      <c r="BH120" s="316"/>
      <c r="BI120" s="316"/>
      <c r="BJ120" s="316"/>
      <c r="BK120" s="316"/>
      <c r="BL120" s="316">
        <f t="shared" si="190"/>
        <v>4.97</v>
      </c>
      <c r="BM120" s="316"/>
      <c r="BN120" s="316"/>
      <c r="BO120" s="316"/>
      <c r="BP120" s="316"/>
      <c r="BQ120" s="324" t="str">
        <f t="shared" si="191"/>
        <v>PASS</v>
      </c>
      <c r="BR120" s="324"/>
      <c r="BS120" s="324"/>
      <c r="BT120" s="324"/>
      <c r="BU120" s="324"/>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84"/>
      <c r="G121" s="385"/>
      <c r="H121" s="385"/>
      <c r="I121" s="385"/>
      <c r="J121" s="385"/>
      <c r="K121" s="386"/>
      <c r="L121" s="319">
        <f>10*90%</f>
        <v>9</v>
      </c>
      <c r="M121" s="320"/>
      <c r="N121" s="320"/>
      <c r="O121" s="320"/>
      <c r="P121" s="321" t="s">
        <v>149</v>
      </c>
      <c r="Q121" s="321"/>
      <c r="R121" s="322"/>
      <c r="S121" s="323" t="s">
        <v>56</v>
      </c>
      <c r="T121" s="323"/>
      <c r="U121" s="323"/>
      <c r="V121" s="323"/>
      <c r="W121" s="323"/>
      <c r="X121" s="316">
        <v>9</v>
      </c>
      <c r="Y121" s="316"/>
      <c r="Z121" s="316"/>
      <c r="AA121" s="316"/>
      <c r="AB121" s="316"/>
      <c r="AC121" s="316">
        <v>9</v>
      </c>
      <c r="AD121" s="316"/>
      <c r="AE121" s="316"/>
      <c r="AF121" s="316"/>
      <c r="AG121" s="316"/>
      <c r="AH121" s="316">
        <v>9</v>
      </c>
      <c r="AI121" s="316"/>
      <c r="AJ121" s="316"/>
      <c r="AK121" s="316"/>
      <c r="AL121" s="316"/>
      <c r="AM121" s="318">
        <f t="shared" ref="AM121" si="254">AVERAGE(X121:AL121)</f>
        <v>9</v>
      </c>
      <c r="AN121" s="318"/>
      <c r="AO121" s="318"/>
      <c r="AP121" s="318"/>
      <c r="AQ121" s="318"/>
      <c r="AR121" s="318">
        <f t="shared" ref="AR121" si="255">AM121-L121</f>
        <v>0</v>
      </c>
      <c r="AS121" s="318"/>
      <c r="AT121" s="318"/>
      <c r="AU121" s="318"/>
      <c r="AV121" s="318"/>
      <c r="AW121" s="139"/>
      <c r="AX121" s="139"/>
      <c r="AY121" s="139"/>
      <c r="AZ121" s="172"/>
      <c r="BA121" s="173"/>
      <c r="BB121" s="318">
        <f>(AM121*0.2%)+(2*CK121)</f>
        <v>3.8000000000000006E-2</v>
      </c>
      <c r="BC121" s="318"/>
      <c r="BD121" s="318"/>
      <c r="BE121" s="318"/>
      <c r="BF121" s="318"/>
      <c r="BG121" s="316">
        <f t="shared" si="189"/>
        <v>9.0380000000000003</v>
      </c>
      <c r="BH121" s="316"/>
      <c r="BI121" s="316"/>
      <c r="BJ121" s="316"/>
      <c r="BK121" s="316"/>
      <c r="BL121" s="316">
        <f t="shared" si="190"/>
        <v>8.9619999999999997</v>
      </c>
      <c r="BM121" s="316"/>
      <c r="BN121" s="316"/>
      <c r="BO121" s="316"/>
      <c r="BP121" s="316"/>
      <c r="BQ121" s="324" t="str">
        <f t="shared" si="191"/>
        <v>PASS</v>
      </c>
      <c r="BR121" s="324"/>
      <c r="BS121" s="324"/>
      <c r="BT121" s="324"/>
      <c r="BU121" s="324"/>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56" t="s">
        <v>124</v>
      </c>
      <c r="BC123" s="356"/>
      <c r="BD123" s="356"/>
      <c r="BE123" s="356"/>
      <c r="BF123" s="356"/>
      <c r="BG123" s="356"/>
      <c r="BH123" s="356"/>
      <c r="BI123" s="356"/>
      <c r="BJ123" s="356"/>
      <c r="BK123" s="356"/>
      <c r="BL123" s="356"/>
      <c r="BM123" s="356"/>
      <c r="BN123" s="356"/>
      <c r="BO123" s="356"/>
      <c r="BP123" s="356"/>
      <c r="BQ123" s="356"/>
      <c r="BR123" s="356"/>
      <c r="BS123" s="356"/>
      <c r="BT123" s="356"/>
      <c r="BU123" s="356"/>
      <c r="BV123" s="169"/>
      <c r="BX123" s="291" t="s">
        <v>69</v>
      </c>
      <c r="BY123" s="292"/>
      <c r="BZ123" s="292"/>
      <c r="CA123" s="292"/>
      <c r="CB123" s="293"/>
      <c r="CC123" s="2"/>
      <c r="CD123" s="291" t="s">
        <v>69</v>
      </c>
      <c r="CE123" s="292"/>
      <c r="CF123" s="292"/>
      <c r="CG123" s="292"/>
      <c r="CH123" s="293"/>
      <c r="CI123" s="2"/>
      <c r="CJ123" s="291" t="s">
        <v>129</v>
      </c>
      <c r="CK123" s="292"/>
      <c r="CL123" s="292"/>
      <c r="CM123" s="292"/>
      <c r="CN123" s="293"/>
      <c r="CO123" s="2"/>
      <c r="CP123" s="291" t="s">
        <v>129</v>
      </c>
      <c r="CQ123" s="292"/>
      <c r="CR123" s="292"/>
      <c r="CS123" s="292"/>
      <c r="CT123" s="293"/>
      <c r="CV123" s="291" t="s">
        <v>71</v>
      </c>
      <c r="CW123" s="292"/>
      <c r="CX123" s="292"/>
      <c r="CY123" s="292"/>
      <c r="CZ123" s="293"/>
      <c r="DB123" s="430" t="s">
        <v>116</v>
      </c>
      <c r="DC123" s="420"/>
      <c r="DD123" s="419" t="s">
        <v>117</v>
      </c>
      <c r="DE123" s="419"/>
    </row>
    <row r="124" spans="1:109" s="174" customFormat="1" ht="18" customHeight="1">
      <c r="A124" s="173"/>
      <c r="B124" s="170"/>
      <c r="C124" s="139"/>
      <c r="D124" s="139"/>
      <c r="E124" s="139"/>
      <c r="F124" s="315" t="s">
        <v>27</v>
      </c>
      <c r="G124" s="315"/>
      <c r="H124" s="315"/>
      <c r="I124" s="315"/>
      <c r="J124" s="315"/>
      <c r="K124" s="315"/>
      <c r="L124" s="315" t="s">
        <v>28</v>
      </c>
      <c r="M124" s="315"/>
      <c r="N124" s="315"/>
      <c r="O124" s="315"/>
      <c r="P124" s="315"/>
      <c r="Q124" s="315"/>
      <c r="R124" s="315"/>
      <c r="S124" s="315" t="s">
        <v>72</v>
      </c>
      <c r="T124" s="315"/>
      <c r="U124" s="315"/>
      <c r="V124" s="315"/>
      <c r="W124" s="315"/>
      <c r="X124" s="315" t="s">
        <v>73</v>
      </c>
      <c r="Y124" s="315"/>
      <c r="Z124" s="315"/>
      <c r="AA124" s="315"/>
      <c r="AB124" s="315"/>
      <c r="AC124" s="315"/>
      <c r="AD124" s="315"/>
      <c r="AE124" s="315"/>
      <c r="AF124" s="315"/>
      <c r="AG124" s="315"/>
      <c r="AH124" s="315"/>
      <c r="AI124" s="315"/>
      <c r="AJ124" s="315"/>
      <c r="AK124" s="315"/>
      <c r="AL124" s="315"/>
      <c r="AM124" s="315" t="s">
        <v>74</v>
      </c>
      <c r="AN124" s="315"/>
      <c r="AO124" s="315"/>
      <c r="AP124" s="315"/>
      <c r="AQ124" s="315"/>
      <c r="AR124" s="315" t="s">
        <v>29</v>
      </c>
      <c r="AS124" s="315"/>
      <c r="AT124" s="315"/>
      <c r="AU124" s="315"/>
      <c r="AV124" s="315"/>
      <c r="AW124" s="139"/>
      <c r="AX124" s="139"/>
      <c r="AY124" s="139"/>
      <c r="AZ124" s="172"/>
      <c r="BA124" s="173"/>
      <c r="BB124" s="315" t="s">
        <v>75</v>
      </c>
      <c r="BC124" s="315"/>
      <c r="BD124" s="315"/>
      <c r="BE124" s="315"/>
      <c r="BF124" s="315"/>
      <c r="BG124" s="315" t="s">
        <v>76</v>
      </c>
      <c r="BH124" s="315"/>
      <c r="BI124" s="315"/>
      <c r="BJ124" s="315"/>
      <c r="BK124" s="315"/>
      <c r="BL124" s="315" t="s">
        <v>77</v>
      </c>
      <c r="BM124" s="315"/>
      <c r="BN124" s="315"/>
      <c r="BO124" s="315"/>
      <c r="BP124" s="315"/>
      <c r="BQ124" s="315" t="s">
        <v>78</v>
      </c>
      <c r="BR124" s="315"/>
      <c r="BS124" s="315"/>
      <c r="BT124" s="315"/>
      <c r="BU124" s="315"/>
      <c r="BV124" s="173"/>
      <c r="BX124" s="298" t="s">
        <v>79</v>
      </c>
      <c r="BY124" s="294" t="s">
        <v>114</v>
      </c>
      <c r="BZ124" s="294" t="s">
        <v>80</v>
      </c>
      <c r="CA124" s="300" t="s">
        <v>81</v>
      </c>
      <c r="CB124" s="296" t="s">
        <v>82</v>
      </c>
      <c r="CC124" s="3"/>
      <c r="CD124" s="298" t="s">
        <v>79</v>
      </c>
      <c r="CE124" s="294" t="s">
        <v>114</v>
      </c>
      <c r="CF124" s="294" t="s">
        <v>80</v>
      </c>
      <c r="CG124" s="300" t="s">
        <v>81</v>
      </c>
      <c r="CH124" s="296" t="s">
        <v>82</v>
      </c>
      <c r="CI124" s="3"/>
      <c r="CJ124" s="298" t="s">
        <v>79</v>
      </c>
      <c r="CK124" s="294" t="s">
        <v>114</v>
      </c>
      <c r="CL124" s="294" t="s">
        <v>80</v>
      </c>
      <c r="CM124" s="300" t="s">
        <v>81</v>
      </c>
      <c r="CN124" s="296" t="s">
        <v>82</v>
      </c>
      <c r="CO124" s="3"/>
      <c r="CP124" s="298" t="s">
        <v>79</v>
      </c>
      <c r="CQ124" s="294" t="s">
        <v>114</v>
      </c>
      <c r="CR124" s="294" t="s">
        <v>80</v>
      </c>
      <c r="CS124" s="300" t="s">
        <v>81</v>
      </c>
      <c r="CT124" s="296" t="s">
        <v>82</v>
      </c>
      <c r="CU124" s="8"/>
      <c r="CV124" s="119" t="s">
        <v>83</v>
      </c>
      <c r="CW124" s="101" t="s">
        <v>84</v>
      </c>
      <c r="CX124" s="121" t="s">
        <v>85</v>
      </c>
      <c r="CY124" s="298" t="s">
        <v>86</v>
      </c>
      <c r="CZ124" s="387"/>
      <c r="DA124" s="8"/>
      <c r="DB124" s="430"/>
      <c r="DC124" s="420"/>
      <c r="DD124" s="419"/>
      <c r="DE124" s="419"/>
    </row>
    <row r="125" spans="1:109" s="174" customFormat="1" ht="18" customHeight="1" thickBot="1">
      <c r="A125" s="173"/>
      <c r="B125" s="170"/>
      <c r="C125" s="139"/>
      <c r="D125" s="139"/>
      <c r="E125" s="139"/>
      <c r="F125" s="315"/>
      <c r="G125" s="315"/>
      <c r="H125" s="315"/>
      <c r="I125" s="315"/>
      <c r="J125" s="315"/>
      <c r="K125" s="315"/>
      <c r="L125" s="315"/>
      <c r="M125" s="315"/>
      <c r="N125" s="315"/>
      <c r="O125" s="315"/>
      <c r="P125" s="315"/>
      <c r="Q125" s="315"/>
      <c r="R125" s="315"/>
      <c r="S125" s="315"/>
      <c r="T125" s="315"/>
      <c r="U125" s="315"/>
      <c r="V125" s="315"/>
      <c r="W125" s="315"/>
      <c r="X125" s="315">
        <v>1</v>
      </c>
      <c r="Y125" s="315"/>
      <c r="Z125" s="315"/>
      <c r="AA125" s="315"/>
      <c r="AB125" s="315"/>
      <c r="AC125" s="315">
        <v>2</v>
      </c>
      <c r="AD125" s="315"/>
      <c r="AE125" s="315"/>
      <c r="AF125" s="315"/>
      <c r="AG125" s="315"/>
      <c r="AH125" s="315">
        <v>3</v>
      </c>
      <c r="AI125" s="315"/>
      <c r="AJ125" s="315"/>
      <c r="AK125" s="315"/>
      <c r="AL125" s="315"/>
      <c r="AM125" s="315"/>
      <c r="AN125" s="315"/>
      <c r="AO125" s="315"/>
      <c r="AP125" s="315"/>
      <c r="AQ125" s="315"/>
      <c r="AR125" s="315"/>
      <c r="AS125" s="315"/>
      <c r="AT125" s="315"/>
      <c r="AU125" s="315"/>
      <c r="AV125" s="315"/>
      <c r="AW125" s="139"/>
      <c r="AX125" s="139"/>
      <c r="AY125" s="139"/>
      <c r="AZ125" s="172"/>
      <c r="BA125" s="173"/>
      <c r="BB125" s="315"/>
      <c r="BC125" s="315"/>
      <c r="BD125" s="315"/>
      <c r="BE125" s="315"/>
      <c r="BF125" s="315"/>
      <c r="BG125" s="315"/>
      <c r="BH125" s="315"/>
      <c r="BI125" s="315"/>
      <c r="BJ125" s="315"/>
      <c r="BK125" s="315"/>
      <c r="BL125" s="315"/>
      <c r="BM125" s="315"/>
      <c r="BN125" s="315"/>
      <c r="BO125" s="315"/>
      <c r="BP125" s="315"/>
      <c r="BQ125" s="315"/>
      <c r="BR125" s="315"/>
      <c r="BS125" s="315"/>
      <c r="BT125" s="315"/>
      <c r="BU125" s="315"/>
      <c r="BV125" s="173"/>
      <c r="BX125" s="299"/>
      <c r="BY125" s="295"/>
      <c r="BZ125" s="389"/>
      <c r="CA125" s="301"/>
      <c r="CB125" s="297"/>
      <c r="CC125" s="3"/>
      <c r="CD125" s="299"/>
      <c r="CE125" s="295"/>
      <c r="CF125" s="295"/>
      <c r="CG125" s="301"/>
      <c r="CH125" s="297"/>
      <c r="CI125" s="3"/>
      <c r="CJ125" s="299"/>
      <c r="CK125" s="295"/>
      <c r="CL125" s="295"/>
      <c r="CM125" s="301"/>
      <c r="CN125" s="297"/>
      <c r="CO125" s="3"/>
      <c r="CP125" s="299"/>
      <c r="CQ125" s="295"/>
      <c r="CR125" s="295"/>
      <c r="CS125" s="301"/>
      <c r="CT125" s="297"/>
      <c r="CU125" s="8"/>
      <c r="CV125" s="120" t="s">
        <v>87</v>
      </c>
      <c r="CW125" s="102" t="s">
        <v>88</v>
      </c>
      <c r="CX125" s="122" t="s">
        <v>89</v>
      </c>
      <c r="CY125" s="299" t="s">
        <v>90</v>
      </c>
      <c r="CZ125" s="388"/>
      <c r="DA125" s="8"/>
      <c r="DB125" s="430"/>
      <c r="DC125" s="420"/>
      <c r="DD125" s="419"/>
      <c r="DE125" s="419"/>
    </row>
    <row r="126" spans="1:109" s="174" customFormat="1" ht="18" customHeight="1" thickBot="1">
      <c r="A126" s="173"/>
      <c r="B126" s="170"/>
      <c r="C126" s="139"/>
      <c r="D126" s="139"/>
      <c r="E126" s="139"/>
      <c r="F126" s="311" t="s">
        <v>146</v>
      </c>
      <c r="G126" s="312"/>
      <c r="H126" s="312"/>
      <c r="I126" s="312"/>
      <c r="J126" s="312"/>
      <c r="K126" s="313"/>
      <c r="L126" s="319">
        <f>600*90%</f>
        <v>540</v>
      </c>
      <c r="M126" s="320"/>
      <c r="N126" s="320"/>
      <c r="O126" s="320"/>
      <c r="P126" s="321" t="s">
        <v>148</v>
      </c>
      <c r="Q126" s="321"/>
      <c r="R126" s="322"/>
      <c r="S126" s="323" t="s">
        <v>96</v>
      </c>
      <c r="T126" s="323"/>
      <c r="U126" s="323"/>
      <c r="V126" s="323"/>
      <c r="W126" s="323"/>
      <c r="X126" s="316">
        <v>540</v>
      </c>
      <c r="Y126" s="316"/>
      <c r="Z126" s="316"/>
      <c r="AA126" s="316"/>
      <c r="AB126" s="316"/>
      <c r="AC126" s="316">
        <v>540</v>
      </c>
      <c r="AD126" s="316"/>
      <c r="AE126" s="316"/>
      <c r="AF126" s="316"/>
      <c r="AG126" s="316"/>
      <c r="AH126" s="316">
        <v>540</v>
      </c>
      <c r="AI126" s="316"/>
      <c r="AJ126" s="316"/>
      <c r="AK126" s="316"/>
      <c r="AL126" s="316"/>
      <c r="AM126" s="316">
        <f>AVERAGE(X126:AL126)</f>
        <v>540</v>
      </c>
      <c r="AN126" s="316"/>
      <c r="AO126" s="316"/>
      <c r="AP126" s="316"/>
      <c r="AQ126" s="316"/>
      <c r="AR126" s="316">
        <f>AM126-L126</f>
        <v>0</v>
      </c>
      <c r="AS126" s="316"/>
      <c r="AT126" s="316"/>
      <c r="AU126" s="316"/>
      <c r="AV126" s="316"/>
      <c r="AW126" s="139"/>
      <c r="AX126" s="139"/>
      <c r="AY126" s="139"/>
      <c r="AZ126" s="172"/>
      <c r="BA126" s="173"/>
      <c r="BB126" s="318">
        <f>(AM126*1%)+(2*CK126)</f>
        <v>5.6000000000000005</v>
      </c>
      <c r="BC126" s="318"/>
      <c r="BD126" s="318"/>
      <c r="BE126" s="318"/>
      <c r="BF126" s="318"/>
      <c r="BG126" s="318">
        <f t="shared" ref="BG126:BG137" si="259">L126+BB126</f>
        <v>545.6</v>
      </c>
      <c r="BH126" s="318"/>
      <c r="BI126" s="318"/>
      <c r="BJ126" s="318"/>
      <c r="BK126" s="318"/>
      <c r="BL126" s="318">
        <f t="shared" ref="BL126:BL137" si="260">L126-BB126</f>
        <v>534.4</v>
      </c>
      <c r="BM126" s="318"/>
      <c r="BN126" s="318"/>
      <c r="BO126" s="318"/>
      <c r="BP126" s="318"/>
      <c r="BQ126" s="324" t="str">
        <f t="shared" ref="BQ126:BQ137" si="261">IF(AND(AM126&lt;=BG126,AM126&gt;=BL126),"PASS","FAIL")</f>
        <v>PASS</v>
      </c>
      <c r="BR126" s="324"/>
      <c r="BS126" s="324"/>
      <c r="BT126" s="324"/>
      <c r="BU126" s="324"/>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314"/>
      <c r="G127" s="312"/>
      <c r="H127" s="312"/>
      <c r="I127" s="312"/>
      <c r="J127" s="312"/>
      <c r="K127" s="313"/>
      <c r="L127" s="319">
        <f>600*90%</f>
        <v>540</v>
      </c>
      <c r="M127" s="320"/>
      <c r="N127" s="320"/>
      <c r="O127" s="320"/>
      <c r="P127" s="321" t="s">
        <v>148</v>
      </c>
      <c r="Q127" s="321"/>
      <c r="R127" s="322"/>
      <c r="S127" s="323" t="s">
        <v>143</v>
      </c>
      <c r="T127" s="323"/>
      <c r="U127" s="323"/>
      <c r="V127" s="323"/>
      <c r="W127" s="323"/>
      <c r="X127" s="316">
        <v>540</v>
      </c>
      <c r="Y127" s="316"/>
      <c r="Z127" s="316"/>
      <c r="AA127" s="316"/>
      <c r="AB127" s="316"/>
      <c r="AC127" s="316">
        <v>540</v>
      </c>
      <c r="AD127" s="316"/>
      <c r="AE127" s="316"/>
      <c r="AF127" s="316"/>
      <c r="AG127" s="316"/>
      <c r="AH127" s="316">
        <v>540</v>
      </c>
      <c r="AI127" s="316"/>
      <c r="AJ127" s="316"/>
      <c r="AK127" s="316"/>
      <c r="AL127" s="316"/>
      <c r="AM127" s="316">
        <f t="shared" ref="AM127:AM129" si="277">AVERAGE(X127:AL127)</f>
        <v>540</v>
      </c>
      <c r="AN127" s="316"/>
      <c r="AO127" s="316"/>
      <c r="AP127" s="316"/>
      <c r="AQ127" s="316"/>
      <c r="AR127" s="316">
        <f t="shared" ref="AR127:AR129" si="278">AM127-L127</f>
        <v>0</v>
      </c>
      <c r="AS127" s="316"/>
      <c r="AT127" s="316"/>
      <c r="AU127" s="316"/>
      <c r="AV127" s="316"/>
      <c r="AW127" s="139"/>
      <c r="AX127" s="139"/>
      <c r="AY127" s="139"/>
      <c r="AZ127" s="172"/>
      <c r="BA127" s="173"/>
      <c r="BB127" s="318">
        <f>(AM127*1%)+(2*CK127)</f>
        <v>5.6000000000000005</v>
      </c>
      <c r="BC127" s="318"/>
      <c r="BD127" s="318"/>
      <c r="BE127" s="318"/>
      <c r="BF127" s="318"/>
      <c r="BG127" s="316">
        <f t="shared" si="259"/>
        <v>545.6</v>
      </c>
      <c r="BH127" s="316"/>
      <c r="BI127" s="316"/>
      <c r="BJ127" s="316"/>
      <c r="BK127" s="316"/>
      <c r="BL127" s="316">
        <f t="shared" si="260"/>
        <v>534.4</v>
      </c>
      <c r="BM127" s="316"/>
      <c r="BN127" s="316"/>
      <c r="BO127" s="316"/>
      <c r="BP127" s="316"/>
      <c r="BQ127" s="324" t="str">
        <f t="shared" si="261"/>
        <v>PASS</v>
      </c>
      <c r="BR127" s="324"/>
      <c r="BS127" s="324"/>
      <c r="BT127" s="324"/>
      <c r="BU127" s="324"/>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311" t="s">
        <v>159</v>
      </c>
      <c r="G128" s="312"/>
      <c r="H128" s="312"/>
      <c r="I128" s="312"/>
      <c r="J128" s="312"/>
      <c r="K128" s="313"/>
      <c r="L128" s="319">
        <f>6000*90%</f>
        <v>5400</v>
      </c>
      <c r="M128" s="320"/>
      <c r="N128" s="320"/>
      <c r="O128" s="320"/>
      <c r="P128" s="321" t="s">
        <v>148</v>
      </c>
      <c r="Q128" s="321"/>
      <c r="R128" s="322"/>
      <c r="S128" s="323" t="s">
        <v>96</v>
      </c>
      <c r="T128" s="323"/>
      <c r="U128" s="323"/>
      <c r="V128" s="323"/>
      <c r="W128" s="323"/>
      <c r="X128" s="316">
        <v>5400</v>
      </c>
      <c r="Y128" s="316"/>
      <c r="Z128" s="316"/>
      <c r="AA128" s="316"/>
      <c r="AB128" s="316"/>
      <c r="AC128" s="316">
        <v>5400</v>
      </c>
      <c r="AD128" s="316"/>
      <c r="AE128" s="316"/>
      <c r="AF128" s="316"/>
      <c r="AG128" s="316"/>
      <c r="AH128" s="316">
        <v>5400</v>
      </c>
      <c r="AI128" s="316"/>
      <c r="AJ128" s="316"/>
      <c r="AK128" s="316"/>
      <c r="AL128" s="316"/>
      <c r="AM128" s="390">
        <f t="shared" si="277"/>
        <v>5400</v>
      </c>
      <c r="AN128" s="390"/>
      <c r="AO128" s="390"/>
      <c r="AP128" s="390"/>
      <c r="AQ128" s="390"/>
      <c r="AR128" s="390">
        <f t="shared" si="278"/>
        <v>0</v>
      </c>
      <c r="AS128" s="390"/>
      <c r="AT128" s="390"/>
      <c r="AU128" s="390"/>
      <c r="AV128" s="390"/>
      <c r="AW128" s="139"/>
      <c r="AX128" s="139"/>
      <c r="AY128" s="139"/>
      <c r="AZ128" s="172"/>
      <c r="BA128" s="173"/>
      <c r="BB128" s="318">
        <f t="shared" ref="BB128:BB129" si="282">(AM128*1%)+(2*CK128)</f>
        <v>56</v>
      </c>
      <c r="BC128" s="318"/>
      <c r="BD128" s="318"/>
      <c r="BE128" s="318"/>
      <c r="BF128" s="318"/>
      <c r="BG128" s="316">
        <f t="shared" si="259"/>
        <v>5456</v>
      </c>
      <c r="BH128" s="316"/>
      <c r="BI128" s="316"/>
      <c r="BJ128" s="316"/>
      <c r="BK128" s="316"/>
      <c r="BL128" s="316">
        <f t="shared" si="260"/>
        <v>5344</v>
      </c>
      <c r="BM128" s="316"/>
      <c r="BN128" s="316"/>
      <c r="BO128" s="316"/>
      <c r="BP128" s="316"/>
      <c r="BQ128" s="324" t="str">
        <f t="shared" si="261"/>
        <v>PASS</v>
      </c>
      <c r="BR128" s="324"/>
      <c r="BS128" s="324"/>
      <c r="BT128" s="324"/>
      <c r="BU128" s="324"/>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314"/>
      <c r="G129" s="312"/>
      <c r="H129" s="312"/>
      <c r="I129" s="312"/>
      <c r="J129" s="312"/>
      <c r="K129" s="313"/>
      <c r="L129" s="319">
        <f>6000*90%</f>
        <v>5400</v>
      </c>
      <c r="M129" s="320"/>
      <c r="N129" s="320"/>
      <c r="O129" s="320"/>
      <c r="P129" s="321" t="s">
        <v>148</v>
      </c>
      <c r="Q129" s="321"/>
      <c r="R129" s="322"/>
      <c r="S129" s="323" t="s">
        <v>143</v>
      </c>
      <c r="T129" s="323"/>
      <c r="U129" s="323"/>
      <c r="V129" s="323"/>
      <c r="W129" s="323"/>
      <c r="X129" s="316">
        <v>5400</v>
      </c>
      <c r="Y129" s="316"/>
      <c r="Z129" s="316"/>
      <c r="AA129" s="316"/>
      <c r="AB129" s="316"/>
      <c r="AC129" s="316">
        <v>5400</v>
      </c>
      <c r="AD129" s="316"/>
      <c r="AE129" s="316"/>
      <c r="AF129" s="316"/>
      <c r="AG129" s="316"/>
      <c r="AH129" s="316">
        <v>5400</v>
      </c>
      <c r="AI129" s="316"/>
      <c r="AJ129" s="316"/>
      <c r="AK129" s="316"/>
      <c r="AL129" s="316"/>
      <c r="AM129" s="390">
        <f t="shared" si="277"/>
        <v>5400</v>
      </c>
      <c r="AN129" s="390"/>
      <c r="AO129" s="390"/>
      <c r="AP129" s="390"/>
      <c r="AQ129" s="390"/>
      <c r="AR129" s="390">
        <f t="shared" si="278"/>
        <v>0</v>
      </c>
      <c r="AS129" s="390"/>
      <c r="AT129" s="390"/>
      <c r="AU129" s="390"/>
      <c r="AV129" s="390"/>
      <c r="AW129" s="139"/>
      <c r="AX129" s="139"/>
      <c r="AY129" s="139"/>
      <c r="AZ129" s="172"/>
      <c r="BA129" s="173"/>
      <c r="BB129" s="318">
        <f t="shared" si="282"/>
        <v>56</v>
      </c>
      <c r="BC129" s="318"/>
      <c r="BD129" s="318"/>
      <c r="BE129" s="318"/>
      <c r="BF129" s="318"/>
      <c r="BG129" s="316">
        <f t="shared" si="259"/>
        <v>5456</v>
      </c>
      <c r="BH129" s="316"/>
      <c r="BI129" s="316"/>
      <c r="BJ129" s="316"/>
      <c r="BK129" s="316"/>
      <c r="BL129" s="316">
        <f t="shared" si="260"/>
        <v>5344</v>
      </c>
      <c r="BM129" s="316"/>
      <c r="BN129" s="316"/>
      <c r="BO129" s="316"/>
      <c r="BP129" s="316"/>
      <c r="BQ129" s="324" t="str">
        <f t="shared" si="261"/>
        <v>PASS</v>
      </c>
      <c r="BR129" s="324"/>
      <c r="BS129" s="324"/>
      <c r="BT129" s="324"/>
      <c r="BU129" s="324"/>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311" t="s">
        <v>147</v>
      </c>
      <c r="G130" s="312"/>
      <c r="H130" s="312"/>
      <c r="I130" s="312"/>
      <c r="J130" s="312"/>
      <c r="K130" s="313"/>
      <c r="L130" s="319">
        <f>60*90%</f>
        <v>54</v>
      </c>
      <c r="M130" s="320"/>
      <c r="N130" s="320"/>
      <c r="O130" s="320"/>
      <c r="P130" s="321" t="s">
        <v>102</v>
      </c>
      <c r="Q130" s="321"/>
      <c r="R130" s="322"/>
      <c r="S130" s="323" t="s">
        <v>96</v>
      </c>
      <c r="T130" s="323"/>
      <c r="U130" s="323"/>
      <c r="V130" s="323"/>
      <c r="W130" s="323"/>
      <c r="X130" s="316">
        <v>54</v>
      </c>
      <c r="Y130" s="316"/>
      <c r="Z130" s="316"/>
      <c r="AA130" s="316"/>
      <c r="AB130" s="316"/>
      <c r="AC130" s="316">
        <v>54</v>
      </c>
      <c r="AD130" s="316"/>
      <c r="AE130" s="316"/>
      <c r="AF130" s="316"/>
      <c r="AG130" s="316"/>
      <c r="AH130" s="316">
        <v>54</v>
      </c>
      <c r="AI130" s="316"/>
      <c r="AJ130" s="316"/>
      <c r="AK130" s="316"/>
      <c r="AL130" s="316"/>
      <c r="AM130" s="318">
        <f>AVERAGE(X130:AL130)</f>
        <v>54</v>
      </c>
      <c r="AN130" s="318"/>
      <c r="AO130" s="318"/>
      <c r="AP130" s="318"/>
      <c r="AQ130" s="318"/>
      <c r="AR130" s="318">
        <f>AM130-L130</f>
        <v>0</v>
      </c>
      <c r="AS130" s="318"/>
      <c r="AT130" s="318"/>
      <c r="AU130" s="318"/>
      <c r="AV130" s="318"/>
      <c r="AW130" s="139"/>
      <c r="AX130" s="139"/>
      <c r="AY130" s="139"/>
      <c r="AZ130" s="172"/>
      <c r="BA130" s="173"/>
      <c r="BB130" s="318">
        <f t="shared" ref="BB130:BB137" si="285">(AM130*1%)+(2*CK130)</f>
        <v>0.56000000000000005</v>
      </c>
      <c r="BC130" s="318"/>
      <c r="BD130" s="318"/>
      <c r="BE130" s="318"/>
      <c r="BF130" s="318"/>
      <c r="BG130" s="318">
        <f t="shared" si="259"/>
        <v>54.56</v>
      </c>
      <c r="BH130" s="318"/>
      <c r="BI130" s="318"/>
      <c r="BJ130" s="318"/>
      <c r="BK130" s="318"/>
      <c r="BL130" s="318">
        <f t="shared" si="260"/>
        <v>53.44</v>
      </c>
      <c r="BM130" s="318"/>
      <c r="BN130" s="318"/>
      <c r="BO130" s="318"/>
      <c r="BP130" s="318"/>
      <c r="BQ130" s="324" t="str">
        <f t="shared" si="261"/>
        <v>PASS</v>
      </c>
      <c r="BR130" s="324"/>
      <c r="BS130" s="324"/>
      <c r="BT130" s="324"/>
      <c r="BU130" s="324"/>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314"/>
      <c r="G131" s="312"/>
      <c r="H131" s="312"/>
      <c r="I131" s="312"/>
      <c r="J131" s="312"/>
      <c r="K131" s="313"/>
      <c r="L131" s="319">
        <f>60*90%</f>
        <v>54</v>
      </c>
      <c r="M131" s="320"/>
      <c r="N131" s="320"/>
      <c r="O131" s="320"/>
      <c r="P131" s="321" t="s">
        <v>102</v>
      </c>
      <c r="Q131" s="321"/>
      <c r="R131" s="322"/>
      <c r="S131" s="323" t="s">
        <v>143</v>
      </c>
      <c r="T131" s="323"/>
      <c r="U131" s="323"/>
      <c r="V131" s="323"/>
      <c r="W131" s="323"/>
      <c r="X131" s="316">
        <v>54</v>
      </c>
      <c r="Y131" s="316"/>
      <c r="Z131" s="316"/>
      <c r="AA131" s="316"/>
      <c r="AB131" s="316"/>
      <c r="AC131" s="316">
        <v>54</v>
      </c>
      <c r="AD131" s="316"/>
      <c r="AE131" s="316"/>
      <c r="AF131" s="316"/>
      <c r="AG131" s="316"/>
      <c r="AH131" s="316">
        <v>54</v>
      </c>
      <c r="AI131" s="316"/>
      <c r="AJ131" s="316"/>
      <c r="AK131" s="316"/>
      <c r="AL131" s="316"/>
      <c r="AM131" s="318">
        <f t="shared" ref="AM131:AM133" si="297">AVERAGE(X131:AL131)</f>
        <v>54</v>
      </c>
      <c r="AN131" s="318"/>
      <c r="AO131" s="318"/>
      <c r="AP131" s="318"/>
      <c r="AQ131" s="318"/>
      <c r="AR131" s="318">
        <f t="shared" ref="AR131:AR133" si="298">AM131-L131</f>
        <v>0</v>
      </c>
      <c r="AS131" s="318"/>
      <c r="AT131" s="318"/>
      <c r="AU131" s="318"/>
      <c r="AV131" s="318"/>
      <c r="AW131" s="139"/>
      <c r="AX131" s="139"/>
      <c r="AY131" s="139"/>
      <c r="AZ131" s="172"/>
      <c r="BA131" s="173"/>
      <c r="BB131" s="318">
        <f t="shared" si="285"/>
        <v>0.56000000000000005</v>
      </c>
      <c r="BC131" s="318"/>
      <c r="BD131" s="318"/>
      <c r="BE131" s="318"/>
      <c r="BF131" s="318"/>
      <c r="BG131" s="316">
        <f t="shared" si="259"/>
        <v>54.56</v>
      </c>
      <c r="BH131" s="316"/>
      <c r="BI131" s="316"/>
      <c r="BJ131" s="316"/>
      <c r="BK131" s="316"/>
      <c r="BL131" s="316">
        <f t="shared" si="260"/>
        <v>53.44</v>
      </c>
      <c r="BM131" s="316"/>
      <c r="BN131" s="316"/>
      <c r="BO131" s="316"/>
      <c r="BP131" s="316"/>
      <c r="BQ131" s="324" t="str">
        <f t="shared" si="261"/>
        <v>PASS</v>
      </c>
      <c r="BR131" s="324"/>
      <c r="BS131" s="324"/>
      <c r="BT131" s="324"/>
      <c r="BU131" s="324"/>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81" t="s">
        <v>150</v>
      </c>
      <c r="G132" s="382"/>
      <c r="H132" s="382"/>
      <c r="I132" s="382"/>
      <c r="J132" s="382"/>
      <c r="K132" s="383"/>
      <c r="L132" s="319">
        <f>400*90%</f>
        <v>360</v>
      </c>
      <c r="M132" s="320"/>
      <c r="N132" s="320"/>
      <c r="O132" s="320"/>
      <c r="P132" s="321" t="s">
        <v>102</v>
      </c>
      <c r="Q132" s="321"/>
      <c r="R132" s="322"/>
      <c r="S132" s="323" t="s">
        <v>96</v>
      </c>
      <c r="T132" s="323"/>
      <c r="U132" s="323"/>
      <c r="V132" s="323"/>
      <c r="W132" s="323"/>
      <c r="X132" s="316">
        <v>360</v>
      </c>
      <c r="Y132" s="316"/>
      <c r="Z132" s="316"/>
      <c r="AA132" s="316"/>
      <c r="AB132" s="316"/>
      <c r="AC132" s="316">
        <v>360</v>
      </c>
      <c r="AD132" s="316"/>
      <c r="AE132" s="316"/>
      <c r="AF132" s="316"/>
      <c r="AG132" s="316"/>
      <c r="AH132" s="316">
        <v>360</v>
      </c>
      <c r="AI132" s="316"/>
      <c r="AJ132" s="316"/>
      <c r="AK132" s="316"/>
      <c r="AL132" s="316"/>
      <c r="AM132" s="316">
        <f t="shared" si="297"/>
        <v>360</v>
      </c>
      <c r="AN132" s="316"/>
      <c r="AO132" s="316"/>
      <c r="AP132" s="316"/>
      <c r="AQ132" s="316"/>
      <c r="AR132" s="316">
        <f t="shared" si="298"/>
        <v>0</v>
      </c>
      <c r="AS132" s="316"/>
      <c r="AT132" s="316"/>
      <c r="AU132" s="316"/>
      <c r="AV132" s="316"/>
      <c r="AW132" s="139"/>
      <c r="AX132" s="139"/>
      <c r="AY132" s="139"/>
      <c r="AZ132" s="172"/>
      <c r="BA132" s="173"/>
      <c r="BB132" s="318">
        <f t="shared" si="285"/>
        <v>3.8000000000000003</v>
      </c>
      <c r="BC132" s="318"/>
      <c r="BD132" s="318"/>
      <c r="BE132" s="318"/>
      <c r="BF132" s="318"/>
      <c r="BG132" s="316">
        <f t="shared" si="259"/>
        <v>363.8</v>
      </c>
      <c r="BH132" s="316"/>
      <c r="BI132" s="316"/>
      <c r="BJ132" s="316"/>
      <c r="BK132" s="316"/>
      <c r="BL132" s="316">
        <f t="shared" si="260"/>
        <v>356.2</v>
      </c>
      <c r="BM132" s="316"/>
      <c r="BN132" s="316"/>
      <c r="BO132" s="316"/>
      <c r="BP132" s="316"/>
      <c r="BQ132" s="324" t="str">
        <f t="shared" si="261"/>
        <v>PASS</v>
      </c>
      <c r="BR132" s="324"/>
      <c r="BS132" s="324"/>
      <c r="BT132" s="324"/>
      <c r="BU132" s="324"/>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84"/>
      <c r="G133" s="385"/>
      <c r="H133" s="385"/>
      <c r="I133" s="385"/>
      <c r="J133" s="385"/>
      <c r="K133" s="386"/>
      <c r="L133" s="319">
        <f>400*90%</f>
        <v>360</v>
      </c>
      <c r="M133" s="320"/>
      <c r="N133" s="320"/>
      <c r="O133" s="320"/>
      <c r="P133" s="321" t="s">
        <v>102</v>
      </c>
      <c r="Q133" s="321"/>
      <c r="R133" s="322"/>
      <c r="S133" s="323" t="s">
        <v>143</v>
      </c>
      <c r="T133" s="323"/>
      <c r="U133" s="323"/>
      <c r="V133" s="323"/>
      <c r="W133" s="323"/>
      <c r="X133" s="316">
        <v>360</v>
      </c>
      <c r="Y133" s="316"/>
      <c r="Z133" s="316"/>
      <c r="AA133" s="316"/>
      <c r="AB133" s="316"/>
      <c r="AC133" s="316">
        <v>360</v>
      </c>
      <c r="AD133" s="316"/>
      <c r="AE133" s="316"/>
      <c r="AF133" s="316"/>
      <c r="AG133" s="316"/>
      <c r="AH133" s="316">
        <v>360</v>
      </c>
      <c r="AI133" s="316"/>
      <c r="AJ133" s="316"/>
      <c r="AK133" s="316"/>
      <c r="AL133" s="316"/>
      <c r="AM133" s="316">
        <f t="shared" si="297"/>
        <v>360</v>
      </c>
      <c r="AN133" s="316"/>
      <c r="AO133" s="316"/>
      <c r="AP133" s="316"/>
      <c r="AQ133" s="316"/>
      <c r="AR133" s="316">
        <f t="shared" si="298"/>
        <v>0</v>
      </c>
      <c r="AS133" s="316"/>
      <c r="AT133" s="316"/>
      <c r="AU133" s="316"/>
      <c r="AV133" s="316"/>
      <c r="AW133" s="139"/>
      <c r="AX133" s="139"/>
      <c r="AY133" s="139"/>
      <c r="AZ133" s="172"/>
      <c r="BA133" s="173"/>
      <c r="BB133" s="318">
        <f t="shared" si="285"/>
        <v>3.8000000000000003</v>
      </c>
      <c r="BC133" s="318"/>
      <c r="BD133" s="318"/>
      <c r="BE133" s="318"/>
      <c r="BF133" s="318"/>
      <c r="BG133" s="316">
        <f t="shared" si="259"/>
        <v>363.8</v>
      </c>
      <c r="BH133" s="316"/>
      <c r="BI133" s="316"/>
      <c r="BJ133" s="316"/>
      <c r="BK133" s="316"/>
      <c r="BL133" s="316">
        <f t="shared" si="260"/>
        <v>356.2</v>
      </c>
      <c r="BM133" s="316"/>
      <c r="BN133" s="316"/>
      <c r="BO133" s="316"/>
      <c r="BP133" s="316"/>
      <c r="BQ133" s="324" t="str">
        <f t="shared" si="261"/>
        <v>PASS</v>
      </c>
      <c r="BR133" s="324"/>
      <c r="BS133" s="324"/>
      <c r="BT133" s="324"/>
      <c r="BU133" s="324"/>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311" t="s">
        <v>141</v>
      </c>
      <c r="G134" s="312"/>
      <c r="H134" s="312"/>
      <c r="I134" s="312"/>
      <c r="J134" s="312"/>
      <c r="K134" s="313"/>
      <c r="L134" s="319">
        <f>6*90%</f>
        <v>5.4</v>
      </c>
      <c r="M134" s="320"/>
      <c r="N134" s="320"/>
      <c r="O134" s="320"/>
      <c r="P134" s="321" t="s">
        <v>149</v>
      </c>
      <c r="Q134" s="321"/>
      <c r="R134" s="322"/>
      <c r="S134" s="323" t="s">
        <v>96</v>
      </c>
      <c r="T134" s="323"/>
      <c r="U134" s="323"/>
      <c r="V134" s="323"/>
      <c r="W134" s="323"/>
      <c r="X134" s="316">
        <v>5.4</v>
      </c>
      <c r="Y134" s="316"/>
      <c r="Z134" s="316"/>
      <c r="AA134" s="316"/>
      <c r="AB134" s="316"/>
      <c r="AC134" s="316">
        <v>5.4</v>
      </c>
      <c r="AD134" s="316"/>
      <c r="AE134" s="316"/>
      <c r="AF134" s="316"/>
      <c r="AG134" s="316"/>
      <c r="AH134" s="316">
        <v>5.4</v>
      </c>
      <c r="AI134" s="316"/>
      <c r="AJ134" s="316"/>
      <c r="AK134" s="316"/>
      <c r="AL134" s="316"/>
      <c r="AM134" s="317">
        <f>AVERAGE(X134:AL134)</f>
        <v>5.4000000000000012</v>
      </c>
      <c r="AN134" s="317"/>
      <c r="AO134" s="317"/>
      <c r="AP134" s="317"/>
      <c r="AQ134" s="317"/>
      <c r="AR134" s="317">
        <f>AM134-L134</f>
        <v>0</v>
      </c>
      <c r="AS134" s="317"/>
      <c r="AT134" s="317"/>
      <c r="AU134" s="317"/>
      <c r="AV134" s="317"/>
      <c r="AW134" s="139"/>
      <c r="AX134" s="139"/>
      <c r="AY134" s="139"/>
      <c r="AZ134" s="172"/>
      <c r="BA134" s="173"/>
      <c r="BB134" s="318">
        <f t="shared" si="285"/>
        <v>5.6000000000000015E-2</v>
      </c>
      <c r="BC134" s="318"/>
      <c r="BD134" s="318"/>
      <c r="BE134" s="318"/>
      <c r="BF134" s="318"/>
      <c r="BG134" s="318">
        <f t="shared" si="259"/>
        <v>5.4560000000000004</v>
      </c>
      <c r="BH134" s="318"/>
      <c r="BI134" s="318"/>
      <c r="BJ134" s="318"/>
      <c r="BK134" s="318"/>
      <c r="BL134" s="318">
        <f t="shared" si="260"/>
        <v>5.3440000000000003</v>
      </c>
      <c r="BM134" s="318"/>
      <c r="BN134" s="318"/>
      <c r="BO134" s="318"/>
      <c r="BP134" s="318"/>
      <c r="BQ134" s="324" t="str">
        <f t="shared" si="261"/>
        <v>PASS</v>
      </c>
      <c r="BR134" s="324"/>
      <c r="BS134" s="324"/>
      <c r="BT134" s="324"/>
      <c r="BU134" s="324"/>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314"/>
      <c r="G135" s="312"/>
      <c r="H135" s="312"/>
      <c r="I135" s="312"/>
      <c r="J135" s="312"/>
      <c r="K135" s="313"/>
      <c r="L135" s="319">
        <f>6*90%</f>
        <v>5.4</v>
      </c>
      <c r="M135" s="320"/>
      <c r="N135" s="320"/>
      <c r="O135" s="320"/>
      <c r="P135" s="321" t="s">
        <v>149</v>
      </c>
      <c r="Q135" s="321"/>
      <c r="R135" s="322"/>
      <c r="S135" s="323" t="s">
        <v>143</v>
      </c>
      <c r="T135" s="323"/>
      <c r="U135" s="323"/>
      <c r="V135" s="323"/>
      <c r="W135" s="323"/>
      <c r="X135" s="316">
        <v>5.4</v>
      </c>
      <c r="Y135" s="316"/>
      <c r="Z135" s="316"/>
      <c r="AA135" s="316"/>
      <c r="AB135" s="316"/>
      <c r="AC135" s="316">
        <v>5.4</v>
      </c>
      <c r="AD135" s="316"/>
      <c r="AE135" s="316"/>
      <c r="AF135" s="316"/>
      <c r="AG135" s="316"/>
      <c r="AH135" s="316">
        <v>5.4</v>
      </c>
      <c r="AI135" s="316"/>
      <c r="AJ135" s="316"/>
      <c r="AK135" s="316"/>
      <c r="AL135" s="316"/>
      <c r="AM135" s="317">
        <f t="shared" ref="AM135:AM136" si="315">AVERAGE(X135:AL135)</f>
        <v>5.4000000000000012</v>
      </c>
      <c r="AN135" s="317"/>
      <c r="AO135" s="317"/>
      <c r="AP135" s="317"/>
      <c r="AQ135" s="317"/>
      <c r="AR135" s="317">
        <f t="shared" ref="AR135:AR136" si="316">AM135-L135</f>
        <v>0</v>
      </c>
      <c r="AS135" s="317"/>
      <c r="AT135" s="317"/>
      <c r="AU135" s="317"/>
      <c r="AV135" s="317"/>
      <c r="AW135" s="139"/>
      <c r="AX135" s="139"/>
      <c r="AY135" s="139"/>
      <c r="AZ135" s="172"/>
      <c r="BA135" s="173"/>
      <c r="BB135" s="318">
        <f t="shared" si="285"/>
        <v>5.6000000000000015E-2</v>
      </c>
      <c r="BC135" s="318"/>
      <c r="BD135" s="318"/>
      <c r="BE135" s="318"/>
      <c r="BF135" s="318"/>
      <c r="BG135" s="316">
        <f t="shared" si="259"/>
        <v>5.4560000000000004</v>
      </c>
      <c r="BH135" s="316"/>
      <c r="BI135" s="316"/>
      <c r="BJ135" s="316"/>
      <c r="BK135" s="316"/>
      <c r="BL135" s="316">
        <f t="shared" si="260"/>
        <v>5.3440000000000003</v>
      </c>
      <c r="BM135" s="316"/>
      <c r="BN135" s="316"/>
      <c r="BO135" s="316"/>
      <c r="BP135" s="316"/>
      <c r="BQ135" s="324" t="str">
        <f t="shared" si="261"/>
        <v>PASS</v>
      </c>
      <c r="BR135" s="324"/>
      <c r="BS135" s="324"/>
      <c r="BT135" s="324"/>
      <c r="BU135" s="324"/>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81" t="s">
        <v>142</v>
      </c>
      <c r="G136" s="382"/>
      <c r="H136" s="382"/>
      <c r="I136" s="382"/>
      <c r="J136" s="382"/>
      <c r="K136" s="383"/>
      <c r="L136" s="319">
        <f>10*90%</f>
        <v>9</v>
      </c>
      <c r="M136" s="320"/>
      <c r="N136" s="320"/>
      <c r="O136" s="320"/>
      <c r="P136" s="321" t="s">
        <v>149</v>
      </c>
      <c r="Q136" s="321"/>
      <c r="R136" s="322"/>
      <c r="S136" s="323" t="s">
        <v>96</v>
      </c>
      <c r="T136" s="323"/>
      <c r="U136" s="323"/>
      <c r="V136" s="323"/>
      <c r="W136" s="323"/>
      <c r="X136" s="316">
        <v>9</v>
      </c>
      <c r="Y136" s="316"/>
      <c r="Z136" s="316"/>
      <c r="AA136" s="316"/>
      <c r="AB136" s="316"/>
      <c r="AC136" s="316">
        <v>9</v>
      </c>
      <c r="AD136" s="316"/>
      <c r="AE136" s="316"/>
      <c r="AF136" s="316"/>
      <c r="AG136" s="316"/>
      <c r="AH136" s="316">
        <v>9</v>
      </c>
      <c r="AI136" s="316"/>
      <c r="AJ136" s="316"/>
      <c r="AK136" s="316"/>
      <c r="AL136" s="316"/>
      <c r="AM136" s="318">
        <f t="shared" si="315"/>
        <v>9</v>
      </c>
      <c r="AN136" s="318"/>
      <c r="AO136" s="318"/>
      <c r="AP136" s="318"/>
      <c r="AQ136" s="318"/>
      <c r="AR136" s="318">
        <f t="shared" si="316"/>
        <v>0</v>
      </c>
      <c r="AS136" s="318"/>
      <c r="AT136" s="318"/>
      <c r="AU136" s="318"/>
      <c r="AV136" s="318"/>
      <c r="AW136" s="139"/>
      <c r="AX136" s="139"/>
      <c r="AY136" s="139"/>
      <c r="AZ136" s="172"/>
      <c r="BA136" s="173"/>
      <c r="BB136" s="318">
        <f t="shared" si="285"/>
        <v>0.11</v>
      </c>
      <c r="BC136" s="318"/>
      <c r="BD136" s="318"/>
      <c r="BE136" s="318"/>
      <c r="BF136" s="318"/>
      <c r="BG136" s="316">
        <f t="shared" si="259"/>
        <v>9.11</v>
      </c>
      <c r="BH136" s="316"/>
      <c r="BI136" s="316"/>
      <c r="BJ136" s="316"/>
      <c r="BK136" s="316"/>
      <c r="BL136" s="316">
        <f t="shared" si="260"/>
        <v>8.89</v>
      </c>
      <c r="BM136" s="316"/>
      <c r="BN136" s="316"/>
      <c r="BO136" s="316"/>
      <c r="BP136" s="316"/>
      <c r="BQ136" s="324" t="str">
        <f t="shared" si="261"/>
        <v>PASS</v>
      </c>
      <c r="BR136" s="324"/>
      <c r="BS136" s="324"/>
      <c r="BT136" s="324"/>
      <c r="BU136" s="324"/>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84"/>
      <c r="G137" s="385"/>
      <c r="H137" s="385"/>
      <c r="I137" s="385"/>
      <c r="J137" s="385"/>
      <c r="K137" s="386"/>
      <c r="L137" s="319">
        <f>10*90%</f>
        <v>9</v>
      </c>
      <c r="M137" s="320"/>
      <c r="N137" s="320"/>
      <c r="O137" s="320"/>
      <c r="P137" s="321" t="s">
        <v>149</v>
      </c>
      <c r="Q137" s="321"/>
      <c r="R137" s="322"/>
      <c r="S137" s="323" t="s">
        <v>143</v>
      </c>
      <c r="T137" s="323"/>
      <c r="U137" s="323"/>
      <c r="V137" s="323"/>
      <c r="W137" s="323"/>
      <c r="X137" s="316">
        <v>9</v>
      </c>
      <c r="Y137" s="316"/>
      <c r="Z137" s="316"/>
      <c r="AA137" s="316"/>
      <c r="AB137" s="316"/>
      <c r="AC137" s="316">
        <v>9</v>
      </c>
      <c r="AD137" s="316"/>
      <c r="AE137" s="316"/>
      <c r="AF137" s="316"/>
      <c r="AG137" s="316"/>
      <c r="AH137" s="316">
        <v>9</v>
      </c>
      <c r="AI137" s="316"/>
      <c r="AJ137" s="316"/>
      <c r="AK137" s="316"/>
      <c r="AL137" s="316"/>
      <c r="AM137" s="318">
        <f t="shared" ref="AM137" si="323">AVERAGE(X137:AL137)</f>
        <v>9</v>
      </c>
      <c r="AN137" s="318"/>
      <c r="AO137" s="318"/>
      <c r="AP137" s="318"/>
      <c r="AQ137" s="318"/>
      <c r="AR137" s="318">
        <f t="shared" ref="AR137" si="324">AM137-L137</f>
        <v>0</v>
      </c>
      <c r="AS137" s="318"/>
      <c r="AT137" s="318"/>
      <c r="AU137" s="318"/>
      <c r="AV137" s="318"/>
      <c r="AW137" s="139"/>
      <c r="AX137" s="139"/>
      <c r="AY137" s="139"/>
      <c r="AZ137" s="172"/>
      <c r="BA137" s="173"/>
      <c r="BB137" s="318">
        <f t="shared" si="285"/>
        <v>0.11</v>
      </c>
      <c r="BC137" s="318"/>
      <c r="BD137" s="318"/>
      <c r="BE137" s="318"/>
      <c r="BF137" s="318"/>
      <c r="BG137" s="316">
        <f t="shared" si="259"/>
        <v>9.11</v>
      </c>
      <c r="BH137" s="316"/>
      <c r="BI137" s="316"/>
      <c r="BJ137" s="316"/>
      <c r="BK137" s="316"/>
      <c r="BL137" s="316">
        <f t="shared" si="260"/>
        <v>8.89</v>
      </c>
      <c r="BM137" s="316"/>
      <c r="BN137" s="316"/>
      <c r="BO137" s="316"/>
      <c r="BP137" s="316"/>
      <c r="BQ137" s="324" t="str">
        <f t="shared" si="261"/>
        <v>PASS</v>
      </c>
      <c r="BR137" s="324"/>
      <c r="BS137" s="324"/>
      <c r="BT137" s="324"/>
      <c r="BU137" s="324"/>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378" t="s">
        <v>170</v>
      </c>
      <c r="C140" s="379"/>
      <c r="D140" s="379"/>
      <c r="E140" s="379"/>
      <c r="F140" s="379"/>
      <c r="G140" s="379"/>
      <c r="H140" s="379"/>
      <c r="I140" s="379"/>
      <c r="J140" s="379"/>
      <c r="K140" s="379"/>
      <c r="L140" s="379"/>
      <c r="M140" s="379"/>
      <c r="N140" s="379"/>
      <c r="O140" s="379"/>
      <c r="P140" s="379"/>
      <c r="Q140" s="379"/>
      <c r="R140" s="379"/>
      <c r="S140" s="379"/>
      <c r="T140" s="380"/>
      <c r="U140" s="358"/>
      <c r="V140" s="358"/>
      <c r="W140" s="358"/>
      <c r="X140" s="358"/>
      <c r="Y140" s="358"/>
      <c r="Z140" s="358"/>
      <c r="AA140" s="358"/>
      <c r="AB140" s="358"/>
      <c r="AC140" s="358"/>
      <c r="AD140" s="358"/>
      <c r="AE140" s="358"/>
      <c r="AF140" s="358"/>
      <c r="AG140" s="358"/>
      <c r="AH140" s="358"/>
      <c r="AI140" s="358"/>
      <c r="AJ140" s="360"/>
      <c r="AK140" s="363">
        <f>AL11</f>
        <v>45756</v>
      </c>
      <c r="AL140" s="364"/>
      <c r="AM140" s="364"/>
      <c r="AN140" s="364"/>
      <c r="AO140" s="364"/>
      <c r="AP140" s="364"/>
      <c r="AQ140" s="364"/>
      <c r="AR140" s="364"/>
      <c r="AS140" s="364"/>
      <c r="AT140" s="364"/>
      <c r="AU140" s="364"/>
      <c r="AV140" s="364"/>
      <c r="AW140" s="364"/>
      <c r="AX140" s="364"/>
      <c r="AY140" s="364"/>
      <c r="AZ140" s="365"/>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372" t="s">
        <v>105</v>
      </c>
      <c r="C141" s="373"/>
      <c r="D141" s="373"/>
      <c r="E141" s="373"/>
      <c r="F141" s="373"/>
      <c r="G141" s="373"/>
      <c r="H141" s="373"/>
      <c r="I141" s="373"/>
      <c r="J141" s="373"/>
      <c r="K141" s="373"/>
      <c r="L141" s="373"/>
      <c r="M141" s="373"/>
      <c r="N141" s="373"/>
      <c r="O141" s="373"/>
      <c r="P141" s="373"/>
      <c r="Q141" s="373"/>
      <c r="R141" s="373"/>
      <c r="S141" s="373"/>
      <c r="T141" s="374"/>
      <c r="U141" s="373" t="s">
        <v>106</v>
      </c>
      <c r="V141" s="373"/>
      <c r="W141" s="373"/>
      <c r="X141" s="373"/>
      <c r="Y141" s="373"/>
      <c r="Z141" s="373"/>
      <c r="AA141" s="373"/>
      <c r="AB141" s="373"/>
      <c r="AC141" s="373"/>
      <c r="AD141" s="373"/>
      <c r="AE141" s="373"/>
      <c r="AF141" s="373"/>
      <c r="AG141" s="373"/>
      <c r="AH141" s="373"/>
      <c r="AI141" s="373"/>
      <c r="AJ141" s="375"/>
      <c r="AK141" s="376" t="s">
        <v>107</v>
      </c>
      <c r="AL141" s="373"/>
      <c r="AM141" s="373"/>
      <c r="AN141" s="373"/>
      <c r="AO141" s="373"/>
      <c r="AP141" s="373"/>
      <c r="AQ141" s="373"/>
      <c r="AR141" s="373"/>
      <c r="AS141" s="373"/>
      <c r="AT141" s="373"/>
      <c r="AU141" s="373"/>
      <c r="AV141" s="373"/>
      <c r="AW141" s="373"/>
      <c r="AX141" s="373"/>
      <c r="AY141" s="373"/>
      <c r="AZ141" s="377"/>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357" t="s">
        <v>132</v>
      </c>
      <c r="C143" s="358"/>
      <c r="D143" s="358"/>
      <c r="E143" s="358"/>
      <c r="F143" s="358"/>
      <c r="G143" s="358"/>
      <c r="H143" s="358"/>
      <c r="I143" s="358"/>
      <c r="J143" s="358"/>
      <c r="K143" s="358"/>
      <c r="L143" s="358"/>
      <c r="M143" s="358"/>
      <c r="N143" s="358"/>
      <c r="O143" s="358"/>
      <c r="P143" s="358"/>
      <c r="Q143" s="358"/>
      <c r="R143" s="358"/>
      <c r="S143" s="358"/>
      <c r="T143" s="359"/>
      <c r="U143" s="358"/>
      <c r="V143" s="358"/>
      <c r="W143" s="358"/>
      <c r="X143" s="358"/>
      <c r="Y143" s="358"/>
      <c r="Z143" s="358"/>
      <c r="AA143" s="358"/>
      <c r="AB143" s="358"/>
      <c r="AC143" s="358"/>
      <c r="AD143" s="358"/>
      <c r="AE143" s="358"/>
      <c r="AF143" s="358"/>
      <c r="AG143" s="358"/>
      <c r="AH143" s="358"/>
      <c r="AI143" s="358"/>
      <c r="AJ143" s="360"/>
      <c r="AK143" s="363"/>
      <c r="AL143" s="364"/>
      <c r="AM143" s="364"/>
      <c r="AN143" s="364"/>
      <c r="AO143" s="364"/>
      <c r="AP143" s="364"/>
      <c r="AQ143" s="364"/>
      <c r="AR143" s="364"/>
      <c r="AS143" s="364"/>
      <c r="AT143" s="364"/>
      <c r="AU143" s="364"/>
      <c r="AV143" s="364"/>
      <c r="AW143" s="364"/>
      <c r="AX143" s="364"/>
      <c r="AY143" s="364"/>
      <c r="AZ143" s="365"/>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372" t="s">
        <v>152</v>
      </c>
      <c r="C144" s="373"/>
      <c r="D144" s="373"/>
      <c r="E144" s="373"/>
      <c r="F144" s="373"/>
      <c r="G144" s="373"/>
      <c r="H144" s="373"/>
      <c r="I144" s="373"/>
      <c r="J144" s="373"/>
      <c r="K144" s="373"/>
      <c r="L144" s="373"/>
      <c r="M144" s="373"/>
      <c r="N144" s="373"/>
      <c r="O144" s="373"/>
      <c r="P144" s="373"/>
      <c r="Q144" s="373"/>
      <c r="R144" s="373"/>
      <c r="S144" s="373"/>
      <c r="T144" s="374"/>
      <c r="U144" s="373" t="s">
        <v>106</v>
      </c>
      <c r="V144" s="373"/>
      <c r="W144" s="373"/>
      <c r="X144" s="373"/>
      <c r="Y144" s="373"/>
      <c r="Z144" s="373"/>
      <c r="AA144" s="373"/>
      <c r="AB144" s="373"/>
      <c r="AC144" s="373"/>
      <c r="AD144" s="373"/>
      <c r="AE144" s="373"/>
      <c r="AF144" s="373"/>
      <c r="AG144" s="373"/>
      <c r="AH144" s="373"/>
      <c r="AI144" s="373"/>
      <c r="AJ144" s="375"/>
      <c r="AK144" s="376" t="s">
        <v>107</v>
      </c>
      <c r="AL144" s="373"/>
      <c r="AM144" s="373"/>
      <c r="AN144" s="373"/>
      <c r="AO144" s="373"/>
      <c r="AP144" s="373"/>
      <c r="AQ144" s="373"/>
      <c r="AR144" s="373"/>
      <c r="AS144" s="373"/>
      <c r="AT144" s="373"/>
      <c r="AU144" s="373"/>
      <c r="AV144" s="373"/>
      <c r="AW144" s="373"/>
      <c r="AX144" s="373"/>
      <c r="AY144" s="373"/>
      <c r="AZ144" s="377"/>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357" t="s">
        <v>56</v>
      </c>
      <c r="C146" s="358"/>
      <c r="D146" s="358"/>
      <c r="E146" s="358"/>
      <c r="F146" s="358"/>
      <c r="G146" s="358"/>
      <c r="H146" s="358"/>
      <c r="I146" s="358"/>
      <c r="J146" s="358"/>
      <c r="K146" s="358"/>
      <c r="L146" s="358"/>
      <c r="M146" s="358"/>
      <c r="N146" s="358"/>
      <c r="O146" s="358"/>
      <c r="P146" s="358"/>
      <c r="Q146" s="358"/>
      <c r="R146" s="358"/>
      <c r="S146" s="358"/>
      <c r="T146" s="359"/>
      <c r="U146" s="358" t="s">
        <v>56</v>
      </c>
      <c r="V146" s="358"/>
      <c r="W146" s="358"/>
      <c r="X146" s="358"/>
      <c r="Y146" s="358"/>
      <c r="Z146" s="358"/>
      <c r="AA146" s="358"/>
      <c r="AB146" s="358"/>
      <c r="AC146" s="358"/>
      <c r="AD146" s="358"/>
      <c r="AE146" s="358"/>
      <c r="AF146" s="358"/>
      <c r="AG146" s="358"/>
      <c r="AH146" s="358"/>
      <c r="AI146" s="358"/>
      <c r="AJ146" s="360"/>
      <c r="AK146" s="361" t="s">
        <v>56</v>
      </c>
      <c r="AL146" s="358"/>
      <c r="AM146" s="358"/>
      <c r="AN146" s="358"/>
      <c r="AO146" s="358"/>
      <c r="AP146" s="358"/>
      <c r="AQ146" s="358"/>
      <c r="AR146" s="358"/>
      <c r="AS146" s="358"/>
      <c r="AT146" s="358"/>
      <c r="AU146" s="358"/>
      <c r="AV146" s="358"/>
      <c r="AW146" s="358"/>
      <c r="AX146" s="358"/>
      <c r="AY146" s="358"/>
      <c r="AZ146" s="362"/>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366" t="s">
        <v>105</v>
      </c>
      <c r="C147" s="367"/>
      <c r="D147" s="367"/>
      <c r="E147" s="367"/>
      <c r="F147" s="367"/>
      <c r="G147" s="367"/>
      <c r="H147" s="367"/>
      <c r="I147" s="367"/>
      <c r="J147" s="367"/>
      <c r="K147" s="367"/>
      <c r="L147" s="367"/>
      <c r="M147" s="367"/>
      <c r="N147" s="367"/>
      <c r="O147" s="367"/>
      <c r="P147" s="367"/>
      <c r="Q147" s="367"/>
      <c r="R147" s="367"/>
      <c r="S147" s="367"/>
      <c r="T147" s="368"/>
      <c r="U147" s="367" t="s">
        <v>106</v>
      </c>
      <c r="V147" s="367"/>
      <c r="W147" s="367"/>
      <c r="X147" s="367"/>
      <c r="Y147" s="367"/>
      <c r="Z147" s="367"/>
      <c r="AA147" s="367"/>
      <c r="AB147" s="367"/>
      <c r="AC147" s="367"/>
      <c r="AD147" s="367"/>
      <c r="AE147" s="367"/>
      <c r="AF147" s="367"/>
      <c r="AG147" s="367"/>
      <c r="AH147" s="367"/>
      <c r="AI147" s="367"/>
      <c r="AJ147" s="369"/>
      <c r="AK147" s="370" t="s">
        <v>107</v>
      </c>
      <c r="AL147" s="367"/>
      <c r="AM147" s="367"/>
      <c r="AN147" s="367"/>
      <c r="AO147" s="367"/>
      <c r="AP147" s="367"/>
      <c r="AQ147" s="367"/>
      <c r="AR147" s="367"/>
      <c r="AS147" s="367"/>
      <c r="AT147" s="367"/>
      <c r="AU147" s="367"/>
      <c r="AV147" s="367"/>
      <c r="AW147" s="367"/>
      <c r="AX147" s="367"/>
      <c r="AY147" s="367"/>
      <c r="AZ147" s="371"/>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74" t="s">
        <v>118</v>
      </c>
      <c r="C2" s="474"/>
      <c r="D2" s="474"/>
      <c r="E2" s="474"/>
      <c r="F2" s="474"/>
      <c r="G2" s="474"/>
      <c r="H2" s="474"/>
      <c r="I2" s="474"/>
      <c r="J2" s="474"/>
      <c r="K2" s="474"/>
      <c r="L2" s="474"/>
      <c r="M2" s="474"/>
      <c r="N2" s="474"/>
      <c r="O2" s="474"/>
      <c r="P2" s="474"/>
      <c r="Q2" s="474"/>
      <c r="R2" s="474"/>
      <c r="S2" s="474"/>
      <c r="T2" s="474"/>
      <c r="U2" s="474"/>
      <c r="V2" s="474"/>
      <c r="W2" s="474"/>
      <c r="X2" s="474"/>
      <c r="Y2" s="474"/>
    </row>
    <row r="3" spans="2:25">
      <c r="B3" s="451" t="s">
        <v>67</v>
      </c>
      <c r="C3" s="461"/>
      <c r="D3" s="461"/>
      <c r="E3" s="461"/>
      <c r="F3" s="461"/>
      <c r="G3" s="452"/>
      <c r="H3" s="451" t="s">
        <v>124</v>
      </c>
      <c r="I3" s="461"/>
      <c r="J3" s="461"/>
      <c r="K3" s="461"/>
      <c r="L3" s="461"/>
      <c r="M3" s="452"/>
      <c r="N3" s="451" t="s">
        <v>125</v>
      </c>
      <c r="O3" s="461"/>
      <c r="P3" s="461"/>
      <c r="Q3" s="461"/>
      <c r="R3" s="461"/>
      <c r="S3" s="461"/>
      <c r="T3" s="461"/>
      <c r="U3" s="461"/>
      <c r="V3" s="461"/>
      <c r="W3" s="452"/>
      <c r="X3" s="467" t="s">
        <v>119</v>
      </c>
      <c r="Y3" s="468"/>
    </row>
    <row r="4" spans="2:25" ht="15" customHeight="1">
      <c r="B4" s="453"/>
      <c r="C4" s="462"/>
      <c r="D4" s="462"/>
      <c r="E4" s="462"/>
      <c r="F4" s="462"/>
      <c r="G4" s="454"/>
      <c r="H4" s="453"/>
      <c r="I4" s="462"/>
      <c r="J4" s="462"/>
      <c r="K4" s="462"/>
      <c r="L4" s="462"/>
      <c r="M4" s="454"/>
      <c r="N4" s="453"/>
      <c r="O4" s="462"/>
      <c r="P4" s="462"/>
      <c r="Q4" s="462"/>
      <c r="R4" s="462"/>
      <c r="S4" s="462"/>
      <c r="T4" s="462"/>
      <c r="U4" s="462"/>
      <c r="V4" s="462"/>
      <c r="W4" s="454"/>
      <c r="X4" s="469"/>
      <c r="Y4" s="470"/>
    </row>
    <row r="5" spans="2:25">
      <c r="B5" s="449" t="str">
        <f>DataSheet!F52</f>
        <v>DC Voltage Test</v>
      </c>
      <c r="C5" s="449"/>
      <c r="D5" s="449"/>
      <c r="E5" s="449"/>
      <c r="F5" s="449"/>
      <c r="G5" s="449"/>
      <c r="H5" s="449"/>
      <c r="I5" s="449"/>
      <c r="J5" s="449"/>
      <c r="K5" s="449"/>
      <c r="L5" s="449"/>
      <c r="M5" s="449"/>
      <c r="N5" s="449"/>
      <c r="O5" s="449"/>
      <c r="P5" s="449"/>
      <c r="Q5" s="449"/>
      <c r="R5" s="449"/>
      <c r="S5" s="449"/>
      <c r="T5" s="449"/>
      <c r="U5" s="449"/>
      <c r="V5" s="449"/>
      <c r="W5" s="449"/>
      <c r="X5" s="469"/>
      <c r="Y5" s="470"/>
    </row>
    <row r="6" spans="2:25">
      <c r="B6" s="449"/>
      <c r="C6" s="449"/>
      <c r="D6" s="449"/>
      <c r="E6" s="449"/>
      <c r="F6" s="449"/>
      <c r="G6" s="449"/>
      <c r="H6" s="449"/>
      <c r="I6" s="449"/>
      <c r="J6" s="449"/>
      <c r="K6" s="449"/>
      <c r="L6" s="449"/>
      <c r="M6" s="449"/>
      <c r="N6" s="449"/>
      <c r="O6" s="449"/>
      <c r="P6" s="449"/>
      <c r="Q6" s="449"/>
      <c r="R6" s="449"/>
      <c r="S6" s="449"/>
      <c r="T6" s="449"/>
      <c r="U6" s="449"/>
      <c r="V6" s="449"/>
      <c r="W6" s="449"/>
      <c r="X6" s="469"/>
      <c r="Y6" s="470"/>
    </row>
    <row r="7" spans="2:25" ht="15" customHeight="1">
      <c r="B7" s="466" t="s">
        <v>73</v>
      </c>
      <c r="C7" s="466"/>
      <c r="D7" s="449" t="s">
        <v>75</v>
      </c>
      <c r="E7" s="449"/>
      <c r="F7" s="451" t="s">
        <v>114</v>
      </c>
      <c r="G7" s="452"/>
      <c r="H7" s="449" t="s">
        <v>76</v>
      </c>
      <c r="I7" s="449"/>
      <c r="J7" s="449" t="s">
        <v>77</v>
      </c>
      <c r="K7" s="449"/>
      <c r="L7" s="449" t="s">
        <v>78</v>
      </c>
      <c r="M7" s="449"/>
      <c r="N7" s="460" t="s">
        <v>122</v>
      </c>
      <c r="O7" s="449"/>
      <c r="P7" s="449" t="s">
        <v>76</v>
      </c>
      <c r="Q7" s="449"/>
      <c r="R7" s="449" t="s">
        <v>78</v>
      </c>
      <c r="S7" s="449"/>
      <c r="T7" s="460" t="s">
        <v>123</v>
      </c>
      <c r="U7" s="449"/>
      <c r="V7" s="449" t="s">
        <v>78</v>
      </c>
      <c r="W7" s="449"/>
      <c r="X7" s="469"/>
      <c r="Y7" s="470"/>
    </row>
    <row r="8" spans="2:25">
      <c r="B8" s="473"/>
      <c r="C8" s="473"/>
      <c r="D8" s="449"/>
      <c r="E8" s="449"/>
      <c r="F8" s="475"/>
      <c r="G8" s="476"/>
      <c r="H8" s="449"/>
      <c r="I8" s="449"/>
      <c r="J8" s="449"/>
      <c r="K8" s="449"/>
      <c r="L8" s="449"/>
      <c r="M8" s="449"/>
      <c r="N8" s="460"/>
      <c r="O8" s="449"/>
      <c r="P8" s="449"/>
      <c r="Q8" s="449"/>
      <c r="R8" s="449"/>
      <c r="S8" s="449"/>
      <c r="T8" s="460"/>
      <c r="U8" s="449"/>
      <c r="V8" s="449"/>
      <c r="W8" s="449"/>
      <c r="X8" s="469"/>
      <c r="Y8" s="470"/>
    </row>
    <row r="9" spans="2:25">
      <c r="B9" s="473"/>
      <c r="C9" s="473"/>
      <c r="D9" s="449"/>
      <c r="E9" s="449"/>
      <c r="F9" s="453"/>
      <c r="G9" s="454"/>
      <c r="H9" s="449"/>
      <c r="I9" s="449"/>
      <c r="J9" s="449"/>
      <c r="K9" s="449"/>
      <c r="L9" s="449"/>
      <c r="M9" s="449"/>
      <c r="N9" s="449"/>
      <c r="O9" s="449"/>
      <c r="P9" s="449"/>
      <c r="Q9" s="449"/>
      <c r="R9" s="449"/>
      <c r="S9" s="449"/>
      <c r="T9" s="449"/>
      <c r="U9" s="449"/>
      <c r="V9" s="449"/>
      <c r="W9" s="449"/>
      <c r="X9" s="471"/>
      <c r="Y9" s="472"/>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48" t="str">
        <f>IF(AND(B10&lt;=H10,B10&gt;=J10),"PASSED","FAILED")</f>
        <v>PASSED</v>
      </c>
      <c r="M10" s="448"/>
      <c r="N10" s="39">
        <f>F10+B10</f>
        <v>60.057740161355277</v>
      </c>
      <c r="O10" s="40" t="str">
        <f>G10</f>
        <v>mV</v>
      </c>
      <c r="P10" s="39">
        <f>H10</f>
        <v>60.72</v>
      </c>
      <c r="Q10" s="35" t="str">
        <f>O10</f>
        <v>mV</v>
      </c>
      <c r="R10" s="459" t="str">
        <f>IF(AND(N10&lt;=H10,N10&gt;=J10),"PASSED","FAILED")</f>
        <v>PASSED</v>
      </c>
      <c r="S10" s="459"/>
      <c r="T10" s="39">
        <f>-F10+B10</f>
        <v>59.942259838644723</v>
      </c>
      <c r="U10" s="37" t="str">
        <f>O10</f>
        <v>mV</v>
      </c>
      <c r="V10" s="458" t="str">
        <f>IF(AND(T10&lt;=H10,T10&gt;=J10),"PASSED","FAILED")</f>
        <v>PASSED</v>
      </c>
      <c r="W10" s="458"/>
      <c r="X10" s="465" t="str">
        <f t="shared" ref="X10:X26" si="0">IF(AND(L10="PASSED",R10="PASSED",V10="PASSED"),"PASSED",IF(L10="FAILED","FAILED","UNDETERMINED"))</f>
        <v>PASSED</v>
      </c>
      <c r="Y10" s="465"/>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48" t="str">
        <f t="shared" ref="L11:L26" si="5">IF(AND(B11&lt;=H11,B11&gt;=J11),"PASSED","FAILED")</f>
        <v>PASSED</v>
      </c>
      <c r="M11" s="448"/>
      <c r="N11" s="39">
        <f t="shared" ref="N11:N12" si="6">F11+B11</f>
        <v>540.05777320601567</v>
      </c>
      <c r="O11" s="40" t="str">
        <f t="shared" ref="O11:O26" si="7">G11</f>
        <v>mV</v>
      </c>
      <c r="P11" s="39">
        <f t="shared" ref="P11:P12" si="8">H11</f>
        <v>544.08000000000004</v>
      </c>
      <c r="Q11" s="35" t="str">
        <f t="shared" ref="Q11:Q26" si="9">O11</f>
        <v>mV</v>
      </c>
      <c r="R11" s="459" t="str">
        <f t="shared" ref="R11:R26" si="10">IF(AND(N11&lt;=H11,N11&gt;=J11),"PASSED","FAILED")</f>
        <v>PASSED</v>
      </c>
      <c r="S11" s="459"/>
      <c r="T11" s="39">
        <f t="shared" ref="T11:T12" si="11">-F11+B11</f>
        <v>539.94222679398433</v>
      </c>
      <c r="U11" s="37" t="str">
        <f t="shared" ref="U11:U26" si="12">O11</f>
        <v>mV</v>
      </c>
      <c r="V11" s="458" t="str">
        <f t="shared" ref="V11:V26" si="13">IF(AND(T11&lt;=H11,T11&gt;=J11),"PASSED","FAILED")</f>
        <v>PASSED</v>
      </c>
      <c r="W11" s="458"/>
      <c r="X11" s="465" t="str">
        <f t="shared" si="0"/>
        <v>PASSED</v>
      </c>
      <c r="Y11" s="465"/>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48" t="str">
        <f t="shared" si="5"/>
        <v>PASSED</v>
      </c>
      <c r="M12" s="448"/>
      <c r="N12" s="39">
        <f t="shared" si="6"/>
        <v>-539.94222679398433</v>
      </c>
      <c r="O12" s="40" t="str">
        <f t="shared" si="7"/>
        <v>mV</v>
      </c>
      <c r="P12" s="39">
        <f t="shared" si="8"/>
        <v>-535.91999999999996</v>
      </c>
      <c r="Q12" s="35" t="str">
        <f t="shared" si="9"/>
        <v>mV</v>
      </c>
      <c r="R12" s="459" t="str">
        <f t="shared" si="10"/>
        <v>PASSED</v>
      </c>
      <c r="S12" s="459"/>
      <c r="T12" s="39">
        <f t="shared" si="11"/>
        <v>-540.05777320601567</v>
      </c>
      <c r="U12" s="37" t="str">
        <f t="shared" si="12"/>
        <v>mV</v>
      </c>
      <c r="V12" s="458" t="str">
        <f t="shared" si="13"/>
        <v>PASSED</v>
      </c>
      <c r="W12" s="458"/>
      <c r="X12" s="465" t="str">
        <f t="shared" si="0"/>
        <v>PASSED</v>
      </c>
      <c r="Y12" s="465"/>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48" t="str">
        <f t="shared" si="5"/>
        <v>PASSED</v>
      </c>
      <c r="M13" s="448"/>
      <c r="N13" s="36">
        <f>F13+B13</f>
        <v>0.600577354088349</v>
      </c>
      <c r="O13" s="35" t="str">
        <f t="shared" si="7"/>
        <v>V</v>
      </c>
      <c r="P13" s="36">
        <f>H13</f>
        <v>0.60720000000000007</v>
      </c>
      <c r="Q13" s="37" t="str">
        <f t="shared" si="9"/>
        <v>V</v>
      </c>
      <c r="R13" s="458" t="str">
        <f t="shared" si="10"/>
        <v>PASSED</v>
      </c>
      <c r="S13" s="458"/>
      <c r="T13" s="36">
        <f>-F13+B13</f>
        <v>0.59942264591165095</v>
      </c>
      <c r="U13" s="37" t="str">
        <f t="shared" si="12"/>
        <v>V</v>
      </c>
      <c r="V13" s="458" t="str">
        <f t="shared" si="13"/>
        <v>PASSED</v>
      </c>
      <c r="W13" s="458"/>
      <c r="X13" s="465" t="str">
        <f t="shared" si="0"/>
        <v>PASSED</v>
      </c>
      <c r="Y13" s="465"/>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48" t="str">
        <f t="shared" si="5"/>
        <v>PASSED</v>
      </c>
      <c r="M14" s="448"/>
      <c r="N14" s="36">
        <f t="shared" ref="N14:N15" si="14">F14+B14</f>
        <v>5.4005776307932711</v>
      </c>
      <c r="O14" s="35" t="str">
        <f t="shared" si="7"/>
        <v>V</v>
      </c>
      <c r="P14" s="36">
        <f t="shared" ref="P14:P15" si="15">H14</f>
        <v>5.4408000000000003</v>
      </c>
      <c r="Q14" s="37" t="str">
        <f t="shared" si="9"/>
        <v>V</v>
      </c>
      <c r="R14" s="458" t="str">
        <f t="shared" si="10"/>
        <v>PASSED</v>
      </c>
      <c r="S14" s="458"/>
      <c r="T14" s="36">
        <f>-DataSheet!DD59+B14</f>
        <v>5.3994223692067314</v>
      </c>
      <c r="U14" s="37" t="str">
        <f t="shared" si="12"/>
        <v>V</v>
      </c>
      <c r="V14" s="458" t="str">
        <f t="shared" si="13"/>
        <v>PASSED</v>
      </c>
      <c r="W14" s="458"/>
      <c r="X14" s="465" t="str">
        <f t="shared" si="0"/>
        <v>PASSED</v>
      </c>
      <c r="Y14" s="465"/>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48" t="str">
        <f t="shared" si="5"/>
        <v>PASSED</v>
      </c>
      <c r="M15" s="448"/>
      <c r="N15" s="36">
        <f t="shared" si="14"/>
        <v>-5.3994223692067314</v>
      </c>
      <c r="O15" s="35" t="str">
        <f t="shared" si="7"/>
        <v>V</v>
      </c>
      <c r="P15" s="36">
        <f t="shared" si="15"/>
        <v>-5.3592000000000004</v>
      </c>
      <c r="Q15" s="37" t="str">
        <f t="shared" si="9"/>
        <v>V</v>
      </c>
      <c r="R15" s="458" t="str">
        <f t="shared" si="10"/>
        <v>PASSED</v>
      </c>
      <c r="S15" s="458"/>
      <c r="T15" s="36">
        <f>-DataSheet!DD60+B15</f>
        <v>-5.4005776307932711</v>
      </c>
      <c r="U15" s="37" t="str">
        <f t="shared" si="12"/>
        <v>V</v>
      </c>
      <c r="V15" s="458" t="str">
        <f t="shared" si="13"/>
        <v>PASSED</v>
      </c>
      <c r="W15" s="458"/>
      <c r="X15" s="465" t="str">
        <f t="shared" si="0"/>
        <v>PASSED</v>
      </c>
      <c r="Y15" s="465"/>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48" t="str">
        <f t="shared" si="5"/>
        <v>PASSED</v>
      </c>
      <c r="M16" s="448"/>
      <c r="N16" s="34">
        <f>F16+B16</f>
        <v>6.0057735307510516</v>
      </c>
      <c r="O16" s="35" t="str">
        <f t="shared" si="7"/>
        <v>V</v>
      </c>
      <c r="P16" s="34">
        <f>H16</f>
        <v>6.0720000000000001</v>
      </c>
      <c r="Q16" s="35" t="str">
        <f t="shared" si="9"/>
        <v>V</v>
      </c>
      <c r="R16" s="458" t="str">
        <f t="shared" si="10"/>
        <v>PASSED</v>
      </c>
      <c r="S16" s="458"/>
      <c r="T16" s="34">
        <f>-F16+B16</f>
        <v>5.9942264692489484</v>
      </c>
      <c r="U16" s="37" t="str">
        <f t="shared" si="12"/>
        <v>V</v>
      </c>
      <c r="V16" s="458" t="str">
        <f t="shared" si="13"/>
        <v>PASSED</v>
      </c>
      <c r="W16" s="458"/>
      <c r="X16" s="465" t="str">
        <f t="shared" si="0"/>
        <v>PASSED</v>
      </c>
      <c r="Y16" s="465"/>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48" t="str">
        <f t="shared" si="5"/>
        <v>PASSED</v>
      </c>
      <c r="M17" s="448"/>
      <c r="N17" s="34">
        <f t="shared" ref="N17:N20" si="16">F17+B17</f>
        <v>30.005774368652357</v>
      </c>
      <c r="O17" s="35" t="str">
        <f t="shared" si="7"/>
        <v>V</v>
      </c>
      <c r="P17" s="34">
        <f t="shared" ref="P17:P20" si="17">H17</f>
        <v>30.24</v>
      </c>
      <c r="Q17" s="35" t="str">
        <f t="shared" si="9"/>
        <v>V</v>
      </c>
      <c r="R17" s="458" t="str">
        <f t="shared" si="10"/>
        <v>PASSED</v>
      </c>
      <c r="S17" s="458"/>
      <c r="T17" s="34">
        <f t="shared" ref="T17:T26" si="18">-F17+B17</f>
        <v>29.994225631347643</v>
      </c>
      <c r="U17" s="37" t="str">
        <f t="shared" si="12"/>
        <v>V</v>
      </c>
      <c r="V17" s="458" t="str">
        <f t="shared" si="13"/>
        <v>PASSED</v>
      </c>
      <c r="W17" s="458"/>
      <c r="X17" s="465" t="str">
        <f t="shared" si="0"/>
        <v>PASSED</v>
      </c>
      <c r="Y17" s="465"/>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48" t="str">
        <f t="shared" si="5"/>
        <v>PASSED</v>
      </c>
      <c r="M18" s="448"/>
      <c r="N18" s="34">
        <f t="shared" si="16"/>
        <v>54.005781819206213</v>
      </c>
      <c r="O18" s="35" t="str">
        <f t="shared" si="7"/>
        <v>V</v>
      </c>
      <c r="P18" s="34">
        <f t="shared" si="17"/>
        <v>54.408000000000001</v>
      </c>
      <c r="Q18" s="35" t="str">
        <f t="shared" si="9"/>
        <v>V</v>
      </c>
      <c r="R18" s="458" t="str">
        <f t="shared" si="10"/>
        <v>PASSED</v>
      </c>
      <c r="S18" s="458"/>
      <c r="T18" s="34">
        <f t="shared" si="18"/>
        <v>53.994218180793787</v>
      </c>
      <c r="U18" s="37" t="str">
        <f t="shared" si="12"/>
        <v>V</v>
      </c>
      <c r="V18" s="458" t="str">
        <f t="shared" si="13"/>
        <v>PASSED</v>
      </c>
      <c r="W18" s="458"/>
      <c r="X18" s="465" t="str">
        <f t="shared" si="0"/>
        <v>PASSED</v>
      </c>
      <c r="Y18" s="465"/>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48" t="str">
        <f t="shared" si="5"/>
        <v>PASSED</v>
      </c>
      <c r="M19" s="448"/>
      <c r="N19" s="34">
        <f t="shared" si="16"/>
        <v>-5.9942264692489484</v>
      </c>
      <c r="O19" s="35" t="str">
        <f t="shared" si="7"/>
        <v>V</v>
      </c>
      <c r="P19" s="34">
        <f t="shared" si="17"/>
        <v>-5.9279999999999999</v>
      </c>
      <c r="Q19" s="35" t="str">
        <f t="shared" si="9"/>
        <v>V</v>
      </c>
      <c r="R19" s="458" t="str">
        <f t="shared" si="10"/>
        <v>PASSED</v>
      </c>
      <c r="S19" s="458"/>
      <c r="T19" s="34">
        <f t="shared" si="18"/>
        <v>-6.0057735307510516</v>
      </c>
      <c r="U19" s="37" t="str">
        <f t="shared" si="12"/>
        <v>V</v>
      </c>
      <c r="V19" s="458" t="str">
        <f t="shared" si="13"/>
        <v>PASSED</v>
      </c>
      <c r="W19" s="458"/>
      <c r="X19" s="465" t="str">
        <f t="shared" si="0"/>
        <v>PASSED</v>
      </c>
      <c r="Y19" s="465"/>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48" t="str">
        <f t="shared" si="5"/>
        <v>PASSED</v>
      </c>
      <c r="M20" s="448"/>
      <c r="N20" s="34">
        <f t="shared" si="16"/>
        <v>-53.994218180793787</v>
      </c>
      <c r="O20" s="35" t="str">
        <f t="shared" si="7"/>
        <v>V</v>
      </c>
      <c r="P20" s="34">
        <f t="shared" si="17"/>
        <v>-53.591999999999999</v>
      </c>
      <c r="Q20" s="35" t="str">
        <f t="shared" si="9"/>
        <v>V</v>
      </c>
      <c r="R20" s="458" t="str">
        <f t="shared" si="10"/>
        <v>PASSED</v>
      </c>
      <c r="S20" s="458"/>
      <c r="T20" s="34">
        <f t="shared" si="18"/>
        <v>-54.005781819206213</v>
      </c>
      <c r="U20" s="37" t="str">
        <f t="shared" si="12"/>
        <v>V</v>
      </c>
      <c r="V20" s="458" t="str">
        <f t="shared" si="13"/>
        <v>PASSED</v>
      </c>
      <c r="W20" s="458"/>
      <c r="X20" s="465" t="str">
        <f t="shared" si="0"/>
        <v>PASSED</v>
      </c>
      <c r="Y20" s="465"/>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48" t="e">
        <f t="shared" si="5"/>
        <v>#REF!</v>
      </c>
      <c r="M21" s="448"/>
      <c r="N21" s="39" t="e">
        <f>F21+B21</f>
        <v>#REF!</v>
      </c>
      <c r="O21" s="40" t="e">
        <f t="shared" si="7"/>
        <v>#REF!</v>
      </c>
      <c r="P21" s="39" t="e">
        <f>H21</f>
        <v>#REF!</v>
      </c>
      <c r="Q21" s="40" t="e">
        <f t="shared" si="9"/>
        <v>#REF!</v>
      </c>
      <c r="R21" s="459" t="e">
        <f t="shared" si="10"/>
        <v>#REF!</v>
      </c>
      <c r="S21" s="459"/>
      <c r="T21" s="39" t="e">
        <f t="shared" si="18"/>
        <v>#REF!</v>
      </c>
      <c r="U21" s="40" t="e">
        <f t="shared" si="12"/>
        <v>#REF!</v>
      </c>
      <c r="V21" s="458" t="e">
        <f t="shared" si="13"/>
        <v>#REF!</v>
      </c>
      <c r="W21" s="458"/>
      <c r="X21" s="465" t="e">
        <f t="shared" si="0"/>
        <v>#REF!</v>
      </c>
      <c r="Y21" s="465"/>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48" t="e">
        <f t="shared" si="5"/>
        <v>#REF!</v>
      </c>
      <c r="M22" s="448"/>
      <c r="N22" s="39" t="e">
        <f t="shared" ref="N22:N23" si="19">F22+B22</f>
        <v>#REF!</v>
      </c>
      <c r="O22" s="40" t="e">
        <f t="shared" si="7"/>
        <v>#REF!</v>
      </c>
      <c r="P22" s="39" t="e">
        <f t="shared" ref="P22:P23" si="20">H22</f>
        <v>#REF!</v>
      </c>
      <c r="Q22" s="40" t="e">
        <f t="shared" si="9"/>
        <v>#REF!</v>
      </c>
      <c r="R22" s="459" t="e">
        <f t="shared" si="10"/>
        <v>#REF!</v>
      </c>
      <c r="S22" s="459"/>
      <c r="T22" s="39" t="e">
        <f t="shared" si="18"/>
        <v>#REF!</v>
      </c>
      <c r="U22" s="40" t="e">
        <f t="shared" si="12"/>
        <v>#REF!</v>
      </c>
      <c r="V22" s="458" t="e">
        <f t="shared" si="13"/>
        <v>#REF!</v>
      </c>
      <c r="W22" s="458"/>
      <c r="X22" s="465" t="e">
        <f t="shared" si="0"/>
        <v>#REF!</v>
      </c>
      <c r="Y22" s="465"/>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48" t="e">
        <f t="shared" si="5"/>
        <v>#REF!</v>
      </c>
      <c r="M23" s="448"/>
      <c r="N23" s="39" t="e">
        <f t="shared" si="19"/>
        <v>#REF!</v>
      </c>
      <c r="O23" s="40" t="e">
        <f t="shared" si="7"/>
        <v>#REF!</v>
      </c>
      <c r="P23" s="39" t="e">
        <f t="shared" si="20"/>
        <v>#REF!</v>
      </c>
      <c r="Q23" s="40" t="e">
        <f t="shared" si="9"/>
        <v>#REF!</v>
      </c>
      <c r="R23" s="459" t="e">
        <f t="shared" si="10"/>
        <v>#REF!</v>
      </c>
      <c r="S23" s="459"/>
      <c r="T23" s="39" t="e">
        <f t="shared" si="18"/>
        <v>#REF!</v>
      </c>
      <c r="U23" s="40" t="e">
        <f t="shared" si="12"/>
        <v>#REF!</v>
      </c>
      <c r="V23" s="458" t="e">
        <f t="shared" si="13"/>
        <v>#REF!</v>
      </c>
      <c r="W23" s="458"/>
      <c r="X23" s="465" t="e">
        <f t="shared" si="0"/>
        <v>#REF!</v>
      </c>
      <c r="Y23" s="465"/>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48" t="str">
        <f t="shared" si="5"/>
        <v>PASSED</v>
      </c>
      <c r="M24" s="448"/>
      <c r="N24" s="41">
        <f>F24+B24</f>
        <v>60.05773585916338</v>
      </c>
      <c r="O24" s="42" t="str">
        <f t="shared" si="7"/>
        <v>V</v>
      </c>
      <c r="P24" s="41">
        <f>H24</f>
        <v>60.72</v>
      </c>
      <c r="Q24" s="42" t="str">
        <f t="shared" si="9"/>
        <v>V</v>
      </c>
      <c r="R24" s="463" t="str">
        <f t="shared" si="10"/>
        <v>PASSED</v>
      </c>
      <c r="S24" s="463"/>
      <c r="T24" s="41">
        <f t="shared" si="18"/>
        <v>59.94226414083662</v>
      </c>
      <c r="U24" s="37" t="str">
        <f t="shared" si="12"/>
        <v>V</v>
      </c>
      <c r="V24" s="458" t="str">
        <f t="shared" si="13"/>
        <v>PASSED</v>
      </c>
      <c r="W24" s="458"/>
      <c r="X24" s="465" t="str">
        <f t="shared" si="0"/>
        <v>PASSED</v>
      </c>
      <c r="Y24" s="465"/>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48" t="str">
        <f t="shared" si="5"/>
        <v>PASSED</v>
      </c>
      <c r="M25" s="448"/>
      <c r="N25" s="41">
        <f t="shared" ref="N25:N26" si="21">F25+B25</f>
        <v>540.05782926018321</v>
      </c>
      <c r="O25" s="42" t="str">
        <f t="shared" si="7"/>
        <v>V</v>
      </c>
      <c r="P25" s="41">
        <f t="shared" ref="P25:P26" si="22">H25</f>
        <v>544.08000000000004</v>
      </c>
      <c r="Q25" s="42" t="str">
        <f t="shared" si="9"/>
        <v>V</v>
      </c>
      <c r="R25" s="463" t="str">
        <f t="shared" si="10"/>
        <v>PASSED</v>
      </c>
      <c r="S25" s="463"/>
      <c r="T25" s="41">
        <f t="shared" si="18"/>
        <v>539.94217073981679</v>
      </c>
      <c r="U25" s="37" t="str">
        <f t="shared" si="12"/>
        <v>V</v>
      </c>
      <c r="V25" s="458" t="str">
        <f t="shared" si="13"/>
        <v>PASSED</v>
      </c>
      <c r="W25" s="458"/>
      <c r="X25" s="465" t="str">
        <f t="shared" si="0"/>
        <v>PASSED</v>
      </c>
      <c r="Y25" s="465"/>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48" t="str">
        <f t="shared" si="5"/>
        <v>PASSED</v>
      </c>
      <c r="M26" s="448"/>
      <c r="N26" s="41">
        <f t="shared" si="21"/>
        <v>-539.94217073981679</v>
      </c>
      <c r="O26" s="42" t="str">
        <f t="shared" si="7"/>
        <v>V</v>
      </c>
      <c r="P26" s="41">
        <f t="shared" si="22"/>
        <v>-535.91999999999996</v>
      </c>
      <c r="Q26" s="42" t="str">
        <f t="shared" si="9"/>
        <v>V</v>
      </c>
      <c r="R26" s="463" t="str">
        <f t="shared" si="10"/>
        <v>PASSED</v>
      </c>
      <c r="S26" s="463"/>
      <c r="T26" s="41">
        <f t="shared" si="18"/>
        <v>-540.05782926018321</v>
      </c>
      <c r="U26" s="37" t="str">
        <f t="shared" si="12"/>
        <v>V</v>
      </c>
      <c r="V26" s="458" t="str">
        <f t="shared" si="13"/>
        <v>PASSED</v>
      </c>
      <c r="W26" s="458"/>
      <c r="X26" s="465" t="str">
        <f t="shared" si="0"/>
        <v>PASSED</v>
      </c>
      <c r="Y26" s="465"/>
    </row>
    <row r="27" spans="2:25">
      <c r="B27" s="449" t="str">
        <f>DataSheet!F73</f>
        <v>AC Voltage Test</v>
      </c>
      <c r="C27" s="449"/>
      <c r="D27" s="449"/>
      <c r="E27" s="449"/>
      <c r="F27" s="449"/>
      <c r="G27" s="449"/>
      <c r="H27" s="449"/>
      <c r="I27" s="449"/>
      <c r="J27" s="449"/>
      <c r="K27" s="449"/>
      <c r="L27" s="449"/>
      <c r="M27" s="449"/>
      <c r="N27" s="449"/>
      <c r="O27" s="449"/>
      <c r="P27" s="449"/>
      <c r="Q27" s="449"/>
      <c r="R27" s="449"/>
      <c r="S27" s="449"/>
      <c r="T27" s="449"/>
      <c r="U27" s="449"/>
      <c r="V27" s="449"/>
      <c r="W27" s="449"/>
      <c r="X27" s="466" t="s">
        <v>119</v>
      </c>
      <c r="Y27" s="466"/>
    </row>
    <row r="28" spans="2:25">
      <c r="B28" s="449"/>
      <c r="C28" s="449"/>
      <c r="D28" s="449"/>
      <c r="E28" s="449"/>
      <c r="F28" s="449"/>
      <c r="G28" s="449"/>
      <c r="H28" s="449"/>
      <c r="I28" s="449"/>
      <c r="J28" s="449"/>
      <c r="K28" s="449"/>
      <c r="L28" s="449"/>
      <c r="M28" s="449"/>
      <c r="N28" s="449"/>
      <c r="O28" s="449"/>
      <c r="P28" s="449"/>
      <c r="Q28" s="449"/>
      <c r="R28" s="449"/>
      <c r="S28" s="449"/>
      <c r="T28" s="449"/>
      <c r="U28" s="449"/>
      <c r="V28" s="449"/>
      <c r="W28" s="449"/>
      <c r="X28" s="466"/>
      <c r="Y28" s="466"/>
    </row>
    <row r="29" spans="2:25">
      <c r="B29" s="466" t="s">
        <v>73</v>
      </c>
      <c r="C29" s="466"/>
      <c r="D29" s="449" t="s">
        <v>75</v>
      </c>
      <c r="E29" s="449"/>
      <c r="F29" s="451" t="s">
        <v>114</v>
      </c>
      <c r="G29" s="452"/>
      <c r="H29" s="449" t="s">
        <v>76</v>
      </c>
      <c r="I29" s="449"/>
      <c r="J29" s="449" t="s">
        <v>77</v>
      </c>
      <c r="K29" s="449"/>
      <c r="L29" s="449" t="s">
        <v>78</v>
      </c>
      <c r="M29" s="449"/>
      <c r="N29" s="460" t="s">
        <v>120</v>
      </c>
      <c r="O29" s="449"/>
      <c r="P29" s="449" t="s">
        <v>76</v>
      </c>
      <c r="Q29" s="449"/>
      <c r="R29" s="449" t="s">
        <v>78</v>
      </c>
      <c r="S29" s="449"/>
      <c r="T29" s="460" t="s">
        <v>121</v>
      </c>
      <c r="U29" s="449"/>
      <c r="V29" s="449" t="s">
        <v>78</v>
      </c>
      <c r="W29" s="449"/>
      <c r="X29" s="466"/>
      <c r="Y29" s="466"/>
    </row>
    <row r="30" spans="2:25">
      <c r="B30" s="466"/>
      <c r="C30" s="466"/>
      <c r="D30" s="449"/>
      <c r="E30" s="449"/>
      <c r="F30" s="453"/>
      <c r="G30" s="454"/>
      <c r="H30" s="449"/>
      <c r="I30" s="449"/>
      <c r="J30" s="449"/>
      <c r="K30" s="449"/>
      <c r="L30" s="449"/>
      <c r="M30" s="449"/>
      <c r="N30" s="449"/>
      <c r="O30" s="449"/>
      <c r="P30" s="449"/>
      <c r="Q30" s="449"/>
      <c r="R30" s="449"/>
      <c r="S30" s="449"/>
      <c r="T30" s="449"/>
      <c r="U30" s="449"/>
      <c r="V30" s="449"/>
      <c r="W30" s="449"/>
      <c r="X30" s="466"/>
      <c r="Y30" s="466"/>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50">
        <f>DataSheet!L80+D31</f>
        <v>0.61860000000000004</v>
      </c>
      <c r="I31" s="450"/>
      <c r="J31" s="450">
        <f>DataSheet!L80-D31</f>
        <v>0.58140000000000014</v>
      </c>
      <c r="K31" s="450"/>
      <c r="L31" s="448" t="str">
        <f t="shared" ref="L31:L48" si="24">IF(AND(B31&lt;=H31,B31&gt;=J31),"PASSED","FAILED")</f>
        <v>PASSED</v>
      </c>
      <c r="M31" s="448"/>
      <c r="N31" s="36">
        <f>DataSheet!DD80+B31</f>
        <v>0.6010776981642989</v>
      </c>
      <c r="O31" s="35" t="str">
        <f t="shared" ref="O31:O48" si="25">G31</f>
        <v>V</v>
      </c>
      <c r="P31" s="36">
        <f>H31</f>
        <v>0.61860000000000004</v>
      </c>
      <c r="Q31" s="37" t="str">
        <f t="shared" ref="Q31:Q48" si="26">O31</f>
        <v>V</v>
      </c>
      <c r="R31" s="458" t="str">
        <f t="shared" ref="R31:R48" si="27">IF(AND(N31&lt;=H31,N31&gt;=J31),"PASSED","FAILED")</f>
        <v>PASSED</v>
      </c>
      <c r="S31" s="458"/>
      <c r="T31" s="36">
        <f>-DataSheet!DD80+B31</f>
        <v>0.59892230183570105</v>
      </c>
      <c r="U31" s="37" t="str">
        <f t="shared" ref="U31:U48" si="28">O31</f>
        <v>V</v>
      </c>
      <c r="V31" s="458" t="str">
        <f t="shared" ref="V31:V48" si="29">IF(AND(T31&lt;=H31,T31&gt;=J31),"PASSED","FAILED")</f>
        <v>PASSED</v>
      </c>
      <c r="W31" s="458"/>
      <c r="X31" s="465" t="str">
        <f t="shared" ref="X31:X48" si="30">IF(AND(L31="PASSED",R31="PASSED",V31="PASSED"),"PASSED",IF(L31="FAILED","FAILED","UNDETERMINED"))</f>
        <v>PASSED</v>
      </c>
      <c r="Y31" s="465"/>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50">
        <f>DataSheet!L81+D32</f>
        <v>0.61860000000000004</v>
      </c>
      <c r="I32" s="450"/>
      <c r="J32" s="450">
        <f>DataSheet!L81-D32</f>
        <v>0.58140000000000014</v>
      </c>
      <c r="K32" s="450"/>
      <c r="L32" s="448" t="str">
        <f t="shared" si="24"/>
        <v>PASSED</v>
      </c>
      <c r="M32" s="448"/>
      <c r="N32" s="36">
        <f>DataSheet!DD81+B32</f>
        <v>0.6010776981642989</v>
      </c>
      <c r="O32" s="35" t="str">
        <f t="shared" si="25"/>
        <v>V</v>
      </c>
      <c r="P32" s="36">
        <f>H32</f>
        <v>0.61860000000000004</v>
      </c>
      <c r="Q32" s="37" t="str">
        <f t="shared" si="26"/>
        <v>V</v>
      </c>
      <c r="R32" s="458" t="str">
        <f t="shared" si="27"/>
        <v>PASSED</v>
      </c>
      <c r="S32" s="458"/>
      <c r="T32" s="36">
        <f>-DataSheet!DD81+B32</f>
        <v>0.59892230183570105</v>
      </c>
      <c r="U32" s="37" t="str">
        <f t="shared" si="28"/>
        <v>V</v>
      </c>
      <c r="V32" s="458" t="str">
        <f t="shared" si="29"/>
        <v>PASSED</v>
      </c>
      <c r="W32" s="458"/>
      <c r="X32" s="465" t="str">
        <f t="shared" si="30"/>
        <v>PASSED</v>
      </c>
      <c r="Y32" s="465"/>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50">
        <f>DataSheet!L82+D33</f>
        <v>5.4954000000000001</v>
      </c>
      <c r="I33" s="450"/>
      <c r="J33" s="450">
        <f>DataSheet!L82-D33</f>
        <v>5.3046000000000006</v>
      </c>
      <c r="K33" s="450"/>
      <c r="L33" s="448" t="str">
        <f t="shared" si="24"/>
        <v>PASSED</v>
      </c>
      <c r="M33" s="448"/>
      <c r="N33" s="36">
        <f>DataSheet!DD82+B33</f>
        <v>5.4073227954589314</v>
      </c>
      <c r="O33" s="35" t="str">
        <f t="shared" si="25"/>
        <v>V</v>
      </c>
      <c r="P33" s="36">
        <f>H33</f>
        <v>5.4954000000000001</v>
      </c>
      <c r="Q33" s="37" t="str">
        <f t="shared" si="26"/>
        <v>V</v>
      </c>
      <c r="R33" s="458" t="str">
        <f t="shared" si="27"/>
        <v>PASSED</v>
      </c>
      <c r="S33" s="458"/>
      <c r="T33" s="36">
        <f>-DataSheet!DD82+B33</f>
        <v>5.3926772045410711</v>
      </c>
      <c r="U33" s="37" t="str">
        <f t="shared" si="28"/>
        <v>V</v>
      </c>
      <c r="V33" s="458" t="str">
        <f t="shared" si="29"/>
        <v>PASSED</v>
      </c>
      <c r="W33" s="458"/>
      <c r="X33" s="465" t="str">
        <f t="shared" si="30"/>
        <v>PASSED</v>
      </c>
      <c r="Y33" s="465"/>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50">
        <f>DataSheet!L83+D34</f>
        <v>5.4954000000000001</v>
      </c>
      <c r="I34" s="450"/>
      <c r="J34" s="450">
        <f>DataSheet!L83-D34</f>
        <v>5.3046000000000006</v>
      </c>
      <c r="K34" s="450"/>
      <c r="L34" s="448" t="str">
        <f t="shared" si="24"/>
        <v>PASSED</v>
      </c>
      <c r="M34" s="448"/>
      <c r="N34" s="36">
        <f>DataSheet!DD83+B34</f>
        <v>5.4073227954589314</v>
      </c>
      <c r="O34" s="35" t="str">
        <f t="shared" si="25"/>
        <v>V</v>
      </c>
      <c r="P34" s="36">
        <f>H34</f>
        <v>5.4954000000000001</v>
      </c>
      <c r="Q34" s="37" t="str">
        <f t="shared" si="26"/>
        <v>V</v>
      </c>
      <c r="R34" s="458" t="str">
        <f t="shared" si="27"/>
        <v>PASSED</v>
      </c>
      <c r="S34" s="458"/>
      <c r="T34" s="36">
        <f>-DataSheet!DD83+B34</f>
        <v>5.3926772045410711</v>
      </c>
      <c r="U34" s="37" t="str">
        <f t="shared" si="28"/>
        <v>V</v>
      </c>
      <c r="V34" s="458" t="str">
        <f t="shared" si="29"/>
        <v>PASSED</v>
      </c>
      <c r="W34" s="458"/>
      <c r="X34" s="465" t="str">
        <f t="shared" si="30"/>
        <v>PASSED</v>
      </c>
      <c r="Y34" s="465"/>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55">
        <f>DataSheet!L84+D35</f>
        <v>6.1859999999999999</v>
      </c>
      <c r="I35" s="455"/>
      <c r="J35" s="455">
        <f>DataSheet!L84-D35</f>
        <v>5.8140000000000001</v>
      </c>
      <c r="K35" s="455"/>
      <c r="L35" s="455" t="str">
        <f t="shared" si="24"/>
        <v>PASSED</v>
      </c>
      <c r="M35" s="455"/>
      <c r="N35" s="34">
        <f>DataSheet!DD84+B35</f>
        <v>6.0093071656981776</v>
      </c>
      <c r="O35" s="35" t="str">
        <f t="shared" si="25"/>
        <v>V</v>
      </c>
      <c r="P35" s="34">
        <f t="shared" ref="P35:P48" si="33">H35</f>
        <v>6.1859999999999999</v>
      </c>
      <c r="Q35" s="35" t="str">
        <f t="shared" si="26"/>
        <v>V</v>
      </c>
      <c r="R35" s="464" t="str">
        <f t="shared" si="27"/>
        <v>PASSED</v>
      </c>
      <c r="S35" s="464"/>
      <c r="T35" s="34">
        <f t="shared" ref="T35:T48" si="34">-F35+B35</f>
        <v>5.9906928343018224</v>
      </c>
      <c r="U35" s="37" t="str">
        <f t="shared" si="28"/>
        <v>V</v>
      </c>
      <c r="V35" s="458" t="str">
        <f t="shared" si="29"/>
        <v>PASSED</v>
      </c>
      <c r="W35" s="458"/>
      <c r="X35" s="465" t="str">
        <f t="shared" si="30"/>
        <v>PASSED</v>
      </c>
      <c r="Y35" s="465"/>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55">
        <f>DataSheet!L85+D36</f>
        <v>6.1859999999999999</v>
      </c>
      <c r="I36" s="455"/>
      <c r="J36" s="455">
        <f>DataSheet!L85-D36</f>
        <v>5.8140000000000001</v>
      </c>
      <c r="K36" s="455"/>
      <c r="L36" s="455" t="str">
        <f t="shared" si="24"/>
        <v>PASSED</v>
      </c>
      <c r="M36" s="455"/>
      <c r="N36" s="34">
        <f>DataSheet!DD85+B36</f>
        <v>6.0093071656981776</v>
      </c>
      <c r="O36" s="35" t="str">
        <f t="shared" si="25"/>
        <v>V</v>
      </c>
      <c r="P36" s="34">
        <f t="shared" si="33"/>
        <v>6.1859999999999999</v>
      </c>
      <c r="Q36" s="35" t="str">
        <f t="shared" si="26"/>
        <v>V</v>
      </c>
      <c r="R36" s="464" t="str">
        <f t="shared" si="27"/>
        <v>PASSED</v>
      </c>
      <c r="S36" s="464"/>
      <c r="T36" s="34">
        <f t="shared" si="34"/>
        <v>5.9906928343018224</v>
      </c>
      <c r="U36" s="37" t="str">
        <f t="shared" si="28"/>
        <v>V</v>
      </c>
      <c r="V36" s="458" t="str">
        <f t="shared" si="29"/>
        <v>PASSED</v>
      </c>
      <c r="W36" s="458"/>
      <c r="X36" s="465" t="str">
        <f t="shared" si="30"/>
        <v>PASSED</v>
      </c>
      <c r="Y36" s="465"/>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55">
        <f>DataSheet!L86+D37</f>
        <v>30.57</v>
      </c>
      <c r="I37" s="455"/>
      <c r="J37" s="455">
        <f>DataSheet!L86-D37</f>
        <v>29.43</v>
      </c>
      <c r="K37" s="455"/>
      <c r="L37" s="455" t="str">
        <f t="shared" si="24"/>
        <v>PASSED</v>
      </c>
      <c r="M37" s="455"/>
      <c r="N37" s="34">
        <f>DataSheet!DD86+B37</f>
        <v>30.009307165698178</v>
      </c>
      <c r="O37" s="35" t="str">
        <f t="shared" si="25"/>
        <v>V</v>
      </c>
      <c r="P37" s="34">
        <f t="shared" si="33"/>
        <v>30.57</v>
      </c>
      <c r="Q37" s="35" t="str">
        <f t="shared" si="26"/>
        <v>V</v>
      </c>
      <c r="R37" s="464" t="str">
        <f t="shared" si="27"/>
        <v>PASSED</v>
      </c>
      <c r="S37" s="464"/>
      <c r="T37" s="34">
        <f t="shared" si="34"/>
        <v>29.990692834301822</v>
      </c>
      <c r="U37" s="37" t="str">
        <f t="shared" si="28"/>
        <v>V</v>
      </c>
      <c r="V37" s="458" t="str">
        <f t="shared" si="29"/>
        <v>PASSED</v>
      </c>
      <c r="W37" s="458"/>
      <c r="X37" s="465" t="str">
        <f t="shared" si="30"/>
        <v>PASSED</v>
      </c>
      <c r="Y37" s="465"/>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55">
        <f>DataSheet!L87+D38</f>
        <v>30.57</v>
      </c>
      <c r="I38" s="455"/>
      <c r="J38" s="455">
        <f>DataSheet!L87-D38</f>
        <v>29.43</v>
      </c>
      <c r="K38" s="455"/>
      <c r="L38" s="455" t="str">
        <f t="shared" si="24"/>
        <v>PASSED</v>
      </c>
      <c r="M38" s="455"/>
      <c r="N38" s="34">
        <f>DataSheet!DD87+B38</f>
        <v>30.009307165698178</v>
      </c>
      <c r="O38" s="35" t="str">
        <f t="shared" si="25"/>
        <v>V</v>
      </c>
      <c r="P38" s="34">
        <f t="shared" si="33"/>
        <v>30.57</v>
      </c>
      <c r="Q38" s="35" t="str">
        <f t="shared" si="26"/>
        <v>V</v>
      </c>
      <c r="R38" s="464" t="str">
        <f t="shared" si="27"/>
        <v>PASSED</v>
      </c>
      <c r="S38" s="464"/>
      <c r="T38" s="34">
        <f t="shared" si="34"/>
        <v>29.990692834301822</v>
      </c>
      <c r="U38" s="37" t="str">
        <f t="shared" si="28"/>
        <v>V</v>
      </c>
      <c r="V38" s="458" t="str">
        <f t="shared" si="29"/>
        <v>PASSED</v>
      </c>
      <c r="W38" s="458"/>
      <c r="X38" s="465" t="str">
        <f t="shared" si="30"/>
        <v>PASSED</v>
      </c>
      <c r="Y38" s="465"/>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55">
        <f>DataSheet!L88+D39</f>
        <v>54.954000000000001</v>
      </c>
      <c r="I39" s="455"/>
      <c r="J39" s="455">
        <f>DataSheet!L88-D39</f>
        <v>53.045999999999999</v>
      </c>
      <c r="K39" s="455"/>
      <c r="L39" s="455" t="str">
        <f t="shared" si="24"/>
        <v>PASSED</v>
      </c>
      <c r="M39" s="455"/>
      <c r="N39" s="34">
        <f>DataSheet!DD88+B39</f>
        <v>54.071234355007491</v>
      </c>
      <c r="O39" s="35" t="str">
        <f t="shared" si="25"/>
        <v>V</v>
      </c>
      <c r="P39" s="34">
        <f t="shared" si="33"/>
        <v>54.954000000000001</v>
      </c>
      <c r="Q39" s="35" t="str">
        <f t="shared" si="26"/>
        <v>V</v>
      </c>
      <c r="R39" s="464" t="str">
        <f t="shared" si="27"/>
        <v>PASSED</v>
      </c>
      <c r="S39" s="464"/>
      <c r="T39" s="34">
        <f t="shared" si="34"/>
        <v>53.928765644992509</v>
      </c>
      <c r="U39" s="37" t="str">
        <f t="shared" si="28"/>
        <v>V</v>
      </c>
      <c r="V39" s="458" t="str">
        <f t="shared" si="29"/>
        <v>PASSED</v>
      </c>
      <c r="W39" s="458"/>
      <c r="X39" s="465" t="str">
        <f t="shared" si="30"/>
        <v>PASSED</v>
      </c>
      <c r="Y39" s="465"/>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55">
        <f>DataSheet!L89+D40</f>
        <v>54.954000000000001</v>
      </c>
      <c r="I40" s="455"/>
      <c r="J40" s="455">
        <f>DataSheet!L89-D40</f>
        <v>53.045999999999999</v>
      </c>
      <c r="K40" s="455"/>
      <c r="L40" s="455" t="str">
        <f t="shared" si="24"/>
        <v>PASSED</v>
      </c>
      <c r="M40" s="455"/>
      <c r="N40" s="34">
        <f>DataSheet!DD89+B40</f>
        <v>54.071234355007491</v>
      </c>
      <c r="O40" s="35" t="str">
        <f t="shared" si="25"/>
        <v>V</v>
      </c>
      <c r="P40" s="34">
        <f t="shared" si="33"/>
        <v>54.954000000000001</v>
      </c>
      <c r="Q40" s="35" t="str">
        <f t="shared" si="26"/>
        <v>V</v>
      </c>
      <c r="R40" s="464" t="str">
        <f t="shared" si="27"/>
        <v>PASSED</v>
      </c>
      <c r="S40" s="464"/>
      <c r="T40" s="34">
        <f t="shared" si="34"/>
        <v>53.928765644992509</v>
      </c>
      <c r="U40" s="37" t="str">
        <f t="shared" si="28"/>
        <v>V</v>
      </c>
      <c r="V40" s="458" t="str">
        <f t="shared" si="29"/>
        <v>PASSED</v>
      </c>
      <c r="W40" s="458"/>
      <c r="X40" s="465" t="str">
        <f t="shared" si="30"/>
        <v>PASSED</v>
      </c>
      <c r="Y40" s="465"/>
    </row>
    <row r="41" spans="2:25">
      <c r="B41" s="43" t="e">
        <f>DataSheet!#REF!</f>
        <v>#REF!</v>
      </c>
      <c r="C41" s="44" t="e">
        <f>DataSheet!#REF!</f>
        <v>#REF!</v>
      </c>
      <c r="D41" s="39" t="e">
        <f>ABS((DataSheet!#REF!*1.6%)+(9*DataSheet!#REF!))</f>
        <v>#REF!</v>
      </c>
      <c r="E41" s="37" t="e">
        <f t="shared" si="31"/>
        <v>#REF!</v>
      </c>
      <c r="F41" s="38" t="e">
        <f>DataSheet!#REF!</f>
        <v>#REF!</v>
      </c>
      <c r="G41" s="35" t="e">
        <f t="shared" si="32"/>
        <v>#REF!</v>
      </c>
      <c r="H41" s="456" t="e">
        <f>DataSheet!#REF!+D41</f>
        <v>#REF!</v>
      </c>
      <c r="I41" s="456"/>
      <c r="J41" s="456" t="e">
        <f>DataSheet!#REF!-D41</f>
        <v>#REF!</v>
      </c>
      <c r="K41" s="456"/>
      <c r="L41" s="456" t="e">
        <f t="shared" si="24"/>
        <v>#REF!</v>
      </c>
      <c r="M41" s="456"/>
      <c r="N41" s="39" t="e">
        <f>DataSheet!#REF!+B41</f>
        <v>#REF!</v>
      </c>
      <c r="O41" s="40" t="e">
        <f t="shared" si="25"/>
        <v>#REF!</v>
      </c>
      <c r="P41" s="39" t="e">
        <f t="shared" si="33"/>
        <v>#REF!</v>
      </c>
      <c r="Q41" s="40" t="e">
        <f t="shared" si="26"/>
        <v>#REF!</v>
      </c>
      <c r="R41" s="459" t="e">
        <f t="shared" si="27"/>
        <v>#REF!</v>
      </c>
      <c r="S41" s="459"/>
      <c r="T41" s="39" t="e">
        <f t="shared" si="34"/>
        <v>#REF!</v>
      </c>
      <c r="U41" s="40" t="e">
        <f t="shared" si="28"/>
        <v>#REF!</v>
      </c>
      <c r="V41" s="458" t="e">
        <f t="shared" si="29"/>
        <v>#REF!</v>
      </c>
      <c r="W41" s="458"/>
      <c r="X41" s="465" t="e">
        <f t="shared" si="30"/>
        <v>#REF!</v>
      </c>
      <c r="Y41" s="465"/>
    </row>
    <row r="42" spans="2:25">
      <c r="B42" s="43" t="e">
        <f>DataSheet!#REF!</f>
        <v>#REF!</v>
      </c>
      <c r="C42" s="44" t="e">
        <f>DataSheet!#REF!</f>
        <v>#REF!</v>
      </c>
      <c r="D42" s="39" t="e">
        <f>ABS((DataSheet!#REF!*1.6%)+(9*DataSheet!#REF!))</f>
        <v>#REF!</v>
      </c>
      <c r="E42" s="37" t="e">
        <f t="shared" si="31"/>
        <v>#REF!</v>
      </c>
      <c r="F42" s="38" t="e">
        <f>DataSheet!#REF!</f>
        <v>#REF!</v>
      </c>
      <c r="G42" s="35" t="e">
        <f t="shared" si="32"/>
        <v>#REF!</v>
      </c>
      <c r="H42" s="456" t="e">
        <f>DataSheet!#REF!+D42</f>
        <v>#REF!</v>
      </c>
      <c r="I42" s="456"/>
      <c r="J42" s="456" t="e">
        <f>DataSheet!#REF!-D42</f>
        <v>#REF!</v>
      </c>
      <c r="K42" s="456"/>
      <c r="L42" s="456" t="e">
        <f t="shared" si="24"/>
        <v>#REF!</v>
      </c>
      <c r="M42" s="456"/>
      <c r="N42" s="39" t="e">
        <f>DataSheet!#REF!+B42</f>
        <v>#REF!</v>
      </c>
      <c r="O42" s="40" t="e">
        <f t="shared" si="25"/>
        <v>#REF!</v>
      </c>
      <c r="P42" s="39" t="e">
        <f t="shared" si="33"/>
        <v>#REF!</v>
      </c>
      <c r="Q42" s="40" t="e">
        <f t="shared" si="26"/>
        <v>#REF!</v>
      </c>
      <c r="R42" s="459" t="e">
        <f t="shared" si="27"/>
        <v>#REF!</v>
      </c>
      <c r="S42" s="459"/>
      <c r="T42" s="39" t="e">
        <f t="shared" si="34"/>
        <v>#REF!</v>
      </c>
      <c r="U42" s="40" t="e">
        <f t="shared" si="28"/>
        <v>#REF!</v>
      </c>
      <c r="V42" s="458" t="e">
        <f t="shared" si="29"/>
        <v>#REF!</v>
      </c>
      <c r="W42" s="458"/>
      <c r="X42" s="465" t="e">
        <f t="shared" si="30"/>
        <v>#REF!</v>
      </c>
      <c r="Y42" s="465"/>
    </row>
    <row r="43" spans="2:25">
      <c r="B43" s="43" t="e">
        <f>DataSheet!#REF!</f>
        <v>#REF!</v>
      </c>
      <c r="C43" s="44" t="e">
        <f>DataSheet!#REF!</f>
        <v>#REF!</v>
      </c>
      <c r="D43" s="39" t="e">
        <f>ABS((DataSheet!#REF!*1.6%)+(9*DataSheet!#REF!))</f>
        <v>#REF!</v>
      </c>
      <c r="E43" s="37" t="e">
        <f t="shared" si="31"/>
        <v>#REF!</v>
      </c>
      <c r="F43" s="38" t="e">
        <f>DataSheet!#REF!</f>
        <v>#REF!</v>
      </c>
      <c r="G43" s="35" t="e">
        <f t="shared" si="32"/>
        <v>#REF!</v>
      </c>
      <c r="H43" s="456" t="e">
        <f>DataSheet!#REF!+D43</f>
        <v>#REF!</v>
      </c>
      <c r="I43" s="456"/>
      <c r="J43" s="456" t="e">
        <f>DataSheet!#REF!-D43</f>
        <v>#REF!</v>
      </c>
      <c r="K43" s="456"/>
      <c r="L43" s="456" t="e">
        <f t="shared" si="24"/>
        <v>#REF!</v>
      </c>
      <c r="M43" s="456"/>
      <c r="N43" s="39" t="e">
        <f>DataSheet!#REF!+B43</f>
        <v>#REF!</v>
      </c>
      <c r="O43" s="40" t="e">
        <f t="shared" si="25"/>
        <v>#REF!</v>
      </c>
      <c r="P43" s="39" t="e">
        <f t="shared" si="33"/>
        <v>#REF!</v>
      </c>
      <c r="Q43" s="40" t="e">
        <f t="shared" si="26"/>
        <v>#REF!</v>
      </c>
      <c r="R43" s="459" t="e">
        <f t="shared" si="27"/>
        <v>#REF!</v>
      </c>
      <c r="S43" s="459"/>
      <c r="T43" s="39" t="e">
        <f t="shared" si="34"/>
        <v>#REF!</v>
      </c>
      <c r="U43" s="40" t="e">
        <f t="shared" si="28"/>
        <v>#REF!</v>
      </c>
      <c r="V43" s="458" t="e">
        <f t="shared" si="29"/>
        <v>#REF!</v>
      </c>
      <c r="W43" s="458"/>
      <c r="X43" s="465" t="e">
        <f t="shared" si="30"/>
        <v>#REF!</v>
      </c>
      <c r="Y43" s="465"/>
    </row>
    <row r="44" spans="2:25">
      <c r="B44" s="43" t="e">
        <f>DataSheet!#REF!</f>
        <v>#REF!</v>
      </c>
      <c r="C44" s="44" t="e">
        <f>DataSheet!#REF!</f>
        <v>#REF!</v>
      </c>
      <c r="D44" s="39" t="e">
        <f>ABS((DataSheet!#REF!*1.6%)+(9*DataSheet!#REF!))</f>
        <v>#REF!</v>
      </c>
      <c r="E44" s="37" t="e">
        <f t="shared" si="31"/>
        <v>#REF!</v>
      </c>
      <c r="F44" s="38" t="e">
        <f>DataSheet!#REF!</f>
        <v>#REF!</v>
      </c>
      <c r="G44" s="35" t="e">
        <f t="shared" si="32"/>
        <v>#REF!</v>
      </c>
      <c r="H44" s="456" t="e">
        <f>DataSheet!#REF!+D44</f>
        <v>#REF!</v>
      </c>
      <c r="I44" s="456"/>
      <c r="J44" s="456" t="e">
        <f>DataSheet!#REF!-D44</f>
        <v>#REF!</v>
      </c>
      <c r="K44" s="456"/>
      <c r="L44" s="456" t="e">
        <f t="shared" si="24"/>
        <v>#REF!</v>
      </c>
      <c r="M44" s="456"/>
      <c r="N44" s="39" t="e">
        <f>DataSheet!#REF!+B44</f>
        <v>#REF!</v>
      </c>
      <c r="O44" s="40" t="e">
        <f t="shared" si="25"/>
        <v>#REF!</v>
      </c>
      <c r="P44" s="39" t="e">
        <f t="shared" si="33"/>
        <v>#REF!</v>
      </c>
      <c r="Q44" s="40" t="e">
        <f t="shared" si="26"/>
        <v>#REF!</v>
      </c>
      <c r="R44" s="459" t="e">
        <f t="shared" si="27"/>
        <v>#REF!</v>
      </c>
      <c r="S44" s="459"/>
      <c r="T44" s="39" t="e">
        <f t="shared" si="34"/>
        <v>#REF!</v>
      </c>
      <c r="U44" s="40" t="e">
        <f t="shared" si="28"/>
        <v>#REF!</v>
      </c>
      <c r="V44" s="458" t="e">
        <f t="shared" si="29"/>
        <v>#REF!</v>
      </c>
      <c r="W44" s="458"/>
      <c r="X44" s="465" t="e">
        <f t="shared" si="30"/>
        <v>#REF!</v>
      </c>
      <c r="Y44" s="465"/>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57">
        <f>DataSheet!L90+D45</f>
        <v>61.86</v>
      </c>
      <c r="I45" s="457"/>
      <c r="J45" s="457">
        <f>DataSheet!L90-D45</f>
        <v>58.14</v>
      </c>
      <c r="K45" s="457"/>
      <c r="L45" s="457" t="str">
        <f t="shared" si="24"/>
        <v>PASSED</v>
      </c>
      <c r="M45" s="457"/>
      <c r="N45" s="41">
        <f>DataSheet!DD90+B45</f>
        <v>60.091511383627029</v>
      </c>
      <c r="O45" s="42" t="str">
        <f t="shared" si="25"/>
        <v>V</v>
      </c>
      <c r="P45" s="41">
        <f t="shared" si="33"/>
        <v>61.86</v>
      </c>
      <c r="Q45" s="42" t="str">
        <f t="shared" si="26"/>
        <v>V</v>
      </c>
      <c r="R45" s="463" t="str">
        <f t="shared" si="27"/>
        <v>PASSED</v>
      </c>
      <c r="S45" s="463"/>
      <c r="T45" s="41">
        <f t="shared" si="34"/>
        <v>59.908488616372971</v>
      </c>
      <c r="U45" s="42" t="str">
        <f t="shared" si="28"/>
        <v>V</v>
      </c>
      <c r="V45" s="458" t="str">
        <f t="shared" si="29"/>
        <v>PASSED</v>
      </c>
      <c r="W45" s="458"/>
      <c r="X45" s="465" t="str">
        <f t="shared" si="30"/>
        <v>PASSED</v>
      </c>
      <c r="Y45" s="465"/>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57">
        <f>DataSheet!L91+D46</f>
        <v>61.86</v>
      </c>
      <c r="I46" s="457"/>
      <c r="J46" s="457">
        <f>DataSheet!L91-D46</f>
        <v>58.14</v>
      </c>
      <c r="K46" s="457"/>
      <c r="L46" s="457" t="str">
        <f t="shared" si="24"/>
        <v>PASSED</v>
      </c>
      <c r="M46" s="457"/>
      <c r="N46" s="41">
        <f>DataSheet!DD91+B46</f>
        <v>60.091511383627029</v>
      </c>
      <c r="O46" s="42" t="str">
        <f t="shared" si="25"/>
        <v>V</v>
      </c>
      <c r="P46" s="41">
        <f t="shared" si="33"/>
        <v>61.86</v>
      </c>
      <c r="Q46" s="42" t="str">
        <f t="shared" si="26"/>
        <v>V</v>
      </c>
      <c r="R46" s="463" t="str">
        <f t="shared" si="27"/>
        <v>PASSED</v>
      </c>
      <c r="S46" s="463"/>
      <c r="T46" s="41">
        <f t="shared" si="34"/>
        <v>59.908488616372971</v>
      </c>
      <c r="U46" s="42" t="str">
        <f t="shared" si="28"/>
        <v>V</v>
      </c>
      <c r="V46" s="458" t="str">
        <f t="shared" si="29"/>
        <v>PASSED</v>
      </c>
      <c r="W46" s="458"/>
      <c r="X46" s="465" t="str">
        <f t="shared" si="30"/>
        <v>PASSED</v>
      </c>
      <c r="Y46" s="465"/>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57">
        <f>DataSheet!L92+D47</f>
        <v>549.54</v>
      </c>
      <c r="I47" s="457"/>
      <c r="J47" s="457">
        <f>DataSheet!L92-D47</f>
        <v>530.46</v>
      </c>
      <c r="K47" s="457"/>
      <c r="L47" s="457" t="str">
        <f t="shared" si="24"/>
        <v>PASSED</v>
      </c>
      <c r="M47" s="457"/>
      <c r="N47" s="41">
        <f>DataSheet!DD92+B47</f>
        <v>540.09151138362699</v>
      </c>
      <c r="O47" s="42" t="str">
        <f t="shared" si="25"/>
        <v>V</v>
      </c>
      <c r="P47" s="41">
        <f t="shared" si="33"/>
        <v>549.54</v>
      </c>
      <c r="Q47" s="42" t="str">
        <f t="shared" si="26"/>
        <v>V</v>
      </c>
      <c r="R47" s="463" t="str">
        <f t="shared" si="27"/>
        <v>PASSED</v>
      </c>
      <c r="S47" s="463"/>
      <c r="T47" s="41">
        <f t="shared" si="34"/>
        <v>539.90848861637301</v>
      </c>
      <c r="U47" s="42" t="str">
        <f t="shared" si="28"/>
        <v>V</v>
      </c>
      <c r="V47" s="458" t="str">
        <f t="shared" si="29"/>
        <v>PASSED</v>
      </c>
      <c r="W47" s="458"/>
      <c r="X47" s="465" t="str">
        <f t="shared" si="30"/>
        <v>PASSED</v>
      </c>
      <c r="Y47" s="465"/>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57">
        <f>DataSheet!L93+D48</f>
        <v>549.54</v>
      </c>
      <c r="I48" s="457"/>
      <c r="J48" s="457">
        <f>DataSheet!L93-D48</f>
        <v>530.46</v>
      </c>
      <c r="K48" s="457"/>
      <c r="L48" s="457" t="str">
        <f t="shared" si="24"/>
        <v>PASSED</v>
      </c>
      <c r="M48" s="457"/>
      <c r="N48" s="41">
        <f>DataSheet!DD93+B48</f>
        <v>540.09151138362699</v>
      </c>
      <c r="O48" s="42" t="str">
        <f t="shared" si="25"/>
        <v>V</v>
      </c>
      <c r="P48" s="41">
        <f t="shared" si="33"/>
        <v>549.54</v>
      </c>
      <c r="Q48" s="42" t="str">
        <f t="shared" si="26"/>
        <v>V</v>
      </c>
      <c r="R48" s="463" t="str">
        <f t="shared" si="27"/>
        <v>PASSED</v>
      </c>
      <c r="S48" s="463"/>
      <c r="T48" s="41">
        <f t="shared" si="34"/>
        <v>539.90848861637301</v>
      </c>
      <c r="U48" s="42" t="str">
        <f t="shared" si="28"/>
        <v>V</v>
      </c>
      <c r="V48" s="458" t="str">
        <f t="shared" si="29"/>
        <v>PASSED</v>
      </c>
      <c r="W48" s="458"/>
      <c r="X48" s="465" t="str">
        <f t="shared" si="30"/>
        <v>PASSED</v>
      </c>
      <c r="Y48" s="465"/>
    </row>
    <row r="49" spans="2:25">
      <c r="B49" s="449" t="str">
        <f>DataSheet!F99</f>
        <v>Resistance Test</v>
      </c>
      <c r="C49" s="449"/>
      <c r="D49" s="449"/>
      <c r="E49" s="449"/>
      <c r="F49" s="449"/>
      <c r="G49" s="449"/>
      <c r="H49" s="449"/>
      <c r="I49" s="449"/>
      <c r="J49" s="449"/>
      <c r="K49" s="449"/>
      <c r="L49" s="449"/>
      <c r="M49" s="449"/>
      <c r="N49" s="449"/>
      <c r="O49" s="449"/>
      <c r="P49" s="449"/>
      <c r="Q49" s="449"/>
      <c r="R49" s="449"/>
      <c r="S49" s="449"/>
      <c r="T49" s="449"/>
      <c r="U49" s="449"/>
      <c r="V49" s="449"/>
      <c r="W49" s="449"/>
      <c r="X49" s="466" t="s">
        <v>119</v>
      </c>
      <c r="Y49" s="466"/>
    </row>
    <row r="50" spans="2:25">
      <c r="B50" s="449"/>
      <c r="C50" s="449"/>
      <c r="D50" s="449"/>
      <c r="E50" s="449"/>
      <c r="F50" s="449"/>
      <c r="G50" s="449"/>
      <c r="H50" s="449"/>
      <c r="I50" s="449"/>
      <c r="J50" s="449"/>
      <c r="K50" s="449"/>
      <c r="L50" s="449"/>
      <c r="M50" s="449"/>
      <c r="N50" s="449"/>
      <c r="O50" s="449"/>
      <c r="P50" s="449"/>
      <c r="Q50" s="449"/>
      <c r="R50" s="449"/>
      <c r="S50" s="449"/>
      <c r="T50" s="449"/>
      <c r="U50" s="449"/>
      <c r="V50" s="449"/>
      <c r="W50" s="449"/>
      <c r="X50" s="466"/>
      <c r="Y50" s="466"/>
    </row>
    <row r="51" spans="2:25">
      <c r="B51" s="466" t="s">
        <v>73</v>
      </c>
      <c r="C51" s="466"/>
      <c r="D51" s="449" t="s">
        <v>75</v>
      </c>
      <c r="E51" s="449"/>
      <c r="F51" s="451" t="s">
        <v>114</v>
      </c>
      <c r="G51" s="452"/>
      <c r="H51" s="449" t="s">
        <v>76</v>
      </c>
      <c r="I51" s="449"/>
      <c r="J51" s="449" t="s">
        <v>77</v>
      </c>
      <c r="K51" s="449"/>
      <c r="L51" s="449" t="s">
        <v>78</v>
      </c>
      <c r="M51" s="449"/>
      <c r="N51" s="460" t="s">
        <v>120</v>
      </c>
      <c r="O51" s="449"/>
      <c r="P51" s="449" t="s">
        <v>76</v>
      </c>
      <c r="Q51" s="449"/>
      <c r="R51" s="449" t="s">
        <v>78</v>
      </c>
      <c r="S51" s="449"/>
      <c r="T51" s="460" t="s">
        <v>121</v>
      </c>
      <c r="U51" s="449"/>
      <c r="V51" s="449" t="s">
        <v>78</v>
      </c>
      <c r="W51" s="449"/>
      <c r="X51" s="466"/>
      <c r="Y51" s="466"/>
    </row>
    <row r="52" spans="2:25">
      <c r="B52" s="466"/>
      <c r="C52" s="466"/>
      <c r="D52" s="449"/>
      <c r="E52" s="449"/>
      <c r="F52" s="453"/>
      <c r="G52" s="454"/>
      <c r="H52" s="449"/>
      <c r="I52" s="449"/>
      <c r="J52" s="449"/>
      <c r="K52" s="449"/>
      <c r="L52" s="449"/>
      <c r="M52" s="449"/>
      <c r="N52" s="449"/>
      <c r="O52" s="449"/>
      <c r="P52" s="449"/>
      <c r="Q52" s="449"/>
      <c r="R52" s="449"/>
      <c r="S52" s="449"/>
      <c r="T52" s="449"/>
      <c r="U52" s="449"/>
      <c r="V52" s="449"/>
      <c r="W52" s="449"/>
      <c r="X52" s="466"/>
      <c r="Y52" s="466"/>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56">
        <f>DataSheet!L102+D53</f>
        <v>0.5</v>
      </c>
      <c r="I53" s="456"/>
      <c r="J53" s="456">
        <f>DataSheet!L102-D53</f>
        <v>-0.5</v>
      </c>
      <c r="K53" s="456"/>
      <c r="L53" s="448" t="str">
        <f t="shared" ref="L53:L59" si="36">IF(AND(B53&lt;=H53,B53&gt;=J53),"PASSED","FAILED")</f>
        <v>PASSED</v>
      </c>
      <c r="M53" s="448"/>
      <c r="N53" s="39">
        <f>DataSheet!DD102+B53</f>
        <v>5.7735078265585944E-2</v>
      </c>
      <c r="O53" s="35" t="str">
        <f t="shared" ref="O53:O59" si="37">G53</f>
        <v>Ω</v>
      </c>
      <c r="P53" s="39">
        <f t="shared" ref="P53:P54" si="38">H53</f>
        <v>0.5</v>
      </c>
      <c r="Q53" s="40" t="str">
        <f t="shared" ref="Q53:Q56" si="39">O53</f>
        <v>Ω</v>
      </c>
      <c r="R53" s="458" t="str">
        <f t="shared" ref="R53:R59" si="40">IF(AND(N53&lt;=H53,N53&gt;=J53),"PASSED","FAILED")</f>
        <v>PASSED</v>
      </c>
      <c r="S53" s="458"/>
      <c r="T53" s="39">
        <f t="shared" ref="T53:T54" si="41">-F53+B53</f>
        <v>-5.7735078265585944E-2</v>
      </c>
      <c r="U53" s="37" t="str">
        <f t="shared" ref="U53:U59" si="42">O53</f>
        <v>Ω</v>
      </c>
      <c r="V53" s="458" t="str">
        <f t="shared" ref="V53:V59" si="43">IF(AND(T53&lt;=H53,T53&gt;=J53),"PASSED","FAILED")</f>
        <v>PASSED</v>
      </c>
      <c r="W53" s="458"/>
      <c r="X53" s="465" t="str">
        <f t="shared" ref="X53:X59" si="44">IF(AND(L53="PASSED",R53="PASSED",V53="PASSED"),"PASSED",IF(L53="FAILED","FAILED","UNDETERMINED"))</f>
        <v>PASSED</v>
      </c>
      <c r="Y53" s="465"/>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56">
        <f>DataSheet!L103+D54</f>
        <v>548.6</v>
      </c>
      <c r="I54" s="456"/>
      <c r="J54" s="456">
        <f>DataSheet!L103-D54</f>
        <v>531.4</v>
      </c>
      <c r="K54" s="456"/>
      <c r="L54" s="448" t="str">
        <f t="shared" si="36"/>
        <v>PASSED</v>
      </c>
      <c r="M54" s="448"/>
      <c r="N54" s="39">
        <f>DataSheet!DD103+B54</f>
        <v>540.05781291666517</v>
      </c>
      <c r="O54" s="35" t="str">
        <f t="shared" si="37"/>
        <v>Ω</v>
      </c>
      <c r="P54" s="39">
        <f t="shared" si="38"/>
        <v>548.6</v>
      </c>
      <c r="Q54" s="40" t="str">
        <f t="shared" si="39"/>
        <v>Ω</v>
      </c>
      <c r="R54" s="458" t="str">
        <f t="shared" si="40"/>
        <v>PASSED</v>
      </c>
      <c r="S54" s="458"/>
      <c r="T54" s="39">
        <f t="shared" si="41"/>
        <v>539.94218708333483</v>
      </c>
      <c r="U54" s="37" t="str">
        <f t="shared" si="42"/>
        <v>Ω</v>
      </c>
      <c r="V54" s="458" t="str">
        <f t="shared" si="43"/>
        <v>PASSED</v>
      </c>
      <c r="W54" s="458"/>
      <c r="X54" s="465" t="str">
        <f t="shared" si="44"/>
        <v>PASSED</v>
      </c>
      <c r="Y54" s="465"/>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50">
        <f>DataSheet!L104+D55</f>
        <v>5.4860000000000007</v>
      </c>
      <c r="I55" s="450"/>
      <c r="J55" s="450">
        <f>DataSheet!L104-D55</f>
        <v>5.3140000000000001</v>
      </c>
      <c r="K55" s="450"/>
      <c r="L55" s="448" t="str">
        <f t="shared" si="36"/>
        <v>PASSED</v>
      </c>
      <c r="M55" s="448"/>
      <c r="N55" s="36">
        <f>DataSheet!DD104+B55</f>
        <v>5.4005799640793484</v>
      </c>
      <c r="O55" s="35" t="str">
        <f t="shared" si="37"/>
        <v>kΩ</v>
      </c>
      <c r="P55" s="36">
        <f>H55</f>
        <v>5.4860000000000007</v>
      </c>
      <c r="Q55" s="37" t="str">
        <f t="shared" si="39"/>
        <v>kΩ</v>
      </c>
      <c r="R55" s="458" t="str">
        <f t="shared" si="40"/>
        <v>PASSED</v>
      </c>
      <c r="S55" s="458"/>
      <c r="T55" s="36">
        <f>-DataSheet!DD104+B55</f>
        <v>5.3994200359206541</v>
      </c>
      <c r="U55" s="37" t="str">
        <f t="shared" si="42"/>
        <v>kΩ</v>
      </c>
      <c r="V55" s="458" t="str">
        <f t="shared" si="43"/>
        <v>PASSED</v>
      </c>
      <c r="W55" s="458"/>
      <c r="X55" s="465" t="str">
        <f t="shared" si="44"/>
        <v>PASSED</v>
      </c>
      <c r="Y55" s="465"/>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55">
        <f>DataSheet!L105+D56</f>
        <v>54.86</v>
      </c>
      <c r="I56" s="455"/>
      <c r="J56" s="455">
        <f>DataSheet!L105-D56</f>
        <v>53.14</v>
      </c>
      <c r="K56" s="455"/>
      <c r="L56" s="448" t="str">
        <f t="shared" si="36"/>
        <v>PASSED</v>
      </c>
      <c r="M56" s="448"/>
      <c r="N56" s="34">
        <f>DataSheet!DD105+B56</f>
        <v>54.005830045740247</v>
      </c>
      <c r="O56" s="35" t="str">
        <f t="shared" si="37"/>
        <v>kΩ</v>
      </c>
      <c r="P56" s="34">
        <f t="shared" ref="P56:P57" si="46">H56</f>
        <v>54.86</v>
      </c>
      <c r="Q56" s="35" t="str">
        <f t="shared" si="39"/>
        <v>kΩ</v>
      </c>
      <c r="R56" s="458" t="str">
        <f t="shared" si="40"/>
        <v>PASSED</v>
      </c>
      <c r="S56" s="458"/>
      <c r="T56" s="34">
        <f t="shared" ref="T56:T59" si="47">-F56+B56</f>
        <v>53.994169954259753</v>
      </c>
      <c r="U56" s="37" t="str">
        <f t="shared" si="42"/>
        <v>kΩ</v>
      </c>
      <c r="V56" s="458" t="str">
        <f t="shared" si="43"/>
        <v>PASSED</v>
      </c>
      <c r="W56" s="458"/>
      <c r="X56" s="465" t="str">
        <f t="shared" si="44"/>
        <v>PASSED</v>
      </c>
      <c r="Y56" s="465"/>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56">
        <f>DataSheet!L106+D57</f>
        <v>548.6</v>
      </c>
      <c r="I57" s="456"/>
      <c r="J57" s="456">
        <f>DataSheet!L106-D57</f>
        <v>531.4</v>
      </c>
      <c r="K57" s="456"/>
      <c r="L57" s="448" t="str">
        <f t="shared" si="36"/>
        <v>PASSED</v>
      </c>
      <c r="M57" s="448"/>
      <c r="N57" s="39">
        <f>DataSheet!DD106+B57</f>
        <v>540.05811104312727</v>
      </c>
      <c r="O57" s="35" t="str">
        <f t="shared" si="37"/>
        <v>kΩ</v>
      </c>
      <c r="P57" s="39">
        <f t="shared" si="46"/>
        <v>548.6</v>
      </c>
      <c r="Q57" s="40" t="str">
        <f t="shared" ref="Q57:Q59" si="48">O57</f>
        <v>kΩ</v>
      </c>
      <c r="R57" s="458" t="str">
        <f t="shared" si="40"/>
        <v>PASSED</v>
      </c>
      <c r="S57" s="458"/>
      <c r="T57" s="39">
        <f t="shared" si="47"/>
        <v>539.94188895687273</v>
      </c>
      <c r="U57" s="37" t="str">
        <f t="shared" si="42"/>
        <v>kΩ</v>
      </c>
      <c r="V57" s="458" t="str">
        <f t="shared" si="43"/>
        <v>PASSED</v>
      </c>
      <c r="W57" s="458"/>
      <c r="X57" s="465" t="str">
        <f t="shared" si="44"/>
        <v>PASSED</v>
      </c>
      <c r="Y57" s="465"/>
    </row>
    <row r="58" spans="2:25">
      <c r="B58" s="47" t="e">
        <f>DataSheet!#REF!</f>
        <v>#REF!</v>
      </c>
      <c r="C58" s="48" t="e">
        <f>DataSheet!#REF!</f>
        <v>#REF!</v>
      </c>
      <c r="D58" s="36" t="e">
        <f>ABS((DataSheet!#REF!*1.5%)+(5*DataSheet!#REF!))</f>
        <v>#REF!</v>
      </c>
      <c r="E58" s="37" t="e">
        <f t="shared" si="35"/>
        <v>#REF!</v>
      </c>
      <c r="F58" s="38" t="e">
        <f>DataSheet!#REF!</f>
        <v>#REF!</v>
      </c>
      <c r="G58" s="35" t="e">
        <f t="shared" si="45"/>
        <v>#REF!</v>
      </c>
      <c r="H58" s="450" t="e">
        <f>DataSheet!#REF!+D58</f>
        <v>#REF!</v>
      </c>
      <c r="I58" s="450"/>
      <c r="J58" s="450" t="e">
        <f>DataSheet!#REF!-D58</f>
        <v>#REF!</v>
      </c>
      <c r="K58" s="450"/>
      <c r="L58" s="448" t="e">
        <f t="shared" si="36"/>
        <v>#REF!</v>
      </c>
      <c r="M58" s="448"/>
      <c r="N58" s="36" t="e">
        <f>DataSheet!#REF!+B58</f>
        <v>#REF!</v>
      </c>
      <c r="O58" s="35" t="e">
        <f t="shared" si="37"/>
        <v>#REF!</v>
      </c>
      <c r="P58" s="36" t="e">
        <f>H58</f>
        <v>#REF!</v>
      </c>
      <c r="Q58" s="37" t="e">
        <f t="shared" si="48"/>
        <v>#REF!</v>
      </c>
      <c r="R58" s="458" t="e">
        <f t="shared" si="40"/>
        <v>#REF!</v>
      </c>
      <c r="S58" s="458"/>
      <c r="T58" s="36" t="e">
        <f>-DataSheet!#REF!+B58</f>
        <v>#REF!</v>
      </c>
      <c r="U58" s="37" t="e">
        <f t="shared" si="42"/>
        <v>#REF!</v>
      </c>
      <c r="V58" s="458" t="e">
        <f t="shared" si="43"/>
        <v>#REF!</v>
      </c>
      <c r="W58" s="458"/>
      <c r="X58" s="465" t="e">
        <f t="shared" si="44"/>
        <v>#REF!</v>
      </c>
      <c r="Y58" s="465"/>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55">
        <f>DataSheet!L108+D59</f>
        <v>45.725000000000001</v>
      </c>
      <c r="I59" s="455"/>
      <c r="J59" s="455">
        <f>DataSheet!L108-D59</f>
        <v>44.274999999999999</v>
      </c>
      <c r="K59" s="455"/>
      <c r="L59" s="448" t="str">
        <f t="shared" si="36"/>
        <v>PASSED</v>
      </c>
      <c r="M59" s="448"/>
      <c r="N59" s="34">
        <f>DataSheet!DD108+B59</f>
        <v>45.015000000000001</v>
      </c>
      <c r="O59" s="35" t="str">
        <f t="shared" si="37"/>
        <v>MΩ</v>
      </c>
      <c r="P59" s="34">
        <f t="shared" ref="P59" si="49">H59</f>
        <v>45.725000000000001</v>
      </c>
      <c r="Q59" s="35" t="str">
        <f t="shared" si="48"/>
        <v>MΩ</v>
      </c>
      <c r="R59" s="458" t="str">
        <f t="shared" si="40"/>
        <v>PASSED</v>
      </c>
      <c r="S59" s="458"/>
      <c r="T59" s="34">
        <f t="shared" si="47"/>
        <v>44.984999999999999</v>
      </c>
      <c r="U59" s="37" t="str">
        <f t="shared" si="42"/>
        <v>MΩ</v>
      </c>
      <c r="V59" s="458" t="str">
        <f t="shared" si="43"/>
        <v>PASSED</v>
      </c>
      <c r="W59" s="458"/>
      <c r="X59" s="465" t="str">
        <f t="shared" si="44"/>
        <v>PASSED</v>
      </c>
      <c r="Y59" s="465"/>
    </row>
    <row r="60" spans="2:25">
      <c r="B60" s="449" t="str">
        <f>DataSheet!F110</f>
        <v>DC Current Test</v>
      </c>
      <c r="C60" s="449"/>
      <c r="D60" s="449"/>
      <c r="E60" s="449"/>
      <c r="F60" s="449"/>
      <c r="G60" s="449"/>
      <c r="H60" s="449"/>
      <c r="I60" s="449"/>
      <c r="J60" s="449"/>
      <c r="K60" s="449"/>
      <c r="L60" s="449"/>
      <c r="M60" s="449"/>
      <c r="N60" s="449"/>
      <c r="O60" s="449"/>
      <c r="P60" s="449"/>
      <c r="Q60" s="449"/>
      <c r="R60" s="449"/>
      <c r="S60" s="449"/>
      <c r="T60" s="449"/>
      <c r="U60" s="449"/>
      <c r="V60" s="449"/>
      <c r="W60" s="449"/>
      <c r="X60" s="466" t="s">
        <v>119</v>
      </c>
      <c r="Y60" s="466"/>
    </row>
    <row r="61" spans="2:25">
      <c r="B61" s="449"/>
      <c r="C61" s="449"/>
      <c r="D61" s="449"/>
      <c r="E61" s="449"/>
      <c r="F61" s="449"/>
      <c r="G61" s="449"/>
      <c r="H61" s="449"/>
      <c r="I61" s="449"/>
      <c r="J61" s="449"/>
      <c r="K61" s="449"/>
      <c r="L61" s="449"/>
      <c r="M61" s="449"/>
      <c r="N61" s="449"/>
      <c r="O61" s="449"/>
      <c r="P61" s="449"/>
      <c r="Q61" s="449"/>
      <c r="R61" s="449"/>
      <c r="S61" s="449"/>
      <c r="T61" s="449"/>
      <c r="U61" s="449"/>
      <c r="V61" s="449"/>
      <c r="W61" s="449"/>
      <c r="X61" s="466"/>
      <c r="Y61" s="466"/>
    </row>
    <row r="62" spans="2:25">
      <c r="B62" s="466" t="s">
        <v>73</v>
      </c>
      <c r="C62" s="466"/>
      <c r="D62" s="449" t="s">
        <v>75</v>
      </c>
      <c r="E62" s="449"/>
      <c r="F62" s="451" t="s">
        <v>114</v>
      </c>
      <c r="G62" s="452"/>
      <c r="H62" s="449" t="s">
        <v>76</v>
      </c>
      <c r="I62" s="449"/>
      <c r="J62" s="449" t="s">
        <v>77</v>
      </c>
      <c r="K62" s="449"/>
      <c r="L62" s="449" t="s">
        <v>78</v>
      </c>
      <c r="M62" s="449"/>
      <c r="N62" s="460" t="s">
        <v>120</v>
      </c>
      <c r="O62" s="449"/>
      <c r="P62" s="449" t="s">
        <v>76</v>
      </c>
      <c r="Q62" s="449"/>
      <c r="R62" s="449" t="s">
        <v>78</v>
      </c>
      <c r="S62" s="449"/>
      <c r="T62" s="460" t="s">
        <v>121</v>
      </c>
      <c r="U62" s="449"/>
      <c r="V62" s="449" t="s">
        <v>78</v>
      </c>
      <c r="W62" s="449"/>
      <c r="X62" s="466"/>
      <c r="Y62" s="466"/>
    </row>
    <row r="63" spans="2:25">
      <c r="B63" s="466"/>
      <c r="C63" s="466"/>
      <c r="D63" s="449"/>
      <c r="E63" s="449"/>
      <c r="F63" s="453"/>
      <c r="G63" s="454"/>
      <c r="H63" s="449"/>
      <c r="I63" s="449"/>
      <c r="J63" s="449"/>
      <c r="K63" s="449"/>
      <c r="L63" s="449"/>
      <c r="M63" s="449"/>
      <c r="N63" s="449"/>
      <c r="O63" s="449"/>
      <c r="P63" s="449"/>
      <c r="Q63" s="449"/>
      <c r="R63" s="449"/>
      <c r="S63" s="449"/>
      <c r="T63" s="449"/>
      <c r="U63" s="449"/>
      <c r="V63" s="449"/>
      <c r="W63" s="449"/>
      <c r="X63" s="466"/>
      <c r="Y63" s="466"/>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55">
        <f>DataSheet!L118+D64</f>
        <v>3.0710000000000002</v>
      </c>
      <c r="I64" s="455"/>
      <c r="J64" s="455">
        <f>DataSheet!L118-D64</f>
        <v>2.9289999999999998</v>
      </c>
      <c r="K64" s="455"/>
      <c r="L64" s="448" t="str">
        <f t="shared" ref="L64:L66" si="51">IF(AND(B64&lt;=H64,B64&gt;=J64),"PASSED","FAILED")</f>
        <v>PASSED</v>
      </c>
      <c r="M64" s="448"/>
      <c r="N64" s="34">
        <f>DataSheet!DD118+B64</f>
        <v>3.0015999999999998</v>
      </c>
      <c r="O64" s="35" t="str">
        <f t="shared" ref="O64:O66" si="52">G64</f>
        <v>A</v>
      </c>
      <c r="P64" s="34">
        <f t="shared" ref="P64" si="53">H64</f>
        <v>3.0710000000000002</v>
      </c>
      <c r="Q64" s="35" t="str">
        <f t="shared" ref="Q64" si="54">O64</f>
        <v>A</v>
      </c>
      <c r="R64" s="464" t="str">
        <f t="shared" ref="R64:R66" si="55">IF(AND(N64&lt;=H64,N64&gt;=J64),"PASSED","FAILED")</f>
        <v>PASSED</v>
      </c>
      <c r="S64" s="464"/>
      <c r="T64" s="34">
        <f t="shared" ref="T64:T66" si="56">-F64+B64</f>
        <v>2.9984000000000002</v>
      </c>
      <c r="U64" s="37" t="str">
        <f t="shared" ref="U64:U66" si="57">O64</f>
        <v>A</v>
      </c>
      <c r="V64" s="458" t="str">
        <f t="shared" ref="V64:V66" si="58">IF(AND(T64&lt;=H64,T64&gt;=J64),"PASSED","FAILED")</f>
        <v>PASSED</v>
      </c>
      <c r="W64" s="458"/>
      <c r="X64" s="465" t="str">
        <f>IF(AND(L64="PASSED",R64="PASSED",V64="PASSED"),"PASSED",IF(L64="FAILED","FAILED","UNDETERMINED"))</f>
        <v>PASSED</v>
      </c>
      <c r="Y64" s="465"/>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55">
        <f>DataSheet!L119+D65</f>
        <v>5.5138000000000007</v>
      </c>
      <c r="I65" s="455"/>
      <c r="J65" s="455">
        <f>DataSheet!L119-D65</f>
        <v>5.2862</v>
      </c>
      <c r="K65" s="455"/>
      <c r="L65" s="448" t="str">
        <f t="shared" si="51"/>
        <v>PASSED</v>
      </c>
      <c r="M65" s="448"/>
      <c r="N65" s="34">
        <f>DataSheet!DD119+B65</f>
        <v>5.4016000000000011</v>
      </c>
      <c r="O65" s="35" t="str">
        <f t="shared" si="52"/>
        <v>A</v>
      </c>
      <c r="P65" s="34">
        <f t="shared" ref="P65:P66" si="60">H65</f>
        <v>5.5138000000000007</v>
      </c>
      <c r="Q65" s="35" t="str">
        <f t="shared" ref="Q65:Q66" si="61">O65</f>
        <v>A</v>
      </c>
      <c r="R65" s="464" t="str">
        <f t="shared" si="55"/>
        <v>PASSED</v>
      </c>
      <c r="S65" s="464"/>
      <c r="T65" s="34">
        <f t="shared" si="56"/>
        <v>5.3984000000000014</v>
      </c>
      <c r="U65" s="37" t="str">
        <f t="shared" si="57"/>
        <v>A</v>
      </c>
      <c r="V65" s="458" t="str">
        <f t="shared" si="58"/>
        <v>PASSED</v>
      </c>
      <c r="W65" s="458"/>
      <c r="X65" s="465" t="str">
        <f>IF(AND(L65="PASSED",R65="PASSED",V65="PASSED"),"PASSED",IF(L65="FAILED","FAILED","UNDETERMINED"))</f>
        <v>PASSED</v>
      </c>
      <c r="Y65" s="465"/>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56">
        <f>DataSheet!L121+D66</f>
        <v>9.2479999999999993</v>
      </c>
      <c r="I66" s="456"/>
      <c r="J66" s="456">
        <f>DataSheet!L121-D66</f>
        <v>8.7520000000000007</v>
      </c>
      <c r="K66" s="456"/>
      <c r="L66" s="448" t="str">
        <f t="shared" si="51"/>
        <v>PASSED</v>
      </c>
      <c r="M66" s="448"/>
      <c r="N66" s="39">
        <f>DataSheet!DD121+B66</f>
        <v>9.0059408192476571</v>
      </c>
      <c r="O66" s="40" t="str">
        <f t="shared" si="52"/>
        <v>A</v>
      </c>
      <c r="P66" s="39">
        <f t="shared" si="60"/>
        <v>9.2479999999999993</v>
      </c>
      <c r="Q66" s="40" t="str">
        <f t="shared" si="61"/>
        <v>A</v>
      </c>
      <c r="R66" s="459" t="str">
        <f t="shared" si="55"/>
        <v>PASSED</v>
      </c>
      <c r="S66" s="459"/>
      <c r="T66" s="39">
        <f t="shared" si="56"/>
        <v>8.9940591807523429</v>
      </c>
      <c r="U66" s="37" t="str">
        <f t="shared" si="57"/>
        <v>A</v>
      </c>
      <c r="V66" s="458" t="str">
        <f t="shared" si="58"/>
        <v>PASSED</v>
      </c>
      <c r="W66" s="458"/>
      <c r="X66" s="465" t="str">
        <f>IF(AND(L66="PASSED",R66="PASSED",V66="PASSED"),"PASSED",IF(L66="FAILED","FAILED","UNDETERMINED"))</f>
        <v>PASSED</v>
      </c>
      <c r="Y66" s="465"/>
    </row>
    <row r="67" spans="2:25">
      <c r="B67" s="449" t="str">
        <f>DataSheet!F123</f>
        <v>AC Current Test</v>
      </c>
      <c r="C67" s="449"/>
      <c r="D67" s="449"/>
      <c r="E67" s="449"/>
      <c r="F67" s="449"/>
      <c r="G67" s="449"/>
      <c r="H67" s="449"/>
      <c r="I67" s="449"/>
      <c r="J67" s="449"/>
      <c r="K67" s="449"/>
      <c r="L67" s="449"/>
      <c r="M67" s="449"/>
      <c r="N67" s="449"/>
      <c r="O67" s="449"/>
      <c r="P67" s="449"/>
      <c r="Q67" s="449"/>
      <c r="R67" s="449"/>
      <c r="S67" s="449"/>
      <c r="T67" s="449"/>
      <c r="U67" s="449"/>
      <c r="V67" s="449"/>
      <c r="W67" s="449"/>
      <c r="X67" s="466" t="s">
        <v>119</v>
      </c>
      <c r="Y67" s="466"/>
    </row>
    <row r="68" spans="2:25">
      <c r="B68" s="449"/>
      <c r="C68" s="449"/>
      <c r="D68" s="449"/>
      <c r="E68" s="449"/>
      <c r="F68" s="449"/>
      <c r="G68" s="449"/>
      <c r="H68" s="449"/>
      <c r="I68" s="449"/>
      <c r="J68" s="449"/>
      <c r="K68" s="449"/>
      <c r="L68" s="449"/>
      <c r="M68" s="449"/>
      <c r="N68" s="449"/>
      <c r="O68" s="449"/>
      <c r="P68" s="449"/>
      <c r="Q68" s="449"/>
      <c r="R68" s="449"/>
      <c r="S68" s="449"/>
      <c r="T68" s="449"/>
      <c r="U68" s="449"/>
      <c r="V68" s="449"/>
      <c r="W68" s="449"/>
      <c r="X68" s="466"/>
      <c r="Y68" s="466"/>
    </row>
    <row r="69" spans="2:25">
      <c r="B69" s="466" t="s">
        <v>73</v>
      </c>
      <c r="C69" s="466"/>
      <c r="D69" s="449" t="s">
        <v>75</v>
      </c>
      <c r="E69" s="449"/>
      <c r="F69" s="451" t="s">
        <v>114</v>
      </c>
      <c r="G69" s="452"/>
      <c r="H69" s="449" t="s">
        <v>76</v>
      </c>
      <c r="I69" s="449"/>
      <c r="J69" s="449" t="s">
        <v>77</v>
      </c>
      <c r="K69" s="449"/>
      <c r="L69" s="449" t="s">
        <v>78</v>
      </c>
      <c r="M69" s="449"/>
      <c r="N69" s="460" t="s">
        <v>120</v>
      </c>
      <c r="O69" s="449"/>
      <c r="P69" s="449" t="s">
        <v>76</v>
      </c>
      <c r="Q69" s="449"/>
      <c r="R69" s="449" t="s">
        <v>78</v>
      </c>
      <c r="S69" s="449"/>
      <c r="T69" s="460" t="s">
        <v>121</v>
      </c>
      <c r="U69" s="449"/>
      <c r="V69" s="449" t="s">
        <v>78</v>
      </c>
      <c r="W69" s="449"/>
      <c r="X69" s="466"/>
      <c r="Y69" s="466"/>
    </row>
    <row r="70" spans="2:25">
      <c r="B70" s="466"/>
      <c r="C70" s="466"/>
      <c r="D70" s="449"/>
      <c r="E70" s="449"/>
      <c r="F70" s="453"/>
      <c r="G70" s="454"/>
      <c r="H70" s="449"/>
      <c r="I70" s="449"/>
      <c r="J70" s="449"/>
      <c r="K70" s="449"/>
      <c r="L70" s="449"/>
      <c r="M70" s="449"/>
      <c r="N70" s="449"/>
      <c r="O70" s="449"/>
      <c r="P70" s="449"/>
      <c r="Q70" s="449"/>
      <c r="R70" s="449"/>
      <c r="S70" s="449"/>
      <c r="T70" s="449"/>
      <c r="U70" s="449"/>
      <c r="V70" s="449"/>
      <c r="W70" s="449"/>
      <c r="X70" s="466"/>
      <c r="Y70" s="466"/>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55">
        <f>DataSheet!L134+D71</f>
        <v>5.5562000000000005</v>
      </c>
      <c r="I71" s="455"/>
      <c r="J71" s="455">
        <f>DataSheet!L134-D71</f>
        <v>5.2438000000000002</v>
      </c>
      <c r="K71" s="455"/>
      <c r="L71" s="448" t="str">
        <f t="shared" ref="L71:L74" si="63">IF(AND(B71&lt;=H71,B71&gt;=J71),"PASSED","FAILED")</f>
        <v>PASSED</v>
      </c>
      <c r="M71" s="448"/>
      <c r="N71" s="34">
        <f>DataSheet!DD134+B71</f>
        <v>5.4100166528008788</v>
      </c>
      <c r="O71" s="35" t="str">
        <f t="shared" ref="O71:O74" si="64">G71</f>
        <v>A</v>
      </c>
      <c r="P71" s="34">
        <f t="shared" ref="P71" si="65">H71</f>
        <v>5.5562000000000005</v>
      </c>
      <c r="Q71" s="35" t="str">
        <f t="shared" ref="Q71" si="66">O71</f>
        <v>A</v>
      </c>
      <c r="R71" s="464" t="str">
        <f t="shared" ref="R71:R74" si="67">IF(AND(N71&lt;=H71,N71&gt;=J71),"PASSED","FAILED")</f>
        <v>PASSED</v>
      </c>
      <c r="S71" s="464"/>
      <c r="T71" s="34">
        <f t="shared" ref="T71:T74" si="68">-F71+B71</f>
        <v>5.3899833471991236</v>
      </c>
      <c r="U71" s="35" t="str">
        <f t="shared" ref="U71:U74" si="69">O71</f>
        <v>A</v>
      </c>
      <c r="V71" s="458" t="str">
        <f t="shared" ref="V71:V74" si="70">IF(AND(T71&lt;=H71,T71&gt;=J71),"PASSED","FAILED")</f>
        <v>PASSED</v>
      </c>
      <c r="W71" s="458"/>
      <c r="X71" s="465" t="str">
        <f>IF(AND(L71="PASSED",R71="PASSED",V71="PASSED"),"PASSED",IF(L71="FAILED","FAILED","UNDETERMINED"))</f>
        <v>PASSED</v>
      </c>
      <c r="Y71" s="465"/>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55">
        <f>DataSheet!L135+D72</f>
        <v>5.5562000000000005</v>
      </c>
      <c r="I72" s="455"/>
      <c r="J72" s="455">
        <f>DataSheet!L135-D72</f>
        <v>5.2438000000000002</v>
      </c>
      <c r="K72" s="455"/>
      <c r="L72" s="448" t="str">
        <f t="shared" si="63"/>
        <v>PASSED</v>
      </c>
      <c r="M72" s="448"/>
      <c r="N72" s="34">
        <f>DataSheet!DD135+B72</f>
        <v>5.4110151410945733</v>
      </c>
      <c r="O72" s="35" t="str">
        <f t="shared" si="64"/>
        <v>A</v>
      </c>
      <c r="P72" s="34">
        <f t="shared" ref="P72:P73" si="72">H72</f>
        <v>5.5562000000000005</v>
      </c>
      <c r="Q72" s="35" t="str">
        <f t="shared" ref="Q72:Q73" si="73">O72</f>
        <v>A</v>
      </c>
      <c r="R72" s="464" t="str">
        <f t="shared" si="67"/>
        <v>PASSED</v>
      </c>
      <c r="S72" s="464"/>
      <c r="T72" s="34">
        <f t="shared" si="68"/>
        <v>5.3889848589054292</v>
      </c>
      <c r="U72" s="35" t="str">
        <f t="shared" si="69"/>
        <v>A</v>
      </c>
      <c r="V72" s="458" t="str">
        <f t="shared" si="70"/>
        <v>PASSED</v>
      </c>
      <c r="W72" s="458"/>
      <c r="X72" s="465" t="str">
        <f>IF(AND(L72="PASSED",R72="PASSED",V72="PASSED"),"PASSED",IF(L72="FAILED","FAILED","UNDETERMINED"))</f>
        <v>PASSED</v>
      </c>
      <c r="Y72" s="465"/>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56">
        <f>DataSheet!L136+D73</f>
        <v>9.3019999999999996</v>
      </c>
      <c r="I73" s="456"/>
      <c r="J73" s="456">
        <f>DataSheet!L136-D73</f>
        <v>8.6980000000000004</v>
      </c>
      <c r="K73" s="456"/>
      <c r="L73" s="448" t="str">
        <f t="shared" si="63"/>
        <v>PASSED</v>
      </c>
      <c r="M73" s="448"/>
      <c r="N73" s="39">
        <f>DataSheet!DD136+B73</f>
        <v>9.0115470053837932</v>
      </c>
      <c r="O73" s="40" t="str">
        <f t="shared" si="64"/>
        <v>A</v>
      </c>
      <c r="P73" s="39">
        <f t="shared" si="72"/>
        <v>9.3019999999999996</v>
      </c>
      <c r="Q73" s="40" t="str">
        <f t="shared" si="73"/>
        <v>A</v>
      </c>
      <c r="R73" s="459" t="str">
        <f t="shared" si="67"/>
        <v>PASSED</v>
      </c>
      <c r="S73" s="459"/>
      <c r="T73" s="39">
        <f t="shared" si="68"/>
        <v>8.9884529946162068</v>
      </c>
      <c r="U73" s="37" t="str">
        <f t="shared" si="69"/>
        <v>A</v>
      </c>
      <c r="V73" s="458" t="str">
        <f t="shared" si="70"/>
        <v>PASSED</v>
      </c>
      <c r="W73" s="458"/>
      <c r="X73" s="465" t="str">
        <f>IF(AND(L73="PASSED",R73="PASSED",V73="PASSED"),"PASSED",IF(L73="FAILED","FAILED","UNDETERMINED"))</f>
        <v>PASSED</v>
      </c>
      <c r="Y73" s="465"/>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56">
        <f>DataSheet!L137+D74</f>
        <v>9.3019999999999996</v>
      </c>
      <c r="I74" s="456"/>
      <c r="J74" s="456">
        <f>DataSheet!L137-D74</f>
        <v>8.6980000000000004</v>
      </c>
      <c r="K74" s="456"/>
      <c r="L74" s="448" t="str">
        <f t="shared" si="63"/>
        <v>PASSED</v>
      </c>
      <c r="M74" s="448"/>
      <c r="N74" s="39">
        <f>DataSheet!DD137+B74</f>
        <v>9.0124230967690568</v>
      </c>
      <c r="O74" s="40" t="str">
        <f t="shared" si="64"/>
        <v>A</v>
      </c>
      <c r="P74" s="39">
        <f t="shared" ref="P74" si="74">H74</f>
        <v>9.3019999999999996</v>
      </c>
      <c r="Q74" s="40" t="str">
        <f t="shared" ref="Q74" si="75">O74</f>
        <v>A</v>
      </c>
      <c r="R74" s="459" t="str">
        <f t="shared" si="67"/>
        <v>PASSED</v>
      </c>
      <c r="S74" s="459"/>
      <c r="T74" s="39">
        <f t="shared" si="68"/>
        <v>8.9875769032309432</v>
      </c>
      <c r="U74" s="37" t="str">
        <f t="shared" si="69"/>
        <v>A</v>
      </c>
      <c r="V74" s="458" t="str">
        <f t="shared" si="70"/>
        <v>PASSED</v>
      </c>
      <c r="W74" s="458"/>
      <c r="X74" s="465" t="str">
        <f>IF(AND(L74="PASSED",R74="PASSED",V74="PASSED"),"PASSED",IF(L74="FAILED","FAILED","UNDETERMINED"))</f>
        <v>PASSED</v>
      </c>
      <c r="Y74" s="465"/>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8:Y38"/>
    <mergeCell ref="X39:Y39"/>
    <mergeCell ref="X24:Y24"/>
    <mergeCell ref="X25:Y25"/>
    <mergeCell ref="X26:Y26"/>
    <mergeCell ref="X31:Y31"/>
    <mergeCell ref="X32:Y32"/>
    <mergeCell ref="X33:Y33"/>
    <mergeCell ref="X27:Y30"/>
    <mergeCell ref="X18:Y18"/>
    <mergeCell ref="X19:Y19"/>
    <mergeCell ref="X20:Y20"/>
    <mergeCell ref="X21:Y21"/>
    <mergeCell ref="X22:Y22"/>
    <mergeCell ref="X23:Y23"/>
    <mergeCell ref="X12:Y12"/>
    <mergeCell ref="X13:Y13"/>
    <mergeCell ref="X14:Y14"/>
    <mergeCell ref="X15:Y15"/>
    <mergeCell ref="X16:Y16"/>
    <mergeCell ref="X17:Y17"/>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V31:W31"/>
    <mergeCell ref="V32:W32"/>
    <mergeCell ref="V26:W26"/>
    <mergeCell ref="V48:W48"/>
    <mergeCell ref="V45:W45"/>
    <mergeCell ref="V46:W46"/>
    <mergeCell ref="V43:W43"/>
    <mergeCell ref="V44:W44"/>
    <mergeCell ref="V41:W41"/>
    <mergeCell ref="V42:W42"/>
    <mergeCell ref="V39:W39"/>
    <mergeCell ref="V40:W40"/>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R72:S72"/>
    <mergeCell ref="R73:S73"/>
    <mergeCell ref="N69:O70"/>
    <mergeCell ref="P69:Q70"/>
    <mergeCell ref="R69:S70"/>
    <mergeCell ref="R71:S71"/>
    <mergeCell ref="R65:S65"/>
    <mergeCell ref="R66:S66"/>
    <mergeCell ref="N62:O63"/>
    <mergeCell ref="P62:Q63"/>
    <mergeCell ref="R62:S63"/>
    <mergeCell ref="R64:S64"/>
    <mergeCell ref="R34:S34"/>
    <mergeCell ref="R31:S31"/>
    <mergeCell ref="R32:S32"/>
    <mergeCell ref="R26:S26"/>
    <mergeCell ref="N29:O30"/>
    <mergeCell ref="P29:Q30"/>
    <mergeCell ref="R29:S30"/>
    <mergeCell ref="R24:S24"/>
    <mergeCell ref="R25:S25"/>
    <mergeCell ref="R22:S22"/>
    <mergeCell ref="R23:S23"/>
    <mergeCell ref="R20:S20"/>
    <mergeCell ref="R21:S21"/>
    <mergeCell ref="R18:S18"/>
    <mergeCell ref="R19:S19"/>
    <mergeCell ref="R16:S16"/>
    <mergeCell ref="R17:S17"/>
    <mergeCell ref="R14:S14"/>
    <mergeCell ref="R15:S15"/>
    <mergeCell ref="R12:S12"/>
    <mergeCell ref="R13:S13"/>
    <mergeCell ref="R10:S10"/>
    <mergeCell ref="R11:S11"/>
    <mergeCell ref="N7:O9"/>
    <mergeCell ref="P7:Q9"/>
    <mergeCell ref="R7:S9"/>
    <mergeCell ref="B3:G4"/>
    <mergeCell ref="H3:M4"/>
    <mergeCell ref="N3:W4"/>
    <mergeCell ref="T7:U9"/>
    <mergeCell ref="V7:W9"/>
    <mergeCell ref="H73:I73"/>
    <mergeCell ref="J73:K73"/>
    <mergeCell ref="L73:M73"/>
    <mergeCell ref="H74:I74"/>
    <mergeCell ref="J74:K74"/>
    <mergeCell ref="L74:M74"/>
    <mergeCell ref="H71:I71"/>
    <mergeCell ref="J71:K71"/>
    <mergeCell ref="L71:M71"/>
    <mergeCell ref="H72:I72"/>
    <mergeCell ref="J72:K72"/>
    <mergeCell ref="L72:M72"/>
    <mergeCell ref="H66:I66"/>
    <mergeCell ref="J66:K66"/>
    <mergeCell ref="L66:M66"/>
    <mergeCell ref="D69:E70"/>
    <mergeCell ref="H69:I70"/>
    <mergeCell ref="J69:K70"/>
    <mergeCell ref="L69:M70"/>
    <mergeCell ref="B67:W68"/>
    <mergeCell ref="F69:G70"/>
    <mergeCell ref="H64:I64"/>
    <mergeCell ref="J64:K64"/>
    <mergeCell ref="L64:M64"/>
    <mergeCell ref="H65:I65"/>
    <mergeCell ref="J65:K65"/>
    <mergeCell ref="L65:M65"/>
    <mergeCell ref="H59:I59"/>
    <mergeCell ref="J59:K59"/>
    <mergeCell ref="L59:M59"/>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55:I55"/>
    <mergeCell ref="J55:K55"/>
    <mergeCell ref="L55:M55"/>
    <mergeCell ref="H56:I56"/>
    <mergeCell ref="J56:K56"/>
    <mergeCell ref="L56:M56"/>
    <mergeCell ref="H53:I53"/>
    <mergeCell ref="J53:K53"/>
    <mergeCell ref="L53:M53"/>
    <mergeCell ref="H54:I54"/>
    <mergeCell ref="J54:K54"/>
    <mergeCell ref="L54:M54"/>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44:I44"/>
    <mergeCell ref="J44:K44"/>
    <mergeCell ref="L44:M44"/>
    <mergeCell ref="H45:I45"/>
    <mergeCell ref="J45:K45"/>
    <mergeCell ref="L45:M45"/>
    <mergeCell ref="H42:I42"/>
    <mergeCell ref="J42:K42"/>
    <mergeCell ref="L42:M42"/>
    <mergeCell ref="H43:I43"/>
    <mergeCell ref="J43:K43"/>
    <mergeCell ref="L43:M43"/>
    <mergeCell ref="H40:I40"/>
    <mergeCell ref="J40:K40"/>
    <mergeCell ref="L40:M40"/>
    <mergeCell ref="H41:I41"/>
    <mergeCell ref="J41:K41"/>
    <mergeCell ref="L41:M41"/>
    <mergeCell ref="H38:I38"/>
    <mergeCell ref="J38:K38"/>
    <mergeCell ref="L38:M38"/>
    <mergeCell ref="H39:I39"/>
    <mergeCell ref="J39:K39"/>
    <mergeCell ref="L39:M39"/>
    <mergeCell ref="H36:I36"/>
    <mergeCell ref="J36:K36"/>
    <mergeCell ref="L36:M36"/>
    <mergeCell ref="H37:I37"/>
    <mergeCell ref="J37:K37"/>
    <mergeCell ref="L37:M37"/>
    <mergeCell ref="H34:I34"/>
    <mergeCell ref="J34:K34"/>
    <mergeCell ref="L34:M34"/>
    <mergeCell ref="H35:I35"/>
    <mergeCell ref="J35:K35"/>
    <mergeCell ref="L35:M35"/>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L25:M25"/>
    <mergeCell ref="L26:M26"/>
    <mergeCell ref="L23:M23"/>
    <mergeCell ref="L24:M24"/>
    <mergeCell ref="L21:M21"/>
    <mergeCell ref="L22:M22"/>
    <mergeCell ref="L19:M19"/>
    <mergeCell ref="L20:M20"/>
    <mergeCell ref="L17:M17"/>
    <mergeCell ref="L18:M18"/>
    <mergeCell ref="L15:M15"/>
    <mergeCell ref="L16:M16"/>
    <mergeCell ref="L13:M13"/>
    <mergeCell ref="L14:M14"/>
    <mergeCell ref="L11:M11"/>
    <mergeCell ref="L12:M12"/>
    <mergeCell ref="D7:E9"/>
    <mergeCell ref="H7:I9"/>
    <mergeCell ref="J7:K9"/>
    <mergeCell ref="L7:M9"/>
    <mergeCell ref="L10:M10"/>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2025-09-04T05:31:58Z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