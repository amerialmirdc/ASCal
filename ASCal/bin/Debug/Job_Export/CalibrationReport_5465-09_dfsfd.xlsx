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dbneri\AppData\Local\Temp\"/>
    </mc:Choice>
  </mc:AlternateContent>
  <bookViews>
    <workbookView xWindow="-105" yWindow="-105" windowWidth="30930" windowHeight="16770" tabRatio="681" activeTab="1"/>
  </bookViews>
  <sheets>
    <sheet name="Cal Certificate" sheetId="5" r:id="rId1"/>
    <sheet name="DataSheet" sheetId="6" r:id="rId2"/>
    <sheet name="PASSFAIL" sheetId="7" state="hidden" r:id="rId3"/>
    <sheet name="Specification" sheetId="10" r:id="rId4"/>
  </sheets>
  <definedNames>
    <definedName name="DRY" localSheetId="0">#REF!</definedName>
    <definedName name="DRY">#REF!</definedName>
    <definedName name="dryx">#REF!</definedName>
    <definedName name="_xlnm.Print_Area" localSheetId="0">'Cal Certificate'!$B$1:$AA$223</definedName>
    <definedName name="_xlnm.Print_Area" localSheetId="1">DataSheet!$B$2:$AZ$147</definedName>
    <definedName name="_xlnm.Print_Titles" localSheetId="0">'Cal Certificate'!$1:$8</definedName>
    <definedName name="_xlnm.Print_Titles" localSheetId="1">DataSheet!$2:$7</definedName>
    <definedName name="WET" localSheetId="0">#REF!</definedName>
    <definedName name="WET" localSheetId="1">#REF!</definedName>
    <definedName name="WET">#REF!</definedName>
  </definedNames>
  <calcPr calcId="162913"/>
  <fileRecoveryPr autoRecover="0"/>
</workbook>
</file>

<file path=xl/calcChain.xml><?xml version="1.0" encoding="utf-8"?>
<calcChain xmlns="http://schemas.openxmlformats.org/spreadsheetml/2006/main">
  <c r="AM126" i="6" l="1"/>
  <c r="AM127" i="6"/>
  <c r="AM128" i="6"/>
  <c r="AM129" i="6"/>
  <c r="AM130" i="6"/>
  <c r="AM131" i="6"/>
  <c r="AM132" i="6"/>
  <c r="AM133" i="6"/>
  <c r="AM134" i="6"/>
  <c r="AM135" i="6"/>
  <c r="AM136" i="6"/>
  <c r="AM137" i="6"/>
  <c r="AM113" i="6"/>
  <c r="AM114" i="6"/>
  <c r="AM115" i="6"/>
  <c r="AM116" i="6"/>
  <c r="AM117" i="6"/>
  <c r="AM118" i="6"/>
  <c r="AM119" i="6"/>
  <c r="AM120" i="6"/>
  <c r="AM121" i="6"/>
  <c r="AM76" i="6" l="1"/>
  <c r="AM60" i="6"/>
  <c r="BB60" i="6" s="1"/>
  <c r="BL60" i="6" s="1"/>
  <c r="BG60" i="6" l="1"/>
  <c r="CQ55" i="6"/>
  <c r="CT55" i="6" s="1"/>
  <c r="CN55" i="6"/>
  <c r="CM55" i="6"/>
  <c r="CH55" i="6"/>
  <c r="CG55" i="6"/>
  <c r="CB55" i="6"/>
  <c r="BZ55" i="6"/>
  <c r="CV55" i="6" l="1"/>
  <c r="CW55" i="6" s="1"/>
  <c r="CX55" i="6" s="1"/>
  <c r="CY55" i="6" s="1"/>
  <c r="C24" i="5"/>
  <c r="V7" i="5" l="1"/>
  <c r="S54" i="5"/>
  <c r="L117" i="6"/>
  <c r="L133" i="6"/>
  <c r="L132" i="6"/>
  <c r="C213" i="5" l="1"/>
  <c r="E181" i="5"/>
  <c r="E179" i="5"/>
  <c r="E177" i="5"/>
  <c r="E175" i="5"/>
  <c r="E152" i="5" l="1"/>
  <c r="E150" i="5"/>
  <c r="E149" i="5"/>
  <c r="E148" i="5"/>
  <c r="E140" i="5" l="1"/>
  <c r="E84" i="5"/>
  <c r="I182" i="5" l="1"/>
  <c r="I181" i="5"/>
  <c r="L131" i="6"/>
  <c r="I180" i="5" s="1"/>
  <c r="L130" i="6"/>
  <c r="I179" i="5" s="1"/>
  <c r="L129" i="6"/>
  <c r="I178" i="5" s="1"/>
  <c r="L128" i="6"/>
  <c r="I177" i="5" s="1"/>
  <c r="L127" i="6"/>
  <c r="I176" i="5" s="1"/>
  <c r="L126" i="6"/>
  <c r="I175" i="5" s="1"/>
  <c r="I152" i="5"/>
  <c r="L116" i="6"/>
  <c r="I151" i="5" s="1"/>
  <c r="L115" i="6"/>
  <c r="I150" i="5" s="1"/>
  <c r="L113" i="6"/>
  <c r="I148" i="5" s="1"/>
  <c r="L114" i="6"/>
  <c r="I149" i="5" s="1"/>
  <c r="CZ129" i="6"/>
  <c r="DC129" i="6" s="1"/>
  <c r="DE129" i="6" s="1"/>
  <c r="CS129" i="6"/>
  <c r="CR129" i="6"/>
  <c r="CQ129" i="6"/>
  <c r="CM129" i="6"/>
  <c r="CN129" i="6" s="1"/>
  <c r="CL129" i="6"/>
  <c r="CG129" i="6"/>
  <c r="CH129" i="6" s="1"/>
  <c r="CB129" i="6"/>
  <c r="BZ129" i="6"/>
  <c r="CF129" i="6" s="1"/>
  <c r="CZ128" i="6"/>
  <c r="DC128" i="6" s="1"/>
  <c r="DE128" i="6" s="1"/>
  <c r="CS128" i="6"/>
  <c r="CR128" i="6"/>
  <c r="CQ128" i="6"/>
  <c r="CM128" i="6"/>
  <c r="CN128" i="6" s="1"/>
  <c r="CL128" i="6"/>
  <c r="CG128" i="6"/>
  <c r="CH128" i="6" s="1"/>
  <c r="CB128" i="6"/>
  <c r="BZ128" i="6"/>
  <c r="CF128" i="6" s="1"/>
  <c r="CZ127" i="6"/>
  <c r="DC127" i="6" s="1"/>
  <c r="DE127" i="6" s="1"/>
  <c r="CS127" i="6"/>
  <c r="CR127" i="6"/>
  <c r="CQ127" i="6"/>
  <c r="CM127" i="6"/>
  <c r="CN127" i="6" s="1"/>
  <c r="CL127" i="6"/>
  <c r="CG127" i="6"/>
  <c r="CH127" i="6" s="1"/>
  <c r="CB127" i="6"/>
  <c r="BZ127" i="6"/>
  <c r="CF127" i="6" s="1"/>
  <c r="CZ126" i="6"/>
  <c r="DC126" i="6" s="1"/>
  <c r="DE126" i="6" s="1"/>
  <c r="CS126" i="6"/>
  <c r="CR126" i="6"/>
  <c r="CQ126" i="6"/>
  <c r="CT126" i="6" s="1"/>
  <c r="CM126" i="6"/>
  <c r="CN126" i="6" s="1"/>
  <c r="CL126" i="6"/>
  <c r="CG126" i="6"/>
  <c r="CH126" i="6" s="1"/>
  <c r="CB126" i="6"/>
  <c r="BZ126" i="6"/>
  <c r="CF126" i="6" s="1"/>
  <c r="CZ133" i="6"/>
  <c r="DC133" i="6" s="1"/>
  <c r="DE133" i="6" s="1"/>
  <c r="CS133" i="6"/>
  <c r="CR133" i="6"/>
  <c r="CQ133" i="6"/>
  <c r="CM133" i="6"/>
  <c r="CN133" i="6" s="1"/>
  <c r="CL133" i="6"/>
  <c r="CG133" i="6"/>
  <c r="CH133" i="6" s="1"/>
  <c r="CB133" i="6"/>
  <c r="BZ133" i="6"/>
  <c r="CF133" i="6" s="1"/>
  <c r="CZ132" i="6"/>
  <c r="DC132" i="6" s="1"/>
  <c r="DE132" i="6" s="1"/>
  <c r="CS132" i="6"/>
  <c r="CR132" i="6"/>
  <c r="CQ132" i="6"/>
  <c r="CT132" i="6" s="1"/>
  <c r="CM132" i="6"/>
  <c r="CN132" i="6" s="1"/>
  <c r="CL132" i="6"/>
  <c r="CG132" i="6"/>
  <c r="CH132" i="6" s="1"/>
  <c r="CB132" i="6"/>
  <c r="BZ132" i="6"/>
  <c r="CF132" i="6" s="1"/>
  <c r="CZ131" i="6"/>
  <c r="DC131" i="6" s="1"/>
  <c r="DE131" i="6" s="1"/>
  <c r="CS131" i="6"/>
  <c r="CR131" i="6"/>
  <c r="CQ131" i="6"/>
  <c r="CM131" i="6"/>
  <c r="CN131" i="6" s="1"/>
  <c r="CL131" i="6"/>
  <c r="CG131" i="6"/>
  <c r="CH131" i="6" s="1"/>
  <c r="CB131" i="6"/>
  <c r="BZ131" i="6"/>
  <c r="CF131" i="6" s="1"/>
  <c r="CZ130" i="6"/>
  <c r="DC130" i="6" s="1"/>
  <c r="DE130" i="6" s="1"/>
  <c r="CS130" i="6"/>
  <c r="CR130" i="6"/>
  <c r="CQ130" i="6"/>
  <c r="CM130" i="6"/>
  <c r="CN130" i="6" s="1"/>
  <c r="CL130" i="6"/>
  <c r="CG130" i="6"/>
  <c r="CH130" i="6" s="1"/>
  <c r="CB130" i="6"/>
  <c r="BZ130" i="6"/>
  <c r="CF130" i="6" s="1"/>
  <c r="CZ114" i="6"/>
  <c r="DC114" i="6" s="1"/>
  <c r="DE114" i="6" s="1"/>
  <c r="CS114" i="6"/>
  <c r="CR114" i="6"/>
  <c r="CQ114" i="6"/>
  <c r="CM114" i="6"/>
  <c r="CN114" i="6" s="1"/>
  <c r="CL114" i="6"/>
  <c r="CG114" i="6"/>
  <c r="CH114" i="6" s="1"/>
  <c r="CB114" i="6"/>
  <c r="BZ114" i="6"/>
  <c r="CF114" i="6" s="1"/>
  <c r="CZ113" i="6"/>
  <c r="DC113" i="6" s="1"/>
  <c r="DE113" i="6" s="1"/>
  <c r="CS113" i="6"/>
  <c r="CR113" i="6"/>
  <c r="CQ113" i="6"/>
  <c r="CM113" i="6"/>
  <c r="CN113" i="6" s="1"/>
  <c r="CL113" i="6"/>
  <c r="CG113" i="6"/>
  <c r="CH113" i="6" s="1"/>
  <c r="CB113" i="6"/>
  <c r="BZ113" i="6"/>
  <c r="CF113" i="6" s="1"/>
  <c r="CZ117" i="6"/>
  <c r="DC117" i="6" s="1"/>
  <c r="DE117" i="6" s="1"/>
  <c r="CS117" i="6"/>
  <c r="CR117" i="6"/>
  <c r="CQ117" i="6"/>
  <c r="CM117" i="6"/>
  <c r="CN117" i="6" s="1"/>
  <c r="CL117" i="6"/>
  <c r="CG117" i="6"/>
  <c r="CH117" i="6" s="1"/>
  <c r="CB117" i="6"/>
  <c r="BZ117" i="6"/>
  <c r="CF117" i="6" s="1"/>
  <c r="CZ116" i="6"/>
  <c r="DC116" i="6" s="1"/>
  <c r="DE116" i="6" s="1"/>
  <c r="CS116" i="6"/>
  <c r="CR116" i="6"/>
  <c r="CQ116" i="6"/>
  <c r="CM116" i="6"/>
  <c r="CN116" i="6" s="1"/>
  <c r="CL116" i="6"/>
  <c r="CG116" i="6"/>
  <c r="CH116" i="6" s="1"/>
  <c r="CB116" i="6"/>
  <c r="BZ116" i="6"/>
  <c r="CF116" i="6" s="1"/>
  <c r="CZ115" i="6"/>
  <c r="DC115" i="6" s="1"/>
  <c r="DE115" i="6" s="1"/>
  <c r="CS115" i="6"/>
  <c r="CR115" i="6"/>
  <c r="CQ115" i="6"/>
  <c r="CM115" i="6"/>
  <c r="CN115" i="6" s="1"/>
  <c r="CL115" i="6"/>
  <c r="CG115" i="6"/>
  <c r="CH115" i="6" s="1"/>
  <c r="CB115" i="6"/>
  <c r="BZ115" i="6"/>
  <c r="CF115" i="6" s="1"/>
  <c r="L108" i="6"/>
  <c r="L97" i="6"/>
  <c r="I143" i="5" s="1"/>
  <c r="L96" i="6"/>
  <c r="I142" i="5" s="1"/>
  <c r="L95" i="6"/>
  <c r="I141" i="5" s="1"/>
  <c r="L94" i="6"/>
  <c r="I140" i="5" s="1"/>
  <c r="CZ97" i="6"/>
  <c r="DC97" i="6" s="1"/>
  <c r="DE97" i="6" s="1"/>
  <c r="CS97" i="6"/>
  <c r="CR97" i="6"/>
  <c r="CQ97" i="6"/>
  <c r="CM97" i="6"/>
  <c r="CN97" i="6" s="1"/>
  <c r="CL97" i="6"/>
  <c r="CG97" i="6"/>
  <c r="CH97" i="6" s="1"/>
  <c r="CB97" i="6"/>
  <c r="BZ97" i="6"/>
  <c r="CF97" i="6" s="1"/>
  <c r="AM97" i="6"/>
  <c r="CZ96" i="6"/>
  <c r="DC96" i="6" s="1"/>
  <c r="DE96" i="6" s="1"/>
  <c r="CS96" i="6"/>
  <c r="CR96" i="6"/>
  <c r="CQ96" i="6"/>
  <c r="CT96" i="6" s="1"/>
  <c r="CM96" i="6"/>
  <c r="CN96" i="6" s="1"/>
  <c r="CL96" i="6"/>
  <c r="CG96" i="6"/>
  <c r="CH96" i="6" s="1"/>
  <c r="CB96" i="6"/>
  <c r="BZ96" i="6"/>
  <c r="CF96" i="6" s="1"/>
  <c r="AM96" i="6"/>
  <c r="CZ95" i="6"/>
  <c r="DC95" i="6" s="1"/>
  <c r="DE95" i="6" s="1"/>
  <c r="CS95" i="6"/>
  <c r="CR95" i="6"/>
  <c r="CQ95" i="6"/>
  <c r="CM95" i="6"/>
  <c r="CN95" i="6" s="1"/>
  <c r="CL95" i="6"/>
  <c r="CG95" i="6"/>
  <c r="CH95" i="6" s="1"/>
  <c r="CB95" i="6"/>
  <c r="BZ95" i="6"/>
  <c r="CF95" i="6" s="1"/>
  <c r="AM95" i="6"/>
  <c r="CZ94" i="6"/>
  <c r="DC94" i="6" s="1"/>
  <c r="DE94" i="6" s="1"/>
  <c r="CS94" i="6"/>
  <c r="CR94" i="6"/>
  <c r="CQ94" i="6"/>
  <c r="CM94" i="6"/>
  <c r="CN94" i="6" s="1"/>
  <c r="CL94" i="6"/>
  <c r="CG94" i="6"/>
  <c r="CH94" i="6" s="1"/>
  <c r="CB94" i="6"/>
  <c r="BZ94" i="6"/>
  <c r="CF94" i="6" s="1"/>
  <c r="AM94" i="6"/>
  <c r="L71" i="6"/>
  <c r="I86" i="5" s="1"/>
  <c r="L70" i="6"/>
  <c r="I85" i="5" s="1"/>
  <c r="L69" i="6"/>
  <c r="I84" i="5" s="1"/>
  <c r="CZ71" i="6"/>
  <c r="DC71" i="6" s="1"/>
  <c r="DE71" i="6" s="1"/>
  <c r="CS71" i="6"/>
  <c r="CR71" i="6"/>
  <c r="CQ71" i="6"/>
  <c r="CM71" i="6"/>
  <c r="CN71" i="6" s="1"/>
  <c r="CL71" i="6"/>
  <c r="CG71" i="6"/>
  <c r="CH71" i="6" s="1"/>
  <c r="CB71" i="6"/>
  <c r="BZ71" i="6"/>
  <c r="CF71" i="6" s="1"/>
  <c r="AM71" i="6"/>
  <c r="BB71" i="6" s="1"/>
  <c r="CZ70" i="6"/>
  <c r="DC70" i="6" s="1"/>
  <c r="DE70" i="6" s="1"/>
  <c r="CS70" i="6"/>
  <c r="CR70" i="6"/>
  <c r="CQ70" i="6"/>
  <c r="CM70" i="6"/>
  <c r="CN70" i="6" s="1"/>
  <c r="CL70" i="6"/>
  <c r="CG70" i="6"/>
  <c r="CH70" i="6" s="1"/>
  <c r="CB70" i="6"/>
  <c r="BZ70" i="6"/>
  <c r="CF70" i="6" s="1"/>
  <c r="AM70" i="6"/>
  <c r="BB70" i="6" s="1"/>
  <c r="CZ69" i="6"/>
  <c r="DC69" i="6" s="1"/>
  <c r="DE69" i="6" s="1"/>
  <c r="CS69" i="6"/>
  <c r="CR69" i="6"/>
  <c r="CQ69" i="6"/>
  <c r="CM69" i="6"/>
  <c r="CN69" i="6" s="1"/>
  <c r="CL69" i="6"/>
  <c r="CG69" i="6"/>
  <c r="CH69" i="6" s="1"/>
  <c r="CB69" i="6"/>
  <c r="BZ69" i="6"/>
  <c r="CF69" i="6" s="1"/>
  <c r="AM69" i="6"/>
  <c r="BB69" i="6" s="1"/>
  <c r="BL70" i="6" l="1"/>
  <c r="BG70" i="6"/>
  <c r="BL69" i="6"/>
  <c r="BG69" i="6"/>
  <c r="BL71" i="6"/>
  <c r="BG71" i="6"/>
  <c r="CT94" i="6"/>
  <c r="CV94" i="6" s="1"/>
  <c r="CW94" i="6" s="1"/>
  <c r="CX94" i="6" s="1"/>
  <c r="CY94" i="6" s="1"/>
  <c r="CT131" i="6"/>
  <c r="CV131" i="6" s="1"/>
  <c r="CW131" i="6" s="1"/>
  <c r="CX131" i="6" s="1"/>
  <c r="CY131" i="6" s="1"/>
  <c r="CT129" i="6"/>
  <c r="CV129" i="6" s="1"/>
  <c r="CW129" i="6" s="1"/>
  <c r="CX129" i="6" s="1"/>
  <c r="CY129" i="6" s="1"/>
  <c r="BB117" i="6"/>
  <c r="BG117" i="6" s="1"/>
  <c r="M152" i="5"/>
  <c r="BB97" i="6"/>
  <c r="BL97" i="6" s="1"/>
  <c r="M143" i="5"/>
  <c r="M85" i="5"/>
  <c r="M151" i="5"/>
  <c r="BB116" i="6"/>
  <c r="BL116" i="6" s="1"/>
  <c r="BB113" i="6"/>
  <c r="BL113" i="6" s="1"/>
  <c r="M148" i="5"/>
  <c r="BB127" i="6"/>
  <c r="BL127" i="6" s="1"/>
  <c r="M176" i="5"/>
  <c r="BB129" i="6"/>
  <c r="BL129" i="6" s="1"/>
  <c r="M178" i="5"/>
  <c r="M84" i="5"/>
  <c r="M86" i="5"/>
  <c r="BB130" i="6"/>
  <c r="BL130" i="6" s="1"/>
  <c r="M179" i="5"/>
  <c r="BB133" i="6"/>
  <c r="BL133" i="6" s="1"/>
  <c r="M182" i="5"/>
  <c r="CV96" i="6"/>
  <c r="CW96" i="6" s="1"/>
  <c r="CX96" i="6" s="1"/>
  <c r="CY96" i="6" s="1"/>
  <c r="AR114" i="6"/>
  <c r="Q149" i="5" s="1"/>
  <c r="M149" i="5"/>
  <c r="BB132" i="6"/>
  <c r="BL132" i="6" s="1"/>
  <c r="M181" i="5"/>
  <c r="BB95" i="6"/>
  <c r="BG95" i="6" s="1"/>
  <c r="M141" i="5"/>
  <c r="BB115" i="6"/>
  <c r="BL115" i="6" s="1"/>
  <c r="M150" i="5"/>
  <c r="BB94" i="6"/>
  <c r="BL94" i="6" s="1"/>
  <c r="M140" i="5"/>
  <c r="BB96" i="6"/>
  <c r="BL96" i="6" s="1"/>
  <c r="M142" i="5"/>
  <c r="BB131" i="6"/>
  <c r="BL131" i="6" s="1"/>
  <c r="M180" i="5"/>
  <c r="BB126" i="6"/>
  <c r="BG126" i="6" s="1"/>
  <c r="M175" i="5"/>
  <c r="BB128" i="6"/>
  <c r="BG128" i="6" s="1"/>
  <c r="M177" i="5"/>
  <c r="CV132" i="6"/>
  <c r="CW132" i="6" s="1"/>
  <c r="CX132" i="6" s="1"/>
  <c r="CY132" i="6" s="1"/>
  <c r="CV126" i="6"/>
  <c r="CW126" i="6" s="1"/>
  <c r="CX126" i="6" s="1"/>
  <c r="CY126" i="6" s="1"/>
  <c r="BB114" i="6"/>
  <c r="BG114" i="6" s="1"/>
  <c r="CT117" i="6"/>
  <c r="CV117" i="6" s="1"/>
  <c r="CW117" i="6" s="1"/>
  <c r="CX117" i="6" s="1"/>
  <c r="CY117" i="6" s="1"/>
  <c r="DD117" i="6" s="1"/>
  <c r="AR113" i="6"/>
  <c r="Q148" i="5" s="1"/>
  <c r="CT113" i="6"/>
  <c r="CV113" i="6" s="1"/>
  <c r="CW113" i="6" s="1"/>
  <c r="CX113" i="6" s="1"/>
  <c r="CY113" i="6" s="1"/>
  <c r="DD113" i="6" s="1"/>
  <c r="U148" i="5" s="1"/>
  <c r="CT69" i="6"/>
  <c r="CV69" i="6" s="1"/>
  <c r="CW69" i="6" s="1"/>
  <c r="CX69" i="6" s="1"/>
  <c r="CY69" i="6" s="1"/>
  <c r="CT127" i="6"/>
  <c r="CV127" i="6" s="1"/>
  <c r="CW127" i="6" s="1"/>
  <c r="CX127" i="6" s="1"/>
  <c r="CY127" i="6" s="1"/>
  <c r="CT114" i="6"/>
  <c r="CV114" i="6" s="1"/>
  <c r="CW114" i="6" s="1"/>
  <c r="CX114" i="6" s="1"/>
  <c r="CY114" i="6" s="1"/>
  <c r="DD114" i="6" s="1"/>
  <c r="CT70" i="6"/>
  <c r="CV70" i="6" s="1"/>
  <c r="CW70" i="6" s="1"/>
  <c r="CX70" i="6" s="1"/>
  <c r="CY70" i="6" s="1"/>
  <c r="CT95" i="6"/>
  <c r="CV95" i="6" s="1"/>
  <c r="CW95" i="6" s="1"/>
  <c r="CX95" i="6" s="1"/>
  <c r="CY95" i="6" s="1"/>
  <c r="AR132" i="6"/>
  <c r="Q181" i="5" s="1"/>
  <c r="CT97" i="6"/>
  <c r="CV97" i="6" s="1"/>
  <c r="CW97" i="6" s="1"/>
  <c r="CX97" i="6" s="1"/>
  <c r="CY97" i="6" s="1"/>
  <c r="CT115" i="6"/>
  <c r="CV115" i="6" s="1"/>
  <c r="CW115" i="6" s="1"/>
  <c r="CX115" i="6" s="1"/>
  <c r="CY115" i="6" s="1"/>
  <c r="DD115" i="6" s="1"/>
  <c r="AR128" i="6"/>
  <c r="Q177" i="5" s="1"/>
  <c r="CT128" i="6"/>
  <c r="CV128" i="6" s="1"/>
  <c r="CW128" i="6" s="1"/>
  <c r="CX128" i="6" s="1"/>
  <c r="CY128" i="6" s="1"/>
  <c r="CT133" i="6"/>
  <c r="CV133" i="6" s="1"/>
  <c r="CW133" i="6" s="1"/>
  <c r="CX133" i="6" s="1"/>
  <c r="CY133" i="6" s="1"/>
  <c r="AR126" i="6"/>
  <c r="Q175" i="5" s="1"/>
  <c r="CT71" i="6"/>
  <c r="CV71" i="6" s="1"/>
  <c r="CW71" i="6" s="1"/>
  <c r="CX71" i="6" s="1"/>
  <c r="CY71" i="6" s="1"/>
  <c r="CT116" i="6"/>
  <c r="CV116" i="6" s="1"/>
  <c r="CW116" i="6" s="1"/>
  <c r="CX116" i="6" s="1"/>
  <c r="CY116" i="6" s="1"/>
  <c r="DD116" i="6" s="1"/>
  <c r="U151" i="5" s="1"/>
  <c r="AR117" i="6"/>
  <c r="Q152" i="5" s="1"/>
  <c r="CT130" i="6"/>
  <c r="CV130" i="6" s="1"/>
  <c r="CW130" i="6" s="1"/>
  <c r="CX130" i="6" s="1"/>
  <c r="CY130" i="6" s="1"/>
  <c r="AR70" i="6"/>
  <c r="Q85" i="5" s="1"/>
  <c r="AR127" i="6"/>
  <c r="Q176" i="5" s="1"/>
  <c r="AR129" i="6"/>
  <c r="Q178" i="5" s="1"/>
  <c r="AR131" i="6"/>
  <c r="Q180" i="5" s="1"/>
  <c r="AR130" i="6"/>
  <c r="Q179" i="5" s="1"/>
  <c r="AR133" i="6"/>
  <c r="Q182" i="5" s="1"/>
  <c r="AR116" i="6"/>
  <c r="Q151" i="5" s="1"/>
  <c r="AR115" i="6"/>
  <c r="Q150" i="5" s="1"/>
  <c r="AR94" i="6"/>
  <c r="Q140" i="5" s="1"/>
  <c r="AR96" i="6"/>
  <c r="Q142" i="5" s="1"/>
  <c r="AR95" i="6"/>
  <c r="Q141" i="5" s="1"/>
  <c r="AR97" i="6"/>
  <c r="Q143" i="5" s="1"/>
  <c r="AR69" i="6"/>
  <c r="Q84" i="5" s="1"/>
  <c r="AR71" i="6"/>
  <c r="Q86" i="5" s="1"/>
  <c r="E155" i="5"/>
  <c r="E122" i="5"/>
  <c r="E96" i="5"/>
  <c r="L107" i="6"/>
  <c r="I96" i="5" s="1"/>
  <c r="CZ107" i="6"/>
  <c r="DC107" i="6" s="1"/>
  <c r="DE107" i="6" s="1"/>
  <c r="CS107" i="6"/>
  <c r="CR107" i="6"/>
  <c r="CQ107" i="6"/>
  <c r="CM107" i="6"/>
  <c r="CN107" i="6" s="1"/>
  <c r="CL107" i="6"/>
  <c r="CG107" i="6"/>
  <c r="CH107" i="6" s="1"/>
  <c r="CB107" i="6"/>
  <c r="BZ107" i="6"/>
  <c r="CF107" i="6" s="1"/>
  <c r="AM107" i="6"/>
  <c r="M96" i="5" s="1"/>
  <c r="L137" i="6"/>
  <c r="L136" i="6"/>
  <c r="L135" i="6"/>
  <c r="L134" i="6"/>
  <c r="L121" i="6"/>
  <c r="L120" i="6"/>
  <c r="I155" i="5" s="1"/>
  <c r="CZ120" i="6"/>
  <c r="DC120" i="6" s="1"/>
  <c r="DE120" i="6" s="1"/>
  <c r="CS120" i="6"/>
  <c r="CR120" i="6"/>
  <c r="CQ120" i="6"/>
  <c r="CM120" i="6"/>
  <c r="CN120" i="6" s="1"/>
  <c r="CL120" i="6"/>
  <c r="CG120" i="6"/>
  <c r="CH120" i="6" s="1"/>
  <c r="CB120" i="6"/>
  <c r="BZ120" i="6"/>
  <c r="CF120" i="6" s="1"/>
  <c r="L119" i="6"/>
  <c r="L118" i="6"/>
  <c r="L106" i="6"/>
  <c r="L105" i="6"/>
  <c r="L104" i="6"/>
  <c r="L103" i="6"/>
  <c r="L89" i="6"/>
  <c r="L88" i="6"/>
  <c r="L87" i="6"/>
  <c r="L86" i="6"/>
  <c r="L85" i="6"/>
  <c r="L84" i="6"/>
  <c r="L83" i="6"/>
  <c r="L82" i="6"/>
  <c r="L81" i="6"/>
  <c r="L80" i="6"/>
  <c r="L79" i="6"/>
  <c r="I125" i="5" s="1"/>
  <c r="L78" i="6"/>
  <c r="I124" i="5" s="1"/>
  <c r="L77" i="6"/>
  <c r="I123" i="5" s="1"/>
  <c r="L76" i="6"/>
  <c r="I122" i="5" s="1"/>
  <c r="CZ79" i="6"/>
  <c r="DC79" i="6" s="1"/>
  <c r="DE79" i="6" s="1"/>
  <c r="CS79" i="6"/>
  <c r="CR79" i="6"/>
  <c r="CQ79" i="6"/>
  <c r="CM79" i="6"/>
  <c r="CN79" i="6" s="1"/>
  <c r="CL79" i="6"/>
  <c r="CG79" i="6"/>
  <c r="CH79" i="6" s="1"/>
  <c r="CB79" i="6"/>
  <c r="BZ79" i="6"/>
  <c r="CF79" i="6" s="1"/>
  <c r="AM79" i="6"/>
  <c r="CZ78" i="6"/>
  <c r="DC78" i="6" s="1"/>
  <c r="DE78" i="6" s="1"/>
  <c r="CS78" i="6"/>
  <c r="CR78" i="6"/>
  <c r="CQ78" i="6"/>
  <c r="CM78" i="6"/>
  <c r="CN78" i="6" s="1"/>
  <c r="CL78" i="6"/>
  <c r="CG78" i="6"/>
  <c r="CH78" i="6" s="1"/>
  <c r="CB78" i="6"/>
  <c r="BZ78" i="6"/>
  <c r="CF78" i="6" s="1"/>
  <c r="AM78" i="6"/>
  <c r="CZ77" i="6"/>
  <c r="DC77" i="6" s="1"/>
  <c r="DE77" i="6" s="1"/>
  <c r="CS77" i="6"/>
  <c r="CR77" i="6"/>
  <c r="CQ77" i="6"/>
  <c r="CM77" i="6"/>
  <c r="CN77" i="6" s="1"/>
  <c r="CL77" i="6"/>
  <c r="CG77" i="6"/>
  <c r="CH77" i="6" s="1"/>
  <c r="CB77" i="6"/>
  <c r="BZ77" i="6"/>
  <c r="CF77" i="6" s="1"/>
  <c r="AM77" i="6"/>
  <c r="M123" i="5" s="1"/>
  <c r="CZ76" i="6"/>
  <c r="DC76" i="6" s="1"/>
  <c r="DE76" i="6" s="1"/>
  <c r="CS76" i="6"/>
  <c r="CR76" i="6"/>
  <c r="CQ76" i="6"/>
  <c r="CM76" i="6"/>
  <c r="CN76" i="6" s="1"/>
  <c r="CL76" i="6"/>
  <c r="CG76" i="6"/>
  <c r="CH76" i="6" s="1"/>
  <c r="CB76" i="6"/>
  <c r="BZ76" i="6"/>
  <c r="CF76" i="6" s="1"/>
  <c r="L65" i="6"/>
  <c r="L63" i="6"/>
  <c r="L62" i="6"/>
  <c r="L64" i="6"/>
  <c r="L61" i="6"/>
  <c r="L60" i="6"/>
  <c r="L59" i="6"/>
  <c r="L58" i="6"/>
  <c r="L57" i="6"/>
  <c r="L56" i="6"/>
  <c r="BG96" i="6" l="1"/>
  <c r="BQ96" i="6" s="1"/>
  <c r="BG129" i="6"/>
  <c r="BQ129" i="6" s="1"/>
  <c r="BG94" i="6"/>
  <c r="BQ94" i="6" s="1"/>
  <c r="BL128" i="6"/>
  <c r="BQ128" i="6" s="1"/>
  <c r="BL114" i="6"/>
  <c r="BQ114" i="6" s="1"/>
  <c r="BG132" i="6"/>
  <c r="BQ132" i="6" s="1"/>
  <c r="BG127" i="6"/>
  <c r="BQ127" i="6" s="1"/>
  <c r="BL126" i="6"/>
  <c r="BQ126" i="6" s="1"/>
  <c r="BL117" i="6"/>
  <c r="BQ117" i="6" s="1"/>
  <c r="BG116" i="6"/>
  <c r="BQ116" i="6" s="1"/>
  <c r="BG115" i="6"/>
  <c r="BQ115" i="6" s="1"/>
  <c r="DD131" i="6"/>
  <c r="U180" i="5" s="1"/>
  <c r="DD129" i="6"/>
  <c r="U178" i="5" s="1"/>
  <c r="DD126" i="6"/>
  <c r="U175" i="5" s="1"/>
  <c r="DD133" i="6"/>
  <c r="U182" i="5" s="1"/>
  <c r="DD127" i="6"/>
  <c r="U176" i="5" s="1"/>
  <c r="DD132" i="6"/>
  <c r="U181" i="5" s="1"/>
  <c r="BG130" i="6"/>
  <c r="BQ130" i="6" s="1"/>
  <c r="DD130" i="6"/>
  <c r="U179" i="5" s="1"/>
  <c r="DD128" i="6"/>
  <c r="U177" i="5" s="1"/>
  <c r="DD96" i="6"/>
  <c r="U142" i="5" s="1"/>
  <c r="DD95" i="6"/>
  <c r="U141" i="5" s="1"/>
  <c r="DD94" i="6"/>
  <c r="U140" i="5" s="1"/>
  <c r="DD97" i="6"/>
  <c r="U143" i="5" s="1"/>
  <c r="DD69" i="6"/>
  <c r="U84" i="5" s="1"/>
  <c r="DD71" i="6"/>
  <c r="U86" i="5" s="1"/>
  <c r="DD70" i="6"/>
  <c r="U85" i="5" s="1"/>
  <c r="BQ71" i="6"/>
  <c r="BG131" i="6"/>
  <c r="BQ131" i="6" s="1"/>
  <c r="BG113" i="6"/>
  <c r="BQ113" i="6" s="1"/>
  <c r="BG133" i="6"/>
  <c r="BQ133" i="6" s="1"/>
  <c r="CT120" i="6"/>
  <c r="CV120" i="6" s="1"/>
  <c r="CW120" i="6" s="1"/>
  <c r="CX120" i="6" s="1"/>
  <c r="CY120" i="6" s="1"/>
  <c r="DD120" i="6" s="1"/>
  <c r="U155" i="5" s="1"/>
  <c r="CT107" i="6"/>
  <c r="CV107" i="6" s="1"/>
  <c r="CW107" i="6" s="1"/>
  <c r="CX107" i="6" s="1"/>
  <c r="CY107" i="6" s="1"/>
  <c r="DD107" i="6" s="1"/>
  <c r="U96" i="5" s="1"/>
  <c r="BG97" i="6"/>
  <c r="BQ97" i="6" s="1"/>
  <c r="BQ70" i="6"/>
  <c r="BQ69" i="6"/>
  <c r="BL95" i="6"/>
  <c r="BQ95" i="6" s="1"/>
  <c r="BB79" i="6"/>
  <c r="BL79" i="6" s="1"/>
  <c r="M125" i="5"/>
  <c r="BB76" i="6"/>
  <c r="BG76" i="6" s="1"/>
  <c r="M122" i="5"/>
  <c r="CT77" i="6"/>
  <c r="CV77" i="6" s="1"/>
  <c r="CW77" i="6" s="1"/>
  <c r="CX77" i="6" s="1"/>
  <c r="CY77" i="6" s="1"/>
  <c r="BB78" i="6"/>
  <c r="BL78" i="6" s="1"/>
  <c r="M124" i="5"/>
  <c r="CT79" i="6"/>
  <c r="CV79" i="6" s="1"/>
  <c r="CW79" i="6" s="1"/>
  <c r="CX79" i="6" s="1"/>
  <c r="CY79" i="6" s="1"/>
  <c r="BB120" i="6"/>
  <c r="BG120" i="6" s="1"/>
  <c r="M155" i="5"/>
  <c r="U152" i="5"/>
  <c r="U150" i="5"/>
  <c r="U149" i="5"/>
  <c r="BB107" i="6"/>
  <c r="BL107" i="6" s="1"/>
  <c r="BB77" i="6"/>
  <c r="BL77" i="6" s="1"/>
  <c r="CT78" i="6"/>
  <c r="CV78" i="6" s="1"/>
  <c r="CW78" i="6" s="1"/>
  <c r="CX78" i="6" s="1"/>
  <c r="CY78" i="6" s="1"/>
  <c r="AR107" i="6"/>
  <c r="Q96" i="5" s="1"/>
  <c r="AR120" i="6"/>
  <c r="Q155" i="5" s="1"/>
  <c r="CT76" i="6"/>
  <c r="CV76" i="6" s="1"/>
  <c r="CW76" i="6" s="1"/>
  <c r="CX76" i="6" s="1"/>
  <c r="CY76" i="6" s="1"/>
  <c r="AR76" i="6"/>
  <c r="Q122" i="5" s="1"/>
  <c r="AR78" i="6"/>
  <c r="Q124" i="5" s="1"/>
  <c r="AR77" i="6"/>
  <c r="Q123" i="5" s="1"/>
  <c r="AR79" i="6"/>
  <c r="Q125" i="5" s="1"/>
  <c r="BG78" i="6" l="1"/>
  <c r="BQ78" i="6" s="1"/>
  <c r="BG77" i="6"/>
  <c r="BQ77" i="6" s="1"/>
  <c r="DD79" i="6"/>
  <c r="U125" i="5" s="1"/>
  <c r="DD78" i="6"/>
  <c r="U124" i="5" s="1"/>
  <c r="DD77" i="6"/>
  <c r="U123" i="5" s="1"/>
  <c r="DD76" i="6"/>
  <c r="U122" i="5" s="1"/>
  <c r="BG79" i="6"/>
  <c r="BQ79" i="6" s="1"/>
  <c r="BL76" i="6"/>
  <c r="BQ76" i="6" s="1"/>
  <c r="BL120" i="6"/>
  <c r="BQ120" i="6" s="1"/>
  <c r="BG107" i="6"/>
  <c r="BQ107" i="6" s="1"/>
  <c r="O51" i="5" l="1"/>
  <c r="CG137" i="6" l="1"/>
  <c r="CG136" i="6"/>
  <c r="CG135" i="6"/>
  <c r="CG134" i="6"/>
  <c r="CG121" i="6"/>
  <c r="CG119" i="6"/>
  <c r="CG118" i="6"/>
  <c r="CG108" i="6"/>
  <c r="CG106" i="6"/>
  <c r="CG105" i="6"/>
  <c r="CG104" i="6"/>
  <c r="CG103" i="6"/>
  <c r="CG102" i="6"/>
  <c r="CG93" i="6"/>
  <c r="CG92" i="6"/>
  <c r="CG91" i="6"/>
  <c r="CG90" i="6"/>
  <c r="CG89" i="6"/>
  <c r="CG88" i="6"/>
  <c r="CG87" i="6"/>
  <c r="CG86" i="6"/>
  <c r="CG85" i="6"/>
  <c r="CG84" i="6"/>
  <c r="CG83" i="6"/>
  <c r="CG82" i="6"/>
  <c r="CG81" i="6"/>
  <c r="CG80" i="6"/>
  <c r="CG68" i="6"/>
  <c r="CG67" i="6"/>
  <c r="CG66" i="6"/>
  <c r="CG65" i="6"/>
  <c r="CG64" i="6"/>
  <c r="CG63" i="6"/>
  <c r="CG62" i="6"/>
  <c r="CG61" i="6"/>
  <c r="CG60" i="6"/>
  <c r="CG59" i="6"/>
  <c r="CG58" i="6"/>
  <c r="CG57" i="6"/>
  <c r="CG56" i="6"/>
  <c r="CS93" i="6"/>
  <c r="CR93" i="6"/>
  <c r="CQ93" i="6"/>
  <c r="CT93" i="6" s="1"/>
  <c r="CM93" i="6"/>
  <c r="CN93" i="6" s="1"/>
  <c r="CS92" i="6"/>
  <c r="CR92" i="6"/>
  <c r="CQ92" i="6"/>
  <c r="CM92" i="6"/>
  <c r="CN92" i="6" s="1"/>
  <c r="CS91" i="6"/>
  <c r="CR91" i="6"/>
  <c r="CQ91" i="6"/>
  <c r="CM91" i="6"/>
  <c r="CN91" i="6" s="1"/>
  <c r="CS90" i="6"/>
  <c r="CR90" i="6"/>
  <c r="CQ90" i="6"/>
  <c r="CM90" i="6"/>
  <c r="CN90" i="6" s="1"/>
  <c r="CS89" i="6"/>
  <c r="CR89" i="6"/>
  <c r="CQ89" i="6"/>
  <c r="CM89" i="6"/>
  <c r="CN89" i="6" s="1"/>
  <c r="CS88" i="6"/>
  <c r="CR88" i="6"/>
  <c r="CQ88" i="6"/>
  <c r="CT88" i="6" s="1"/>
  <c r="CM88" i="6"/>
  <c r="CN88" i="6" s="1"/>
  <c r="CS87" i="6"/>
  <c r="CR87" i="6"/>
  <c r="CQ87" i="6"/>
  <c r="CT87" i="6" s="1"/>
  <c r="CM87" i="6"/>
  <c r="CN87" i="6" s="1"/>
  <c r="CS86" i="6"/>
  <c r="CR86" i="6"/>
  <c r="CQ86" i="6"/>
  <c r="CT86" i="6" s="1"/>
  <c r="CM86" i="6"/>
  <c r="CN86" i="6" s="1"/>
  <c r="CS85" i="6"/>
  <c r="CR85" i="6"/>
  <c r="CQ85" i="6"/>
  <c r="CT85" i="6" s="1"/>
  <c r="CM85" i="6"/>
  <c r="CN85" i="6" s="1"/>
  <c r="CS84" i="6"/>
  <c r="CR84" i="6"/>
  <c r="CQ84" i="6"/>
  <c r="CM84" i="6"/>
  <c r="CN84" i="6" s="1"/>
  <c r="CS83" i="6"/>
  <c r="CR83" i="6"/>
  <c r="CQ83" i="6"/>
  <c r="CT83" i="6" s="1"/>
  <c r="CM83" i="6"/>
  <c r="CN83" i="6" s="1"/>
  <c r="CS82" i="6"/>
  <c r="CR82" i="6"/>
  <c r="CQ82" i="6"/>
  <c r="CT82" i="6" s="1"/>
  <c r="CM82" i="6"/>
  <c r="CN82" i="6" s="1"/>
  <c r="CS81" i="6"/>
  <c r="CR81" i="6"/>
  <c r="CQ81" i="6"/>
  <c r="CT81" i="6" s="1"/>
  <c r="CM81" i="6"/>
  <c r="CN81" i="6" s="1"/>
  <c r="CS137" i="6"/>
  <c r="CR137" i="6"/>
  <c r="CQ137" i="6"/>
  <c r="CT137" i="6" s="1"/>
  <c r="CM137" i="6"/>
  <c r="CN137" i="6" s="1"/>
  <c r="CS136" i="6"/>
  <c r="CR136" i="6"/>
  <c r="CQ136" i="6"/>
  <c r="CT136" i="6" s="1"/>
  <c r="CM136" i="6"/>
  <c r="CN136" i="6" s="1"/>
  <c r="CS135" i="6"/>
  <c r="CR135" i="6"/>
  <c r="CQ135" i="6"/>
  <c r="CM135" i="6"/>
  <c r="CN135" i="6" s="1"/>
  <c r="CS134" i="6"/>
  <c r="CR134" i="6"/>
  <c r="CQ134" i="6"/>
  <c r="CT134" i="6" s="1"/>
  <c r="CM134" i="6"/>
  <c r="CN134" i="6" s="1"/>
  <c r="CS121" i="6"/>
  <c r="CR121" i="6"/>
  <c r="CQ121" i="6"/>
  <c r="CM121" i="6"/>
  <c r="CN121" i="6" s="1"/>
  <c r="CS119" i="6"/>
  <c r="CR119" i="6"/>
  <c r="CQ119" i="6"/>
  <c r="CM119" i="6"/>
  <c r="CN119" i="6" s="1"/>
  <c r="CS118" i="6"/>
  <c r="CR118" i="6"/>
  <c r="CQ118" i="6"/>
  <c r="CM118" i="6"/>
  <c r="CN118" i="6" s="1"/>
  <c r="CS108" i="6"/>
  <c r="CR108" i="6"/>
  <c r="CQ108" i="6"/>
  <c r="CT108" i="6" s="1"/>
  <c r="CM108" i="6"/>
  <c r="CN108" i="6" s="1"/>
  <c r="CS106" i="6"/>
  <c r="CR106" i="6"/>
  <c r="CQ106" i="6"/>
  <c r="CM106" i="6"/>
  <c r="CN106" i="6" s="1"/>
  <c r="CS105" i="6"/>
  <c r="CR105" i="6"/>
  <c r="CQ105" i="6"/>
  <c r="CT105" i="6" s="1"/>
  <c r="CM105" i="6"/>
  <c r="CN105" i="6" s="1"/>
  <c r="CS104" i="6"/>
  <c r="CR104" i="6"/>
  <c r="CQ104" i="6"/>
  <c r="CT104" i="6" s="1"/>
  <c r="CM104" i="6"/>
  <c r="CN104" i="6" s="1"/>
  <c r="CS103" i="6"/>
  <c r="CR103" i="6"/>
  <c r="CQ103" i="6"/>
  <c r="CT103" i="6" s="1"/>
  <c r="CM103" i="6"/>
  <c r="CN103" i="6" s="1"/>
  <c r="CS102" i="6"/>
  <c r="CR102" i="6"/>
  <c r="CQ102" i="6"/>
  <c r="CM102" i="6"/>
  <c r="CN102" i="6" s="1"/>
  <c r="CS80" i="6"/>
  <c r="CR80" i="6"/>
  <c r="CQ80" i="6"/>
  <c r="CM80" i="6"/>
  <c r="CN80" i="6" s="1"/>
  <c r="CS68" i="6"/>
  <c r="CR68" i="6"/>
  <c r="CQ68" i="6"/>
  <c r="CM68" i="6"/>
  <c r="CN68" i="6" s="1"/>
  <c r="CS67" i="6"/>
  <c r="CR67" i="6"/>
  <c r="CQ67" i="6"/>
  <c r="CM67" i="6"/>
  <c r="CN67" i="6" s="1"/>
  <c r="CS66" i="6"/>
  <c r="CR66" i="6"/>
  <c r="CQ66" i="6"/>
  <c r="CM66" i="6"/>
  <c r="CN66" i="6" s="1"/>
  <c r="CS65" i="6"/>
  <c r="CR65" i="6"/>
  <c r="CQ65" i="6"/>
  <c r="CM65" i="6"/>
  <c r="CN65" i="6" s="1"/>
  <c r="CS64" i="6"/>
  <c r="CR64" i="6"/>
  <c r="CQ64" i="6"/>
  <c r="CM64" i="6"/>
  <c r="CN64" i="6" s="1"/>
  <c r="CS63" i="6"/>
  <c r="CR63" i="6"/>
  <c r="CQ63" i="6"/>
  <c r="CM63" i="6"/>
  <c r="CN63" i="6" s="1"/>
  <c r="CS62" i="6"/>
  <c r="CR62" i="6"/>
  <c r="CQ62" i="6"/>
  <c r="CM62" i="6"/>
  <c r="CN62" i="6" s="1"/>
  <c r="CS61" i="6"/>
  <c r="CR61" i="6"/>
  <c r="CQ61" i="6"/>
  <c r="CM61" i="6"/>
  <c r="CN61" i="6" s="1"/>
  <c r="CS60" i="6"/>
  <c r="CR60" i="6"/>
  <c r="CQ60" i="6"/>
  <c r="CM60" i="6"/>
  <c r="CN60" i="6" s="1"/>
  <c r="CS59" i="6"/>
  <c r="CR59" i="6"/>
  <c r="CQ59" i="6"/>
  <c r="CM59" i="6"/>
  <c r="CN59" i="6" s="1"/>
  <c r="CS58" i="6"/>
  <c r="CR58" i="6"/>
  <c r="CQ58" i="6"/>
  <c r="CM58" i="6"/>
  <c r="CN58" i="6" s="1"/>
  <c r="CS57" i="6"/>
  <c r="CR57" i="6"/>
  <c r="CQ57" i="6"/>
  <c r="CT57" i="6" s="1"/>
  <c r="CM57" i="6"/>
  <c r="CN57" i="6" s="1"/>
  <c r="CS56" i="6"/>
  <c r="CR56" i="6"/>
  <c r="CQ56" i="6"/>
  <c r="CM56" i="6"/>
  <c r="CN56" i="6" s="1"/>
  <c r="CS55" i="6"/>
  <c r="CT106" i="6" l="1"/>
  <c r="CT135" i="6"/>
  <c r="CT84" i="6"/>
  <c r="CT89" i="6"/>
  <c r="CT90" i="6"/>
  <c r="CT91" i="6"/>
  <c r="CT92" i="6"/>
  <c r="CT61" i="6"/>
  <c r="CT63" i="6"/>
  <c r="CT65" i="6"/>
  <c r="CT66" i="6"/>
  <c r="CT68" i="6"/>
  <c r="CT102" i="6"/>
  <c r="CT62" i="6"/>
  <c r="CT64" i="6"/>
  <c r="CT67" i="6"/>
  <c r="CT80" i="6"/>
  <c r="CT56" i="6"/>
  <c r="CT60" i="6"/>
  <c r="CT58" i="6"/>
  <c r="CT59" i="6"/>
  <c r="CT118" i="6"/>
  <c r="CT119" i="6"/>
  <c r="CT121" i="6"/>
  <c r="AM55" i="6" l="1"/>
  <c r="BB55" i="6" s="1"/>
  <c r="BG55" i="6" l="1"/>
  <c r="BL55" i="6"/>
  <c r="AR55" i="6"/>
  <c r="BQ55" i="6" l="1"/>
  <c r="BB134" i="6"/>
  <c r="M183" i="5"/>
  <c r="AM56" i="6"/>
  <c r="BB56" i="6" s="1"/>
  <c r="BL56" i="6" l="1"/>
  <c r="BG56" i="6"/>
  <c r="AR56" i="6"/>
  <c r="CH136" i="6" l="1"/>
  <c r="CH135" i="6"/>
  <c r="CH134" i="6"/>
  <c r="CH121" i="6"/>
  <c r="CH119" i="6"/>
  <c r="CH108" i="6"/>
  <c r="CH106" i="6"/>
  <c r="CH105" i="6"/>
  <c r="CH104" i="6"/>
  <c r="CH103" i="6"/>
  <c r="CH102" i="6"/>
  <c r="CH92" i="6"/>
  <c r="CH90" i="6"/>
  <c r="CH88" i="6"/>
  <c r="CH86" i="6"/>
  <c r="CH85" i="6"/>
  <c r="CH84" i="6"/>
  <c r="CH83" i="6"/>
  <c r="CH80" i="6"/>
  <c r="CH68" i="6"/>
  <c r="CH67" i="6"/>
  <c r="CH65" i="6"/>
  <c r="CH64" i="6"/>
  <c r="CH63" i="6"/>
  <c r="CH62" i="6"/>
  <c r="CH60" i="6"/>
  <c r="CH58" i="6"/>
  <c r="CH57" i="6"/>
  <c r="CH56" i="6"/>
  <c r="CH59" i="6" l="1"/>
  <c r="CH81" i="6"/>
  <c r="CH87" i="6"/>
  <c r="CH91" i="6"/>
  <c r="CH61" i="6"/>
  <c r="CH66" i="6"/>
  <c r="CH82" i="6"/>
  <c r="CH89" i="6"/>
  <c r="CH93" i="6"/>
  <c r="CH118" i="6"/>
  <c r="CH137" i="6"/>
  <c r="P11" i="5"/>
  <c r="C74" i="7"/>
  <c r="E74" i="7" s="1"/>
  <c r="C73" i="7"/>
  <c r="G73" i="7" s="1"/>
  <c r="O73" i="7" s="1"/>
  <c r="C72" i="7"/>
  <c r="G72" i="7" s="1"/>
  <c r="O72" i="7" s="1"/>
  <c r="C71" i="7"/>
  <c r="E71" i="7" s="1"/>
  <c r="C66" i="7"/>
  <c r="E66" i="7" s="1"/>
  <c r="C65" i="7"/>
  <c r="G65" i="7" s="1"/>
  <c r="O65" i="7" s="1"/>
  <c r="C64" i="7"/>
  <c r="E64" i="7" s="1"/>
  <c r="C59" i="7"/>
  <c r="G59" i="7" s="1"/>
  <c r="O59" i="7" s="1"/>
  <c r="C58" i="7"/>
  <c r="E58" i="7" s="1"/>
  <c r="C57" i="7"/>
  <c r="G57" i="7" s="1"/>
  <c r="O57" i="7" s="1"/>
  <c r="C56" i="7"/>
  <c r="E56" i="7" s="1"/>
  <c r="C55" i="7"/>
  <c r="E55" i="7" s="1"/>
  <c r="C54" i="7"/>
  <c r="E54" i="7" s="1"/>
  <c r="C53" i="7"/>
  <c r="G53" i="7" s="1"/>
  <c r="O53" i="7" s="1"/>
  <c r="C48" i="7"/>
  <c r="E48" i="7" s="1"/>
  <c r="G48" i="7" s="1"/>
  <c r="O48" i="7" s="1"/>
  <c r="C47" i="7"/>
  <c r="E47" i="7" s="1"/>
  <c r="G47" i="7" s="1"/>
  <c r="O47" i="7" s="1"/>
  <c r="C46" i="7"/>
  <c r="E46" i="7" s="1"/>
  <c r="G46" i="7" s="1"/>
  <c r="O46" i="7" s="1"/>
  <c r="C45" i="7"/>
  <c r="E45" i="7" s="1"/>
  <c r="G45" i="7" s="1"/>
  <c r="O45" i="7" s="1"/>
  <c r="C44" i="7"/>
  <c r="E44" i="7" s="1"/>
  <c r="G44" i="7" s="1"/>
  <c r="O44" i="7" s="1"/>
  <c r="C43" i="7"/>
  <c r="E43" i="7" s="1"/>
  <c r="G43" i="7" s="1"/>
  <c r="O43" i="7" s="1"/>
  <c r="C42" i="7"/>
  <c r="E42" i="7" s="1"/>
  <c r="G42" i="7" s="1"/>
  <c r="O42" i="7" s="1"/>
  <c r="C41" i="7"/>
  <c r="E41" i="7" s="1"/>
  <c r="G41" i="7" s="1"/>
  <c r="O41" i="7" s="1"/>
  <c r="C40" i="7"/>
  <c r="E40" i="7" s="1"/>
  <c r="G40" i="7" s="1"/>
  <c r="O40" i="7" s="1"/>
  <c r="C39" i="7"/>
  <c r="E39" i="7" s="1"/>
  <c r="G39" i="7" s="1"/>
  <c r="O39" i="7" s="1"/>
  <c r="C38" i="7"/>
  <c r="E38" i="7" s="1"/>
  <c r="G38" i="7" s="1"/>
  <c r="O38" i="7" s="1"/>
  <c r="C37" i="7"/>
  <c r="E37" i="7" s="1"/>
  <c r="G37" i="7" s="1"/>
  <c r="O37" i="7" s="1"/>
  <c r="C36" i="7"/>
  <c r="E36" i="7" s="1"/>
  <c r="G36" i="7" s="1"/>
  <c r="O36" i="7" s="1"/>
  <c r="C35" i="7"/>
  <c r="E35" i="7" s="1"/>
  <c r="G35" i="7" s="1"/>
  <c r="O35" i="7" s="1"/>
  <c r="C34" i="7"/>
  <c r="E34" i="7" s="1"/>
  <c r="G34" i="7" s="1"/>
  <c r="O34" i="7" s="1"/>
  <c r="C33" i="7"/>
  <c r="E33" i="7" s="1"/>
  <c r="G33" i="7" s="1"/>
  <c r="O33" i="7" s="1"/>
  <c r="C32" i="7"/>
  <c r="E32" i="7" s="1"/>
  <c r="G32" i="7" s="1"/>
  <c r="O32" i="7" s="1"/>
  <c r="C31" i="7"/>
  <c r="E31" i="7" s="1"/>
  <c r="G31" i="7" s="1"/>
  <c r="O31" i="7" s="1"/>
  <c r="C26" i="7"/>
  <c r="E26" i="7" s="1"/>
  <c r="G26" i="7" s="1"/>
  <c r="C25" i="7"/>
  <c r="E25" i="7" s="1"/>
  <c r="G25" i="7" s="1"/>
  <c r="C24" i="7"/>
  <c r="E24" i="7" s="1"/>
  <c r="G24" i="7" s="1"/>
  <c r="C23" i="7"/>
  <c r="E23" i="7" s="1"/>
  <c r="G23" i="7" s="1"/>
  <c r="C22" i="7"/>
  <c r="E22" i="7" s="1"/>
  <c r="G22" i="7" s="1"/>
  <c r="C21" i="7"/>
  <c r="E21" i="7" s="1"/>
  <c r="G21" i="7" s="1"/>
  <c r="C20" i="7"/>
  <c r="E20" i="7" s="1"/>
  <c r="G20" i="7" s="1"/>
  <c r="C19" i="7"/>
  <c r="E19" i="7" s="1"/>
  <c r="G19" i="7" s="1"/>
  <c r="C18" i="7"/>
  <c r="E18" i="7" s="1"/>
  <c r="G18" i="7" s="1"/>
  <c r="C17" i="7"/>
  <c r="E17" i="7" s="1"/>
  <c r="G17" i="7" s="1"/>
  <c r="C16" i="7"/>
  <c r="E16" i="7" s="1"/>
  <c r="G16" i="7" s="1"/>
  <c r="C15" i="7"/>
  <c r="E15" i="7" s="1"/>
  <c r="G15" i="7" s="1"/>
  <c r="C14" i="7"/>
  <c r="E14" i="7" s="1"/>
  <c r="G14" i="7" s="1"/>
  <c r="C13" i="7"/>
  <c r="E13" i="7" s="1"/>
  <c r="G13" i="7" s="1"/>
  <c r="C12" i="7"/>
  <c r="E12" i="7" s="1"/>
  <c r="G12" i="7" s="1"/>
  <c r="C11" i="7"/>
  <c r="E11" i="7" s="1"/>
  <c r="G11" i="7" s="1"/>
  <c r="B5" i="7"/>
  <c r="C10" i="7"/>
  <c r="E10" i="7" s="1"/>
  <c r="G10" i="7" s="1"/>
  <c r="B67" i="7"/>
  <c r="B60" i="7"/>
  <c r="B49" i="7"/>
  <c r="B27" i="7"/>
  <c r="U40" i="7" l="1"/>
  <c r="Q40" i="7"/>
  <c r="U32" i="7"/>
  <c r="Q32" i="7"/>
  <c r="U48" i="7"/>
  <c r="Q48" i="7"/>
  <c r="U46" i="7"/>
  <c r="Q46" i="7"/>
  <c r="U36" i="7"/>
  <c r="Q36" i="7"/>
  <c r="U34" i="7"/>
  <c r="Q34" i="7"/>
  <c r="U31" i="7"/>
  <c r="Q31" i="7"/>
  <c r="U39" i="7"/>
  <c r="Q39" i="7"/>
  <c r="U38" i="7"/>
  <c r="Q38" i="7"/>
  <c r="U33" i="7"/>
  <c r="Q33" i="7"/>
  <c r="U37" i="7"/>
  <c r="Q37" i="7"/>
  <c r="U41" i="7"/>
  <c r="Q41" i="7"/>
  <c r="U45" i="7"/>
  <c r="Q45" i="7"/>
  <c r="U53" i="7"/>
  <c r="Q53" i="7"/>
  <c r="U57" i="7"/>
  <c r="Q57" i="7"/>
  <c r="U65" i="7"/>
  <c r="Q65" i="7"/>
  <c r="U73" i="7"/>
  <c r="Q73" i="7"/>
  <c r="U44" i="7"/>
  <c r="Q44" i="7"/>
  <c r="U72" i="7"/>
  <c r="Q72" i="7"/>
  <c r="U42" i="7"/>
  <c r="Q42" i="7"/>
  <c r="U35" i="7"/>
  <c r="Q35" i="7"/>
  <c r="U43" i="7"/>
  <c r="Q43" i="7"/>
  <c r="U47" i="7"/>
  <c r="Q47" i="7"/>
  <c r="U59" i="7"/>
  <c r="Q59" i="7"/>
  <c r="I11" i="7"/>
  <c r="K11" i="7" s="1"/>
  <c r="O11" i="7"/>
  <c r="I12" i="7"/>
  <c r="K12" i="7" s="1"/>
  <c r="O12" i="7"/>
  <c r="I16" i="7"/>
  <c r="K16" i="7" s="1"/>
  <c r="O16" i="7"/>
  <c r="I20" i="7"/>
  <c r="K20" i="7" s="1"/>
  <c r="O20" i="7"/>
  <c r="I24" i="7"/>
  <c r="K24" i="7" s="1"/>
  <c r="O24" i="7"/>
  <c r="O26" i="7"/>
  <c r="I26" i="7"/>
  <c r="K26" i="7" s="1"/>
  <c r="O10" i="7"/>
  <c r="I10" i="7"/>
  <c r="K10" i="7" s="1"/>
  <c r="O14" i="7"/>
  <c r="I14" i="7"/>
  <c r="K14" i="7" s="1"/>
  <c r="O18" i="7"/>
  <c r="I18" i="7"/>
  <c r="K18" i="7" s="1"/>
  <c r="O22" i="7"/>
  <c r="I22" i="7"/>
  <c r="K22" i="7" s="1"/>
  <c r="I13" i="7"/>
  <c r="K13" i="7" s="1"/>
  <c r="O13" i="7"/>
  <c r="I17" i="7"/>
  <c r="K17" i="7" s="1"/>
  <c r="O17" i="7"/>
  <c r="I21" i="7"/>
  <c r="K21" i="7" s="1"/>
  <c r="O21" i="7"/>
  <c r="I15" i="7"/>
  <c r="K15" i="7" s="1"/>
  <c r="O15" i="7"/>
  <c r="I19" i="7"/>
  <c r="K19" i="7" s="1"/>
  <c r="O19" i="7"/>
  <c r="I23" i="7"/>
  <c r="K23" i="7" s="1"/>
  <c r="O23" i="7"/>
  <c r="I25" i="7"/>
  <c r="K25" i="7" s="1"/>
  <c r="O25" i="7"/>
  <c r="G54" i="7"/>
  <c r="O54" i="7" s="1"/>
  <c r="G56" i="7"/>
  <c r="O56" i="7" s="1"/>
  <c r="G58" i="7"/>
  <c r="O58" i="7" s="1"/>
  <c r="E53" i="7"/>
  <c r="E57" i="7"/>
  <c r="E65" i="7"/>
  <c r="E73" i="7"/>
  <c r="G74" i="7"/>
  <c r="O74" i="7" s="1"/>
  <c r="G64" i="7"/>
  <c r="O64" i="7" s="1"/>
  <c r="G66" i="7"/>
  <c r="O66" i="7" s="1"/>
  <c r="E72" i="7"/>
  <c r="G71" i="7"/>
  <c r="O71" i="7" s="1"/>
  <c r="G55" i="7"/>
  <c r="O55" i="7" s="1"/>
  <c r="E59" i="7"/>
  <c r="U58" i="7" l="1"/>
  <c r="Q58" i="7"/>
  <c r="U71" i="7"/>
  <c r="Q71" i="7"/>
  <c r="U74" i="7"/>
  <c r="Q74" i="7"/>
  <c r="U55" i="7"/>
  <c r="Q55" i="7"/>
  <c r="U64" i="7"/>
  <c r="Q64" i="7"/>
  <c r="U54" i="7"/>
  <c r="Q54" i="7"/>
  <c r="U66" i="7"/>
  <c r="Q66" i="7"/>
  <c r="U56" i="7"/>
  <c r="Q56" i="7"/>
  <c r="U18" i="7"/>
  <c r="Q18" i="7"/>
  <c r="U10" i="7"/>
  <c r="Q10" i="7"/>
  <c r="U25" i="7"/>
  <c r="Q25" i="7"/>
  <c r="U19" i="7"/>
  <c r="Q19" i="7"/>
  <c r="U21" i="7"/>
  <c r="Q21" i="7"/>
  <c r="U13" i="7"/>
  <c r="Q13" i="7"/>
  <c r="U24" i="7"/>
  <c r="Q24" i="7"/>
  <c r="U16" i="7"/>
  <c r="Q16" i="7"/>
  <c r="U11" i="7"/>
  <c r="Q11" i="7"/>
  <c r="U22" i="7"/>
  <c r="Q22" i="7"/>
  <c r="U14" i="7"/>
  <c r="Q14" i="7"/>
  <c r="U26" i="7"/>
  <c r="Q26" i="7"/>
  <c r="U23" i="7"/>
  <c r="Q23" i="7"/>
  <c r="U15" i="7"/>
  <c r="Q15" i="7"/>
  <c r="U17" i="7"/>
  <c r="Q17" i="7"/>
  <c r="U20" i="7"/>
  <c r="Q20" i="7"/>
  <c r="U12" i="7"/>
  <c r="Q12" i="7"/>
  <c r="H20" i="5" l="1"/>
  <c r="E54" i="5" l="1"/>
  <c r="T20" i="5" l="1"/>
  <c r="AK140" i="6" l="1"/>
  <c r="CZ137" i="6"/>
  <c r="DC137" i="6" s="1"/>
  <c r="DE137" i="6" s="1"/>
  <c r="CL137" i="6"/>
  <c r="CB137" i="6"/>
  <c r="BZ137" i="6"/>
  <c r="CF137" i="6" s="1"/>
  <c r="CZ136" i="6"/>
  <c r="DC136" i="6" s="1"/>
  <c r="DE136" i="6" s="1"/>
  <c r="CL136" i="6"/>
  <c r="BZ136" i="6"/>
  <c r="CF136" i="6" s="1"/>
  <c r="CZ135" i="6"/>
  <c r="DC135" i="6" s="1"/>
  <c r="DE135" i="6" s="1"/>
  <c r="CL135" i="6"/>
  <c r="CB135" i="6"/>
  <c r="BZ135" i="6"/>
  <c r="CF135" i="6" s="1"/>
  <c r="CZ134" i="6"/>
  <c r="DC134" i="6" s="1"/>
  <c r="DE134" i="6" s="1"/>
  <c r="CL134" i="6"/>
  <c r="CB134" i="6"/>
  <c r="BZ134" i="6"/>
  <c r="CF134" i="6" s="1"/>
  <c r="CZ121" i="6"/>
  <c r="DC121" i="6" s="1"/>
  <c r="DE121" i="6" s="1"/>
  <c r="CL121" i="6"/>
  <c r="CB121" i="6"/>
  <c r="BZ121" i="6"/>
  <c r="CF121" i="6" s="1"/>
  <c r="CZ119" i="6"/>
  <c r="DC119" i="6" s="1"/>
  <c r="DE119" i="6" s="1"/>
  <c r="CL119" i="6"/>
  <c r="BZ119" i="6"/>
  <c r="CF119" i="6" s="1"/>
  <c r="CZ118" i="6"/>
  <c r="DC118" i="6" s="1"/>
  <c r="DE118" i="6" s="1"/>
  <c r="CL118" i="6"/>
  <c r="CB118" i="6"/>
  <c r="BZ118" i="6"/>
  <c r="CF118" i="6" s="1"/>
  <c r="CZ108" i="6"/>
  <c r="DC108" i="6" s="1"/>
  <c r="DE108" i="6" s="1"/>
  <c r="CL108" i="6"/>
  <c r="BZ108" i="6"/>
  <c r="CF108" i="6" s="1"/>
  <c r="AM108" i="6"/>
  <c r="BB108" i="6" s="1"/>
  <c r="CZ106" i="6"/>
  <c r="DC106" i="6" s="1"/>
  <c r="DE106" i="6" s="1"/>
  <c r="CL106" i="6"/>
  <c r="BZ106" i="6"/>
  <c r="CF106" i="6" s="1"/>
  <c r="AM106" i="6"/>
  <c r="BB106" i="6" s="1"/>
  <c r="CZ105" i="6"/>
  <c r="DC105" i="6" s="1"/>
  <c r="DE105" i="6" s="1"/>
  <c r="CL105" i="6"/>
  <c r="CB105" i="6"/>
  <c r="BZ105" i="6"/>
  <c r="CF105" i="6" s="1"/>
  <c r="AM105" i="6"/>
  <c r="BB105" i="6" s="1"/>
  <c r="CZ104" i="6"/>
  <c r="DC104" i="6" s="1"/>
  <c r="DE104" i="6" s="1"/>
  <c r="CL104" i="6"/>
  <c r="BZ104" i="6"/>
  <c r="CF104" i="6" s="1"/>
  <c r="AM104" i="6"/>
  <c r="BB104" i="6" s="1"/>
  <c r="CZ103" i="6"/>
  <c r="DC103" i="6" s="1"/>
  <c r="DE103" i="6" s="1"/>
  <c r="CL103" i="6"/>
  <c r="CB103" i="6"/>
  <c r="BZ103" i="6"/>
  <c r="CF103" i="6" s="1"/>
  <c r="AM103" i="6"/>
  <c r="BB103" i="6" s="1"/>
  <c r="CZ102" i="6"/>
  <c r="DC102" i="6" s="1"/>
  <c r="DE102" i="6" s="1"/>
  <c r="CL102" i="6"/>
  <c r="BZ102" i="6"/>
  <c r="CF102" i="6" s="1"/>
  <c r="AM102" i="6"/>
  <c r="BB102" i="6" s="1"/>
  <c r="CZ93" i="6"/>
  <c r="DC93" i="6" s="1"/>
  <c r="DE93" i="6" s="1"/>
  <c r="CL93" i="6"/>
  <c r="CB93" i="6"/>
  <c r="BZ93" i="6"/>
  <c r="CF93" i="6" s="1"/>
  <c r="AM93" i="6"/>
  <c r="CZ92" i="6"/>
  <c r="DC92" i="6" s="1"/>
  <c r="DE92" i="6" s="1"/>
  <c r="CL92" i="6"/>
  <c r="BZ92" i="6"/>
  <c r="CF92" i="6" s="1"/>
  <c r="AM92" i="6"/>
  <c r="CZ91" i="6"/>
  <c r="DC91" i="6" s="1"/>
  <c r="DE91" i="6" s="1"/>
  <c r="CL91" i="6"/>
  <c r="BZ91" i="6"/>
  <c r="CF91" i="6" s="1"/>
  <c r="AM91" i="6"/>
  <c r="CZ90" i="6"/>
  <c r="DC90" i="6" s="1"/>
  <c r="DE90" i="6" s="1"/>
  <c r="CL90" i="6"/>
  <c r="BZ90" i="6"/>
  <c r="CF90" i="6" s="1"/>
  <c r="AM90" i="6"/>
  <c r="CZ89" i="6"/>
  <c r="DC89" i="6" s="1"/>
  <c r="DE89" i="6" s="1"/>
  <c r="CL89" i="6"/>
  <c r="BZ89" i="6"/>
  <c r="CF89" i="6" s="1"/>
  <c r="AM89" i="6"/>
  <c r="BB89" i="6" s="1"/>
  <c r="CZ88" i="6"/>
  <c r="DC88" i="6" s="1"/>
  <c r="DE88" i="6" s="1"/>
  <c r="CL88" i="6"/>
  <c r="BZ88" i="6"/>
  <c r="CF88" i="6" s="1"/>
  <c r="AM88" i="6"/>
  <c r="BB88" i="6" s="1"/>
  <c r="CZ87" i="6"/>
  <c r="DC87" i="6" s="1"/>
  <c r="DE87" i="6" s="1"/>
  <c r="CL87" i="6"/>
  <c r="BZ87" i="6"/>
  <c r="CF87" i="6" s="1"/>
  <c r="AM87" i="6"/>
  <c r="BB87" i="6" s="1"/>
  <c r="CZ86" i="6"/>
  <c r="DC86" i="6" s="1"/>
  <c r="DE86" i="6" s="1"/>
  <c r="CL86" i="6"/>
  <c r="BZ86" i="6"/>
  <c r="CF86" i="6" s="1"/>
  <c r="AM86" i="6"/>
  <c r="BB86" i="6" s="1"/>
  <c r="CZ85" i="6"/>
  <c r="DC85" i="6" s="1"/>
  <c r="DE85" i="6" s="1"/>
  <c r="CL85" i="6"/>
  <c r="BZ85" i="6"/>
  <c r="CF85" i="6" s="1"/>
  <c r="AM85" i="6"/>
  <c r="BB85" i="6" s="1"/>
  <c r="CZ84" i="6"/>
  <c r="DC84" i="6" s="1"/>
  <c r="DE84" i="6" s="1"/>
  <c r="CL84" i="6"/>
  <c r="BZ84" i="6"/>
  <c r="CF84" i="6" s="1"/>
  <c r="AM84" i="6"/>
  <c r="BB84" i="6" s="1"/>
  <c r="CZ83" i="6"/>
  <c r="DC83" i="6" s="1"/>
  <c r="DE83" i="6" s="1"/>
  <c r="CL83" i="6"/>
  <c r="BZ83" i="6"/>
  <c r="CF83" i="6" s="1"/>
  <c r="AM83" i="6"/>
  <c r="BB83" i="6" s="1"/>
  <c r="CZ82" i="6"/>
  <c r="DC82" i="6" s="1"/>
  <c r="DE82" i="6" s="1"/>
  <c r="CL82" i="6"/>
  <c r="BZ82" i="6"/>
  <c r="CF82" i="6" s="1"/>
  <c r="AM82" i="6"/>
  <c r="BB82" i="6" s="1"/>
  <c r="CZ81" i="6"/>
  <c r="DC81" i="6" s="1"/>
  <c r="DE81" i="6" s="1"/>
  <c r="CL81" i="6"/>
  <c r="BZ81" i="6"/>
  <c r="CF81" i="6" s="1"/>
  <c r="AM81" i="6"/>
  <c r="BB81" i="6" s="1"/>
  <c r="CZ80" i="6"/>
  <c r="DC80" i="6" s="1"/>
  <c r="DE80" i="6" s="1"/>
  <c r="CL80" i="6"/>
  <c r="BZ80" i="6"/>
  <c r="CF80" i="6" s="1"/>
  <c r="AM80" i="6"/>
  <c r="BB80" i="6" s="1"/>
  <c r="CZ68" i="6"/>
  <c r="DC68" i="6" s="1"/>
  <c r="DE68" i="6" s="1"/>
  <c r="CL68" i="6"/>
  <c r="BZ68" i="6"/>
  <c r="CF68" i="6" s="1"/>
  <c r="AM68" i="6"/>
  <c r="BB68" i="6" s="1"/>
  <c r="CZ67" i="6"/>
  <c r="DC67" i="6" s="1"/>
  <c r="DE67" i="6" s="1"/>
  <c r="CL67" i="6"/>
  <c r="BZ67" i="6"/>
  <c r="CF67" i="6" s="1"/>
  <c r="AM67" i="6"/>
  <c r="BB67" i="6" s="1"/>
  <c r="CZ66" i="6"/>
  <c r="DC66" i="6" s="1"/>
  <c r="DE66" i="6" s="1"/>
  <c r="CL66" i="6"/>
  <c r="BZ66" i="6"/>
  <c r="CF66" i="6" s="1"/>
  <c r="AM66" i="6"/>
  <c r="BB66" i="6" s="1"/>
  <c r="CZ65" i="6"/>
  <c r="DC65" i="6" s="1"/>
  <c r="DE65" i="6" s="1"/>
  <c r="CL65" i="6"/>
  <c r="BZ65" i="6"/>
  <c r="CF65" i="6" s="1"/>
  <c r="AM65" i="6"/>
  <c r="BB65" i="6" s="1"/>
  <c r="CZ64" i="6"/>
  <c r="DC64" i="6" s="1"/>
  <c r="DE64" i="6" s="1"/>
  <c r="CL64" i="6"/>
  <c r="BZ64" i="6"/>
  <c r="CF64" i="6" s="1"/>
  <c r="AM64" i="6"/>
  <c r="BB64" i="6" s="1"/>
  <c r="CZ63" i="6"/>
  <c r="DC63" i="6" s="1"/>
  <c r="DE63" i="6" s="1"/>
  <c r="CL63" i="6"/>
  <c r="BZ63" i="6"/>
  <c r="CF63" i="6" s="1"/>
  <c r="AM63" i="6"/>
  <c r="BB63" i="6" s="1"/>
  <c r="CZ62" i="6"/>
  <c r="DC62" i="6" s="1"/>
  <c r="DE62" i="6" s="1"/>
  <c r="CL62" i="6"/>
  <c r="BZ62" i="6"/>
  <c r="CF62" i="6" s="1"/>
  <c r="AM62" i="6"/>
  <c r="BB62" i="6" s="1"/>
  <c r="CZ61" i="6"/>
  <c r="DC61" i="6" s="1"/>
  <c r="DE61" i="6" s="1"/>
  <c r="CL61" i="6"/>
  <c r="BZ61" i="6"/>
  <c r="CF61" i="6" s="1"/>
  <c r="AM61" i="6"/>
  <c r="BB61" i="6" s="1"/>
  <c r="CZ60" i="6"/>
  <c r="DC60" i="6" s="1"/>
  <c r="DE60" i="6" s="1"/>
  <c r="CL60" i="6"/>
  <c r="BZ60" i="6"/>
  <c r="CF60" i="6" s="1"/>
  <c r="CZ59" i="6"/>
  <c r="DC59" i="6" s="1"/>
  <c r="DE59" i="6" s="1"/>
  <c r="CL59" i="6"/>
  <c r="BZ59" i="6"/>
  <c r="CF59" i="6" s="1"/>
  <c r="AM59" i="6"/>
  <c r="BB59" i="6" s="1"/>
  <c r="CZ58" i="6"/>
  <c r="DC58" i="6" s="1"/>
  <c r="DE58" i="6" s="1"/>
  <c r="CL58" i="6"/>
  <c r="BZ58" i="6"/>
  <c r="CF58" i="6" s="1"/>
  <c r="AM58" i="6"/>
  <c r="BB58" i="6" s="1"/>
  <c r="CZ57" i="6"/>
  <c r="DC57" i="6" s="1"/>
  <c r="DE57" i="6" s="1"/>
  <c r="CL57" i="6"/>
  <c r="BZ57" i="6"/>
  <c r="CF57" i="6" s="1"/>
  <c r="AM57" i="6"/>
  <c r="BB57" i="6" s="1"/>
  <c r="CZ56" i="6"/>
  <c r="DC56" i="6" s="1"/>
  <c r="DE56" i="6" s="1"/>
  <c r="CL56" i="6"/>
  <c r="CB56" i="6"/>
  <c r="BZ56" i="6"/>
  <c r="CF56" i="6" s="1"/>
  <c r="CZ55" i="6"/>
  <c r="DC55" i="6" s="1"/>
  <c r="CR55" i="6"/>
  <c r="CL55" i="6"/>
  <c r="CF55" i="6"/>
  <c r="C159" i="5"/>
  <c r="I186" i="5"/>
  <c r="I185" i="5"/>
  <c r="E185" i="5"/>
  <c r="I184" i="5"/>
  <c r="I183" i="5"/>
  <c r="E183" i="5"/>
  <c r="E172" i="5"/>
  <c r="I156" i="5"/>
  <c r="I154" i="5"/>
  <c r="I153" i="5"/>
  <c r="E153" i="5"/>
  <c r="E145" i="5"/>
  <c r="I97" i="5"/>
  <c r="E97" i="5"/>
  <c r="I95" i="5"/>
  <c r="E95" i="5"/>
  <c r="I94" i="5"/>
  <c r="E94" i="5"/>
  <c r="I93" i="5"/>
  <c r="E93" i="5"/>
  <c r="I92" i="5"/>
  <c r="I91" i="5"/>
  <c r="E91" i="5"/>
  <c r="E88" i="5"/>
  <c r="C106" i="5"/>
  <c r="I139" i="5"/>
  <c r="I138" i="5"/>
  <c r="I137" i="5"/>
  <c r="I136" i="5"/>
  <c r="E136" i="5"/>
  <c r="I135" i="5"/>
  <c r="I134" i="5"/>
  <c r="I133" i="5"/>
  <c r="I132" i="5"/>
  <c r="I131" i="5"/>
  <c r="I130" i="5"/>
  <c r="E130" i="5"/>
  <c r="I129" i="5"/>
  <c r="I128" i="5"/>
  <c r="I127" i="5"/>
  <c r="I126" i="5"/>
  <c r="E126" i="5"/>
  <c r="E119" i="5"/>
  <c r="I83" i="5"/>
  <c r="I82" i="5"/>
  <c r="I81" i="5"/>
  <c r="E81" i="5"/>
  <c r="I80" i="5"/>
  <c r="I79" i="5"/>
  <c r="I78" i="5"/>
  <c r="I77" i="5"/>
  <c r="I76" i="5"/>
  <c r="E76" i="5"/>
  <c r="I75" i="5"/>
  <c r="I74" i="5"/>
  <c r="I73" i="5"/>
  <c r="E73" i="5"/>
  <c r="I72" i="5"/>
  <c r="I71" i="5"/>
  <c r="I70" i="5"/>
  <c r="E70" i="5"/>
  <c r="E67" i="5"/>
  <c r="V42" i="5"/>
  <c r="P42" i="5"/>
  <c r="J42" i="5"/>
  <c r="D42" i="5"/>
  <c r="T19" i="5"/>
  <c r="H19" i="5"/>
  <c r="T18" i="5"/>
  <c r="H18" i="5"/>
  <c r="T17" i="5"/>
  <c r="H17" i="5"/>
  <c r="T16" i="5"/>
  <c r="H16" i="5"/>
  <c r="T15" i="5"/>
  <c r="H15" i="5"/>
  <c r="D11" i="5"/>
  <c r="D10" i="5"/>
  <c r="P10" i="5" s="1"/>
  <c r="BG66" i="6" l="1"/>
  <c r="BL66" i="6"/>
  <c r="BG61" i="6"/>
  <c r="BL61" i="6"/>
  <c r="BL67" i="6"/>
  <c r="BG67" i="6"/>
  <c r="BL68" i="6"/>
  <c r="BG68" i="6"/>
  <c r="BG59" i="6"/>
  <c r="BL59" i="6"/>
  <c r="BL62" i="6"/>
  <c r="BG62" i="6"/>
  <c r="BG58" i="6"/>
  <c r="BL58" i="6"/>
  <c r="BG65" i="6"/>
  <c r="BL65" i="6"/>
  <c r="BL64" i="6"/>
  <c r="BG64" i="6"/>
  <c r="BL63" i="6"/>
  <c r="BG63" i="6"/>
  <c r="BG57" i="6"/>
  <c r="BL57" i="6"/>
  <c r="M81" i="5"/>
  <c r="M82" i="5"/>
  <c r="M83" i="5"/>
  <c r="BB90" i="6"/>
  <c r="BG90" i="6" s="1"/>
  <c r="M136" i="5"/>
  <c r="BB91" i="6"/>
  <c r="BG91" i="6" s="1"/>
  <c r="M137" i="5"/>
  <c r="BB92" i="6"/>
  <c r="M138" i="5"/>
  <c r="BB93" i="6"/>
  <c r="BL93" i="6" s="1"/>
  <c r="M139" i="5"/>
  <c r="BB119" i="6"/>
  <c r="M154" i="5"/>
  <c r="BB121" i="6"/>
  <c r="BG121" i="6" s="1"/>
  <c r="M156" i="5"/>
  <c r="BB135" i="6"/>
  <c r="M184" i="5"/>
  <c r="BB136" i="6"/>
  <c r="M185" i="5"/>
  <c r="BB137" i="6"/>
  <c r="BG137" i="6" s="1"/>
  <c r="M186" i="5"/>
  <c r="BB118" i="6"/>
  <c r="BL118" i="6" s="1"/>
  <c r="M153" i="5"/>
  <c r="CB136" i="6"/>
  <c r="CB119" i="6"/>
  <c r="CB102" i="6"/>
  <c r="CB59" i="6"/>
  <c r="CV59" i="6" s="1"/>
  <c r="CW59" i="6" s="1"/>
  <c r="CB60" i="6"/>
  <c r="CV60" i="6" s="1"/>
  <c r="CW60" i="6" s="1"/>
  <c r="CB61" i="6"/>
  <c r="CV61" i="6" s="1"/>
  <c r="CW61" i="6" s="1"/>
  <c r="CB62" i="6"/>
  <c r="CV62" i="6" s="1"/>
  <c r="CW62" i="6" s="1"/>
  <c r="CB63" i="6"/>
  <c r="CV63" i="6" s="1"/>
  <c r="CW63" i="6" s="1"/>
  <c r="CB64" i="6"/>
  <c r="CV64" i="6" s="1"/>
  <c r="CB65" i="6"/>
  <c r="CV65" i="6" s="1"/>
  <c r="CW65" i="6" s="1"/>
  <c r="CB66" i="6"/>
  <c r="CB67" i="6"/>
  <c r="CV67" i="6" s="1"/>
  <c r="CW67" i="6" s="1"/>
  <c r="CB68" i="6"/>
  <c r="CV68" i="6" s="1"/>
  <c r="CW68" i="6" s="1"/>
  <c r="CB58" i="6"/>
  <c r="CV58" i="6" s="1"/>
  <c r="CW58" i="6" s="1"/>
  <c r="CB57" i="6"/>
  <c r="CV57" i="6" s="1"/>
  <c r="CW57" i="6" s="1"/>
  <c r="CB81" i="6"/>
  <c r="CV81" i="6" s="1"/>
  <c r="CW81" i="6" s="1"/>
  <c r="CB83" i="6"/>
  <c r="BL83" i="6"/>
  <c r="CB85" i="6"/>
  <c r="CV85" i="6" s="1"/>
  <c r="CW85" i="6" s="1"/>
  <c r="CB88" i="6"/>
  <c r="CV88" i="6" s="1"/>
  <c r="CW88" i="6" s="1"/>
  <c r="CB90" i="6"/>
  <c r="CB91" i="6"/>
  <c r="CV91" i="6" s="1"/>
  <c r="CW91" i="6" s="1"/>
  <c r="CB92" i="6"/>
  <c r="CV92" i="6" s="1"/>
  <c r="CW92" i="6" s="1"/>
  <c r="CB80" i="6"/>
  <c r="CB82" i="6"/>
  <c r="CV82" i="6" s="1"/>
  <c r="CW82" i="6" s="1"/>
  <c r="CB84" i="6"/>
  <c r="CB86" i="6"/>
  <c r="CV86" i="6" s="1"/>
  <c r="CW86" i="6" s="1"/>
  <c r="CB89" i="6"/>
  <c r="BL89" i="6"/>
  <c r="CB104" i="6"/>
  <c r="CB87" i="6"/>
  <c r="CV87" i="6" s="1"/>
  <c r="CW87" i="6" s="1"/>
  <c r="CB106" i="6"/>
  <c r="BG106" i="6"/>
  <c r="CB108" i="6"/>
  <c r="CV137" i="6"/>
  <c r="CW137" i="6" s="1"/>
  <c r="CV136" i="6"/>
  <c r="CV135" i="6"/>
  <c r="CW135" i="6" s="1"/>
  <c r="CV134" i="6"/>
  <c r="CW134" i="6" s="1"/>
  <c r="CV121" i="6"/>
  <c r="CW121" i="6" s="1"/>
  <c r="CV119" i="6"/>
  <c r="CW119" i="6" s="1"/>
  <c r="CV118" i="6"/>
  <c r="CW118" i="6" s="1"/>
  <c r="CV102" i="6"/>
  <c r="CV104" i="6"/>
  <c r="CW104" i="6" s="1"/>
  <c r="CV103" i="6"/>
  <c r="CW103" i="6" s="1"/>
  <c r="CV106" i="6"/>
  <c r="CW106" i="6" s="1"/>
  <c r="CV105" i="6"/>
  <c r="CW105" i="6" s="1"/>
  <c r="CV83" i="6"/>
  <c r="CV93" i="6"/>
  <c r="CW93" i="6" s="1"/>
  <c r="CV80" i="6"/>
  <c r="CW80" i="6" s="1"/>
  <c r="CV84" i="6"/>
  <c r="CW84" i="6" s="1"/>
  <c r="CV89" i="6"/>
  <c r="CW89" i="6" s="1"/>
  <c r="CV56" i="6"/>
  <c r="CW56" i="6" s="1"/>
  <c r="CV66" i="6"/>
  <c r="CV108" i="6"/>
  <c r="CV90" i="6"/>
  <c r="BL103" i="6"/>
  <c r="BG105" i="6"/>
  <c r="BG102" i="6"/>
  <c r="BL81" i="6"/>
  <c r="BG86" i="6"/>
  <c r="BL85" i="6"/>
  <c r="BL87" i="6"/>
  <c r="BG82" i="6"/>
  <c r="BG134" i="6"/>
  <c r="B10" i="7"/>
  <c r="M72" i="5"/>
  <c r="B12" i="7"/>
  <c r="B13" i="7"/>
  <c r="M75" i="5"/>
  <c r="B15" i="7"/>
  <c r="M76" i="5"/>
  <c r="B16" i="7"/>
  <c r="M78" i="5"/>
  <c r="B18" i="7"/>
  <c r="B22" i="7"/>
  <c r="D22" i="7"/>
  <c r="B25" i="7"/>
  <c r="D25" i="7"/>
  <c r="B32" i="7"/>
  <c r="D32" i="7"/>
  <c r="B34" i="7"/>
  <c r="D34" i="7"/>
  <c r="B36" i="7"/>
  <c r="D36" i="7"/>
  <c r="B38" i="7"/>
  <c r="D38" i="7"/>
  <c r="B40" i="7"/>
  <c r="D40" i="7"/>
  <c r="B42" i="7"/>
  <c r="D42" i="7"/>
  <c r="B44" i="7"/>
  <c r="D44" i="7"/>
  <c r="B46" i="7"/>
  <c r="D46" i="7"/>
  <c r="B48" i="7"/>
  <c r="D48" i="7"/>
  <c r="B54" i="7"/>
  <c r="D54" i="7"/>
  <c r="B56" i="7"/>
  <c r="D56" i="7"/>
  <c r="B58" i="7"/>
  <c r="D58" i="7"/>
  <c r="B64" i="7"/>
  <c r="D64" i="7"/>
  <c r="B71" i="7"/>
  <c r="D71" i="7"/>
  <c r="AR136" i="6"/>
  <c r="Q185" i="5" s="1"/>
  <c r="B73" i="7"/>
  <c r="D73" i="7"/>
  <c r="B11" i="7"/>
  <c r="B14" i="7"/>
  <c r="B17" i="7"/>
  <c r="AR64" i="6"/>
  <c r="Q79" i="5" s="1"/>
  <c r="B19" i="7"/>
  <c r="AR65" i="6"/>
  <c r="Q80" i="5" s="1"/>
  <c r="B20" i="7"/>
  <c r="B21" i="7"/>
  <c r="D21" i="7"/>
  <c r="B23" i="7"/>
  <c r="D23" i="7"/>
  <c r="B24" i="7"/>
  <c r="D24" i="7"/>
  <c r="AR68" i="6"/>
  <c r="Q83" i="5" s="1"/>
  <c r="B26" i="7"/>
  <c r="D26" i="7"/>
  <c r="M126" i="5"/>
  <c r="B31" i="7"/>
  <c r="D31" i="7"/>
  <c r="B33" i="7"/>
  <c r="D33" i="7"/>
  <c r="M130" i="5"/>
  <c r="B35" i="7"/>
  <c r="D35" i="7"/>
  <c r="AR86" i="6"/>
  <c r="Q132" i="5" s="1"/>
  <c r="B37" i="7"/>
  <c r="D37" i="7"/>
  <c r="M134" i="5"/>
  <c r="B39" i="7"/>
  <c r="D39" i="7"/>
  <c r="B41" i="7"/>
  <c r="D41" i="7"/>
  <c r="B43" i="7"/>
  <c r="D43" i="7"/>
  <c r="B45" i="7"/>
  <c r="D45" i="7"/>
  <c r="B47" i="7"/>
  <c r="D47" i="7"/>
  <c r="B53" i="7"/>
  <c r="D53" i="7"/>
  <c r="M93" i="5"/>
  <c r="B55" i="7"/>
  <c r="D55" i="7"/>
  <c r="B57" i="7"/>
  <c r="D57" i="7"/>
  <c r="M97" i="5"/>
  <c r="B59" i="7"/>
  <c r="D59" i="7"/>
  <c r="B65" i="7"/>
  <c r="D65" i="7"/>
  <c r="B66" i="7"/>
  <c r="D66" i="7"/>
  <c r="B72" i="7"/>
  <c r="D72" i="7"/>
  <c r="B74" i="7"/>
  <c r="D74" i="7"/>
  <c r="M71" i="5"/>
  <c r="M94" i="5"/>
  <c r="M129" i="5"/>
  <c r="M127" i="5"/>
  <c r="M77" i="5"/>
  <c r="AR82" i="6"/>
  <c r="Q128" i="5" s="1"/>
  <c r="M133" i="5"/>
  <c r="M131" i="5"/>
  <c r="M128" i="5"/>
  <c r="M79" i="5"/>
  <c r="M73" i="5"/>
  <c r="M91" i="5"/>
  <c r="M92" i="5"/>
  <c r="M80" i="5"/>
  <c r="M132" i="5"/>
  <c r="M70" i="5"/>
  <c r="M135" i="5"/>
  <c r="M95" i="5"/>
  <c r="AR118" i="6"/>
  <c r="Q153" i="5" s="1"/>
  <c r="AR102" i="6"/>
  <c r="Q91" i="5" s="1"/>
  <c r="AR105" i="6"/>
  <c r="Q94" i="5" s="1"/>
  <c r="M74" i="5"/>
  <c r="AR134" i="6"/>
  <c r="Q183" i="5" s="1"/>
  <c r="AR103" i="6"/>
  <c r="Q92" i="5" s="1"/>
  <c r="AR137" i="6"/>
  <c r="Q186" i="5" s="1"/>
  <c r="AR135" i="6"/>
  <c r="Q184" i="5" s="1"/>
  <c r="AR119" i="6"/>
  <c r="Q154" i="5" s="1"/>
  <c r="AR121" i="6"/>
  <c r="Q156" i="5" s="1"/>
  <c r="AR106" i="6"/>
  <c r="Q95" i="5" s="1"/>
  <c r="AR104" i="6"/>
  <c r="Q93" i="5" s="1"/>
  <c r="AR108" i="6"/>
  <c r="Q97" i="5" s="1"/>
  <c r="AR66" i="6"/>
  <c r="Q81" i="5" s="1"/>
  <c r="AR57" i="6"/>
  <c r="Q72" i="5" s="1"/>
  <c r="AR60" i="6"/>
  <c r="Q75" i="5" s="1"/>
  <c r="AR90" i="6"/>
  <c r="Q136" i="5" s="1"/>
  <c r="AR83" i="6"/>
  <c r="Q129" i="5" s="1"/>
  <c r="AR87" i="6"/>
  <c r="Q133" i="5" s="1"/>
  <c r="AR91" i="6"/>
  <c r="Q137" i="5" s="1"/>
  <c r="AR81" i="6"/>
  <c r="Q127" i="5" s="1"/>
  <c r="AR85" i="6"/>
  <c r="Q131" i="5" s="1"/>
  <c r="AR89" i="6"/>
  <c r="Q135" i="5" s="1"/>
  <c r="AR93" i="6"/>
  <c r="Q139" i="5" s="1"/>
  <c r="AR80" i="6"/>
  <c r="Q126" i="5" s="1"/>
  <c r="AR84" i="6"/>
  <c r="Q130" i="5" s="1"/>
  <c r="AR88" i="6"/>
  <c r="Q134" i="5" s="1"/>
  <c r="AR92" i="6"/>
  <c r="Q138" i="5" s="1"/>
  <c r="AR67" i="6"/>
  <c r="Q82" i="5" s="1"/>
  <c r="AR63" i="6"/>
  <c r="Q78" i="5" s="1"/>
  <c r="AR62" i="6"/>
  <c r="Q77" i="5" s="1"/>
  <c r="AR61" i="6"/>
  <c r="Q76" i="5" s="1"/>
  <c r="AR59" i="6"/>
  <c r="Q74" i="5" s="1"/>
  <c r="AR58" i="6"/>
  <c r="Q73" i="5" s="1"/>
  <c r="Q71" i="5"/>
  <c r="Q70" i="5"/>
  <c r="CW90" i="6" l="1"/>
  <c r="CW108" i="6"/>
  <c r="CW66" i="6"/>
  <c r="BQ66" i="6"/>
  <c r="CW136" i="6"/>
  <c r="CW102" i="6"/>
  <c r="CW83" i="6"/>
  <c r="CW64" i="6"/>
  <c r="BG89" i="6"/>
  <c r="BQ89" i="6" s="1"/>
  <c r="BG93" i="6"/>
  <c r="BL137" i="6"/>
  <c r="BG83" i="6"/>
  <c r="BQ83" i="6" s="1"/>
  <c r="BG81" i="6"/>
  <c r="BQ81" i="6" s="1"/>
  <c r="BL82" i="6"/>
  <c r="BG87" i="6"/>
  <c r="BG118" i="6"/>
  <c r="BQ118" i="6" s="1"/>
  <c r="BG103" i="6"/>
  <c r="BG119" i="6"/>
  <c r="BL119" i="6"/>
  <c r="BL102" i="6"/>
  <c r="BL106" i="6"/>
  <c r="BL91" i="6"/>
  <c r="BL90" i="6"/>
  <c r="BL134" i="6"/>
  <c r="BL121" i="6"/>
  <c r="BL105" i="6"/>
  <c r="BG85" i="6"/>
  <c r="H65" i="7"/>
  <c r="P65" i="7" s="1"/>
  <c r="J65" i="7"/>
  <c r="H55" i="7"/>
  <c r="P55" i="7" s="1"/>
  <c r="J55" i="7"/>
  <c r="H43" i="7"/>
  <c r="P43" i="7" s="1"/>
  <c r="J43" i="7"/>
  <c r="H35" i="7"/>
  <c r="P35" i="7" s="1"/>
  <c r="J35" i="7"/>
  <c r="J24" i="7"/>
  <c r="H24" i="7"/>
  <c r="P24" i="7" s="1"/>
  <c r="D20" i="7"/>
  <c r="D17" i="7"/>
  <c r="D11" i="7"/>
  <c r="H64" i="7"/>
  <c r="P64" i="7" s="1"/>
  <c r="J64" i="7"/>
  <c r="H48" i="7"/>
  <c r="P48" i="7" s="1"/>
  <c r="J48" i="7"/>
  <c r="H40" i="7"/>
  <c r="P40" i="7" s="1"/>
  <c r="J40" i="7"/>
  <c r="H32" i="7"/>
  <c r="P32" i="7" s="1"/>
  <c r="J32" i="7"/>
  <c r="H74" i="7"/>
  <c r="J74" i="7"/>
  <c r="H53" i="7"/>
  <c r="J53" i="7"/>
  <c r="H41" i="7"/>
  <c r="J41" i="7"/>
  <c r="H33" i="7"/>
  <c r="J33" i="7"/>
  <c r="H23" i="7"/>
  <c r="P23" i="7" s="1"/>
  <c r="J23" i="7"/>
  <c r="H58" i="7"/>
  <c r="J58" i="7"/>
  <c r="H46" i="7"/>
  <c r="J46" i="7"/>
  <c r="H38" i="7"/>
  <c r="J38" i="7"/>
  <c r="H25" i="7"/>
  <c r="P25" i="7" s="1"/>
  <c r="J25" i="7"/>
  <c r="D16" i="7"/>
  <c r="D13" i="7"/>
  <c r="D10" i="7"/>
  <c r="H72" i="7"/>
  <c r="P72" i="7" s="1"/>
  <c r="J72" i="7"/>
  <c r="H59" i="7"/>
  <c r="P59" i="7" s="1"/>
  <c r="J59" i="7"/>
  <c r="H47" i="7"/>
  <c r="P47" i="7" s="1"/>
  <c r="J47" i="7"/>
  <c r="H39" i="7"/>
  <c r="P39" i="7" s="1"/>
  <c r="J39" i="7"/>
  <c r="H31" i="7"/>
  <c r="P31" i="7" s="1"/>
  <c r="J31" i="7"/>
  <c r="D19" i="7"/>
  <c r="D14" i="7"/>
  <c r="H73" i="7"/>
  <c r="P73" i="7" s="1"/>
  <c r="J73" i="7"/>
  <c r="H56" i="7"/>
  <c r="P56" i="7" s="1"/>
  <c r="J56" i="7"/>
  <c r="H44" i="7"/>
  <c r="P44" i="7" s="1"/>
  <c r="J44" i="7"/>
  <c r="H36" i="7"/>
  <c r="P36" i="7" s="1"/>
  <c r="J36" i="7"/>
  <c r="J22" i="7"/>
  <c r="H22" i="7"/>
  <c r="P22" i="7" s="1"/>
  <c r="H66" i="7"/>
  <c r="P66" i="7" s="1"/>
  <c r="J66" i="7"/>
  <c r="H57" i="7"/>
  <c r="J57" i="7"/>
  <c r="H45" i="7"/>
  <c r="J45" i="7"/>
  <c r="H37" i="7"/>
  <c r="J37" i="7"/>
  <c r="J26" i="7"/>
  <c r="H26" i="7"/>
  <c r="P26" i="7" s="1"/>
  <c r="H21" i="7"/>
  <c r="P21" i="7" s="1"/>
  <c r="J21" i="7"/>
  <c r="J71" i="7"/>
  <c r="H71" i="7"/>
  <c r="P71" i="7" s="1"/>
  <c r="H54" i="7"/>
  <c r="J54" i="7"/>
  <c r="H42" i="7"/>
  <c r="J42" i="7"/>
  <c r="H34" i="7"/>
  <c r="J34" i="7"/>
  <c r="D18" i="7"/>
  <c r="D15" i="7"/>
  <c r="D12" i="7"/>
  <c r="BL136" i="6"/>
  <c r="BG136" i="6"/>
  <c r="BG135" i="6"/>
  <c r="BL135" i="6"/>
  <c r="BG104" i="6"/>
  <c r="BL104" i="6"/>
  <c r="BG108" i="6"/>
  <c r="BL108" i="6"/>
  <c r="BL86" i="6"/>
  <c r="BG88" i="6"/>
  <c r="BL88" i="6"/>
  <c r="BG84" i="6"/>
  <c r="BL84" i="6"/>
  <c r="BG92" i="6"/>
  <c r="BL92" i="6"/>
  <c r="BG80" i="6"/>
  <c r="BL80" i="6"/>
  <c r="BQ93" i="6" l="1"/>
  <c r="BQ87" i="6"/>
  <c r="BQ137" i="6"/>
  <c r="CX86" i="6"/>
  <c r="CY86" i="6" s="1"/>
  <c r="DD86" i="6" s="1"/>
  <c r="U132" i="5" s="1"/>
  <c r="CX68" i="6"/>
  <c r="CY68" i="6" s="1"/>
  <c r="BQ82" i="6"/>
  <c r="BQ103" i="6"/>
  <c r="BQ121" i="6"/>
  <c r="BQ119" i="6"/>
  <c r="BQ105" i="6"/>
  <c r="BQ106" i="6"/>
  <c r="BQ102" i="6"/>
  <c r="BQ92" i="6"/>
  <c r="BQ85" i="6"/>
  <c r="BQ80" i="6"/>
  <c r="BQ84" i="6"/>
  <c r="BQ90" i="6"/>
  <c r="BQ86" i="6"/>
  <c r="BQ91" i="6"/>
  <c r="BQ88" i="6"/>
  <c r="BQ58" i="6"/>
  <c r="BQ62" i="6"/>
  <c r="BQ64" i="6"/>
  <c r="BQ57" i="6"/>
  <c r="BQ68" i="6"/>
  <c r="BQ56" i="6"/>
  <c r="BQ67" i="6"/>
  <c r="BQ60" i="6"/>
  <c r="BQ59" i="6"/>
  <c r="BQ65" i="6"/>
  <c r="BQ134" i="6"/>
  <c r="BQ136" i="6"/>
  <c r="BQ135" i="6"/>
  <c r="BQ108" i="6"/>
  <c r="BQ104" i="6"/>
  <c r="BQ61" i="6"/>
  <c r="L48" i="7"/>
  <c r="BQ63" i="6"/>
  <c r="CX66" i="6"/>
  <c r="CY66" i="6" s="1"/>
  <c r="CX87" i="6"/>
  <c r="CY87" i="6" s="1"/>
  <c r="DD87" i="6" s="1"/>
  <c r="U133" i="5" s="1"/>
  <c r="CX60" i="6"/>
  <c r="CY60" i="6" s="1"/>
  <c r="DD60" i="6" s="1"/>
  <c r="CX92" i="6"/>
  <c r="CY92" i="6" s="1"/>
  <c r="CX91" i="6"/>
  <c r="CY91" i="6" s="1"/>
  <c r="CX118" i="6"/>
  <c r="CY118" i="6" s="1"/>
  <c r="DD118" i="6" s="1"/>
  <c r="CX85" i="6"/>
  <c r="CY85" i="6" s="1"/>
  <c r="CX135" i="6"/>
  <c r="CY135" i="6" s="1"/>
  <c r="DD135" i="6" s="1"/>
  <c r="U184" i="5" s="1"/>
  <c r="CX106" i="6"/>
  <c r="CY106" i="6" s="1"/>
  <c r="L32" i="7"/>
  <c r="L65" i="7"/>
  <c r="L55" i="7"/>
  <c r="L35" i="7"/>
  <c r="L43" i="7"/>
  <c r="L24" i="7"/>
  <c r="L40" i="7"/>
  <c r="CX119" i="6"/>
  <c r="CY119" i="6" s="1"/>
  <c r="DD119" i="6" s="1"/>
  <c r="CX121" i="6"/>
  <c r="CY121" i="6" s="1"/>
  <c r="DD121" i="6" s="1"/>
  <c r="U156" i="5" s="1"/>
  <c r="L64" i="7"/>
  <c r="CX104" i="6"/>
  <c r="CY104" i="6" s="1"/>
  <c r="CX102" i="6"/>
  <c r="CY102" i="6" s="1"/>
  <c r="DD102" i="6" s="1"/>
  <c r="CX89" i="6"/>
  <c r="CY89" i="6" s="1"/>
  <c r="CX93" i="6"/>
  <c r="CY93" i="6" s="1"/>
  <c r="CX88" i="6"/>
  <c r="CY88" i="6" s="1"/>
  <c r="CX81" i="6"/>
  <c r="CY81" i="6" s="1"/>
  <c r="CX84" i="6"/>
  <c r="CY84" i="6" s="1"/>
  <c r="DD84" i="6" s="1"/>
  <c r="CX90" i="6"/>
  <c r="CY90" i="6" s="1"/>
  <c r="CX61" i="6"/>
  <c r="CY61" i="6" s="1"/>
  <c r="DD61" i="6" s="1"/>
  <c r="CX58" i="6"/>
  <c r="CY58" i="6" s="1"/>
  <c r="DD58" i="6" s="1"/>
  <c r="CX64" i="6"/>
  <c r="CY64" i="6" s="1"/>
  <c r="DD64" i="6" s="1"/>
  <c r="CX63" i="6"/>
  <c r="CY63" i="6" s="1"/>
  <c r="DD63" i="6" s="1"/>
  <c r="CX65" i="6"/>
  <c r="CY65" i="6" s="1"/>
  <c r="DD65" i="6" s="1"/>
  <c r="CX62" i="6"/>
  <c r="CY62" i="6" s="1"/>
  <c r="DD62" i="6" s="1"/>
  <c r="L42" i="7"/>
  <c r="P42" i="7"/>
  <c r="L45" i="7"/>
  <c r="P45" i="7"/>
  <c r="L46" i="7"/>
  <c r="P46" i="7"/>
  <c r="L41" i="7"/>
  <c r="P41" i="7"/>
  <c r="L74" i="7"/>
  <c r="P74" i="7"/>
  <c r="L71" i="7"/>
  <c r="L26" i="7"/>
  <c r="L34" i="7"/>
  <c r="P34" i="7"/>
  <c r="L54" i="7"/>
  <c r="P54" i="7"/>
  <c r="L37" i="7"/>
  <c r="P37" i="7"/>
  <c r="L57" i="7"/>
  <c r="P57" i="7"/>
  <c r="L38" i="7"/>
  <c r="P38" i="7"/>
  <c r="L58" i="7"/>
  <c r="P58" i="7"/>
  <c r="L33" i="7"/>
  <c r="P33" i="7"/>
  <c r="L53" i="7"/>
  <c r="P53" i="7"/>
  <c r="L66" i="7"/>
  <c r="L36" i="7"/>
  <c r="L56" i="7"/>
  <c r="L39" i="7"/>
  <c r="L59" i="7"/>
  <c r="L44" i="7"/>
  <c r="L73" i="7"/>
  <c r="L31" i="7"/>
  <c r="L47" i="7"/>
  <c r="L72" i="7"/>
  <c r="H17" i="7"/>
  <c r="J17" i="7"/>
  <c r="L21" i="7"/>
  <c r="L25" i="7"/>
  <c r="L23" i="7"/>
  <c r="H15" i="7"/>
  <c r="J15" i="7"/>
  <c r="H19" i="7"/>
  <c r="J19" i="7"/>
  <c r="H13" i="7"/>
  <c r="J13" i="7"/>
  <c r="H11" i="7"/>
  <c r="J11" i="7"/>
  <c r="J20" i="7"/>
  <c r="H20" i="7"/>
  <c r="L22" i="7"/>
  <c r="J12" i="7"/>
  <c r="H12" i="7"/>
  <c r="J18" i="7"/>
  <c r="H18" i="7"/>
  <c r="J14" i="7"/>
  <c r="H14" i="7"/>
  <c r="H10" i="7"/>
  <c r="J10" i="7"/>
  <c r="J16" i="7"/>
  <c r="H16" i="7"/>
  <c r="CX136" i="6"/>
  <c r="CY136" i="6" s="1"/>
  <c r="DD136" i="6" s="1"/>
  <c r="CX59" i="6"/>
  <c r="CY59" i="6" s="1"/>
  <c r="DD59" i="6" s="1"/>
  <c r="CX103" i="6"/>
  <c r="CY103" i="6" s="1"/>
  <c r="DD103" i="6" s="1"/>
  <c r="CX67" i="6"/>
  <c r="CY67" i="6" s="1"/>
  <c r="CX134" i="6"/>
  <c r="CY134" i="6" s="1"/>
  <c r="DD134" i="6" s="1"/>
  <c r="U183" i="5" s="1"/>
  <c r="CX105" i="6"/>
  <c r="CY105" i="6" s="1"/>
  <c r="DD105" i="6" s="1"/>
  <c r="CX82" i="6"/>
  <c r="CY82" i="6" s="1"/>
  <c r="CX83" i="6"/>
  <c r="CY83" i="6" s="1"/>
  <c r="CX137" i="6"/>
  <c r="CY137" i="6" s="1"/>
  <c r="DD137" i="6" s="1"/>
  <c r="CX108" i="6"/>
  <c r="CX57" i="6"/>
  <c r="CY57" i="6" s="1"/>
  <c r="CX80" i="6"/>
  <c r="CY80" i="6" s="1"/>
  <c r="CX56" i="6"/>
  <c r="CY56" i="6" s="1"/>
  <c r="DD104" i="6" l="1"/>
  <c r="U93" i="5" s="1"/>
  <c r="DD106" i="6"/>
  <c r="U95" i="5" s="1"/>
  <c r="DD92" i="6"/>
  <c r="U138" i="5" s="1"/>
  <c r="DD90" i="6"/>
  <c r="N45" i="7" s="1"/>
  <c r="R45" i="7" s="1"/>
  <c r="DD81" i="6"/>
  <c r="N32" i="7" s="1"/>
  <c r="R32" i="7" s="1"/>
  <c r="DD88" i="6"/>
  <c r="U134" i="5" s="1"/>
  <c r="DD83" i="6"/>
  <c r="U129" i="5" s="1"/>
  <c r="DD82" i="6"/>
  <c r="F33" i="7" s="1"/>
  <c r="DD93" i="6"/>
  <c r="U139" i="5" s="1"/>
  <c r="DD85" i="6"/>
  <c r="N36" i="7" s="1"/>
  <c r="R36" i="7" s="1"/>
  <c r="DD80" i="6"/>
  <c r="U126" i="5" s="1"/>
  <c r="DD89" i="6"/>
  <c r="U135" i="5" s="1"/>
  <c r="DD91" i="6"/>
  <c r="U137" i="5" s="1"/>
  <c r="DD57" i="6"/>
  <c r="U72" i="5" s="1"/>
  <c r="DD66" i="6"/>
  <c r="U81" i="5" s="1"/>
  <c r="DD68" i="6"/>
  <c r="U83" i="5" s="1"/>
  <c r="DD56" i="6"/>
  <c r="F11" i="7" s="1"/>
  <c r="DD67" i="6"/>
  <c r="U82" i="5" s="1"/>
  <c r="U153" i="5"/>
  <c r="U154" i="5"/>
  <c r="T58" i="7"/>
  <c r="V58" i="7" s="1"/>
  <c r="F42" i="7"/>
  <c r="T42" i="7" s="1"/>
  <c r="V42" i="7" s="1"/>
  <c r="N42" i="7"/>
  <c r="R42" i="7" s="1"/>
  <c r="F18" i="7"/>
  <c r="U78" i="5"/>
  <c r="F23" i="7"/>
  <c r="F21" i="7"/>
  <c r="U186" i="5"/>
  <c r="N37" i="7"/>
  <c r="R37" i="7" s="1"/>
  <c r="F37" i="7"/>
  <c r="T37" i="7" s="1"/>
  <c r="V37" i="7" s="1"/>
  <c r="F54" i="7"/>
  <c r="T54" i="7" s="1"/>
  <c r="V54" i="7" s="1"/>
  <c r="N54" i="7"/>
  <c r="R54" i="7" s="1"/>
  <c r="U92" i="5"/>
  <c r="F14" i="7"/>
  <c r="N14" i="7" s="1"/>
  <c r="R14" i="7" s="1"/>
  <c r="T14" i="7"/>
  <c r="V14" i="7" s="1"/>
  <c r="U74" i="5"/>
  <c r="P18" i="7"/>
  <c r="L18" i="7"/>
  <c r="P11" i="7"/>
  <c r="L11" i="7"/>
  <c r="P19" i="7"/>
  <c r="L19" i="7"/>
  <c r="F22" i="7"/>
  <c r="P17" i="7"/>
  <c r="L17" i="7"/>
  <c r="F44" i="7"/>
  <c r="T44" i="7" s="1"/>
  <c r="V44" i="7" s="1"/>
  <c r="N44" i="7"/>
  <c r="R44" i="7" s="1"/>
  <c r="N43" i="7"/>
  <c r="R43" i="7" s="1"/>
  <c r="F43" i="7"/>
  <c r="T43" i="7" s="1"/>
  <c r="V43" i="7" s="1"/>
  <c r="F58" i="7"/>
  <c r="N58" i="7"/>
  <c r="R58" i="7" s="1"/>
  <c r="F41" i="7"/>
  <c r="T41" i="7" s="1"/>
  <c r="V41" i="7" s="1"/>
  <c r="N41" i="7"/>
  <c r="R41" i="7" s="1"/>
  <c r="F13" i="7"/>
  <c r="T13" i="7" s="1"/>
  <c r="U73" i="5"/>
  <c r="F20" i="7"/>
  <c r="U80" i="5"/>
  <c r="F15" i="7"/>
  <c r="N15" i="7" s="1"/>
  <c r="R15" i="7" s="1"/>
  <c r="T15" i="7"/>
  <c r="V15" i="7" s="1"/>
  <c r="U75" i="5"/>
  <c r="P16" i="7"/>
  <c r="L16" i="7"/>
  <c r="P14" i="7"/>
  <c r="L14" i="7"/>
  <c r="P12" i="7"/>
  <c r="L12" i="7"/>
  <c r="P13" i="7"/>
  <c r="L13" i="7"/>
  <c r="P15" i="7"/>
  <c r="L15" i="7"/>
  <c r="F35" i="7"/>
  <c r="T35" i="7" s="1"/>
  <c r="V35" i="7" s="1"/>
  <c r="N35" i="7"/>
  <c r="R35" i="7" s="1"/>
  <c r="U130" i="5"/>
  <c r="F53" i="7"/>
  <c r="T53" i="7" s="1"/>
  <c r="V53" i="7" s="1"/>
  <c r="N53" i="7"/>
  <c r="R53" i="7" s="1"/>
  <c r="U91" i="5"/>
  <c r="F17" i="7"/>
  <c r="U77" i="5"/>
  <c r="F16" i="7"/>
  <c r="U76" i="5"/>
  <c r="F19" i="7"/>
  <c r="U79" i="5"/>
  <c r="N56" i="7"/>
  <c r="R56" i="7" s="1"/>
  <c r="F56" i="7"/>
  <c r="T56" i="7" s="1"/>
  <c r="V56" i="7" s="1"/>
  <c r="U94" i="5"/>
  <c r="N38" i="7"/>
  <c r="R38" i="7" s="1"/>
  <c r="F38" i="7"/>
  <c r="T38" i="7" s="1"/>
  <c r="V38" i="7" s="1"/>
  <c r="U185" i="5"/>
  <c r="P10" i="7"/>
  <c r="L10" i="7"/>
  <c r="P20" i="7"/>
  <c r="L20" i="7"/>
  <c r="CY108" i="6"/>
  <c r="DD55" i="6"/>
  <c r="N48" i="7" l="1"/>
  <c r="R48" i="7" s="1"/>
  <c r="N39" i="7"/>
  <c r="R39" i="7" s="1"/>
  <c r="F48" i="7"/>
  <c r="T48" i="7" s="1"/>
  <c r="V48" i="7" s="1"/>
  <c r="F32" i="7"/>
  <c r="F24" i="7"/>
  <c r="T24" i="7" s="1"/>
  <c r="V24" i="7" s="1"/>
  <c r="N33" i="7"/>
  <c r="R33" i="7" s="1"/>
  <c r="T33" i="7"/>
  <c r="V33" i="7" s="1"/>
  <c r="F55" i="7"/>
  <c r="N57" i="7"/>
  <c r="R57" i="7" s="1"/>
  <c r="T55" i="7"/>
  <c r="V55" i="7" s="1"/>
  <c r="N55" i="7"/>
  <c r="R55" i="7" s="1"/>
  <c r="F57" i="7"/>
  <c r="T57" i="7" s="1"/>
  <c r="V57" i="7" s="1"/>
  <c r="U136" i="5"/>
  <c r="F47" i="7"/>
  <c r="T47" i="7" s="1"/>
  <c r="V47" i="7" s="1"/>
  <c r="F45" i="7"/>
  <c r="T45" i="7" s="1"/>
  <c r="V45" i="7" s="1"/>
  <c r="X45" i="7" s="1"/>
  <c r="N47" i="7"/>
  <c r="R47" i="7" s="1"/>
  <c r="N46" i="7"/>
  <c r="R46" i="7" s="1"/>
  <c r="F46" i="7"/>
  <c r="T46" i="7" s="1"/>
  <c r="V46" i="7" s="1"/>
  <c r="N40" i="7"/>
  <c r="R40" i="7" s="1"/>
  <c r="F40" i="7"/>
  <c r="T40" i="7" s="1"/>
  <c r="V40" i="7" s="1"/>
  <c r="U128" i="5"/>
  <c r="N34" i="7"/>
  <c r="R34" i="7" s="1"/>
  <c r="T34" i="7"/>
  <c r="V34" i="7" s="1"/>
  <c r="F31" i="7"/>
  <c r="N31" i="7"/>
  <c r="R31" i="7" s="1"/>
  <c r="F26" i="7"/>
  <c r="N26" i="7" s="1"/>
  <c r="R26" i="7" s="1"/>
  <c r="F25" i="7"/>
  <c r="N25" i="7" s="1"/>
  <c r="R25" i="7" s="1"/>
  <c r="F12" i="7"/>
  <c r="T12" i="7" s="1"/>
  <c r="V12" i="7" s="1"/>
  <c r="DD108" i="6"/>
  <c r="U97" i="5" s="1"/>
  <c r="U131" i="5"/>
  <c r="F36" i="7"/>
  <c r="T36" i="7" s="1"/>
  <c r="V36" i="7" s="1"/>
  <c r="X36" i="7" s="1"/>
  <c r="F39" i="7"/>
  <c r="T39" i="7" s="1"/>
  <c r="V39" i="7" s="1"/>
  <c r="X39" i="7" s="1"/>
  <c r="U127" i="5"/>
  <c r="T32" i="7"/>
  <c r="V32" i="7" s="1"/>
  <c r="X32" i="7" s="1"/>
  <c r="F34" i="7"/>
  <c r="T31" i="7"/>
  <c r="V31" i="7" s="1"/>
  <c r="U71" i="5"/>
  <c r="X14" i="7"/>
  <c r="N16" i="7"/>
  <c r="R16" i="7" s="1"/>
  <c r="T16" i="7"/>
  <c r="V16" i="7" s="1"/>
  <c r="N18" i="7"/>
  <c r="R18" i="7" s="1"/>
  <c r="T18" i="7"/>
  <c r="V18" i="7" s="1"/>
  <c r="N17" i="7"/>
  <c r="R17" i="7" s="1"/>
  <c r="T17" i="7"/>
  <c r="V17" i="7" s="1"/>
  <c r="N22" i="7"/>
  <c r="R22" i="7" s="1"/>
  <c r="T22" i="7"/>
  <c r="V22" i="7" s="1"/>
  <c r="N11" i="7"/>
  <c r="R11" i="7" s="1"/>
  <c r="T11" i="7"/>
  <c r="V11" i="7" s="1"/>
  <c r="N21" i="7"/>
  <c r="R21" i="7" s="1"/>
  <c r="T21" i="7"/>
  <c r="V21" i="7" s="1"/>
  <c r="N19" i="7"/>
  <c r="R19" i="7" s="1"/>
  <c r="T19" i="7"/>
  <c r="V19" i="7" s="1"/>
  <c r="N20" i="7"/>
  <c r="R20" i="7" s="1"/>
  <c r="T20" i="7"/>
  <c r="V20" i="7" s="1"/>
  <c r="N23" i="7"/>
  <c r="R23" i="7" s="1"/>
  <c r="T23" i="7"/>
  <c r="V23" i="7" s="1"/>
  <c r="X42" i="7"/>
  <c r="X38" i="7"/>
  <c r="X15" i="7"/>
  <c r="N13" i="7"/>
  <c r="R13" i="7" s="1"/>
  <c r="V13" i="7"/>
  <c r="X56" i="7"/>
  <c r="X41" i="7"/>
  <c r="N72" i="7"/>
  <c r="R72" i="7" s="1"/>
  <c r="F72" i="7"/>
  <c r="T72" i="7" s="1"/>
  <c r="V72" i="7" s="1"/>
  <c r="N74" i="7"/>
  <c r="R74" i="7" s="1"/>
  <c r="F74" i="7"/>
  <c r="T74" i="7" s="1"/>
  <c r="V74" i="7" s="1"/>
  <c r="X43" i="7"/>
  <c r="X54" i="7"/>
  <c r="N64" i="7"/>
  <c r="R64" i="7" s="1"/>
  <c r="F64" i="7"/>
  <c r="T64" i="7" s="1"/>
  <c r="V64" i="7" s="1"/>
  <c r="F66" i="7"/>
  <c r="T66" i="7" s="1"/>
  <c r="V66" i="7" s="1"/>
  <c r="N66" i="7"/>
  <c r="R66" i="7" s="1"/>
  <c r="F71" i="7"/>
  <c r="T71" i="7" s="1"/>
  <c r="V71" i="7" s="1"/>
  <c r="N71" i="7"/>
  <c r="R71" i="7" s="1"/>
  <c r="F10" i="7"/>
  <c r="U70" i="5"/>
  <c r="F65" i="7"/>
  <c r="T65" i="7" s="1"/>
  <c r="V65" i="7" s="1"/>
  <c r="N65" i="7"/>
  <c r="R65" i="7" s="1"/>
  <c r="F73" i="7"/>
  <c r="T73" i="7" s="1"/>
  <c r="V73" i="7" s="1"/>
  <c r="N73" i="7"/>
  <c r="R73" i="7" s="1"/>
  <c r="X53" i="7"/>
  <c r="X35" i="7"/>
  <c r="X58" i="7"/>
  <c r="X44" i="7"/>
  <c r="X37" i="7"/>
  <c r="N24" i="7" l="1"/>
  <c r="R24" i="7" s="1"/>
  <c r="X24" i="7" s="1"/>
  <c r="X48" i="7"/>
  <c r="X57" i="7"/>
  <c r="X33" i="7"/>
  <c r="X46" i="7"/>
  <c r="X55" i="7"/>
  <c r="T26" i="7"/>
  <c r="V26" i="7" s="1"/>
  <c r="X26" i="7" s="1"/>
  <c r="X47" i="7"/>
  <c r="X34" i="7"/>
  <c r="N12" i="7"/>
  <c r="R12" i="7" s="1"/>
  <c r="X12" i="7" s="1"/>
  <c r="T25" i="7"/>
  <c r="V25" i="7" s="1"/>
  <c r="X25" i="7" s="1"/>
  <c r="X40" i="7"/>
  <c r="F59" i="7"/>
  <c r="T59" i="7" s="1"/>
  <c r="V59" i="7" s="1"/>
  <c r="N59" i="7"/>
  <c r="R59" i="7" s="1"/>
  <c r="X31" i="7"/>
  <c r="X22" i="7"/>
  <c r="X16" i="7"/>
  <c r="X20" i="7"/>
  <c r="X11" i="7"/>
  <c r="X17" i="7"/>
  <c r="X18" i="7"/>
  <c r="X19" i="7"/>
  <c r="X23" i="7"/>
  <c r="X21" i="7"/>
  <c r="N10" i="7"/>
  <c r="R10" i="7" s="1"/>
  <c r="T10" i="7"/>
  <c r="V10" i="7" s="1"/>
  <c r="X71" i="7"/>
  <c r="X13" i="7"/>
  <c r="X66" i="7"/>
  <c r="X72" i="7"/>
  <c r="X73" i="7"/>
  <c r="X65" i="7"/>
  <c r="X74" i="7"/>
  <c r="X64" i="7"/>
  <c r="X59" i="7" l="1"/>
  <c r="X10" i="7"/>
</calcChain>
</file>

<file path=xl/sharedStrings.xml><?xml version="1.0" encoding="utf-8"?>
<sst xmlns="http://schemas.openxmlformats.org/spreadsheetml/2006/main" count="909" uniqueCount="171">
  <si>
    <t>Calibration Certificate</t>
  </si>
  <si>
    <t>Certificate No.:</t>
  </si>
  <si>
    <t>Customer :</t>
  </si>
  <si>
    <t>Location of Calibration :</t>
  </si>
  <si>
    <t>Manufacturer:</t>
  </si>
  <si>
    <t>Description:</t>
  </si>
  <si>
    <t>Model No:</t>
  </si>
  <si>
    <t>Options Installed:</t>
  </si>
  <si>
    <t>Serial No:</t>
  </si>
  <si>
    <t>Customer Asset No:</t>
  </si>
  <si>
    <t>Calibration Date:</t>
  </si>
  <si>
    <t>Work Order No.:</t>
  </si>
  <si>
    <t>Customer P.O.:</t>
  </si>
  <si>
    <t>Temperature:</t>
  </si>
  <si>
    <t>Humidity:</t>
  </si>
  <si>
    <t>Cal Method / Procedure :</t>
  </si>
  <si>
    <t>This is to certify that the above Measuring and Test Equipment has been calibrated by SONJU Engineering Services in accordance with relevant calibration procedure defined for this instrument.</t>
  </si>
  <si>
    <t>Reference Standard Used:</t>
  </si>
  <si>
    <t>Description</t>
  </si>
  <si>
    <t>Serial No.</t>
  </si>
  <si>
    <t>Cal Report Ref.</t>
  </si>
  <si>
    <t>Due Date</t>
  </si>
  <si>
    <t>Remarks:</t>
  </si>
  <si>
    <t>2. The user should determine the suitability of this instrument for its intended use.</t>
  </si>
  <si>
    <t>Calibration Officer</t>
  </si>
  <si>
    <t>Issue Date :</t>
  </si>
  <si>
    <t>Measurement Results:</t>
  </si>
  <si>
    <t>Range</t>
  </si>
  <si>
    <t>Nominal Value</t>
  </si>
  <si>
    <t>Error</t>
  </si>
  <si>
    <t>CALIBRATION DATASHEET</t>
  </si>
  <si>
    <t>Technical ID:</t>
  </si>
  <si>
    <t>Unit Under Calibration</t>
  </si>
  <si>
    <t>:</t>
  </si>
  <si>
    <t>Received Date</t>
  </si>
  <si>
    <t>Manufacturer</t>
  </si>
  <si>
    <t>Calibration Date</t>
  </si>
  <si>
    <t>Model</t>
  </si>
  <si>
    <t>Options Installed</t>
  </si>
  <si>
    <t>Serial Number</t>
  </si>
  <si>
    <t>Customer P.O.</t>
  </si>
  <si>
    <t>Asset Number</t>
  </si>
  <si>
    <t>Res/Readability</t>
  </si>
  <si>
    <t>Accuracy</t>
  </si>
  <si>
    <t>Prev. SES Cal Cert:</t>
  </si>
  <si>
    <t>YES</t>
  </si>
  <si>
    <t>Previous Technician</t>
  </si>
  <si>
    <t>Customer Details</t>
  </si>
  <si>
    <t>Calibration Location</t>
  </si>
  <si>
    <t>Company</t>
  </si>
  <si>
    <t>In-House (SONJU Laboratory)</t>
  </si>
  <si>
    <t>Address</t>
  </si>
  <si>
    <t>On-Site Calibration (Please Specify)</t>
  </si>
  <si>
    <t>Reference Standard/s Used</t>
  </si>
  <si>
    <t>Accessory Used</t>
  </si>
  <si>
    <t>Brand</t>
  </si>
  <si>
    <t>-</t>
  </si>
  <si>
    <t>Environmental Condition</t>
  </si>
  <si>
    <t>Calibration Method</t>
  </si>
  <si>
    <t>Temperature</t>
  </si>
  <si>
    <t>Relative Humidity</t>
  </si>
  <si>
    <t>Start:</t>
  </si>
  <si>
    <t>End:</t>
  </si>
  <si>
    <t>Observations</t>
  </si>
  <si>
    <t>Adjustment</t>
  </si>
  <si>
    <t xml:space="preserve"> Needed?</t>
  </si>
  <si>
    <t>NO</t>
  </si>
  <si>
    <t>Measurement Results</t>
  </si>
  <si>
    <t>DC Voltage Test</t>
  </si>
  <si>
    <t xml:space="preserve">Standard </t>
  </si>
  <si>
    <t>Repeatability</t>
  </si>
  <si>
    <t>Expanded Uncertainty</t>
  </si>
  <si>
    <t>Frequency</t>
  </si>
  <si>
    <t>Measured Value</t>
  </si>
  <si>
    <t>Average</t>
  </si>
  <si>
    <t>Tolerance</t>
  </si>
  <si>
    <t>Upper Limit</t>
  </si>
  <si>
    <t>Lower Limit</t>
  </si>
  <si>
    <t>Remarks</t>
  </si>
  <si>
    <t>Source</t>
  </si>
  <si>
    <t>Unit</t>
  </si>
  <si>
    <t>Divisor</t>
  </si>
  <si>
    <t>Ui</t>
  </si>
  <si>
    <t xml:space="preserve">COMBINED STANDARD </t>
  </si>
  <si>
    <t xml:space="preserve">EFFECTIVE DEGREES </t>
  </si>
  <si>
    <t>C. FACTOR,  k = student's</t>
  </si>
  <si>
    <t xml:space="preserve">EXPANDED UNCERTAINTY, </t>
  </si>
  <si>
    <t>UNCERTAINTY, Uc</t>
  </si>
  <si>
    <t>OF FREEDOM, Veff</t>
  </si>
  <si>
    <t>t for Veff  and 95 % C.L.</t>
  </si>
  <si>
    <t xml:space="preserve">U @ 95 % C.L. ± </t>
  </si>
  <si>
    <t>mV</t>
  </si>
  <si>
    <t>Readability</t>
  </si>
  <si>
    <t>V</t>
  </si>
  <si>
    <t>600 V</t>
  </si>
  <si>
    <t>AC Voltage Test</t>
  </si>
  <si>
    <t>50 Hz</t>
  </si>
  <si>
    <t>Resistance Test</t>
  </si>
  <si>
    <t>Ω</t>
  </si>
  <si>
    <t>kΩ</t>
  </si>
  <si>
    <t>MΩ</t>
  </si>
  <si>
    <t>DC Current Test</t>
  </si>
  <si>
    <t>mA</t>
  </si>
  <si>
    <t>AC Current Test</t>
  </si>
  <si>
    <t>Calibrated By</t>
  </si>
  <si>
    <t>Calibration Officer's Name</t>
  </si>
  <si>
    <t>Signature</t>
  </si>
  <si>
    <t>Date</t>
  </si>
  <si>
    <t>Checked By</t>
  </si>
  <si>
    <t>Encoded By</t>
  </si>
  <si>
    <t>%rh</t>
  </si>
  <si>
    <t>Uncertainty:</t>
  </si>
  <si>
    <t xml:space="preserve">  </t>
  </si>
  <si>
    <t xml:space="preserve"> </t>
  </si>
  <si>
    <t>Uncertainty</t>
  </si>
  <si>
    <t>1. The results were the average of the three (3) readings and were obtained during the time of calibration and refer only to the particular instrument submitted. Should the instrument be modified or damaged in any way, or develop inconsistent readings, the results may not be valid and the unit will require recalibration.</t>
  </si>
  <si>
    <t>MINIMUM  CMC</t>
  </si>
  <si>
    <t>FINAL UNCERTAINTY DECLARATION</t>
  </si>
  <si>
    <t>PASS/FAIL ANALYSIS</t>
  </si>
  <si>
    <t>FINAL REMARKS</t>
  </si>
  <si>
    <t>Measured + Upper 
UNC</t>
  </si>
  <si>
    <t>Measured + Lower 
UNC</t>
  </si>
  <si>
    <t>Measured Value
+ 
Uncertainty</t>
  </si>
  <si>
    <t>Measured Value
- 
Uncertainty</t>
  </si>
  <si>
    <t>Based on Tolerance</t>
  </si>
  <si>
    <t>Based on +/- Uncertainty Applied</t>
  </si>
  <si>
    <t>The expanded uncertainty of measurement for the results given in this certificate was estimated with a coverage factor of k = 2 at 95% level of confidence. The uncertainties of measurement were calculated using a budget worksheet based on JCGM 100:2008 Evaluation of measurement data - Guide to the Expression of Uncertainty in Measurement, 1st edition- 2008.</t>
  </si>
  <si>
    <t xml:space="preserve">Traceability: </t>
  </si>
  <si>
    <t>CoC</t>
  </si>
  <si>
    <t>Unit Under Test</t>
  </si>
  <si>
    <t>Annual Drift</t>
  </si>
  <si>
    <r>
      <rPr>
        <vertAlign val="superscript"/>
        <sz val="10"/>
        <rFont val="Arial Narrow"/>
        <family val="2"/>
      </rPr>
      <t>o</t>
    </r>
    <r>
      <rPr>
        <sz val="10"/>
        <rFont val="Arial Narrow"/>
        <family val="2"/>
      </rPr>
      <t>C</t>
    </r>
  </si>
  <si>
    <t>Jennefer S. Ilas</t>
  </si>
  <si>
    <t>Received Date:</t>
  </si>
  <si>
    <t>600 mV</t>
  </si>
  <si>
    <t>6 V</t>
  </si>
  <si>
    <t>60 V</t>
  </si>
  <si>
    <t>600 Ω</t>
  </si>
  <si>
    <t>6 kΩ</t>
  </si>
  <si>
    <t>60 kΩ</t>
  </si>
  <si>
    <t>600 kΩ</t>
  </si>
  <si>
    <t>6 A</t>
  </si>
  <si>
    <t>10 A</t>
  </si>
  <si>
    <t>1 kHz</t>
  </si>
  <si>
    <t>6 MΩ</t>
  </si>
  <si>
    <t>50 MΩ</t>
  </si>
  <si>
    <r>
      <t xml:space="preserve">600 </t>
    </r>
    <r>
      <rPr>
        <sz val="10"/>
        <rFont val="Calibri"/>
        <family val="2"/>
      </rPr>
      <t>µ</t>
    </r>
    <r>
      <rPr>
        <sz val="10"/>
        <rFont val="Arial Narrow"/>
        <family val="2"/>
      </rPr>
      <t>A</t>
    </r>
  </si>
  <si>
    <t>60 mA</t>
  </si>
  <si>
    <t>µA</t>
  </si>
  <si>
    <t>A</t>
  </si>
  <si>
    <t>400 mA</t>
  </si>
  <si>
    <t>Approved Signatory</t>
  </si>
  <si>
    <t>Interim Manager (Electrical)</t>
  </si>
  <si>
    <t>4. A positve error is to subtracted to the UUT indication and negative error added to give true value.</t>
  </si>
  <si>
    <t>5. As per customer request the  next calibration due date is on:</t>
  </si>
  <si>
    <t>The instrument was calibrated using reference standard/s traceable to SI Units as maintained by NML-ITDI (Philippines) through SONJU Engineering Services (Philippines)</t>
  </si>
  <si>
    <r>
      <t xml:space="preserve">3. </t>
    </r>
    <r>
      <rPr>
        <b/>
        <sz val="10.5"/>
        <color theme="1"/>
        <rFont val="Arial Narrow"/>
        <family val="2"/>
      </rPr>
      <t>Preliminary Inspection</t>
    </r>
    <r>
      <rPr>
        <sz val="10.5"/>
        <color theme="1"/>
        <rFont val="Arial Narrow"/>
        <family val="2"/>
      </rPr>
      <t>: No response at high and low current.</t>
    </r>
  </si>
  <si>
    <t>unit</t>
  </si>
  <si>
    <t>1000 V</t>
  </si>
  <si>
    <r>
      <t xml:space="preserve">6000 </t>
    </r>
    <r>
      <rPr>
        <sz val="10"/>
        <rFont val="Calibri"/>
        <family val="2"/>
      </rPr>
      <t>µ</t>
    </r>
    <r>
      <rPr>
        <sz val="10"/>
        <rFont val="Arial Narrow"/>
        <family val="2"/>
      </rPr>
      <t>A</t>
    </r>
  </si>
  <si>
    <t>5465-09</t>
  </si>
  <si>
    <t>DBN</t>
  </si>
  <si>
    <t>AA</t>
  </si>
  <si>
    <t>dfsfd</t>
  </si>
  <si>
    <t>See Specification Sheet</t>
  </si>
  <si>
    <t>NA</t>
  </si>
  <si>
    <t>NEW5</t>
  </si>
  <si>
    <t>x</t>
  </si>
  <si>
    <t>Friday, 5 September 2025</t>
  </si>
  <si>
    <t>As per SONJU Engineering Services Work Instruction 7W-02-54 Digital Multimeter Calibration Procedure._x000D_
_x000D_
This is to certify that the above Measuring and Test Equipment has been calibrated by SONJU Engineering Services in accordance with relevant calibration procedure defined for this instrument.</t>
  </si>
  <si>
    <t>DANICA BEA NERI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</si>
</sst>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9">
    <numFmt numFmtId="164" formatCode="0.0"/>
    <numFmt numFmtId="165" formatCode="0.0000000"/>
    <numFmt numFmtId="166" formatCode="0.000"/>
    <numFmt numFmtId="167" formatCode="[$-409]dd\-mmm\-yy;@"/>
    <numFmt numFmtId="168" formatCode="0.0000"/>
    <numFmt numFmtId="169" formatCode="0.00000"/>
    <numFmt numFmtId="170" formatCode="0.0E+00"/>
    <numFmt numFmtId="171" formatCode="0.000000"/>
    <numFmt numFmtId="172" formatCode="[$]dd\-mmm\-yy;@"/>
  </numFmts>
  <fonts count="26">
    <font>
      <sz val="11"/>
      <color theme="1"/>
      <name val="Calibri"/>
      <charset val="134"/>
      <scheme val="minor"/>
    </font>
    <font>
      <sz val="11"/>
      <color theme="1"/>
      <name val="Calibri"/>
      <family val="2"/>
      <scheme val="minor"/>
    </font>
    <font>
      <sz val="11"/>
      <color theme="1"/>
      <name val="Calibri"/>
      <family val="2"/>
      <scheme val="minor"/>
    </font>
    <font>
      <sz val="9"/>
      <color theme="1"/>
      <name val="Calibri"/>
      <family val="2"/>
    </font>
    <font>
      <sz val="10"/>
      <color theme="1"/>
      <name val="Arial Narrow"/>
      <family val="2"/>
    </font>
    <font>
      <b/>
      <sz val="10"/>
      <color theme="1"/>
      <name val="Arial Narrow"/>
      <family val="2"/>
    </font>
    <font>
      <b/>
      <sz val="10"/>
      <name val="Arial Narrow"/>
      <family val="2"/>
    </font>
    <font>
      <sz val="10"/>
      <name val="Arial Narrow"/>
      <family val="2"/>
    </font>
    <font>
      <sz val="9"/>
      <name val="Arial Narrow"/>
      <family val="2"/>
    </font>
    <font>
      <sz val="10"/>
      <name val="Arial"/>
      <family val="2"/>
    </font>
    <font>
      <b/>
      <sz val="10.5"/>
      <color theme="1"/>
      <name val="Arial Narrow"/>
      <family val="2"/>
    </font>
    <font>
      <sz val="10.5"/>
      <color theme="1"/>
      <name val="Arial Narrow"/>
      <family val="2"/>
    </font>
    <font>
      <b/>
      <sz val="20"/>
      <color theme="1"/>
      <name val="Arial "/>
    </font>
    <font>
      <sz val="11"/>
      <color rgb="FF9C0006"/>
      <name val="Calibri"/>
      <family val="2"/>
      <scheme val="minor"/>
    </font>
    <font>
      <sz val="10.5"/>
      <color theme="0"/>
      <name val="Arial Narrow"/>
      <family val="2"/>
    </font>
    <font>
      <b/>
      <sz val="10.5"/>
      <name val="Arial Narrow"/>
      <family val="2"/>
    </font>
    <font>
      <sz val="10.5"/>
      <name val="Arial Narrow"/>
      <family val="2"/>
    </font>
    <font>
      <sz val="11"/>
      <name val="Calibri"/>
      <family val="2"/>
      <scheme val="minor"/>
    </font>
    <font>
      <sz val="1"/>
      <name val="Calibri"/>
      <family val="2"/>
      <scheme val="minor"/>
    </font>
    <font>
      <b/>
      <sz val="14"/>
      <name val="Times New Roman"/>
      <family val="1"/>
    </font>
    <font>
      <sz val="9"/>
      <name val="Calibri"/>
      <family val="2"/>
    </font>
    <font>
      <sz val="10"/>
      <name val="Calibri"/>
      <family val="2"/>
    </font>
    <font>
      <vertAlign val="superscript"/>
      <sz val="10"/>
      <name val="Arial Narrow"/>
      <family val="2"/>
    </font>
    <font>
      <i/>
      <sz val="9"/>
      <name val="Calibri"/>
      <family val="2"/>
    </font>
    <font>
      <sz val="11"/>
      <name val="Arial"/>
      <family val="2"/>
    </font>
    <font>
      <b/>
      <sz val="9"/>
      <name val="Arial Narrow"/>
      <family val="2"/>
    </font>
  </fonts>
  <fills count="7">
    <fill>
      <patternFill patternType="none"/>
    </fill>
    <fill>
      <patternFill patternType="gray125"/>
    </fill>
    <fill>
      <patternFill patternType="solid">
        <fgColor theme="3" tint="0.39994506668294322"/>
        <bgColor indexed="64"/>
      </patternFill>
    </fill>
    <fill>
      <patternFill patternType="solid">
        <fgColor theme="1" tint="0.249977111117893"/>
        <bgColor indexed="64"/>
      </patternFill>
    </fill>
    <fill>
      <patternFill patternType="solid">
        <fgColor rgb="FFFFC7CE"/>
      </patternFill>
    </fill>
    <fill>
      <patternFill patternType="solid">
        <fgColor theme="0"/>
        <bgColor indexed="64"/>
      </patternFill>
    </fill>
    <fill>
      <patternFill patternType="solid">
        <fgColor theme="0" tint="-0.34998626667073579"/>
        <bgColor indexed="64"/>
      </patternFill>
    </fill>
  </fills>
  <borders count="102">
    <border>
      <left/>
      <right/>
      <top/>
      <bottom/>
      <diagonal/>
    </border>
    <border>
      <left/>
      <right/>
      <top/>
      <bottom style="thin">
        <color theme="0" tint="-0.499984740745262"/>
      </bottom>
      <diagonal/>
    </border>
    <border>
      <left/>
      <right/>
      <top style="thin">
        <color theme="0" tint="-0.499984740745262"/>
      </top>
      <bottom/>
      <diagonal/>
    </border>
    <border>
      <left/>
      <right/>
      <top/>
      <bottom style="thin">
        <color auto="1"/>
      </bottom>
      <diagonal/>
    </border>
    <border>
      <left/>
      <right/>
      <top style="thin">
        <color auto="1"/>
      </top>
      <bottom/>
      <diagonal/>
    </border>
    <border>
      <left/>
      <right/>
      <top style="thin">
        <color theme="0" tint="-0.499984740745262"/>
      </top>
      <bottom style="thin">
        <color theme="0" tint="-0.499984740745262"/>
      </bottom>
      <diagonal/>
    </border>
    <border>
      <left/>
      <right/>
      <top style="thin">
        <color theme="0" tint="-0.499984740745262"/>
      </top>
      <bottom style="thin">
        <color auto="1"/>
      </bottom>
      <diagonal/>
    </border>
    <border>
      <left/>
      <right/>
      <top style="thin">
        <color auto="1"/>
      </top>
      <bottom style="thin">
        <color auto="1"/>
      </bottom>
      <diagonal/>
    </border>
    <border>
      <left style="dashed">
        <color auto="1"/>
      </left>
      <right style="dashed">
        <color auto="1"/>
      </right>
      <top style="dashed">
        <color auto="1"/>
      </top>
      <bottom style="dashed">
        <color auto="1"/>
      </bottom>
      <diagonal/>
    </border>
    <border>
      <left style="dashed">
        <color auto="1"/>
      </left>
      <right/>
      <top style="dashed">
        <color auto="1"/>
      </top>
      <bottom/>
      <diagonal/>
    </border>
    <border>
      <left/>
      <right/>
      <top style="dashed">
        <color auto="1"/>
      </top>
      <bottom/>
      <diagonal/>
    </border>
    <border>
      <left style="dashed">
        <color auto="1"/>
      </left>
      <right/>
      <top/>
      <bottom/>
      <diagonal/>
    </border>
    <border>
      <left style="dashed">
        <color auto="1"/>
      </left>
      <right/>
      <top/>
      <bottom style="dashed">
        <color auto="1"/>
      </bottom>
      <diagonal/>
    </border>
    <border>
      <left/>
      <right/>
      <top/>
      <bottom style="dashed">
        <color auto="1"/>
      </bottom>
      <diagonal/>
    </border>
    <border>
      <left/>
      <right style="thin">
        <color theme="0" tint="-0.499984740745262"/>
      </right>
      <top style="thin">
        <color theme="0" tint="-0.499984740745262"/>
      </top>
      <bottom style="thin">
        <color theme="0" tint="-0.499984740745262"/>
      </bottom>
      <diagonal/>
    </border>
    <border>
      <left/>
      <right style="dashed">
        <color auto="1"/>
      </right>
      <top style="dashed">
        <color auto="1"/>
      </top>
      <bottom/>
      <diagonal/>
    </border>
    <border>
      <left style="dashed">
        <color auto="1"/>
      </left>
      <right/>
      <top style="dashed">
        <color auto="1"/>
      </top>
      <bottom style="dashed">
        <color auto="1"/>
      </bottom>
      <diagonal/>
    </border>
    <border>
      <left/>
      <right/>
      <top style="dashed">
        <color auto="1"/>
      </top>
      <bottom style="dashed">
        <color auto="1"/>
      </bottom>
      <diagonal/>
    </border>
    <border>
      <left/>
      <right style="dashed">
        <color auto="1"/>
      </right>
      <top/>
      <bottom/>
      <diagonal/>
    </border>
    <border>
      <left/>
      <right style="dashed">
        <color auto="1"/>
      </right>
      <top/>
      <bottom style="dashed">
        <color auto="1"/>
      </bottom>
      <diagonal/>
    </border>
    <border>
      <left style="thin">
        <color theme="0" tint="-0.499984740745262"/>
      </left>
      <right/>
      <top style="thin">
        <color theme="0" tint="-0.499984740745262"/>
      </top>
      <bottom/>
      <diagonal/>
    </border>
    <border>
      <left style="thin">
        <color theme="0" tint="-0.499984740745262"/>
      </left>
      <right/>
      <top style="thin">
        <color theme="0" tint="-0.499984740745262"/>
      </top>
      <bottom style="thin">
        <color theme="0" tint="-0.499984740745262"/>
      </bottom>
      <diagonal/>
    </border>
    <border>
      <left/>
      <right style="dashed">
        <color auto="1"/>
      </right>
      <top style="dashed">
        <color auto="1"/>
      </top>
      <bottom style="dashed">
        <color auto="1"/>
      </bottom>
      <diagonal/>
    </border>
    <border>
      <left/>
      <right style="thin">
        <color theme="0" tint="-0.499984740745262"/>
      </right>
      <top/>
      <bottom/>
      <diagonal/>
    </border>
    <border>
      <left style="thin">
        <color theme="0" tint="-0.499984740745262"/>
      </left>
      <right/>
      <top/>
      <bottom/>
      <diagonal/>
    </border>
    <border>
      <left/>
      <right style="thin">
        <color theme="0" tint="-0.499984740745262"/>
      </right>
      <top/>
      <bottom style="thin">
        <color theme="0" tint="-0.499984740745262"/>
      </bottom>
      <diagonal/>
    </border>
    <border>
      <left/>
      <right style="thin">
        <color theme="0" tint="-0.499984740745262"/>
      </right>
      <top style="thin">
        <color theme="0" tint="-0.499984740745262"/>
      </top>
      <bottom/>
      <diagonal/>
    </border>
    <border>
      <left/>
      <right style="thin">
        <color theme="0" tint="-0.34998626667073579"/>
      </right>
      <top/>
      <bottom/>
      <diagonal/>
    </border>
    <border>
      <left style="thin">
        <color theme="0" tint="-0.34998626667073579"/>
      </left>
      <right/>
      <top/>
      <bottom/>
      <diagonal/>
    </border>
    <border>
      <left/>
      <right style="thin">
        <color theme="0" tint="-0.34998626667073579"/>
      </right>
      <top/>
      <bottom style="thin">
        <color theme="0" tint="-0.499984740745262"/>
      </bottom>
      <diagonal/>
    </border>
    <border>
      <left style="thin">
        <color theme="0" tint="-0.34998626667073579"/>
      </left>
      <right/>
      <top/>
      <bottom style="thin">
        <color theme="0" tint="-0.499984740745262"/>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top/>
      <bottom/>
      <diagonal/>
    </border>
    <border>
      <left/>
      <right style="thin">
        <color auto="1"/>
      </right>
      <top/>
      <bottom/>
      <diagonal/>
    </border>
    <border>
      <left style="thin">
        <color auto="1"/>
      </left>
      <right style="thin">
        <color auto="1"/>
      </right>
      <top style="thin">
        <color auto="1"/>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thin">
        <color theme="0" tint="-0.499984740745262"/>
      </bottom>
      <diagonal/>
    </border>
    <border>
      <left/>
      <right style="medium">
        <color auto="1"/>
      </right>
      <top/>
      <bottom style="thin">
        <color theme="0" tint="-0.499984740745262"/>
      </bottom>
      <diagonal/>
    </border>
    <border>
      <left/>
      <right style="medium">
        <color auto="1"/>
      </right>
      <top style="thin">
        <color theme="0" tint="-0.499984740745262"/>
      </top>
      <bottom/>
      <diagonal/>
    </border>
    <border>
      <left/>
      <right style="medium">
        <color auto="1"/>
      </right>
      <top/>
      <bottom style="thin">
        <color auto="1"/>
      </bottom>
      <diagonal/>
    </border>
    <border>
      <left/>
      <right style="medium">
        <color auto="1"/>
      </right>
      <top style="thin">
        <color auto="1"/>
      </top>
      <bottom/>
      <diagonal/>
    </border>
    <border>
      <left style="medium">
        <color auto="1"/>
      </left>
      <right/>
      <top style="thin">
        <color theme="0" tint="-0.499984740745262"/>
      </top>
      <bottom/>
      <diagonal/>
    </border>
    <border>
      <left style="medium">
        <color auto="1"/>
      </left>
      <right/>
      <top style="thin">
        <color theme="0" tint="-0.499984740745262"/>
      </top>
      <bottom style="thin">
        <color theme="0" tint="-0.499984740745262"/>
      </bottom>
      <diagonal/>
    </border>
    <border>
      <left/>
      <right style="medium">
        <color auto="1"/>
      </right>
      <top style="thin">
        <color theme="0" tint="-0.499984740745262"/>
      </top>
      <bottom style="thin">
        <color theme="0" tint="-0.499984740745262"/>
      </bottom>
      <diagonal/>
    </border>
    <border>
      <left style="medium">
        <color auto="1"/>
      </left>
      <right/>
      <top/>
      <bottom style="medium">
        <color auto="1"/>
      </bottom>
      <diagonal/>
    </border>
    <border>
      <left/>
      <right/>
      <top/>
      <bottom style="medium">
        <color auto="1"/>
      </bottom>
      <diagonal/>
    </border>
    <border>
      <left/>
      <right style="thin">
        <color theme="0" tint="-0.499984740745262"/>
      </right>
      <top/>
      <bottom style="medium">
        <color auto="1"/>
      </bottom>
      <diagonal/>
    </border>
    <border>
      <left/>
      <right style="thin">
        <color theme="0" tint="-0.34998626667073579"/>
      </right>
      <top/>
      <bottom style="medium">
        <color auto="1"/>
      </bottom>
      <diagonal/>
    </border>
    <border>
      <left style="thin">
        <color theme="0" tint="-0.34998626667073579"/>
      </left>
      <right/>
      <top/>
      <bottom style="medium">
        <color auto="1"/>
      </bottom>
      <diagonal/>
    </border>
    <border>
      <left/>
      <right style="medium">
        <color auto="1"/>
      </right>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thin">
        <color theme="0" tint="-0.24994659260841701"/>
      </right>
      <top style="medium">
        <color auto="1"/>
      </top>
      <bottom/>
      <diagonal/>
    </border>
    <border>
      <left style="thin">
        <color theme="0" tint="-0.24994659260841701"/>
      </left>
      <right/>
      <top style="medium">
        <color auto="1"/>
      </top>
      <bottom/>
      <diagonal/>
    </border>
    <border>
      <left/>
      <right style="thin">
        <color theme="0" tint="-0.24994659260841701"/>
      </right>
      <top/>
      <bottom/>
      <diagonal/>
    </border>
    <border>
      <left style="thin">
        <color theme="0" tint="-0.24994659260841701"/>
      </left>
      <right/>
      <top/>
      <bottom/>
      <diagonal/>
    </border>
    <border>
      <left/>
      <right style="thin">
        <color theme="0" tint="-0.24994659260841701"/>
      </right>
      <top/>
      <bottom style="medium">
        <color auto="1"/>
      </bottom>
      <diagonal/>
    </border>
    <border>
      <left style="thin">
        <color theme="0" tint="-0.24994659260841701"/>
      </left>
      <right/>
      <top/>
      <bottom style="medium">
        <color auto="1"/>
      </bottom>
      <diagonal/>
    </border>
    <border>
      <left style="dashed">
        <color auto="1"/>
      </left>
      <right style="dashed">
        <color auto="1"/>
      </right>
      <top/>
      <bottom style="dashed">
        <color auto="1"/>
      </bottom>
      <diagonal/>
    </border>
    <border>
      <left style="medium">
        <color auto="1"/>
      </left>
      <right style="dashed">
        <color auto="1"/>
      </right>
      <top style="medium">
        <color auto="1"/>
      </top>
      <bottom style="medium">
        <color auto="1"/>
      </bottom>
      <diagonal/>
    </border>
    <border>
      <left style="dashed">
        <color auto="1"/>
      </left>
      <right style="dashed">
        <color auto="1"/>
      </right>
      <top style="medium">
        <color auto="1"/>
      </top>
      <bottom style="medium">
        <color auto="1"/>
      </bottom>
      <diagonal/>
    </border>
    <border>
      <left style="dashed">
        <color auto="1"/>
      </left>
      <right style="medium">
        <color auto="1"/>
      </right>
      <top style="medium">
        <color auto="1"/>
      </top>
      <bottom style="medium">
        <color auto="1"/>
      </bottom>
      <diagonal/>
    </border>
    <border>
      <left style="medium">
        <color auto="1"/>
      </left>
      <right style="dashed">
        <color auto="1"/>
      </right>
      <top style="medium">
        <color auto="1"/>
      </top>
      <bottom style="dashed">
        <color auto="1"/>
      </bottom>
      <diagonal/>
    </border>
    <border>
      <left style="dashed">
        <color auto="1"/>
      </left>
      <right style="dashed">
        <color auto="1"/>
      </right>
      <top style="medium">
        <color auto="1"/>
      </top>
      <bottom style="dashed">
        <color auto="1"/>
      </bottom>
      <diagonal/>
    </border>
    <border>
      <left style="dashed">
        <color auto="1"/>
      </left>
      <right style="medium">
        <color auto="1"/>
      </right>
      <top style="medium">
        <color auto="1"/>
      </top>
      <bottom style="dashed">
        <color auto="1"/>
      </bottom>
      <diagonal/>
    </border>
    <border>
      <left style="medium">
        <color auto="1"/>
      </left>
      <right style="dashed">
        <color auto="1"/>
      </right>
      <top style="dashed">
        <color auto="1"/>
      </top>
      <bottom style="dashed">
        <color auto="1"/>
      </bottom>
      <diagonal/>
    </border>
    <border>
      <left style="dashed">
        <color auto="1"/>
      </left>
      <right style="medium">
        <color auto="1"/>
      </right>
      <top style="dashed">
        <color auto="1"/>
      </top>
      <bottom style="dashed">
        <color auto="1"/>
      </bottom>
      <diagonal/>
    </border>
    <border>
      <left style="medium">
        <color auto="1"/>
      </left>
      <right style="dashed">
        <color auto="1"/>
      </right>
      <top style="dashed">
        <color auto="1"/>
      </top>
      <bottom style="medium">
        <color auto="1"/>
      </bottom>
      <diagonal/>
    </border>
    <border>
      <left style="dashed">
        <color auto="1"/>
      </left>
      <right style="dashed">
        <color auto="1"/>
      </right>
      <top style="dashed">
        <color auto="1"/>
      </top>
      <bottom style="medium">
        <color auto="1"/>
      </bottom>
      <diagonal/>
    </border>
    <border>
      <left style="dashed">
        <color auto="1"/>
      </left>
      <right style="medium">
        <color auto="1"/>
      </right>
      <top style="dashed">
        <color auto="1"/>
      </top>
      <bottom style="medium">
        <color auto="1"/>
      </bottom>
      <diagonal/>
    </border>
    <border>
      <left style="medium">
        <color auto="1"/>
      </left>
      <right style="dashed">
        <color auto="1"/>
      </right>
      <top/>
      <bottom style="dashed">
        <color auto="1"/>
      </bottom>
      <diagonal/>
    </border>
    <border>
      <left style="dashed">
        <color auto="1"/>
      </left>
      <right style="medium">
        <color auto="1"/>
      </right>
      <top/>
      <bottom style="dashed">
        <color auto="1"/>
      </bottom>
      <diagonal/>
    </border>
    <border>
      <left style="medium">
        <color auto="1"/>
      </left>
      <right style="medium">
        <color auto="1"/>
      </right>
      <top style="medium">
        <color auto="1"/>
      </top>
      <bottom style="dashed">
        <color auto="1"/>
      </bottom>
      <diagonal/>
    </border>
    <border>
      <left style="medium">
        <color auto="1"/>
      </left>
      <right style="medium">
        <color auto="1"/>
      </right>
      <top style="dashed">
        <color auto="1"/>
      </top>
      <bottom style="dashed">
        <color auto="1"/>
      </bottom>
      <diagonal/>
    </border>
    <border>
      <left style="medium">
        <color auto="1"/>
      </left>
      <right style="medium">
        <color auto="1"/>
      </right>
      <top style="dashed">
        <color auto="1"/>
      </top>
      <bottom style="medium">
        <color auto="1"/>
      </bottom>
      <diagonal/>
    </border>
    <border>
      <left style="dashed">
        <color auto="1"/>
      </left>
      <right/>
      <top style="medium">
        <color auto="1"/>
      </top>
      <bottom style="dashed">
        <color auto="1"/>
      </bottom>
      <diagonal/>
    </border>
    <border>
      <left style="dashed">
        <color auto="1"/>
      </left>
      <right/>
      <top style="dashed">
        <color auto="1"/>
      </top>
      <bottom style="medium">
        <color auto="1"/>
      </bottom>
      <diagonal/>
    </border>
    <border>
      <left style="dashed">
        <color auto="1"/>
      </left>
      <right style="dashed">
        <color auto="1"/>
      </right>
      <top style="medium">
        <color auto="1"/>
      </top>
      <bottom/>
      <diagonal/>
    </border>
    <border>
      <left/>
      <right/>
      <top/>
      <bottom style="medium">
        <color theme="0" tint="-0.499984740745262"/>
      </bottom>
      <diagonal/>
    </border>
    <border>
      <left style="dashed">
        <color auto="1"/>
      </left>
      <right style="dashed">
        <color auto="1"/>
      </right>
      <top style="dashed">
        <color auto="1"/>
      </top>
      <bottom/>
      <diagonal/>
    </border>
    <border>
      <left style="dashed">
        <color auto="1"/>
      </left>
      <right style="medium">
        <color auto="1"/>
      </right>
      <top style="dashed">
        <color auto="1"/>
      </top>
      <bottom/>
      <diagonal/>
    </border>
    <border>
      <left style="medium">
        <color auto="1"/>
      </left>
      <right style="medium">
        <color auto="1"/>
      </right>
      <top style="dashed">
        <color auto="1"/>
      </top>
      <bottom/>
      <diagonal/>
    </border>
    <border>
      <left style="medium">
        <color auto="1"/>
      </left>
      <right style="medium">
        <color auto="1"/>
      </right>
      <top/>
      <bottom style="dashed">
        <color auto="1"/>
      </bottom>
      <diagonal/>
    </border>
    <border>
      <left style="medium">
        <color auto="1"/>
      </left>
      <right style="dashed">
        <color auto="1"/>
      </right>
      <top style="dashed">
        <color auto="1"/>
      </top>
      <bottom/>
      <diagonal/>
    </border>
    <border>
      <left style="dashed">
        <color auto="1"/>
      </left>
      <right style="medium">
        <color auto="1"/>
      </right>
      <top/>
      <bottom style="medium">
        <color auto="1"/>
      </bottom>
      <diagonal/>
    </border>
    <border>
      <left style="medium">
        <color auto="1"/>
      </left>
      <right style="medium">
        <color auto="1"/>
      </right>
      <top/>
      <bottom style="medium">
        <color auto="1"/>
      </bottom>
      <diagonal/>
    </border>
    <border>
      <left style="dashed">
        <color auto="1"/>
      </left>
      <right style="dashed">
        <color auto="1"/>
      </right>
      <top/>
      <bottom/>
      <diagonal/>
    </border>
    <border>
      <left style="medium">
        <color auto="1"/>
      </left>
      <right style="dashed">
        <color auto="1"/>
      </right>
      <top/>
      <bottom style="medium">
        <color auto="1"/>
      </bottom>
      <diagonal/>
    </border>
  </borders>
  <cellStyleXfs count="6">
    <xf numFmtId="0" fontId="0" fillId="0" borderId="0"/>
    <xf numFmtId="0" fontId="9" fillId="0" borderId="0"/>
    <xf numFmtId="0" fontId="9" fillId="0" borderId="0"/>
    <xf numFmtId="0" fontId="13" fillId="4" borderId="0" applyNumberFormat="0" applyBorder="0" applyAlignment="0" applyProtection="0"/>
    <xf numFmtId="0" fontId="2" fillId="0" borderId="0"/>
    <xf numFmtId="0" fontId="1" fillId="0" borderId="0"/>
  </cellStyleXfs>
  <cellXfs count="477">
    <xf numFmtId="0" fontId="0" fillId="0" borderId="0" xfId="0"/>
    <xf numFmtId="1" fontId="7" fillId="0" borderId="8" xfId="1" applyNumberFormat="1" applyFont="1" applyBorder="1" applyAlignment="1">
      <alignment horizontal="center" vertical="center"/>
    </xf>
    <xf numFmtId="0" fontId="6" fillId="0" borderId="0" xfId="0" applyFont="1" applyAlignment="1">
      <alignment horizontal="center" vertical="center"/>
    </xf>
    <xf numFmtId="0" fontId="6" fillId="0" borderId="0" xfId="1" applyFont="1" applyAlignment="1">
      <alignment horizontal="center" vertical="center"/>
    </xf>
    <xf numFmtId="170" fontId="7" fillId="0" borderId="0" xfId="1" applyNumberFormat="1" applyFont="1" applyAlignment="1">
      <alignment horizontal="center" vertical="center"/>
    </xf>
    <xf numFmtId="171" fontId="7" fillId="0" borderId="8" xfId="1" applyNumberFormat="1" applyFont="1" applyBorder="1" applyAlignment="1">
      <alignment horizontal="center" vertical="center"/>
    </xf>
    <xf numFmtId="169" fontId="7" fillId="0" borderId="8" xfId="1" applyNumberFormat="1" applyFont="1" applyBorder="1" applyAlignment="1">
      <alignment horizontal="center" vertical="center"/>
    </xf>
    <xf numFmtId="0" fontId="7" fillId="0" borderId="0" xfId="0" applyFont="1"/>
    <xf numFmtId="0" fontId="7" fillId="0" borderId="0" xfId="1" applyFont="1" applyAlignment="1">
      <alignment vertical="center"/>
    </xf>
    <xf numFmtId="0" fontId="8" fillId="0" borderId="0" xfId="1" applyFont="1" applyAlignment="1">
      <alignment horizontal="center" vertical="center"/>
    </xf>
    <xf numFmtId="1" fontId="8" fillId="0" borderId="0" xfId="1" applyNumberFormat="1" applyFont="1" applyAlignment="1">
      <alignment horizontal="center" vertical="center"/>
    </xf>
    <xf numFmtId="170" fontId="8" fillId="0" borderId="0" xfId="1" applyNumberFormat="1" applyFont="1" applyAlignment="1">
      <alignment horizontal="center" vertical="center"/>
    </xf>
    <xf numFmtId="171" fontId="8" fillId="0" borderId="0" xfId="1" applyNumberFormat="1" applyFont="1" applyAlignment="1">
      <alignment horizontal="center" vertical="center"/>
    </xf>
    <xf numFmtId="166" fontId="8" fillId="0" borderId="0" xfId="1" applyNumberFormat="1" applyFont="1" applyAlignment="1">
      <alignment horizontal="center" vertical="center"/>
    </xf>
    <xf numFmtId="169" fontId="8" fillId="0" borderId="0" xfId="1" applyNumberFormat="1" applyFont="1" applyAlignment="1">
      <alignment horizontal="center" vertical="center"/>
    </xf>
    <xf numFmtId="0" fontId="8" fillId="0" borderId="0" xfId="1" applyFont="1" applyAlignment="1">
      <alignment vertical="center"/>
    </xf>
    <xf numFmtId="164" fontId="8" fillId="0" borderId="0" xfId="1" applyNumberFormat="1" applyFont="1" applyAlignment="1">
      <alignment horizontal="center" vertical="center"/>
    </xf>
    <xf numFmtId="2" fontId="8" fillId="0" borderId="0" xfId="1" applyNumberFormat="1" applyFont="1" applyAlignment="1">
      <alignment horizontal="right" vertical="center"/>
    </xf>
    <xf numFmtId="1" fontId="8" fillId="0" borderId="0" xfId="1" applyNumberFormat="1" applyFont="1" applyAlignment="1">
      <alignment horizontal="left" vertical="center"/>
    </xf>
    <xf numFmtId="0" fontId="10" fillId="0" borderId="0" xfId="0" applyFont="1" applyAlignment="1">
      <alignment vertical="center"/>
    </xf>
    <xf numFmtId="0" fontId="11" fillId="0" borderId="0" xfId="0" applyFont="1"/>
    <xf numFmtId="0" fontId="10" fillId="0" borderId="0" xfId="0" applyFont="1"/>
    <xf numFmtId="0" fontId="11" fillId="0" borderId="0" xfId="0" applyFont="1" applyAlignment="1">
      <alignment horizontal="center" vertical="center"/>
    </xf>
    <xf numFmtId="0" fontId="11" fillId="3" borderId="0" xfId="0" applyFont="1" applyFill="1"/>
    <xf numFmtId="0" fontId="11" fillId="0" borderId="0" xfId="0" applyFont="1" applyAlignment="1">
      <alignment vertical="top"/>
    </xf>
    <xf numFmtId="0" fontId="11" fillId="0" borderId="0" xfId="0" applyFont="1" applyAlignment="1">
      <alignment vertical="top" wrapText="1"/>
    </xf>
    <xf numFmtId="0" fontId="11" fillId="0" borderId="0" xfId="0" applyFont="1" applyAlignment="1">
      <alignment vertical="center"/>
    </xf>
    <xf numFmtId="0" fontId="10" fillId="0" borderId="0" xfId="0" applyFont="1" applyAlignment="1">
      <alignment horizontal="left"/>
    </xf>
    <xf numFmtId="0" fontId="11" fillId="3" borderId="0" xfId="0" applyFont="1" applyFill="1" applyAlignment="1">
      <alignment vertical="top"/>
    </xf>
    <xf numFmtId="0" fontId="11" fillId="0" borderId="0" xfId="0" applyFont="1" applyAlignment="1">
      <alignment horizontal="center" vertical="center" wrapText="1"/>
    </xf>
    <xf numFmtId="0" fontId="10" fillId="0" borderId="0" xfId="0" applyFont="1" applyAlignment="1">
      <alignment horizontal="left" vertical="top"/>
    </xf>
    <xf numFmtId="0" fontId="11" fillId="0" borderId="0" xfId="0" applyFont="1" applyAlignment="1">
      <alignment horizontal="left" vertical="top" wrapText="1"/>
    </xf>
    <xf numFmtId="167" fontId="10" fillId="0" borderId="0" xfId="0" applyNumberFormat="1" applyFont="1" applyAlignment="1">
      <alignment horizontal="left" vertical="top"/>
    </xf>
    <xf numFmtId="0" fontId="3" fillId="5" borderId="0" xfId="0" applyFont="1" applyFill="1"/>
    <xf numFmtId="2" fontId="4" fillId="5" borderId="32" xfId="0" applyNumberFormat="1" applyFont="1" applyFill="1" applyBorder="1" applyAlignment="1">
      <alignment vertical="center"/>
    </xf>
    <xf numFmtId="2" fontId="4" fillId="5" borderId="33" xfId="0" applyNumberFormat="1" applyFont="1" applyFill="1" applyBorder="1" applyAlignment="1">
      <alignment vertical="center"/>
    </xf>
    <xf numFmtId="166" fontId="4" fillId="5" borderId="32" xfId="0" applyNumberFormat="1" applyFont="1" applyFill="1" applyBorder="1" applyAlignment="1">
      <alignment vertical="center"/>
    </xf>
    <xf numFmtId="166" fontId="4" fillId="5" borderId="33" xfId="0" applyNumberFormat="1" applyFont="1" applyFill="1" applyBorder="1" applyAlignment="1">
      <alignment vertical="center"/>
    </xf>
    <xf numFmtId="2" fontId="4" fillId="5" borderId="32" xfId="0" applyNumberFormat="1" applyFont="1" applyFill="1" applyBorder="1" applyAlignment="1">
      <alignment horizontal="right"/>
    </xf>
    <xf numFmtId="164" fontId="4" fillId="5" borderId="32" xfId="0" applyNumberFormat="1" applyFont="1" applyFill="1" applyBorder="1" applyAlignment="1">
      <alignment vertical="center"/>
    </xf>
    <xf numFmtId="164" fontId="4" fillId="5" borderId="33" xfId="0" applyNumberFormat="1" applyFont="1" applyFill="1" applyBorder="1" applyAlignment="1">
      <alignment vertical="center"/>
    </xf>
    <xf numFmtId="1" fontId="4" fillId="5" borderId="32" xfId="0" applyNumberFormat="1" applyFont="1" applyFill="1" applyBorder="1" applyAlignment="1">
      <alignment vertical="center"/>
    </xf>
    <xf numFmtId="1" fontId="4" fillId="5" borderId="33" xfId="0" applyNumberFormat="1" applyFont="1" applyFill="1" applyBorder="1" applyAlignment="1">
      <alignment vertical="center"/>
    </xf>
    <xf numFmtId="164" fontId="0" fillId="0" borderId="32" xfId="0" applyNumberFormat="1" applyBorder="1"/>
    <xf numFmtId="164" fontId="4" fillId="0" borderId="33" xfId="0" applyNumberFormat="1" applyFont="1" applyBorder="1"/>
    <xf numFmtId="2" fontId="0" fillId="0" borderId="32" xfId="0" applyNumberFormat="1" applyBorder="1"/>
    <xf numFmtId="2" fontId="4" fillId="0" borderId="33" xfId="0" applyNumberFormat="1" applyFont="1" applyBorder="1"/>
    <xf numFmtId="166" fontId="0" fillId="0" borderId="32" xfId="0" applyNumberFormat="1" applyBorder="1"/>
    <xf numFmtId="166" fontId="4" fillId="0" borderId="33" xfId="0" applyNumberFormat="1" applyFont="1" applyBorder="1"/>
    <xf numFmtId="1" fontId="0" fillId="0" borderId="32" xfId="0" applyNumberFormat="1" applyBorder="1"/>
    <xf numFmtId="1" fontId="4" fillId="0" borderId="33" xfId="0" applyNumberFormat="1" applyFont="1" applyBorder="1"/>
    <xf numFmtId="164" fontId="4" fillId="5" borderId="7" xfId="0" applyNumberFormat="1" applyFont="1" applyFill="1" applyBorder="1" applyAlignment="1">
      <alignment vertical="center"/>
    </xf>
    <xf numFmtId="171" fontId="4" fillId="5" borderId="32" xfId="0" applyNumberFormat="1" applyFont="1" applyFill="1" applyBorder="1" applyAlignment="1">
      <alignment horizontal="right"/>
    </xf>
    <xf numFmtId="0" fontId="11" fillId="3" borderId="0" xfId="0" applyFont="1" applyFill="1" applyProtection="1">
      <protection locked="0"/>
    </xf>
    <xf numFmtId="0" fontId="11" fillId="0" borderId="0" xfId="0" applyFont="1" applyProtection="1">
      <protection locked="0"/>
    </xf>
    <xf numFmtId="0" fontId="4" fillId="0" borderId="0" xfId="0" applyFont="1" applyAlignment="1">
      <alignment vertical="top" wrapText="1"/>
    </xf>
    <xf numFmtId="0" fontId="11" fillId="3" borderId="0" xfId="0" applyFont="1" applyFill="1" applyAlignment="1">
      <alignment vertical="center"/>
    </xf>
    <xf numFmtId="0" fontId="11" fillId="3" borderId="0" xfId="0" applyFont="1" applyFill="1" applyAlignment="1" applyProtection="1">
      <alignment vertical="center"/>
      <protection locked="0"/>
    </xf>
    <xf numFmtId="0" fontId="11" fillId="0" borderId="0" xfId="0" applyFont="1" applyAlignment="1" applyProtection="1">
      <alignment vertical="center"/>
      <protection locked="0"/>
    </xf>
    <xf numFmtId="0" fontId="11" fillId="0" borderId="0" xfId="0" applyFont="1" applyAlignment="1">
      <alignment vertical="center" wrapText="1"/>
    </xf>
    <xf numFmtId="0" fontId="14" fillId="3" borderId="0" xfId="0" applyFont="1" applyFill="1"/>
    <xf numFmtId="0" fontId="14" fillId="0" borderId="0" xfId="0" applyFont="1"/>
    <xf numFmtId="0" fontId="15" fillId="0" borderId="0" xfId="0" applyFont="1"/>
    <xf numFmtId="0" fontId="16" fillId="0" borderId="0" xfId="0" applyFont="1"/>
    <xf numFmtId="0" fontId="10" fillId="0" borderId="0" xfId="0" applyFont="1" applyAlignment="1">
      <alignment horizontal="left" vertical="center"/>
    </xf>
    <xf numFmtId="167" fontId="10" fillId="0" borderId="0" xfId="0" applyNumberFormat="1" applyFont="1" applyAlignment="1">
      <alignment horizontal="left" vertical="center"/>
    </xf>
    <xf numFmtId="0" fontId="11" fillId="0" borderId="0" xfId="0" applyFont="1" applyAlignment="1">
      <alignment horizontal="left" vertical="top"/>
    </xf>
    <xf numFmtId="0" fontId="11" fillId="0" borderId="0" xfId="0" applyFont="1" applyAlignment="1" applyProtection="1">
      <alignment vertical="top" wrapText="1"/>
      <protection locked="0"/>
    </xf>
    <xf numFmtId="0" fontId="10" fillId="0" borderId="0" xfId="0" applyFont="1" applyAlignment="1" applyProtection="1">
      <alignment vertical="top"/>
      <protection locked="0"/>
    </xf>
    <xf numFmtId="2" fontId="11" fillId="0" borderId="0" xfId="0" applyNumberFormat="1" applyFont="1" applyAlignment="1">
      <alignment horizontal="center" vertical="center"/>
    </xf>
    <xf numFmtId="0" fontId="7" fillId="0" borderId="76" xfId="1" applyFont="1" applyBorder="1" applyAlignment="1">
      <alignment horizontal="center" vertical="center"/>
    </xf>
    <xf numFmtId="1" fontId="7" fillId="0" borderId="77" xfId="1" applyNumberFormat="1" applyFont="1" applyBorder="1" applyAlignment="1">
      <alignment horizontal="center" vertical="center"/>
    </xf>
    <xf numFmtId="0" fontId="7" fillId="0" borderId="79" xfId="1" applyFont="1" applyBorder="1" applyAlignment="1">
      <alignment horizontal="center" vertical="center"/>
    </xf>
    <xf numFmtId="0" fontId="7" fillId="0" borderId="81" xfId="1" applyFont="1" applyBorder="1" applyAlignment="1">
      <alignment horizontal="center" vertical="center"/>
    </xf>
    <xf numFmtId="1" fontId="7" fillId="0" borderId="82" xfId="1" applyNumberFormat="1" applyFont="1" applyBorder="1" applyAlignment="1">
      <alignment horizontal="center" vertical="center"/>
    </xf>
    <xf numFmtId="0" fontId="7" fillId="0" borderId="84" xfId="1" applyFont="1" applyBorder="1" applyAlignment="1">
      <alignment horizontal="center" vertical="center"/>
    </xf>
    <xf numFmtId="1" fontId="7" fillId="0" borderId="72" xfId="1" applyNumberFormat="1" applyFont="1" applyBorder="1" applyAlignment="1">
      <alignment horizontal="center" vertical="center"/>
    </xf>
    <xf numFmtId="170" fontId="7" fillId="0" borderId="86" xfId="1" applyNumberFormat="1" applyFont="1" applyBorder="1" applyAlignment="1">
      <alignment horizontal="center" vertical="center"/>
    </xf>
    <xf numFmtId="170" fontId="7" fillId="0" borderId="87" xfId="1" applyNumberFormat="1" applyFont="1" applyBorder="1" applyAlignment="1">
      <alignment horizontal="center" vertical="center"/>
    </xf>
    <xf numFmtId="170" fontId="7" fillId="0" borderId="88" xfId="1" applyNumberFormat="1" applyFont="1" applyBorder="1" applyAlignment="1">
      <alignment horizontal="center" vertical="center"/>
    </xf>
    <xf numFmtId="166" fontId="7" fillId="0" borderId="78" xfId="1" applyNumberFormat="1" applyFont="1" applyBorder="1" applyAlignment="1">
      <alignment horizontal="center" vertical="center"/>
    </xf>
    <xf numFmtId="166" fontId="7" fillId="0" borderId="80" xfId="1" applyNumberFormat="1" applyFont="1" applyBorder="1" applyAlignment="1">
      <alignment horizontal="center" vertical="center"/>
    </xf>
    <xf numFmtId="166" fontId="7" fillId="0" borderId="83" xfId="1" applyNumberFormat="1" applyFont="1" applyBorder="1" applyAlignment="1">
      <alignment horizontal="center" vertical="center"/>
    </xf>
    <xf numFmtId="169" fontId="7" fillId="0" borderId="77" xfId="1" applyNumberFormat="1" applyFont="1" applyBorder="1" applyAlignment="1">
      <alignment horizontal="center" vertical="center"/>
    </xf>
    <xf numFmtId="169" fontId="7" fillId="0" borderId="82" xfId="1" applyNumberFormat="1" applyFont="1" applyBorder="1" applyAlignment="1">
      <alignment horizontal="center" vertical="center"/>
    </xf>
    <xf numFmtId="169" fontId="7" fillId="0" borderId="86" xfId="1" applyNumberFormat="1" applyFont="1" applyBorder="1" applyAlignment="1">
      <alignment horizontal="center" vertical="center"/>
    </xf>
    <xf numFmtId="169" fontId="7" fillId="0" borderId="87" xfId="1" applyNumberFormat="1" applyFont="1" applyBorder="1" applyAlignment="1">
      <alignment horizontal="center" vertical="center"/>
    </xf>
    <xf numFmtId="169" fontId="7" fillId="0" borderId="88" xfId="1" applyNumberFormat="1" applyFont="1" applyBorder="1" applyAlignment="1">
      <alignment horizontal="center" vertical="center"/>
    </xf>
    <xf numFmtId="171" fontId="7" fillId="0" borderId="77" xfId="1" applyNumberFormat="1" applyFont="1" applyBorder="1" applyAlignment="1">
      <alignment horizontal="center" vertical="center"/>
    </xf>
    <xf numFmtId="171" fontId="7" fillId="0" borderId="82" xfId="1" applyNumberFormat="1" applyFont="1" applyBorder="1" applyAlignment="1">
      <alignment horizontal="center" vertical="center"/>
    </xf>
    <xf numFmtId="171" fontId="7" fillId="0" borderId="91" xfId="1" applyNumberFormat="1" applyFont="1" applyBorder="1" applyAlignment="1">
      <alignment horizontal="center" vertical="center"/>
    </xf>
    <xf numFmtId="1" fontId="7" fillId="0" borderId="91" xfId="1" applyNumberFormat="1" applyFont="1" applyBorder="1" applyAlignment="1">
      <alignment horizontal="center" vertical="center"/>
    </xf>
    <xf numFmtId="170" fontId="7" fillId="0" borderId="76" xfId="1" applyNumberFormat="1" applyFont="1" applyBorder="1" applyAlignment="1">
      <alignment horizontal="center" vertical="center"/>
    </xf>
    <xf numFmtId="164" fontId="7" fillId="0" borderId="78" xfId="1" applyNumberFormat="1" applyFont="1" applyBorder="1" applyAlignment="1">
      <alignment horizontal="center" vertical="center"/>
    </xf>
    <xf numFmtId="170" fontId="7" fillId="0" borderId="79" xfId="1" applyNumberFormat="1" applyFont="1" applyBorder="1" applyAlignment="1">
      <alignment horizontal="center" vertical="center"/>
    </xf>
    <xf numFmtId="164" fontId="7" fillId="0" borderId="80" xfId="1" applyNumberFormat="1" applyFont="1" applyBorder="1" applyAlignment="1">
      <alignment horizontal="center" vertical="center"/>
    </xf>
    <xf numFmtId="170" fontId="7" fillId="0" borderId="81" xfId="1" applyNumberFormat="1" applyFont="1" applyBorder="1" applyAlignment="1">
      <alignment horizontal="center" vertical="center"/>
    </xf>
    <xf numFmtId="164" fontId="7" fillId="0" borderId="83" xfId="1" applyNumberFormat="1" applyFont="1" applyBorder="1" applyAlignment="1">
      <alignment horizontal="center" vertical="center"/>
    </xf>
    <xf numFmtId="170" fontId="7" fillId="0" borderId="84" xfId="1" applyNumberFormat="1" applyFont="1" applyBorder="1" applyAlignment="1">
      <alignment horizontal="center" vertical="center"/>
    </xf>
    <xf numFmtId="171" fontId="7" fillId="0" borderId="72" xfId="1" applyNumberFormat="1" applyFont="1" applyBorder="1" applyAlignment="1">
      <alignment horizontal="center" vertical="center"/>
    </xf>
    <xf numFmtId="164" fontId="7" fillId="0" borderId="85" xfId="1" applyNumberFormat="1" applyFont="1" applyBorder="1" applyAlignment="1">
      <alignment horizontal="center" vertical="center"/>
    </xf>
    <xf numFmtId="165" fontId="6" fillId="0" borderId="77" xfId="1" applyNumberFormat="1" applyFont="1" applyBorder="1" applyAlignment="1">
      <alignment horizontal="center" vertical="center"/>
    </xf>
    <xf numFmtId="165" fontId="6" fillId="0" borderId="82" xfId="1" applyNumberFormat="1" applyFont="1" applyBorder="1" applyAlignment="1">
      <alignment horizontal="center" vertical="center"/>
    </xf>
    <xf numFmtId="166" fontId="7" fillId="0" borderId="76" xfId="1" applyNumberFormat="1" applyFont="1" applyBorder="1" applyAlignment="1">
      <alignment horizontal="right" vertical="center"/>
    </xf>
    <xf numFmtId="1" fontId="7" fillId="0" borderId="78" xfId="1" applyNumberFormat="1" applyFont="1" applyBorder="1" applyAlignment="1">
      <alignment horizontal="left" vertical="center"/>
    </xf>
    <xf numFmtId="166" fontId="7" fillId="0" borderId="79" xfId="1" applyNumberFormat="1" applyFont="1" applyBorder="1" applyAlignment="1">
      <alignment horizontal="right" vertical="center"/>
    </xf>
    <xf numFmtId="1" fontId="7" fillId="0" borderId="80" xfId="1" applyNumberFormat="1" applyFont="1" applyBorder="1" applyAlignment="1">
      <alignment horizontal="left" vertical="center"/>
    </xf>
    <xf numFmtId="166" fontId="7" fillId="0" borderId="81" xfId="1" applyNumberFormat="1" applyFont="1" applyBorder="1" applyAlignment="1">
      <alignment horizontal="right" vertical="center"/>
    </xf>
    <xf numFmtId="1" fontId="7" fillId="0" borderId="83" xfId="1" applyNumberFormat="1" applyFont="1" applyBorder="1" applyAlignment="1">
      <alignment horizontal="left" vertical="center"/>
    </xf>
    <xf numFmtId="164" fontId="7" fillId="0" borderId="16" xfId="1" applyNumberFormat="1" applyFont="1" applyBorder="1" applyAlignment="1">
      <alignment horizontal="center" vertical="center"/>
    </xf>
    <xf numFmtId="168" fontId="7" fillId="0" borderId="79" xfId="1" applyNumberFormat="1" applyFont="1" applyBorder="1" applyAlignment="1">
      <alignment horizontal="right" vertical="center"/>
    </xf>
    <xf numFmtId="169" fontId="7" fillId="0" borderId="79" xfId="1" applyNumberFormat="1" applyFont="1" applyBorder="1" applyAlignment="1">
      <alignment horizontal="right" vertical="center"/>
    </xf>
    <xf numFmtId="2" fontId="7" fillId="0" borderId="79" xfId="1" applyNumberFormat="1" applyFont="1" applyBorder="1" applyAlignment="1">
      <alignment horizontal="right" vertical="center"/>
    </xf>
    <xf numFmtId="2" fontId="7" fillId="0" borderId="81" xfId="1" applyNumberFormat="1" applyFont="1" applyBorder="1" applyAlignment="1">
      <alignment horizontal="right" vertical="center"/>
    </xf>
    <xf numFmtId="164" fontId="7" fillId="0" borderId="89" xfId="1" applyNumberFormat="1" applyFont="1" applyBorder="1" applyAlignment="1">
      <alignment horizontal="center" vertical="center"/>
    </xf>
    <xf numFmtId="164" fontId="7" fillId="0" borderId="90" xfId="1" applyNumberFormat="1" applyFont="1" applyBorder="1" applyAlignment="1">
      <alignment horizontal="center" vertical="center"/>
    </xf>
    <xf numFmtId="168" fontId="7" fillId="0" borderId="81" xfId="1" applyNumberFormat="1" applyFont="1" applyBorder="1" applyAlignment="1">
      <alignment horizontal="right" vertical="center"/>
    </xf>
    <xf numFmtId="168" fontId="7" fillId="0" borderId="76" xfId="1" applyNumberFormat="1" applyFont="1" applyBorder="1" applyAlignment="1">
      <alignment horizontal="right" vertical="center"/>
    </xf>
    <xf numFmtId="169" fontId="7" fillId="0" borderId="76" xfId="1" applyNumberFormat="1" applyFont="1" applyBorder="1" applyAlignment="1">
      <alignment horizontal="right" vertical="center"/>
    </xf>
    <xf numFmtId="0" fontId="6" fillId="0" borderId="76" xfId="1" applyFont="1" applyBorder="1" applyAlignment="1">
      <alignment horizontal="center" vertical="center"/>
    </xf>
    <xf numFmtId="0" fontId="6" fillId="0" borderId="81" xfId="1" applyFont="1" applyBorder="1" applyAlignment="1">
      <alignment horizontal="center" vertical="center"/>
    </xf>
    <xf numFmtId="0" fontId="6" fillId="0" borderId="89" xfId="1" applyFont="1" applyBorder="1" applyAlignment="1">
      <alignment horizontal="center" vertical="center"/>
    </xf>
    <xf numFmtId="0" fontId="6" fillId="0" borderId="90" xfId="1" applyFont="1" applyBorder="1" applyAlignment="1">
      <alignment horizontal="center" vertical="center"/>
    </xf>
    <xf numFmtId="0" fontId="17" fillId="2" borderId="0" xfId="0" applyFont="1" applyFill="1"/>
    <xf numFmtId="0" fontId="17" fillId="5" borderId="41" xfId="0" applyFont="1" applyFill="1" applyBorder="1"/>
    <xf numFmtId="0" fontId="17" fillId="5" borderId="42" xfId="0" applyFont="1" applyFill="1" applyBorder="1"/>
    <xf numFmtId="0" fontId="17" fillId="5" borderId="43" xfId="0" applyFont="1" applyFill="1" applyBorder="1"/>
    <xf numFmtId="0" fontId="17" fillId="0" borderId="0" xfId="0" applyFont="1"/>
    <xf numFmtId="0" fontId="17" fillId="5" borderId="44" xfId="0" applyFont="1" applyFill="1" applyBorder="1"/>
    <xf numFmtId="0" fontId="17" fillId="5" borderId="0" xfId="0" applyFont="1" applyFill="1"/>
    <xf numFmtId="0" fontId="17" fillId="5" borderId="45" xfId="0" applyFont="1" applyFill="1" applyBorder="1"/>
    <xf numFmtId="0" fontId="18" fillId="5" borderId="0" xfId="0" applyFont="1" applyFill="1"/>
    <xf numFmtId="0" fontId="19" fillId="5" borderId="44" xfId="0" applyFont="1" applyFill="1" applyBorder="1"/>
    <xf numFmtId="0" fontId="17" fillId="5" borderId="46" xfId="0" applyFont="1" applyFill="1" applyBorder="1"/>
    <xf numFmtId="0" fontId="17" fillId="5" borderId="1" xfId="0" applyFont="1" applyFill="1" applyBorder="1"/>
    <xf numFmtId="0" fontId="17" fillId="5" borderId="47" xfId="0" applyFont="1" applyFill="1" applyBorder="1"/>
    <xf numFmtId="0" fontId="20" fillId="2" borderId="0" xfId="0" applyFont="1" applyFill="1"/>
    <xf numFmtId="0" fontId="7" fillId="5" borderId="44" xfId="0" applyFont="1" applyFill="1" applyBorder="1"/>
    <xf numFmtId="0" fontId="7" fillId="5" borderId="0" xfId="0" applyFont="1" applyFill="1"/>
    <xf numFmtId="0" fontId="7" fillId="5" borderId="0" xfId="0" applyFont="1" applyFill="1" applyAlignment="1">
      <alignment vertical="center"/>
    </xf>
    <xf numFmtId="0" fontId="7" fillId="5" borderId="2" xfId="0" applyFont="1" applyFill="1" applyBorder="1" applyAlignment="1">
      <alignment vertical="center"/>
    </xf>
    <xf numFmtId="0" fontId="7" fillId="5" borderId="45" xfId="0" applyFont="1" applyFill="1" applyBorder="1"/>
    <xf numFmtId="0" fontId="8" fillId="2" borderId="0" xfId="0" applyFont="1" applyFill="1"/>
    <xf numFmtId="0" fontId="20" fillId="0" borderId="0" xfId="0" applyFont="1"/>
    <xf numFmtId="0" fontId="7" fillId="5" borderId="44" xfId="0" applyFont="1" applyFill="1" applyBorder="1" applyAlignment="1">
      <alignment horizontal="left"/>
    </xf>
    <xf numFmtId="0" fontId="7" fillId="5" borderId="0" xfId="0" applyFont="1" applyFill="1" applyAlignment="1">
      <alignment horizontal="left"/>
    </xf>
    <xf numFmtId="0" fontId="7" fillId="5" borderId="0" xfId="0" applyFont="1" applyFill="1" applyAlignment="1">
      <alignment horizontal="center"/>
    </xf>
    <xf numFmtId="0" fontId="7" fillId="5" borderId="45" xfId="0" applyFont="1" applyFill="1" applyBorder="1" applyAlignment="1">
      <alignment horizontal="left"/>
    </xf>
    <xf numFmtId="0" fontId="7" fillId="5" borderId="66" xfId="0" applyFont="1" applyFill="1" applyBorder="1"/>
    <xf numFmtId="0" fontId="7" fillId="5" borderId="67" xfId="0" applyFont="1" applyFill="1" applyBorder="1"/>
    <xf numFmtId="0" fontId="7" fillId="5" borderId="68" xfId="0" applyFont="1" applyFill="1" applyBorder="1"/>
    <xf numFmtId="0" fontId="7" fillId="5" borderId="69" xfId="0" applyFont="1" applyFill="1" applyBorder="1"/>
    <xf numFmtId="0" fontId="7" fillId="5" borderId="70" xfId="0" applyFont="1" applyFill="1" applyBorder="1"/>
    <xf numFmtId="0" fontId="7" fillId="5" borderId="71" xfId="0" applyFont="1" applyFill="1" applyBorder="1"/>
    <xf numFmtId="0" fontId="21" fillId="5" borderId="0" xfId="0" applyFont="1" applyFill="1"/>
    <xf numFmtId="0" fontId="7" fillId="5" borderId="0" xfId="0" applyFont="1" applyFill="1" applyAlignment="1">
      <alignment horizontal="right"/>
    </xf>
    <xf numFmtId="20" fontId="7" fillId="5" borderId="0" xfId="0" applyNumberFormat="1" applyFont="1" applyFill="1" applyAlignment="1">
      <alignment vertical="center"/>
    </xf>
    <xf numFmtId="20" fontId="7" fillId="5" borderId="0" xfId="0" applyNumberFormat="1" applyFont="1" applyFill="1" applyAlignment="1">
      <alignment vertical="center" wrapText="1"/>
    </xf>
    <xf numFmtId="0" fontId="7" fillId="5" borderId="0" xfId="0" applyFont="1" applyFill="1" applyAlignment="1">
      <alignment vertical="center" wrapText="1"/>
    </xf>
    <xf numFmtId="0" fontId="7" fillId="5" borderId="23" xfId="0" applyFont="1" applyFill="1" applyBorder="1"/>
    <xf numFmtId="0" fontId="6" fillId="6" borderId="63" xfId="0" applyFont="1" applyFill="1" applyBorder="1"/>
    <xf numFmtId="0" fontId="6" fillId="6" borderId="64" xfId="0" applyFont="1" applyFill="1" applyBorder="1"/>
    <xf numFmtId="0" fontId="6" fillId="6" borderId="65" xfId="0" applyFont="1" applyFill="1" applyBorder="1"/>
    <xf numFmtId="0" fontId="7" fillId="5" borderId="0" xfId="0" applyFont="1" applyFill="1" applyAlignment="1">
      <alignment vertical="top"/>
    </xf>
    <xf numFmtId="0" fontId="6" fillId="5" borderId="0" xfId="0" applyFont="1" applyFill="1"/>
    <xf numFmtId="0" fontId="7" fillId="5" borderId="2" xfId="0" applyFont="1" applyFill="1" applyBorder="1"/>
    <xf numFmtId="0" fontId="20" fillId="5" borderId="44" xfId="0" applyFont="1" applyFill="1" applyBorder="1" applyAlignment="1">
      <alignment vertical="center"/>
    </xf>
    <xf numFmtId="0" fontId="20" fillId="5" borderId="0" xfId="0" applyFont="1" applyFill="1" applyAlignment="1">
      <alignment vertical="center"/>
    </xf>
    <xf numFmtId="0" fontId="20" fillId="5" borderId="45" xfId="0" applyFont="1" applyFill="1" applyBorder="1" applyAlignment="1">
      <alignment vertical="center"/>
    </xf>
    <xf numFmtId="0" fontId="7" fillId="2" borderId="0" xfId="0" applyFont="1" applyFill="1"/>
    <xf numFmtId="0" fontId="7" fillId="5" borderId="44" xfId="0" applyFont="1" applyFill="1" applyBorder="1" applyAlignment="1">
      <alignment vertical="center"/>
    </xf>
    <xf numFmtId="0" fontId="6" fillId="5" borderId="0" xfId="0" applyFont="1" applyFill="1" applyAlignment="1">
      <alignment vertical="center"/>
    </xf>
    <xf numFmtId="0" fontId="7" fillId="5" borderId="45" xfId="0" applyFont="1" applyFill="1" applyBorder="1" applyAlignment="1">
      <alignment vertical="center"/>
    </xf>
    <xf numFmtId="0" fontId="7" fillId="2" borderId="0" xfId="0" applyFont="1" applyFill="1" applyAlignment="1">
      <alignment vertical="center"/>
    </xf>
    <xf numFmtId="0" fontId="7" fillId="0" borderId="0" xfId="0" applyFont="1" applyAlignment="1">
      <alignment vertical="center"/>
    </xf>
    <xf numFmtId="0" fontId="7" fillId="0" borderId="85" xfId="1" applyFont="1" applyBorder="1" applyAlignment="1">
      <alignment horizontal="center" vertical="center"/>
    </xf>
    <xf numFmtId="0" fontId="7" fillId="0" borderId="77" xfId="1" applyFont="1" applyBorder="1" applyAlignment="1">
      <alignment horizontal="center" vertical="center"/>
    </xf>
    <xf numFmtId="0" fontId="20" fillId="0" borderId="7" xfId="0" applyFont="1" applyBorder="1"/>
    <xf numFmtId="1" fontId="20" fillId="0" borderId="33" xfId="0" applyNumberFormat="1" applyFont="1" applyBorder="1"/>
    <xf numFmtId="168" fontId="7" fillId="0" borderId="8" xfId="1" applyNumberFormat="1" applyFont="1" applyBorder="1" applyAlignment="1">
      <alignment horizontal="center" vertical="center"/>
    </xf>
    <xf numFmtId="0" fontId="7" fillId="0" borderId="80" xfId="1" applyFont="1" applyBorder="1" applyAlignment="1">
      <alignment horizontal="center" vertical="center"/>
    </xf>
    <xf numFmtId="0" fontId="7" fillId="0" borderId="8" xfId="1" applyFont="1" applyBorder="1" applyAlignment="1">
      <alignment horizontal="center" vertical="center"/>
    </xf>
    <xf numFmtId="0" fontId="7" fillId="0" borderId="83" xfId="1" applyFont="1" applyBorder="1" applyAlignment="1">
      <alignment horizontal="center" vertical="center"/>
    </xf>
    <xf numFmtId="0" fontId="7" fillId="0" borderId="82" xfId="1" applyFont="1" applyBorder="1" applyAlignment="1">
      <alignment horizontal="center" vertical="center"/>
    </xf>
    <xf numFmtId="0" fontId="8" fillId="5" borderId="0" xfId="0" applyFont="1" applyFill="1" applyAlignment="1">
      <alignment horizontal="center" vertical="center"/>
    </xf>
    <xf numFmtId="0" fontId="8" fillId="5" borderId="0" xfId="0" applyFont="1" applyFill="1" applyAlignment="1">
      <alignment horizontal="right" vertical="center"/>
    </xf>
    <xf numFmtId="0" fontId="8" fillId="5" borderId="0" xfId="0" applyFont="1" applyFill="1" applyAlignment="1">
      <alignment horizontal="left" vertical="center"/>
    </xf>
    <xf numFmtId="0" fontId="8" fillId="5" borderId="0" xfId="0" applyFont="1" applyFill="1" applyAlignment="1">
      <alignment horizontal="center"/>
    </xf>
    <xf numFmtId="1" fontId="8" fillId="5" borderId="0" xfId="0" applyNumberFormat="1" applyFont="1" applyFill="1" applyAlignment="1">
      <alignment horizontal="center"/>
    </xf>
    <xf numFmtId="1" fontId="8" fillId="2" borderId="0" xfId="0" applyNumberFormat="1" applyFont="1" applyFill="1" applyAlignment="1">
      <alignment horizontal="center"/>
    </xf>
    <xf numFmtId="169" fontId="8" fillId="2" borderId="0" xfId="0" applyNumberFormat="1" applyFont="1" applyFill="1" applyAlignment="1">
      <alignment horizontal="center"/>
    </xf>
    <xf numFmtId="0" fontId="7" fillId="0" borderId="78" xfId="1" applyFont="1" applyBorder="1" applyAlignment="1">
      <alignment horizontal="center" vertical="center"/>
    </xf>
    <xf numFmtId="2" fontId="7" fillId="0" borderId="8" xfId="1" applyNumberFormat="1" applyFont="1" applyBorder="1" applyAlignment="1">
      <alignment horizontal="center" vertical="center"/>
    </xf>
    <xf numFmtId="0" fontId="8" fillId="5" borderId="51" xfId="0" applyFont="1" applyFill="1" applyBorder="1" applyAlignment="1">
      <alignment horizontal="left"/>
    </xf>
    <xf numFmtId="0" fontId="8" fillId="5" borderId="2" xfId="0" applyFont="1" applyFill="1" applyBorder="1" applyAlignment="1">
      <alignment horizontal="center"/>
    </xf>
    <xf numFmtId="0" fontId="8" fillId="5" borderId="2" xfId="0" applyFont="1" applyFill="1" applyBorder="1"/>
    <xf numFmtId="0" fontId="8" fillId="5" borderId="48" xfId="0" applyFont="1" applyFill="1" applyBorder="1" applyAlignment="1">
      <alignment horizontal="center"/>
    </xf>
    <xf numFmtId="0" fontId="8" fillId="5" borderId="44" xfId="0" applyFont="1" applyFill="1" applyBorder="1" applyAlignment="1">
      <alignment horizontal="left"/>
    </xf>
    <xf numFmtId="0" fontId="8" fillId="5" borderId="0" xfId="0" applyFont="1" applyFill="1"/>
    <xf numFmtId="0" fontId="8" fillId="5" borderId="45" xfId="0" applyFont="1" applyFill="1" applyBorder="1" applyAlignment="1">
      <alignment horizontal="center"/>
    </xf>
    <xf numFmtId="0" fontId="24" fillId="2" borderId="0" xfId="0" applyFont="1" applyFill="1"/>
    <xf numFmtId="0" fontId="24" fillId="0" borderId="0" xfId="0" applyFont="1"/>
    <xf numFmtId="169" fontId="7" fillId="0" borderId="91" xfId="1" applyNumberFormat="1" applyFont="1" applyBorder="1" applyAlignment="1">
      <alignment horizontal="center" vertical="center"/>
    </xf>
    <xf numFmtId="165" fontId="20" fillId="0" borderId="7" xfId="0" applyNumberFormat="1" applyFont="1" applyBorder="1"/>
    <xf numFmtId="0" fontId="1" fillId="0" borderId="0" xfId="5"/>
    <xf numFmtId="168" fontId="7" fillId="0" borderId="77" xfId="1" applyNumberFormat="1" applyFont="1" applyBorder="1" applyAlignment="1">
      <alignment horizontal="center" vertical="center"/>
    </xf>
    <xf numFmtId="0" fontId="7" fillId="0" borderId="94" xfId="1" applyFont="1" applyBorder="1" applyAlignment="1">
      <alignment horizontal="center" vertical="center"/>
    </xf>
    <xf numFmtId="170" fontId="7" fillId="0" borderId="95" xfId="1" applyNumberFormat="1" applyFont="1" applyBorder="1" applyAlignment="1">
      <alignment horizontal="center" vertical="center"/>
    </xf>
    <xf numFmtId="1" fontId="7" fillId="0" borderId="93" xfId="1" applyNumberFormat="1" applyFont="1" applyBorder="1" applyAlignment="1">
      <alignment horizontal="center" vertical="center"/>
    </xf>
    <xf numFmtId="170" fontId="7" fillId="0" borderId="96" xfId="1" applyNumberFormat="1" applyFont="1" applyBorder="1" applyAlignment="1">
      <alignment horizontal="center" vertical="center"/>
    </xf>
    <xf numFmtId="0" fontId="7" fillId="0" borderId="97" xfId="1" applyFont="1" applyBorder="1" applyAlignment="1">
      <alignment horizontal="center" vertical="center"/>
    </xf>
    <xf numFmtId="166" fontId="7" fillId="0" borderId="93" xfId="1" applyNumberFormat="1" applyFont="1" applyBorder="1" applyAlignment="1">
      <alignment horizontal="center" vertical="center"/>
    </xf>
    <xf numFmtId="0" fontId="7" fillId="0" borderId="98" xfId="1" applyFont="1" applyBorder="1" applyAlignment="1">
      <alignment horizontal="center" vertical="center"/>
    </xf>
    <xf numFmtId="170" fontId="7" fillId="0" borderId="99" xfId="1" applyNumberFormat="1" applyFont="1" applyBorder="1" applyAlignment="1">
      <alignment horizontal="center" vertical="center"/>
    </xf>
    <xf numFmtId="169" fontId="7" fillId="0" borderId="93" xfId="1" applyNumberFormat="1" applyFont="1" applyBorder="1" applyAlignment="1">
      <alignment horizontal="center" vertical="center"/>
    </xf>
    <xf numFmtId="169" fontId="7" fillId="0" borderId="100" xfId="1" applyNumberFormat="1" applyFont="1" applyBorder="1" applyAlignment="1">
      <alignment horizontal="center" vertical="center"/>
    </xf>
    <xf numFmtId="0" fontId="7" fillId="0" borderId="101" xfId="1" applyFont="1" applyBorder="1" applyAlignment="1">
      <alignment horizontal="center" vertical="center"/>
    </xf>
    <xf numFmtId="0" fontId="20" fillId="0" borderId="42" xfId="0" applyFont="1" applyBorder="1"/>
    <xf numFmtId="0" fontId="20" fillId="0" borderId="64" xfId="0" applyFont="1" applyBorder="1"/>
    <xf numFmtId="0" fontId="4" fillId="0" borderId="0" xfId="0" applyFont="1" applyAlignment="1">
      <alignment horizontal="center" vertical="center"/>
    </xf>
    <xf numFmtId="166" fontId="20" fillId="0" borderId="32" xfId="0" applyNumberFormat="1" applyFont="1" applyBorder="1" applyAlignment="1">
      <alignment horizontal="right"/>
    </xf>
    <xf numFmtId="169" fontId="7" fillId="0" borderId="72" xfId="1" applyNumberFormat="1" applyFont="1" applyBorder="1" applyAlignment="1">
      <alignment horizontal="center" vertical="center"/>
    </xf>
    <xf numFmtId="165" fontId="7" fillId="0" borderId="8" xfId="1" applyNumberFormat="1" applyFont="1" applyBorder="1" applyAlignment="1">
      <alignment horizontal="center" vertical="center"/>
    </xf>
    <xf numFmtId="168" fontId="7" fillId="0" borderId="82" xfId="1" applyNumberFormat="1" applyFont="1" applyBorder="1" applyAlignment="1">
      <alignment horizontal="center" vertical="center"/>
    </xf>
    <xf numFmtId="166" fontId="7" fillId="0" borderId="8" xfId="1" applyNumberFormat="1" applyFont="1" applyBorder="1" applyAlignment="1">
      <alignment horizontal="center" vertical="center"/>
    </xf>
    <xf numFmtId="166" fontId="7" fillId="0" borderId="82" xfId="1" applyNumberFormat="1" applyFont="1" applyBorder="1" applyAlignment="1">
      <alignment horizontal="center" vertical="center"/>
    </xf>
    <xf numFmtId="166" fontId="7" fillId="0" borderId="72" xfId="1" applyNumberFormat="1" applyFont="1" applyBorder="1" applyAlignment="1">
      <alignment horizontal="center" vertical="center"/>
    </xf>
    <xf numFmtId="0" fontId="10" fillId="0" borderId="0" xfId="0" applyFont="1" applyAlignment="1">
      <alignment horizontal="center"/>
    </xf>
    <xf numFmtId="0" fontId="4" fillId="0" borderId="0" xfId="0" applyFont="1" applyAlignment="1">
      <alignment horizontal="center" vertical="center"/>
    </xf>
    <xf numFmtId="2" fontId="16" fillId="0" borderId="32" xfId="0" applyNumberFormat="1" applyFont="1" applyBorder="1" applyAlignment="1">
      <alignment horizontal="center" vertical="center"/>
    </xf>
    <xf numFmtId="2" fontId="16" fillId="0" borderId="7" xfId="0" applyNumberFormat="1" applyFont="1" applyBorder="1" applyAlignment="1">
      <alignment horizontal="center" vertical="center"/>
    </xf>
    <xf numFmtId="2" fontId="16" fillId="0" borderId="33" xfId="0" applyNumberFormat="1" applyFont="1" applyBorder="1" applyAlignment="1">
      <alignment horizontal="center" vertical="center"/>
    </xf>
    <xf numFmtId="0" fontId="16" fillId="0" borderId="34" xfId="0" applyFont="1" applyBorder="1" applyAlignment="1">
      <alignment horizontal="center" vertical="center"/>
    </xf>
    <xf numFmtId="0" fontId="16" fillId="0" borderId="4" xfId="0" applyFont="1" applyBorder="1" applyAlignment="1">
      <alignment horizontal="center" vertical="center"/>
    </xf>
    <xf numFmtId="0" fontId="16" fillId="0" borderId="36" xfId="0" applyFont="1" applyBorder="1" applyAlignment="1">
      <alignment horizontal="center" vertical="center"/>
    </xf>
    <xf numFmtId="0" fontId="16" fillId="0" borderId="35" xfId="0" applyFont="1" applyBorder="1" applyAlignment="1">
      <alignment horizontal="center" vertical="center"/>
    </xf>
    <xf numFmtId="0" fontId="16" fillId="0" borderId="3" xfId="0" applyFont="1" applyBorder="1" applyAlignment="1">
      <alignment horizontal="center" vertical="center"/>
    </xf>
    <xf numFmtId="0" fontId="16" fillId="0" borderId="37" xfId="0" applyFont="1" applyBorder="1" applyAlignment="1">
      <alignment horizontal="center" vertical="center"/>
    </xf>
    <xf numFmtId="0" fontId="11" fillId="0" borderId="31" xfId="0" applyFont="1" applyBorder="1" applyAlignment="1">
      <alignment horizontal="center" vertical="center"/>
    </xf>
    <xf numFmtId="2" fontId="16" fillId="0" borderId="31" xfId="0" applyNumberFormat="1" applyFont="1" applyBorder="1" applyAlignment="1">
      <alignment horizontal="center" vertical="center"/>
    </xf>
    <xf numFmtId="0" fontId="10" fillId="0" borderId="31" xfId="0" applyFont="1" applyBorder="1" applyAlignment="1">
      <alignment horizontal="center" vertical="center"/>
    </xf>
    <xf numFmtId="1" fontId="11" fillId="0" borderId="31" xfId="0" applyNumberFormat="1" applyFont="1" applyBorder="1" applyAlignment="1">
      <alignment horizontal="center" vertical="center"/>
    </xf>
    <xf numFmtId="167" fontId="11" fillId="0" borderId="31" xfId="0" applyNumberFormat="1" applyFont="1" applyBorder="1" applyAlignment="1">
      <alignment horizontal="center" vertical="center"/>
    </xf>
    <xf numFmtId="0" fontId="4" fillId="0" borderId="0" xfId="0" applyFont="1" applyAlignment="1">
      <alignment horizontal="right" vertical="center"/>
    </xf>
    <xf numFmtId="0" fontId="4" fillId="0" borderId="0" xfId="0" applyFont="1" applyAlignment="1">
      <alignment horizontal="left" vertical="center" wrapText="1"/>
    </xf>
    <xf numFmtId="0" fontId="11" fillId="0" borderId="0" xfId="0" applyFont="1" applyAlignment="1">
      <alignment horizontal="left" vertical="center"/>
    </xf>
    <xf numFmtId="1" fontId="11" fillId="0" borderId="0" xfId="0" applyNumberFormat="1" applyFont="1" applyAlignment="1">
      <alignment horizontal="left" vertical="center"/>
    </xf>
    <xf numFmtId="172" fontId="11" fillId="0" borderId="0" xfId="0" applyNumberFormat="1" applyFont="1" applyAlignment="1">
      <alignment horizontal="left" vertical="center"/>
    </xf>
    <xf numFmtId="0" fontId="4" fillId="0" borderId="0" xfId="0" applyFont="1" applyAlignment="1">
      <alignment horizontal="left" vertical="top" wrapText="1"/>
    </xf>
    <xf numFmtId="0" fontId="11" fillId="0" borderId="0" xfId="0" applyFont="1" applyAlignment="1">
      <alignment horizontal="left" vertical="top" wrapText="1"/>
    </xf>
    <xf numFmtId="167" fontId="11" fillId="0" borderId="0" xfId="0" applyNumberFormat="1" applyFont="1" applyAlignment="1">
      <alignment horizontal="left" vertical="center"/>
    </xf>
    <xf numFmtId="167" fontId="10" fillId="0" borderId="0" xfId="0" applyNumberFormat="1" applyFont="1" applyAlignment="1">
      <alignment horizontal="left" vertical="center"/>
    </xf>
    <xf numFmtId="0" fontId="10" fillId="0" borderId="0" xfId="0" applyFont="1" applyAlignment="1">
      <alignment horizontal="center" vertical="center"/>
    </xf>
    <xf numFmtId="167" fontId="11" fillId="0" borderId="0" xfId="0" applyNumberFormat="1" applyFont="1" applyAlignment="1" applyProtection="1">
      <alignment horizontal="left" vertical="center"/>
      <protection locked="0"/>
    </xf>
    <xf numFmtId="0" fontId="11" fillId="0" borderId="32" xfId="0" applyFont="1" applyBorder="1" applyAlignment="1">
      <alignment horizontal="center" vertical="center"/>
    </xf>
    <xf numFmtId="0" fontId="11" fillId="0" borderId="7" xfId="0" applyFont="1" applyBorder="1" applyAlignment="1">
      <alignment horizontal="center" vertical="center"/>
    </xf>
    <xf numFmtId="0" fontId="11" fillId="0" borderId="33" xfId="0" applyFont="1" applyBorder="1" applyAlignment="1">
      <alignment horizontal="center" vertical="center"/>
    </xf>
    <xf numFmtId="2" fontId="11" fillId="0" borderId="31" xfId="0" applyNumberFormat="1" applyFont="1" applyBorder="1" applyAlignment="1">
      <alignment horizontal="center" vertical="center"/>
    </xf>
    <xf numFmtId="0" fontId="10" fillId="0" borderId="31" xfId="0" applyFont="1" applyBorder="1" applyAlignment="1">
      <alignment horizontal="center" vertical="center" wrapText="1"/>
    </xf>
    <xf numFmtId="0" fontId="15" fillId="0" borderId="31" xfId="0" applyFont="1" applyBorder="1" applyAlignment="1">
      <alignment horizontal="center" vertical="center"/>
    </xf>
    <xf numFmtId="0" fontId="15" fillId="0" borderId="31" xfId="0" applyFont="1" applyBorder="1" applyAlignment="1">
      <alignment horizontal="center" vertical="center" wrapText="1"/>
    </xf>
    <xf numFmtId="0" fontId="15" fillId="0" borderId="34" xfId="0" applyFont="1" applyBorder="1" applyAlignment="1">
      <alignment horizontal="center" vertical="center" wrapText="1"/>
    </xf>
    <xf numFmtId="0" fontId="15" fillId="0" borderId="4" xfId="0" applyFont="1" applyBorder="1" applyAlignment="1">
      <alignment horizontal="center" vertical="center" wrapText="1"/>
    </xf>
    <xf numFmtId="0" fontId="15" fillId="0" borderId="36" xfId="0" applyFont="1" applyBorder="1" applyAlignment="1">
      <alignment horizontal="center" vertical="center" wrapText="1"/>
    </xf>
    <xf numFmtId="0" fontId="15" fillId="0" borderId="35" xfId="0" applyFont="1" applyBorder="1" applyAlignment="1">
      <alignment horizontal="center" vertical="center" wrapText="1"/>
    </xf>
    <xf numFmtId="0" fontId="15" fillId="0" borderId="3" xfId="0" applyFont="1" applyBorder="1" applyAlignment="1">
      <alignment horizontal="center" vertical="center" wrapText="1"/>
    </xf>
    <xf numFmtId="0" fontId="15" fillId="0" borderId="37" xfId="0" applyFont="1" applyBorder="1" applyAlignment="1">
      <alignment horizontal="center" vertical="center" wrapText="1"/>
    </xf>
    <xf numFmtId="0" fontId="15" fillId="0" borderId="34" xfId="0" applyFont="1" applyBorder="1" applyAlignment="1">
      <alignment horizontal="center" vertical="center"/>
    </xf>
    <xf numFmtId="0" fontId="15" fillId="0" borderId="4" xfId="0" applyFont="1" applyBorder="1" applyAlignment="1">
      <alignment horizontal="center" vertical="center"/>
    </xf>
    <xf numFmtId="0" fontId="15" fillId="0" borderId="36" xfId="0" applyFont="1" applyBorder="1" applyAlignment="1">
      <alignment horizontal="center" vertical="center"/>
    </xf>
    <xf numFmtId="0" fontId="15" fillId="0" borderId="35" xfId="0" applyFont="1" applyBorder="1" applyAlignment="1">
      <alignment horizontal="center" vertical="center"/>
    </xf>
    <xf numFmtId="0" fontId="15" fillId="0" borderId="3" xfId="0" applyFont="1" applyBorder="1" applyAlignment="1">
      <alignment horizontal="center" vertical="center"/>
    </xf>
    <xf numFmtId="0" fontId="15" fillId="0" borderId="37" xfId="0" applyFont="1" applyBorder="1" applyAlignment="1">
      <alignment horizontal="center" vertical="center"/>
    </xf>
    <xf numFmtId="2" fontId="16" fillId="0" borderId="34" xfId="0" applyNumberFormat="1" applyFont="1" applyBorder="1" applyAlignment="1">
      <alignment horizontal="center" vertical="center"/>
    </xf>
    <xf numFmtId="2" fontId="16" fillId="0" borderId="4" xfId="0" applyNumberFormat="1" applyFont="1" applyBorder="1" applyAlignment="1">
      <alignment horizontal="center" vertical="center"/>
    </xf>
    <xf numFmtId="2" fontId="16" fillId="0" borderId="36" xfId="0" applyNumberFormat="1" applyFont="1" applyBorder="1" applyAlignment="1">
      <alignment horizontal="center" vertical="center"/>
    </xf>
    <xf numFmtId="2" fontId="16" fillId="0" borderId="35" xfId="0" applyNumberFormat="1" applyFont="1" applyBorder="1" applyAlignment="1">
      <alignment horizontal="center" vertical="center"/>
    </xf>
    <xf numFmtId="2" fontId="16" fillId="0" borderId="3" xfId="0" applyNumberFormat="1" applyFont="1" applyBorder="1" applyAlignment="1">
      <alignment horizontal="center" vertical="center"/>
    </xf>
    <xf numFmtId="2" fontId="16" fillId="0" borderId="37" xfId="0" applyNumberFormat="1" applyFont="1" applyBorder="1" applyAlignment="1">
      <alignment horizontal="center" vertical="center"/>
    </xf>
    <xf numFmtId="0" fontId="12" fillId="0" borderId="0" xfId="0" applyFont="1" applyAlignment="1">
      <alignment horizontal="left"/>
    </xf>
    <xf numFmtId="0" fontId="11" fillId="0" borderId="0" xfId="0" applyFont="1" applyAlignment="1">
      <alignment horizontal="left" vertical="center" wrapText="1"/>
    </xf>
    <xf numFmtId="0" fontId="11" fillId="0" borderId="0" xfId="0" applyFont="1" applyAlignment="1" applyProtection="1">
      <alignment horizontal="left" vertical="top" wrapText="1"/>
      <protection locked="0"/>
    </xf>
    <xf numFmtId="2" fontId="11" fillId="0" borderId="34" xfId="0" applyNumberFormat="1" applyFont="1" applyBorder="1" applyAlignment="1">
      <alignment horizontal="center" vertical="center"/>
    </xf>
    <xf numFmtId="2" fontId="11" fillId="0" borderId="4" xfId="0" applyNumberFormat="1" applyFont="1" applyBorder="1" applyAlignment="1">
      <alignment horizontal="center" vertical="center"/>
    </xf>
    <xf numFmtId="2" fontId="11" fillId="0" borderId="36" xfId="0" applyNumberFormat="1" applyFont="1" applyBorder="1" applyAlignment="1">
      <alignment horizontal="center" vertical="center"/>
    </xf>
    <xf numFmtId="2" fontId="11" fillId="0" borderId="35" xfId="0" applyNumberFormat="1" applyFont="1" applyBorder="1" applyAlignment="1">
      <alignment horizontal="center" vertical="center"/>
    </xf>
    <xf numFmtId="2" fontId="11" fillId="0" borderId="3" xfId="0" applyNumberFormat="1" applyFont="1" applyBorder="1" applyAlignment="1">
      <alignment horizontal="center" vertical="center"/>
    </xf>
    <xf numFmtId="2" fontId="11" fillId="0" borderId="37" xfId="0" applyNumberFormat="1" applyFont="1" applyBorder="1" applyAlignment="1">
      <alignment horizontal="center" vertical="center"/>
    </xf>
    <xf numFmtId="0" fontId="16" fillId="0" borderId="32" xfId="0" applyFont="1" applyBorder="1" applyAlignment="1">
      <alignment horizontal="center" vertical="center"/>
    </xf>
    <xf numFmtId="0" fontId="16" fillId="0" borderId="7" xfId="0" applyFont="1" applyBorder="1" applyAlignment="1">
      <alignment horizontal="center" vertical="center"/>
    </xf>
    <xf numFmtId="0" fontId="16" fillId="0" borderId="33" xfId="0" applyFont="1" applyBorder="1" applyAlignment="1">
      <alignment horizontal="center" vertical="center"/>
    </xf>
    <xf numFmtId="164" fontId="7" fillId="5" borderId="8" xfId="0" applyNumberFormat="1" applyFont="1" applyFill="1" applyBorder="1" applyAlignment="1">
      <alignment horizontal="center" vertical="center"/>
    </xf>
    <xf numFmtId="169" fontId="7" fillId="5" borderId="8" xfId="0" applyNumberFormat="1" applyFont="1" applyFill="1" applyBorder="1" applyAlignment="1">
      <alignment horizontal="center" vertical="center"/>
    </xf>
    <xf numFmtId="0" fontId="7" fillId="5" borderId="16" xfId="0" quotePrefix="1" applyFont="1" applyFill="1" applyBorder="1" applyAlignment="1">
      <alignment horizontal="center" vertical="center"/>
    </xf>
    <xf numFmtId="0" fontId="7" fillId="5" borderId="17" xfId="0" applyFont="1" applyFill="1" applyBorder="1" applyAlignment="1">
      <alignment horizontal="center" vertical="center"/>
    </xf>
    <xf numFmtId="0" fontId="7" fillId="5" borderId="22" xfId="0" applyFont="1" applyFill="1" applyBorder="1" applyAlignment="1">
      <alignment horizontal="center" vertical="center"/>
    </xf>
    <xf numFmtId="0" fontId="7" fillId="5" borderId="16" xfId="0" applyFont="1" applyFill="1" applyBorder="1" applyAlignment="1">
      <alignment horizontal="center" vertical="center"/>
    </xf>
    <xf numFmtId="0" fontId="7" fillId="5" borderId="16" xfId="0" applyFont="1" applyFill="1" applyBorder="1" applyAlignment="1">
      <alignment horizontal="right" vertical="center"/>
    </xf>
    <xf numFmtId="0" fontId="7" fillId="5" borderId="17" xfId="0" applyFont="1" applyFill="1" applyBorder="1" applyAlignment="1">
      <alignment horizontal="right" vertical="center"/>
    </xf>
    <xf numFmtId="0" fontId="7" fillId="5" borderId="17" xfId="0" applyFont="1" applyFill="1" applyBorder="1" applyAlignment="1">
      <alignment horizontal="left" vertical="center"/>
    </xf>
    <xf numFmtId="0" fontId="7" fillId="5" borderId="22" xfId="0" applyFont="1" applyFill="1" applyBorder="1" applyAlignment="1">
      <alignment horizontal="left" vertical="center"/>
    </xf>
    <xf numFmtId="0" fontId="7" fillId="5" borderId="8" xfId="0" applyFont="1" applyFill="1" applyBorder="1" applyAlignment="1">
      <alignment horizontal="center" vertical="center"/>
    </xf>
    <xf numFmtId="1" fontId="7" fillId="5" borderId="8" xfId="0" applyNumberFormat="1" applyFont="1" applyFill="1" applyBorder="1" applyAlignment="1">
      <alignment horizontal="center" vertical="center"/>
    </xf>
    <xf numFmtId="2" fontId="7" fillId="5" borderId="8" xfId="0" applyNumberFormat="1" applyFont="1" applyFill="1" applyBorder="1" applyAlignment="1">
      <alignment horizontal="center" vertical="center"/>
    </xf>
    <xf numFmtId="0" fontId="7" fillId="5" borderId="9" xfId="0" quotePrefix="1" applyFont="1" applyFill="1" applyBorder="1" applyAlignment="1">
      <alignment horizontal="center" vertical="center"/>
    </xf>
    <xf numFmtId="0" fontId="7" fillId="5" borderId="10" xfId="0" quotePrefix="1" applyFont="1" applyFill="1" applyBorder="1" applyAlignment="1">
      <alignment horizontal="center" vertical="center"/>
    </xf>
    <xf numFmtId="0" fontId="7" fillId="5" borderId="15" xfId="0" quotePrefix="1" applyFont="1" applyFill="1" applyBorder="1" applyAlignment="1">
      <alignment horizontal="center" vertical="center"/>
    </xf>
    <xf numFmtId="0" fontId="7" fillId="5" borderId="12" xfId="0" quotePrefix="1" applyFont="1" applyFill="1" applyBorder="1" applyAlignment="1">
      <alignment horizontal="center" vertical="center"/>
    </xf>
    <xf numFmtId="0" fontId="7" fillId="5" borderId="13" xfId="0" quotePrefix="1" applyFont="1" applyFill="1" applyBorder="1" applyAlignment="1">
      <alignment horizontal="center" vertical="center"/>
    </xf>
    <xf numFmtId="0" fontId="7" fillId="5" borderId="19" xfId="0" quotePrefix="1" applyFont="1" applyFill="1" applyBorder="1" applyAlignment="1">
      <alignment horizontal="center" vertical="center"/>
    </xf>
    <xf numFmtId="0" fontId="7" fillId="5" borderId="9" xfId="0" applyFont="1" applyFill="1" applyBorder="1" applyAlignment="1">
      <alignment horizontal="center" vertical="center"/>
    </xf>
    <xf numFmtId="0" fontId="7" fillId="5" borderId="10" xfId="0" applyFont="1" applyFill="1" applyBorder="1" applyAlignment="1">
      <alignment horizontal="center" vertical="center"/>
    </xf>
    <xf numFmtId="0" fontId="7" fillId="5" borderId="15" xfId="0" applyFont="1" applyFill="1" applyBorder="1" applyAlignment="1">
      <alignment horizontal="center" vertical="center"/>
    </xf>
    <xf numFmtId="0" fontId="7" fillId="5" borderId="11" xfId="0" applyFont="1" applyFill="1" applyBorder="1" applyAlignment="1">
      <alignment horizontal="center" vertical="center"/>
    </xf>
    <xf numFmtId="0" fontId="7" fillId="5" borderId="0" xfId="0" applyFont="1" applyFill="1" applyAlignment="1">
      <alignment horizontal="center" vertical="center"/>
    </xf>
    <xf numFmtId="0" fontId="7" fillId="5" borderId="18" xfId="0" applyFont="1" applyFill="1" applyBorder="1" applyAlignment="1">
      <alignment horizontal="center" vertical="center"/>
    </xf>
    <xf numFmtId="0" fontId="7" fillId="5" borderId="12" xfId="0" applyFont="1" applyFill="1" applyBorder="1" applyAlignment="1">
      <alignment horizontal="center" vertical="center"/>
    </xf>
    <xf numFmtId="0" fontId="7" fillId="5" borderId="13" xfId="0" applyFont="1" applyFill="1" applyBorder="1" applyAlignment="1">
      <alignment horizontal="center" vertical="center"/>
    </xf>
    <xf numFmtId="0" fontId="7" fillId="5" borderId="19" xfId="0" applyFont="1" applyFill="1" applyBorder="1" applyAlignment="1">
      <alignment horizontal="center" vertical="center"/>
    </xf>
    <xf numFmtId="0" fontId="7" fillId="0" borderId="8" xfId="0" applyFont="1" applyBorder="1" applyAlignment="1">
      <alignment horizontal="center" vertical="center"/>
    </xf>
    <xf numFmtId="166" fontId="7" fillId="5" borderId="8" xfId="0" applyNumberFormat="1" applyFont="1" applyFill="1" applyBorder="1" applyAlignment="1">
      <alignment horizontal="center" vertical="center"/>
    </xf>
    <xf numFmtId="0" fontId="6" fillId="5" borderId="13" xfId="0" applyFont="1" applyFill="1" applyBorder="1" applyAlignment="1">
      <alignment horizontal="center"/>
    </xf>
    <xf numFmtId="2" fontId="7" fillId="5" borderId="16" xfId="0" applyNumberFormat="1" applyFont="1" applyFill="1" applyBorder="1" applyAlignment="1">
      <alignment horizontal="center" vertical="center"/>
    </xf>
    <xf numFmtId="2" fontId="7" fillId="5" borderId="17" xfId="0" applyNumberFormat="1" applyFont="1" applyFill="1" applyBorder="1" applyAlignment="1">
      <alignment horizontal="center" vertical="center"/>
    </xf>
    <xf numFmtId="2" fontId="7" fillId="5" borderId="22" xfId="0" applyNumberFormat="1" applyFont="1" applyFill="1" applyBorder="1" applyAlignment="1">
      <alignment horizontal="center" vertical="center"/>
    </xf>
    <xf numFmtId="164" fontId="7" fillId="5" borderId="16" xfId="0" applyNumberFormat="1" applyFont="1" applyFill="1" applyBorder="1" applyAlignment="1">
      <alignment horizontal="center" vertical="center"/>
    </xf>
    <xf numFmtId="164" fontId="7" fillId="5" borderId="17" xfId="0" applyNumberFormat="1" applyFont="1" applyFill="1" applyBorder="1" applyAlignment="1">
      <alignment horizontal="center" vertical="center"/>
    </xf>
    <xf numFmtId="164" fontId="7" fillId="5" borderId="22" xfId="0" applyNumberFormat="1" applyFont="1" applyFill="1" applyBorder="1" applyAlignment="1">
      <alignment horizontal="center" vertical="center"/>
    </xf>
    <xf numFmtId="0" fontId="6" fillId="5" borderId="8" xfId="0" applyFont="1" applyFill="1" applyBorder="1" applyAlignment="1">
      <alignment horizontal="center" vertical="center"/>
    </xf>
    <xf numFmtId="0" fontId="6" fillId="6" borderId="63" xfId="0" applyFont="1" applyFill="1" applyBorder="1" applyAlignment="1">
      <alignment horizontal="left"/>
    </xf>
    <xf numFmtId="0" fontId="6" fillId="6" borderId="64" xfId="0" applyFont="1" applyFill="1" applyBorder="1" applyAlignment="1">
      <alignment horizontal="left"/>
    </xf>
    <xf numFmtId="0" fontId="6" fillId="6" borderId="65" xfId="0" applyFont="1" applyFill="1" applyBorder="1" applyAlignment="1">
      <alignment horizontal="left"/>
    </xf>
    <xf numFmtId="0" fontId="7" fillId="5" borderId="6" xfId="0" quotePrefix="1" applyFont="1" applyFill="1" applyBorder="1" applyAlignment="1">
      <alignment horizontal="center"/>
    </xf>
    <xf numFmtId="0" fontId="7" fillId="5" borderId="6" xfId="0" applyFont="1" applyFill="1" applyBorder="1" applyAlignment="1">
      <alignment horizontal="center"/>
    </xf>
    <xf numFmtId="0" fontId="7" fillId="5" borderId="24" xfId="0" applyFont="1" applyFill="1" applyBorder="1" applyAlignment="1">
      <alignment horizontal="center" vertical="center" wrapText="1"/>
    </xf>
    <xf numFmtId="0" fontId="7" fillId="5" borderId="0" xfId="0" applyFont="1" applyFill="1" applyAlignment="1">
      <alignment horizontal="center" vertical="center" wrapText="1"/>
    </xf>
    <xf numFmtId="0" fontId="7" fillId="5" borderId="45" xfId="0" applyFont="1" applyFill="1" applyBorder="1" applyAlignment="1">
      <alignment horizontal="center" vertical="center" wrapText="1"/>
    </xf>
    <xf numFmtId="0" fontId="7" fillId="5" borderId="2" xfId="0" applyFont="1" applyFill="1" applyBorder="1" applyAlignment="1">
      <alignment horizontal="center"/>
    </xf>
    <xf numFmtId="0" fontId="7" fillId="5" borderId="26" xfId="0" applyFont="1" applyFill="1" applyBorder="1" applyAlignment="1">
      <alignment horizontal="center"/>
    </xf>
    <xf numFmtId="1" fontId="8" fillId="5" borderId="21" xfId="0" applyNumberFormat="1" applyFont="1" applyFill="1" applyBorder="1" applyAlignment="1">
      <alignment horizontal="center"/>
    </xf>
    <xf numFmtId="1" fontId="8" fillId="5" borderId="5" xfId="0" applyNumberFormat="1" applyFont="1" applyFill="1" applyBorder="1" applyAlignment="1">
      <alignment horizontal="center"/>
    </xf>
    <xf numFmtId="1" fontId="8" fillId="5" borderId="14" xfId="0" applyNumberFormat="1" applyFont="1" applyFill="1" applyBorder="1" applyAlignment="1">
      <alignment horizontal="center"/>
    </xf>
    <xf numFmtId="167" fontId="8" fillId="5" borderId="21" xfId="0" applyNumberFormat="1" applyFont="1" applyFill="1" applyBorder="1" applyAlignment="1">
      <alignment horizontal="center" wrapText="1"/>
    </xf>
    <xf numFmtId="167" fontId="8" fillId="5" borderId="5" xfId="0" applyNumberFormat="1" applyFont="1" applyFill="1" applyBorder="1" applyAlignment="1">
      <alignment horizontal="center"/>
    </xf>
    <xf numFmtId="167" fontId="8" fillId="5" borderId="53" xfId="0" applyNumberFormat="1" applyFont="1" applyFill="1" applyBorder="1" applyAlignment="1">
      <alignment horizontal="center"/>
    </xf>
    <xf numFmtId="0" fontId="8" fillId="5" borderId="51" xfId="0" applyFont="1" applyFill="1" applyBorder="1" applyAlignment="1">
      <alignment horizontal="center"/>
    </xf>
    <xf numFmtId="0" fontId="8" fillId="5" borderId="2" xfId="0" applyFont="1" applyFill="1" applyBorder="1" applyAlignment="1">
      <alignment horizontal="center"/>
    </xf>
    <xf numFmtId="0" fontId="8" fillId="5" borderId="21" xfId="0" applyFont="1" applyFill="1" applyBorder="1" applyAlignment="1">
      <alignment horizontal="center" wrapText="1"/>
    </xf>
    <xf numFmtId="0" fontId="8" fillId="5" borderId="5" xfId="0" applyFont="1" applyFill="1" applyBorder="1" applyAlignment="1">
      <alignment horizontal="center"/>
    </xf>
    <xf numFmtId="0" fontId="8" fillId="5" borderId="14" xfId="0" applyFont="1" applyFill="1" applyBorder="1" applyAlignment="1">
      <alignment horizontal="center"/>
    </xf>
    <xf numFmtId="0" fontId="8" fillId="5" borderId="52" xfId="0" applyFont="1" applyFill="1" applyBorder="1" applyAlignment="1">
      <alignment horizontal="center"/>
    </xf>
    <xf numFmtId="0" fontId="20" fillId="0" borderId="33" xfId="0" applyFont="1" applyBorder="1" applyAlignment="1">
      <alignment horizontal="center" vertical="center" wrapText="1"/>
    </xf>
    <xf numFmtId="0" fontId="20" fillId="0" borderId="32" xfId="0" applyFont="1" applyBorder="1" applyAlignment="1">
      <alignment horizontal="center" vertical="center" wrapText="1"/>
    </xf>
    <xf numFmtId="0" fontId="23" fillId="0" borderId="31" xfId="0" applyFont="1" applyBorder="1" applyAlignment="1">
      <alignment horizontal="center" vertical="center" wrapText="1"/>
    </xf>
    <xf numFmtId="0" fontId="20" fillId="0" borderId="31" xfId="0" applyFont="1" applyBorder="1" applyAlignment="1">
      <alignment horizontal="center" vertical="center" wrapText="1"/>
    </xf>
    <xf numFmtId="0" fontId="6" fillId="0" borderId="77" xfId="1" applyFont="1" applyBorder="1" applyAlignment="1">
      <alignment horizontal="center" vertical="center"/>
    </xf>
    <xf numFmtId="0" fontId="6" fillId="0" borderId="82" xfId="1" applyFont="1" applyBorder="1" applyAlignment="1">
      <alignment horizontal="center" vertical="center"/>
    </xf>
    <xf numFmtId="0" fontId="6" fillId="0" borderId="76" xfId="1" applyFont="1" applyBorder="1" applyAlignment="1">
      <alignment horizontal="center" vertical="center"/>
    </xf>
    <xf numFmtId="0" fontId="6" fillId="0" borderId="81" xfId="1" applyFont="1" applyBorder="1" applyAlignment="1">
      <alignment horizontal="center" vertical="center"/>
    </xf>
    <xf numFmtId="0" fontId="6" fillId="0" borderId="89" xfId="1" applyFont="1" applyBorder="1" applyAlignment="1">
      <alignment horizontal="center" vertical="center"/>
    </xf>
    <xf numFmtId="0" fontId="6" fillId="0" borderId="90" xfId="1" applyFont="1" applyBorder="1" applyAlignment="1">
      <alignment horizontal="center" vertical="center"/>
    </xf>
    <xf numFmtId="0" fontId="6" fillId="0" borderId="86" xfId="1" applyFont="1" applyBorder="1" applyAlignment="1">
      <alignment horizontal="center" vertical="center"/>
    </xf>
    <xf numFmtId="0" fontId="6" fillId="0" borderId="88" xfId="1" applyFont="1" applyBorder="1" applyAlignment="1">
      <alignment horizontal="center" vertical="center"/>
    </xf>
    <xf numFmtId="0" fontId="6" fillId="0" borderId="73" xfId="0" applyFont="1" applyBorder="1" applyAlignment="1">
      <alignment horizontal="center" vertical="center"/>
    </xf>
    <xf numFmtId="0" fontId="6" fillId="0" borderId="74" xfId="0" applyFont="1" applyBorder="1" applyAlignment="1">
      <alignment horizontal="center" vertical="center"/>
    </xf>
    <xf numFmtId="0" fontId="6" fillId="0" borderId="75" xfId="0" applyFont="1" applyBorder="1" applyAlignment="1">
      <alignment horizontal="center" vertical="center"/>
    </xf>
    <xf numFmtId="0" fontId="23" fillId="0" borderId="35" xfId="0" applyFont="1" applyBorder="1" applyAlignment="1">
      <alignment horizontal="left"/>
    </xf>
    <xf numFmtId="0" fontId="23" fillId="0" borderId="3" xfId="0" applyFont="1" applyBorder="1" applyAlignment="1">
      <alignment horizontal="left"/>
    </xf>
    <xf numFmtId="0" fontId="23" fillId="0" borderId="33" xfId="0" applyFont="1" applyBorder="1" applyAlignment="1">
      <alignment horizontal="center" vertical="center" wrapText="1"/>
    </xf>
    <xf numFmtId="0" fontId="23" fillId="0" borderId="32" xfId="0" applyFont="1" applyBorder="1" applyAlignment="1">
      <alignment horizontal="center" vertical="center" wrapText="1"/>
    </xf>
    <xf numFmtId="0" fontId="6" fillId="0" borderId="78" xfId="1" applyFont="1" applyBorder="1" applyAlignment="1">
      <alignment horizontal="center" vertical="center"/>
    </xf>
    <xf numFmtId="0" fontId="6" fillId="0" borderId="83" xfId="1" applyFont="1" applyBorder="1" applyAlignment="1">
      <alignment horizontal="center" vertical="center"/>
    </xf>
    <xf numFmtId="0" fontId="7" fillId="5" borderId="2" xfId="0" applyFont="1" applyFill="1" applyBorder="1" applyAlignment="1">
      <alignment horizontal="center" vertical="center"/>
    </xf>
    <xf numFmtId="0" fontId="7" fillId="5" borderId="2" xfId="0" applyFont="1" applyFill="1" applyBorder="1" applyAlignment="1">
      <alignment horizontal="left" vertical="center"/>
    </xf>
    <xf numFmtId="0" fontId="6" fillId="6" borderId="60" xfId="0" applyFont="1" applyFill="1" applyBorder="1" applyAlignment="1">
      <alignment horizontal="left"/>
    </xf>
    <xf numFmtId="0" fontId="6" fillId="6" borderId="61" xfId="0" applyFont="1" applyFill="1" applyBorder="1" applyAlignment="1">
      <alignment horizontal="left"/>
    </xf>
    <xf numFmtId="0" fontId="6" fillId="6" borderId="62" xfId="0" applyFont="1" applyFill="1" applyBorder="1" applyAlignment="1">
      <alignment horizontal="left"/>
    </xf>
    <xf numFmtId="0" fontId="7" fillId="5" borderId="3" xfId="0" applyFont="1" applyFill="1" applyBorder="1" applyAlignment="1">
      <alignment horizontal="left"/>
    </xf>
    <xf numFmtId="0" fontId="7" fillId="5" borderId="44" xfId="0" applyFont="1" applyFill="1" applyBorder="1" applyAlignment="1">
      <alignment horizontal="left"/>
    </xf>
    <xf numFmtId="0" fontId="7" fillId="5" borderId="0" xfId="0" applyFont="1" applyFill="1" applyAlignment="1">
      <alignment horizontal="left"/>
    </xf>
    <xf numFmtId="0" fontId="6" fillId="5" borderId="0" xfId="0" applyFont="1" applyFill="1" applyAlignment="1">
      <alignment horizontal="left"/>
    </xf>
    <xf numFmtId="0" fontId="6" fillId="5" borderId="3" xfId="0" applyFont="1" applyFill="1" applyBorder="1" applyAlignment="1">
      <alignment horizontal="left"/>
    </xf>
    <xf numFmtId="167" fontId="7" fillId="5" borderId="0" xfId="0" applyNumberFormat="1" applyFont="1" applyFill="1" applyAlignment="1">
      <alignment horizontal="left"/>
    </xf>
    <xf numFmtId="167" fontId="7" fillId="5" borderId="45" xfId="0" applyNumberFormat="1" applyFont="1" applyFill="1" applyBorder="1" applyAlignment="1">
      <alignment horizontal="left"/>
    </xf>
    <xf numFmtId="167" fontId="7" fillId="5" borderId="3" xfId="0" applyNumberFormat="1" applyFont="1" applyFill="1" applyBorder="1" applyAlignment="1">
      <alignment horizontal="left"/>
    </xf>
    <xf numFmtId="167" fontId="7" fillId="5" borderId="49" xfId="0" applyNumberFormat="1" applyFont="1" applyFill="1" applyBorder="1" applyAlignment="1">
      <alignment horizontal="left"/>
    </xf>
    <xf numFmtId="0" fontId="7" fillId="5" borderId="4" xfId="0" applyFont="1" applyFill="1" applyBorder="1" applyAlignment="1">
      <alignment horizontal="left"/>
    </xf>
    <xf numFmtId="0" fontId="7" fillId="5" borderId="50" xfId="0" applyFont="1" applyFill="1" applyBorder="1" applyAlignment="1">
      <alignment horizontal="left"/>
    </xf>
    <xf numFmtId="0" fontId="7" fillId="5" borderId="49" xfId="0" applyFont="1" applyFill="1" applyBorder="1" applyAlignment="1">
      <alignment horizontal="left"/>
    </xf>
    <xf numFmtId="0" fontId="7" fillId="5" borderId="0" xfId="0" applyFont="1" applyFill="1" applyAlignment="1">
      <alignment horizontal="center"/>
    </xf>
    <xf numFmtId="0" fontId="6" fillId="5" borderId="44" xfId="0" applyFont="1" applyFill="1" applyBorder="1" applyAlignment="1">
      <alignment horizontal="center"/>
    </xf>
    <xf numFmtId="0" fontId="6" fillId="5" borderId="0" xfId="0" applyFont="1" applyFill="1" applyAlignment="1">
      <alignment horizontal="center"/>
    </xf>
    <xf numFmtId="0" fontId="6" fillId="5" borderId="24" xfId="0" applyFont="1" applyFill="1" applyBorder="1" applyAlignment="1">
      <alignment horizontal="center"/>
    </xf>
    <xf numFmtId="0" fontId="6" fillId="5" borderId="23" xfId="0" applyFont="1" applyFill="1" applyBorder="1" applyAlignment="1">
      <alignment horizontal="center"/>
    </xf>
    <xf numFmtId="0" fontId="6" fillId="5" borderId="45" xfId="0" applyFont="1" applyFill="1" applyBorder="1" applyAlignment="1">
      <alignment horizontal="center"/>
    </xf>
    <xf numFmtId="0" fontId="7" fillId="5" borderId="4" xfId="0" quotePrefix="1" applyFont="1" applyFill="1" applyBorder="1" applyAlignment="1">
      <alignment horizontal="left"/>
    </xf>
    <xf numFmtId="0" fontId="8" fillId="5" borderId="4" xfId="0" applyFont="1" applyFill="1" applyBorder="1" applyAlignment="1">
      <alignment horizontal="center" vertical="center" wrapText="1"/>
    </xf>
    <xf numFmtId="0" fontId="8" fillId="5" borderId="0" xfId="0" applyFont="1" applyFill="1" applyAlignment="1">
      <alignment horizontal="center" vertical="center" wrapText="1"/>
    </xf>
    <xf numFmtId="0" fontId="8" fillId="5" borderId="92" xfId="0" applyFont="1" applyFill="1" applyBorder="1" applyAlignment="1">
      <alignment horizontal="center" vertical="center" wrapText="1"/>
    </xf>
    <xf numFmtId="0" fontId="25" fillId="5" borderId="2" xfId="0" applyFont="1" applyFill="1" applyBorder="1" applyAlignment="1">
      <alignment horizontal="center"/>
    </xf>
    <xf numFmtId="0" fontId="25" fillId="5" borderId="3" xfId="0" applyFont="1" applyFill="1" applyBorder="1" applyAlignment="1">
      <alignment horizontal="center"/>
    </xf>
    <xf numFmtId="167" fontId="7" fillId="5" borderId="2" xfId="0" applyNumberFormat="1" applyFont="1" applyFill="1" applyBorder="1" applyAlignment="1">
      <alignment horizontal="left"/>
    </xf>
    <xf numFmtId="167" fontId="7" fillId="5" borderId="48" xfId="0" applyNumberFormat="1" applyFont="1" applyFill="1" applyBorder="1" applyAlignment="1">
      <alignment horizontal="left"/>
    </xf>
    <xf numFmtId="0" fontId="20" fillId="2" borderId="0" xfId="0" applyFont="1" applyFill="1" applyAlignment="1">
      <alignment horizontal="center"/>
    </xf>
    <xf numFmtId="166" fontId="7" fillId="5" borderId="16" xfId="0" applyNumberFormat="1" applyFont="1" applyFill="1" applyBorder="1" applyAlignment="1">
      <alignment horizontal="center" vertical="center"/>
    </xf>
    <xf numFmtId="166" fontId="7" fillId="5" borderId="17" xfId="0" applyNumberFormat="1" applyFont="1" applyFill="1" applyBorder="1" applyAlignment="1">
      <alignment horizontal="center" vertical="center"/>
    </xf>
    <xf numFmtId="166" fontId="7" fillId="5" borderId="22" xfId="0" applyNumberFormat="1" applyFont="1" applyFill="1" applyBorder="1" applyAlignment="1">
      <alignment horizontal="center" vertical="center"/>
    </xf>
    <xf numFmtId="0" fontId="6" fillId="0" borderId="93" xfId="1" applyFont="1" applyBorder="1" applyAlignment="1">
      <alignment horizontal="center" vertical="center"/>
    </xf>
    <xf numFmtId="0" fontId="8" fillId="5" borderId="44" xfId="0" applyFont="1" applyFill="1" applyBorder="1" applyAlignment="1">
      <alignment horizontal="center"/>
    </xf>
    <xf numFmtId="0" fontId="8" fillId="5" borderId="0" xfId="0" applyFont="1" applyFill="1" applyAlignment="1">
      <alignment horizontal="center"/>
    </xf>
    <xf numFmtId="0" fontId="8" fillId="5" borderId="23" xfId="0" applyFont="1" applyFill="1" applyBorder="1" applyAlignment="1">
      <alignment horizontal="center"/>
    </xf>
    <xf numFmtId="0" fontId="8" fillId="5" borderId="27" xfId="0" applyFont="1" applyFill="1" applyBorder="1" applyAlignment="1">
      <alignment horizontal="center"/>
    </xf>
    <xf numFmtId="167" fontId="8" fillId="5" borderId="28" xfId="0" applyNumberFormat="1" applyFont="1" applyFill="1" applyBorder="1" applyAlignment="1">
      <alignment horizontal="center"/>
    </xf>
    <xf numFmtId="0" fontId="8" fillId="5" borderId="45" xfId="0" applyFont="1" applyFill="1" applyBorder="1" applyAlignment="1">
      <alignment horizontal="center"/>
    </xf>
    <xf numFmtId="167" fontId="8" fillId="5" borderId="28" xfId="0" applyNumberFormat="1" applyFont="1" applyFill="1" applyBorder="1" applyAlignment="1">
      <alignment horizontal="center" wrapText="1"/>
    </xf>
    <xf numFmtId="0" fontId="8" fillId="5" borderId="0" xfId="0" applyFont="1" applyFill="1" applyAlignment="1">
      <alignment horizontal="center" wrapText="1"/>
    </xf>
    <xf numFmtId="0" fontId="8" fillId="5" borderId="45" xfId="0" applyFont="1" applyFill="1" applyBorder="1" applyAlignment="1">
      <alignment horizontal="center" wrapText="1"/>
    </xf>
    <xf numFmtId="0" fontId="8" fillId="5" borderId="54" xfId="0" applyFont="1" applyFill="1" applyBorder="1" applyAlignment="1">
      <alignment horizontal="center"/>
    </xf>
    <xf numFmtId="0" fontId="8" fillId="5" borderId="55" xfId="0" applyFont="1" applyFill="1" applyBorder="1" applyAlignment="1">
      <alignment horizontal="center"/>
    </xf>
    <xf numFmtId="0" fontId="8" fillId="5" borderId="56" xfId="0" applyFont="1" applyFill="1" applyBorder="1" applyAlignment="1">
      <alignment horizontal="center"/>
    </xf>
    <xf numFmtId="0" fontId="8" fillId="5" borderId="57" xfId="0" applyFont="1" applyFill="1" applyBorder="1" applyAlignment="1">
      <alignment horizontal="center"/>
    </xf>
    <xf numFmtId="0" fontId="8" fillId="5" borderId="58" xfId="0" applyFont="1" applyFill="1" applyBorder="1" applyAlignment="1">
      <alignment horizontal="center"/>
    </xf>
    <xf numFmtId="0" fontId="8" fillId="5" borderId="59" xfId="0" applyFont="1" applyFill="1" applyBorder="1" applyAlignment="1">
      <alignment horizontal="center"/>
    </xf>
    <xf numFmtId="0" fontId="8" fillId="5" borderId="46" xfId="0" applyFont="1" applyFill="1" applyBorder="1" applyAlignment="1">
      <alignment horizontal="center"/>
    </xf>
    <xf numFmtId="0" fontId="8" fillId="5" borderId="1" xfId="0" applyFont="1" applyFill="1" applyBorder="1" applyAlignment="1">
      <alignment horizontal="center"/>
    </xf>
    <xf numFmtId="0" fontId="8" fillId="5" borderId="25" xfId="0" applyFont="1" applyFill="1" applyBorder="1" applyAlignment="1">
      <alignment horizontal="center"/>
    </xf>
    <xf numFmtId="0" fontId="8" fillId="5" borderId="29" xfId="0" applyFont="1" applyFill="1" applyBorder="1" applyAlignment="1">
      <alignment horizontal="center"/>
    </xf>
    <xf numFmtId="0" fontId="8" fillId="5" borderId="30" xfId="0" applyFont="1" applyFill="1" applyBorder="1" applyAlignment="1">
      <alignment horizontal="center"/>
    </xf>
    <xf numFmtId="0" fontId="8" fillId="5" borderId="47" xfId="0" applyFont="1" applyFill="1" applyBorder="1" applyAlignment="1">
      <alignment horizontal="center"/>
    </xf>
    <xf numFmtId="0" fontId="25" fillId="5" borderId="44" xfId="0" applyFont="1" applyFill="1" applyBorder="1" applyAlignment="1">
      <alignment horizontal="center"/>
    </xf>
    <xf numFmtId="0" fontId="25" fillId="5" borderId="0" xfId="0" applyFont="1" applyFill="1" applyAlignment="1">
      <alignment horizontal="center"/>
    </xf>
    <xf numFmtId="0" fontId="25" fillId="5" borderId="23" xfId="0" applyFont="1" applyFill="1" applyBorder="1" applyAlignment="1">
      <alignment horizontal="center"/>
    </xf>
    <xf numFmtId="0" fontId="7" fillId="5" borderId="45" xfId="0" applyFont="1" applyFill="1" applyBorder="1" applyAlignment="1">
      <alignment horizontal="left"/>
    </xf>
    <xf numFmtId="0" fontId="6" fillId="6" borderId="63" xfId="0" applyFont="1" applyFill="1" applyBorder="1" applyAlignment="1">
      <alignment horizontal="center"/>
    </xf>
    <xf numFmtId="0" fontId="6" fillId="6" borderId="64" xfId="0" applyFont="1" applyFill="1" applyBorder="1" applyAlignment="1">
      <alignment horizontal="center"/>
    </xf>
    <xf numFmtId="0" fontId="6" fillId="6" borderId="65" xfId="0" applyFont="1" applyFill="1" applyBorder="1" applyAlignment="1">
      <alignment horizontal="center"/>
    </xf>
    <xf numFmtId="164" fontId="7" fillId="5" borderId="3" xfId="0" applyNumberFormat="1" applyFont="1" applyFill="1" applyBorder="1" applyAlignment="1">
      <alignment horizontal="center" vertical="center"/>
    </xf>
    <xf numFmtId="0" fontId="7" fillId="5" borderId="51" xfId="0" quotePrefix="1" applyFont="1" applyFill="1" applyBorder="1" applyAlignment="1">
      <alignment horizontal="center"/>
    </xf>
    <xf numFmtId="0" fontId="7" fillId="5" borderId="20" xfId="0" quotePrefix="1" applyFont="1" applyFill="1" applyBorder="1" applyAlignment="1">
      <alignment horizontal="center"/>
    </xf>
    <xf numFmtId="0" fontId="7" fillId="5" borderId="2" xfId="0" quotePrefix="1" applyFont="1" applyFill="1" applyBorder="1" applyAlignment="1">
      <alignment horizontal="center"/>
    </xf>
    <xf numFmtId="0" fontId="7" fillId="5" borderId="48" xfId="0" applyFont="1" applyFill="1" applyBorder="1" applyAlignment="1">
      <alignment horizontal="center"/>
    </xf>
    <xf numFmtId="0" fontId="7" fillId="5" borderId="51" xfId="0" applyFont="1" applyFill="1" applyBorder="1" applyAlignment="1">
      <alignment horizontal="center"/>
    </xf>
    <xf numFmtId="0" fontId="7" fillId="5" borderId="20" xfId="0" applyFont="1" applyFill="1" applyBorder="1" applyAlignment="1">
      <alignment horizontal="center"/>
    </xf>
    <xf numFmtId="164" fontId="7" fillId="5" borderId="7" xfId="0" applyNumberFormat="1" applyFont="1" applyFill="1" applyBorder="1" applyAlignment="1">
      <alignment horizontal="center" vertical="center"/>
    </xf>
    <xf numFmtId="0" fontId="8" fillId="5" borderId="20" xfId="0" applyFont="1" applyFill="1" applyBorder="1" applyAlignment="1">
      <alignment horizontal="center"/>
    </xf>
    <xf numFmtId="0" fontId="8" fillId="5" borderId="26" xfId="0" applyFont="1" applyFill="1" applyBorder="1" applyAlignment="1">
      <alignment horizontal="center"/>
    </xf>
    <xf numFmtId="15" fontId="8" fillId="5" borderId="2" xfId="0" applyNumberFormat="1" applyFont="1" applyFill="1" applyBorder="1" applyAlignment="1">
      <alignment horizontal="center"/>
    </xf>
    <xf numFmtId="0" fontId="8" fillId="5" borderId="48" xfId="0" applyFont="1" applyFill="1" applyBorder="1" applyAlignment="1">
      <alignment horizontal="center"/>
    </xf>
    <xf numFmtId="0" fontId="5" fillId="0" borderId="34" xfId="0" applyFont="1" applyBorder="1" applyAlignment="1">
      <alignment horizontal="center" vertical="center" wrapText="1"/>
    </xf>
    <xf numFmtId="0" fontId="5" fillId="0" borderId="36" xfId="0" applyFont="1" applyBorder="1" applyAlignment="1">
      <alignment horizontal="center" vertical="center" wrapText="1"/>
    </xf>
    <xf numFmtId="0" fontId="5" fillId="0" borderId="38" xfId="0" applyFont="1" applyBorder="1" applyAlignment="1">
      <alignment horizontal="center" vertical="center" wrapText="1"/>
    </xf>
    <xf numFmtId="0" fontId="5" fillId="0" borderId="39" xfId="0" applyFont="1" applyBorder="1" applyAlignment="1">
      <alignment horizontal="center" vertical="center" wrapText="1"/>
    </xf>
    <xf numFmtId="0" fontId="5" fillId="0" borderId="35" xfId="0" applyFont="1" applyBorder="1" applyAlignment="1">
      <alignment horizontal="center" vertical="center" wrapText="1"/>
    </xf>
    <xf numFmtId="0" fontId="5" fillId="0" borderId="37" xfId="0" applyFont="1" applyBorder="1" applyAlignment="1">
      <alignment horizontal="center" vertical="center" wrapText="1"/>
    </xf>
    <xf numFmtId="0" fontId="5" fillId="0" borderId="31" xfId="0" applyFont="1" applyBorder="1" applyAlignment="1">
      <alignment horizontal="center" vertical="center"/>
    </xf>
    <xf numFmtId="0" fontId="5" fillId="0" borderId="40" xfId="0" applyFont="1" applyBorder="1" applyAlignment="1">
      <alignment horizontal="center" vertical="center"/>
    </xf>
    <xf numFmtId="0" fontId="5" fillId="0" borderId="31" xfId="0" applyFont="1" applyBorder="1" applyAlignment="1">
      <alignment horizontal="center"/>
    </xf>
    <xf numFmtId="0" fontId="5" fillId="5" borderId="34" xfId="0" applyFont="1" applyFill="1" applyBorder="1" applyAlignment="1">
      <alignment horizontal="center" vertical="center"/>
    </xf>
    <xf numFmtId="0" fontId="5" fillId="5" borderId="36" xfId="0" applyFont="1" applyFill="1" applyBorder="1" applyAlignment="1">
      <alignment horizontal="center" vertical="center"/>
    </xf>
    <xf numFmtId="0" fontId="5" fillId="5" borderId="38" xfId="0" applyFont="1" applyFill="1" applyBorder="1" applyAlignment="1">
      <alignment horizontal="center" vertical="center"/>
    </xf>
    <xf numFmtId="0" fontId="5" fillId="5" borderId="39" xfId="0" applyFont="1" applyFill="1" applyBorder="1" applyAlignment="1">
      <alignment horizontal="center" vertical="center"/>
    </xf>
    <xf numFmtId="0" fontId="5" fillId="5" borderId="35" xfId="0" applyFont="1" applyFill="1" applyBorder="1" applyAlignment="1">
      <alignment horizontal="center" vertical="center"/>
    </xf>
    <xf numFmtId="0" fontId="5" fillId="5" borderId="37" xfId="0" applyFont="1" applyFill="1" applyBorder="1" applyAlignment="1">
      <alignment horizontal="center" vertical="center"/>
    </xf>
    <xf numFmtId="0" fontId="5" fillId="5" borderId="31" xfId="0" applyFont="1" applyFill="1" applyBorder="1" applyAlignment="1">
      <alignment horizontal="center" vertical="center"/>
    </xf>
    <xf numFmtId="0" fontId="4" fillId="0" borderId="31" xfId="0" applyFont="1" applyBorder="1" applyAlignment="1">
      <alignment horizontal="center"/>
    </xf>
    <xf numFmtId="169" fontId="7" fillId="4" borderId="31" xfId="3" applyNumberFormat="1" applyFont="1" applyBorder="1" applyAlignment="1">
      <alignment horizontal="center" vertical="center"/>
    </xf>
    <xf numFmtId="0" fontId="5" fillId="5" borderId="31" xfId="0" applyFont="1" applyFill="1" applyBorder="1" applyAlignment="1">
      <alignment horizontal="center" vertical="center" wrapText="1"/>
    </xf>
    <xf numFmtId="164" fontId="7" fillId="4" borderId="31" xfId="3" applyNumberFormat="1" applyFont="1" applyBorder="1" applyAlignment="1">
      <alignment horizontal="center" vertical="center"/>
    </xf>
    <xf numFmtId="1" fontId="7" fillId="4" borderId="31" xfId="3" applyNumberFormat="1" applyFont="1" applyBorder="1" applyAlignment="1">
      <alignment horizontal="center" vertical="center"/>
    </xf>
    <xf numFmtId="2" fontId="7" fillId="4" borderId="31" xfId="3" applyNumberFormat="1" applyFont="1" applyBorder="1" applyAlignment="1">
      <alignment horizontal="center" vertical="center"/>
    </xf>
    <xf numFmtId="0" fontId="5" fillId="5" borderId="4" xfId="0" applyFont="1" applyFill="1" applyBorder="1" applyAlignment="1">
      <alignment horizontal="center" vertical="center"/>
    </xf>
    <xf numFmtId="0" fontId="5" fillId="5" borderId="3" xfId="0" applyFont="1" applyFill="1" applyBorder="1" applyAlignment="1">
      <alignment horizontal="center" vertical="center"/>
    </xf>
    <xf numFmtId="164" fontId="4" fillId="5" borderId="31" xfId="0" applyNumberFormat="1" applyFont="1" applyFill="1" applyBorder="1" applyAlignment="1">
      <alignment horizontal="center" vertical="center"/>
    </xf>
    <xf numFmtId="169" fontId="4" fillId="5" borderId="31" xfId="0" applyNumberFormat="1" applyFont="1" applyFill="1" applyBorder="1" applyAlignment="1">
      <alignment horizontal="center" vertical="center"/>
    </xf>
    <xf numFmtId="2" fontId="4" fillId="5" borderId="31" xfId="0" applyNumberFormat="1" applyFont="1" applyFill="1" applyBorder="1" applyAlignment="1">
      <alignment horizontal="center" vertical="center"/>
    </xf>
    <xf numFmtId="166" fontId="4" fillId="5" borderId="31" xfId="0" applyNumberFormat="1" applyFont="1" applyFill="1" applyBorder="1" applyAlignment="1">
      <alignment horizontal="center" vertical="center"/>
    </xf>
    <xf numFmtId="1" fontId="4" fillId="5" borderId="31" xfId="0" applyNumberFormat="1" applyFont="1" applyFill="1" applyBorder="1" applyAlignment="1">
      <alignment horizontal="center" vertical="center"/>
    </xf>
  </cellXfs>
  <cellStyles count="6">
    <cellStyle name="Bad" xfId="3" builtinId="27"/>
    <cellStyle name="Normal" xfId="0" builtinId="0"/>
    <cellStyle name="Normal 2" xfId="1"/>
    <cellStyle name="Normal 3" xfId="2"/>
    <cellStyle name="Normal 4" xfId="4"/>
    <cellStyle name="Normal 5" xfId="5"/>
  </cellStyles>
  <dxfs count="142">
    <dxf>
      <fill>
        <patternFill>
          <bgColor theme="9"/>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ont>
        <b/>
        <i/>
        <color rgb="FFFF0000"/>
      </font>
    </dxf>
    <dxf>
      <fill>
        <patternFill>
          <bgColor theme="0"/>
        </patternFill>
      </fill>
    </dxf>
    <dxf>
      <font>
        <b/>
        <i/>
        <color rgb="FFFF0000"/>
      </font>
      <fill>
        <patternFill>
          <bgColor theme="0"/>
        </patternFill>
      </fill>
    </dxf>
    <dxf>
      <font>
        <b/>
        <i/>
        <color rgb="FFFF0000"/>
      </font>
    </dxf>
    <dxf>
      <fill>
        <patternFill>
          <bgColor theme="0"/>
        </patternFill>
      </fill>
    </dxf>
    <dxf>
      <font>
        <b/>
        <i/>
        <color rgb="FFFF0000"/>
      </font>
      <fill>
        <patternFill>
          <bgColor theme="0"/>
        </patternFill>
      </fill>
    </dxf>
    <dxf>
      <font>
        <b/>
        <i/>
        <color rgb="FFFF0000"/>
      </font>
    </dxf>
    <dxf>
      <fill>
        <patternFill>
          <bgColor theme="0"/>
        </patternFill>
      </fill>
    </dxf>
    <dxf>
      <font>
        <b/>
        <i/>
        <color rgb="FFFF0000"/>
      </font>
      <fill>
        <patternFill>
          <bgColor theme="0"/>
        </patternFill>
      </fill>
    </dxf>
    <dxf>
      <font>
        <b/>
        <i/>
        <color rgb="FFFF0000"/>
      </font>
    </dxf>
    <dxf>
      <fill>
        <patternFill>
          <bgColor theme="0"/>
        </patternFill>
      </fill>
    </dxf>
    <dxf>
      <font>
        <b/>
        <i/>
        <color rgb="FFFF0000"/>
      </font>
      <fill>
        <patternFill>
          <bgColor theme="0"/>
        </patternFill>
      </fill>
    </dxf>
    <dxf>
      <font>
        <color theme="0"/>
      </font>
      <fill>
        <patternFill>
          <bgColor rgb="FFFF0000"/>
        </patternFill>
      </fill>
    </dxf>
    <dxf>
      <font>
        <color theme="0"/>
      </font>
      <fill>
        <patternFill>
          <bgColor rgb="FF00B050"/>
        </patternFill>
      </fill>
    </dxf>
    <dxf>
      <font>
        <b/>
        <i/>
        <color rgb="FFFF0000"/>
      </font>
    </dxf>
    <dxf>
      <font>
        <color theme="0"/>
      </font>
      <fill>
        <patternFill>
          <bgColor rgb="FF00B050"/>
        </patternFill>
      </fill>
    </dxf>
    <dxf>
      <font>
        <color theme="0"/>
      </font>
      <fill>
        <patternFill>
          <bgColor rgb="FFFF0000"/>
        </patternFill>
      </fill>
    </dxf>
    <dxf>
      <font>
        <color theme="0"/>
      </font>
      <fill>
        <patternFill>
          <bgColor rgb="FF00B050"/>
        </patternFill>
      </fill>
    </dxf>
    <dxf>
      <font>
        <color theme="0"/>
      </font>
      <fill>
        <patternFill>
          <bgColor rgb="FFFF0000"/>
        </patternFill>
      </fill>
    </dxf>
    <dxf>
      <font>
        <color theme="0"/>
      </font>
      <fill>
        <patternFill>
          <bgColor rgb="FFFF0000"/>
        </patternFill>
      </fill>
    </dxf>
    <dxf>
      <font>
        <color theme="0"/>
      </font>
      <fill>
        <patternFill>
          <bgColor rgb="FF00B050"/>
        </patternFill>
      </fill>
    </dxf>
    <dxf>
      <font>
        <color theme="0"/>
      </font>
      <fill>
        <patternFill>
          <bgColor rgb="FF00B050"/>
        </patternFill>
      </fill>
    </dxf>
    <dxf>
      <font>
        <color theme="0"/>
      </font>
      <fill>
        <patternFill>
          <bgColor rgb="FFFF0000"/>
        </patternFill>
      </fill>
    </dxf>
    <dxf>
      <font>
        <color theme="0"/>
      </font>
      <fill>
        <patternFill>
          <bgColor rgb="FFFF0000"/>
        </patternFill>
      </fill>
    </dxf>
    <dxf>
      <font>
        <color theme="0"/>
      </font>
      <fill>
        <patternFill>
          <bgColor rgb="FF00B050"/>
        </patternFill>
      </fill>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ill>
        <patternFill>
          <bgColor theme="0"/>
        </patternFill>
      </fill>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fill>
        <patternFill>
          <bgColor theme="0"/>
        </patternFill>
      </fill>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ill>
        <patternFill>
          <bgColor theme="0"/>
        </patternFill>
      </fill>
    </dxf>
    <dxf>
      <font>
        <b/>
        <i/>
        <color rgb="FFFF0000"/>
      </font>
      <fill>
        <patternFill>
          <bgColor theme="0"/>
        </patternFill>
      </fill>
    </dxf>
    <dxf>
      <fill>
        <patternFill>
          <bgColor theme="0"/>
        </patternFill>
      </fill>
    </dxf>
    <dxf>
      <fill>
        <patternFill>
          <bgColor theme="0"/>
        </patternFill>
      </fill>
    </dxf>
  </dxfs>
  <tableStyles count="0" defaultTableStyle="TableStyleMedium9" defaultPivotStyle="PivotStyleLight16"/>
  <colors>
    <mruColors>
      <color rgb="FF00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8" Type="http://schemas.openxmlformats.org/officeDocument/2006/relationships/image" Target="../media/image11.png"/><Relationship Id="rId3" Type="http://schemas.openxmlformats.org/officeDocument/2006/relationships/image" Target="../media/image6.png"/><Relationship Id="rId7" Type="http://schemas.openxmlformats.org/officeDocument/2006/relationships/image" Target="../media/image10.png"/><Relationship Id="rId2" Type="http://schemas.openxmlformats.org/officeDocument/2006/relationships/image" Target="../media/image5.png"/><Relationship Id="rId1" Type="http://schemas.openxmlformats.org/officeDocument/2006/relationships/image" Target="../media/image4.png"/><Relationship Id="rId6" Type="http://schemas.openxmlformats.org/officeDocument/2006/relationships/image" Target="../media/image9.png"/><Relationship Id="rId5" Type="http://schemas.openxmlformats.org/officeDocument/2006/relationships/image" Target="../media/image8.png"/><Relationship Id="rId4" Type="http://schemas.openxmlformats.org/officeDocument/2006/relationships/image" Target="../media/image7.png"/><Relationship Id="rId9"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dr:twoCellAnchor>
    <xdr:from>
      <xdr:col>2</xdr:col>
      <xdr:colOff>48490</xdr:colOff>
      <xdr:row>7</xdr:row>
      <xdr:rowOff>60613</xdr:rowOff>
    </xdr:from>
    <xdr:to>
      <xdr:col>25</xdr:col>
      <xdr:colOff>195695</xdr:colOff>
      <xdr:row>7</xdr:row>
      <xdr:rowOff>60614</xdr:rowOff>
    </xdr:to>
    <xdr:cxnSp macro="">
      <xdr:nvCxnSpPr>
        <xdr:cNvPr id="2" name="AutoShape 1">
          <a:extLst>
            <a:ext uri="{FF2B5EF4-FFF2-40B4-BE49-F238E27FC236}">
              <a16:creationId xmlns:a16="http://schemas.microsoft.com/office/drawing/2014/main" id="{00000000-0008-0000-0000-000002000000}"/>
            </a:ext>
          </a:extLst>
        </xdr:cNvPr>
        <xdr:cNvCxnSpPr>
          <a:cxnSpLocks noChangeShapeType="1"/>
        </xdr:cNvCxnSpPr>
      </xdr:nvCxnSpPr>
      <xdr:spPr>
        <a:xfrm flipV="1">
          <a:off x="686665" y="1327438"/>
          <a:ext cx="6090805" cy="1"/>
        </a:xfrm>
        <a:prstGeom prst="straightConnector1">
          <a:avLst/>
        </a:prstGeom>
        <a:noFill/>
        <a:ln w="28575">
          <a:solidFill>
            <a:srgbClr val="336600"/>
          </a:solidFill>
          <a:round/>
        </a:ln>
        <a:effectLst>
          <a:outerShdw dist="35921" dir="2700000" algn="ctr" rotWithShape="0">
            <a:srgbClr val="808080"/>
          </a:outerShdw>
        </a:effectLst>
      </xdr:spPr>
    </xdr:cxnSp>
    <xdr:clientData/>
  </xdr:twoCellAnchor>
  <xdr:twoCellAnchor editAs="oneCell">
    <xdr:from>
      <xdr:col>3</xdr:col>
      <xdr:colOff>74635</xdr:colOff>
      <xdr:row>0</xdr:row>
      <xdr:rowOff>47626</xdr:rowOff>
    </xdr:from>
    <xdr:to>
      <xdr:col>9</xdr:col>
      <xdr:colOff>83820</xdr:colOff>
      <xdr:row>4</xdr:row>
      <xdr:rowOff>31751</xdr:rowOff>
    </xdr:to>
    <xdr:pic>
      <xdr:nvPicPr>
        <xdr:cNvPr id="6" name="Picture 5" descr="G:\SONJU\Revised Procedures\Sonju Logo.png">
          <a:extLst>
            <a:ext uri="{FF2B5EF4-FFF2-40B4-BE49-F238E27FC236}">
              <a16:creationId xmlns:a16="http://schemas.microsoft.com/office/drawing/2014/main" id="{00000000-0008-0000-0000-000006000000}"/>
            </a:ext>
          </a:extLst>
        </xdr:cNvPr>
        <xdr:cNvPicPr/>
      </xdr:nvPicPr>
      <xdr:blipFill>
        <a:blip xmlns:r="http://schemas.openxmlformats.org/officeDocument/2006/relationships" r:embed="rId1" cstate="print"/>
        <a:srcRect/>
        <a:stretch>
          <a:fillRect/>
        </a:stretch>
      </xdr:blipFill>
      <xdr:spPr>
        <a:xfrm>
          <a:off x="702945" y="47625"/>
          <a:ext cx="1552575" cy="679450"/>
        </a:xfrm>
        <a:prstGeom prst="rect">
          <a:avLst/>
        </a:prstGeom>
        <a:noFill/>
        <a:ln w="9525">
          <a:noFill/>
          <a:miter lim="800000"/>
          <a:headEnd/>
          <a:tailEnd/>
        </a:ln>
      </xdr:spPr>
    </xdr:pic>
    <xdr:clientData/>
  </xdr:twoCellAnchor>
  <xdr:twoCellAnchor>
    <xdr:from>
      <xdr:col>2</xdr:col>
      <xdr:colOff>39689</xdr:colOff>
      <xdr:row>57</xdr:row>
      <xdr:rowOff>0</xdr:rowOff>
    </xdr:from>
    <xdr:to>
      <xdr:col>25</xdr:col>
      <xdr:colOff>172174</xdr:colOff>
      <xdr:row>57</xdr:row>
      <xdr:rowOff>1588</xdr:rowOff>
    </xdr:to>
    <xdr:cxnSp macro="">
      <xdr:nvCxnSpPr>
        <xdr:cNvPr id="22" name="AutoShape 1">
          <a:extLst>
            <a:ext uri="{FF2B5EF4-FFF2-40B4-BE49-F238E27FC236}">
              <a16:creationId xmlns:a16="http://schemas.microsoft.com/office/drawing/2014/main" id="{00000000-0008-0000-0000-000016000000}"/>
            </a:ext>
          </a:extLst>
        </xdr:cNvPr>
        <xdr:cNvCxnSpPr>
          <a:cxnSpLocks noChangeShapeType="1"/>
        </xdr:cNvCxnSpPr>
      </xdr:nvCxnSpPr>
      <xdr:spPr>
        <a:xfrm>
          <a:off x="677864" y="10582275"/>
          <a:ext cx="6076085" cy="1588"/>
        </a:xfrm>
        <a:prstGeom prst="straightConnector1">
          <a:avLst/>
        </a:prstGeom>
        <a:noFill/>
        <a:ln w="28575">
          <a:solidFill>
            <a:srgbClr val="336600"/>
          </a:solidFill>
          <a:round/>
        </a:ln>
        <a:effectLst>
          <a:outerShdw dist="35921" dir="2700000" algn="ctr" rotWithShape="0">
            <a:srgbClr val="808080"/>
          </a:outerShdw>
        </a:effectLst>
      </xdr:spPr>
    </xdr:cxnSp>
    <xdr:clientData/>
  </xdr:twoCellAnchor>
  <xdr:oneCellAnchor>
    <xdr:from>
      <xdr:col>9</xdr:col>
      <xdr:colOff>177784</xdr:colOff>
      <xdr:row>58</xdr:row>
      <xdr:rowOff>45604</xdr:rowOff>
    </xdr:from>
    <xdr:ext cx="2689235" cy="629079"/>
    <xdr:sp macro="" textlink="">
      <xdr:nvSpPr>
        <xdr:cNvPr id="23" name="Text Box 2">
          <a:extLst>
            <a:ext uri="{FF2B5EF4-FFF2-40B4-BE49-F238E27FC236}">
              <a16:creationId xmlns:a16="http://schemas.microsoft.com/office/drawing/2014/main" id="{00000000-0008-0000-0000-000017000000}"/>
            </a:ext>
          </a:extLst>
        </xdr:cNvPr>
        <xdr:cNvSpPr txBox="1">
          <a:spLocks noChangeArrowheads="1"/>
        </xdr:cNvSpPr>
      </xdr:nvSpPr>
      <xdr:spPr>
        <a:xfrm>
          <a:off x="2616184" y="10694554"/>
          <a:ext cx="2689235" cy="629079"/>
        </a:xfrm>
        <a:prstGeom prst="rect">
          <a:avLst/>
        </a:prstGeom>
        <a:noFill/>
        <a:ln w="9525">
          <a:noFill/>
          <a:miter lim="800000"/>
        </a:ln>
      </xdr:spPr>
      <xdr:txBody>
        <a:bodyPr wrap="square" lIns="91440" tIns="45720" rIns="91440" bIns="45720" anchor="ctr" upright="1">
          <a:noAutofit/>
        </a:bodyPr>
        <a:lstStyle/>
        <a:p>
          <a:pPr algn="ctr" rtl="1">
            <a:defRPr sz="1000"/>
          </a:pPr>
          <a:r>
            <a:rPr lang="en-PH" sz="1000" b="0" i="0" strike="noStrike">
              <a:solidFill>
                <a:srgbClr val="000000"/>
              </a:solidFill>
              <a:latin typeface="Arial Narrow" panose="020B0606020202030204" pitchFamily="34" charset="0"/>
              <a:cs typeface="Arial" panose="020B0604020202020204"/>
            </a:rPr>
            <a:t>This</a:t>
          </a:r>
          <a:r>
            <a:rPr lang="en-PH" sz="1000" b="0" i="0" strike="noStrike" baseline="0">
              <a:solidFill>
                <a:srgbClr val="000000"/>
              </a:solidFill>
              <a:latin typeface="Arial Narrow" panose="020B0606020202030204" pitchFamily="34" charset="0"/>
              <a:cs typeface="Arial" panose="020B0604020202020204"/>
            </a:rPr>
            <a:t> report shall not be reproduced except in full,</a:t>
          </a:r>
        </a:p>
        <a:p>
          <a:pPr algn="ctr" rtl="1">
            <a:defRPr sz="1000"/>
          </a:pPr>
          <a:r>
            <a:rPr lang="en-PH" sz="1000" b="0" i="0" strike="noStrike" baseline="0">
              <a:solidFill>
                <a:srgbClr val="000000"/>
              </a:solidFill>
              <a:latin typeface="Arial Narrow" panose="020B0606020202030204" pitchFamily="34" charset="0"/>
              <a:cs typeface="Arial" panose="020B0604020202020204"/>
            </a:rPr>
            <a:t>without the written approval from the laboratory</a:t>
          </a:r>
          <a:endParaRPr lang="en-PH" sz="1000" b="0" i="0" strike="noStrike">
            <a:solidFill>
              <a:srgbClr val="000000"/>
            </a:solidFill>
            <a:latin typeface="+mn-lt"/>
            <a:cs typeface="Arial" panose="020B0604020202020204"/>
          </a:endParaRPr>
        </a:p>
      </xdr:txBody>
    </xdr:sp>
    <xdr:clientData/>
  </xdr:oneCellAnchor>
  <xdr:oneCellAnchor>
    <xdr:from>
      <xdr:col>2</xdr:col>
      <xdr:colOff>9525</xdr:colOff>
      <xdr:row>57</xdr:row>
      <xdr:rowOff>58732</xdr:rowOff>
    </xdr:from>
    <xdr:ext cx="2283460" cy="975360"/>
    <xdr:sp macro="" textlink="">
      <xdr:nvSpPr>
        <xdr:cNvPr id="24" name="TextBox 14">
          <a:extLst>
            <a:ext uri="{FF2B5EF4-FFF2-40B4-BE49-F238E27FC236}">
              <a16:creationId xmlns:a16="http://schemas.microsoft.com/office/drawing/2014/main" id="{00000000-0008-0000-0000-000018000000}"/>
            </a:ext>
          </a:extLst>
        </xdr:cNvPr>
        <xdr:cNvSpPr txBox="1"/>
      </xdr:nvSpPr>
      <xdr:spPr>
        <a:xfrm>
          <a:off x="647700" y="10641007"/>
          <a:ext cx="2283460" cy="9753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r>
            <a:rPr lang="en-US" sz="1000">
              <a:latin typeface="Arial Narrow" panose="020B0606020202030204" pitchFamily="34" charset="0"/>
            </a:rPr>
            <a:t>Block 1 Lot 49, Jubilation Commercial Strip, </a:t>
          </a:r>
        </a:p>
        <a:p>
          <a:r>
            <a:rPr lang="en-US" sz="1000">
              <a:latin typeface="Arial Narrow" panose="020B0606020202030204" pitchFamily="34" charset="0"/>
            </a:rPr>
            <a:t>Brgy. Zapote, Biñan City, Laguna 4024 Phils.</a:t>
          </a:r>
        </a:p>
        <a:p>
          <a:r>
            <a:rPr lang="en-US" sz="1000">
              <a:latin typeface="Arial Narrow" panose="020B0606020202030204" pitchFamily="34" charset="0"/>
            </a:rPr>
            <a:t>Contact Nos.: (049) 513-5233/591-0807;</a:t>
          </a:r>
        </a:p>
        <a:p>
          <a:r>
            <a:rPr lang="en-US" sz="1000">
              <a:latin typeface="Arial Narrow" panose="020B0606020202030204" pitchFamily="34" charset="0"/>
            </a:rPr>
            <a:t>                 (02) 782-2153; 09236581107</a:t>
          </a:r>
        </a:p>
        <a:p>
          <a:r>
            <a:rPr lang="en-US" sz="1000">
              <a:latin typeface="Arial Narrow" panose="020B0606020202030204" pitchFamily="34" charset="0"/>
            </a:rPr>
            <a:t>Email: admin@sonjuengineering.com</a:t>
          </a:r>
        </a:p>
        <a:p>
          <a:r>
            <a:rPr lang="en-US" sz="1000">
              <a:latin typeface="Arial Narrow" panose="020B0606020202030204" pitchFamily="34" charset="0"/>
            </a:rPr>
            <a:t>Website:</a:t>
          </a:r>
          <a:r>
            <a:rPr lang="en-US" sz="1000" baseline="0">
              <a:latin typeface="Arial Narrow" panose="020B0606020202030204" pitchFamily="34" charset="0"/>
            </a:rPr>
            <a:t> www.sonjuengineering.com</a:t>
          </a:r>
          <a:endParaRPr lang="en-US" sz="1000">
            <a:latin typeface="Arial Narrow" panose="020B0606020202030204" pitchFamily="34" charset="0"/>
          </a:endParaRPr>
        </a:p>
      </xdr:txBody>
    </xdr:sp>
    <xdr:clientData/>
  </xdr:oneCellAnchor>
  <xdr:twoCellAnchor>
    <xdr:from>
      <xdr:col>2</xdr:col>
      <xdr:colOff>30164</xdr:colOff>
      <xdr:row>109</xdr:row>
      <xdr:rowOff>0</xdr:rowOff>
    </xdr:from>
    <xdr:to>
      <xdr:col>25</xdr:col>
      <xdr:colOff>162649</xdr:colOff>
      <xdr:row>109</xdr:row>
      <xdr:rowOff>1588</xdr:rowOff>
    </xdr:to>
    <xdr:cxnSp macro="">
      <xdr:nvCxnSpPr>
        <xdr:cNvPr id="25" name="AutoShape 1">
          <a:extLst>
            <a:ext uri="{FF2B5EF4-FFF2-40B4-BE49-F238E27FC236}">
              <a16:creationId xmlns:a16="http://schemas.microsoft.com/office/drawing/2014/main" id="{00000000-0008-0000-0000-000019000000}"/>
            </a:ext>
          </a:extLst>
        </xdr:cNvPr>
        <xdr:cNvCxnSpPr>
          <a:cxnSpLocks noChangeShapeType="1"/>
        </xdr:cNvCxnSpPr>
      </xdr:nvCxnSpPr>
      <xdr:spPr>
        <a:xfrm>
          <a:off x="668339" y="20554950"/>
          <a:ext cx="6076085" cy="1588"/>
        </a:xfrm>
        <a:prstGeom prst="straightConnector1">
          <a:avLst/>
        </a:prstGeom>
        <a:noFill/>
        <a:ln w="28575">
          <a:solidFill>
            <a:srgbClr val="336600"/>
          </a:solidFill>
          <a:round/>
        </a:ln>
        <a:effectLst>
          <a:outerShdw dist="35921" dir="2700000" algn="ctr" rotWithShape="0">
            <a:srgbClr val="808080"/>
          </a:outerShdw>
        </a:effectLst>
      </xdr:spPr>
    </xdr:cxnSp>
    <xdr:clientData/>
  </xdr:twoCellAnchor>
  <xdr:oneCellAnchor>
    <xdr:from>
      <xdr:col>9</xdr:col>
      <xdr:colOff>168259</xdr:colOff>
      <xdr:row>110</xdr:row>
      <xdr:rowOff>45604</xdr:rowOff>
    </xdr:from>
    <xdr:ext cx="2689235" cy="629079"/>
    <xdr:sp macro="" textlink="">
      <xdr:nvSpPr>
        <xdr:cNvPr id="26" name="Text Box 2">
          <a:extLst>
            <a:ext uri="{FF2B5EF4-FFF2-40B4-BE49-F238E27FC236}">
              <a16:creationId xmlns:a16="http://schemas.microsoft.com/office/drawing/2014/main" id="{00000000-0008-0000-0000-00001A000000}"/>
            </a:ext>
          </a:extLst>
        </xdr:cNvPr>
        <xdr:cNvSpPr txBox="1">
          <a:spLocks noChangeArrowheads="1"/>
        </xdr:cNvSpPr>
      </xdr:nvSpPr>
      <xdr:spPr>
        <a:xfrm>
          <a:off x="2606659" y="20791054"/>
          <a:ext cx="2689235" cy="629079"/>
        </a:xfrm>
        <a:prstGeom prst="rect">
          <a:avLst/>
        </a:prstGeom>
        <a:noFill/>
        <a:ln w="9525">
          <a:noFill/>
          <a:miter lim="800000"/>
        </a:ln>
      </xdr:spPr>
      <xdr:txBody>
        <a:bodyPr wrap="square" lIns="91440" tIns="45720" rIns="91440" bIns="45720" anchor="ctr" upright="1">
          <a:noAutofit/>
        </a:bodyPr>
        <a:lstStyle/>
        <a:p>
          <a:pPr algn="ctr" rtl="1">
            <a:defRPr sz="1000"/>
          </a:pPr>
          <a:r>
            <a:rPr lang="en-PH" sz="1000" b="0" i="0" strike="noStrike">
              <a:solidFill>
                <a:srgbClr val="000000"/>
              </a:solidFill>
              <a:latin typeface="Arial Narrow" panose="020B0606020202030204" pitchFamily="34" charset="0"/>
              <a:cs typeface="Arial" panose="020B0604020202020204"/>
            </a:rPr>
            <a:t>This</a:t>
          </a:r>
          <a:r>
            <a:rPr lang="en-PH" sz="1000" b="0" i="0" strike="noStrike" baseline="0">
              <a:solidFill>
                <a:srgbClr val="000000"/>
              </a:solidFill>
              <a:latin typeface="Arial Narrow" panose="020B0606020202030204" pitchFamily="34" charset="0"/>
              <a:cs typeface="Arial" panose="020B0604020202020204"/>
            </a:rPr>
            <a:t> report shall not be reproduced except in full,</a:t>
          </a:r>
        </a:p>
        <a:p>
          <a:pPr algn="ctr" rtl="1">
            <a:defRPr sz="1000"/>
          </a:pPr>
          <a:r>
            <a:rPr lang="en-PH" sz="1000" b="0" i="0" strike="noStrike" baseline="0">
              <a:solidFill>
                <a:srgbClr val="000000"/>
              </a:solidFill>
              <a:latin typeface="Arial Narrow" panose="020B0606020202030204" pitchFamily="34" charset="0"/>
              <a:cs typeface="Arial" panose="020B0604020202020204"/>
            </a:rPr>
            <a:t>without the written approval from the laboratory</a:t>
          </a:r>
          <a:endParaRPr lang="en-PH" sz="1000" b="0" i="0" strike="noStrike">
            <a:solidFill>
              <a:srgbClr val="000000"/>
            </a:solidFill>
            <a:latin typeface="+mn-lt"/>
            <a:cs typeface="Arial" panose="020B0604020202020204"/>
          </a:endParaRPr>
        </a:p>
      </xdr:txBody>
    </xdr:sp>
    <xdr:clientData/>
  </xdr:oneCellAnchor>
  <xdr:oneCellAnchor>
    <xdr:from>
      <xdr:col>2</xdr:col>
      <xdr:colOff>0</xdr:colOff>
      <xdr:row>109</xdr:row>
      <xdr:rowOff>58732</xdr:rowOff>
    </xdr:from>
    <xdr:ext cx="2283460" cy="975360"/>
    <xdr:sp macro="" textlink="">
      <xdr:nvSpPr>
        <xdr:cNvPr id="27" name="TextBox 14">
          <a:extLst>
            <a:ext uri="{FF2B5EF4-FFF2-40B4-BE49-F238E27FC236}">
              <a16:creationId xmlns:a16="http://schemas.microsoft.com/office/drawing/2014/main" id="{00000000-0008-0000-0000-00001B000000}"/>
            </a:ext>
          </a:extLst>
        </xdr:cNvPr>
        <xdr:cNvSpPr txBox="1"/>
      </xdr:nvSpPr>
      <xdr:spPr>
        <a:xfrm>
          <a:off x="638175" y="20613682"/>
          <a:ext cx="2283460" cy="9753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r>
            <a:rPr lang="en-US" sz="1000">
              <a:latin typeface="Arial Narrow" panose="020B0606020202030204" pitchFamily="34" charset="0"/>
            </a:rPr>
            <a:t>Block 1 Lot 49, Jubilation Commercial Strip, </a:t>
          </a:r>
        </a:p>
        <a:p>
          <a:r>
            <a:rPr lang="en-US" sz="1000">
              <a:latin typeface="Arial Narrow" panose="020B0606020202030204" pitchFamily="34" charset="0"/>
            </a:rPr>
            <a:t>Brgy. Zapote, Biñan City, Laguna 4024 Phils.</a:t>
          </a:r>
        </a:p>
        <a:p>
          <a:r>
            <a:rPr lang="en-US" sz="1000">
              <a:latin typeface="Arial Narrow" panose="020B0606020202030204" pitchFamily="34" charset="0"/>
            </a:rPr>
            <a:t>Contact Nos.: (049) 513-5233/591-0807;</a:t>
          </a:r>
        </a:p>
        <a:p>
          <a:r>
            <a:rPr lang="en-US" sz="1000">
              <a:latin typeface="Arial Narrow" panose="020B0606020202030204" pitchFamily="34" charset="0"/>
            </a:rPr>
            <a:t>                 (02) 782-2153; 09236581107</a:t>
          </a:r>
        </a:p>
        <a:p>
          <a:r>
            <a:rPr lang="en-US" sz="1000">
              <a:latin typeface="Arial Narrow" panose="020B0606020202030204" pitchFamily="34" charset="0"/>
            </a:rPr>
            <a:t>Email: admin@sonjuengineering.com</a:t>
          </a:r>
        </a:p>
        <a:p>
          <a:r>
            <a:rPr lang="en-US" sz="1000">
              <a:latin typeface="Arial Narrow" panose="020B0606020202030204" pitchFamily="34" charset="0"/>
            </a:rPr>
            <a:t>Website:</a:t>
          </a:r>
          <a:r>
            <a:rPr lang="en-US" sz="1000" baseline="0">
              <a:latin typeface="Arial Narrow" panose="020B0606020202030204" pitchFamily="34" charset="0"/>
            </a:rPr>
            <a:t> www.sonjuengineering.com</a:t>
          </a:r>
          <a:endParaRPr lang="en-US" sz="1000">
            <a:latin typeface="Arial Narrow" panose="020B0606020202030204" pitchFamily="34" charset="0"/>
          </a:endParaRPr>
        </a:p>
      </xdr:txBody>
    </xdr:sp>
    <xdr:clientData/>
  </xdr:oneCellAnchor>
  <xdr:twoCellAnchor>
    <xdr:from>
      <xdr:col>2</xdr:col>
      <xdr:colOff>30164</xdr:colOff>
      <xdr:row>161</xdr:row>
      <xdr:rowOff>0</xdr:rowOff>
    </xdr:from>
    <xdr:to>
      <xdr:col>25</xdr:col>
      <xdr:colOff>162649</xdr:colOff>
      <xdr:row>161</xdr:row>
      <xdr:rowOff>1588</xdr:rowOff>
    </xdr:to>
    <xdr:cxnSp macro="">
      <xdr:nvCxnSpPr>
        <xdr:cNvPr id="28" name="AutoShape 1">
          <a:extLst>
            <a:ext uri="{FF2B5EF4-FFF2-40B4-BE49-F238E27FC236}">
              <a16:creationId xmlns:a16="http://schemas.microsoft.com/office/drawing/2014/main" id="{00000000-0008-0000-0000-00001C000000}"/>
            </a:ext>
          </a:extLst>
        </xdr:cNvPr>
        <xdr:cNvCxnSpPr>
          <a:cxnSpLocks noChangeShapeType="1"/>
        </xdr:cNvCxnSpPr>
      </xdr:nvCxnSpPr>
      <xdr:spPr>
        <a:xfrm>
          <a:off x="668339" y="30937200"/>
          <a:ext cx="6076085" cy="1588"/>
        </a:xfrm>
        <a:prstGeom prst="straightConnector1">
          <a:avLst/>
        </a:prstGeom>
        <a:noFill/>
        <a:ln w="28575">
          <a:solidFill>
            <a:srgbClr val="336600"/>
          </a:solidFill>
          <a:round/>
        </a:ln>
        <a:effectLst>
          <a:outerShdw dist="35921" dir="2700000" algn="ctr" rotWithShape="0">
            <a:srgbClr val="808080"/>
          </a:outerShdw>
        </a:effectLst>
      </xdr:spPr>
    </xdr:cxnSp>
    <xdr:clientData/>
  </xdr:twoCellAnchor>
  <xdr:oneCellAnchor>
    <xdr:from>
      <xdr:col>9</xdr:col>
      <xdr:colOff>168259</xdr:colOff>
      <xdr:row>162</xdr:row>
      <xdr:rowOff>45604</xdr:rowOff>
    </xdr:from>
    <xdr:ext cx="2689235" cy="629079"/>
    <xdr:sp macro="" textlink="">
      <xdr:nvSpPr>
        <xdr:cNvPr id="29" name="Text Box 2">
          <a:extLst>
            <a:ext uri="{FF2B5EF4-FFF2-40B4-BE49-F238E27FC236}">
              <a16:creationId xmlns:a16="http://schemas.microsoft.com/office/drawing/2014/main" id="{00000000-0008-0000-0000-00001D000000}"/>
            </a:ext>
          </a:extLst>
        </xdr:cNvPr>
        <xdr:cNvSpPr txBox="1">
          <a:spLocks noChangeArrowheads="1"/>
        </xdr:cNvSpPr>
      </xdr:nvSpPr>
      <xdr:spPr>
        <a:xfrm>
          <a:off x="2606659" y="31173304"/>
          <a:ext cx="2689235" cy="629079"/>
        </a:xfrm>
        <a:prstGeom prst="rect">
          <a:avLst/>
        </a:prstGeom>
        <a:noFill/>
        <a:ln w="9525">
          <a:noFill/>
          <a:miter lim="800000"/>
        </a:ln>
      </xdr:spPr>
      <xdr:txBody>
        <a:bodyPr wrap="square" lIns="91440" tIns="45720" rIns="91440" bIns="45720" anchor="ctr" upright="1">
          <a:noAutofit/>
        </a:bodyPr>
        <a:lstStyle/>
        <a:p>
          <a:pPr algn="ctr" rtl="1">
            <a:defRPr sz="1000"/>
          </a:pPr>
          <a:r>
            <a:rPr lang="en-PH" sz="1000" b="0" i="0" strike="noStrike">
              <a:solidFill>
                <a:srgbClr val="000000"/>
              </a:solidFill>
              <a:latin typeface="Arial Narrow" panose="020B0606020202030204" pitchFamily="34" charset="0"/>
              <a:cs typeface="Arial" panose="020B0604020202020204"/>
            </a:rPr>
            <a:t>This</a:t>
          </a:r>
          <a:r>
            <a:rPr lang="en-PH" sz="1000" b="0" i="0" strike="noStrike" baseline="0">
              <a:solidFill>
                <a:srgbClr val="000000"/>
              </a:solidFill>
              <a:latin typeface="Arial Narrow" panose="020B0606020202030204" pitchFamily="34" charset="0"/>
              <a:cs typeface="Arial" panose="020B0604020202020204"/>
            </a:rPr>
            <a:t> report shall not be reproduced except in full,</a:t>
          </a:r>
        </a:p>
        <a:p>
          <a:pPr algn="ctr" rtl="1">
            <a:defRPr sz="1000"/>
          </a:pPr>
          <a:r>
            <a:rPr lang="en-PH" sz="1000" b="0" i="0" strike="noStrike" baseline="0">
              <a:solidFill>
                <a:srgbClr val="000000"/>
              </a:solidFill>
              <a:latin typeface="Arial Narrow" panose="020B0606020202030204" pitchFamily="34" charset="0"/>
              <a:cs typeface="Arial" panose="020B0604020202020204"/>
            </a:rPr>
            <a:t>without the written approval from the laboratory</a:t>
          </a:r>
          <a:endParaRPr lang="en-PH" sz="1000" b="0" i="0" strike="noStrike">
            <a:solidFill>
              <a:srgbClr val="000000"/>
            </a:solidFill>
            <a:latin typeface="+mn-lt"/>
            <a:cs typeface="Arial" panose="020B0604020202020204"/>
          </a:endParaRPr>
        </a:p>
      </xdr:txBody>
    </xdr:sp>
    <xdr:clientData/>
  </xdr:oneCellAnchor>
  <xdr:oneCellAnchor>
    <xdr:from>
      <xdr:col>2</xdr:col>
      <xdr:colOff>0</xdr:colOff>
      <xdr:row>161</xdr:row>
      <xdr:rowOff>58732</xdr:rowOff>
    </xdr:from>
    <xdr:ext cx="2283460" cy="975360"/>
    <xdr:sp macro="" textlink="">
      <xdr:nvSpPr>
        <xdr:cNvPr id="30" name="TextBox 14">
          <a:extLst>
            <a:ext uri="{FF2B5EF4-FFF2-40B4-BE49-F238E27FC236}">
              <a16:creationId xmlns:a16="http://schemas.microsoft.com/office/drawing/2014/main" id="{00000000-0008-0000-0000-00001E000000}"/>
            </a:ext>
          </a:extLst>
        </xdr:cNvPr>
        <xdr:cNvSpPr txBox="1"/>
      </xdr:nvSpPr>
      <xdr:spPr>
        <a:xfrm>
          <a:off x="638175" y="30995932"/>
          <a:ext cx="2283460" cy="9753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r>
            <a:rPr lang="en-US" sz="1000">
              <a:latin typeface="Arial Narrow" panose="020B0606020202030204" pitchFamily="34" charset="0"/>
            </a:rPr>
            <a:t>Block 1 Lot 49, Jubilation Commercial Strip, </a:t>
          </a:r>
        </a:p>
        <a:p>
          <a:r>
            <a:rPr lang="en-US" sz="1000">
              <a:latin typeface="Arial Narrow" panose="020B0606020202030204" pitchFamily="34" charset="0"/>
            </a:rPr>
            <a:t>Brgy. Zapote, Biñan City, Laguna 4024 Phils.</a:t>
          </a:r>
        </a:p>
        <a:p>
          <a:r>
            <a:rPr lang="en-US" sz="1000">
              <a:latin typeface="Arial Narrow" panose="020B0606020202030204" pitchFamily="34" charset="0"/>
            </a:rPr>
            <a:t>Contact Nos.: (049) 513-5233/591-0807;</a:t>
          </a:r>
        </a:p>
        <a:p>
          <a:r>
            <a:rPr lang="en-US" sz="1000">
              <a:latin typeface="Arial Narrow" panose="020B0606020202030204" pitchFamily="34" charset="0"/>
            </a:rPr>
            <a:t>                 (02) 782-2153; 09236581107</a:t>
          </a:r>
        </a:p>
        <a:p>
          <a:r>
            <a:rPr lang="en-US" sz="1000">
              <a:latin typeface="Arial Narrow" panose="020B0606020202030204" pitchFamily="34" charset="0"/>
            </a:rPr>
            <a:t>Email: admin@sonjuengineering.com</a:t>
          </a:r>
        </a:p>
        <a:p>
          <a:r>
            <a:rPr lang="en-US" sz="1000">
              <a:latin typeface="Arial Narrow" panose="020B0606020202030204" pitchFamily="34" charset="0"/>
            </a:rPr>
            <a:t>Website:</a:t>
          </a:r>
          <a:r>
            <a:rPr lang="en-US" sz="1000" baseline="0">
              <a:latin typeface="Arial Narrow" panose="020B0606020202030204" pitchFamily="34" charset="0"/>
            </a:rPr>
            <a:t> www.sonjuengineering.com</a:t>
          </a:r>
          <a:endParaRPr lang="en-US" sz="1000">
            <a:latin typeface="Arial Narrow" panose="020B0606020202030204" pitchFamily="34" charset="0"/>
          </a:endParaRPr>
        </a:p>
      </xdr:txBody>
    </xdr:sp>
    <xdr:clientData/>
  </xdr:oneCellAnchor>
  <xdr:twoCellAnchor>
    <xdr:from>
      <xdr:col>18</xdr:col>
      <xdr:colOff>0</xdr:colOff>
      <xdr:row>0</xdr:row>
      <xdr:rowOff>114300</xdr:rowOff>
    </xdr:from>
    <xdr:to>
      <xdr:col>25</xdr:col>
      <xdr:colOff>222505</xdr:colOff>
      <xdr:row>5</xdr:row>
      <xdr:rowOff>140307</xdr:rowOff>
    </xdr:to>
    <xdr:grpSp>
      <xdr:nvGrpSpPr>
        <xdr:cNvPr id="16" name="Group 15">
          <a:extLst>
            <a:ext uri="{FF2B5EF4-FFF2-40B4-BE49-F238E27FC236}">
              <a16:creationId xmlns:a16="http://schemas.microsoft.com/office/drawing/2014/main" id="{00000000-0008-0000-0000-000010000000}"/>
            </a:ext>
          </a:extLst>
        </xdr:cNvPr>
        <xdr:cNvGrpSpPr/>
      </xdr:nvGrpSpPr>
      <xdr:grpSpPr>
        <a:xfrm>
          <a:off x="4738688" y="114300"/>
          <a:ext cx="2000505" cy="978507"/>
          <a:chOff x="4701890" y="86590"/>
          <a:chExt cx="2020962" cy="987425"/>
        </a:xfrm>
      </xdr:grpSpPr>
      <xdr:pic>
        <xdr:nvPicPr>
          <xdr:cNvPr id="18" name="Picture 2">
            <a:extLst>
              <a:ext uri="{FF2B5EF4-FFF2-40B4-BE49-F238E27FC236}">
                <a16:creationId xmlns:a16="http://schemas.microsoft.com/office/drawing/2014/main" id="{00000000-0008-0000-0000-000012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4701890" y="126743"/>
            <a:ext cx="885018" cy="903637"/>
          </a:xfrm>
          <a:prstGeom prst="rect">
            <a:avLst/>
          </a:prstGeom>
          <a:noFill/>
        </xdr:spPr>
      </xdr:pic>
      <xdr:pic>
        <xdr:nvPicPr>
          <xdr:cNvPr id="20" name="Picture 19">
            <a:extLst>
              <a:ext uri="{FF2B5EF4-FFF2-40B4-BE49-F238E27FC236}">
                <a16:creationId xmlns:a16="http://schemas.microsoft.com/office/drawing/2014/main" id="{00000000-0008-0000-0000-000014000000}"/>
              </a:ext>
            </a:extLst>
          </xdr:cNvPr>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593774" y="86590"/>
            <a:ext cx="1129078" cy="987425"/>
          </a:xfrm>
          <a:prstGeom prst="rect">
            <a:avLst/>
          </a:prstGeom>
          <a:noFill/>
          <a:ln>
            <a:noFill/>
          </a:ln>
        </xdr:spPr>
      </xdr:pic>
    </xdr:grpSp>
    <xdr:clientData/>
  </xdr:twoCellAnchor>
  <xdr:twoCellAnchor>
    <xdr:from>
      <xdr:col>2</xdr:col>
      <xdr:colOff>30164</xdr:colOff>
      <xdr:row>216</xdr:row>
      <xdr:rowOff>0</xdr:rowOff>
    </xdr:from>
    <xdr:to>
      <xdr:col>25</xdr:col>
      <xdr:colOff>162649</xdr:colOff>
      <xdr:row>216</xdr:row>
      <xdr:rowOff>1588</xdr:rowOff>
    </xdr:to>
    <xdr:cxnSp macro="">
      <xdr:nvCxnSpPr>
        <xdr:cNvPr id="31" name="AutoShape 1">
          <a:extLst>
            <a:ext uri="{FF2B5EF4-FFF2-40B4-BE49-F238E27FC236}">
              <a16:creationId xmlns:a16="http://schemas.microsoft.com/office/drawing/2014/main" id="{00000000-0008-0000-0000-00001F000000}"/>
            </a:ext>
          </a:extLst>
        </xdr:cNvPr>
        <xdr:cNvCxnSpPr>
          <a:cxnSpLocks noChangeShapeType="1"/>
        </xdr:cNvCxnSpPr>
      </xdr:nvCxnSpPr>
      <xdr:spPr>
        <a:xfrm>
          <a:off x="668339" y="34013775"/>
          <a:ext cx="6076085" cy="1588"/>
        </a:xfrm>
        <a:prstGeom prst="straightConnector1">
          <a:avLst/>
        </a:prstGeom>
        <a:noFill/>
        <a:ln w="28575">
          <a:solidFill>
            <a:srgbClr val="336600"/>
          </a:solidFill>
          <a:round/>
        </a:ln>
        <a:effectLst>
          <a:outerShdw dist="35921" dir="2700000" algn="ctr" rotWithShape="0">
            <a:srgbClr val="808080"/>
          </a:outerShdw>
        </a:effectLst>
      </xdr:spPr>
    </xdr:cxnSp>
    <xdr:clientData/>
  </xdr:twoCellAnchor>
  <xdr:oneCellAnchor>
    <xdr:from>
      <xdr:col>9</xdr:col>
      <xdr:colOff>168259</xdr:colOff>
      <xdr:row>217</xdr:row>
      <xdr:rowOff>45604</xdr:rowOff>
    </xdr:from>
    <xdr:ext cx="2689235" cy="629079"/>
    <xdr:sp macro="" textlink="">
      <xdr:nvSpPr>
        <xdr:cNvPr id="32" name="Text Box 2">
          <a:extLst>
            <a:ext uri="{FF2B5EF4-FFF2-40B4-BE49-F238E27FC236}">
              <a16:creationId xmlns:a16="http://schemas.microsoft.com/office/drawing/2014/main" id="{00000000-0008-0000-0000-000020000000}"/>
            </a:ext>
          </a:extLst>
        </xdr:cNvPr>
        <xdr:cNvSpPr txBox="1">
          <a:spLocks noChangeArrowheads="1"/>
        </xdr:cNvSpPr>
      </xdr:nvSpPr>
      <xdr:spPr>
        <a:xfrm>
          <a:off x="2606659" y="34249879"/>
          <a:ext cx="2689235" cy="629079"/>
        </a:xfrm>
        <a:prstGeom prst="rect">
          <a:avLst/>
        </a:prstGeom>
        <a:noFill/>
        <a:ln w="9525">
          <a:noFill/>
          <a:miter lim="800000"/>
        </a:ln>
      </xdr:spPr>
      <xdr:txBody>
        <a:bodyPr wrap="square" lIns="91440" tIns="45720" rIns="91440" bIns="45720" anchor="ctr" upright="1">
          <a:noAutofit/>
        </a:bodyPr>
        <a:lstStyle/>
        <a:p>
          <a:pPr algn="ctr" rtl="1">
            <a:defRPr sz="1000"/>
          </a:pPr>
          <a:r>
            <a:rPr lang="en-PH" sz="1000" b="0" i="0" strike="noStrike">
              <a:solidFill>
                <a:srgbClr val="000000"/>
              </a:solidFill>
              <a:latin typeface="Arial Narrow" panose="020B0606020202030204" pitchFamily="34" charset="0"/>
              <a:cs typeface="Arial" panose="020B0604020202020204"/>
            </a:rPr>
            <a:t>This</a:t>
          </a:r>
          <a:r>
            <a:rPr lang="en-PH" sz="1000" b="0" i="0" strike="noStrike" baseline="0">
              <a:solidFill>
                <a:srgbClr val="000000"/>
              </a:solidFill>
              <a:latin typeface="Arial Narrow" panose="020B0606020202030204" pitchFamily="34" charset="0"/>
              <a:cs typeface="Arial" panose="020B0604020202020204"/>
            </a:rPr>
            <a:t> report shall not be reproduced except in full,</a:t>
          </a:r>
        </a:p>
        <a:p>
          <a:pPr algn="ctr" rtl="1">
            <a:defRPr sz="1000"/>
          </a:pPr>
          <a:r>
            <a:rPr lang="en-PH" sz="1000" b="0" i="0" strike="noStrike" baseline="0">
              <a:solidFill>
                <a:srgbClr val="000000"/>
              </a:solidFill>
              <a:latin typeface="Arial Narrow" panose="020B0606020202030204" pitchFamily="34" charset="0"/>
              <a:cs typeface="Arial" panose="020B0604020202020204"/>
            </a:rPr>
            <a:t>without the written approval from the laboratory</a:t>
          </a:r>
          <a:endParaRPr lang="en-PH" sz="1000" b="0" i="0" strike="noStrike">
            <a:solidFill>
              <a:srgbClr val="000000"/>
            </a:solidFill>
            <a:latin typeface="+mn-lt"/>
            <a:cs typeface="Arial" panose="020B0604020202020204"/>
          </a:endParaRPr>
        </a:p>
      </xdr:txBody>
    </xdr:sp>
    <xdr:clientData/>
  </xdr:oneCellAnchor>
  <xdr:oneCellAnchor>
    <xdr:from>
      <xdr:col>2</xdr:col>
      <xdr:colOff>0</xdr:colOff>
      <xdr:row>216</xdr:row>
      <xdr:rowOff>58732</xdr:rowOff>
    </xdr:from>
    <xdr:ext cx="2283460" cy="975360"/>
    <xdr:sp macro="" textlink="">
      <xdr:nvSpPr>
        <xdr:cNvPr id="33" name="TextBox 14">
          <a:extLst>
            <a:ext uri="{FF2B5EF4-FFF2-40B4-BE49-F238E27FC236}">
              <a16:creationId xmlns:a16="http://schemas.microsoft.com/office/drawing/2014/main" id="{00000000-0008-0000-0000-000021000000}"/>
            </a:ext>
          </a:extLst>
        </xdr:cNvPr>
        <xdr:cNvSpPr txBox="1"/>
      </xdr:nvSpPr>
      <xdr:spPr>
        <a:xfrm>
          <a:off x="638175" y="34072507"/>
          <a:ext cx="2283460" cy="9753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r>
            <a:rPr lang="en-US" sz="1000">
              <a:latin typeface="Arial Narrow" panose="020B0606020202030204" pitchFamily="34" charset="0"/>
            </a:rPr>
            <a:t>Block 1 Lot 49, Jubilation Commercial Strip, </a:t>
          </a:r>
        </a:p>
        <a:p>
          <a:r>
            <a:rPr lang="en-US" sz="1000">
              <a:latin typeface="Arial Narrow" panose="020B0606020202030204" pitchFamily="34" charset="0"/>
            </a:rPr>
            <a:t>Brgy. Zapote, Biñan City, Laguna 4024 Phils.</a:t>
          </a:r>
        </a:p>
        <a:p>
          <a:r>
            <a:rPr lang="en-US" sz="1000">
              <a:latin typeface="Arial Narrow" panose="020B0606020202030204" pitchFamily="34" charset="0"/>
            </a:rPr>
            <a:t>Contact Nos.: (049) 513-5233/591-0807;</a:t>
          </a:r>
        </a:p>
        <a:p>
          <a:r>
            <a:rPr lang="en-US" sz="1000">
              <a:latin typeface="Arial Narrow" panose="020B0606020202030204" pitchFamily="34" charset="0"/>
            </a:rPr>
            <a:t>                 (02) 782-2153; 09236581107</a:t>
          </a:r>
        </a:p>
        <a:p>
          <a:r>
            <a:rPr lang="en-US" sz="1000">
              <a:latin typeface="Arial Narrow" panose="020B0606020202030204" pitchFamily="34" charset="0"/>
            </a:rPr>
            <a:t>Email: admin@sonjuengineering.com</a:t>
          </a:r>
        </a:p>
        <a:p>
          <a:r>
            <a:rPr lang="en-US" sz="1000">
              <a:latin typeface="Arial Narrow" panose="020B0606020202030204" pitchFamily="34" charset="0"/>
            </a:rPr>
            <a:t>Website:</a:t>
          </a:r>
          <a:r>
            <a:rPr lang="en-US" sz="1000" baseline="0">
              <a:latin typeface="Arial Narrow" panose="020B0606020202030204" pitchFamily="34" charset="0"/>
            </a:rPr>
            <a:t> www.sonjuengineering.com</a:t>
          </a:r>
          <a:endParaRPr lang="en-US" sz="1000">
            <a:latin typeface="Arial Narrow" panose="020B0606020202030204" pitchFamily="34" charset="0"/>
          </a:endParaRPr>
        </a:p>
      </xdr:txBody>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39</xdr:col>
      <xdr:colOff>17463</xdr:colOff>
      <xdr:row>1</xdr:row>
      <xdr:rowOff>28575</xdr:rowOff>
    </xdr:from>
    <xdr:to>
      <xdr:col>50</xdr:col>
      <xdr:colOff>55564</xdr:colOff>
      <xdr:row>4</xdr:row>
      <xdr:rowOff>60813</xdr:rowOff>
    </xdr:to>
    <xdr:pic>
      <xdr:nvPicPr>
        <xdr:cNvPr id="2" name="Picture 1" descr="G:\SONJU\Revised Procedures\Sonju Logo.png">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rcRect/>
        <a:stretch>
          <a:fillRect/>
        </a:stretch>
      </xdr:blipFill>
      <xdr:spPr>
        <a:xfrm>
          <a:off x="5760720" y="28575"/>
          <a:ext cx="1504950" cy="600075"/>
        </a:xfrm>
        <a:prstGeom prst="rect">
          <a:avLst/>
        </a:prstGeom>
        <a:noFill/>
        <a:ln w="9525">
          <a:noFill/>
          <a:miter lim="800000"/>
          <a:headEnd/>
          <a:tailEnd/>
        </a:ln>
      </xdr:spPr>
    </xdr:pic>
    <xdr:clientData/>
  </xdr:twoCellAnchor>
  <xdr:twoCellAnchor>
    <xdr:from>
      <xdr:col>47</xdr:col>
      <xdr:colOff>95250</xdr:colOff>
      <xdr:row>46</xdr:row>
      <xdr:rowOff>47625</xdr:rowOff>
    </xdr:from>
    <xdr:to>
      <xdr:col>48</xdr:col>
      <xdr:colOff>114300</xdr:colOff>
      <xdr:row>46</xdr:row>
      <xdr:rowOff>161925</xdr:rowOff>
    </xdr:to>
    <xdr:sp macro="" textlink="">
      <xdr:nvSpPr>
        <xdr:cNvPr id="3" name="Rectangle 2">
          <a:extLst>
            <a:ext uri="{FF2B5EF4-FFF2-40B4-BE49-F238E27FC236}">
              <a16:creationId xmlns:a16="http://schemas.microsoft.com/office/drawing/2014/main" id="{00000000-0008-0000-0100-000003000000}"/>
            </a:ext>
          </a:extLst>
        </xdr:cNvPr>
        <xdr:cNvSpPr/>
      </xdr:nvSpPr>
      <xdr:spPr>
        <a:xfrm>
          <a:off x="6905625" y="5995035"/>
          <a:ext cx="152400" cy="114300"/>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47</xdr:col>
      <xdr:colOff>95250</xdr:colOff>
      <xdr:row>47</xdr:row>
      <xdr:rowOff>28575</xdr:rowOff>
    </xdr:from>
    <xdr:to>
      <xdr:col>48</xdr:col>
      <xdr:colOff>114300</xdr:colOff>
      <xdr:row>47</xdr:row>
      <xdr:rowOff>161925</xdr:rowOff>
    </xdr:to>
    <xdr:sp macro="" textlink="">
      <xdr:nvSpPr>
        <xdr:cNvPr id="4" name="Rectangle 3">
          <a:extLst>
            <a:ext uri="{FF2B5EF4-FFF2-40B4-BE49-F238E27FC236}">
              <a16:creationId xmlns:a16="http://schemas.microsoft.com/office/drawing/2014/main" id="{00000000-0008-0000-0100-000004000000}"/>
            </a:ext>
          </a:extLst>
        </xdr:cNvPr>
        <xdr:cNvSpPr/>
      </xdr:nvSpPr>
      <xdr:spPr>
        <a:xfrm>
          <a:off x="6815302" y="6393903"/>
          <a:ext cx="150429" cy="133350"/>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29</xdr:col>
      <xdr:colOff>130156</xdr:colOff>
      <xdr:row>26</xdr:row>
      <xdr:rowOff>82179</xdr:rowOff>
    </xdr:from>
    <xdr:to>
      <xdr:col>31</xdr:col>
      <xdr:colOff>14269</xdr:colOff>
      <xdr:row>28</xdr:row>
      <xdr:rowOff>21501</xdr:rowOff>
    </xdr:to>
    <xdr:sp macro="" textlink="">
      <xdr:nvSpPr>
        <xdr:cNvPr id="6" name="Rectangle 5">
          <a:extLst>
            <a:ext uri="{FF2B5EF4-FFF2-40B4-BE49-F238E27FC236}">
              <a16:creationId xmlns:a16="http://schemas.microsoft.com/office/drawing/2014/main" id="{00000000-0008-0000-0100-000006000000}"/>
            </a:ext>
          </a:extLst>
        </xdr:cNvPr>
        <xdr:cNvSpPr/>
      </xdr:nvSpPr>
      <xdr:spPr>
        <a:xfrm>
          <a:off x="4793878" y="3130179"/>
          <a:ext cx="166335" cy="136878"/>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30</xdr:col>
      <xdr:colOff>2871</xdr:colOff>
      <xdr:row>24</xdr:row>
      <xdr:rowOff>64607</xdr:rowOff>
    </xdr:from>
    <xdr:to>
      <xdr:col>31</xdr:col>
      <xdr:colOff>16871</xdr:colOff>
      <xdr:row>26</xdr:row>
      <xdr:rowOff>3929</xdr:rowOff>
    </xdr:to>
    <xdr:sp macro="" textlink="">
      <xdr:nvSpPr>
        <xdr:cNvPr id="7" name="Rectangle 6">
          <a:extLst>
            <a:ext uri="{FF2B5EF4-FFF2-40B4-BE49-F238E27FC236}">
              <a16:creationId xmlns:a16="http://schemas.microsoft.com/office/drawing/2014/main" id="{00000000-0008-0000-0100-000007000000}"/>
            </a:ext>
          </a:extLst>
        </xdr:cNvPr>
        <xdr:cNvSpPr/>
      </xdr:nvSpPr>
      <xdr:spPr>
        <a:xfrm>
          <a:off x="4807704" y="2915051"/>
          <a:ext cx="155111" cy="136878"/>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219075</xdr:colOff>
      <xdr:row>0</xdr:row>
      <xdr:rowOff>95250</xdr:rowOff>
    </xdr:from>
    <xdr:to>
      <xdr:col>11</xdr:col>
      <xdr:colOff>370618</xdr:colOff>
      <xdr:row>24</xdr:row>
      <xdr:rowOff>18488</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219075" y="95250"/>
          <a:ext cx="6857143" cy="4495238"/>
        </a:xfrm>
        <a:prstGeom prst="rect">
          <a:avLst/>
        </a:prstGeom>
      </xdr:spPr>
    </xdr:pic>
    <xdr:clientData/>
  </xdr:twoCellAnchor>
  <xdr:twoCellAnchor editAs="oneCell">
    <xdr:from>
      <xdr:col>0</xdr:col>
      <xdr:colOff>285750</xdr:colOff>
      <xdr:row>30</xdr:row>
      <xdr:rowOff>0</xdr:rowOff>
    </xdr:from>
    <xdr:to>
      <xdr:col>11</xdr:col>
      <xdr:colOff>189674</xdr:colOff>
      <xdr:row>43</xdr:row>
      <xdr:rowOff>133024</xdr:rowOff>
    </xdr:to>
    <xdr:pic>
      <xdr:nvPicPr>
        <xdr:cNvPr id="3" name="Picture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2"/>
        <a:stretch>
          <a:fillRect/>
        </a:stretch>
      </xdr:blipFill>
      <xdr:spPr>
        <a:xfrm>
          <a:off x="285750" y="5715000"/>
          <a:ext cx="6609524" cy="2609524"/>
        </a:xfrm>
        <a:prstGeom prst="rect">
          <a:avLst/>
        </a:prstGeom>
      </xdr:spPr>
    </xdr:pic>
    <xdr:clientData/>
  </xdr:twoCellAnchor>
  <xdr:twoCellAnchor editAs="oneCell">
    <xdr:from>
      <xdr:col>11</xdr:col>
      <xdr:colOff>571500</xdr:colOff>
      <xdr:row>0</xdr:row>
      <xdr:rowOff>95250</xdr:rowOff>
    </xdr:from>
    <xdr:to>
      <xdr:col>22</xdr:col>
      <xdr:colOff>351615</xdr:colOff>
      <xdr:row>21</xdr:row>
      <xdr:rowOff>66179</xdr:rowOff>
    </xdr:to>
    <xdr:pic>
      <xdr:nvPicPr>
        <xdr:cNvPr id="4" name="Picture 3">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7277100" y="95250"/>
          <a:ext cx="6485715" cy="3971429"/>
        </a:xfrm>
        <a:prstGeom prst="rect">
          <a:avLst/>
        </a:prstGeom>
      </xdr:spPr>
    </xdr:pic>
    <xdr:clientData/>
  </xdr:twoCellAnchor>
  <xdr:twoCellAnchor editAs="oneCell">
    <xdr:from>
      <xdr:col>12</xdr:col>
      <xdr:colOff>0</xdr:colOff>
      <xdr:row>21</xdr:row>
      <xdr:rowOff>180975</xdr:rowOff>
    </xdr:from>
    <xdr:to>
      <xdr:col>22</xdr:col>
      <xdr:colOff>494477</xdr:colOff>
      <xdr:row>33</xdr:row>
      <xdr:rowOff>75928</xdr:rowOff>
    </xdr:to>
    <xdr:pic>
      <xdr:nvPicPr>
        <xdr:cNvPr id="5" name="Picture 4">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4"/>
        <a:stretch>
          <a:fillRect/>
        </a:stretch>
      </xdr:blipFill>
      <xdr:spPr>
        <a:xfrm>
          <a:off x="7315200" y="4181475"/>
          <a:ext cx="6590477" cy="2180953"/>
        </a:xfrm>
        <a:prstGeom prst="rect">
          <a:avLst/>
        </a:prstGeom>
      </xdr:spPr>
    </xdr:pic>
    <xdr:clientData/>
  </xdr:twoCellAnchor>
  <xdr:twoCellAnchor editAs="oneCell">
    <xdr:from>
      <xdr:col>0</xdr:col>
      <xdr:colOff>314325</xdr:colOff>
      <xdr:row>38</xdr:row>
      <xdr:rowOff>171450</xdr:rowOff>
    </xdr:from>
    <xdr:to>
      <xdr:col>11</xdr:col>
      <xdr:colOff>313487</xdr:colOff>
      <xdr:row>61</xdr:row>
      <xdr:rowOff>180426</xdr:rowOff>
    </xdr:to>
    <xdr:pic>
      <xdr:nvPicPr>
        <xdr:cNvPr id="6" name="Picture 5">
          <a:extLst>
            <a:ext uri="{FF2B5EF4-FFF2-40B4-BE49-F238E27FC236}">
              <a16:creationId xmlns:a16="http://schemas.microsoft.com/office/drawing/2014/main" id="{00000000-0008-0000-0300-000006000000}"/>
            </a:ext>
          </a:extLst>
        </xdr:cNvPr>
        <xdr:cNvPicPr>
          <a:picLocks noChangeAspect="1"/>
        </xdr:cNvPicPr>
      </xdr:nvPicPr>
      <xdr:blipFill>
        <a:blip xmlns:r="http://schemas.openxmlformats.org/officeDocument/2006/relationships" r:embed="rId5"/>
        <a:stretch>
          <a:fillRect/>
        </a:stretch>
      </xdr:blipFill>
      <xdr:spPr>
        <a:xfrm>
          <a:off x="314325" y="7410450"/>
          <a:ext cx="6704762" cy="4390476"/>
        </a:xfrm>
        <a:prstGeom prst="rect">
          <a:avLst/>
        </a:prstGeom>
      </xdr:spPr>
    </xdr:pic>
    <xdr:clientData/>
  </xdr:twoCellAnchor>
  <xdr:twoCellAnchor editAs="oneCell">
    <xdr:from>
      <xdr:col>12</xdr:col>
      <xdr:colOff>19050</xdr:colOff>
      <xdr:row>33</xdr:row>
      <xdr:rowOff>142875</xdr:rowOff>
    </xdr:from>
    <xdr:to>
      <xdr:col>22</xdr:col>
      <xdr:colOff>561146</xdr:colOff>
      <xdr:row>55</xdr:row>
      <xdr:rowOff>85209</xdr:rowOff>
    </xdr:to>
    <xdr:pic>
      <xdr:nvPicPr>
        <xdr:cNvPr id="7" name="Picture 6">
          <a:extLst>
            <a:ext uri="{FF2B5EF4-FFF2-40B4-BE49-F238E27FC236}">
              <a16:creationId xmlns:a16="http://schemas.microsoft.com/office/drawing/2014/main" id="{00000000-0008-0000-0300-000007000000}"/>
            </a:ext>
          </a:extLst>
        </xdr:cNvPr>
        <xdr:cNvPicPr>
          <a:picLocks noChangeAspect="1"/>
        </xdr:cNvPicPr>
      </xdr:nvPicPr>
      <xdr:blipFill>
        <a:blip xmlns:r="http://schemas.openxmlformats.org/officeDocument/2006/relationships" r:embed="rId6"/>
        <a:stretch>
          <a:fillRect/>
        </a:stretch>
      </xdr:blipFill>
      <xdr:spPr>
        <a:xfrm>
          <a:off x="7334250" y="6429375"/>
          <a:ext cx="6638096" cy="4133334"/>
        </a:xfrm>
        <a:prstGeom prst="rect">
          <a:avLst/>
        </a:prstGeom>
      </xdr:spPr>
    </xdr:pic>
    <xdr:clientData/>
  </xdr:twoCellAnchor>
  <xdr:twoCellAnchor editAs="oneCell">
    <xdr:from>
      <xdr:col>12</xdr:col>
      <xdr:colOff>9525</xdr:colOff>
      <xdr:row>56</xdr:row>
      <xdr:rowOff>19050</xdr:rowOff>
    </xdr:from>
    <xdr:to>
      <xdr:col>22</xdr:col>
      <xdr:colOff>551621</xdr:colOff>
      <xdr:row>72</xdr:row>
      <xdr:rowOff>94860</xdr:rowOff>
    </xdr:to>
    <xdr:pic>
      <xdr:nvPicPr>
        <xdr:cNvPr id="8" name="Picture 7">
          <a:extLst>
            <a:ext uri="{FF2B5EF4-FFF2-40B4-BE49-F238E27FC236}">
              <a16:creationId xmlns:a16="http://schemas.microsoft.com/office/drawing/2014/main" id="{00000000-0008-0000-0300-000008000000}"/>
            </a:ext>
          </a:extLst>
        </xdr:cNvPr>
        <xdr:cNvPicPr>
          <a:picLocks noChangeAspect="1"/>
        </xdr:cNvPicPr>
      </xdr:nvPicPr>
      <xdr:blipFill>
        <a:blip xmlns:r="http://schemas.openxmlformats.org/officeDocument/2006/relationships" r:embed="rId7"/>
        <a:stretch>
          <a:fillRect/>
        </a:stretch>
      </xdr:blipFill>
      <xdr:spPr>
        <a:xfrm>
          <a:off x="7324725" y="10687050"/>
          <a:ext cx="6638096" cy="3123810"/>
        </a:xfrm>
        <a:prstGeom prst="rect">
          <a:avLst/>
        </a:prstGeom>
      </xdr:spPr>
    </xdr:pic>
    <xdr:clientData/>
  </xdr:twoCellAnchor>
  <xdr:twoCellAnchor editAs="oneCell">
    <xdr:from>
      <xdr:col>0</xdr:col>
      <xdr:colOff>361950</xdr:colOff>
      <xdr:row>62</xdr:row>
      <xdr:rowOff>9525</xdr:rowOff>
    </xdr:from>
    <xdr:to>
      <xdr:col>11</xdr:col>
      <xdr:colOff>218255</xdr:colOff>
      <xdr:row>82</xdr:row>
      <xdr:rowOff>28097</xdr:rowOff>
    </xdr:to>
    <xdr:pic>
      <xdr:nvPicPr>
        <xdr:cNvPr id="9" name="Picture 8">
          <a:extLst>
            <a:ext uri="{FF2B5EF4-FFF2-40B4-BE49-F238E27FC236}">
              <a16:creationId xmlns:a16="http://schemas.microsoft.com/office/drawing/2014/main" id="{00000000-0008-0000-0300-000009000000}"/>
            </a:ext>
          </a:extLst>
        </xdr:cNvPr>
        <xdr:cNvPicPr>
          <a:picLocks noChangeAspect="1"/>
        </xdr:cNvPicPr>
      </xdr:nvPicPr>
      <xdr:blipFill>
        <a:blip xmlns:r="http://schemas.openxmlformats.org/officeDocument/2006/relationships" r:embed="rId8"/>
        <a:stretch>
          <a:fillRect/>
        </a:stretch>
      </xdr:blipFill>
      <xdr:spPr>
        <a:xfrm>
          <a:off x="361950" y="11820525"/>
          <a:ext cx="6561905" cy="3828572"/>
        </a:xfrm>
        <a:prstGeom prst="rect">
          <a:avLst/>
        </a:prstGeom>
      </xdr:spPr>
    </xdr:pic>
    <xdr:clientData/>
  </xdr:twoCellAnchor>
  <xdr:twoCellAnchor editAs="oneCell">
    <xdr:from>
      <xdr:col>0</xdr:col>
      <xdr:colOff>371475</xdr:colOff>
      <xdr:row>82</xdr:row>
      <xdr:rowOff>95250</xdr:rowOff>
    </xdr:from>
    <xdr:to>
      <xdr:col>11</xdr:col>
      <xdr:colOff>284923</xdr:colOff>
      <xdr:row>97</xdr:row>
      <xdr:rowOff>66322</xdr:rowOff>
    </xdr:to>
    <xdr:pic>
      <xdr:nvPicPr>
        <xdr:cNvPr id="10" name="Picture 9">
          <a:extLst>
            <a:ext uri="{FF2B5EF4-FFF2-40B4-BE49-F238E27FC236}">
              <a16:creationId xmlns:a16="http://schemas.microsoft.com/office/drawing/2014/main" id="{00000000-0008-0000-0300-00000A000000}"/>
            </a:ext>
          </a:extLst>
        </xdr:cNvPr>
        <xdr:cNvPicPr>
          <a:picLocks noChangeAspect="1"/>
        </xdr:cNvPicPr>
      </xdr:nvPicPr>
      <xdr:blipFill>
        <a:blip xmlns:r="http://schemas.openxmlformats.org/officeDocument/2006/relationships" r:embed="rId9"/>
        <a:stretch>
          <a:fillRect/>
        </a:stretch>
      </xdr:blipFill>
      <xdr:spPr>
        <a:xfrm>
          <a:off x="371475" y="15716250"/>
          <a:ext cx="6619048" cy="282857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242"/>
  <sheetViews>
    <sheetView showGridLines="0" zoomScale="120" zoomScaleNormal="120" zoomScaleSheetLayoutView="120" workbookViewId="0">
      <selection activeCell="H15" sqref="H15:M15"/>
    </sheetView>
  </sheetViews>
  <sheetFormatPr defaultColWidth="0" defaultRowHeight="13.5"/>
  <cols>
    <col min="1" max="1" width="3.85546875" style="23" customWidth="1"/>
    <col min="2" max="2" width="5.7109375" style="20" customWidth="1"/>
    <col min="3" max="11" width="3.85546875" style="20" customWidth="1"/>
    <col min="12" max="12" width="4" style="20" customWidth="1"/>
    <col min="13" max="13" width="4.140625" style="20" customWidth="1"/>
    <col min="14" max="26" width="3.85546875" style="20" customWidth="1"/>
    <col min="27" max="27" width="3" style="20" customWidth="1"/>
    <col min="28" max="48" width="3.85546875" style="20" hidden="1" customWidth="1"/>
    <col min="49" max="16384" width="9.140625" style="20" hidden="1"/>
  </cols>
  <sheetData>
    <row r="1" spans="3:26" ht="12.75" customHeight="1"/>
    <row r="5" spans="3:26" ht="21" customHeight="1">
      <c r="C5" s="279" t="s">
        <v>0</v>
      </c>
      <c r="D5" s="279"/>
      <c r="E5" s="279"/>
      <c r="F5" s="279"/>
      <c r="G5" s="279"/>
      <c r="H5" s="279"/>
      <c r="I5" s="279"/>
      <c r="J5" s="279"/>
      <c r="K5" s="279"/>
      <c r="L5" s="279"/>
      <c r="M5" s="279"/>
      <c r="N5" s="279"/>
      <c r="O5" s="279"/>
      <c r="P5" s="279"/>
      <c r="Q5" s="279"/>
      <c r="R5" s="279"/>
      <c r="S5" s="279"/>
      <c r="T5" s="279"/>
      <c r="U5" s="279"/>
      <c r="V5" s="279"/>
      <c r="W5" s="279"/>
      <c r="X5" s="279"/>
      <c r="Y5" s="279"/>
      <c r="Z5" s="279"/>
    </row>
    <row r="6" spans="3:26" ht="12.75" customHeight="1">
      <c r="C6" s="279"/>
      <c r="D6" s="279"/>
      <c r="E6" s="279"/>
      <c r="F6" s="279"/>
      <c r="G6" s="279"/>
      <c r="H6" s="279"/>
      <c r="I6" s="279"/>
      <c r="J6" s="279"/>
      <c r="K6" s="279"/>
      <c r="L6" s="279"/>
      <c r="M6" s="279"/>
      <c r="N6" s="279"/>
      <c r="O6" s="279"/>
      <c r="P6" s="279"/>
      <c r="Q6" s="279"/>
      <c r="R6" s="279"/>
      <c r="S6" s="279"/>
      <c r="T6" s="279"/>
      <c r="U6" s="279"/>
      <c r="V6" s="279"/>
      <c r="W6" s="279"/>
      <c r="X6" s="279"/>
      <c r="Y6" s="279"/>
      <c r="Z6" s="279"/>
    </row>
    <row r="7" spans="3:26" ht="12.75" customHeight="1">
      <c r="R7" s="243" t="s">
        <v>1</v>
      </c>
      <c r="S7" s="243"/>
      <c r="T7" s="243"/>
      <c r="U7" s="243"/>
      <c r="V7" s="244" t="str">
        <f>CONCATENATE("25-",DataSheet!L7,DataSheet!N7,DataSheet!O7,DataSheet!AN7," ","Rev.00")</f>
        <v>25-5465-09DBN Rev.00</v>
      </c>
      <c r="W7" s="244"/>
      <c r="X7" s="244"/>
      <c r="Y7" s="244"/>
      <c r="Z7" s="244"/>
    </row>
    <row r="9" spans="3:26" ht="15" customHeight="1">
      <c r="C9" s="21" t="s">
        <v>2</v>
      </c>
      <c r="O9" s="21" t="s">
        <v>3</v>
      </c>
    </row>
    <row r="10" spans="3:26" ht="15" customHeight="1">
      <c r="D10" s="19" t="str">
        <f>DataSheet!H25</f>
        <v>NEW5</v>
      </c>
      <c r="E10" s="19"/>
      <c r="F10" s="19"/>
      <c r="G10" s="19"/>
      <c r="H10" s="19"/>
      <c r="I10" s="19"/>
      <c r="J10" s="19"/>
      <c r="K10" s="19"/>
      <c r="L10" s="19"/>
      <c r="M10" s="19"/>
      <c r="N10" s="19"/>
      <c r="P10" s="19" t="str">
        <f>IF(DataSheet!AE25="x","SONJU ENGINEERING SERVICES",D10)</f>
        <v>NEW5</v>
      </c>
      <c r="Q10" s="19"/>
      <c r="R10" s="19"/>
      <c r="S10" s="19"/>
      <c r="T10" s="19"/>
      <c r="U10" s="19"/>
      <c r="V10" s="19"/>
      <c r="W10" s="19"/>
      <c r="X10" s="19"/>
      <c r="Y10" s="19"/>
      <c r="Z10" s="19"/>
    </row>
    <row r="11" spans="3:26" ht="12.95" customHeight="1">
      <c r="C11" s="21"/>
      <c r="D11" s="248" t="str">
        <f>DataSheet!H27</f>
        <v>NEW5</v>
      </c>
      <c r="E11" s="248"/>
      <c r="F11" s="248"/>
      <c r="G11" s="248"/>
      <c r="H11" s="248"/>
      <c r="I11" s="248"/>
      <c r="J11" s="248"/>
      <c r="K11" s="248"/>
      <c r="L11" s="248"/>
      <c r="M11" s="248"/>
      <c r="N11" s="25"/>
      <c r="O11" s="25"/>
      <c r="P11" s="248" t="str">
        <f>IF(DataSheet!AE25="x",DataSheet!AG29,DataSheet!AG29)</f>
        <v>NEW5</v>
      </c>
      <c r="Q11" s="248"/>
      <c r="R11" s="248"/>
      <c r="S11" s="248"/>
      <c r="T11" s="248"/>
      <c r="U11" s="248"/>
      <c r="V11" s="248"/>
      <c r="W11" s="248"/>
      <c r="X11" s="248"/>
      <c r="Y11" s="248"/>
      <c r="Z11" s="25"/>
    </row>
    <row r="12" spans="3:26" ht="12.95" customHeight="1">
      <c r="D12" s="248"/>
      <c r="E12" s="248"/>
      <c r="F12" s="248"/>
      <c r="G12" s="248"/>
      <c r="H12" s="248"/>
      <c r="I12" s="248"/>
      <c r="J12" s="248"/>
      <c r="K12" s="248"/>
      <c r="L12" s="248"/>
      <c r="M12" s="248"/>
      <c r="N12" s="25"/>
      <c r="O12" s="24"/>
      <c r="P12" s="248"/>
      <c r="Q12" s="248"/>
      <c r="R12" s="248"/>
      <c r="S12" s="248"/>
      <c r="T12" s="248"/>
      <c r="U12" s="248"/>
      <c r="V12" s="248"/>
      <c r="W12" s="248"/>
      <c r="X12" s="248"/>
      <c r="Y12" s="248"/>
      <c r="Z12" s="25"/>
    </row>
    <row r="13" spans="3:26" ht="12.95" customHeight="1">
      <c r="D13" s="248"/>
      <c r="E13" s="248"/>
      <c r="F13" s="248"/>
      <c r="G13" s="248"/>
      <c r="H13" s="248"/>
      <c r="I13" s="248"/>
      <c r="J13" s="248"/>
      <c r="K13" s="248"/>
      <c r="L13" s="248"/>
      <c r="M13" s="248"/>
      <c r="N13" s="25"/>
      <c r="O13" s="24"/>
      <c r="P13" s="55"/>
      <c r="Q13" s="55"/>
      <c r="R13" s="55"/>
      <c r="S13" s="55"/>
      <c r="T13" s="55"/>
      <c r="U13" s="55"/>
      <c r="V13" s="55"/>
      <c r="W13" s="55"/>
      <c r="X13" s="55"/>
      <c r="Y13" s="55"/>
      <c r="Z13" s="31"/>
    </row>
    <row r="14" spans="3:26" ht="12.95" customHeight="1"/>
    <row r="15" spans="3:26" ht="15" customHeight="1">
      <c r="C15" s="21" t="s">
        <v>4</v>
      </c>
      <c r="H15" s="245" t="str">
        <f>DataSheet!K11</f>
        <v>AA</v>
      </c>
      <c r="I15" s="245"/>
      <c r="J15" s="245"/>
      <c r="K15" s="245"/>
      <c r="L15" s="245"/>
      <c r="M15" s="245"/>
      <c r="N15" s="26"/>
      <c r="O15" s="21" t="s">
        <v>5</v>
      </c>
      <c r="T15" s="20" t="str">
        <f>DataSheet!K9</f>
        <v>AA</v>
      </c>
    </row>
    <row r="16" spans="3:26" ht="15" customHeight="1">
      <c r="C16" s="21" t="s">
        <v>6</v>
      </c>
      <c r="H16" s="245" t="str">
        <f>DataSheet!K13</f>
        <v>AA</v>
      </c>
      <c r="I16" s="245"/>
      <c r="J16" s="245"/>
      <c r="K16" s="245"/>
      <c r="L16" s="245"/>
      <c r="M16" s="245"/>
      <c r="N16" s="26"/>
      <c r="O16" s="21" t="s">
        <v>7</v>
      </c>
      <c r="T16" s="245" t="str">
        <f>DataSheet!AL13</f>
        <v>dfsfd</v>
      </c>
      <c r="U16" s="245"/>
      <c r="V16" s="245"/>
      <c r="W16" s="245"/>
      <c r="X16" s="245"/>
      <c r="Y16" s="245"/>
      <c r="Z16" s="245"/>
    </row>
    <row r="17" spans="1:26" ht="15" customHeight="1">
      <c r="C17" s="27" t="s">
        <v>8</v>
      </c>
      <c r="H17" s="246" t="str">
        <f>DataSheet!K15</f>
        <v>dfsfd</v>
      </c>
      <c r="I17" s="245"/>
      <c r="J17" s="245"/>
      <c r="K17" s="245"/>
      <c r="L17" s="245"/>
      <c r="M17" s="245"/>
      <c r="N17" s="26"/>
      <c r="O17" s="21" t="s">
        <v>9</v>
      </c>
      <c r="T17" s="245" t="str">
        <f>DataSheet!AL17</f>
        <v>dfsfd</v>
      </c>
      <c r="U17" s="245"/>
      <c r="V17" s="245"/>
      <c r="W17" s="245"/>
      <c r="X17" s="245"/>
      <c r="Y17" s="245"/>
      <c r="Z17" s="245"/>
    </row>
    <row r="18" spans="1:26" ht="15" customHeight="1">
      <c r="C18" s="21" t="s">
        <v>10</v>
      </c>
      <c r="H18" s="247">
        <f>DataSheet!AL11</f>
        <v>45786</v>
      </c>
      <c r="I18" s="247"/>
      <c r="J18" s="247"/>
      <c r="K18" s="247"/>
      <c r="L18" s="247"/>
      <c r="M18" s="247"/>
      <c r="N18" s="26"/>
      <c r="O18" s="21" t="s">
        <v>11</v>
      </c>
      <c r="T18" s="245" t="str">
        <f>DataSheet!L7</f>
        <v>5465-09</v>
      </c>
      <c r="U18" s="245"/>
      <c r="V18" s="245"/>
      <c r="W18" s="245"/>
      <c r="X18" s="245"/>
      <c r="Y18" s="245"/>
      <c r="Z18" s="245"/>
    </row>
    <row r="19" spans="1:26" ht="15" customHeight="1">
      <c r="C19" s="21" t="s">
        <v>133</v>
      </c>
      <c r="H19" s="250">
        <f>DataSheet!AL9</f>
        <v>45786</v>
      </c>
      <c r="I19" s="250"/>
      <c r="J19" s="250"/>
      <c r="K19" s="250"/>
      <c r="L19" s="250"/>
      <c r="M19" s="250"/>
      <c r="N19" s="250"/>
      <c r="O19" s="21" t="s">
        <v>12</v>
      </c>
      <c r="T19" s="245" t="str">
        <f>DataSheet!AL15</f>
        <v>dfsfd</v>
      </c>
      <c r="U19" s="245"/>
      <c r="V19" s="245"/>
      <c r="W19" s="245"/>
      <c r="X19" s="245"/>
      <c r="Y19" s="245"/>
      <c r="Z19" s="245"/>
    </row>
    <row r="20" spans="1:26" ht="15" customHeight="1">
      <c r="C20" s="21" t="s">
        <v>13</v>
      </c>
      <c r="H20" s="245" t="str">
        <f>IF(DataSheet!AE25="x","23 °C ± 5 °C",CONCATENATE(ROUND(AVERAGE(DataSheet!K41:L42),1)," ","°C"))</f>
        <v>5.5 °C</v>
      </c>
      <c r="I20" s="245"/>
      <c r="J20" s="245"/>
      <c r="K20" s="245"/>
      <c r="L20" s="245"/>
      <c r="M20" s="245"/>
      <c r="N20" s="26"/>
      <c r="O20" s="21" t="s">
        <v>14</v>
      </c>
      <c r="T20" s="245" t="str">
        <f>IF(DataSheet!AE25="x","55 %rh ± 15 %rh",CONCATENATE(ROUND(AVERAGE(DataSheet!T41:U42),1)," ","%rh"))</f>
        <v>7 %rh</v>
      </c>
      <c r="U20" s="245"/>
      <c r="V20" s="245"/>
      <c r="W20" s="245"/>
      <c r="X20" s="245"/>
      <c r="Y20" s="245"/>
      <c r="Z20" s="245"/>
    </row>
    <row r="21" spans="1:26" ht="12.95" customHeight="1"/>
    <row r="22" spans="1:26" ht="12.95" customHeight="1"/>
    <row r="23" spans="1:26" s="26" customFormat="1" ht="15" customHeight="1">
      <c r="A23" s="56"/>
      <c r="C23" s="64" t="s">
        <v>15</v>
      </c>
    </row>
    <row r="24" spans="1:26" ht="15" customHeight="1">
      <c r="C24" s="66" t="str">
        <f>DataSheet!AB40</f>
        <v>As per SONJU Engineering Services Work Instruction 7W-02-54 Digital Multimeter Calibration Procedure._x000D_
_x000D_
This is to certify that the above Measuring and Test Equipment has been calibrated by SONJU Engineering Services in accordance with relevant calibration procedure defined for this instrument.</v>
      </c>
      <c r="D24" s="31"/>
      <c r="E24" s="31"/>
      <c r="F24" s="31"/>
      <c r="G24" s="31"/>
      <c r="H24" s="31"/>
      <c r="I24" s="31"/>
      <c r="J24" s="31"/>
      <c r="K24" s="31"/>
      <c r="L24" s="31"/>
      <c r="M24" s="31"/>
      <c r="N24" s="31"/>
      <c r="O24" s="31"/>
      <c r="P24" s="31"/>
      <c r="Q24" s="31"/>
      <c r="R24" s="31"/>
      <c r="S24" s="31"/>
      <c r="T24" s="31"/>
      <c r="U24" s="31"/>
    </row>
    <row r="25" spans="1:26" ht="9.9499999999999993" customHeight="1">
      <c r="C25" s="31"/>
      <c r="D25" s="31"/>
      <c r="E25" s="31"/>
      <c r="F25" s="31"/>
      <c r="G25" s="31"/>
      <c r="H25" s="31"/>
      <c r="I25" s="31"/>
      <c r="J25" s="31"/>
      <c r="K25" s="31"/>
      <c r="L25" s="31"/>
      <c r="M25" s="31"/>
      <c r="N25" s="31"/>
      <c r="O25" s="31"/>
      <c r="P25" s="31"/>
      <c r="Q25" s="31"/>
      <c r="R25" s="31"/>
      <c r="S25" s="31"/>
      <c r="T25" s="31"/>
      <c r="U25" s="31"/>
    </row>
    <row r="26" spans="1:26" ht="15" customHeight="1">
      <c r="C26" s="249" t="s">
        <v>16</v>
      </c>
      <c r="D26" s="249"/>
      <c r="E26" s="249"/>
      <c r="F26" s="249"/>
      <c r="G26" s="249"/>
      <c r="H26" s="249"/>
      <c r="I26" s="249"/>
      <c r="J26" s="249"/>
      <c r="K26" s="249"/>
      <c r="L26" s="249"/>
      <c r="M26" s="249"/>
      <c r="N26" s="249"/>
      <c r="O26" s="249"/>
      <c r="P26" s="249"/>
      <c r="Q26" s="249"/>
      <c r="R26" s="249"/>
      <c r="S26" s="249"/>
      <c r="T26" s="249"/>
      <c r="U26" s="249"/>
      <c r="V26" s="249"/>
      <c r="W26" s="249"/>
      <c r="X26" s="249"/>
      <c r="Y26" s="249"/>
      <c r="Z26" s="249"/>
    </row>
    <row r="27" spans="1:26" ht="15" customHeight="1">
      <c r="C27" s="249"/>
      <c r="D27" s="249"/>
      <c r="E27" s="249"/>
      <c r="F27" s="249"/>
      <c r="G27" s="249"/>
      <c r="H27" s="249"/>
      <c r="I27" s="249"/>
      <c r="J27" s="249"/>
      <c r="K27" s="249"/>
      <c r="L27" s="249"/>
      <c r="M27" s="249"/>
      <c r="N27" s="249"/>
      <c r="O27" s="249"/>
      <c r="P27" s="249"/>
      <c r="Q27" s="249"/>
      <c r="R27" s="249"/>
      <c r="S27" s="249"/>
      <c r="T27" s="249"/>
      <c r="U27" s="249"/>
      <c r="V27" s="249"/>
      <c r="W27" s="249"/>
      <c r="X27" s="249"/>
      <c r="Y27" s="249"/>
      <c r="Z27" s="249"/>
    </row>
    <row r="28" spans="1:26" ht="9.9499999999999993" customHeight="1"/>
    <row r="29" spans="1:26" s="26" customFormat="1" ht="15" customHeight="1">
      <c r="A29" s="56"/>
      <c r="C29" s="19" t="s">
        <v>111</v>
      </c>
    </row>
    <row r="30" spans="1:26" ht="15" customHeight="1">
      <c r="C30" s="249" t="s">
        <v>126</v>
      </c>
      <c r="D30" s="249"/>
      <c r="E30" s="249"/>
      <c r="F30" s="249"/>
      <c r="G30" s="249"/>
      <c r="H30" s="249"/>
      <c r="I30" s="249"/>
      <c r="J30" s="249"/>
      <c r="K30" s="249"/>
      <c r="L30" s="249"/>
      <c r="M30" s="249"/>
      <c r="N30" s="249"/>
      <c r="O30" s="249"/>
      <c r="P30" s="249"/>
      <c r="Q30" s="249"/>
      <c r="R30" s="249"/>
      <c r="S30" s="249"/>
      <c r="T30" s="249"/>
      <c r="U30" s="249"/>
      <c r="V30" s="249"/>
      <c r="W30" s="249"/>
      <c r="X30" s="249"/>
      <c r="Y30" s="249"/>
      <c r="Z30" s="249"/>
    </row>
    <row r="31" spans="1:26" ht="15" customHeight="1">
      <c r="C31" s="249"/>
      <c r="D31" s="249"/>
      <c r="E31" s="249"/>
      <c r="F31" s="249"/>
      <c r="G31" s="249"/>
      <c r="H31" s="249"/>
      <c r="I31" s="249"/>
      <c r="J31" s="249"/>
      <c r="K31" s="249"/>
      <c r="L31" s="249"/>
      <c r="M31" s="249"/>
      <c r="N31" s="249"/>
      <c r="O31" s="249"/>
      <c r="P31" s="249"/>
      <c r="Q31" s="249"/>
      <c r="R31" s="249"/>
      <c r="S31" s="249"/>
      <c r="T31" s="249"/>
      <c r="U31" s="249"/>
      <c r="V31" s="249"/>
      <c r="W31" s="249"/>
      <c r="X31" s="249"/>
      <c r="Y31" s="249"/>
      <c r="Z31" s="249"/>
    </row>
    <row r="32" spans="1:26" ht="15" customHeight="1">
      <c r="C32" s="249"/>
      <c r="D32" s="249"/>
      <c r="E32" s="249"/>
      <c r="F32" s="249"/>
      <c r="G32" s="249"/>
      <c r="H32" s="249"/>
      <c r="I32" s="249"/>
      <c r="J32" s="249"/>
      <c r="K32" s="249"/>
      <c r="L32" s="249"/>
      <c r="M32" s="249"/>
      <c r="N32" s="249"/>
      <c r="O32" s="249"/>
      <c r="P32" s="249"/>
      <c r="Q32" s="249"/>
      <c r="R32" s="249"/>
      <c r="S32" s="249"/>
      <c r="T32" s="249"/>
      <c r="U32" s="249"/>
      <c r="V32" s="249"/>
      <c r="W32" s="249"/>
      <c r="X32" s="249"/>
      <c r="Y32" s="249"/>
      <c r="Z32" s="249"/>
    </row>
    <row r="33" spans="1:27" ht="9.9499999999999993" customHeight="1"/>
    <row r="34" spans="1:27" s="58" customFormat="1" ht="15" customHeight="1">
      <c r="A34" s="57"/>
      <c r="C34" s="68" t="s">
        <v>127</v>
      </c>
      <c r="D34" s="67"/>
      <c r="E34" s="67"/>
      <c r="F34" s="67"/>
      <c r="G34" s="67"/>
      <c r="H34" s="67"/>
      <c r="I34" s="67"/>
      <c r="J34" s="67"/>
      <c r="K34" s="67"/>
      <c r="L34" s="67"/>
      <c r="M34" s="67"/>
      <c r="N34" s="67"/>
      <c r="O34" s="67"/>
      <c r="P34" s="67"/>
      <c r="Q34" s="67"/>
      <c r="R34" s="67"/>
      <c r="S34" s="67"/>
      <c r="T34" s="67"/>
      <c r="U34" s="67"/>
      <c r="V34" s="67"/>
      <c r="W34" s="67"/>
      <c r="X34" s="67"/>
      <c r="Y34" s="67"/>
      <c r="Z34" s="67"/>
    </row>
    <row r="35" spans="1:27" s="54" customFormat="1" ht="15" customHeight="1">
      <c r="A35" s="53"/>
      <c r="C35" s="281" t="s">
        <v>155</v>
      </c>
      <c r="D35" s="281"/>
      <c r="E35" s="281"/>
      <c r="F35" s="281"/>
      <c r="G35" s="281"/>
      <c r="H35" s="281"/>
      <c r="I35" s="281"/>
      <c r="J35" s="281"/>
      <c r="K35" s="281"/>
      <c r="L35" s="281"/>
      <c r="M35" s="281"/>
      <c r="N35" s="281"/>
      <c r="O35" s="281"/>
      <c r="P35" s="281"/>
      <c r="Q35" s="281"/>
      <c r="R35" s="281"/>
      <c r="S35" s="281"/>
      <c r="T35" s="281"/>
      <c r="U35" s="281"/>
      <c r="V35" s="281"/>
      <c r="W35" s="281"/>
      <c r="X35" s="281"/>
      <c r="Y35" s="281"/>
      <c r="Z35" s="281"/>
    </row>
    <row r="36" spans="1:27" s="54" customFormat="1" ht="15" customHeight="1">
      <c r="A36" s="53"/>
      <c r="C36" s="281"/>
      <c r="D36" s="281"/>
      <c r="E36" s="281"/>
      <c r="F36" s="281"/>
      <c r="G36" s="281"/>
      <c r="H36" s="281"/>
      <c r="I36" s="281"/>
      <c r="J36" s="281"/>
      <c r="K36" s="281"/>
      <c r="L36" s="281"/>
      <c r="M36" s="281"/>
      <c r="N36" s="281"/>
      <c r="O36" s="281"/>
      <c r="P36" s="281"/>
      <c r="Q36" s="281"/>
      <c r="R36" s="281"/>
      <c r="S36" s="281"/>
      <c r="T36" s="281"/>
      <c r="U36" s="281"/>
      <c r="V36" s="281"/>
      <c r="W36" s="281"/>
      <c r="X36" s="281"/>
      <c r="Y36" s="281"/>
      <c r="Z36" s="281"/>
    </row>
    <row r="37" spans="1:27" ht="9.9499999999999993" customHeight="1"/>
    <row r="38" spans="1:27" s="26" customFormat="1" ht="15" customHeight="1">
      <c r="A38" s="56"/>
      <c r="C38" s="19" t="s">
        <v>17</v>
      </c>
    </row>
    <row r="39" spans="1:27" ht="9.9499999999999993" customHeight="1"/>
    <row r="40" spans="1:27" s="26" customFormat="1" ht="15" customHeight="1">
      <c r="A40" s="56"/>
      <c r="D40" s="240" t="s">
        <v>18</v>
      </c>
      <c r="E40" s="240"/>
      <c r="F40" s="240"/>
      <c r="G40" s="240"/>
      <c r="H40" s="240"/>
      <c r="I40" s="240"/>
      <c r="J40" s="240" t="s">
        <v>19</v>
      </c>
      <c r="K40" s="240"/>
      <c r="L40" s="240"/>
      <c r="M40" s="240"/>
      <c r="N40" s="240"/>
      <c r="O40" s="240"/>
      <c r="P40" s="240" t="s">
        <v>20</v>
      </c>
      <c r="Q40" s="240"/>
      <c r="R40" s="240"/>
      <c r="S40" s="240"/>
      <c r="T40" s="240"/>
      <c r="U40" s="240"/>
      <c r="V40" s="240" t="s">
        <v>21</v>
      </c>
      <c r="W40" s="240"/>
      <c r="X40" s="240"/>
      <c r="Y40" s="240"/>
      <c r="Z40" s="240"/>
    </row>
    <row r="41" spans="1:27" s="26" customFormat="1" ht="15" customHeight="1">
      <c r="A41" s="56"/>
      <c r="D41" s="240"/>
      <c r="E41" s="240"/>
      <c r="F41" s="240"/>
      <c r="G41" s="240"/>
      <c r="H41" s="240"/>
      <c r="I41" s="240"/>
      <c r="J41" s="240"/>
      <c r="K41" s="240"/>
      <c r="L41" s="240"/>
      <c r="M41" s="240"/>
      <c r="N41" s="240"/>
      <c r="O41" s="240"/>
      <c r="P41" s="240"/>
      <c r="Q41" s="240"/>
      <c r="R41" s="240"/>
      <c r="S41" s="240"/>
      <c r="T41" s="240"/>
      <c r="U41" s="240"/>
      <c r="V41" s="240"/>
      <c r="W41" s="240"/>
      <c r="X41" s="240"/>
      <c r="Y41" s="240"/>
      <c r="Z41" s="240"/>
    </row>
    <row r="42" spans="1:27" s="26" customFormat="1" ht="15" customHeight="1">
      <c r="A42" s="56"/>
      <c r="D42" s="238">
        <f>DataSheet!B33</f>
        <v>0</v>
      </c>
      <c r="E42" s="238"/>
      <c r="F42" s="238"/>
      <c r="G42" s="238"/>
      <c r="H42" s="238"/>
      <c r="I42" s="238"/>
      <c r="J42" s="238">
        <f>DataSheet!Q33</f>
        <v>0</v>
      </c>
      <c r="K42" s="238"/>
      <c r="L42" s="238"/>
      <c r="M42" s="238"/>
      <c r="N42" s="238"/>
      <c r="O42" s="238"/>
      <c r="P42" s="241">
        <f>DataSheet!AB33</f>
        <v>0</v>
      </c>
      <c r="Q42" s="241"/>
      <c r="R42" s="241"/>
      <c r="S42" s="241"/>
      <c r="T42" s="241"/>
      <c r="U42" s="241"/>
      <c r="V42" s="242" t="str">
        <f>DataSheet!AO33</f>
        <v>Friday, 5 September 2025</v>
      </c>
      <c r="W42" s="242"/>
      <c r="X42" s="242"/>
      <c r="Y42" s="242"/>
      <c r="Z42" s="242"/>
    </row>
    <row r="43" spans="1:27" ht="9.9499999999999993" customHeight="1"/>
    <row r="44" spans="1:27" s="26" customFormat="1" ht="15" customHeight="1">
      <c r="A44" s="56"/>
      <c r="C44" s="19" t="s">
        <v>22</v>
      </c>
    </row>
    <row r="45" spans="1:27" s="26" customFormat="1" ht="15" customHeight="1">
      <c r="A45" s="56"/>
      <c r="C45" s="280" t="s">
        <v>115</v>
      </c>
      <c r="D45" s="280"/>
      <c r="E45" s="280"/>
      <c r="F45" s="280"/>
      <c r="G45" s="280"/>
      <c r="H45" s="280"/>
      <c r="I45" s="280"/>
      <c r="J45" s="280"/>
      <c r="K45" s="280"/>
      <c r="L45" s="280"/>
      <c r="M45" s="280"/>
      <c r="N45" s="280"/>
      <c r="O45" s="280"/>
      <c r="P45" s="280"/>
      <c r="Q45" s="280"/>
      <c r="R45" s="280"/>
      <c r="S45" s="280"/>
      <c r="T45" s="280"/>
      <c r="U45" s="280"/>
      <c r="V45" s="280"/>
      <c r="W45" s="280"/>
      <c r="X45" s="280"/>
      <c r="Y45" s="280"/>
      <c r="Z45" s="280"/>
      <c r="AA45" s="59"/>
    </row>
    <row r="46" spans="1:27" s="26" customFormat="1" ht="15" customHeight="1">
      <c r="A46" s="56"/>
      <c r="C46" s="280"/>
      <c r="D46" s="280"/>
      <c r="E46" s="280"/>
      <c r="F46" s="280"/>
      <c r="G46" s="280"/>
      <c r="H46" s="280"/>
      <c r="I46" s="280"/>
      <c r="J46" s="280"/>
      <c r="K46" s="280"/>
      <c r="L46" s="280"/>
      <c r="M46" s="280"/>
      <c r="N46" s="280"/>
      <c r="O46" s="280"/>
      <c r="P46" s="280"/>
      <c r="Q46" s="280"/>
      <c r="R46" s="280"/>
      <c r="S46" s="280"/>
      <c r="T46" s="280"/>
      <c r="U46" s="280"/>
      <c r="V46" s="280"/>
      <c r="W46" s="280"/>
      <c r="X46" s="280"/>
      <c r="Y46" s="280"/>
      <c r="Z46" s="280"/>
      <c r="AA46" s="59"/>
    </row>
    <row r="47" spans="1:27" s="26" customFormat="1" ht="15" customHeight="1">
      <c r="A47" s="56"/>
      <c r="C47" s="280"/>
      <c r="D47" s="280"/>
      <c r="E47" s="280"/>
      <c r="F47" s="280"/>
      <c r="G47" s="280"/>
      <c r="H47" s="280"/>
      <c r="I47" s="280"/>
      <c r="J47" s="280"/>
      <c r="K47" s="280"/>
      <c r="L47" s="280"/>
      <c r="M47" s="280"/>
      <c r="N47" s="280"/>
      <c r="O47" s="280"/>
      <c r="P47" s="280"/>
      <c r="Q47" s="280"/>
      <c r="R47" s="280"/>
      <c r="S47" s="280"/>
      <c r="T47" s="280"/>
      <c r="U47" s="280"/>
      <c r="V47" s="280"/>
      <c r="W47" s="280"/>
      <c r="X47" s="280"/>
      <c r="Y47" s="280"/>
      <c r="Z47" s="280"/>
      <c r="AA47" s="59"/>
    </row>
    <row r="48" spans="1:27" s="26" customFormat="1" ht="15" customHeight="1">
      <c r="A48" s="56"/>
      <c r="C48" s="26" t="s">
        <v>23</v>
      </c>
    </row>
    <row r="49" spans="1:23" s="58" customFormat="1" ht="15" customHeight="1">
      <c r="A49" s="57"/>
      <c r="C49" s="58" t="s">
        <v>156</v>
      </c>
    </row>
    <row r="50" spans="1:23" s="26" customFormat="1" ht="15" customHeight="1">
      <c r="A50" s="56"/>
      <c r="C50" s="26" t="s">
        <v>153</v>
      </c>
    </row>
    <row r="51" spans="1:23" s="26" customFormat="1" ht="15" customHeight="1">
      <c r="A51" s="56"/>
      <c r="C51" s="26" t="s">
        <v>154</v>
      </c>
      <c r="O51" s="251">
        <f>EDATE(DataSheet!AL11,12)</f>
        <v>46151</v>
      </c>
      <c r="P51" s="251"/>
      <c r="Q51" s="251"/>
    </row>
    <row r="52" spans="1:23" s="26" customFormat="1" ht="15" customHeight="1">
      <c r="A52" s="56"/>
      <c r="N52" s="65"/>
    </row>
    <row r="53" spans="1:23" s="24" customFormat="1" ht="15" customHeight="1">
      <c r="A53" s="28"/>
      <c r="O53" s="32"/>
      <c r="P53" s="32"/>
      <c r="Q53" s="32"/>
    </row>
    <row r="54" spans="1:23" ht="15" customHeight="1">
      <c r="E54" s="252" t="str">
        <f>DataSheet!B140</f>
        <v>DANICA BEA NERI</v>
      </c>
      <c r="F54" s="252"/>
      <c r="G54" s="252"/>
      <c r="H54" s="252"/>
      <c r="I54" s="252"/>
      <c r="J54" s="252"/>
      <c r="K54" s="252"/>
      <c r="S54" s="252" t="str">
        <f>DataSheet!B143</f>
        <v>Jennefer S. Ilas</v>
      </c>
      <c r="T54" s="252"/>
      <c r="U54" s="252"/>
      <c r="V54" s="252"/>
      <c r="W54" s="252"/>
    </row>
    <row r="55" spans="1:23" ht="15" customHeight="1">
      <c r="E55" s="228" t="s">
        <v>24</v>
      </c>
      <c r="F55" s="228"/>
      <c r="G55" s="228"/>
      <c r="H55" s="228"/>
      <c r="I55" s="228"/>
      <c r="J55" s="228"/>
      <c r="K55" s="228"/>
      <c r="S55" s="228" t="s">
        <v>151</v>
      </c>
      <c r="T55" s="228"/>
      <c r="U55" s="228"/>
      <c r="V55" s="228"/>
      <c r="W55" s="228"/>
    </row>
    <row r="56" spans="1:23" ht="15" customHeight="1"/>
    <row r="57" spans="1:23" ht="15" customHeight="1">
      <c r="D57" s="30" t="s">
        <v>25</v>
      </c>
      <c r="G57" s="253"/>
      <c r="H57" s="253"/>
      <c r="I57" s="253"/>
      <c r="J57" s="253"/>
    </row>
    <row r="58" spans="1:23" ht="15" customHeight="1"/>
    <row r="59" spans="1:23" ht="15" customHeight="1"/>
    <row r="60" spans="1:23" ht="15" customHeight="1"/>
    <row r="61" spans="1:23" ht="15" customHeight="1"/>
    <row r="62" spans="1:23" ht="15" customHeight="1"/>
    <row r="63" spans="1:23" ht="15" customHeight="1"/>
    <row r="64" spans="1:23" ht="15" customHeight="1"/>
    <row r="65" spans="3:24" ht="15" customHeight="1">
      <c r="C65" s="21" t="s">
        <v>26</v>
      </c>
    </row>
    <row r="66" spans="3:24" ht="15" customHeight="1"/>
    <row r="67" spans="3:24" ht="15" customHeight="1">
      <c r="C67" s="19"/>
      <c r="E67" s="21" t="str">
        <f>DataSheet!F52</f>
        <v>DC Voltage Test</v>
      </c>
      <c r="G67" s="21"/>
    </row>
    <row r="68" spans="3:24" ht="15" customHeight="1">
      <c r="C68" s="19"/>
      <c r="E68" s="240" t="s">
        <v>27</v>
      </c>
      <c r="F68" s="240"/>
      <c r="G68" s="240"/>
      <c r="H68" s="240"/>
      <c r="I68" s="240" t="s">
        <v>28</v>
      </c>
      <c r="J68" s="240"/>
      <c r="K68" s="240"/>
      <c r="L68" s="240"/>
      <c r="M68" s="258" t="s">
        <v>73</v>
      </c>
      <c r="N68" s="240"/>
      <c r="O68" s="240"/>
      <c r="P68" s="240"/>
      <c r="Q68" s="240" t="s">
        <v>29</v>
      </c>
      <c r="R68" s="240"/>
      <c r="S68" s="240"/>
      <c r="T68" s="240"/>
      <c r="U68" s="258" t="s">
        <v>114</v>
      </c>
      <c r="V68" s="240"/>
      <c r="W68" s="240"/>
      <c r="X68" s="240"/>
    </row>
    <row r="69" spans="3:24" ht="15" customHeight="1">
      <c r="C69" s="19"/>
      <c r="E69" s="240"/>
      <c r="F69" s="240"/>
      <c r="G69" s="240"/>
      <c r="H69" s="240"/>
      <c r="I69" s="240"/>
      <c r="J69" s="240"/>
      <c r="K69" s="240"/>
      <c r="L69" s="240"/>
      <c r="M69" s="240"/>
      <c r="N69" s="240"/>
      <c r="O69" s="240"/>
      <c r="P69" s="240"/>
      <c r="Q69" s="240"/>
      <c r="R69" s="240"/>
      <c r="S69" s="240"/>
      <c r="T69" s="240"/>
      <c r="U69" s="240"/>
      <c r="V69" s="240"/>
      <c r="W69" s="240"/>
      <c r="X69" s="240"/>
    </row>
    <row r="70" spans="3:24" ht="15" customHeight="1">
      <c r="C70" s="19"/>
      <c r="E70" s="238" t="str">
        <f>DataSheet!F55</f>
        <v>600 mV</v>
      </c>
      <c r="F70" s="238"/>
      <c r="G70" s="238"/>
      <c r="H70" s="238"/>
      <c r="I70" s="238" t="str">
        <f>CONCATENATE(DataSheet!L55," ",DataSheet!P55)</f>
        <v>60 mV</v>
      </c>
      <c r="J70" s="238"/>
      <c r="K70" s="238"/>
      <c r="L70" s="238"/>
      <c r="M70" s="238" t="str">
        <f>CONCATENATE(TEXT(DataSheet!AM55,"0.0")," ",DataSheet!P55)</f>
        <v>60.0 mV</v>
      </c>
      <c r="N70" s="238"/>
      <c r="O70" s="238"/>
      <c r="P70" s="238"/>
      <c r="Q70" s="238" t="str">
        <f>CONCATENATE(TEXT(DataSheet!AR55,"0.0")," ",DataSheet!P55)</f>
        <v>0.0 mV</v>
      </c>
      <c r="R70" s="238"/>
      <c r="S70" s="238"/>
      <c r="T70" s="238"/>
      <c r="U70" s="238" t="str">
        <f>CONCATENATE(," ",TEXT(DataSheet!DD55,"0.000")," ",DataSheet!CZ55)</f>
        <v xml:space="preserve"> 0.058 mV</v>
      </c>
      <c r="V70" s="238"/>
      <c r="W70" s="238"/>
      <c r="X70" s="238"/>
    </row>
    <row r="71" spans="3:24" ht="15" customHeight="1">
      <c r="C71" s="19"/>
      <c r="E71" s="238"/>
      <c r="F71" s="238"/>
      <c r="G71" s="238"/>
      <c r="H71" s="238"/>
      <c r="I71" s="238" t="str">
        <f>CONCATENATE(DataSheet!L56," ",DataSheet!P56)</f>
        <v>540 mV</v>
      </c>
      <c r="J71" s="238"/>
      <c r="K71" s="238"/>
      <c r="L71" s="238"/>
      <c r="M71" s="238" t="str">
        <f>CONCATENATE(TEXT(DataSheet!AM56,"0.0")," ",DataSheet!P56)</f>
        <v>540.0 mV</v>
      </c>
      <c r="N71" s="238"/>
      <c r="O71" s="238"/>
      <c r="P71" s="238"/>
      <c r="Q71" s="238" t="str">
        <f>CONCATENATE(TEXT(DataSheet!AR56,"0.0")," ",DataSheet!P56)</f>
        <v>0.0 mV</v>
      </c>
      <c r="R71" s="238"/>
      <c r="S71" s="238"/>
      <c r="T71" s="238"/>
      <c r="U71" s="238" t="str">
        <f>CONCATENATE(," ",TEXT(DataSheet!DD56,"0.000")," ",DataSheet!CZ56)</f>
        <v xml:space="preserve"> 0.058 mV</v>
      </c>
      <c r="V71" s="238"/>
      <c r="W71" s="238"/>
      <c r="X71" s="238"/>
    </row>
    <row r="72" spans="3:24" ht="15" customHeight="1">
      <c r="C72" s="19"/>
      <c r="E72" s="238"/>
      <c r="F72" s="238"/>
      <c r="G72" s="238"/>
      <c r="H72" s="238"/>
      <c r="I72" s="238" t="str">
        <f>CONCATENATE(DataSheet!L57," ",DataSheet!P57)</f>
        <v>-540 mV</v>
      </c>
      <c r="J72" s="238"/>
      <c r="K72" s="238"/>
      <c r="L72" s="238"/>
      <c r="M72" s="238" t="str">
        <f>CONCATENATE(TEXT(DataSheet!AM57,"0.0")," ",DataSheet!P57)</f>
        <v>-540.0 mV</v>
      </c>
      <c r="N72" s="238"/>
      <c r="O72" s="238"/>
      <c r="P72" s="238"/>
      <c r="Q72" s="238" t="str">
        <f>CONCATENATE(TEXT(DataSheet!AR57,"0.0")," ",DataSheet!P57)</f>
        <v>0.0 mV</v>
      </c>
      <c r="R72" s="238"/>
      <c r="S72" s="238"/>
      <c r="T72" s="238"/>
      <c r="U72" s="238" t="str">
        <f>CONCATENATE(," ",TEXT(DataSheet!DD57,"0.000")," ",DataSheet!CZ57)</f>
        <v xml:space="preserve"> 0.058 mV</v>
      </c>
      <c r="V72" s="238"/>
      <c r="W72" s="238"/>
      <c r="X72" s="238"/>
    </row>
    <row r="73" spans="3:24" ht="15" customHeight="1">
      <c r="C73" s="19"/>
      <c r="E73" s="238" t="str">
        <f>DataSheet!F58</f>
        <v>6 V</v>
      </c>
      <c r="F73" s="238"/>
      <c r="G73" s="238"/>
      <c r="H73" s="238"/>
      <c r="I73" s="238" t="str">
        <f>CONCATENATE(DataSheet!L58," ",DataSheet!P58)</f>
        <v>0.6 V</v>
      </c>
      <c r="J73" s="238"/>
      <c r="K73" s="238"/>
      <c r="L73" s="238"/>
      <c r="M73" s="238" t="str">
        <f>CONCATENATE(TEXT(DataSheet!AM58,"0.000")," ",DataSheet!P58)</f>
        <v>0.600 V</v>
      </c>
      <c r="N73" s="238"/>
      <c r="O73" s="238"/>
      <c r="P73" s="238"/>
      <c r="Q73" s="238" t="str">
        <f>CONCATENATE(TEXT(DataSheet!AR58,"0.000")," ",DataSheet!P58)</f>
        <v>0.000 V</v>
      </c>
      <c r="R73" s="238"/>
      <c r="S73" s="238"/>
      <c r="T73" s="238"/>
      <c r="U73" s="238" t="str">
        <f>CONCATENATE(" ",TEXT(DataSheet!DD58,"0.000 00")," ",DataSheet!CZ58)</f>
        <v xml:space="preserve"> 0.000 58 V</v>
      </c>
      <c r="V73" s="238"/>
      <c r="W73" s="238"/>
      <c r="X73" s="238"/>
    </row>
    <row r="74" spans="3:24" ht="15" customHeight="1">
      <c r="C74" s="19"/>
      <c r="E74" s="238"/>
      <c r="F74" s="238"/>
      <c r="G74" s="238"/>
      <c r="H74" s="238"/>
      <c r="I74" s="238" t="str">
        <f>CONCATENATE(DataSheet!L59," ",DataSheet!P59)</f>
        <v>5.4 V</v>
      </c>
      <c r="J74" s="238"/>
      <c r="K74" s="238"/>
      <c r="L74" s="238"/>
      <c r="M74" s="238" t="str">
        <f>CONCATENATE(TEXT(DataSheet!AM59,"0.000")," ",DataSheet!P59)</f>
        <v>5.400 V</v>
      </c>
      <c r="N74" s="238"/>
      <c r="O74" s="238"/>
      <c r="P74" s="238"/>
      <c r="Q74" s="238" t="str">
        <f>CONCATENATE(TEXT(DataSheet!AR59,"0.000")," ",DataSheet!P59)</f>
        <v>0.000 V</v>
      </c>
      <c r="R74" s="238"/>
      <c r="S74" s="238"/>
      <c r="T74" s="238"/>
      <c r="U74" s="238" t="str">
        <f>CONCATENATE(" ",TEXT(DataSheet!DD59,"0.000 00")," ",DataSheet!CZ59)</f>
        <v xml:space="preserve"> 0.000 58 V</v>
      </c>
      <c r="V74" s="238"/>
      <c r="W74" s="238"/>
      <c r="X74" s="238"/>
    </row>
    <row r="75" spans="3:24" ht="15" customHeight="1">
      <c r="C75" s="19"/>
      <c r="E75" s="238"/>
      <c r="F75" s="238"/>
      <c r="G75" s="238"/>
      <c r="H75" s="238"/>
      <c r="I75" s="238" t="str">
        <f>CONCATENATE(DataSheet!L60," ",DataSheet!P60)</f>
        <v>-5.4 V</v>
      </c>
      <c r="J75" s="238"/>
      <c r="K75" s="238"/>
      <c r="L75" s="238"/>
      <c r="M75" s="238" t="str">
        <f>CONCATENATE(TEXT(DataSheet!AM60,"0.000")," ",DataSheet!P60)</f>
        <v>-5.400 V</v>
      </c>
      <c r="N75" s="238"/>
      <c r="O75" s="238"/>
      <c r="P75" s="238"/>
      <c r="Q75" s="238" t="str">
        <f>CONCATENATE(TEXT(DataSheet!AR60,"0.000")," ",DataSheet!P60)</f>
        <v>0.000 V</v>
      </c>
      <c r="R75" s="238"/>
      <c r="S75" s="238"/>
      <c r="T75" s="238"/>
      <c r="U75" s="238" t="str">
        <f>CONCATENATE(" ",TEXT(DataSheet!DD60,"0.000 00")," ",DataSheet!CZ60)</f>
        <v xml:space="preserve"> 0.000 58 V</v>
      </c>
      <c r="V75" s="238"/>
      <c r="W75" s="238"/>
      <c r="X75" s="238"/>
    </row>
    <row r="76" spans="3:24" ht="15" customHeight="1">
      <c r="C76" s="19"/>
      <c r="E76" s="238" t="str">
        <f>DataSheet!F61</f>
        <v>60 V</v>
      </c>
      <c r="F76" s="238"/>
      <c r="G76" s="238"/>
      <c r="H76" s="238"/>
      <c r="I76" s="238" t="str">
        <f>CONCATENATE(DataSheet!L61," ",DataSheet!P61)</f>
        <v>6 V</v>
      </c>
      <c r="J76" s="238"/>
      <c r="K76" s="238"/>
      <c r="L76" s="238"/>
      <c r="M76" s="238" t="str">
        <f>CONCATENATE(TEXT(DataSheet!AM61,"0.00")," ",DataSheet!P61)</f>
        <v>6.00 V</v>
      </c>
      <c r="N76" s="238"/>
      <c r="O76" s="238"/>
      <c r="P76" s="238"/>
      <c r="Q76" s="238" t="str">
        <f>CONCATENATE(TEXT(DataSheet!AR61,"0.00")," ",DataSheet!P61)</f>
        <v>0.00 V</v>
      </c>
      <c r="R76" s="238"/>
      <c r="S76" s="238"/>
      <c r="T76" s="238"/>
      <c r="U76" s="238" t="str">
        <f>CONCATENATE(" ",TEXT(DataSheet!DD61,"0.000 0")," ",DataSheet!CZ61)</f>
        <v xml:space="preserve"> 0.005 8 V</v>
      </c>
      <c r="V76" s="238"/>
      <c r="W76" s="238"/>
      <c r="X76" s="238"/>
    </row>
    <row r="77" spans="3:24" ht="15" customHeight="1">
      <c r="C77" s="19"/>
      <c r="E77" s="238"/>
      <c r="F77" s="238"/>
      <c r="G77" s="238"/>
      <c r="H77" s="238"/>
      <c r="I77" s="238" t="str">
        <f>CONCATENATE(DataSheet!L62," ",DataSheet!P62)</f>
        <v>30 V</v>
      </c>
      <c r="J77" s="238"/>
      <c r="K77" s="238"/>
      <c r="L77" s="238"/>
      <c r="M77" s="238" t="str">
        <f>CONCATENATE(TEXT(DataSheet!AM62,"0.00")," ",DataSheet!P62)</f>
        <v>30.00 V</v>
      </c>
      <c r="N77" s="238"/>
      <c r="O77" s="238"/>
      <c r="P77" s="238"/>
      <c r="Q77" s="238" t="str">
        <f>CONCATENATE(TEXT(DataSheet!AR62,"0.00")," ",DataSheet!P62)</f>
        <v>0.00 V</v>
      </c>
      <c r="R77" s="238"/>
      <c r="S77" s="238"/>
      <c r="T77" s="238"/>
      <c r="U77" s="238" t="str">
        <f>CONCATENATE(" ",TEXT(DataSheet!DD62,"0.000 0")," ",DataSheet!CZ62)</f>
        <v xml:space="preserve"> 0.005 8 V</v>
      </c>
      <c r="V77" s="238"/>
      <c r="W77" s="238"/>
      <c r="X77" s="238"/>
    </row>
    <row r="78" spans="3:24" ht="15" customHeight="1">
      <c r="C78" s="19"/>
      <c r="E78" s="238"/>
      <c r="F78" s="238"/>
      <c r="G78" s="238"/>
      <c r="H78" s="238"/>
      <c r="I78" s="238" t="str">
        <f>CONCATENATE(DataSheet!L63," ",DataSheet!P63)</f>
        <v>54 V</v>
      </c>
      <c r="J78" s="238"/>
      <c r="K78" s="238"/>
      <c r="L78" s="238"/>
      <c r="M78" s="238" t="str">
        <f>CONCATENATE(TEXT(DataSheet!AM63,"0.00")," ",DataSheet!P63)</f>
        <v>54.00 V</v>
      </c>
      <c r="N78" s="238"/>
      <c r="O78" s="238"/>
      <c r="P78" s="238"/>
      <c r="Q78" s="238" t="str">
        <f>CONCATENATE(TEXT(DataSheet!AR63,"0.00")," ",DataSheet!P63)</f>
        <v>0.00 V</v>
      </c>
      <c r="R78" s="238"/>
      <c r="S78" s="238"/>
      <c r="T78" s="238"/>
      <c r="U78" s="238" t="str">
        <f>CONCATENATE(" ",TEXT(DataSheet!DD63,"0.000 0")," ",DataSheet!CZ63)</f>
        <v xml:space="preserve"> 0.005 8 V</v>
      </c>
      <c r="V78" s="238"/>
      <c r="W78" s="238"/>
      <c r="X78" s="238"/>
    </row>
    <row r="79" spans="3:24" ht="15" customHeight="1">
      <c r="C79" s="19"/>
      <c r="E79" s="238"/>
      <c r="F79" s="238"/>
      <c r="G79" s="238"/>
      <c r="H79" s="238"/>
      <c r="I79" s="238" t="str">
        <f>CONCATENATE(DataSheet!L64," ",DataSheet!P64)</f>
        <v>-6 V</v>
      </c>
      <c r="J79" s="238"/>
      <c r="K79" s="238"/>
      <c r="L79" s="238"/>
      <c r="M79" s="238" t="str">
        <f>CONCATENATE(TEXT(DataSheet!AM64,"0.00")," ",DataSheet!P64)</f>
        <v>-6.00 V</v>
      </c>
      <c r="N79" s="238"/>
      <c r="O79" s="238"/>
      <c r="P79" s="238"/>
      <c r="Q79" s="238" t="str">
        <f>CONCATENATE(TEXT(DataSheet!AR64,"0.00")," ",DataSheet!P64)</f>
        <v>0.00 V</v>
      </c>
      <c r="R79" s="238"/>
      <c r="S79" s="238"/>
      <c r="T79" s="238"/>
      <c r="U79" s="238" t="str">
        <f>CONCATENATE(" ",TEXT(DataSheet!DD64,"0.000 0")," ",DataSheet!CZ64)</f>
        <v xml:space="preserve"> 0.005 8 V</v>
      </c>
      <c r="V79" s="238"/>
      <c r="W79" s="238"/>
      <c r="X79" s="238"/>
    </row>
    <row r="80" spans="3:24" ht="15" customHeight="1">
      <c r="C80" s="19"/>
      <c r="E80" s="238"/>
      <c r="F80" s="238"/>
      <c r="G80" s="238"/>
      <c r="H80" s="238"/>
      <c r="I80" s="238" t="str">
        <f>CONCATENATE(DataSheet!L65," ",DataSheet!P65)</f>
        <v>-54 V</v>
      </c>
      <c r="J80" s="238"/>
      <c r="K80" s="238"/>
      <c r="L80" s="238"/>
      <c r="M80" s="238" t="str">
        <f>CONCATENATE(TEXT(DataSheet!AM65,"0.00")," ",DataSheet!P65)</f>
        <v>-54.00 V</v>
      </c>
      <c r="N80" s="238"/>
      <c r="O80" s="238"/>
      <c r="P80" s="238"/>
      <c r="Q80" s="238" t="str">
        <f>CONCATENATE(TEXT(DataSheet!AR65,"0.00")," ",DataSheet!P65)</f>
        <v>0.00 V</v>
      </c>
      <c r="R80" s="238"/>
      <c r="S80" s="238"/>
      <c r="T80" s="238"/>
      <c r="U80" s="238" t="str">
        <f>CONCATENATE(" ",TEXT(DataSheet!DD65,"0.000 0")," ",DataSheet!CZ65)</f>
        <v xml:space="preserve"> 0.005 8 V</v>
      </c>
      <c r="V80" s="238"/>
      <c r="W80" s="238"/>
      <c r="X80" s="238"/>
    </row>
    <row r="81" spans="3:24" ht="15" customHeight="1">
      <c r="C81" s="19"/>
      <c r="E81" s="238" t="str">
        <f>DataSheet!F66</f>
        <v>600 V</v>
      </c>
      <c r="F81" s="238"/>
      <c r="G81" s="238"/>
      <c r="H81" s="238"/>
      <c r="I81" s="238" t="str">
        <f>CONCATENATE(DataSheet!L66," ",DataSheet!P66)</f>
        <v>60 V</v>
      </c>
      <c r="J81" s="238"/>
      <c r="K81" s="238"/>
      <c r="L81" s="238"/>
      <c r="M81" s="238" t="str">
        <f>CONCATENATE(TEXT(DataSheet!AM66,"0.0")," ",DataSheet!P66)</f>
        <v>60.0 V</v>
      </c>
      <c r="N81" s="238"/>
      <c r="O81" s="238"/>
      <c r="P81" s="238"/>
      <c r="Q81" s="238" t="str">
        <f>CONCATENATE(TEXT(DataSheet!AR66,"0.0")," ",DataSheet!P66)</f>
        <v>0.0 V</v>
      </c>
      <c r="R81" s="238"/>
      <c r="S81" s="238"/>
      <c r="T81" s="238"/>
      <c r="U81" s="254" t="str">
        <f>CONCATENATE(" ",TEXT(DataSheet!DD66,"0.000")," ",DataSheet!CZ66)</f>
        <v xml:space="preserve"> 0.058 V</v>
      </c>
      <c r="V81" s="255"/>
      <c r="W81" s="255"/>
      <c r="X81" s="256"/>
    </row>
    <row r="82" spans="3:24" ht="15" customHeight="1">
      <c r="C82" s="19"/>
      <c r="E82" s="238"/>
      <c r="F82" s="238"/>
      <c r="G82" s="238"/>
      <c r="H82" s="238"/>
      <c r="I82" s="238" t="str">
        <f>CONCATENATE(DataSheet!L67," ",DataSheet!P67)</f>
        <v>540 V</v>
      </c>
      <c r="J82" s="238"/>
      <c r="K82" s="238"/>
      <c r="L82" s="238"/>
      <c r="M82" s="238" t="str">
        <f>CONCATENATE(TEXT(DataSheet!AM67,"0.0")," ",DataSheet!P67)</f>
        <v>540.0 V</v>
      </c>
      <c r="N82" s="238"/>
      <c r="O82" s="238"/>
      <c r="P82" s="238"/>
      <c r="Q82" s="238" t="str">
        <f>CONCATENATE(TEXT(DataSheet!AR67,"0.0")," ",DataSheet!P67)</f>
        <v>0.0 V</v>
      </c>
      <c r="R82" s="238"/>
      <c r="S82" s="238"/>
      <c r="T82" s="238"/>
      <c r="U82" s="254" t="str">
        <f>CONCATENATE(" ",TEXT(DataSheet!DD67,"0.000")," ",DataSheet!CZ67)</f>
        <v xml:space="preserve"> 0.058 V</v>
      </c>
      <c r="V82" s="255"/>
      <c r="W82" s="255"/>
      <c r="X82" s="256"/>
    </row>
    <row r="83" spans="3:24" ht="15" customHeight="1">
      <c r="C83" s="19"/>
      <c r="E83" s="238"/>
      <c r="F83" s="238"/>
      <c r="G83" s="238"/>
      <c r="H83" s="238"/>
      <c r="I83" s="238" t="str">
        <f>CONCATENATE(DataSheet!L68," ",DataSheet!P68)</f>
        <v>-540 V</v>
      </c>
      <c r="J83" s="238"/>
      <c r="K83" s="238"/>
      <c r="L83" s="238"/>
      <c r="M83" s="238" t="str">
        <f>CONCATENATE(TEXT(DataSheet!AM68,"0.0")," ",DataSheet!P68)</f>
        <v>-540.0 V</v>
      </c>
      <c r="N83" s="238"/>
      <c r="O83" s="238"/>
      <c r="P83" s="238"/>
      <c r="Q83" s="238" t="str">
        <f>CONCATENATE(TEXT(DataSheet!AR68,"0.0")," ",DataSheet!P68)</f>
        <v>0.0 V</v>
      </c>
      <c r="R83" s="238"/>
      <c r="S83" s="238"/>
      <c r="T83" s="238"/>
      <c r="U83" s="254" t="str">
        <f>CONCATENATE(" ",TEXT(DataSheet!DD68,"0.000")," ",DataSheet!CZ68)</f>
        <v xml:space="preserve"> 0.058 V</v>
      </c>
      <c r="V83" s="255"/>
      <c r="W83" s="255"/>
      <c r="X83" s="256"/>
    </row>
    <row r="84" spans="3:24" ht="15" customHeight="1">
      <c r="C84" s="19"/>
      <c r="E84" s="238" t="str">
        <f>DataSheet!F69</f>
        <v>1000 V</v>
      </c>
      <c r="F84" s="238"/>
      <c r="G84" s="238"/>
      <c r="H84" s="238"/>
      <c r="I84" s="238" t="str">
        <f>CONCATENATE(DataSheet!L69," ",DataSheet!P69)</f>
        <v>100 V</v>
      </c>
      <c r="J84" s="238"/>
      <c r="K84" s="238"/>
      <c r="L84" s="238"/>
      <c r="M84" s="238" t="str">
        <f>CONCATENATE(TEXT(DataSheet!AM69,"0")," ",DataSheet!P69)</f>
        <v>100 V</v>
      </c>
      <c r="N84" s="238"/>
      <c r="O84" s="238"/>
      <c r="P84" s="238"/>
      <c r="Q84" s="238" t="str">
        <f>CONCATENATE(TEXT(DataSheet!AR69,"0")," ",DataSheet!P69)</f>
        <v>0 V</v>
      </c>
      <c r="R84" s="238"/>
      <c r="S84" s="238"/>
      <c r="T84" s="238"/>
      <c r="U84" s="254" t="str">
        <f>CONCATENATE(" ",TEXT(DataSheet!DD69,"0.00")," ",DataSheet!CZ69)</f>
        <v xml:space="preserve"> 0.58 V</v>
      </c>
      <c r="V84" s="255"/>
      <c r="W84" s="255"/>
      <c r="X84" s="256"/>
    </row>
    <row r="85" spans="3:24" ht="15" customHeight="1">
      <c r="C85" s="19"/>
      <c r="E85" s="238"/>
      <c r="F85" s="238"/>
      <c r="G85" s="238"/>
      <c r="H85" s="238"/>
      <c r="I85" s="238" t="str">
        <f>CONCATENATE(DataSheet!L70," ",DataSheet!P70)</f>
        <v>900 V</v>
      </c>
      <c r="J85" s="238"/>
      <c r="K85" s="238"/>
      <c r="L85" s="238"/>
      <c r="M85" s="238" t="str">
        <f>CONCATENATE(TEXT(DataSheet!AM70,"0")," ",DataSheet!P70)</f>
        <v>900 V</v>
      </c>
      <c r="N85" s="238"/>
      <c r="O85" s="238"/>
      <c r="P85" s="238"/>
      <c r="Q85" s="238" t="str">
        <f>CONCATENATE(TEXT(DataSheet!AR70,"0")," ",DataSheet!P70)</f>
        <v>0 V</v>
      </c>
      <c r="R85" s="238"/>
      <c r="S85" s="238"/>
      <c r="T85" s="238"/>
      <c r="U85" s="254" t="str">
        <f>CONCATENATE(" ",TEXT(DataSheet!DD70,"0.00")," ",DataSheet!CZ70)</f>
        <v xml:space="preserve"> 0.58 V</v>
      </c>
      <c r="V85" s="255"/>
      <c r="W85" s="255"/>
      <c r="X85" s="256"/>
    </row>
    <row r="86" spans="3:24" ht="15" customHeight="1">
      <c r="C86" s="19"/>
      <c r="E86" s="238"/>
      <c r="F86" s="238"/>
      <c r="G86" s="238"/>
      <c r="H86" s="238"/>
      <c r="I86" s="238" t="str">
        <f>CONCATENATE(DataSheet!L71," ",DataSheet!P71)</f>
        <v>-900 V</v>
      </c>
      <c r="J86" s="238"/>
      <c r="K86" s="238"/>
      <c r="L86" s="238"/>
      <c r="M86" s="238" t="str">
        <f>CONCATENATE(TEXT(DataSheet!AM71,"0")," ",DataSheet!P71)</f>
        <v>-900 V</v>
      </c>
      <c r="N86" s="238"/>
      <c r="O86" s="238"/>
      <c r="P86" s="238"/>
      <c r="Q86" s="238" t="str">
        <f>CONCATENATE(TEXT(DataSheet!AR71,"0")," ",DataSheet!P71)</f>
        <v>0 V</v>
      </c>
      <c r="R86" s="238"/>
      <c r="S86" s="238"/>
      <c r="T86" s="238"/>
      <c r="U86" s="254" t="str">
        <f>CONCATENATE(" ",TEXT(DataSheet!DD71,"0.00")," ",DataSheet!CZ71)</f>
        <v xml:space="preserve"> 0.58 V</v>
      </c>
      <c r="V86" s="255"/>
      <c r="W86" s="255"/>
      <c r="X86" s="256"/>
    </row>
    <row r="87" spans="3:24" ht="15" customHeight="1">
      <c r="C87" s="19"/>
      <c r="G87" s="21"/>
    </row>
    <row r="88" spans="3:24" ht="15" customHeight="1">
      <c r="E88" s="21" t="str">
        <f>DataSheet!F99</f>
        <v>Resistance Test</v>
      </c>
      <c r="I88" s="21"/>
    </row>
    <row r="89" spans="3:24" ht="15" customHeight="1">
      <c r="E89" s="240" t="s">
        <v>27</v>
      </c>
      <c r="F89" s="240"/>
      <c r="G89" s="240"/>
      <c r="H89" s="240"/>
      <c r="I89" s="240" t="s">
        <v>28</v>
      </c>
      <c r="J89" s="240"/>
      <c r="K89" s="240"/>
      <c r="L89" s="240"/>
      <c r="M89" s="258" t="s">
        <v>73</v>
      </c>
      <c r="N89" s="240"/>
      <c r="O89" s="240"/>
      <c r="P89" s="240"/>
      <c r="Q89" s="240" t="s">
        <v>29</v>
      </c>
      <c r="R89" s="240"/>
      <c r="S89" s="240"/>
      <c r="T89" s="240"/>
      <c r="U89" s="258" t="s">
        <v>114</v>
      </c>
      <c r="V89" s="240"/>
      <c r="W89" s="240"/>
      <c r="X89" s="240"/>
    </row>
    <row r="90" spans="3:24" ht="15" customHeight="1">
      <c r="E90" s="240"/>
      <c r="F90" s="240"/>
      <c r="G90" s="240"/>
      <c r="H90" s="240"/>
      <c r="I90" s="240"/>
      <c r="J90" s="240"/>
      <c r="K90" s="240"/>
      <c r="L90" s="240"/>
      <c r="M90" s="240"/>
      <c r="N90" s="240"/>
      <c r="O90" s="240"/>
      <c r="P90" s="240"/>
      <c r="Q90" s="240"/>
      <c r="R90" s="240"/>
      <c r="S90" s="240"/>
      <c r="T90" s="240"/>
      <c r="U90" s="240"/>
      <c r="V90" s="240"/>
      <c r="W90" s="240"/>
      <c r="X90" s="240"/>
    </row>
    <row r="91" spans="3:24" ht="15" customHeight="1">
      <c r="E91" s="282" t="str">
        <f>DataSheet!F102</f>
        <v>600 Ω</v>
      </c>
      <c r="F91" s="283"/>
      <c r="G91" s="283"/>
      <c r="H91" s="284"/>
      <c r="I91" s="257" t="str">
        <f>CONCATENATE(DataSheet!L102," ",DataSheet!P102)</f>
        <v>0 Ω</v>
      </c>
      <c r="J91" s="257"/>
      <c r="K91" s="257"/>
      <c r="L91" s="257"/>
      <c r="M91" s="257" t="str">
        <f>CONCATENATE(TEXT(DataSheet!AM102,"0.0")," ",DataSheet!P102)</f>
        <v>0.0 Ω</v>
      </c>
      <c r="N91" s="257"/>
      <c r="O91" s="257"/>
      <c r="P91" s="257"/>
      <c r="Q91" s="257" t="str">
        <f>CONCATENATE(TEXT(DataSheet!AR102,"0.0")," ",DataSheet!P102)</f>
        <v>0.0 Ω</v>
      </c>
      <c r="R91" s="257"/>
      <c r="S91" s="257"/>
      <c r="T91" s="257"/>
      <c r="U91" s="257" t="str">
        <f>CONCATENATE(" ",TEXT(DataSheet!DD102,"0.000")," ",DataSheet!CZ102)</f>
        <v xml:space="preserve"> 0.058 Ω</v>
      </c>
      <c r="V91" s="257"/>
      <c r="W91" s="257"/>
      <c r="X91" s="257"/>
    </row>
    <row r="92" spans="3:24" ht="15" customHeight="1">
      <c r="E92" s="285"/>
      <c r="F92" s="286"/>
      <c r="G92" s="286"/>
      <c r="H92" s="287"/>
      <c r="I92" s="257" t="str">
        <f>CONCATENATE(DataSheet!L103," ",DataSheet!P103)</f>
        <v>540 Ω</v>
      </c>
      <c r="J92" s="257"/>
      <c r="K92" s="257"/>
      <c r="L92" s="257"/>
      <c r="M92" s="257" t="str">
        <f>CONCATENATE(TEXT(DataSheet!AM103,"0.0")," ",DataSheet!P103)</f>
        <v>540.0 Ω</v>
      </c>
      <c r="N92" s="257"/>
      <c r="O92" s="257"/>
      <c r="P92" s="257"/>
      <c r="Q92" s="257" t="str">
        <f>CONCATENATE(TEXT(DataSheet!AR103,"0.0")," ",DataSheet!P103)</f>
        <v>0.0 Ω</v>
      </c>
      <c r="R92" s="257"/>
      <c r="S92" s="257"/>
      <c r="T92" s="257"/>
      <c r="U92" s="257" t="str">
        <f>CONCATENATE(" ",TEXT(DataSheet!DD103,"0.000")," ",DataSheet!CZ103)</f>
        <v xml:space="preserve"> 0.058 Ω</v>
      </c>
      <c r="V92" s="257"/>
      <c r="W92" s="257"/>
      <c r="X92" s="257"/>
    </row>
    <row r="93" spans="3:24" ht="15" customHeight="1">
      <c r="E93" s="257" t="str">
        <f>DataSheet!F104</f>
        <v>6 kΩ</v>
      </c>
      <c r="F93" s="257"/>
      <c r="G93" s="257"/>
      <c r="H93" s="257"/>
      <c r="I93" s="257" t="str">
        <f>CONCATENATE(DataSheet!L104," ",DataSheet!P104)</f>
        <v>5.4 kΩ</v>
      </c>
      <c r="J93" s="257"/>
      <c r="K93" s="257"/>
      <c r="L93" s="257"/>
      <c r="M93" s="257" t="str">
        <f>CONCATENATE(TEXT(DataSheet!AM104,"0.000")," ",DataSheet!P104)</f>
        <v>5.400 kΩ</v>
      </c>
      <c r="N93" s="257"/>
      <c r="O93" s="257"/>
      <c r="P93" s="257"/>
      <c r="Q93" s="257" t="str">
        <f>CONCATENATE(TEXT(DataSheet!AR104,"0.000")," ",DataSheet!P104)</f>
        <v>0.000 kΩ</v>
      </c>
      <c r="R93" s="257"/>
      <c r="S93" s="257"/>
      <c r="T93" s="257"/>
      <c r="U93" s="257" t="str">
        <f>CONCATENATE(" ",TEXT(DataSheet!DD104,"0.000 00")," ",DataSheet!CZ104)</f>
        <v xml:space="preserve"> 0.000 58 kΩ</v>
      </c>
      <c r="V93" s="257"/>
      <c r="W93" s="257"/>
      <c r="X93" s="257"/>
    </row>
    <row r="94" spans="3:24" ht="15" customHeight="1">
      <c r="E94" s="257" t="str">
        <f>DataSheet!F105</f>
        <v>60 kΩ</v>
      </c>
      <c r="F94" s="257"/>
      <c r="G94" s="257"/>
      <c r="H94" s="257"/>
      <c r="I94" s="257" t="str">
        <f>CONCATENATE(DataSheet!L105," ",DataSheet!P105)</f>
        <v>54 kΩ</v>
      </c>
      <c r="J94" s="257"/>
      <c r="K94" s="257"/>
      <c r="L94" s="257"/>
      <c r="M94" s="257" t="str">
        <f>CONCATENATE(TEXT(DataSheet!AM105,"0.00")," ",DataSheet!P105)</f>
        <v>54.00 kΩ</v>
      </c>
      <c r="N94" s="257"/>
      <c r="O94" s="257"/>
      <c r="P94" s="257"/>
      <c r="Q94" s="257" t="str">
        <f>CONCATENATE(TEXT(DataSheet!AR105,"0.00")," ",DataSheet!P105)</f>
        <v>0.00 kΩ</v>
      </c>
      <c r="R94" s="257"/>
      <c r="S94" s="257"/>
      <c r="T94" s="257"/>
      <c r="U94" s="257" t="str">
        <f>CONCATENATE(" ",TEXT(DataSheet!DD105,"0.000 0")," ",DataSheet!CZ105)</f>
        <v xml:space="preserve"> 0.005 8 kΩ</v>
      </c>
      <c r="V94" s="257"/>
      <c r="W94" s="257"/>
      <c r="X94" s="257"/>
    </row>
    <row r="95" spans="3:24" ht="15" customHeight="1">
      <c r="E95" s="257" t="str">
        <f>DataSheet!F106</f>
        <v>600 kΩ</v>
      </c>
      <c r="F95" s="257"/>
      <c r="G95" s="257"/>
      <c r="H95" s="257"/>
      <c r="I95" s="257" t="str">
        <f>CONCATENATE(DataSheet!L106," ",DataSheet!P106)</f>
        <v>540 kΩ</v>
      </c>
      <c r="J95" s="257"/>
      <c r="K95" s="257"/>
      <c r="L95" s="257"/>
      <c r="M95" s="257" t="str">
        <f>CONCATENATE(TEXT(DataSheet!AM106,"0.0")," ",DataSheet!P106)</f>
        <v>540.0 kΩ</v>
      </c>
      <c r="N95" s="257"/>
      <c r="O95" s="257"/>
      <c r="P95" s="257"/>
      <c r="Q95" s="257" t="str">
        <f>CONCATENATE(TEXT(DataSheet!AR106,"0.0")," ",DataSheet!P106)</f>
        <v>0.0 kΩ</v>
      </c>
      <c r="R95" s="257"/>
      <c r="S95" s="257"/>
      <c r="T95" s="257"/>
      <c r="U95" s="257" t="str">
        <f>CONCATENATE(" ",TEXT(DataSheet!DD106,"0.000")," ",DataSheet!CZ106)</f>
        <v xml:space="preserve"> 0.058 kΩ</v>
      </c>
      <c r="V95" s="257"/>
      <c r="W95" s="257"/>
      <c r="X95" s="257"/>
    </row>
    <row r="96" spans="3:24" ht="15" customHeight="1">
      <c r="E96" s="257" t="str">
        <f>DataSheet!F107</f>
        <v>6 MΩ</v>
      </c>
      <c r="F96" s="257"/>
      <c r="G96" s="257"/>
      <c r="H96" s="257"/>
      <c r="I96" s="257" t="str">
        <f>CONCATENATE(DataSheet!L107," ",DataSheet!P107)</f>
        <v>5.4 MΩ</v>
      </c>
      <c r="J96" s="257"/>
      <c r="K96" s="257"/>
      <c r="L96" s="257"/>
      <c r="M96" s="257" t="str">
        <f>CONCATENATE(TEXT(DataSheet!AM107,"0.000")," ",DataSheet!P107)</f>
        <v>5.400 MΩ</v>
      </c>
      <c r="N96" s="257"/>
      <c r="O96" s="257"/>
      <c r="P96" s="257"/>
      <c r="Q96" s="257" t="str">
        <f>CONCATENATE(TEXT(DataSheet!AR107,"0.000")," ",DataSheet!P107)</f>
        <v>0.000 MΩ</v>
      </c>
      <c r="R96" s="257"/>
      <c r="S96" s="257"/>
      <c r="T96" s="257"/>
      <c r="U96" s="257" t="str">
        <f>CONCATENATE(" ",TEXT(DataSheet!DD107,"0.000 00")," ",DataSheet!CZ107)</f>
        <v xml:space="preserve"> 0.000 75 MΩ</v>
      </c>
      <c r="V96" s="257"/>
      <c r="W96" s="257"/>
      <c r="X96" s="257"/>
    </row>
    <row r="97" spans="3:26" ht="15" customHeight="1">
      <c r="E97" s="257" t="str">
        <f>DataSheet!F108</f>
        <v>50 MΩ</v>
      </c>
      <c r="F97" s="257"/>
      <c r="G97" s="257"/>
      <c r="H97" s="257"/>
      <c r="I97" s="257" t="str">
        <f>CONCATENATE(DataSheet!L108," ",DataSheet!P108)</f>
        <v>45 MΩ</v>
      </c>
      <c r="J97" s="257"/>
      <c r="K97" s="257"/>
      <c r="L97" s="257"/>
      <c r="M97" s="257" t="str">
        <f>CONCATENATE(TEXT(DataSheet!AM108,"0.00")," ",DataSheet!P108)</f>
        <v>45.00 MΩ</v>
      </c>
      <c r="N97" s="257"/>
      <c r="O97" s="257"/>
      <c r="P97" s="257"/>
      <c r="Q97" s="257" t="str">
        <f>CONCATENATE(TEXT(DataSheet!AR108,"0.00")," ",DataSheet!P108)</f>
        <v>0.00 MΩ</v>
      </c>
      <c r="R97" s="257"/>
      <c r="S97" s="257"/>
      <c r="T97" s="257"/>
      <c r="U97" s="257" t="str">
        <f>CONCATENATE(" ",TEXT(DataSheet!DD108,"0.000")," ",DataSheet!CZ108)</f>
        <v xml:space="preserve"> 0.015 MΩ</v>
      </c>
      <c r="V97" s="257"/>
      <c r="W97" s="257"/>
      <c r="X97" s="257"/>
    </row>
    <row r="98" spans="3:26" ht="15" customHeight="1">
      <c r="E98" s="69"/>
      <c r="F98" s="69"/>
      <c r="G98" s="69"/>
      <c r="H98" s="69"/>
      <c r="I98" s="69"/>
      <c r="J98" s="69"/>
      <c r="K98" s="69"/>
      <c r="L98" s="69"/>
      <c r="M98" s="69"/>
      <c r="N98" s="69"/>
      <c r="O98" s="69"/>
      <c r="P98" s="69"/>
      <c r="Q98" s="69"/>
      <c r="R98" s="69"/>
      <c r="S98" s="69"/>
      <c r="T98" s="69"/>
      <c r="U98" s="69"/>
      <c r="V98" s="69"/>
      <c r="W98" s="69"/>
      <c r="X98" s="69"/>
    </row>
    <row r="99" spans="3:26" ht="15" customHeight="1">
      <c r="E99" s="69"/>
      <c r="F99" s="69"/>
      <c r="G99" s="69"/>
      <c r="H99" s="69"/>
      <c r="I99" s="69"/>
      <c r="J99" s="69"/>
      <c r="K99" s="69"/>
      <c r="L99" s="69"/>
      <c r="M99" s="69"/>
      <c r="N99" s="69"/>
      <c r="O99" s="69"/>
      <c r="P99" s="69"/>
      <c r="Q99" s="69"/>
      <c r="R99" s="69"/>
      <c r="S99" s="69"/>
      <c r="T99" s="69"/>
      <c r="U99" s="69"/>
      <c r="V99" s="69"/>
      <c r="W99" s="69"/>
      <c r="X99" s="69"/>
    </row>
    <row r="100" spans="3:26" ht="15" customHeight="1">
      <c r="E100" s="69"/>
      <c r="F100" s="69"/>
      <c r="G100" s="69"/>
      <c r="H100" s="69"/>
      <c r="I100" s="69"/>
      <c r="J100" s="69"/>
      <c r="K100" s="69"/>
      <c r="L100" s="69"/>
      <c r="M100" s="69"/>
      <c r="N100" s="69"/>
      <c r="O100" s="69"/>
      <c r="P100" s="69"/>
      <c r="Q100" s="69"/>
      <c r="R100" s="69"/>
      <c r="S100" s="69"/>
      <c r="T100" s="69"/>
      <c r="U100" s="69"/>
      <c r="V100" s="69"/>
      <c r="W100" s="69"/>
      <c r="X100" s="69"/>
    </row>
    <row r="101" spans="3:26" ht="15" customHeight="1">
      <c r="E101" s="69"/>
      <c r="F101" s="69"/>
      <c r="G101" s="69"/>
      <c r="H101" s="69"/>
      <c r="I101" s="69"/>
      <c r="J101" s="69"/>
      <c r="K101" s="69"/>
      <c r="L101" s="69"/>
      <c r="M101" s="69"/>
      <c r="N101" s="69"/>
      <c r="O101" s="69"/>
      <c r="P101" s="69"/>
      <c r="Q101" s="69"/>
      <c r="R101" s="69"/>
      <c r="S101" s="69"/>
      <c r="T101" s="69"/>
      <c r="U101" s="69"/>
      <c r="V101" s="69"/>
      <c r="W101" s="69"/>
      <c r="X101" s="69"/>
    </row>
    <row r="102" spans="3:26" ht="15" customHeight="1">
      <c r="E102" s="69"/>
      <c r="F102" s="69"/>
      <c r="G102" s="69"/>
      <c r="H102" s="69"/>
      <c r="I102" s="69"/>
      <c r="J102" s="69"/>
      <c r="K102" s="69"/>
      <c r="L102" s="69"/>
      <c r="M102" s="69"/>
      <c r="N102" s="69"/>
      <c r="O102" s="69"/>
      <c r="P102" s="69"/>
      <c r="Q102" s="69"/>
      <c r="R102" s="69"/>
      <c r="S102" s="69"/>
      <c r="T102" s="69"/>
      <c r="U102" s="69"/>
      <c r="V102" s="69"/>
      <c r="W102" s="69"/>
      <c r="X102" s="69"/>
    </row>
    <row r="103" spans="3:26" ht="15" customHeight="1">
      <c r="E103" s="69"/>
      <c r="F103" s="69"/>
      <c r="G103" s="69"/>
      <c r="H103" s="69"/>
      <c r="I103" s="69"/>
      <c r="J103" s="69"/>
      <c r="K103" s="69"/>
      <c r="L103" s="69"/>
      <c r="M103" s="69"/>
      <c r="N103" s="69"/>
      <c r="O103" s="69"/>
      <c r="P103" s="69"/>
      <c r="Q103" s="69"/>
      <c r="R103" s="69"/>
      <c r="S103" s="69"/>
      <c r="T103" s="69"/>
      <c r="U103" s="69"/>
      <c r="V103" s="69"/>
      <c r="W103" s="69"/>
      <c r="X103" s="69"/>
    </row>
    <row r="104" spans="3:26" ht="15" customHeight="1">
      <c r="E104" s="69"/>
      <c r="F104" s="69"/>
      <c r="G104" s="69"/>
      <c r="H104" s="69"/>
      <c r="I104" s="69"/>
      <c r="J104" s="69"/>
      <c r="K104" s="69"/>
      <c r="L104" s="69"/>
      <c r="M104" s="69"/>
      <c r="N104" s="69"/>
      <c r="O104" s="69"/>
      <c r="P104" s="69"/>
      <c r="Q104" s="69"/>
      <c r="R104" s="69"/>
      <c r="S104" s="69"/>
      <c r="T104" s="69"/>
      <c r="U104" s="69"/>
      <c r="V104" s="69"/>
      <c r="W104" s="69"/>
      <c r="X104" s="69"/>
    </row>
    <row r="105" spans="3:26" ht="15" customHeight="1"/>
    <row r="106" spans="3:26" ht="15" customHeight="1">
      <c r="C106" s="227" t="str">
        <f>DataSheet!B140</f>
        <v>DANICA BEA NERI</v>
      </c>
      <c r="D106" s="227"/>
      <c r="E106" s="227"/>
      <c r="F106" s="227"/>
      <c r="G106" s="227"/>
      <c r="H106" s="227"/>
      <c r="I106" s="227"/>
      <c r="J106" s="227"/>
      <c r="K106" s="227"/>
      <c r="L106" s="227"/>
      <c r="M106" s="227"/>
      <c r="N106" s="227"/>
      <c r="O106" s="227"/>
      <c r="P106" s="227"/>
      <c r="Q106" s="227"/>
      <c r="R106" s="227"/>
      <c r="S106" s="227"/>
      <c r="T106" s="227"/>
      <c r="U106" s="227"/>
      <c r="V106" s="227"/>
      <c r="W106" s="227"/>
      <c r="X106" s="227"/>
      <c r="Y106" s="227"/>
      <c r="Z106" s="227"/>
    </row>
    <row r="107" spans="3:26" ht="15" customHeight="1">
      <c r="C107" s="228" t="s">
        <v>24</v>
      </c>
      <c r="D107" s="228"/>
      <c r="E107" s="228"/>
      <c r="F107" s="228"/>
      <c r="G107" s="228"/>
      <c r="H107" s="228"/>
      <c r="I107" s="228"/>
      <c r="J107" s="228"/>
      <c r="K107" s="228"/>
      <c r="L107" s="228"/>
      <c r="M107" s="228"/>
      <c r="N107" s="228"/>
      <c r="O107" s="228"/>
      <c r="P107" s="228"/>
      <c r="Q107" s="228"/>
      <c r="R107" s="228"/>
      <c r="S107" s="228"/>
      <c r="T107" s="228"/>
      <c r="U107" s="228"/>
      <c r="V107" s="228"/>
      <c r="W107" s="228"/>
      <c r="X107" s="228"/>
      <c r="Y107" s="228"/>
      <c r="Z107" s="228"/>
    </row>
    <row r="108" spans="3:26" ht="15" customHeight="1">
      <c r="C108" s="219"/>
      <c r="D108" s="219"/>
      <c r="E108" s="219"/>
      <c r="F108" s="219"/>
      <c r="G108" s="219"/>
      <c r="H108" s="219"/>
      <c r="I108" s="219"/>
      <c r="J108" s="219"/>
      <c r="K108" s="219"/>
      <c r="L108" s="219"/>
      <c r="M108" s="219"/>
      <c r="N108" s="219"/>
      <c r="O108" s="219"/>
      <c r="P108" s="219"/>
      <c r="Q108" s="219"/>
      <c r="R108" s="219"/>
      <c r="S108" s="219"/>
      <c r="T108" s="219"/>
      <c r="U108" s="219"/>
      <c r="V108" s="219"/>
      <c r="W108" s="219"/>
      <c r="X108" s="219"/>
      <c r="Y108" s="219"/>
      <c r="Z108" s="219"/>
    </row>
    <row r="109" spans="3:26" ht="15" customHeight="1"/>
    <row r="110" spans="3:26" ht="15" customHeight="1"/>
    <row r="111" spans="3:26" ht="15" customHeight="1"/>
    <row r="112" spans="3:26" ht="15" customHeight="1"/>
    <row r="113" spans="3:24" ht="15" customHeight="1"/>
    <row r="114" spans="3:24" ht="15" customHeight="1"/>
    <row r="115" spans="3:24" ht="15" customHeight="1"/>
    <row r="116" spans="3:24" ht="15" customHeight="1"/>
    <row r="117" spans="3:24" ht="15" customHeight="1">
      <c r="C117" s="21" t="s">
        <v>26</v>
      </c>
    </row>
    <row r="118" spans="3:24" ht="15" customHeight="1"/>
    <row r="119" spans="3:24" ht="15" customHeight="1">
      <c r="C119" s="19"/>
      <c r="E119" s="21" t="str">
        <f>DataSheet!F73</f>
        <v>AC Voltage Test</v>
      </c>
      <c r="G119" s="21"/>
    </row>
    <row r="120" spans="3:24" ht="15" customHeight="1">
      <c r="C120" s="19"/>
      <c r="E120" s="240" t="s">
        <v>27</v>
      </c>
      <c r="F120" s="240"/>
      <c r="G120" s="240"/>
      <c r="H120" s="240"/>
      <c r="I120" s="240" t="s">
        <v>28</v>
      </c>
      <c r="J120" s="240"/>
      <c r="K120" s="240"/>
      <c r="L120" s="240"/>
      <c r="M120" s="258" t="s">
        <v>73</v>
      </c>
      <c r="N120" s="240"/>
      <c r="O120" s="240"/>
      <c r="P120" s="240"/>
      <c r="Q120" s="240" t="s">
        <v>29</v>
      </c>
      <c r="R120" s="240"/>
      <c r="S120" s="240"/>
      <c r="T120" s="240"/>
      <c r="U120" s="258" t="s">
        <v>114</v>
      </c>
      <c r="V120" s="240"/>
      <c r="W120" s="240"/>
      <c r="X120" s="240"/>
    </row>
    <row r="121" spans="3:24" ht="15" customHeight="1">
      <c r="C121" s="19"/>
      <c r="E121" s="240"/>
      <c r="F121" s="240"/>
      <c r="G121" s="240"/>
      <c r="H121" s="240"/>
      <c r="I121" s="240"/>
      <c r="J121" s="240"/>
      <c r="K121" s="240"/>
      <c r="L121" s="240"/>
      <c r="M121" s="240"/>
      <c r="N121" s="240"/>
      <c r="O121" s="240"/>
      <c r="P121" s="240"/>
      <c r="Q121" s="240"/>
      <c r="R121" s="240"/>
      <c r="S121" s="240"/>
      <c r="T121" s="240"/>
      <c r="U121" s="240"/>
      <c r="V121" s="240"/>
      <c r="W121" s="240"/>
      <c r="X121" s="240"/>
    </row>
    <row r="122" spans="3:24" ht="15" customHeight="1">
      <c r="C122" s="19"/>
      <c r="E122" s="238" t="str">
        <f>DataSheet!F76</f>
        <v>600 mV</v>
      </c>
      <c r="F122" s="238"/>
      <c r="G122" s="238"/>
      <c r="H122" s="238"/>
      <c r="I122" s="238" t="str">
        <f>CONCATENATE(DataSheet!L76," ",DataSheet!P76," / ",DataSheet!S76)</f>
        <v>60 mV / 50 Hz</v>
      </c>
      <c r="J122" s="238"/>
      <c r="K122" s="238"/>
      <c r="L122" s="238"/>
      <c r="M122" s="238" t="str">
        <f>CONCATENATE(TEXT(DataSheet!AM76,"0.0")," ",DataSheet!P76)</f>
        <v>60.0 mV</v>
      </c>
      <c r="N122" s="238"/>
      <c r="O122" s="238"/>
      <c r="P122" s="238"/>
      <c r="Q122" s="238" t="str">
        <f>CONCATENATE(TEXT(DataSheet!AR76,"0.0")," ",DataSheet!P76)</f>
        <v>0.0 mV</v>
      </c>
      <c r="R122" s="238"/>
      <c r="S122" s="238"/>
      <c r="T122" s="238"/>
      <c r="U122" s="238" t="str">
        <f>CONCATENATE(" ",TEXT(DataSheet!DD76,"0.000 ")," ",DataSheet!CZ76)</f>
        <v xml:space="preserve"> 0.091  mV</v>
      </c>
      <c r="V122" s="238"/>
      <c r="W122" s="238"/>
      <c r="X122" s="238"/>
    </row>
    <row r="123" spans="3:24" ht="15" customHeight="1">
      <c r="C123" s="19"/>
      <c r="E123" s="238"/>
      <c r="F123" s="238"/>
      <c r="G123" s="238"/>
      <c r="H123" s="238"/>
      <c r="I123" s="238" t="str">
        <f>CONCATENATE(DataSheet!L77," ",DataSheet!P77," / ",DataSheet!S77)</f>
        <v>60 mV / 1 kHz</v>
      </c>
      <c r="J123" s="238"/>
      <c r="K123" s="238"/>
      <c r="L123" s="238"/>
      <c r="M123" s="238" t="str">
        <f>CONCATENATE(TEXT(DataSheet!AM77,"0.0")," ",DataSheet!P77)</f>
        <v>60.0 mV</v>
      </c>
      <c r="N123" s="238"/>
      <c r="O123" s="238"/>
      <c r="P123" s="238"/>
      <c r="Q123" s="238" t="str">
        <f>CONCATENATE(TEXT(DataSheet!AR77,"0.0")," ",DataSheet!P77)</f>
        <v>0.0 mV</v>
      </c>
      <c r="R123" s="238"/>
      <c r="S123" s="238"/>
      <c r="T123" s="238"/>
      <c r="U123" s="238" t="str">
        <f>CONCATENATE(" ",TEXT(DataSheet!DD77,"0.000 ")," ",DataSheet!CZ77)</f>
        <v xml:space="preserve"> 0.091  mV</v>
      </c>
      <c r="V123" s="238"/>
      <c r="W123" s="238"/>
      <c r="X123" s="238"/>
    </row>
    <row r="124" spans="3:24" ht="15" customHeight="1">
      <c r="C124" s="19"/>
      <c r="E124" s="238"/>
      <c r="F124" s="238"/>
      <c r="G124" s="238"/>
      <c r="H124" s="238"/>
      <c r="I124" s="238" t="str">
        <f>CONCATENATE(DataSheet!L78," ",DataSheet!P78," / ",DataSheet!S78)</f>
        <v>540 mV / 50 Hz</v>
      </c>
      <c r="J124" s="238"/>
      <c r="K124" s="238"/>
      <c r="L124" s="238"/>
      <c r="M124" s="238" t="str">
        <f>CONCATENATE(TEXT(DataSheet!AM78,"0.0")," ",DataSheet!P78)</f>
        <v>540.0 mV</v>
      </c>
      <c r="N124" s="238"/>
      <c r="O124" s="238"/>
      <c r="P124" s="238"/>
      <c r="Q124" s="238" t="str">
        <f>CONCATENATE(TEXT(DataSheet!AR78,"0.0")," ",DataSheet!P78)</f>
        <v>0.0 mV</v>
      </c>
      <c r="R124" s="238"/>
      <c r="S124" s="238"/>
      <c r="T124" s="238"/>
      <c r="U124" s="238" t="str">
        <f>CONCATENATE(" ",TEXT(DataSheet!DD78,"0.00")," ",DataSheet!CZ78)</f>
        <v xml:space="preserve"> 0.91 mV</v>
      </c>
      <c r="V124" s="238"/>
      <c r="W124" s="238"/>
      <c r="X124" s="238"/>
    </row>
    <row r="125" spans="3:24" ht="15" customHeight="1">
      <c r="C125" s="19"/>
      <c r="E125" s="238"/>
      <c r="F125" s="238"/>
      <c r="G125" s="238"/>
      <c r="H125" s="238"/>
      <c r="I125" s="238" t="str">
        <f>CONCATENATE(DataSheet!L79," ",DataSheet!P79," / ",DataSheet!S79)</f>
        <v>540 mV / 1 kHz</v>
      </c>
      <c r="J125" s="238"/>
      <c r="K125" s="238"/>
      <c r="L125" s="238"/>
      <c r="M125" s="238" t="str">
        <f>CONCATENATE(TEXT(DataSheet!AM79,"0.0")," ",DataSheet!P79)</f>
        <v>540.0 mV</v>
      </c>
      <c r="N125" s="238"/>
      <c r="O125" s="238"/>
      <c r="P125" s="238"/>
      <c r="Q125" s="238" t="str">
        <f>CONCATENATE(TEXT(DataSheet!AR79,"0.0")," ",DataSheet!P79)</f>
        <v>0.0 mV</v>
      </c>
      <c r="R125" s="238"/>
      <c r="S125" s="238"/>
      <c r="T125" s="238"/>
      <c r="U125" s="238" t="str">
        <f>CONCATENATE(" ",TEXT(DataSheet!DD79,"0.00")," ",DataSheet!CZ79)</f>
        <v xml:space="preserve"> 0.91 mV</v>
      </c>
      <c r="V125" s="238"/>
      <c r="W125" s="238"/>
      <c r="X125" s="238"/>
    </row>
    <row r="126" spans="3:24" ht="15" customHeight="1">
      <c r="C126" s="19"/>
      <c r="E126" s="238" t="str">
        <f>DataSheet!F80</f>
        <v>6 V</v>
      </c>
      <c r="F126" s="238"/>
      <c r="G126" s="238"/>
      <c r="H126" s="238"/>
      <c r="I126" s="238" t="str">
        <f>CONCATENATE(DataSheet!L80," ",DataSheet!P80," / ",DataSheet!S80)</f>
        <v>0.6 V / 50 Hz</v>
      </c>
      <c r="J126" s="238"/>
      <c r="K126" s="238"/>
      <c r="L126" s="238"/>
      <c r="M126" s="238" t="str">
        <f>CONCATENATE(TEXT(DataSheet!AM80,"0.000")," ",DataSheet!P80)</f>
        <v>0.600 V</v>
      </c>
      <c r="N126" s="238"/>
      <c r="O126" s="238"/>
      <c r="P126" s="238"/>
      <c r="Q126" s="238" t="str">
        <f>CONCATENATE(TEXT(DataSheet!AR80,"0.000")," ",DataSheet!P80)</f>
        <v>0.000 V</v>
      </c>
      <c r="R126" s="238"/>
      <c r="S126" s="238"/>
      <c r="T126" s="238"/>
      <c r="U126" s="238" t="str">
        <f>CONCATENATE(" ",TEXT(DataSheet!DD80,"0.000 0")," ",DataSheet!CZ80)</f>
        <v xml:space="preserve"> 0.001 1 V</v>
      </c>
      <c r="V126" s="238"/>
      <c r="W126" s="238"/>
      <c r="X126" s="238"/>
    </row>
    <row r="127" spans="3:24" ht="15" customHeight="1">
      <c r="C127" s="19"/>
      <c r="E127" s="238"/>
      <c r="F127" s="238"/>
      <c r="G127" s="238"/>
      <c r="H127" s="238"/>
      <c r="I127" s="238" t="str">
        <f>CONCATENATE(DataSheet!L81," ",DataSheet!P81," / ",DataSheet!S81)</f>
        <v>0.6 V / 1 kHz</v>
      </c>
      <c r="J127" s="238"/>
      <c r="K127" s="238"/>
      <c r="L127" s="238"/>
      <c r="M127" s="238" t="str">
        <f>CONCATENATE(TEXT(DataSheet!AM81,"0.000")," ",DataSheet!P81)</f>
        <v>0.600 V</v>
      </c>
      <c r="N127" s="238"/>
      <c r="O127" s="238"/>
      <c r="P127" s="238"/>
      <c r="Q127" s="238" t="str">
        <f>CONCATENATE(TEXT(DataSheet!AR81,"0.000")," ",DataSheet!P81)</f>
        <v>0.000 V</v>
      </c>
      <c r="R127" s="238"/>
      <c r="S127" s="238"/>
      <c r="T127" s="238"/>
      <c r="U127" s="238" t="str">
        <f>CONCATENATE(" ",TEXT(DataSheet!DD81,"0.000 0")," ",DataSheet!CZ81)</f>
        <v xml:space="preserve"> 0.001 1 V</v>
      </c>
      <c r="V127" s="238"/>
      <c r="W127" s="238"/>
      <c r="X127" s="238"/>
    </row>
    <row r="128" spans="3:24" ht="15" customHeight="1">
      <c r="C128" s="19"/>
      <c r="E128" s="238"/>
      <c r="F128" s="238"/>
      <c r="G128" s="238"/>
      <c r="H128" s="238"/>
      <c r="I128" s="238" t="str">
        <f>CONCATENATE(DataSheet!L82," ",DataSheet!P82," / ",DataSheet!S82)</f>
        <v>5.4 V / 50 Hz</v>
      </c>
      <c r="J128" s="238"/>
      <c r="K128" s="238"/>
      <c r="L128" s="238"/>
      <c r="M128" s="238" t="str">
        <f>CONCATENATE(TEXT(DataSheet!AM82,"0.000")," ",DataSheet!P82)</f>
        <v>5.400 V</v>
      </c>
      <c r="N128" s="238"/>
      <c r="O128" s="238"/>
      <c r="P128" s="238"/>
      <c r="Q128" s="238" t="str">
        <f>CONCATENATE(TEXT(DataSheet!AR82,"0.000")," ",DataSheet!P82)</f>
        <v>0.000 V</v>
      </c>
      <c r="R128" s="238"/>
      <c r="S128" s="238"/>
      <c r="T128" s="238"/>
      <c r="U128" s="238" t="str">
        <f>CONCATENATE(" ",TEXT(DataSheet!DD82,"0.000 0")," ",DataSheet!CZ82)</f>
        <v xml:space="preserve"> 0.007 3 V</v>
      </c>
      <c r="V128" s="238"/>
      <c r="W128" s="238"/>
      <c r="X128" s="238"/>
    </row>
    <row r="129" spans="3:26" ht="15" customHeight="1">
      <c r="C129" s="19"/>
      <c r="E129" s="238"/>
      <c r="F129" s="238"/>
      <c r="G129" s="238"/>
      <c r="H129" s="238"/>
      <c r="I129" s="238" t="str">
        <f>CONCATENATE(DataSheet!L83," ",DataSheet!P83," / ",DataSheet!S83)</f>
        <v>5.4 V / 1 kHz</v>
      </c>
      <c r="J129" s="238"/>
      <c r="K129" s="238"/>
      <c r="L129" s="238"/>
      <c r="M129" s="238" t="str">
        <f>CONCATENATE(TEXT(DataSheet!AM83,"0.000")," ",DataSheet!P83)</f>
        <v>5.400 V</v>
      </c>
      <c r="N129" s="238"/>
      <c r="O129" s="238"/>
      <c r="P129" s="238"/>
      <c r="Q129" s="238" t="str">
        <f>CONCATENATE(TEXT(DataSheet!AR83,"0.000")," ",DataSheet!P83)</f>
        <v>0.000 V</v>
      </c>
      <c r="R129" s="238"/>
      <c r="S129" s="238"/>
      <c r="T129" s="238"/>
      <c r="U129" s="238" t="str">
        <f>CONCATENATE(" ",TEXT(DataSheet!DD83,"0.000 0")," ",DataSheet!CZ83)</f>
        <v xml:space="preserve"> 0.007 3 V</v>
      </c>
      <c r="V129" s="238"/>
      <c r="W129" s="238"/>
      <c r="X129" s="238"/>
    </row>
    <row r="130" spans="3:26" ht="15" customHeight="1">
      <c r="C130" s="19"/>
      <c r="E130" s="238" t="str">
        <f>DataSheet!F84</f>
        <v>60 V</v>
      </c>
      <c r="F130" s="238"/>
      <c r="G130" s="238"/>
      <c r="H130" s="238"/>
      <c r="I130" s="238" t="str">
        <f>CONCATENATE(DataSheet!L84," ",DataSheet!P84," / ",DataSheet!S84)</f>
        <v>6 V / 50 Hz</v>
      </c>
      <c r="J130" s="238"/>
      <c r="K130" s="238"/>
      <c r="L130" s="238"/>
      <c r="M130" s="238" t="str">
        <f>CONCATENATE(TEXT(DataSheet!AM84,"0.00")," ",DataSheet!P84)</f>
        <v>6.00 V</v>
      </c>
      <c r="N130" s="238"/>
      <c r="O130" s="238"/>
      <c r="P130" s="238"/>
      <c r="Q130" s="238" t="str">
        <f>CONCATENATE(TEXT(DataSheet!AR84,"0.00")," ",DataSheet!P84)</f>
        <v>0.00 V</v>
      </c>
      <c r="R130" s="238"/>
      <c r="S130" s="238"/>
      <c r="T130" s="238"/>
      <c r="U130" s="238" t="str">
        <f>CONCATENATE(" ",TEXT(DataSheet!DD84,"0.000 0")," ",DataSheet!CZ84)</f>
        <v xml:space="preserve"> 0.009 3 V</v>
      </c>
      <c r="V130" s="238"/>
      <c r="W130" s="238"/>
      <c r="X130" s="238"/>
    </row>
    <row r="131" spans="3:26" ht="15" customHeight="1">
      <c r="C131" s="19"/>
      <c r="E131" s="238"/>
      <c r="F131" s="238"/>
      <c r="G131" s="238"/>
      <c r="H131" s="238"/>
      <c r="I131" s="238" t="str">
        <f>CONCATENATE(DataSheet!L85," ",DataSheet!P85," / ",DataSheet!S85)</f>
        <v>6 V / 1 kHz</v>
      </c>
      <c r="J131" s="238"/>
      <c r="K131" s="238"/>
      <c r="L131" s="238"/>
      <c r="M131" s="238" t="str">
        <f>CONCATENATE(TEXT(DataSheet!AM85,"0.00")," ",DataSheet!P85)</f>
        <v>6.00 V</v>
      </c>
      <c r="N131" s="238"/>
      <c r="O131" s="238"/>
      <c r="P131" s="238"/>
      <c r="Q131" s="238" t="str">
        <f>CONCATENATE(TEXT(DataSheet!AR85,"0.00")," ",DataSheet!P85)</f>
        <v>0.00 V</v>
      </c>
      <c r="R131" s="238"/>
      <c r="S131" s="238"/>
      <c r="T131" s="238"/>
      <c r="U131" s="238" t="str">
        <f>CONCATENATE(" ",TEXT(DataSheet!DD85,"0.000 0")," ",DataSheet!CZ85)</f>
        <v xml:space="preserve"> 0.009 3 V</v>
      </c>
      <c r="V131" s="238"/>
      <c r="W131" s="238"/>
      <c r="X131" s="238"/>
    </row>
    <row r="132" spans="3:26" ht="15" customHeight="1">
      <c r="C132" s="19"/>
      <c r="E132" s="238"/>
      <c r="F132" s="238"/>
      <c r="G132" s="238"/>
      <c r="H132" s="238"/>
      <c r="I132" s="238" t="str">
        <f>CONCATENATE(DataSheet!L86," ",DataSheet!P86," / ",DataSheet!S86)</f>
        <v>30 V / 50 Hz</v>
      </c>
      <c r="J132" s="238"/>
      <c r="K132" s="238"/>
      <c r="L132" s="238"/>
      <c r="M132" s="238" t="str">
        <f>CONCATENATE(TEXT(DataSheet!AM86,"0.00")," ",DataSheet!P86)</f>
        <v>30.00 V</v>
      </c>
      <c r="N132" s="238"/>
      <c r="O132" s="238"/>
      <c r="P132" s="238"/>
      <c r="Q132" s="238" t="str">
        <f>CONCATENATE(TEXT(DataSheet!AR86,"0.00")," ",DataSheet!P86)</f>
        <v>0.00 V</v>
      </c>
      <c r="R132" s="238"/>
      <c r="S132" s="238"/>
      <c r="T132" s="238"/>
      <c r="U132" s="238" t="str">
        <f>CONCATENATE(" ",TEXT(DataSheet!DD86,"0.000 0")," ",DataSheet!CZ86)</f>
        <v xml:space="preserve"> 0.009 3 V</v>
      </c>
      <c r="V132" s="238"/>
      <c r="W132" s="238"/>
      <c r="X132" s="238"/>
    </row>
    <row r="133" spans="3:26" ht="15" customHeight="1">
      <c r="C133" s="19"/>
      <c r="E133" s="238"/>
      <c r="F133" s="238"/>
      <c r="G133" s="238"/>
      <c r="H133" s="238"/>
      <c r="I133" s="238" t="str">
        <f>CONCATENATE(DataSheet!L87," ",DataSheet!P87," / ",DataSheet!S87)</f>
        <v>30 V / 1 kHz</v>
      </c>
      <c r="J133" s="238"/>
      <c r="K133" s="238"/>
      <c r="L133" s="238"/>
      <c r="M133" s="238" t="str">
        <f>CONCATENATE(TEXT(DataSheet!AM87,"0.00")," ",DataSheet!P87)</f>
        <v>30.00 V</v>
      </c>
      <c r="N133" s="238"/>
      <c r="O133" s="238"/>
      <c r="P133" s="238"/>
      <c r="Q133" s="238" t="str">
        <f>CONCATENATE(TEXT(DataSheet!AR87,"0.00")," ",DataSheet!P87)</f>
        <v>0.00 V</v>
      </c>
      <c r="R133" s="238"/>
      <c r="S133" s="238"/>
      <c r="T133" s="238"/>
      <c r="U133" s="238" t="str">
        <f>CONCATENATE(" ",TEXT(DataSheet!DD87,"0.000 0")," ",DataSheet!CZ87)</f>
        <v xml:space="preserve"> 0.009 3 V</v>
      </c>
      <c r="V133" s="238"/>
      <c r="W133" s="238"/>
      <c r="X133" s="238"/>
    </row>
    <row r="134" spans="3:26" ht="15" customHeight="1">
      <c r="C134" s="19"/>
      <c r="E134" s="238"/>
      <c r="F134" s="238"/>
      <c r="G134" s="238"/>
      <c r="H134" s="238"/>
      <c r="I134" s="238" t="str">
        <f>CONCATENATE(DataSheet!L88," ",DataSheet!P88," / ",DataSheet!S88)</f>
        <v>54 V / 50 Hz</v>
      </c>
      <c r="J134" s="238"/>
      <c r="K134" s="238"/>
      <c r="L134" s="238"/>
      <c r="M134" s="238" t="str">
        <f>CONCATENATE(TEXT(DataSheet!AM88,"0.00")," ",DataSheet!P88)</f>
        <v>54.00 V</v>
      </c>
      <c r="N134" s="238"/>
      <c r="O134" s="238"/>
      <c r="P134" s="238"/>
      <c r="Q134" s="238" t="str">
        <f>CONCATENATE(TEXT(DataSheet!AR88,"0.00")," ",DataSheet!P88)</f>
        <v>0.00 V</v>
      </c>
      <c r="R134" s="238"/>
      <c r="S134" s="238"/>
      <c r="T134" s="238"/>
      <c r="U134" s="238" t="str">
        <f>CONCATENATE(" ",TEXT(DataSheet!DD88,"0.000")," ",DataSheet!CZ88)</f>
        <v xml:space="preserve"> 0.071 V</v>
      </c>
      <c r="V134" s="238"/>
      <c r="W134" s="238"/>
      <c r="X134" s="238"/>
    </row>
    <row r="135" spans="3:26" ht="15" customHeight="1">
      <c r="C135" s="19"/>
      <c r="E135" s="238"/>
      <c r="F135" s="238"/>
      <c r="G135" s="238"/>
      <c r="H135" s="238"/>
      <c r="I135" s="238" t="str">
        <f>CONCATENATE(DataSheet!L89," ",DataSheet!P89," / ",DataSheet!S89)</f>
        <v>54 V / 1 kHz</v>
      </c>
      <c r="J135" s="238"/>
      <c r="K135" s="238"/>
      <c r="L135" s="238"/>
      <c r="M135" s="238" t="str">
        <f>CONCATENATE(TEXT(DataSheet!AM89,"0.00")," ",DataSheet!P89)</f>
        <v>54.00 V</v>
      </c>
      <c r="N135" s="238"/>
      <c r="O135" s="238"/>
      <c r="P135" s="238"/>
      <c r="Q135" s="238" t="str">
        <f>CONCATENATE(TEXT(DataSheet!AR89,"0.00")," ",DataSheet!P89)</f>
        <v>0.00 V</v>
      </c>
      <c r="R135" s="238"/>
      <c r="S135" s="238"/>
      <c r="T135" s="238"/>
      <c r="U135" s="238" t="str">
        <f>CONCATENATE(" ",TEXT(DataSheet!DD89,"0.000")," ",DataSheet!CZ89)</f>
        <v xml:space="preserve"> 0.071 V</v>
      </c>
      <c r="V135" s="238"/>
      <c r="W135" s="238"/>
      <c r="X135" s="238"/>
    </row>
    <row r="136" spans="3:26" ht="15" customHeight="1">
      <c r="C136" s="19"/>
      <c r="E136" s="238" t="str">
        <f>DataSheet!F90</f>
        <v>600 V</v>
      </c>
      <c r="F136" s="238"/>
      <c r="G136" s="238"/>
      <c r="H136" s="238"/>
      <c r="I136" s="238" t="str">
        <f>CONCATENATE(DataSheet!L90," ",DataSheet!P90," / ",DataSheet!S90)</f>
        <v>60 V / 50 Hz</v>
      </c>
      <c r="J136" s="238"/>
      <c r="K136" s="238"/>
      <c r="L136" s="238"/>
      <c r="M136" s="238" t="str">
        <f>CONCATENATE(TEXT(DataSheet!AM90,"0.0")," ",DataSheet!P90)</f>
        <v>60.0 V</v>
      </c>
      <c r="N136" s="238"/>
      <c r="O136" s="238"/>
      <c r="P136" s="238"/>
      <c r="Q136" s="238" t="str">
        <f>CONCATENATE(TEXT(DataSheet!AR90,"0.0")," ",DataSheet!P90)</f>
        <v>0.0 V</v>
      </c>
      <c r="R136" s="238"/>
      <c r="S136" s="238"/>
      <c r="T136" s="238"/>
      <c r="U136" s="238" t="str">
        <f>CONCATENATE(" ",TEXT(DataSheet!DD90,"0.000")," ",DataSheet!CZ90)</f>
        <v xml:space="preserve"> 0.092 V</v>
      </c>
      <c r="V136" s="238"/>
      <c r="W136" s="238"/>
      <c r="X136" s="238"/>
    </row>
    <row r="137" spans="3:26" ht="15" customHeight="1">
      <c r="C137" s="19"/>
      <c r="E137" s="238"/>
      <c r="F137" s="238"/>
      <c r="G137" s="238"/>
      <c r="H137" s="238"/>
      <c r="I137" s="238" t="str">
        <f>CONCATENATE(DataSheet!L91," ",DataSheet!P91," / ",DataSheet!S91)</f>
        <v>60 V / 1 kHz</v>
      </c>
      <c r="J137" s="238"/>
      <c r="K137" s="238"/>
      <c r="L137" s="238"/>
      <c r="M137" s="238" t="str">
        <f>CONCATENATE(TEXT(DataSheet!AM91,"0.0")," ",DataSheet!P91)</f>
        <v>60.0 V</v>
      </c>
      <c r="N137" s="238"/>
      <c r="O137" s="238"/>
      <c r="P137" s="238"/>
      <c r="Q137" s="238" t="str">
        <f>CONCATENATE(TEXT(DataSheet!AR91,"0.0")," ",DataSheet!P91)</f>
        <v>0.0 V</v>
      </c>
      <c r="R137" s="238"/>
      <c r="S137" s="238"/>
      <c r="T137" s="238"/>
      <c r="U137" s="238" t="str">
        <f>CONCATENATE(" ",TEXT(DataSheet!DD91,"0.000")," ",DataSheet!CZ91)</f>
        <v xml:space="preserve"> 0.092 V</v>
      </c>
      <c r="V137" s="238"/>
      <c r="W137" s="238"/>
      <c r="X137" s="238"/>
    </row>
    <row r="138" spans="3:26" ht="15" customHeight="1">
      <c r="C138" s="29"/>
      <c r="D138" s="29"/>
      <c r="E138" s="238"/>
      <c r="F138" s="238"/>
      <c r="G138" s="238"/>
      <c r="H138" s="238"/>
      <c r="I138" s="238" t="str">
        <f>CONCATENATE(DataSheet!L92," ",DataSheet!P92," / ",DataSheet!S92)</f>
        <v>540 V / 50 Hz</v>
      </c>
      <c r="J138" s="238"/>
      <c r="K138" s="238"/>
      <c r="L138" s="238"/>
      <c r="M138" s="238" t="str">
        <f>CONCATENATE(TEXT(DataSheet!AM92,"0.0")," ",DataSheet!P92)</f>
        <v>540.0 V</v>
      </c>
      <c r="N138" s="238"/>
      <c r="O138" s="238"/>
      <c r="P138" s="238"/>
      <c r="Q138" s="238" t="str">
        <f>CONCATENATE(TEXT(DataSheet!AR92,"0.0")," ",DataSheet!P92)</f>
        <v>0.0 V</v>
      </c>
      <c r="R138" s="238"/>
      <c r="S138" s="238"/>
      <c r="T138" s="238"/>
      <c r="U138" s="238" t="str">
        <f>CONCATENATE(" ",TEXT(DataSheet!DD92,"0.000")," ",DataSheet!CZ92)</f>
        <v xml:space="preserve"> 0.092 V</v>
      </c>
      <c r="V138" s="238"/>
      <c r="W138" s="238"/>
      <c r="X138" s="238"/>
      <c r="Y138" s="29"/>
      <c r="Z138" s="29"/>
    </row>
    <row r="139" spans="3:26" ht="15" customHeight="1">
      <c r="C139" s="29"/>
      <c r="D139" s="29"/>
      <c r="E139" s="238"/>
      <c r="F139" s="238"/>
      <c r="G139" s="238"/>
      <c r="H139" s="238"/>
      <c r="I139" s="238" t="str">
        <f>CONCATENATE(DataSheet!L93," ",DataSheet!P93," / ",DataSheet!S93)</f>
        <v>540 V / 1 kHz</v>
      </c>
      <c r="J139" s="238"/>
      <c r="K139" s="238"/>
      <c r="L139" s="238"/>
      <c r="M139" s="238" t="str">
        <f>CONCATENATE(TEXT(DataSheet!AM93,"0.0")," ",DataSheet!P93)</f>
        <v>540.0 V</v>
      </c>
      <c r="N139" s="238"/>
      <c r="O139" s="238"/>
      <c r="P139" s="238"/>
      <c r="Q139" s="238" t="str">
        <f>CONCATENATE(TEXT(DataSheet!AR93,"0.0")," ",DataSheet!P93)</f>
        <v>0.0 V</v>
      </c>
      <c r="R139" s="238"/>
      <c r="S139" s="238"/>
      <c r="T139" s="238"/>
      <c r="U139" s="238" t="str">
        <f>CONCATENATE(" ",TEXT(DataSheet!DD93,"0.000")," ",DataSheet!CZ93)</f>
        <v xml:space="preserve"> 0.092 V</v>
      </c>
      <c r="V139" s="238"/>
      <c r="W139" s="238"/>
      <c r="X139" s="238"/>
    </row>
    <row r="140" spans="3:26" ht="15" customHeight="1">
      <c r="C140" s="29"/>
      <c r="D140" s="29"/>
      <c r="E140" s="238" t="str">
        <f>DataSheet!F94</f>
        <v>1000 V</v>
      </c>
      <c r="F140" s="238"/>
      <c r="G140" s="238"/>
      <c r="H140" s="238"/>
      <c r="I140" s="238" t="str">
        <f>CONCATENATE(DataSheet!L94," ",DataSheet!P94," / ",DataSheet!S94)</f>
        <v>100 V / 50 Hz</v>
      </c>
      <c r="J140" s="238"/>
      <c r="K140" s="238"/>
      <c r="L140" s="238"/>
      <c r="M140" s="238" t="str">
        <f>CONCATENATE(TEXT(DataSheet!AM94,"0")," ",DataSheet!P94)</f>
        <v>100 V</v>
      </c>
      <c r="N140" s="238"/>
      <c r="O140" s="238"/>
      <c r="P140" s="238"/>
      <c r="Q140" s="238" t="str">
        <f>CONCATENATE(TEXT(DataSheet!AR94,"0")," ",DataSheet!P94)</f>
        <v>0 V</v>
      </c>
      <c r="R140" s="238"/>
      <c r="S140" s="238"/>
      <c r="T140" s="238"/>
      <c r="U140" s="238" t="str">
        <f>CONCATENATE(" ",TEXT(DataSheet!DD94,"0.00")," ",DataSheet!CZ94)</f>
        <v xml:space="preserve"> 0.58 V</v>
      </c>
      <c r="V140" s="238"/>
      <c r="W140" s="238"/>
      <c r="X140" s="238"/>
    </row>
    <row r="141" spans="3:26" ht="15" customHeight="1">
      <c r="C141" s="29"/>
      <c r="D141" s="29"/>
      <c r="E141" s="238"/>
      <c r="F141" s="238"/>
      <c r="G141" s="238"/>
      <c r="H141" s="238"/>
      <c r="I141" s="238" t="str">
        <f>CONCATENATE(DataSheet!L95," ",DataSheet!P95," / ",DataSheet!S95)</f>
        <v>100 V / 1 kHz</v>
      </c>
      <c r="J141" s="238"/>
      <c r="K141" s="238"/>
      <c r="L141" s="238"/>
      <c r="M141" s="238" t="str">
        <f>CONCATENATE(TEXT(DataSheet!AM95,"0")," ",DataSheet!P95)</f>
        <v>100 V</v>
      </c>
      <c r="N141" s="238"/>
      <c r="O141" s="238"/>
      <c r="P141" s="238"/>
      <c r="Q141" s="238" t="str">
        <f>CONCATENATE(TEXT(DataSheet!AR95,"0")," ",DataSheet!P95)</f>
        <v>0 V</v>
      </c>
      <c r="R141" s="238"/>
      <c r="S141" s="238"/>
      <c r="T141" s="238"/>
      <c r="U141" s="238" t="str">
        <f>CONCATENATE(" ",TEXT(DataSheet!DD95,"0.00")," ",DataSheet!CZ95)</f>
        <v xml:space="preserve"> 0.58 V</v>
      </c>
      <c r="V141" s="238"/>
      <c r="W141" s="238"/>
      <c r="X141" s="238"/>
    </row>
    <row r="142" spans="3:26" ht="15" customHeight="1">
      <c r="C142" s="29"/>
      <c r="D142" s="29"/>
      <c r="E142" s="238"/>
      <c r="F142" s="238"/>
      <c r="G142" s="238"/>
      <c r="H142" s="238"/>
      <c r="I142" s="238" t="str">
        <f>CONCATENATE(DataSheet!L96," ",DataSheet!P96," / ",DataSheet!S96)</f>
        <v>900 V / 50 Hz</v>
      </c>
      <c r="J142" s="238"/>
      <c r="K142" s="238"/>
      <c r="L142" s="238"/>
      <c r="M142" s="238" t="str">
        <f>CONCATENATE(TEXT(DataSheet!AM96,"0")," ",DataSheet!P96)</f>
        <v>900 V</v>
      </c>
      <c r="N142" s="238"/>
      <c r="O142" s="238"/>
      <c r="P142" s="238"/>
      <c r="Q142" s="238" t="str">
        <f>CONCATENATE(TEXT(DataSheet!AR96,"0")," ",DataSheet!P96)</f>
        <v>0 V</v>
      </c>
      <c r="R142" s="238"/>
      <c r="S142" s="238"/>
      <c r="T142" s="238"/>
      <c r="U142" s="238" t="str">
        <f>CONCATENATE(" ",TEXT(DataSheet!DD96,"0.00")," ",DataSheet!CZ96)</f>
        <v xml:space="preserve"> 0.58 V</v>
      </c>
      <c r="V142" s="238"/>
      <c r="W142" s="238"/>
      <c r="X142" s="238"/>
    </row>
    <row r="143" spans="3:26" ht="15" customHeight="1">
      <c r="C143" s="29"/>
      <c r="D143" s="29"/>
      <c r="E143" s="238"/>
      <c r="F143" s="238"/>
      <c r="G143" s="238"/>
      <c r="H143" s="238"/>
      <c r="I143" s="238" t="str">
        <f>CONCATENATE(DataSheet!L97," ",DataSheet!P97," / ",DataSheet!S97)</f>
        <v>900 V / 1 kHz</v>
      </c>
      <c r="J143" s="238"/>
      <c r="K143" s="238"/>
      <c r="L143" s="238"/>
      <c r="M143" s="238" t="str">
        <f>CONCATENATE(TEXT(DataSheet!AM97,"0")," ",DataSheet!P97)</f>
        <v>900 V</v>
      </c>
      <c r="N143" s="238"/>
      <c r="O143" s="238"/>
      <c r="P143" s="238"/>
      <c r="Q143" s="238" t="str">
        <f>CONCATENATE(TEXT(DataSheet!AR97,"0")," ",DataSheet!P97)</f>
        <v>0 V</v>
      </c>
      <c r="R143" s="238"/>
      <c r="S143" s="238"/>
      <c r="T143" s="238"/>
      <c r="U143" s="238" t="str">
        <f>CONCATENATE(" ",TEXT(DataSheet!DD97,"0.00")," ",DataSheet!CZ97)</f>
        <v xml:space="preserve"> 0.58 V</v>
      </c>
      <c r="V143" s="238"/>
      <c r="W143" s="238"/>
      <c r="X143" s="238"/>
    </row>
    <row r="144" spans="3:26" ht="15" customHeight="1"/>
    <row r="145" spans="1:26" s="61" customFormat="1" ht="15" customHeight="1">
      <c r="A145" s="60"/>
      <c r="E145" s="62" t="str">
        <f>DataSheet!F110</f>
        <v>DC Current Test</v>
      </c>
      <c r="F145" s="63"/>
      <c r="G145" s="63"/>
      <c r="H145" s="63"/>
      <c r="I145" s="62"/>
      <c r="J145" s="63"/>
      <c r="K145" s="63"/>
      <c r="L145" s="63"/>
      <c r="M145" s="63"/>
      <c r="N145" s="63"/>
      <c r="O145" s="63"/>
      <c r="P145" s="63"/>
      <c r="Q145" s="63"/>
      <c r="R145" s="63"/>
      <c r="S145" s="63"/>
      <c r="T145" s="63"/>
      <c r="U145" s="63"/>
      <c r="V145" s="63"/>
      <c r="W145" s="63"/>
      <c r="X145" s="63"/>
    </row>
    <row r="146" spans="1:26" s="61" customFormat="1" ht="15" customHeight="1">
      <c r="A146" s="60"/>
      <c r="E146" s="259" t="s">
        <v>27</v>
      </c>
      <c r="F146" s="259"/>
      <c r="G146" s="259"/>
      <c r="H146" s="259"/>
      <c r="I146" s="259" t="s">
        <v>28</v>
      </c>
      <c r="J146" s="259"/>
      <c r="K146" s="259"/>
      <c r="L146" s="259"/>
      <c r="M146" s="260" t="s">
        <v>73</v>
      </c>
      <c r="N146" s="259"/>
      <c r="O146" s="259"/>
      <c r="P146" s="259"/>
      <c r="Q146" s="259" t="s">
        <v>29</v>
      </c>
      <c r="R146" s="259"/>
      <c r="S146" s="259"/>
      <c r="T146" s="259"/>
      <c r="U146" s="260" t="s">
        <v>114</v>
      </c>
      <c r="V146" s="259"/>
      <c r="W146" s="259"/>
      <c r="X146" s="259"/>
    </row>
    <row r="147" spans="1:26" s="61" customFormat="1" ht="15" customHeight="1">
      <c r="A147" s="60"/>
      <c r="E147" s="259"/>
      <c r="F147" s="259"/>
      <c r="G147" s="259"/>
      <c r="H147" s="259"/>
      <c r="I147" s="259"/>
      <c r="J147" s="259"/>
      <c r="K147" s="259"/>
      <c r="L147" s="259"/>
      <c r="M147" s="259"/>
      <c r="N147" s="259"/>
      <c r="O147" s="259"/>
      <c r="P147" s="259"/>
      <c r="Q147" s="259"/>
      <c r="R147" s="259"/>
      <c r="S147" s="259"/>
      <c r="T147" s="259"/>
      <c r="U147" s="259"/>
      <c r="V147" s="259"/>
      <c r="W147" s="259"/>
      <c r="X147" s="259"/>
    </row>
    <row r="148" spans="1:26" s="61" customFormat="1" ht="15" customHeight="1">
      <c r="A148" s="60"/>
      <c r="E148" s="288" t="str">
        <f>DataSheet!F113</f>
        <v>600 µA</v>
      </c>
      <c r="F148" s="289"/>
      <c r="G148" s="289"/>
      <c r="H148" s="290"/>
      <c r="I148" s="239" t="str">
        <f>CONCATENATE(DataSheet!L113," ",DataSheet!P113)</f>
        <v>540 µA</v>
      </c>
      <c r="J148" s="239"/>
      <c r="K148" s="239"/>
      <c r="L148" s="239"/>
      <c r="M148" s="239" t="str">
        <f>CONCATENATE(TEXT(DataSheet!AM113,"0.0")," ",DataSheet!P113)</f>
        <v>540.0 µA</v>
      </c>
      <c r="N148" s="239"/>
      <c r="O148" s="239"/>
      <c r="P148" s="239"/>
      <c r="Q148" s="239" t="str">
        <f>CONCATENATE(TEXT(DataSheet!AR113,"0.0")," ",DataSheet!P113)</f>
        <v>0.0 µA</v>
      </c>
      <c r="R148" s="239"/>
      <c r="S148" s="239"/>
      <c r="T148" s="239"/>
      <c r="U148" s="239" t="str">
        <f>CONCATENATE(" ",TEXT(DataSheet!DD113,"0.00")," ",DataSheet!CZ113)</f>
        <v xml:space="preserve"> 0.11 µA</v>
      </c>
      <c r="V148" s="239"/>
      <c r="W148" s="239"/>
      <c r="X148" s="239"/>
    </row>
    <row r="149" spans="1:26" s="61" customFormat="1" ht="15" customHeight="1">
      <c r="A149" s="60"/>
      <c r="E149" s="288" t="str">
        <f>DataSheet!F114</f>
        <v>6000 µA</v>
      </c>
      <c r="F149" s="289"/>
      <c r="G149" s="289"/>
      <c r="H149" s="290"/>
      <c r="I149" s="239" t="str">
        <f>CONCATENATE(TEXT(DataSheet!L114,"0 000")," ",DataSheet!P114)</f>
        <v>5 400 µA</v>
      </c>
      <c r="J149" s="239"/>
      <c r="K149" s="239"/>
      <c r="L149" s="239"/>
      <c r="M149" s="239" t="str">
        <f>CONCATENATE(TEXT(DataSheet!AM114,"0 000")," ",DataSheet!P114)</f>
        <v>5 400 µA</v>
      </c>
      <c r="N149" s="239"/>
      <c r="O149" s="239"/>
      <c r="P149" s="239"/>
      <c r="Q149" s="239" t="str">
        <f>CONCATENATE(TEXT(DataSheet!AR114,"0")," ",DataSheet!P114)</f>
        <v>0 µA</v>
      </c>
      <c r="R149" s="239"/>
      <c r="S149" s="239"/>
      <c r="T149" s="239"/>
      <c r="U149" s="239" t="str">
        <f>CONCATENATE(" ",TEXT(DataSheet!DD114,"0.00")," ",DataSheet!CZ114)</f>
        <v xml:space="preserve"> 0.69 µA</v>
      </c>
      <c r="V149" s="239"/>
      <c r="W149" s="239"/>
      <c r="X149" s="239"/>
    </row>
    <row r="150" spans="1:26" s="61" customFormat="1" ht="15" customHeight="1">
      <c r="A150" s="60"/>
      <c r="E150" s="232" t="str">
        <f>DataSheet!F115</f>
        <v>60 mA</v>
      </c>
      <c r="F150" s="233"/>
      <c r="G150" s="233"/>
      <c r="H150" s="234"/>
      <c r="I150" s="239" t="str">
        <f>CONCATENATE(DataSheet!L115," ",DataSheet!P115)</f>
        <v>54 mA</v>
      </c>
      <c r="J150" s="239"/>
      <c r="K150" s="239"/>
      <c r="L150" s="239"/>
      <c r="M150" s="239" t="str">
        <f>CONCATENATE(TEXT(DataSheet!AM115,"0.00")," ",DataSheet!P115)</f>
        <v>54.00 mA</v>
      </c>
      <c r="N150" s="239"/>
      <c r="O150" s="239"/>
      <c r="P150" s="239"/>
      <c r="Q150" s="239" t="str">
        <f>CONCATENATE(TEXT(DataSheet!AR115,"0.00")," ",DataSheet!P115)</f>
        <v>0.00 mA</v>
      </c>
      <c r="R150" s="239"/>
      <c r="S150" s="239"/>
      <c r="T150" s="239"/>
      <c r="U150" s="239" t="str">
        <f>CONCATENATE(" ",TEXT(DataSheet!DD115,"0.000 0")," ",DataSheet!CZ115)</f>
        <v xml:space="preserve"> 0.005 9 mA</v>
      </c>
      <c r="V150" s="239"/>
      <c r="W150" s="239"/>
      <c r="X150" s="239"/>
    </row>
    <row r="151" spans="1:26" s="61" customFormat="1" ht="15" customHeight="1">
      <c r="A151" s="60"/>
      <c r="E151" s="235"/>
      <c r="F151" s="236"/>
      <c r="G151" s="236"/>
      <c r="H151" s="237"/>
      <c r="I151" s="239" t="str">
        <f>CONCATENATE(DataSheet!L116," ",DataSheet!P116)</f>
        <v>-54 mA</v>
      </c>
      <c r="J151" s="239"/>
      <c r="K151" s="239"/>
      <c r="L151" s="239"/>
      <c r="M151" s="239" t="str">
        <f>CONCATENATE(TEXT(DataSheet!AM116,"0.00")," ",DataSheet!P116)</f>
        <v>-54.00 mA</v>
      </c>
      <c r="N151" s="239"/>
      <c r="O151" s="239"/>
      <c r="P151" s="239"/>
      <c r="Q151" s="239" t="str">
        <f>CONCATENATE(TEXT(DataSheet!AR116,"0.00")," ",DataSheet!P116)</f>
        <v>0.00 mA</v>
      </c>
      <c r="R151" s="239"/>
      <c r="S151" s="239"/>
      <c r="T151" s="239"/>
      <c r="U151" s="239" t="str">
        <f>CONCATENATE(" ",TEXT(DataSheet!DD116,"0.000")," ",DataSheet!CZ116)</f>
        <v xml:space="preserve"> 0.006 mA</v>
      </c>
      <c r="V151" s="239"/>
      <c r="W151" s="239"/>
      <c r="X151" s="239"/>
    </row>
    <row r="152" spans="1:26" s="61" customFormat="1" ht="15" customHeight="1">
      <c r="A152" s="60"/>
      <c r="E152" s="288" t="str">
        <f>DataSheet!F117</f>
        <v>400 mA</v>
      </c>
      <c r="F152" s="289"/>
      <c r="G152" s="289"/>
      <c r="H152" s="290"/>
      <c r="I152" s="239" t="str">
        <f>CONCATENATE(DataSheet!L117," ",DataSheet!P117)</f>
        <v>360 mA</v>
      </c>
      <c r="J152" s="239"/>
      <c r="K152" s="239"/>
      <c r="L152" s="239"/>
      <c r="M152" s="239" t="str">
        <f>CONCATENATE(TEXT(DataSheet!AM117,"0.0")," ",DataSheet!P117)</f>
        <v>360.0 mA</v>
      </c>
      <c r="N152" s="239"/>
      <c r="O152" s="239"/>
      <c r="P152" s="239"/>
      <c r="Q152" s="239" t="str">
        <f>CONCATENATE(TEXT(DataSheet!AR117,"0.0")," ",DataSheet!P117)</f>
        <v>0.0 mA</v>
      </c>
      <c r="R152" s="239"/>
      <c r="S152" s="239"/>
      <c r="T152" s="239"/>
      <c r="U152" s="239" t="str">
        <f>CONCATENATE(" ",TEXT(DataSheet!DD117,"0.000")," ",DataSheet!CZ117)</f>
        <v xml:space="preserve"> 0.082 mA</v>
      </c>
      <c r="V152" s="239"/>
      <c r="W152" s="239"/>
      <c r="X152" s="239"/>
    </row>
    <row r="153" spans="1:26" s="61" customFormat="1" ht="15" customHeight="1">
      <c r="A153" s="60"/>
      <c r="E153" s="239" t="str">
        <f>DataSheet!F118</f>
        <v>6 A</v>
      </c>
      <c r="F153" s="239"/>
      <c r="G153" s="239"/>
      <c r="H153" s="239"/>
      <c r="I153" s="239" t="str">
        <f>CONCATENATE(DataSheet!L118," ",DataSheet!P118)</f>
        <v>3 A</v>
      </c>
      <c r="J153" s="239"/>
      <c r="K153" s="239"/>
      <c r="L153" s="239"/>
      <c r="M153" s="239" t="str">
        <f>CONCATENATE(TEXT(DataSheet!AM118,"0.000")," ",DataSheet!P118)</f>
        <v>3.000 A</v>
      </c>
      <c r="N153" s="239"/>
      <c r="O153" s="239"/>
      <c r="P153" s="239"/>
      <c r="Q153" s="239" t="str">
        <f>CONCATENATE(TEXT(DataSheet!AR118,"0.000")," ",DataSheet!P118)</f>
        <v>0.000 A</v>
      </c>
      <c r="R153" s="239"/>
      <c r="S153" s="239"/>
      <c r="T153" s="239"/>
      <c r="U153" s="239" t="str">
        <f>CONCATENATE(" ",TEXT(DataSheet!DD118,"0.000 0")," ",DataSheet!CZ118)</f>
        <v xml:space="preserve"> 0.001 6 A</v>
      </c>
      <c r="V153" s="239"/>
      <c r="W153" s="239"/>
      <c r="X153" s="239"/>
    </row>
    <row r="154" spans="1:26" s="61" customFormat="1" ht="15" customHeight="1">
      <c r="A154" s="60"/>
      <c r="E154" s="239"/>
      <c r="F154" s="239"/>
      <c r="G154" s="239"/>
      <c r="H154" s="239"/>
      <c r="I154" s="239" t="str">
        <f>CONCATENATE(DataSheet!L119," ",DataSheet!P119)</f>
        <v>5.4 A</v>
      </c>
      <c r="J154" s="239"/>
      <c r="K154" s="239"/>
      <c r="L154" s="239"/>
      <c r="M154" s="239" t="str">
        <f>CONCATENATE(TEXT(DataSheet!AM119,"0.000")," ",DataSheet!P119)</f>
        <v>5.400 A</v>
      </c>
      <c r="N154" s="239"/>
      <c r="O154" s="239"/>
      <c r="P154" s="239"/>
      <c r="Q154" s="239" t="str">
        <f>CONCATENATE(TEXT(DataSheet!AR119,"0.000")," ",DataSheet!P119)</f>
        <v>0.000 A</v>
      </c>
      <c r="R154" s="239"/>
      <c r="S154" s="239"/>
      <c r="T154" s="239"/>
      <c r="U154" s="239" t="str">
        <f>CONCATENATE(" ",TEXT(DataSheet!DD119,"0.000 0")," ",DataSheet!CZ119)</f>
        <v xml:space="preserve"> 0.001 6 A</v>
      </c>
      <c r="V154" s="239"/>
      <c r="W154" s="239"/>
      <c r="X154" s="239"/>
    </row>
    <row r="155" spans="1:26" s="61" customFormat="1" ht="15" customHeight="1">
      <c r="A155" s="60"/>
      <c r="E155" s="232" t="str">
        <f>DataSheet!F120</f>
        <v>10 A</v>
      </c>
      <c r="F155" s="233"/>
      <c r="G155" s="233"/>
      <c r="H155" s="234"/>
      <c r="I155" s="239" t="str">
        <f>CONCATENATE(DataSheet!L120," ",DataSheet!P120)</f>
        <v>5 A</v>
      </c>
      <c r="J155" s="239"/>
      <c r="K155" s="239"/>
      <c r="L155" s="239"/>
      <c r="M155" s="239" t="str">
        <f>CONCATENATE(TEXT(DataSheet!AM120,"0.00")," ",DataSheet!P120)</f>
        <v>5.00 A</v>
      </c>
      <c r="N155" s="239"/>
      <c r="O155" s="239"/>
      <c r="P155" s="239"/>
      <c r="Q155" s="239" t="str">
        <f>CONCATENATE(TEXT(DataSheet!AR120,"0.00")," ",DataSheet!P120)</f>
        <v>0.00 A</v>
      </c>
      <c r="R155" s="239"/>
      <c r="S155" s="239"/>
      <c r="T155" s="239"/>
      <c r="U155" s="239" t="str">
        <f>CONCATENATE(" ",TEXT(DataSheet!DD120,"0.000 0")," ",DataSheet!CZ120)</f>
        <v xml:space="preserve"> 0.005 9 A</v>
      </c>
      <c r="V155" s="239"/>
      <c r="W155" s="239"/>
      <c r="X155" s="239"/>
    </row>
    <row r="156" spans="1:26" s="61" customFormat="1" ht="15" customHeight="1">
      <c r="A156" s="60"/>
      <c r="E156" s="235"/>
      <c r="F156" s="236"/>
      <c r="G156" s="236"/>
      <c r="H156" s="237"/>
      <c r="I156" s="239" t="str">
        <f>CONCATENATE(DataSheet!L121," ",DataSheet!P121)</f>
        <v>9 A</v>
      </c>
      <c r="J156" s="239"/>
      <c r="K156" s="239"/>
      <c r="L156" s="239"/>
      <c r="M156" s="239" t="str">
        <f>CONCATENATE(TEXT(DataSheet!AM121,"0.00")," ",DataSheet!P121)</f>
        <v>9.00 A</v>
      </c>
      <c r="N156" s="239"/>
      <c r="O156" s="239"/>
      <c r="P156" s="239"/>
      <c r="Q156" s="239" t="str">
        <f>CONCATENATE(TEXT(DataSheet!AR121,"0.00")," ",DataSheet!P121)</f>
        <v>0.00 A</v>
      </c>
      <c r="R156" s="239"/>
      <c r="S156" s="239"/>
      <c r="T156" s="239"/>
      <c r="U156" s="239" t="str">
        <f>CONCATENATE(" ",TEXT(DataSheet!DD121,"0.000 0")," ",DataSheet!CZ121)</f>
        <v xml:space="preserve"> 0.005 9 A</v>
      </c>
      <c r="V156" s="239"/>
      <c r="W156" s="239"/>
      <c r="X156" s="239"/>
    </row>
    <row r="157" spans="1:26" ht="15" customHeight="1">
      <c r="C157" s="29"/>
      <c r="D157" s="29"/>
      <c r="E157" s="22"/>
      <c r="F157" s="22"/>
      <c r="G157" s="22"/>
      <c r="H157" s="22"/>
      <c r="I157" s="22"/>
      <c r="J157" s="22"/>
      <c r="K157" s="22"/>
      <c r="L157" s="22"/>
      <c r="M157" s="22"/>
      <c r="N157" s="22"/>
      <c r="O157" s="22"/>
      <c r="P157" s="22"/>
      <c r="Q157" s="22"/>
      <c r="R157" s="22"/>
      <c r="S157" s="22"/>
      <c r="T157" s="22"/>
      <c r="U157" s="22"/>
      <c r="V157" s="22"/>
      <c r="W157" s="22"/>
      <c r="X157" s="22"/>
    </row>
    <row r="158" spans="1:26" ht="15" customHeight="1"/>
    <row r="159" spans="1:26" ht="15" customHeight="1">
      <c r="C159" s="227" t="str">
        <f>DataSheet!B140</f>
        <v>DANICA BEA NERI</v>
      </c>
      <c r="D159" s="227"/>
      <c r="E159" s="227"/>
      <c r="F159" s="227"/>
      <c r="G159" s="227"/>
      <c r="H159" s="227"/>
      <c r="I159" s="227"/>
      <c r="J159" s="227"/>
      <c r="K159" s="227"/>
      <c r="L159" s="227"/>
      <c r="M159" s="227"/>
      <c r="N159" s="227"/>
      <c r="O159" s="227"/>
      <c r="P159" s="227"/>
      <c r="Q159" s="227"/>
      <c r="R159" s="227"/>
      <c r="S159" s="227"/>
      <c r="T159" s="227"/>
      <c r="U159" s="227"/>
      <c r="V159" s="227"/>
      <c r="W159" s="227"/>
      <c r="X159" s="227"/>
      <c r="Y159" s="227"/>
      <c r="Z159" s="227"/>
    </row>
    <row r="160" spans="1:26" ht="15" customHeight="1">
      <c r="C160" s="228" t="s">
        <v>24</v>
      </c>
      <c r="D160" s="228"/>
      <c r="E160" s="228"/>
      <c r="F160" s="228"/>
      <c r="G160" s="228"/>
      <c r="H160" s="228"/>
      <c r="I160" s="228"/>
      <c r="J160" s="228"/>
      <c r="K160" s="228"/>
      <c r="L160" s="228"/>
      <c r="M160" s="228"/>
      <c r="N160" s="228"/>
      <c r="O160" s="228"/>
      <c r="P160" s="228"/>
      <c r="Q160" s="228"/>
      <c r="R160" s="228"/>
      <c r="S160" s="228"/>
      <c r="T160" s="228"/>
      <c r="U160" s="228"/>
      <c r="V160" s="228"/>
      <c r="W160" s="228"/>
      <c r="X160" s="228"/>
      <c r="Y160" s="228"/>
      <c r="Z160" s="228"/>
    </row>
    <row r="161" spans="3:24" ht="15" customHeight="1">
      <c r="C161" s="20" t="s">
        <v>112</v>
      </c>
    </row>
    <row r="162" spans="3:24" ht="15" customHeight="1"/>
    <row r="163" spans="3:24" ht="15" customHeight="1"/>
    <row r="164" spans="3:24" ht="15" customHeight="1"/>
    <row r="165" spans="3:24" ht="15" customHeight="1"/>
    <row r="166" spans="3:24" ht="15" customHeight="1"/>
    <row r="167" spans="3:24" ht="15" customHeight="1"/>
    <row r="168" spans="3:24" ht="15" customHeight="1"/>
    <row r="169" spans="3:24" ht="15" customHeight="1"/>
    <row r="170" spans="3:24" ht="15" customHeight="1">
      <c r="C170" s="21" t="s">
        <v>26</v>
      </c>
    </row>
    <row r="171" spans="3:24" ht="15" customHeight="1"/>
    <row r="172" spans="3:24" ht="15" customHeight="1">
      <c r="E172" s="62" t="str">
        <f>DataSheet!F123</f>
        <v>AC Current Test</v>
      </c>
      <c r="F172" s="63"/>
      <c r="G172" s="63"/>
      <c r="H172" s="63"/>
      <c r="I172" s="62"/>
      <c r="J172" s="63"/>
      <c r="K172" s="63"/>
      <c r="L172" s="63"/>
      <c r="M172" s="63"/>
      <c r="N172" s="63"/>
      <c r="O172" s="63"/>
      <c r="P172" s="63"/>
      <c r="Q172" s="63"/>
      <c r="R172" s="63"/>
      <c r="S172" s="63"/>
      <c r="T172" s="63"/>
      <c r="U172" s="63"/>
      <c r="V172" s="63"/>
      <c r="W172" s="63"/>
      <c r="X172" s="63"/>
    </row>
    <row r="173" spans="3:24">
      <c r="E173" s="267" t="s">
        <v>27</v>
      </c>
      <c r="F173" s="268"/>
      <c r="G173" s="268"/>
      <c r="H173" s="269"/>
      <c r="I173" s="267" t="s">
        <v>28</v>
      </c>
      <c r="J173" s="268"/>
      <c r="K173" s="268"/>
      <c r="L173" s="269"/>
      <c r="M173" s="261" t="s">
        <v>73</v>
      </c>
      <c r="N173" s="262"/>
      <c r="O173" s="262"/>
      <c r="P173" s="263"/>
      <c r="Q173" s="267" t="s">
        <v>29</v>
      </c>
      <c r="R173" s="268"/>
      <c r="S173" s="268"/>
      <c r="T173" s="269"/>
      <c r="U173" s="261" t="s">
        <v>114</v>
      </c>
      <c r="V173" s="262"/>
      <c r="W173" s="262"/>
      <c r="X173" s="263"/>
    </row>
    <row r="174" spans="3:24" ht="13.5" customHeight="1">
      <c r="E174" s="270"/>
      <c r="F174" s="271"/>
      <c r="G174" s="271"/>
      <c r="H174" s="272"/>
      <c r="I174" s="270"/>
      <c r="J174" s="271"/>
      <c r="K174" s="271"/>
      <c r="L174" s="272"/>
      <c r="M174" s="264"/>
      <c r="N174" s="265"/>
      <c r="O174" s="265"/>
      <c r="P174" s="266"/>
      <c r="Q174" s="270"/>
      <c r="R174" s="271"/>
      <c r="S174" s="271"/>
      <c r="T174" s="272"/>
      <c r="U174" s="264"/>
      <c r="V174" s="265"/>
      <c r="W174" s="265"/>
      <c r="X174" s="266"/>
    </row>
    <row r="175" spans="3:24" ht="12.75" customHeight="1">
      <c r="E175" s="232" t="str">
        <f>DataSheet!F126</f>
        <v>600 µA</v>
      </c>
      <c r="F175" s="233"/>
      <c r="G175" s="233"/>
      <c r="H175" s="234"/>
      <c r="I175" s="229" t="str">
        <f>CONCATENATE(DataSheet!L126," ",DataSheet!P126," / ",DataSheet!S126)</f>
        <v>540 µA / 50 Hz</v>
      </c>
      <c r="J175" s="230"/>
      <c r="K175" s="230"/>
      <c r="L175" s="231"/>
      <c r="M175" s="229" t="str">
        <f>CONCATENATE(TEXT(DataSheet!AM126,"0.0")," ",DataSheet!P126)</f>
        <v>540.0 µA</v>
      </c>
      <c r="N175" s="230"/>
      <c r="O175" s="230"/>
      <c r="P175" s="231"/>
      <c r="Q175" s="229" t="str">
        <f>CONCATENATE(TEXT(DataSheet!AR126,"0.0")," ",DataSheet!P126)</f>
        <v>0.0 µA</v>
      </c>
      <c r="R175" s="230"/>
      <c r="S175" s="230"/>
      <c r="T175" s="231"/>
      <c r="U175" s="229" t="str">
        <f>CONCATENATE(" ",TEXT(DataSheet!DD126,"0.0")," ",DataSheet!CZ126)</f>
        <v xml:space="preserve"> 1.7 µA</v>
      </c>
      <c r="V175" s="230"/>
      <c r="W175" s="230"/>
      <c r="X175" s="231"/>
    </row>
    <row r="176" spans="3:24">
      <c r="E176" s="235"/>
      <c r="F176" s="236"/>
      <c r="G176" s="236"/>
      <c r="H176" s="237"/>
      <c r="I176" s="229" t="str">
        <f>CONCATENATE(DataSheet!L127," ",DataSheet!P127," / ",DataSheet!S127)</f>
        <v>540 µA / 1 kHz</v>
      </c>
      <c r="J176" s="230"/>
      <c r="K176" s="230"/>
      <c r="L176" s="231"/>
      <c r="M176" s="229" t="str">
        <f>CONCATENATE(TEXT(DataSheet!AM127,"0.0")," ",DataSheet!P127)</f>
        <v>540.0 µA</v>
      </c>
      <c r="N176" s="230"/>
      <c r="O176" s="230"/>
      <c r="P176" s="231"/>
      <c r="Q176" s="229" t="str">
        <f>CONCATENATE(TEXT(DataSheet!AR127,"0.0")," ",DataSheet!P127)</f>
        <v>0.0 µA</v>
      </c>
      <c r="R176" s="230"/>
      <c r="S176" s="230"/>
      <c r="T176" s="231"/>
      <c r="U176" s="229" t="str">
        <f>CONCATENATE(" ",TEXT(DataSheet!DD127,"0.0")," ",DataSheet!CZ127)</f>
        <v xml:space="preserve"> 1.7 µA</v>
      </c>
      <c r="V176" s="230"/>
      <c r="W176" s="230"/>
      <c r="X176" s="231"/>
    </row>
    <row r="177" spans="5:24" ht="15" customHeight="1">
      <c r="E177" s="232" t="str">
        <f>DataSheet!F128</f>
        <v>6000 µA</v>
      </c>
      <c r="F177" s="233"/>
      <c r="G177" s="233"/>
      <c r="H177" s="234"/>
      <c r="I177" s="229" t="str">
        <f>CONCATENATE(TEXT(DataSheet!L128,"0 000")," ",DataSheet!P128," / ",DataSheet!S128)</f>
        <v>5 400 µA / 50 Hz</v>
      </c>
      <c r="J177" s="230"/>
      <c r="K177" s="230"/>
      <c r="L177" s="231"/>
      <c r="M177" s="229" t="str">
        <f>CONCATENATE(TEXT(DataSheet!AM128,"0 000")," ",DataSheet!P128)</f>
        <v>5 400 µA</v>
      </c>
      <c r="N177" s="230"/>
      <c r="O177" s="230"/>
      <c r="P177" s="231"/>
      <c r="Q177" s="229" t="str">
        <f>CONCATENATE(TEXT(DataSheet!AR128,"0")," ",DataSheet!P128)</f>
        <v>0 µA</v>
      </c>
      <c r="R177" s="230"/>
      <c r="S177" s="230"/>
      <c r="T177" s="231"/>
      <c r="U177" s="229" t="str">
        <f>CONCATENATE(" ",TEXT(DataSheet!DD128,"0")," ",DataSheet!CZ128)</f>
        <v xml:space="preserve"> 13 µA</v>
      </c>
      <c r="V177" s="230"/>
      <c r="W177" s="230"/>
      <c r="X177" s="231"/>
    </row>
    <row r="178" spans="5:24">
      <c r="E178" s="235"/>
      <c r="F178" s="236"/>
      <c r="G178" s="236"/>
      <c r="H178" s="237"/>
      <c r="I178" s="229" t="str">
        <f>CONCATENATE(TEXT(DataSheet!L129,"0 000")," ",DataSheet!P129," / ",DataSheet!S129)</f>
        <v>5 400 µA / 1 kHz</v>
      </c>
      <c r="J178" s="230"/>
      <c r="K178" s="230"/>
      <c r="L178" s="231"/>
      <c r="M178" s="229" t="str">
        <f>CONCATENATE(TEXT(DataSheet!AM129,"0 000")," ",DataSheet!P129)</f>
        <v>5 400 µA</v>
      </c>
      <c r="N178" s="230"/>
      <c r="O178" s="230"/>
      <c r="P178" s="231"/>
      <c r="Q178" s="229" t="str">
        <f>CONCATENATE(TEXT(DataSheet!AR129,"0")," ",DataSheet!P129)</f>
        <v>0 µA</v>
      </c>
      <c r="R178" s="230"/>
      <c r="S178" s="230"/>
      <c r="T178" s="231"/>
      <c r="U178" s="229" t="str">
        <f>CONCATENATE(" ",TEXT(DataSheet!DD129,"0")," ",DataSheet!CZ129)</f>
        <v xml:space="preserve"> 13 µA</v>
      </c>
      <c r="V178" s="230"/>
      <c r="W178" s="230"/>
      <c r="X178" s="231"/>
    </row>
    <row r="179" spans="5:24">
      <c r="E179" s="232" t="str">
        <f>DataSheet!F130</f>
        <v>60 mA</v>
      </c>
      <c r="F179" s="233"/>
      <c r="G179" s="233"/>
      <c r="H179" s="234"/>
      <c r="I179" s="229" t="str">
        <f>CONCATENATE(DataSheet!L130," ",DataSheet!P130," / ",DataSheet!S130)</f>
        <v>54 mA / 50 Hz</v>
      </c>
      <c r="J179" s="230"/>
      <c r="K179" s="230"/>
      <c r="L179" s="231"/>
      <c r="M179" s="229" t="str">
        <f>CONCATENATE(TEXT(DataSheet!AM130,"0.00")," ",DataSheet!P130)</f>
        <v>54.00 mA</v>
      </c>
      <c r="N179" s="230"/>
      <c r="O179" s="230"/>
      <c r="P179" s="231"/>
      <c r="Q179" s="229" t="str">
        <f>CONCATENATE(TEXT(DataSheet!AR130,"0.00")," ",DataSheet!P130)</f>
        <v>0.00 mA</v>
      </c>
      <c r="R179" s="230"/>
      <c r="S179" s="230"/>
      <c r="T179" s="231"/>
      <c r="U179" s="229" t="str">
        <f>CONCATENATE(" ",TEXT(DataSheet!DD130,"0.00")," ",DataSheet!CZ130)</f>
        <v xml:space="preserve"> 0.22 mA</v>
      </c>
      <c r="V179" s="230"/>
      <c r="W179" s="230"/>
      <c r="X179" s="231"/>
    </row>
    <row r="180" spans="5:24">
      <c r="E180" s="235"/>
      <c r="F180" s="236"/>
      <c r="G180" s="236"/>
      <c r="H180" s="237"/>
      <c r="I180" s="229" t="str">
        <f>CONCATENATE(DataSheet!L131," ",DataSheet!P131," / ",DataSheet!S131)</f>
        <v>54 mA / 1 kHz</v>
      </c>
      <c r="J180" s="230"/>
      <c r="K180" s="230"/>
      <c r="L180" s="231"/>
      <c r="M180" s="229" t="str">
        <f>CONCATENATE(TEXT(DataSheet!AM131,"0.00")," ",DataSheet!P131)</f>
        <v>54.00 mA</v>
      </c>
      <c r="N180" s="230"/>
      <c r="O180" s="230"/>
      <c r="P180" s="231"/>
      <c r="Q180" s="229" t="str">
        <f>CONCATENATE(TEXT(DataSheet!AR131,"0.00")," ",DataSheet!P131)</f>
        <v>0.00 mA</v>
      </c>
      <c r="R180" s="230"/>
      <c r="S180" s="230"/>
      <c r="T180" s="231"/>
      <c r="U180" s="229" t="str">
        <f>CONCATENATE(" ",TEXT(DataSheet!DD131,"0.00")," ",DataSheet!CZ131)</f>
        <v xml:space="preserve"> 0.22 mA</v>
      </c>
      <c r="V180" s="230"/>
      <c r="W180" s="230"/>
      <c r="X180" s="231"/>
    </row>
    <row r="181" spans="5:24">
      <c r="E181" s="232" t="str">
        <f>DataSheet!F132</f>
        <v>400 mA</v>
      </c>
      <c r="F181" s="233"/>
      <c r="G181" s="233"/>
      <c r="H181" s="234"/>
      <c r="I181" s="229" t="str">
        <f>CONCATENATE(DataSheet!L132," ",DataSheet!P132," / ",DataSheet!S132)</f>
        <v>360 mA / 50 Hz</v>
      </c>
      <c r="J181" s="230"/>
      <c r="K181" s="230"/>
      <c r="L181" s="231"/>
      <c r="M181" s="229" t="str">
        <f>CONCATENATE(TEXT(DataSheet!AM132,"0.0")," ",DataSheet!P132)</f>
        <v>360.0 mA</v>
      </c>
      <c r="N181" s="230"/>
      <c r="O181" s="230"/>
      <c r="P181" s="231"/>
      <c r="Q181" s="229" t="str">
        <f>CONCATENATE(TEXT(DataSheet!AR132,"0.0")," ",DataSheet!P132)</f>
        <v>0.0 mA</v>
      </c>
      <c r="R181" s="230"/>
      <c r="S181" s="230"/>
      <c r="T181" s="231"/>
      <c r="U181" s="229" t="str">
        <f>CONCATENATE(" ",TEXT(DataSheet!DD132,"0.00")," ",DataSheet!CZ132)</f>
        <v xml:space="preserve"> 0.72 mA</v>
      </c>
      <c r="V181" s="230"/>
      <c r="W181" s="230"/>
      <c r="X181" s="231"/>
    </row>
    <row r="182" spans="5:24" ht="12.75" customHeight="1">
      <c r="E182" s="235"/>
      <c r="F182" s="236"/>
      <c r="G182" s="236"/>
      <c r="H182" s="237"/>
      <c r="I182" s="229" t="str">
        <f>CONCATENATE(DataSheet!L133," ",DataSheet!P133," / ",DataSheet!S133)</f>
        <v>360 mA / 1 kHz</v>
      </c>
      <c r="J182" s="230"/>
      <c r="K182" s="230"/>
      <c r="L182" s="231"/>
      <c r="M182" s="229" t="str">
        <f>CONCATENATE(TEXT(DataSheet!AM133,"0.0")," ",DataSheet!P133)</f>
        <v>360.0 mA</v>
      </c>
      <c r="N182" s="230"/>
      <c r="O182" s="230"/>
      <c r="P182" s="231"/>
      <c r="Q182" s="229" t="str">
        <f>CONCATENATE(TEXT(DataSheet!AR133,"0.0")," ",DataSheet!P133)</f>
        <v>0.0 mA</v>
      </c>
      <c r="R182" s="230"/>
      <c r="S182" s="230"/>
      <c r="T182" s="231"/>
      <c r="U182" s="229" t="str">
        <f>CONCATENATE(" ",TEXT(DataSheet!DD133,"0.00")," ",DataSheet!CZ133)</f>
        <v xml:space="preserve"> 0.72 mA</v>
      </c>
      <c r="V182" s="230"/>
      <c r="W182" s="230"/>
      <c r="X182" s="231"/>
    </row>
    <row r="183" spans="5:24">
      <c r="E183" s="273" t="str">
        <f>DataSheet!F134</f>
        <v>6 A</v>
      </c>
      <c r="F183" s="274"/>
      <c r="G183" s="274"/>
      <c r="H183" s="275"/>
      <c r="I183" s="229" t="str">
        <f>CONCATENATE(DataSheet!L134," ",DataSheet!P134," / ",DataSheet!S134)</f>
        <v>5.4 A / 50 Hz</v>
      </c>
      <c r="J183" s="230"/>
      <c r="K183" s="230"/>
      <c r="L183" s="231"/>
      <c r="M183" s="229" t="str">
        <f>CONCATENATE(TEXT(DataSheet!AM134,"0.000")," ",DataSheet!P134)</f>
        <v>5.400 A</v>
      </c>
      <c r="N183" s="230"/>
      <c r="O183" s="230"/>
      <c r="P183" s="231"/>
      <c r="Q183" s="229" t="str">
        <f>CONCATENATE(TEXT(DataSheet!AR134,"0.000")," ",DataSheet!P134)</f>
        <v>0.000 A</v>
      </c>
      <c r="R183" s="230"/>
      <c r="S183" s="230"/>
      <c r="T183" s="231"/>
      <c r="U183" s="229" t="str">
        <f>CONCATENATE(" ",TEXT(DataSheet!DD134,"0.000")," ",DataSheet!CZ134)</f>
        <v xml:space="preserve"> 0.010 A</v>
      </c>
      <c r="V183" s="230"/>
      <c r="W183" s="230"/>
      <c r="X183" s="231"/>
    </row>
    <row r="184" spans="5:24" ht="12.95" customHeight="1">
      <c r="E184" s="276"/>
      <c r="F184" s="277"/>
      <c r="G184" s="277"/>
      <c r="H184" s="278"/>
      <c r="I184" s="229" t="str">
        <f>CONCATENATE(DataSheet!L135," ",DataSheet!P135," / ",DataSheet!S135)</f>
        <v>5.4 A / 1 kHz</v>
      </c>
      <c r="J184" s="230"/>
      <c r="K184" s="230"/>
      <c r="L184" s="231"/>
      <c r="M184" s="229" t="str">
        <f>CONCATENATE(TEXT(DataSheet!AM135,"0.000")," ",DataSheet!P135)</f>
        <v>5.400 A</v>
      </c>
      <c r="N184" s="230"/>
      <c r="O184" s="230"/>
      <c r="P184" s="231"/>
      <c r="Q184" s="229" t="str">
        <f>CONCATENATE(TEXT(DataSheet!AR135,"0.000")," ",DataSheet!P135)</f>
        <v>0.000 A</v>
      </c>
      <c r="R184" s="230"/>
      <c r="S184" s="230"/>
      <c r="T184" s="231"/>
      <c r="U184" s="229" t="str">
        <f>CONCATENATE(" ",TEXT(DataSheet!DD135,"0.000")," ",DataSheet!CZ135)</f>
        <v xml:space="preserve"> 0.011 A</v>
      </c>
      <c r="V184" s="230"/>
      <c r="W184" s="230"/>
      <c r="X184" s="231"/>
    </row>
    <row r="185" spans="5:24" ht="12.95" customHeight="1">
      <c r="E185" s="273" t="str">
        <f>DataSheet!F136</f>
        <v>10 A</v>
      </c>
      <c r="F185" s="274"/>
      <c r="G185" s="274"/>
      <c r="H185" s="275"/>
      <c r="I185" s="229" t="str">
        <f>CONCATENATE(DataSheet!L136," ",DataSheet!P136," / ",DataSheet!S136)</f>
        <v>9 A / 50 Hz</v>
      </c>
      <c r="J185" s="230"/>
      <c r="K185" s="230"/>
      <c r="L185" s="231"/>
      <c r="M185" s="229" t="str">
        <f>CONCATENATE(TEXT(DataSheet!AM136,"0.00")," ",DataSheet!P136)</f>
        <v>9.00 A</v>
      </c>
      <c r="N185" s="230"/>
      <c r="O185" s="230"/>
      <c r="P185" s="231"/>
      <c r="Q185" s="229" t="str">
        <f>CONCATENATE(TEXT(DataSheet!AR136,"0.00")," ",DataSheet!P136)</f>
        <v>0.00 A</v>
      </c>
      <c r="R185" s="230"/>
      <c r="S185" s="230"/>
      <c r="T185" s="231"/>
      <c r="U185" s="229" t="str">
        <f>CONCATENATE(" ",TEXT(DataSheet!DD136,"0.000")," ",DataSheet!CZ136)</f>
        <v xml:space="preserve"> 0.012 A</v>
      </c>
      <c r="V185" s="230"/>
      <c r="W185" s="230"/>
      <c r="X185" s="231"/>
    </row>
    <row r="186" spans="5:24" ht="12.95" customHeight="1">
      <c r="E186" s="276"/>
      <c r="F186" s="277"/>
      <c r="G186" s="277"/>
      <c r="H186" s="278"/>
      <c r="I186" s="229" t="str">
        <f>CONCATENATE(DataSheet!L137," ",DataSheet!P137," / ",DataSheet!S137)</f>
        <v>9 A / 1 kHz</v>
      </c>
      <c r="J186" s="230"/>
      <c r="K186" s="230"/>
      <c r="L186" s="231"/>
      <c r="M186" s="229" t="str">
        <f>CONCATENATE(TEXT(DataSheet!AM137,"0.00")," ",DataSheet!P137)</f>
        <v>9.00 A</v>
      </c>
      <c r="N186" s="230"/>
      <c r="O186" s="230"/>
      <c r="P186" s="231"/>
      <c r="Q186" s="229" t="str">
        <f>CONCATENATE(TEXT(DataSheet!AR137,"0.00")," ",DataSheet!P137)</f>
        <v>0.00 A</v>
      </c>
      <c r="R186" s="230"/>
      <c r="S186" s="230"/>
      <c r="T186" s="231"/>
      <c r="U186" s="229" t="str">
        <f>CONCATENATE(" ",TEXT(DataSheet!DD137,"0.000")," ",DataSheet!CZ137)</f>
        <v xml:space="preserve"> 0.012 A</v>
      </c>
      <c r="V186" s="230"/>
      <c r="W186" s="230"/>
      <c r="X186" s="231"/>
    </row>
    <row r="187" spans="5:24" ht="12.95" customHeight="1"/>
    <row r="188" spans="5:24" ht="15" customHeight="1"/>
    <row r="189" spans="5:24" ht="15" customHeight="1"/>
    <row r="193" ht="12.95" customHeight="1"/>
    <row r="194" ht="12.95" customHeight="1"/>
    <row r="195" ht="12.95" customHeight="1"/>
    <row r="196" ht="15" customHeight="1"/>
    <row r="197" ht="15" customHeight="1"/>
    <row r="198" ht="15" customHeight="1"/>
    <row r="202" ht="12.95" customHeight="1"/>
    <row r="203" ht="12.95" customHeight="1"/>
    <row r="204" ht="12.95" customHeight="1"/>
    <row r="205" ht="15" customHeight="1"/>
    <row r="206" ht="15" customHeight="1"/>
    <row r="211" spans="3:26" ht="12.95" customHeight="1"/>
    <row r="212" spans="3:26" ht="12.95" customHeight="1"/>
    <row r="213" spans="3:26" ht="15" customHeight="1">
      <c r="C213" s="227" t="str">
        <f>DataSheet!B140</f>
        <v>DANICA BEA NERI</v>
      </c>
      <c r="D213" s="227"/>
      <c r="E213" s="227"/>
      <c r="F213" s="227"/>
      <c r="G213" s="227"/>
      <c r="H213" s="227"/>
      <c r="I213" s="227"/>
      <c r="J213" s="227"/>
      <c r="K213" s="227"/>
      <c r="L213" s="227"/>
      <c r="M213" s="227"/>
      <c r="N213" s="227"/>
      <c r="O213" s="227"/>
      <c r="P213" s="227"/>
      <c r="Q213" s="227"/>
      <c r="R213" s="227"/>
      <c r="S213" s="227"/>
      <c r="T213" s="227"/>
      <c r="U213" s="227"/>
      <c r="V213" s="227"/>
      <c r="W213" s="227"/>
      <c r="X213" s="227"/>
      <c r="Y213" s="227"/>
      <c r="Z213" s="227"/>
    </row>
    <row r="214" spans="3:26" ht="15" customHeight="1">
      <c r="C214" s="228" t="s">
        <v>24</v>
      </c>
      <c r="D214" s="228"/>
      <c r="E214" s="228"/>
      <c r="F214" s="228"/>
      <c r="G214" s="228"/>
      <c r="H214" s="228"/>
      <c r="I214" s="228"/>
      <c r="J214" s="228"/>
      <c r="K214" s="228"/>
      <c r="L214" s="228"/>
      <c r="M214" s="228"/>
      <c r="N214" s="228"/>
      <c r="O214" s="228"/>
      <c r="P214" s="228"/>
      <c r="Q214" s="228"/>
      <c r="R214" s="228"/>
      <c r="S214" s="228"/>
      <c r="T214" s="228"/>
      <c r="U214" s="228"/>
      <c r="V214" s="228"/>
      <c r="W214" s="228"/>
      <c r="X214" s="228"/>
      <c r="Y214" s="228"/>
      <c r="Z214" s="228"/>
    </row>
    <row r="215" spans="3:26" ht="15" customHeight="1">
      <c r="C215" s="219"/>
      <c r="D215" s="219"/>
      <c r="E215" s="219"/>
      <c r="F215" s="219"/>
      <c r="G215" s="219"/>
      <c r="H215" s="219"/>
      <c r="I215" s="219"/>
      <c r="J215" s="219"/>
      <c r="K215" s="219"/>
      <c r="L215" s="219"/>
      <c r="M215" s="219"/>
      <c r="N215" s="219"/>
      <c r="O215" s="219"/>
      <c r="P215" s="219"/>
      <c r="Q215" s="219"/>
      <c r="R215" s="219"/>
      <c r="S215" s="219"/>
      <c r="T215" s="219"/>
      <c r="U215" s="219"/>
      <c r="V215" s="219"/>
      <c r="W215" s="219"/>
      <c r="X215" s="219"/>
      <c r="Y215" s="219"/>
      <c r="Z215" s="219"/>
    </row>
    <row r="216" spans="3:26" ht="15" customHeight="1">
      <c r="C216" s="20" t="s">
        <v>112</v>
      </c>
    </row>
    <row r="217" spans="3:26" ht="15" customHeight="1"/>
    <row r="218" spans="3:26" ht="15" customHeight="1"/>
    <row r="219" spans="3:26" ht="15" customHeight="1"/>
    <row r="220" spans="3:26" ht="15" customHeight="1"/>
    <row r="221" spans="3:26" ht="15" customHeight="1"/>
    <row r="222" spans="3:26" ht="12.95" customHeight="1"/>
    <row r="240" ht="15" customHeight="1"/>
    <row r="241" ht="15" customHeight="1"/>
    <row r="242" ht="15" customHeight="1"/>
  </sheetData>
  <mergeCells count="361">
    <mergeCell ref="I152:L152"/>
    <mergeCell ref="M152:P152"/>
    <mergeCell ref="Q152:T152"/>
    <mergeCell ref="U152:X152"/>
    <mergeCell ref="I148:L148"/>
    <mergeCell ref="M148:P148"/>
    <mergeCell ref="Q148:T148"/>
    <mergeCell ref="U148:X148"/>
    <mergeCell ref="E148:H148"/>
    <mergeCell ref="E149:H149"/>
    <mergeCell ref="E150:H151"/>
    <mergeCell ref="E152:H152"/>
    <mergeCell ref="I149:L149"/>
    <mergeCell ref="M149:P149"/>
    <mergeCell ref="Q149:T149"/>
    <mergeCell ref="U149:X149"/>
    <mergeCell ref="I150:L150"/>
    <mergeCell ref="M150:P150"/>
    <mergeCell ref="Q150:T150"/>
    <mergeCell ref="U150:X150"/>
    <mergeCell ref="I151:L151"/>
    <mergeCell ref="M151:P151"/>
    <mergeCell ref="Q151:T151"/>
    <mergeCell ref="U151:X151"/>
    <mergeCell ref="E91:H92"/>
    <mergeCell ref="I92:L92"/>
    <mergeCell ref="M92:P92"/>
    <mergeCell ref="Q92:T92"/>
    <mergeCell ref="U92:X92"/>
    <mergeCell ref="E93:H93"/>
    <mergeCell ref="E81:H83"/>
    <mergeCell ref="I83:L83"/>
    <mergeCell ref="M83:P83"/>
    <mergeCell ref="Q83:T83"/>
    <mergeCell ref="U83:X83"/>
    <mergeCell ref="E89:H90"/>
    <mergeCell ref="I89:L90"/>
    <mergeCell ref="M89:P90"/>
    <mergeCell ref="Q89:T90"/>
    <mergeCell ref="U89:X90"/>
    <mergeCell ref="E84:H86"/>
    <mergeCell ref="Q84:T84"/>
    <mergeCell ref="U84:X84"/>
    <mergeCell ref="I85:L85"/>
    <mergeCell ref="M85:P85"/>
    <mergeCell ref="Q85:T85"/>
    <mergeCell ref="U85:X85"/>
    <mergeCell ref="I86:L86"/>
    <mergeCell ref="C5:Z6"/>
    <mergeCell ref="E68:H69"/>
    <mergeCell ref="I68:L69"/>
    <mergeCell ref="M68:P69"/>
    <mergeCell ref="Q68:T69"/>
    <mergeCell ref="U68:X69"/>
    <mergeCell ref="E76:H80"/>
    <mergeCell ref="C45:Z47"/>
    <mergeCell ref="E70:H72"/>
    <mergeCell ref="E73:H75"/>
    <mergeCell ref="I80:L80"/>
    <mergeCell ref="M80:P80"/>
    <mergeCell ref="Q80:T80"/>
    <mergeCell ref="U80:X80"/>
    <mergeCell ref="I77:L77"/>
    <mergeCell ref="T20:Z20"/>
    <mergeCell ref="C26:Z27"/>
    <mergeCell ref="C35:Z36"/>
    <mergeCell ref="M77:P77"/>
    <mergeCell ref="Q77:T77"/>
    <mergeCell ref="U77:X77"/>
    <mergeCell ref="I78:L78"/>
    <mergeCell ref="M78:P78"/>
    <mergeCell ref="Q78:T78"/>
    <mergeCell ref="U186:X186"/>
    <mergeCell ref="I184:L184"/>
    <mergeCell ref="M184:P184"/>
    <mergeCell ref="Q184:T184"/>
    <mergeCell ref="U184:X184"/>
    <mergeCell ref="I185:L185"/>
    <mergeCell ref="M185:P185"/>
    <mergeCell ref="Q185:T185"/>
    <mergeCell ref="U185:X185"/>
    <mergeCell ref="M173:P174"/>
    <mergeCell ref="Q173:T174"/>
    <mergeCell ref="U173:X174"/>
    <mergeCell ref="E185:H186"/>
    <mergeCell ref="E183:H184"/>
    <mergeCell ref="C159:Z159"/>
    <mergeCell ref="C160:Z160"/>
    <mergeCell ref="E126:H129"/>
    <mergeCell ref="E130:H135"/>
    <mergeCell ref="E136:H139"/>
    <mergeCell ref="E173:H174"/>
    <mergeCell ref="I173:L174"/>
    <mergeCell ref="I183:L183"/>
    <mergeCell ref="M183:P183"/>
    <mergeCell ref="Q183:T183"/>
    <mergeCell ref="U183:X183"/>
    <mergeCell ref="I131:L131"/>
    <mergeCell ref="M131:P131"/>
    <mergeCell ref="Q131:T131"/>
    <mergeCell ref="U131:X131"/>
    <mergeCell ref="I132:L132"/>
    <mergeCell ref="I186:L186"/>
    <mergeCell ref="M186:P186"/>
    <mergeCell ref="Q186:T186"/>
    <mergeCell ref="I146:L147"/>
    <mergeCell ref="M146:P147"/>
    <mergeCell ref="Q146:T147"/>
    <mergeCell ref="U146:X147"/>
    <mergeCell ref="E94:H94"/>
    <mergeCell ref="I94:L94"/>
    <mergeCell ref="M94:P94"/>
    <mergeCell ref="Q94:T94"/>
    <mergeCell ref="U94:X94"/>
    <mergeCell ref="E95:H95"/>
    <mergeCell ref="I95:L95"/>
    <mergeCell ref="M95:P95"/>
    <mergeCell ref="Q95:T95"/>
    <mergeCell ref="U95:X95"/>
    <mergeCell ref="I136:L136"/>
    <mergeCell ref="M136:P136"/>
    <mergeCell ref="Q136:T136"/>
    <mergeCell ref="U136:X136"/>
    <mergeCell ref="I137:L137"/>
    <mergeCell ref="M137:P137"/>
    <mergeCell ref="Q137:T137"/>
    <mergeCell ref="E120:H121"/>
    <mergeCell ref="I120:L121"/>
    <mergeCell ref="M120:P121"/>
    <mergeCell ref="Q154:T154"/>
    <mergeCell ref="U154:X154"/>
    <mergeCell ref="I156:L156"/>
    <mergeCell ref="M156:P156"/>
    <mergeCell ref="Q156:T156"/>
    <mergeCell ref="U156:X156"/>
    <mergeCell ref="E96:H96"/>
    <mergeCell ref="I96:L96"/>
    <mergeCell ref="M96:P96"/>
    <mergeCell ref="Q96:T96"/>
    <mergeCell ref="U96:X96"/>
    <mergeCell ref="E97:H97"/>
    <mergeCell ref="I97:L97"/>
    <mergeCell ref="M97:P97"/>
    <mergeCell ref="Q97:T97"/>
    <mergeCell ref="U97:X97"/>
    <mergeCell ref="I153:L153"/>
    <mergeCell ref="M153:P153"/>
    <mergeCell ref="Q153:T153"/>
    <mergeCell ref="U153:X153"/>
    <mergeCell ref="I154:L154"/>
    <mergeCell ref="M154:P154"/>
    <mergeCell ref="E153:H154"/>
    <mergeCell ref="E146:H147"/>
    <mergeCell ref="I139:L139"/>
    <mergeCell ref="M139:P139"/>
    <mergeCell ref="Q139:T139"/>
    <mergeCell ref="U139:X139"/>
    <mergeCell ref="C106:Z106"/>
    <mergeCell ref="C107:Z107"/>
    <mergeCell ref="I138:L138"/>
    <mergeCell ref="M138:P138"/>
    <mergeCell ref="Q138:T138"/>
    <mergeCell ref="U138:X138"/>
    <mergeCell ref="I134:L134"/>
    <mergeCell ref="M134:P134"/>
    <mergeCell ref="Q134:T134"/>
    <mergeCell ref="U134:X134"/>
    <mergeCell ref="I135:L135"/>
    <mergeCell ref="M135:P135"/>
    <mergeCell ref="Q135:T135"/>
    <mergeCell ref="U135:X135"/>
    <mergeCell ref="U137:X137"/>
    <mergeCell ref="Q120:T121"/>
    <mergeCell ref="U120:X121"/>
    <mergeCell ref="M132:P132"/>
    <mergeCell ref="Q132:T132"/>
    <mergeCell ref="U132:X132"/>
    <mergeCell ref="M133:P133"/>
    <mergeCell ref="Q133:T133"/>
    <mergeCell ref="U133:X133"/>
    <mergeCell ref="I128:L128"/>
    <mergeCell ref="M128:P128"/>
    <mergeCell ref="Q128:T128"/>
    <mergeCell ref="U128:X128"/>
    <mergeCell ref="I129:L129"/>
    <mergeCell ref="M129:P129"/>
    <mergeCell ref="Q129:T129"/>
    <mergeCell ref="U129:X129"/>
    <mergeCell ref="I130:L130"/>
    <mergeCell ref="M130:P130"/>
    <mergeCell ref="Q130:T130"/>
    <mergeCell ref="U130:X130"/>
    <mergeCell ref="I93:L93"/>
    <mergeCell ref="M93:P93"/>
    <mergeCell ref="Q93:T93"/>
    <mergeCell ref="U93:X93"/>
    <mergeCell ref="I84:L84"/>
    <mergeCell ref="M84:P84"/>
    <mergeCell ref="M86:P86"/>
    <mergeCell ref="Q86:T86"/>
    <mergeCell ref="U86:X86"/>
    <mergeCell ref="I81:L81"/>
    <mergeCell ref="M81:P81"/>
    <mergeCell ref="Q81:T81"/>
    <mergeCell ref="U81:X81"/>
    <mergeCell ref="I82:L82"/>
    <mergeCell ref="M82:P82"/>
    <mergeCell ref="Q82:T82"/>
    <mergeCell ref="U82:X82"/>
    <mergeCell ref="I91:L91"/>
    <mergeCell ref="M91:P91"/>
    <mergeCell ref="Q91:T91"/>
    <mergeCell ref="U91:X91"/>
    <mergeCell ref="U78:X78"/>
    <mergeCell ref="I79:L79"/>
    <mergeCell ref="M79:P79"/>
    <mergeCell ref="Q79:T79"/>
    <mergeCell ref="U79:X79"/>
    <mergeCell ref="I74:L74"/>
    <mergeCell ref="M74:P74"/>
    <mergeCell ref="Q74:T74"/>
    <mergeCell ref="U74:X74"/>
    <mergeCell ref="I75:L75"/>
    <mergeCell ref="M75:P75"/>
    <mergeCell ref="Q75:T75"/>
    <mergeCell ref="U75:X75"/>
    <mergeCell ref="I76:L76"/>
    <mergeCell ref="M76:P76"/>
    <mergeCell ref="Q76:T76"/>
    <mergeCell ref="U76:X76"/>
    <mergeCell ref="I71:L71"/>
    <mergeCell ref="M71:P71"/>
    <mergeCell ref="Q71:T71"/>
    <mergeCell ref="U71:X71"/>
    <mergeCell ref="I72:L72"/>
    <mergeCell ref="M72:P72"/>
    <mergeCell ref="Q72:T72"/>
    <mergeCell ref="U72:X72"/>
    <mergeCell ref="I73:L73"/>
    <mergeCell ref="M73:P73"/>
    <mergeCell ref="Q73:T73"/>
    <mergeCell ref="U73:X73"/>
    <mergeCell ref="O51:Q51"/>
    <mergeCell ref="S54:W54"/>
    <mergeCell ref="E55:K55"/>
    <mergeCell ref="S55:W55"/>
    <mergeCell ref="G57:J57"/>
    <mergeCell ref="I70:L70"/>
    <mergeCell ref="M70:P70"/>
    <mergeCell ref="Q70:T70"/>
    <mergeCell ref="U70:X70"/>
    <mergeCell ref="E54:K54"/>
    <mergeCell ref="V40:Z41"/>
    <mergeCell ref="P40:U41"/>
    <mergeCell ref="J40:O41"/>
    <mergeCell ref="D40:I41"/>
    <mergeCell ref="D42:I42"/>
    <mergeCell ref="J42:O42"/>
    <mergeCell ref="P42:U42"/>
    <mergeCell ref="V42:Z42"/>
    <mergeCell ref="R7:U7"/>
    <mergeCell ref="V7:Z7"/>
    <mergeCell ref="H15:M15"/>
    <mergeCell ref="H16:M16"/>
    <mergeCell ref="T16:Z16"/>
    <mergeCell ref="H17:M17"/>
    <mergeCell ref="T17:Z17"/>
    <mergeCell ref="H18:M18"/>
    <mergeCell ref="P11:Y12"/>
    <mergeCell ref="T18:Z18"/>
    <mergeCell ref="D11:M13"/>
    <mergeCell ref="C30:Z32"/>
    <mergeCell ref="H19:N19"/>
    <mergeCell ref="T19:Z19"/>
    <mergeCell ref="H20:M20"/>
    <mergeCell ref="I155:L155"/>
    <mergeCell ref="M155:P155"/>
    <mergeCell ref="Q155:T155"/>
    <mergeCell ref="U155:X155"/>
    <mergeCell ref="E155:H156"/>
    <mergeCell ref="E122:H125"/>
    <mergeCell ref="I122:L122"/>
    <mergeCell ref="M122:P122"/>
    <mergeCell ref="Q122:T122"/>
    <mergeCell ref="U122:X122"/>
    <mergeCell ref="I123:L123"/>
    <mergeCell ref="M123:P123"/>
    <mergeCell ref="Q123:T123"/>
    <mergeCell ref="U123:X123"/>
    <mergeCell ref="I124:L124"/>
    <mergeCell ref="M124:P124"/>
    <mergeCell ref="Q124:T124"/>
    <mergeCell ref="U124:X124"/>
    <mergeCell ref="I125:L125"/>
    <mergeCell ref="M125:P125"/>
    <mergeCell ref="Q125:T125"/>
    <mergeCell ref="U125:X125"/>
    <mergeCell ref="I126:L126"/>
    <mergeCell ref="M126:P126"/>
    <mergeCell ref="U126:X126"/>
    <mergeCell ref="I127:L127"/>
    <mergeCell ref="M127:P127"/>
    <mergeCell ref="E140:H143"/>
    <mergeCell ref="I140:L140"/>
    <mergeCell ref="M140:P140"/>
    <mergeCell ref="Q140:T140"/>
    <mergeCell ref="U140:X140"/>
    <mergeCell ref="I141:L141"/>
    <mergeCell ref="M141:P141"/>
    <mergeCell ref="Q141:T141"/>
    <mergeCell ref="U141:X141"/>
    <mergeCell ref="I142:L142"/>
    <mergeCell ref="M142:P142"/>
    <mergeCell ref="Q142:T142"/>
    <mergeCell ref="U142:X142"/>
    <mergeCell ref="I143:L143"/>
    <mergeCell ref="M143:P143"/>
    <mergeCell ref="Q143:T143"/>
    <mergeCell ref="U143:X143"/>
    <mergeCell ref="Q127:T127"/>
    <mergeCell ref="U127:X127"/>
    <mergeCell ref="Q126:T126"/>
    <mergeCell ref="I133:L133"/>
    <mergeCell ref="Q182:T182"/>
    <mergeCell ref="U182:X182"/>
    <mergeCell ref="I177:L177"/>
    <mergeCell ref="M177:P177"/>
    <mergeCell ref="Q177:T177"/>
    <mergeCell ref="U177:X177"/>
    <mergeCell ref="I178:L178"/>
    <mergeCell ref="M178:P178"/>
    <mergeCell ref="Q178:T178"/>
    <mergeCell ref="U178:X178"/>
    <mergeCell ref="I179:L179"/>
    <mergeCell ref="M179:P179"/>
    <mergeCell ref="Q179:T179"/>
    <mergeCell ref="U179:X179"/>
    <mergeCell ref="C213:Z213"/>
    <mergeCell ref="C214:Z214"/>
    <mergeCell ref="U176:X176"/>
    <mergeCell ref="Q176:T176"/>
    <mergeCell ref="M176:P176"/>
    <mergeCell ref="I176:L176"/>
    <mergeCell ref="U175:X175"/>
    <mergeCell ref="Q175:T175"/>
    <mergeCell ref="M175:P175"/>
    <mergeCell ref="I175:L175"/>
    <mergeCell ref="E175:H176"/>
    <mergeCell ref="E177:H178"/>
    <mergeCell ref="E179:H180"/>
    <mergeCell ref="E181:H182"/>
    <mergeCell ref="I180:L180"/>
    <mergeCell ref="M180:P180"/>
    <mergeCell ref="Q180:T180"/>
    <mergeCell ref="U180:X180"/>
    <mergeCell ref="I181:L181"/>
    <mergeCell ref="M181:P181"/>
    <mergeCell ref="Q181:T181"/>
    <mergeCell ref="U181:X181"/>
    <mergeCell ref="I182:L182"/>
    <mergeCell ref="M182:P182"/>
  </mergeCells>
  <printOptions horizontalCentered="1"/>
  <pageMargins left="0" right="0" top="0.2" bottom="0" header="0.2" footer="0.55000000000000004"/>
  <pageSetup paperSize="10000" scale="93" orientation="portrait" r:id="rId1"/>
  <headerFooter alignWithMargins="0">
    <oddFooter>&amp;R&amp;"Arial Narrow,Regular"&amp;10Page &amp;P of &amp;N
7F-08-01 Rev. 01
&amp;9Effectivity Date: August 01, 2019</oddFooter>
  </headerFooter>
  <rowBreaks count="2" manualBreakCount="2">
    <brk id="63" min="1" max="26" man="1"/>
    <brk id="115" min="1" max="26"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DE187"/>
  <sheetViews>
    <sheetView tabSelected="1" topLeftCell="A72" zoomScale="130" zoomScaleNormal="130" zoomScaleSheetLayoutView="100" workbookViewId="0">
      <selection activeCell="X79" sqref="X79:AB79"/>
    </sheetView>
  </sheetViews>
  <sheetFormatPr defaultColWidth="9.140625" defaultRowHeight="0" customHeight="1" zeroHeight="1"/>
  <cols>
    <col min="1" max="1" width="10.140625" style="123" customWidth="1"/>
    <col min="2" max="52" width="2" style="127" customWidth="1"/>
    <col min="53" max="74" width="2" style="123" customWidth="1"/>
    <col min="75" max="75" width="2" style="127" customWidth="1"/>
    <col min="76" max="80" width="10.7109375" style="127" customWidth="1"/>
    <col min="81" max="81" width="2" style="127" customWidth="1"/>
    <col min="82" max="86" width="10.7109375" style="127" customWidth="1"/>
    <col min="87" max="87" width="2" style="127" customWidth="1"/>
    <col min="88" max="92" width="10.7109375" style="127" customWidth="1"/>
    <col min="93" max="93" width="2" style="127" customWidth="1"/>
    <col min="94" max="98" width="10.7109375" style="127" customWidth="1"/>
    <col min="99" max="99" width="2" style="127" customWidth="1"/>
    <col min="100" max="102" width="20.7109375" style="127" customWidth="1"/>
    <col min="103" max="103" width="15.7109375" style="127" customWidth="1"/>
    <col min="104" max="104" width="5.7109375" style="127" customWidth="1"/>
    <col min="105" max="105" width="2" style="127" customWidth="1"/>
    <col min="106" max="109" width="10.7109375" style="127" customWidth="1"/>
    <col min="110" max="16384" width="9.140625" style="127"/>
  </cols>
  <sheetData>
    <row r="2" spans="1:74" ht="15">
      <c r="B2" s="124"/>
      <c r="C2" s="125"/>
      <c r="D2" s="125"/>
      <c r="E2" s="125"/>
      <c r="F2" s="125"/>
      <c r="G2" s="125"/>
      <c r="H2" s="125"/>
      <c r="I2" s="125"/>
      <c r="J2" s="125"/>
      <c r="K2" s="125"/>
      <c r="L2" s="125"/>
      <c r="M2" s="125"/>
      <c r="N2" s="125"/>
      <c r="O2" s="125"/>
      <c r="P2" s="125"/>
      <c r="Q2" s="125"/>
      <c r="R2" s="125"/>
      <c r="S2" s="125"/>
      <c r="T2" s="125"/>
      <c r="U2" s="125"/>
      <c r="V2" s="125"/>
      <c r="W2" s="125"/>
      <c r="X2" s="125"/>
      <c r="Y2" s="125"/>
      <c r="Z2" s="125"/>
      <c r="AA2" s="125"/>
      <c r="AB2" s="125"/>
      <c r="AC2" s="125"/>
      <c r="AD2" s="125"/>
      <c r="AE2" s="125"/>
      <c r="AF2" s="125"/>
      <c r="AG2" s="125"/>
      <c r="AH2" s="125"/>
      <c r="AI2" s="125"/>
      <c r="AJ2" s="125"/>
      <c r="AK2" s="125"/>
      <c r="AL2" s="125"/>
      <c r="AM2" s="125"/>
      <c r="AN2" s="125"/>
      <c r="AO2" s="125"/>
      <c r="AP2" s="125"/>
      <c r="AQ2" s="125"/>
      <c r="AR2" s="125"/>
      <c r="AS2" s="125"/>
      <c r="AT2" s="125"/>
      <c r="AU2" s="125"/>
      <c r="AV2" s="125"/>
      <c r="AW2" s="125"/>
      <c r="AX2" s="125"/>
      <c r="AY2" s="125"/>
      <c r="AZ2" s="126"/>
    </row>
    <row r="3" spans="1:74" ht="15">
      <c r="B3" s="128"/>
      <c r="C3" s="129"/>
      <c r="D3" s="129"/>
      <c r="E3" s="129"/>
      <c r="F3" s="129"/>
      <c r="G3" s="129"/>
      <c r="H3" s="129"/>
      <c r="I3" s="129"/>
      <c r="J3" s="129"/>
      <c r="K3" s="129"/>
      <c r="L3" s="129"/>
      <c r="M3" s="129"/>
      <c r="N3" s="129"/>
      <c r="O3" s="129"/>
      <c r="P3" s="129"/>
      <c r="Q3" s="129"/>
      <c r="R3" s="129"/>
      <c r="S3" s="129"/>
      <c r="T3" s="129"/>
      <c r="U3" s="129"/>
      <c r="V3" s="129"/>
      <c r="W3" s="129"/>
      <c r="X3" s="129"/>
      <c r="Y3" s="129"/>
      <c r="Z3" s="129"/>
      <c r="AA3" s="129"/>
      <c r="AB3" s="129"/>
      <c r="AC3" s="129"/>
      <c r="AD3" s="129"/>
      <c r="AE3" s="129"/>
      <c r="AF3" s="129"/>
      <c r="AG3" s="129"/>
      <c r="AH3" s="129"/>
      <c r="AI3" s="129"/>
      <c r="AJ3" s="129"/>
      <c r="AK3" s="129"/>
      <c r="AL3" s="129"/>
      <c r="AM3" s="129"/>
      <c r="AN3" s="129"/>
      <c r="AO3" s="129"/>
      <c r="AP3" s="129"/>
      <c r="AQ3" s="129"/>
      <c r="AR3" s="129"/>
      <c r="AS3" s="129"/>
      <c r="AT3" s="129"/>
      <c r="AU3" s="129"/>
      <c r="AV3" s="129"/>
      <c r="AW3" s="129"/>
      <c r="AX3" s="129"/>
      <c r="AY3" s="129"/>
      <c r="AZ3" s="130"/>
    </row>
    <row r="4" spans="1:74" ht="15">
      <c r="B4" s="128"/>
      <c r="C4" s="129"/>
      <c r="D4" s="129"/>
      <c r="E4" s="129"/>
      <c r="F4" s="129"/>
      <c r="G4" s="129"/>
      <c r="H4" s="129"/>
      <c r="I4" s="129"/>
      <c r="J4" s="129"/>
      <c r="K4" s="129"/>
      <c r="L4" s="129"/>
      <c r="M4" s="129"/>
      <c r="N4" s="129"/>
      <c r="O4" s="129"/>
      <c r="P4" s="129"/>
      <c r="Q4" s="129"/>
      <c r="R4" s="129"/>
      <c r="S4" s="129"/>
      <c r="T4" s="129"/>
      <c r="U4" s="129"/>
      <c r="V4" s="129"/>
      <c r="W4" s="129"/>
      <c r="X4" s="129"/>
      <c r="Y4" s="129"/>
      <c r="Z4" s="131"/>
      <c r="AA4" s="131"/>
      <c r="AB4" s="131"/>
      <c r="AC4" s="131"/>
      <c r="AD4" s="131"/>
      <c r="AE4" s="131"/>
      <c r="AF4" s="131"/>
      <c r="AG4" s="129"/>
      <c r="AH4" s="129"/>
      <c r="AI4" s="129"/>
      <c r="AJ4" s="129"/>
      <c r="AK4" s="129"/>
      <c r="AL4" s="129"/>
      <c r="AM4" s="129"/>
      <c r="AN4" s="129"/>
      <c r="AO4" s="129"/>
      <c r="AP4" s="129"/>
      <c r="AQ4" s="129"/>
      <c r="AR4" s="129"/>
      <c r="AS4" s="129"/>
      <c r="AT4" s="129"/>
      <c r="AU4" s="129"/>
      <c r="AV4" s="129"/>
      <c r="AW4" s="129"/>
      <c r="AX4" s="129"/>
      <c r="AY4" s="129"/>
      <c r="AZ4" s="130"/>
    </row>
    <row r="5" spans="1:74" ht="18.75">
      <c r="B5" s="132" t="s">
        <v>30</v>
      </c>
      <c r="C5" s="129"/>
      <c r="D5" s="129"/>
      <c r="E5" s="129"/>
      <c r="F5" s="129"/>
      <c r="G5" s="129"/>
      <c r="H5" s="129"/>
      <c r="I5" s="129"/>
      <c r="J5" s="129"/>
      <c r="K5" s="129"/>
      <c r="L5" s="129"/>
      <c r="M5" s="129"/>
      <c r="N5" s="129"/>
      <c r="O5" s="129"/>
      <c r="P5" s="129"/>
      <c r="Q5" s="129"/>
      <c r="R5" s="129"/>
      <c r="S5" s="129"/>
      <c r="T5" s="129"/>
      <c r="U5" s="129"/>
      <c r="V5" s="129"/>
      <c r="W5" s="129"/>
      <c r="X5" s="129"/>
      <c r="Y5" s="129"/>
      <c r="Z5" s="129"/>
      <c r="AA5" s="129"/>
      <c r="AB5" s="129"/>
      <c r="AC5" s="129"/>
      <c r="AD5" s="129"/>
      <c r="AE5" s="129"/>
      <c r="AF5" s="129"/>
      <c r="AG5" s="129"/>
      <c r="AH5" s="129"/>
      <c r="AI5" s="129"/>
      <c r="AJ5" s="129"/>
      <c r="AK5" s="129"/>
      <c r="AL5" s="129"/>
      <c r="AM5" s="129"/>
      <c r="AN5" s="129"/>
      <c r="AO5" s="129"/>
      <c r="AP5" s="129"/>
      <c r="AQ5" s="129"/>
      <c r="AR5" s="129"/>
      <c r="AS5" s="129"/>
      <c r="AT5" s="129"/>
      <c r="AU5" s="129"/>
      <c r="AV5" s="129"/>
      <c r="AW5" s="129"/>
      <c r="AX5" s="129"/>
      <c r="AY5" s="129"/>
      <c r="AZ5" s="130"/>
    </row>
    <row r="6" spans="1:74" ht="6" customHeight="1">
      <c r="B6" s="133"/>
      <c r="C6" s="134"/>
      <c r="D6" s="134"/>
      <c r="E6" s="134"/>
      <c r="F6" s="134" t="s">
        <v>113</v>
      </c>
      <c r="G6" s="134"/>
      <c r="H6" s="134"/>
      <c r="I6" s="134"/>
      <c r="J6" s="134"/>
      <c r="K6" s="134"/>
      <c r="L6" s="134"/>
      <c r="M6" s="134"/>
      <c r="N6" s="134"/>
      <c r="O6" s="134"/>
      <c r="P6" s="134"/>
      <c r="Q6" s="134"/>
      <c r="R6" s="134"/>
      <c r="S6" s="134"/>
      <c r="T6" s="134"/>
      <c r="U6" s="134"/>
      <c r="V6" s="134"/>
      <c r="W6" s="134"/>
      <c r="X6" s="134"/>
      <c r="Y6" s="134"/>
      <c r="Z6" s="134"/>
      <c r="AA6" s="134"/>
      <c r="AB6" s="134"/>
      <c r="AC6" s="134"/>
      <c r="AD6" s="134"/>
      <c r="AE6" s="134"/>
      <c r="AF6" s="134"/>
      <c r="AG6" s="134"/>
      <c r="AH6" s="134"/>
      <c r="AI6" s="134"/>
      <c r="AJ6" s="134"/>
      <c r="AK6" s="134"/>
      <c r="AL6" s="134"/>
      <c r="AM6" s="134"/>
      <c r="AN6" s="134"/>
      <c r="AO6" s="134"/>
      <c r="AP6" s="134"/>
      <c r="AQ6" s="134"/>
      <c r="AR6" s="134"/>
      <c r="AS6" s="134"/>
      <c r="AT6" s="134"/>
      <c r="AU6" s="134"/>
      <c r="AV6" s="134"/>
      <c r="AW6" s="134"/>
      <c r="AX6" s="134"/>
      <c r="AY6" s="134"/>
      <c r="AZ6" s="135"/>
    </row>
    <row r="7" spans="1:74" s="143" customFormat="1" ht="17.25" customHeight="1" thickBot="1">
      <c r="A7" s="136"/>
      <c r="B7" s="137"/>
      <c r="C7" s="138"/>
      <c r="D7" s="138"/>
      <c r="E7" s="138"/>
      <c r="F7" s="139" t="s">
        <v>11</v>
      </c>
      <c r="G7" s="139"/>
      <c r="H7" s="139"/>
      <c r="I7" s="139"/>
      <c r="J7" s="139"/>
      <c r="K7" s="139"/>
      <c r="L7" s="372" t="s">
        <v>160</v>
      </c>
      <c r="M7" s="372"/>
      <c r="N7" s="372"/>
      <c r="O7" s="140"/>
      <c r="P7" s="140"/>
      <c r="Q7" s="138"/>
      <c r="R7" s="138"/>
      <c r="S7" s="138"/>
      <c r="T7" s="138"/>
      <c r="U7" s="138"/>
      <c r="V7" s="138"/>
      <c r="W7" s="138"/>
      <c r="X7" s="138"/>
      <c r="Y7" s="138"/>
      <c r="Z7" s="138"/>
      <c r="AA7" s="138"/>
      <c r="AB7" s="138"/>
      <c r="AC7" s="138"/>
      <c r="AD7" s="138"/>
      <c r="AE7" s="138"/>
      <c r="AF7" s="138"/>
      <c r="AG7" s="138"/>
      <c r="AH7" s="138"/>
      <c r="AI7" s="139" t="s">
        <v>31</v>
      </c>
      <c r="AJ7" s="139"/>
      <c r="AK7" s="139"/>
      <c r="AL7" s="139"/>
      <c r="AM7" s="139"/>
      <c r="AN7" s="373" t="s">
        <v>161</v>
      </c>
      <c r="AO7" s="373"/>
      <c r="AP7" s="373"/>
      <c r="AQ7" s="140"/>
      <c r="AR7" s="138"/>
      <c r="AS7" s="138"/>
      <c r="AT7" s="138"/>
      <c r="AU7" s="138"/>
      <c r="AV7" s="138"/>
      <c r="AW7" s="138"/>
      <c r="AX7" s="138"/>
      <c r="AY7" s="138"/>
      <c r="AZ7" s="141"/>
      <c r="BA7" s="142"/>
      <c r="BB7" s="142"/>
      <c r="BC7" s="142"/>
      <c r="BD7" s="142"/>
      <c r="BE7" s="142"/>
      <c r="BF7" s="142"/>
      <c r="BG7" s="136"/>
      <c r="BH7" s="136"/>
      <c r="BI7" s="136"/>
      <c r="BJ7" s="136"/>
      <c r="BK7" s="136"/>
      <c r="BL7" s="136"/>
      <c r="BM7" s="136"/>
      <c r="BN7" s="136"/>
      <c r="BO7" s="136"/>
      <c r="BP7" s="136"/>
      <c r="BQ7" s="136"/>
      <c r="BR7" s="136"/>
      <c r="BS7" s="136"/>
      <c r="BT7" s="136"/>
      <c r="BU7" s="136"/>
      <c r="BV7" s="136"/>
    </row>
    <row r="8" spans="1:74" s="143" customFormat="1" ht="15" customHeight="1" thickBot="1">
      <c r="A8" s="136"/>
      <c r="B8" s="329" t="s">
        <v>32</v>
      </c>
      <c r="C8" s="330"/>
      <c r="D8" s="330"/>
      <c r="E8" s="330"/>
      <c r="F8" s="330"/>
      <c r="G8" s="330"/>
      <c r="H8" s="330"/>
      <c r="I8" s="330"/>
      <c r="J8" s="330"/>
      <c r="K8" s="330"/>
      <c r="L8" s="330"/>
      <c r="M8" s="330"/>
      <c r="N8" s="330"/>
      <c r="O8" s="330"/>
      <c r="P8" s="330"/>
      <c r="Q8" s="330"/>
      <c r="R8" s="330"/>
      <c r="S8" s="330"/>
      <c r="T8" s="330"/>
      <c r="U8" s="330"/>
      <c r="V8" s="330"/>
      <c r="W8" s="330"/>
      <c r="X8" s="330"/>
      <c r="Y8" s="330"/>
      <c r="Z8" s="330"/>
      <c r="AA8" s="330"/>
      <c r="AB8" s="330"/>
      <c r="AC8" s="330"/>
      <c r="AD8" s="330"/>
      <c r="AE8" s="330"/>
      <c r="AF8" s="330"/>
      <c r="AG8" s="330"/>
      <c r="AH8" s="330"/>
      <c r="AI8" s="330"/>
      <c r="AJ8" s="330"/>
      <c r="AK8" s="330"/>
      <c r="AL8" s="330"/>
      <c r="AM8" s="330"/>
      <c r="AN8" s="330"/>
      <c r="AO8" s="330"/>
      <c r="AP8" s="330"/>
      <c r="AQ8" s="330"/>
      <c r="AR8" s="330"/>
      <c r="AS8" s="330"/>
      <c r="AT8" s="330"/>
      <c r="AU8" s="330"/>
      <c r="AV8" s="330"/>
      <c r="AW8" s="330"/>
      <c r="AX8" s="330"/>
      <c r="AY8" s="330"/>
      <c r="AZ8" s="331"/>
      <c r="BA8" s="136"/>
      <c r="BB8" s="136"/>
      <c r="BC8" s="136"/>
      <c r="BD8" s="136"/>
      <c r="BE8" s="136"/>
      <c r="BF8" s="136"/>
      <c r="BG8" s="136"/>
      <c r="BH8" s="136"/>
      <c r="BI8" s="136"/>
      <c r="BJ8" s="136"/>
      <c r="BK8" s="136"/>
      <c r="BL8" s="136"/>
      <c r="BM8" s="136"/>
      <c r="BN8" s="136"/>
      <c r="BO8" s="136"/>
      <c r="BP8" s="136"/>
      <c r="BQ8" s="136"/>
      <c r="BR8" s="136"/>
      <c r="BS8" s="136"/>
      <c r="BT8" s="136"/>
      <c r="BU8" s="136"/>
      <c r="BV8" s="136"/>
    </row>
    <row r="9" spans="1:74" s="143" customFormat="1" ht="8.1" customHeight="1">
      <c r="A9" s="136"/>
      <c r="B9" s="378" t="s">
        <v>18</v>
      </c>
      <c r="C9" s="379"/>
      <c r="D9" s="379"/>
      <c r="E9" s="379"/>
      <c r="F9" s="379"/>
      <c r="G9" s="379"/>
      <c r="H9" s="379"/>
      <c r="I9" s="379"/>
      <c r="J9" s="389" t="s">
        <v>33</v>
      </c>
      <c r="K9" s="380" t="s">
        <v>162</v>
      </c>
      <c r="L9" s="380"/>
      <c r="M9" s="380"/>
      <c r="N9" s="380"/>
      <c r="O9" s="380"/>
      <c r="P9" s="380"/>
      <c r="Q9" s="380"/>
      <c r="R9" s="380"/>
      <c r="S9" s="380"/>
      <c r="T9" s="380"/>
      <c r="U9" s="380"/>
      <c r="V9" s="380"/>
      <c r="W9" s="380"/>
      <c r="X9" s="380"/>
      <c r="Y9" s="380"/>
      <c r="Z9" s="380"/>
      <c r="AA9" s="380"/>
      <c r="AB9" s="379" t="s">
        <v>34</v>
      </c>
      <c r="AC9" s="379"/>
      <c r="AD9" s="379"/>
      <c r="AE9" s="379"/>
      <c r="AF9" s="379"/>
      <c r="AG9" s="379"/>
      <c r="AH9" s="379"/>
      <c r="AI9" s="379"/>
      <c r="AJ9" s="379"/>
      <c r="AK9" s="389" t="s">
        <v>33</v>
      </c>
      <c r="AL9" s="382">
        <v>45786</v>
      </c>
      <c r="AM9" s="382"/>
      <c r="AN9" s="382"/>
      <c r="AO9" s="382"/>
      <c r="AP9" s="382"/>
      <c r="AQ9" s="382"/>
      <c r="AR9" s="382"/>
      <c r="AS9" s="382"/>
      <c r="AT9" s="382"/>
      <c r="AU9" s="382"/>
      <c r="AV9" s="382"/>
      <c r="AW9" s="382"/>
      <c r="AX9" s="382"/>
      <c r="AY9" s="382"/>
      <c r="AZ9" s="383"/>
      <c r="BA9" s="136"/>
      <c r="BB9" s="136"/>
      <c r="BC9" s="136"/>
      <c r="BD9" s="136"/>
      <c r="BE9" s="136"/>
      <c r="BF9" s="136"/>
      <c r="BG9" s="136"/>
      <c r="BH9" s="136"/>
      <c r="BI9" s="136"/>
      <c r="BJ9" s="136"/>
      <c r="BK9" s="136"/>
      <c r="BL9" s="136"/>
      <c r="BM9" s="136"/>
      <c r="BN9" s="136"/>
      <c r="BO9" s="136"/>
      <c r="BP9" s="136"/>
      <c r="BQ9" s="136"/>
      <c r="BR9" s="136"/>
      <c r="BS9" s="136"/>
      <c r="BT9" s="136"/>
      <c r="BU9" s="136"/>
      <c r="BV9" s="136"/>
    </row>
    <row r="10" spans="1:74" s="143" customFormat="1" ht="8.1" customHeight="1">
      <c r="A10" s="136"/>
      <c r="B10" s="378"/>
      <c r="C10" s="379"/>
      <c r="D10" s="379"/>
      <c r="E10" s="379"/>
      <c r="F10" s="379"/>
      <c r="G10" s="379"/>
      <c r="H10" s="379"/>
      <c r="I10" s="379"/>
      <c r="J10" s="389"/>
      <c r="K10" s="381"/>
      <c r="L10" s="381"/>
      <c r="M10" s="381"/>
      <c r="N10" s="381"/>
      <c r="O10" s="381"/>
      <c r="P10" s="381"/>
      <c r="Q10" s="381"/>
      <c r="R10" s="381"/>
      <c r="S10" s="381"/>
      <c r="T10" s="381"/>
      <c r="U10" s="381"/>
      <c r="V10" s="381"/>
      <c r="W10" s="381"/>
      <c r="X10" s="381"/>
      <c r="Y10" s="381"/>
      <c r="Z10" s="381"/>
      <c r="AA10" s="381"/>
      <c r="AB10" s="379"/>
      <c r="AC10" s="379"/>
      <c r="AD10" s="379"/>
      <c r="AE10" s="379"/>
      <c r="AF10" s="379"/>
      <c r="AG10" s="379"/>
      <c r="AH10" s="379"/>
      <c r="AI10" s="379"/>
      <c r="AJ10" s="379"/>
      <c r="AK10" s="389"/>
      <c r="AL10" s="384"/>
      <c r="AM10" s="384"/>
      <c r="AN10" s="384"/>
      <c r="AO10" s="384"/>
      <c r="AP10" s="384"/>
      <c r="AQ10" s="384"/>
      <c r="AR10" s="384"/>
      <c r="AS10" s="384"/>
      <c r="AT10" s="384"/>
      <c r="AU10" s="384"/>
      <c r="AV10" s="384"/>
      <c r="AW10" s="384"/>
      <c r="AX10" s="384"/>
      <c r="AY10" s="384"/>
      <c r="AZ10" s="385"/>
      <c r="BA10" s="136"/>
      <c r="BB10" s="136"/>
      <c r="BC10" s="136"/>
      <c r="BD10" s="136"/>
      <c r="BE10" s="136"/>
      <c r="BF10" s="136"/>
      <c r="BG10" s="136"/>
      <c r="BH10" s="136"/>
      <c r="BI10" s="136"/>
      <c r="BJ10" s="136"/>
      <c r="BK10" s="136"/>
      <c r="BL10" s="136"/>
      <c r="BM10" s="136"/>
      <c r="BN10" s="136"/>
      <c r="BO10" s="136"/>
      <c r="BP10" s="136"/>
      <c r="BQ10" s="136"/>
      <c r="BR10" s="136"/>
      <c r="BS10" s="136"/>
      <c r="BT10" s="136"/>
      <c r="BU10" s="136"/>
      <c r="BV10" s="136"/>
    </row>
    <row r="11" spans="1:74" s="143" customFormat="1" ht="8.1" customHeight="1">
      <c r="A11" s="136"/>
      <c r="B11" s="378" t="s">
        <v>35</v>
      </c>
      <c r="C11" s="379"/>
      <c r="D11" s="379"/>
      <c r="E11" s="379"/>
      <c r="F11" s="379"/>
      <c r="G11" s="379"/>
      <c r="H11" s="379"/>
      <c r="I11" s="379"/>
      <c r="J11" s="389" t="s">
        <v>33</v>
      </c>
      <c r="K11" s="386" t="s">
        <v>162</v>
      </c>
      <c r="L11" s="386"/>
      <c r="M11" s="386"/>
      <c r="N11" s="386"/>
      <c r="O11" s="386"/>
      <c r="P11" s="386"/>
      <c r="Q11" s="386"/>
      <c r="R11" s="386"/>
      <c r="S11" s="386"/>
      <c r="T11" s="386"/>
      <c r="U11" s="386"/>
      <c r="V11" s="386"/>
      <c r="W11" s="386"/>
      <c r="X11" s="386"/>
      <c r="Y11" s="386"/>
      <c r="Z11" s="386"/>
      <c r="AA11" s="386"/>
      <c r="AB11" s="379" t="s">
        <v>36</v>
      </c>
      <c r="AC11" s="379"/>
      <c r="AD11" s="379"/>
      <c r="AE11" s="379"/>
      <c r="AF11" s="379"/>
      <c r="AG11" s="379"/>
      <c r="AH11" s="379"/>
      <c r="AI11" s="379"/>
      <c r="AJ11" s="379"/>
      <c r="AK11" s="389" t="s">
        <v>33</v>
      </c>
      <c r="AL11" s="401">
        <v>45786</v>
      </c>
      <c r="AM11" s="401"/>
      <c r="AN11" s="401"/>
      <c r="AO11" s="401"/>
      <c r="AP11" s="401"/>
      <c r="AQ11" s="401"/>
      <c r="AR11" s="401"/>
      <c r="AS11" s="401"/>
      <c r="AT11" s="401"/>
      <c r="AU11" s="401"/>
      <c r="AV11" s="401"/>
      <c r="AW11" s="401"/>
      <c r="AX11" s="401"/>
      <c r="AY11" s="401"/>
      <c r="AZ11" s="402"/>
      <c r="BA11" s="136"/>
      <c r="BB11" s="136"/>
      <c r="BC11" s="136"/>
      <c r="BD11" s="136"/>
      <c r="BE11" s="136"/>
      <c r="BF11" s="136"/>
      <c r="BG11" s="136"/>
      <c r="BH11" s="136"/>
      <c r="BI11" s="136"/>
      <c r="BJ11" s="136"/>
      <c r="BK11" s="136"/>
      <c r="BL11" s="136"/>
      <c r="BM11" s="136"/>
      <c r="BN11" s="136"/>
      <c r="BO11" s="136"/>
      <c r="BP11" s="136"/>
      <c r="BQ11" s="136"/>
      <c r="BR11" s="136"/>
      <c r="BS11" s="136"/>
      <c r="BT11" s="136"/>
      <c r="BU11" s="136"/>
      <c r="BV11" s="136"/>
    </row>
    <row r="12" spans="1:74" s="143" customFormat="1" ht="8.1" customHeight="1">
      <c r="A12" s="136"/>
      <c r="B12" s="378"/>
      <c r="C12" s="379"/>
      <c r="D12" s="379"/>
      <c r="E12" s="379"/>
      <c r="F12" s="379"/>
      <c r="G12" s="379"/>
      <c r="H12" s="379"/>
      <c r="I12" s="379"/>
      <c r="J12" s="389"/>
      <c r="K12" s="377"/>
      <c r="L12" s="377"/>
      <c r="M12" s="377"/>
      <c r="N12" s="377"/>
      <c r="O12" s="377"/>
      <c r="P12" s="377"/>
      <c r="Q12" s="377"/>
      <c r="R12" s="377"/>
      <c r="S12" s="377"/>
      <c r="T12" s="377"/>
      <c r="U12" s="377"/>
      <c r="V12" s="377"/>
      <c r="W12" s="377"/>
      <c r="X12" s="377"/>
      <c r="Y12" s="377"/>
      <c r="Z12" s="377"/>
      <c r="AA12" s="377"/>
      <c r="AB12" s="379"/>
      <c r="AC12" s="379"/>
      <c r="AD12" s="379"/>
      <c r="AE12" s="379"/>
      <c r="AF12" s="379"/>
      <c r="AG12" s="379"/>
      <c r="AH12" s="379"/>
      <c r="AI12" s="379"/>
      <c r="AJ12" s="379"/>
      <c r="AK12" s="389"/>
      <c r="AL12" s="384"/>
      <c r="AM12" s="384"/>
      <c r="AN12" s="384"/>
      <c r="AO12" s="384"/>
      <c r="AP12" s="384"/>
      <c r="AQ12" s="384"/>
      <c r="AR12" s="384"/>
      <c r="AS12" s="384"/>
      <c r="AT12" s="384"/>
      <c r="AU12" s="384"/>
      <c r="AV12" s="384"/>
      <c r="AW12" s="384"/>
      <c r="AX12" s="384"/>
      <c r="AY12" s="384"/>
      <c r="AZ12" s="385"/>
      <c r="BA12" s="136"/>
      <c r="BB12" s="136"/>
      <c r="BC12" s="136"/>
      <c r="BD12" s="136"/>
      <c r="BE12" s="136"/>
      <c r="BF12" s="136"/>
      <c r="BG12" s="136"/>
      <c r="BH12" s="136"/>
      <c r="BI12" s="136"/>
      <c r="BJ12" s="136"/>
      <c r="BK12" s="136"/>
      <c r="BL12" s="136"/>
      <c r="BM12" s="136"/>
      <c r="BN12" s="136"/>
      <c r="BO12" s="136"/>
      <c r="BP12" s="136"/>
      <c r="BQ12" s="136"/>
      <c r="BR12" s="136"/>
      <c r="BS12" s="136"/>
      <c r="BT12" s="136"/>
      <c r="BU12" s="136"/>
      <c r="BV12" s="136"/>
    </row>
    <row r="13" spans="1:74" s="143" customFormat="1" ht="8.1" customHeight="1">
      <c r="A13" s="136"/>
      <c r="B13" s="378" t="s">
        <v>37</v>
      </c>
      <c r="C13" s="379"/>
      <c r="D13" s="379"/>
      <c r="E13" s="379"/>
      <c r="F13" s="379"/>
      <c r="G13" s="379"/>
      <c r="H13" s="379"/>
      <c r="I13" s="379"/>
      <c r="J13" s="389" t="s">
        <v>33</v>
      </c>
      <c r="K13" s="386" t="s">
        <v>162</v>
      </c>
      <c r="L13" s="386"/>
      <c r="M13" s="386"/>
      <c r="N13" s="386"/>
      <c r="O13" s="386"/>
      <c r="P13" s="386"/>
      <c r="Q13" s="386"/>
      <c r="R13" s="386"/>
      <c r="S13" s="386"/>
      <c r="T13" s="386"/>
      <c r="U13" s="386"/>
      <c r="V13" s="386"/>
      <c r="W13" s="386"/>
      <c r="X13" s="386"/>
      <c r="Y13" s="386"/>
      <c r="Z13" s="386"/>
      <c r="AA13" s="386"/>
      <c r="AB13" s="379" t="s">
        <v>38</v>
      </c>
      <c r="AC13" s="379"/>
      <c r="AD13" s="379"/>
      <c r="AE13" s="379"/>
      <c r="AF13" s="379"/>
      <c r="AG13" s="379"/>
      <c r="AH13" s="379"/>
      <c r="AI13" s="379"/>
      <c r="AJ13" s="379"/>
      <c r="AK13" s="389" t="s">
        <v>33</v>
      </c>
      <c r="AL13" s="386" t="s">
        <v>163</v>
      </c>
      <c r="AM13" s="386"/>
      <c r="AN13" s="386"/>
      <c r="AO13" s="386"/>
      <c r="AP13" s="386"/>
      <c r="AQ13" s="386"/>
      <c r="AR13" s="386"/>
      <c r="AS13" s="386"/>
      <c r="AT13" s="386"/>
      <c r="AU13" s="386"/>
      <c r="AV13" s="386"/>
      <c r="AW13" s="386"/>
      <c r="AX13" s="386"/>
      <c r="AY13" s="386"/>
      <c r="AZ13" s="387"/>
      <c r="BA13" s="136"/>
      <c r="BB13" s="136"/>
      <c r="BC13" s="136"/>
      <c r="BD13" s="136"/>
      <c r="BE13" s="136"/>
      <c r="BF13" s="136"/>
      <c r="BG13" s="136"/>
      <c r="BH13" s="136"/>
      <c r="BI13" s="136"/>
      <c r="BJ13" s="136"/>
      <c r="BK13" s="136"/>
      <c r="BL13" s="136"/>
      <c r="BM13" s="136"/>
      <c r="BN13" s="136"/>
      <c r="BO13" s="136"/>
      <c r="BP13" s="136"/>
      <c r="BQ13" s="136"/>
      <c r="BR13" s="136"/>
      <c r="BS13" s="136"/>
      <c r="BT13" s="136"/>
      <c r="BU13" s="136"/>
      <c r="BV13" s="136"/>
    </row>
    <row r="14" spans="1:74" s="143" customFormat="1" ht="8.1" customHeight="1">
      <c r="A14" s="136"/>
      <c r="B14" s="378"/>
      <c r="C14" s="379"/>
      <c r="D14" s="379"/>
      <c r="E14" s="379"/>
      <c r="F14" s="379"/>
      <c r="G14" s="379"/>
      <c r="H14" s="379"/>
      <c r="I14" s="379"/>
      <c r="J14" s="389"/>
      <c r="K14" s="377"/>
      <c r="L14" s="377"/>
      <c r="M14" s="377"/>
      <c r="N14" s="377"/>
      <c r="O14" s="377"/>
      <c r="P14" s="377"/>
      <c r="Q14" s="377"/>
      <c r="R14" s="377"/>
      <c r="S14" s="377"/>
      <c r="T14" s="377"/>
      <c r="U14" s="377"/>
      <c r="V14" s="377"/>
      <c r="W14" s="377"/>
      <c r="X14" s="377"/>
      <c r="Y14" s="377"/>
      <c r="Z14" s="377"/>
      <c r="AA14" s="377"/>
      <c r="AB14" s="379"/>
      <c r="AC14" s="379"/>
      <c r="AD14" s="379"/>
      <c r="AE14" s="379"/>
      <c r="AF14" s="379"/>
      <c r="AG14" s="379"/>
      <c r="AH14" s="379"/>
      <c r="AI14" s="379"/>
      <c r="AJ14" s="379"/>
      <c r="AK14" s="389"/>
      <c r="AL14" s="377"/>
      <c r="AM14" s="377"/>
      <c r="AN14" s="377"/>
      <c r="AO14" s="377"/>
      <c r="AP14" s="377"/>
      <c r="AQ14" s="377"/>
      <c r="AR14" s="377"/>
      <c r="AS14" s="377"/>
      <c r="AT14" s="377"/>
      <c r="AU14" s="377"/>
      <c r="AV14" s="377"/>
      <c r="AW14" s="377"/>
      <c r="AX14" s="377"/>
      <c r="AY14" s="377"/>
      <c r="AZ14" s="388"/>
      <c r="BA14" s="136"/>
      <c r="BB14" s="136"/>
      <c r="BC14" s="136"/>
      <c r="BD14" s="136"/>
      <c r="BE14" s="136"/>
      <c r="BF14" s="136"/>
      <c r="BG14" s="136"/>
      <c r="BH14" s="136"/>
      <c r="BI14" s="136"/>
      <c r="BJ14" s="136"/>
      <c r="BK14" s="136"/>
      <c r="BL14" s="136"/>
      <c r="BM14" s="136"/>
      <c r="BN14" s="136"/>
      <c r="BO14" s="136"/>
      <c r="BP14" s="136"/>
      <c r="BQ14" s="136"/>
      <c r="BR14" s="136"/>
      <c r="BS14" s="136"/>
      <c r="BT14" s="136"/>
      <c r="BU14" s="136"/>
      <c r="BV14" s="136"/>
    </row>
    <row r="15" spans="1:74" s="143" customFormat="1" ht="8.1" customHeight="1">
      <c r="A15" s="136"/>
      <c r="B15" s="378" t="s">
        <v>39</v>
      </c>
      <c r="C15" s="379"/>
      <c r="D15" s="379"/>
      <c r="E15" s="379"/>
      <c r="F15" s="379"/>
      <c r="G15" s="379"/>
      <c r="H15" s="379"/>
      <c r="I15" s="379"/>
      <c r="J15" s="389" t="s">
        <v>33</v>
      </c>
      <c r="K15" s="395" t="s">
        <v>163</v>
      </c>
      <c r="L15" s="386"/>
      <c r="M15" s="386"/>
      <c r="N15" s="386"/>
      <c r="O15" s="386"/>
      <c r="P15" s="386"/>
      <c r="Q15" s="386"/>
      <c r="R15" s="386"/>
      <c r="S15" s="386"/>
      <c r="T15" s="386"/>
      <c r="U15" s="386"/>
      <c r="V15" s="386"/>
      <c r="W15" s="386"/>
      <c r="X15" s="386"/>
      <c r="Y15" s="386"/>
      <c r="Z15" s="386"/>
      <c r="AA15" s="386"/>
      <c r="AB15" s="379" t="s">
        <v>40</v>
      </c>
      <c r="AC15" s="379"/>
      <c r="AD15" s="379"/>
      <c r="AE15" s="379"/>
      <c r="AF15" s="379"/>
      <c r="AG15" s="379"/>
      <c r="AH15" s="379"/>
      <c r="AI15" s="379"/>
      <c r="AJ15" s="379"/>
      <c r="AK15" s="389" t="s">
        <v>33</v>
      </c>
      <c r="AL15" s="386" t="s">
        <v>163</v>
      </c>
      <c r="AM15" s="386"/>
      <c r="AN15" s="386"/>
      <c r="AO15" s="386"/>
      <c r="AP15" s="386"/>
      <c r="AQ15" s="386"/>
      <c r="AR15" s="386"/>
      <c r="AS15" s="386"/>
      <c r="AT15" s="386"/>
      <c r="AU15" s="386"/>
      <c r="AV15" s="386"/>
      <c r="AW15" s="386"/>
      <c r="AX15" s="386"/>
      <c r="AY15" s="386"/>
      <c r="AZ15" s="387"/>
      <c r="BA15" s="136"/>
      <c r="BB15" s="136"/>
      <c r="BC15" s="136"/>
      <c r="BD15" s="136"/>
      <c r="BE15" s="136"/>
      <c r="BF15" s="136"/>
      <c r="BG15" s="136"/>
      <c r="BH15" s="136"/>
      <c r="BI15" s="136"/>
      <c r="BJ15" s="136"/>
      <c r="BK15" s="136"/>
      <c r="BL15" s="136"/>
      <c r="BM15" s="136"/>
      <c r="BN15" s="136"/>
      <c r="BO15" s="136"/>
      <c r="BP15" s="136"/>
      <c r="BQ15" s="136"/>
      <c r="BR15" s="136"/>
      <c r="BS15" s="136"/>
      <c r="BT15" s="136"/>
      <c r="BU15" s="136"/>
      <c r="BV15" s="136"/>
    </row>
    <row r="16" spans="1:74" s="143" customFormat="1" ht="8.1" customHeight="1">
      <c r="A16" s="136"/>
      <c r="B16" s="378"/>
      <c r="C16" s="379"/>
      <c r="D16" s="379"/>
      <c r="E16" s="379"/>
      <c r="F16" s="379"/>
      <c r="G16" s="379"/>
      <c r="H16" s="379"/>
      <c r="I16" s="379"/>
      <c r="J16" s="389"/>
      <c r="K16" s="377"/>
      <c r="L16" s="377"/>
      <c r="M16" s="377"/>
      <c r="N16" s="377"/>
      <c r="O16" s="377"/>
      <c r="P16" s="377"/>
      <c r="Q16" s="377"/>
      <c r="R16" s="377"/>
      <c r="S16" s="377"/>
      <c r="T16" s="377"/>
      <c r="U16" s="377"/>
      <c r="V16" s="377"/>
      <c r="W16" s="377"/>
      <c r="X16" s="377"/>
      <c r="Y16" s="377"/>
      <c r="Z16" s="377"/>
      <c r="AA16" s="377"/>
      <c r="AB16" s="379"/>
      <c r="AC16" s="379"/>
      <c r="AD16" s="379"/>
      <c r="AE16" s="379"/>
      <c r="AF16" s="379"/>
      <c r="AG16" s="379"/>
      <c r="AH16" s="379"/>
      <c r="AI16" s="379"/>
      <c r="AJ16" s="379"/>
      <c r="AK16" s="389"/>
      <c r="AL16" s="377"/>
      <c r="AM16" s="377"/>
      <c r="AN16" s="377"/>
      <c r="AO16" s="377"/>
      <c r="AP16" s="377"/>
      <c r="AQ16" s="377"/>
      <c r="AR16" s="377"/>
      <c r="AS16" s="377"/>
      <c r="AT16" s="377"/>
      <c r="AU16" s="377"/>
      <c r="AV16" s="377"/>
      <c r="AW16" s="377"/>
      <c r="AX16" s="377"/>
      <c r="AY16" s="377"/>
      <c r="AZ16" s="388"/>
      <c r="BA16" s="136"/>
      <c r="BB16" s="136"/>
      <c r="BC16" s="136"/>
      <c r="BD16" s="136"/>
      <c r="BE16" s="136"/>
      <c r="BF16" s="136"/>
      <c r="BG16" s="136"/>
      <c r="BH16" s="136"/>
      <c r="BI16" s="136"/>
      <c r="BJ16" s="136"/>
      <c r="BK16" s="136"/>
      <c r="BL16" s="136"/>
      <c r="BM16" s="136"/>
      <c r="BN16" s="136"/>
      <c r="BO16" s="136"/>
      <c r="BP16" s="136"/>
      <c r="BQ16" s="136"/>
      <c r="BR16" s="136"/>
      <c r="BS16" s="136"/>
      <c r="BT16" s="136"/>
      <c r="BU16" s="136"/>
      <c r="BV16" s="136"/>
    </row>
    <row r="17" spans="1:74" s="143" customFormat="1" ht="8.1" customHeight="1">
      <c r="A17" s="136"/>
      <c r="B17" s="378" t="s">
        <v>27</v>
      </c>
      <c r="C17" s="379"/>
      <c r="D17" s="379"/>
      <c r="E17" s="379"/>
      <c r="F17" s="379"/>
      <c r="G17" s="379"/>
      <c r="H17" s="379"/>
      <c r="I17" s="379"/>
      <c r="J17" s="389" t="s">
        <v>33</v>
      </c>
      <c r="K17" s="386" t="s">
        <v>164</v>
      </c>
      <c r="L17" s="386"/>
      <c r="M17" s="386"/>
      <c r="N17" s="386"/>
      <c r="O17" s="386"/>
      <c r="P17" s="386"/>
      <c r="Q17" s="386"/>
      <c r="R17" s="386"/>
      <c r="S17" s="386"/>
      <c r="T17" s="386"/>
      <c r="U17" s="386"/>
      <c r="V17" s="386"/>
      <c r="W17" s="386"/>
      <c r="X17" s="386"/>
      <c r="Y17" s="386"/>
      <c r="Z17" s="386"/>
      <c r="AA17" s="386"/>
      <c r="AB17" s="379" t="s">
        <v>41</v>
      </c>
      <c r="AC17" s="379"/>
      <c r="AD17" s="379"/>
      <c r="AE17" s="379"/>
      <c r="AF17" s="379"/>
      <c r="AG17" s="379"/>
      <c r="AH17" s="379"/>
      <c r="AI17" s="379"/>
      <c r="AJ17" s="138"/>
      <c r="AK17" s="389" t="s">
        <v>33</v>
      </c>
      <c r="AL17" s="386" t="s">
        <v>163</v>
      </c>
      <c r="AM17" s="386"/>
      <c r="AN17" s="386"/>
      <c r="AO17" s="386"/>
      <c r="AP17" s="386"/>
      <c r="AQ17" s="386"/>
      <c r="AR17" s="386"/>
      <c r="AS17" s="386"/>
      <c r="AT17" s="386"/>
      <c r="AU17" s="386"/>
      <c r="AV17" s="386"/>
      <c r="AW17" s="386"/>
      <c r="AX17" s="386"/>
      <c r="AY17" s="386"/>
      <c r="AZ17" s="387"/>
      <c r="BA17" s="136"/>
      <c r="BB17" s="136"/>
      <c r="BC17" s="136"/>
      <c r="BD17" s="136"/>
      <c r="BE17" s="136"/>
      <c r="BF17" s="136"/>
      <c r="BG17" s="136"/>
      <c r="BH17" s="136"/>
      <c r="BI17" s="136"/>
      <c r="BJ17" s="136"/>
      <c r="BK17" s="136"/>
      <c r="BL17" s="136"/>
      <c r="BM17" s="136"/>
      <c r="BN17" s="136"/>
      <c r="BO17" s="136"/>
      <c r="BP17" s="136"/>
      <c r="BQ17" s="136"/>
      <c r="BR17" s="136"/>
      <c r="BS17" s="136"/>
      <c r="BT17" s="136"/>
      <c r="BU17" s="136"/>
      <c r="BV17" s="136"/>
    </row>
    <row r="18" spans="1:74" s="143" customFormat="1" ht="8.1" customHeight="1">
      <c r="A18" s="136"/>
      <c r="B18" s="378"/>
      <c r="C18" s="379"/>
      <c r="D18" s="379"/>
      <c r="E18" s="379"/>
      <c r="F18" s="379"/>
      <c r="G18" s="379"/>
      <c r="H18" s="379"/>
      <c r="I18" s="379"/>
      <c r="J18" s="389"/>
      <c r="K18" s="377"/>
      <c r="L18" s="377"/>
      <c r="M18" s="377"/>
      <c r="N18" s="377"/>
      <c r="O18" s="377"/>
      <c r="P18" s="377"/>
      <c r="Q18" s="377"/>
      <c r="R18" s="377"/>
      <c r="S18" s="377"/>
      <c r="T18" s="377"/>
      <c r="U18" s="377"/>
      <c r="V18" s="377"/>
      <c r="W18" s="377"/>
      <c r="X18" s="377"/>
      <c r="Y18" s="377"/>
      <c r="Z18" s="377"/>
      <c r="AA18" s="377"/>
      <c r="AB18" s="379"/>
      <c r="AC18" s="379"/>
      <c r="AD18" s="379"/>
      <c r="AE18" s="379"/>
      <c r="AF18" s="379"/>
      <c r="AG18" s="379"/>
      <c r="AH18" s="379"/>
      <c r="AI18" s="379"/>
      <c r="AJ18" s="138"/>
      <c r="AK18" s="389"/>
      <c r="AL18" s="377"/>
      <c r="AM18" s="377"/>
      <c r="AN18" s="377"/>
      <c r="AO18" s="377"/>
      <c r="AP18" s="377"/>
      <c r="AQ18" s="377"/>
      <c r="AR18" s="377"/>
      <c r="AS18" s="377"/>
      <c r="AT18" s="377"/>
      <c r="AU18" s="377"/>
      <c r="AV18" s="377"/>
      <c r="AW18" s="377"/>
      <c r="AX18" s="377"/>
      <c r="AY18" s="377"/>
      <c r="AZ18" s="388"/>
      <c r="BA18" s="136"/>
      <c r="BB18" s="136"/>
      <c r="BC18" s="136"/>
      <c r="BD18" s="136"/>
      <c r="BE18" s="136"/>
      <c r="BF18" s="136"/>
      <c r="BG18" s="136"/>
      <c r="BH18" s="136"/>
      <c r="BI18" s="136"/>
      <c r="BJ18" s="136"/>
      <c r="BK18" s="136"/>
      <c r="BL18" s="136"/>
      <c r="BM18" s="136"/>
      <c r="BN18" s="136"/>
      <c r="BO18" s="136"/>
      <c r="BP18" s="136"/>
      <c r="BQ18" s="136"/>
      <c r="BR18" s="136"/>
      <c r="BS18" s="136"/>
      <c r="BT18" s="136"/>
      <c r="BU18" s="136"/>
      <c r="BV18" s="136"/>
    </row>
    <row r="19" spans="1:74" s="143" customFormat="1" ht="8.1" customHeight="1">
      <c r="A19" s="136"/>
      <c r="B19" s="378" t="s">
        <v>42</v>
      </c>
      <c r="C19" s="379"/>
      <c r="D19" s="379"/>
      <c r="E19" s="379"/>
      <c r="F19" s="379"/>
      <c r="G19" s="379"/>
      <c r="H19" s="379"/>
      <c r="I19" s="379"/>
      <c r="J19" s="389" t="s">
        <v>33</v>
      </c>
      <c r="K19" s="386" t="s">
        <v>164</v>
      </c>
      <c r="L19" s="386"/>
      <c r="M19" s="386"/>
      <c r="N19" s="386"/>
      <c r="O19" s="386"/>
      <c r="P19" s="386"/>
      <c r="Q19" s="386"/>
      <c r="R19" s="386"/>
      <c r="S19" s="386"/>
      <c r="T19" s="386"/>
      <c r="U19" s="386"/>
      <c r="V19" s="386"/>
      <c r="W19" s="386"/>
      <c r="X19" s="386"/>
      <c r="Y19" s="386"/>
      <c r="Z19" s="386"/>
      <c r="AA19" s="386"/>
      <c r="AB19" s="379" t="s">
        <v>43</v>
      </c>
      <c r="AC19" s="379"/>
      <c r="AD19" s="379"/>
      <c r="AE19" s="379"/>
      <c r="AF19" s="379"/>
      <c r="AG19" s="379"/>
      <c r="AH19" s="379"/>
      <c r="AI19" s="379"/>
      <c r="AJ19" s="379"/>
      <c r="AK19" s="389" t="s">
        <v>33</v>
      </c>
      <c r="AL19" s="386" t="s">
        <v>164</v>
      </c>
      <c r="AM19" s="386"/>
      <c r="AN19" s="386"/>
      <c r="AO19" s="386"/>
      <c r="AP19" s="386"/>
      <c r="AQ19" s="386"/>
      <c r="AR19" s="386"/>
      <c r="AS19" s="386"/>
      <c r="AT19" s="386"/>
      <c r="AU19" s="386"/>
      <c r="AV19" s="386"/>
      <c r="AW19" s="386"/>
      <c r="AX19" s="386"/>
      <c r="AY19" s="386"/>
      <c r="AZ19" s="387"/>
      <c r="BA19" s="136"/>
      <c r="BB19" s="136"/>
      <c r="BC19" s="136"/>
      <c r="BD19" s="136"/>
      <c r="BE19" s="136"/>
      <c r="BF19" s="136"/>
      <c r="BG19" s="136"/>
      <c r="BH19" s="136"/>
      <c r="BI19" s="136"/>
      <c r="BJ19" s="136"/>
      <c r="BK19" s="136"/>
      <c r="BL19" s="136"/>
      <c r="BM19" s="136"/>
      <c r="BN19" s="136"/>
      <c r="BO19" s="136"/>
      <c r="BP19" s="136"/>
      <c r="BQ19" s="136"/>
      <c r="BR19" s="136"/>
      <c r="BS19" s="136"/>
      <c r="BT19" s="136"/>
      <c r="BU19" s="136"/>
      <c r="BV19" s="136"/>
    </row>
    <row r="20" spans="1:74" s="143" customFormat="1" ht="8.1" customHeight="1">
      <c r="A20" s="136"/>
      <c r="B20" s="378"/>
      <c r="C20" s="379"/>
      <c r="D20" s="379"/>
      <c r="E20" s="379"/>
      <c r="F20" s="379"/>
      <c r="G20" s="379"/>
      <c r="H20" s="379"/>
      <c r="I20" s="379"/>
      <c r="J20" s="389"/>
      <c r="K20" s="377"/>
      <c r="L20" s="377"/>
      <c r="M20" s="377"/>
      <c r="N20" s="377"/>
      <c r="O20" s="377"/>
      <c r="P20" s="377"/>
      <c r="Q20" s="377"/>
      <c r="R20" s="377"/>
      <c r="S20" s="377"/>
      <c r="T20" s="377"/>
      <c r="U20" s="377"/>
      <c r="V20" s="377"/>
      <c r="W20" s="377"/>
      <c r="X20" s="377"/>
      <c r="Y20" s="377"/>
      <c r="Z20" s="377"/>
      <c r="AA20" s="377"/>
      <c r="AB20" s="379"/>
      <c r="AC20" s="379"/>
      <c r="AD20" s="379"/>
      <c r="AE20" s="379"/>
      <c r="AF20" s="379"/>
      <c r="AG20" s="379"/>
      <c r="AH20" s="379"/>
      <c r="AI20" s="379"/>
      <c r="AJ20" s="379"/>
      <c r="AK20" s="389"/>
      <c r="AL20" s="377"/>
      <c r="AM20" s="377"/>
      <c r="AN20" s="377"/>
      <c r="AO20" s="377"/>
      <c r="AP20" s="377"/>
      <c r="AQ20" s="377"/>
      <c r="AR20" s="377"/>
      <c r="AS20" s="377"/>
      <c r="AT20" s="377"/>
      <c r="AU20" s="377"/>
      <c r="AV20" s="377"/>
      <c r="AW20" s="377"/>
      <c r="AX20" s="377"/>
      <c r="AY20" s="377"/>
      <c r="AZ20" s="388"/>
      <c r="BA20" s="136"/>
      <c r="BB20" s="136"/>
      <c r="BC20" s="136"/>
      <c r="BD20" s="136"/>
      <c r="BE20" s="136"/>
      <c r="BF20" s="136"/>
      <c r="BG20" s="136"/>
      <c r="BH20" s="136"/>
      <c r="BI20" s="136"/>
      <c r="BJ20" s="136"/>
      <c r="BK20" s="136"/>
      <c r="BL20" s="136"/>
      <c r="BM20" s="136"/>
      <c r="BN20" s="136"/>
      <c r="BO20" s="136"/>
      <c r="BP20" s="136"/>
      <c r="BQ20" s="136"/>
      <c r="BR20" s="136"/>
      <c r="BS20" s="136"/>
      <c r="BT20" s="136"/>
      <c r="BU20" s="136"/>
      <c r="BV20" s="136"/>
    </row>
    <row r="21" spans="1:74" s="143" customFormat="1" ht="8.1" customHeight="1">
      <c r="A21" s="136"/>
      <c r="B21" s="378" t="s">
        <v>44</v>
      </c>
      <c r="C21" s="379"/>
      <c r="D21" s="379"/>
      <c r="E21" s="379"/>
      <c r="F21" s="379"/>
      <c r="G21" s="379"/>
      <c r="H21" s="379"/>
      <c r="I21" s="379"/>
      <c r="J21" s="389" t="s">
        <v>33</v>
      </c>
      <c r="K21" s="386" t="s">
        <v>165</v>
      </c>
      <c r="L21" s="386"/>
      <c r="M21" s="386"/>
      <c r="N21" s="386"/>
      <c r="O21" s="386"/>
      <c r="P21" s="386"/>
      <c r="Q21" s="386"/>
      <c r="R21" s="386"/>
      <c r="S21" s="386"/>
      <c r="T21" s="386"/>
      <c r="U21" s="386"/>
      <c r="V21" s="386"/>
      <c r="W21" s="386"/>
      <c r="X21" s="386"/>
      <c r="Y21" s="386"/>
      <c r="Z21" s="386"/>
      <c r="AA21" s="386"/>
      <c r="AB21" s="379" t="s">
        <v>46</v>
      </c>
      <c r="AC21" s="379"/>
      <c r="AD21" s="379"/>
      <c r="AE21" s="379"/>
      <c r="AF21" s="379"/>
      <c r="AG21" s="379"/>
      <c r="AH21" s="379"/>
      <c r="AI21" s="379"/>
      <c r="AJ21" s="379"/>
      <c r="AK21" s="389" t="s">
        <v>33</v>
      </c>
      <c r="AL21" s="386" t="s">
        <v>165</v>
      </c>
      <c r="AM21" s="386"/>
      <c r="AN21" s="386"/>
      <c r="AO21" s="386"/>
      <c r="AP21" s="386"/>
      <c r="AQ21" s="386"/>
      <c r="AR21" s="386"/>
      <c r="AS21" s="386"/>
      <c r="AT21" s="386"/>
      <c r="AU21" s="386"/>
      <c r="AV21" s="386"/>
      <c r="AW21" s="386"/>
      <c r="AX21" s="386"/>
      <c r="AY21" s="386"/>
      <c r="AZ21" s="387"/>
      <c r="BA21" s="136"/>
      <c r="BB21" s="136"/>
      <c r="BC21" s="136"/>
      <c r="BD21" s="136"/>
      <c r="BE21" s="136"/>
      <c r="BF21" s="136"/>
      <c r="BG21" s="136"/>
      <c r="BH21" s="136"/>
      <c r="BI21" s="136"/>
      <c r="BJ21" s="136"/>
      <c r="BK21" s="136"/>
      <c r="BL21" s="136"/>
      <c r="BM21" s="136"/>
      <c r="BN21" s="136"/>
      <c r="BO21" s="136"/>
      <c r="BP21" s="136"/>
      <c r="BQ21" s="136"/>
      <c r="BR21" s="136"/>
      <c r="BS21" s="136"/>
      <c r="BT21" s="136"/>
      <c r="BU21" s="136"/>
      <c r="BV21" s="136"/>
    </row>
    <row r="22" spans="1:74" s="143" customFormat="1" ht="7.5" customHeight="1">
      <c r="A22" s="136"/>
      <c r="B22" s="378"/>
      <c r="C22" s="379"/>
      <c r="D22" s="379"/>
      <c r="E22" s="379"/>
      <c r="F22" s="379"/>
      <c r="G22" s="379"/>
      <c r="H22" s="379"/>
      <c r="I22" s="379"/>
      <c r="J22" s="389"/>
      <c r="K22" s="377"/>
      <c r="L22" s="377"/>
      <c r="M22" s="377"/>
      <c r="N22" s="377"/>
      <c r="O22" s="377"/>
      <c r="P22" s="377"/>
      <c r="Q22" s="377"/>
      <c r="R22" s="377"/>
      <c r="S22" s="377"/>
      <c r="T22" s="377"/>
      <c r="U22" s="377"/>
      <c r="V22" s="377"/>
      <c r="W22" s="377"/>
      <c r="X22" s="377"/>
      <c r="Y22" s="377"/>
      <c r="Z22" s="377"/>
      <c r="AA22" s="377"/>
      <c r="AB22" s="379"/>
      <c r="AC22" s="379"/>
      <c r="AD22" s="379"/>
      <c r="AE22" s="379"/>
      <c r="AF22" s="379"/>
      <c r="AG22" s="379"/>
      <c r="AH22" s="379"/>
      <c r="AI22" s="379"/>
      <c r="AJ22" s="379"/>
      <c r="AK22" s="389"/>
      <c r="AL22" s="377"/>
      <c r="AM22" s="377"/>
      <c r="AN22" s="377"/>
      <c r="AO22" s="377"/>
      <c r="AP22" s="377"/>
      <c r="AQ22" s="377"/>
      <c r="AR22" s="377"/>
      <c r="AS22" s="377"/>
      <c r="AT22" s="377"/>
      <c r="AU22" s="377"/>
      <c r="AV22" s="377"/>
      <c r="AW22" s="377"/>
      <c r="AX22" s="377"/>
      <c r="AY22" s="377"/>
      <c r="AZ22" s="388"/>
      <c r="BA22" s="136"/>
      <c r="BB22" s="136"/>
      <c r="BC22" s="136"/>
      <c r="BD22" s="136"/>
      <c r="BE22" s="136"/>
      <c r="BF22" s="136"/>
      <c r="BG22" s="136"/>
      <c r="BH22" s="136"/>
      <c r="BI22" s="136"/>
      <c r="BJ22" s="136"/>
      <c r="BK22" s="136"/>
      <c r="BL22" s="136"/>
      <c r="BM22" s="136"/>
      <c r="BN22" s="136"/>
      <c r="BO22" s="136"/>
      <c r="BP22" s="136"/>
      <c r="BQ22" s="136"/>
      <c r="BR22" s="136"/>
      <c r="BS22" s="136"/>
      <c r="BT22" s="136"/>
      <c r="BU22" s="136"/>
      <c r="BV22" s="136"/>
    </row>
    <row r="23" spans="1:74" s="143" customFormat="1" ht="3" customHeight="1" thickBot="1">
      <c r="A23" s="136"/>
      <c r="B23" s="144"/>
      <c r="C23" s="145"/>
      <c r="D23" s="145"/>
      <c r="E23" s="145"/>
      <c r="F23" s="145"/>
      <c r="G23" s="145"/>
      <c r="H23" s="145"/>
      <c r="I23" s="145"/>
      <c r="J23" s="146"/>
      <c r="K23" s="145"/>
      <c r="L23" s="145"/>
      <c r="M23" s="145"/>
      <c r="N23" s="145"/>
      <c r="O23" s="145"/>
      <c r="P23" s="145"/>
      <c r="Q23" s="145"/>
      <c r="R23" s="145"/>
      <c r="S23" s="145"/>
      <c r="T23" s="145"/>
      <c r="U23" s="145"/>
      <c r="V23" s="145"/>
      <c r="W23" s="145"/>
      <c r="X23" s="145"/>
      <c r="Y23" s="145"/>
      <c r="Z23" s="145"/>
      <c r="AA23" s="145"/>
      <c r="AB23" s="145"/>
      <c r="AC23" s="145"/>
      <c r="AD23" s="145"/>
      <c r="AE23" s="145"/>
      <c r="AF23" s="145"/>
      <c r="AG23" s="145"/>
      <c r="AH23" s="145"/>
      <c r="AI23" s="145"/>
      <c r="AJ23" s="145"/>
      <c r="AK23" s="146"/>
      <c r="AL23" s="145"/>
      <c r="AM23" s="145"/>
      <c r="AN23" s="145"/>
      <c r="AO23" s="145"/>
      <c r="AP23" s="145"/>
      <c r="AQ23" s="145"/>
      <c r="AR23" s="145"/>
      <c r="AS23" s="145"/>
      <c r="AT23" s="145"/>
      <c r="AU23" s="145"/>
      <c r="AV23" s="145"/>
      <c r="AW23" s="145"/>
      <c r="AX23" s="145"/>
      <c r="AY23" s="145"/>
      <c r="AZ23" s="147"/>
      <c r="BA23" s="136"/>
      <c r="BB23" s="136"/>
      <c r="BC23" s="136"/>
      <c r="BD23" s="136"/>
      <c r="BE23" s="136"/>
      <c r="BF23" s="136"/>
      <c r="BG23" s="136"/>
      <c r="BH23" s="136"/>
      <c r="BI23" s="136"/>
      <c r="BJ23" s="136"/>
      <c r="BK23" s="136"/>
      <c r="BL23" s="136"/>
      <c r="BM23" s="136"/>
      <c r="BN23" s="136"/>
      <c r="BO23" s="136"/>
      <c r="BP23" s="136"/>
      <c r="BQ23" s="136"/>
      <c r="BR23" s="136"/>
      <c r="BS23" s="136"/>
      <c r="BT23" s="136"/>
      <c r="BU23" s="136"/>
      <c r="BV23" s="136"/>
    </row>
    <row r="24" spans="1:74" s="143" customFormat="1" ht="13.5" thickBot="1">
      <c r="A24" s="136"/>
      <c r="B24" s="374" t="s">
        <v>47</v>
      </c>
      <c r="C24" s="375"/>
      <c r="D24" s="375"/>
      <c r="E24" s="375"/>
      <c r="F24" s="375"/>
      <c r="G24" s="375"/>
      <c r="H24" s="375"/>
      <c r="I24" s="375"/>
      <c r="J24" s="375"/>
      <c r="K24" s="375"/>
      <c r="L24" s="375"/>
      <c r="M24" s="375"/>
      <c r="N24" s="375"/>
      <c r="O24" s="375"/>
      <c r="P24" s="375"/>
      <c r="Q24" s="375"/>
      <c r="R24" s="375"/>
      <c r="S24" s="375"/>
      <c r="T24" s="375"/>
      <c r="U24" s="375"/>
      <c r="V24" s="375"/>
      <c r="W24" s="375"/>
      <c r="X24" s="375"/>
      <c r="Y24" s="375"/>
      <c r="Z24" s="375"/>
      <c r="AA24" s="375"/>
      <c r="AB24" s="375" t="s">
        <v>48</v>
      </c>
      <c r="AC24" s="375"/>
      <c r="AD24" s="375"/>
      <c r="AE24" s="375"/>
      <c r="AF24" s="375"/>
      <c r="AG24" s="375"/>
      <c r="AH24" s="375"/>
      <c r="AI24" s="375"/>
      <c r="AJ24" s="375"/>
      <c r="AK24" s="375"/>
      <c r="AL24" s="375"/>
      <c r="AM24" s="375"/>
      <c r="AN24" s="375"/>
      <c r="AO24" s="375"/>
      <c r="AP24" s="375"/>
      <c r="AQ24" s="375"/>
      <c r="AR24" s="375"/>
      <c r="AS24" s="375"/>
      <c r="AT24" s="375"/>
      <c r="AU24" s="375"/>
      <c r="AV24" s="375"/>
      <c r="AW24" s="375"/>
      <c r="AX24" s="375"/>
      <c r="AY24" s="375"/>
      <c r="AZ24" s="376"/>
      <c r="BA24" s="136"/>
      <c r="BB24" s="136"/>
      <c r="BC24" s="136"/>
      <c r="BD24" s="136"/>
      <c r="BE24" s="136"/>
      <c r="BF24" s="136"/>
      <c r="BG24" s="136"/>
      <c r="BH24" s="136"/>
      <c r="BI24" s="136"/>
      <c r="BJ24" s="136"/>
      <c r="BK24" s="136"/>
      <c r="BL24" s="136"/>
      <c r="BM24" s="136"/>
      <c r="BN24" s="136"/>
      <c r="BO24" s="136"/>
      <c r="BP24" s="136"/>
      <c r="BQ24" s="136"/>
      <c r="BR24" s="136"/>
      <c r="BS24" s="136"/>
      <c r="BT24" s="136"/>
      <c r="BU24" s="136"/>
      <c r="BV24" s="136"/>
    </row>
    <row r="25" spans="1:74" s="143" customFormat="1" ht="7.5" customHeight="1">
      <c r="A25" s="136"/>
      <c r="B25" s="378" t="s">
        <v>49</v>
      </c>
      <c r="C25" s="379"/>
      <c r="D25" s="379"/>
      <c r="E25" s="379"/>
      <c r="F25" s="379"/>
      <c r="G25" s="389" t="s">
        <v>33</v>
      </c>
      <c r="H25" s="399" t="s">
        <v>166</v>
      </c>
      <c r="I25" s="399"/>
      <c r="J25" s="399"/>
      <c r="K25" s="399"/>
      <c r="L25" s="399"/>
      <c r="M25" s="399"/>
      <c r="N25" s="399"/>
      <c r="O25" s="399"/>
      <c r="P25" s="399"/>
      <c r="Q25" s="399"/>
      <c r="R25" s="399"/>
      <c r="S25" s="399"/>
      <c r="T25" s="399"/>
      <c r="U25" s="399"/>
      <c r="V25" s="399"/>
      <c r="W25" s="399"/>
      <c r="X25" s="399"/>
      <c r="Y25" s="399"/>
      <c r="Z25" s="399"/>
      <c r="AA25" s="148"/>
      <c r="AB25" s="149"/>
      <c r="AC25" s="138"/>
      <c r="AD25" s="138"/>
      <c r="AE25" s="391"/>
      <c r="AF25" s="138"/>
      <c r="AG25" s="379" t="s">
        <v>50</v>
      </c>
      <c r="AH25" s="379"/>
      <c r="AI25" s="379"/>
      <c r="AJ25" s="379"/>
      <c r="AK25" s="379"/>
      <c r="AL25" s="379"/>
      <c r="AM25" s="379"/>
      <c r="AN25" s="379"/>
      <c r="AO25" s="379"/>
      <c r="AP25" s="379"/>
      <c r="AQ25" s="379"/>
      <c r="AR25" s="379"/>
      <c r="AS25" s="379"/>
      <c r="AT25" s="379"/>
      <c r="AU25" s="379"/>
      <c r="AV25" s="379"/>
      <c r="AW25" s="379"/>
      <c r="AX25" s="379"/>
      <c r="AY25" s="379"/>
      <c r="AZ25" s="432"/>
      <c r="BA25" s="136"/>
      <c r="BB25" s="136"/>
      <c r="BC25" s="136"/>
      <c r="BD25" s="136"/>
      <c r="BE25" s="136"/>
      <c r="BF25" s="136"/>
      <c r="BG25" s="136"/>
      <c r="BH25" s="136"/>
      <c r="BI25" s="136"/>
      <c r="BJ25" s="136"/>
      <c r="BK25" s="136"/>
      <c r="BL25" s="136"/>
      <c r="BM25" s="136"/>
      <c r="BN25" s="136"/>
      <c r="BO25" s="136"/>
      <c r="BP25" s="136"/>
      <c r="BQ25" s="136"/>
      <c r="BR25" s="136"/>
      <c r="BS25" s="136"/>
      <c r="BT25" s="136"/>
      <c r="BU25" s="136"/>
      <c r="BV25" s="136"/>
    </row>
    <row r="26" spans="1:74" s="143" customFormat="1" ht="7.5" customHeight="1">
      <c r="A26" s="136"/>
      <c r="B26" s="378"/>
      <c r="C26" s="379"/>
      <c r="D26" s="379"/>
      <c r="E26" s="379"/>
      <c r="F26" s="379"/>
      <c r="G26" s="389"/>
      <c r="H26" s="400"/>
      <c r="I26" s="400"/>
      <c r="J26" s="400"/>
      <c r="K26" s="400"/>
      <c r="L26" s="400"/>
      <c r="M26" s="400"/>
      <c r="N26" s="400"/>
      <c r="O26" s="400"/>
      <c r="P26" s="400"/>
      <c r="Q26" s="400"/>
      <c r="R26" s="400"/>
      <c r="S26" s="400"/>
      <c r="T26" s="400"/>
      <c r="U26" s="400"/>
      <c r="V26" s="400"/>
      <c r="W26" s="400"/>
      <c r="X26" s="400"/>
      <c r="Y26" s="400"/>
      <c r="Z26" s="400"/>
      <c r="AA26" s="150"/>
      <c r="AB26" s="151"/>
      <c r="AC26" s="138"/>
      <c r="AD26" s="138"/>
      <c r="AE26" s="391"/>
      <c r="AF26" s="138"/>
      <c r="AG26" s="379"/>
      <c r="AH26" s="379"/>
      <c r="AI26" s="379"/>
      <c r="AJ26" s="379"/>
      <c r="AK26" s="379"/>
      <c r="AL26" s="379"/>
      <c r="AM26" s="379"/>
      <c r="AN26" s="379"/>
      <c r="AO26" s="379"/>
      <c r="AP26" s="379"/>
      <c r="AQ26" s="379"/>
      <c r="AR26" s="379"/>
      <c r="AS26" s="379"/>
      <c r="AT26" s="379"/>
      <c r="AU26" s="379"/>
      <c r="AV26" s="379"/>
      <c r="AW26" s="379"/>
      <c r="AX26" s="379"/>
      <c r="AY26" s="379"/>
      <c r="AZ26" s="432"/>
      <c r="BA26" s="136"/>
      <c r="BB26" s="136"/>
      <c r="BC26" s="136"/>
      <c r="BD26" s="136"/>
      <c r="BE26" s="136"/>
      <c r="BF26" s="136"/>
      <c r="BG26" s="136"/>
      <c r="BH26" s="136"/>
      <c r="BI26" s="136"/>
      <c r="BJ26" s="136"/>
      <c r="BK26" s="136"/>
      <c r="BL26" s="136"/>
      <c r="BM26" s="136"/>
      <c r="BN26" s="136"/>
      <c r="BO26" s="136"/>
      <c r="BP26" s="136"/>
      <c r="BQ26" s="136"/>
      <c r="BR26" s="136"/>
      <c r="BS26" s="136"/>
      <c r="BT26" s="136"/>
      <c r="BU26" s="136"/>
      <c r="BV26" s="136"/>
    </row>
    <row r="27" spans="1:74" s="143" customFormat="1" ht="7.5" customHeight="1">
      <c r="A27" s="136"/>
      <c r="B27" s="378" t="s">
        <v>51</v>
      </c>
      <c r="C27" s="379"/>
      <c r="D27" s="379"/>
      <c r="E27" s="379"/>
      <c r="F27" s="379"/>
      <c r="G27" s="389" t="s">
        <v>33</v>
      </c>
      <c r="H27" s="396" t="s">
        <v>166</v>
      </c>
      <c r="I27" s="396"/>
      <c r="J27" s="396"/>
      <c r="K27" s="396"/>
      <c r="L27" s="396"/>
      <c r="M27" s="396"/>
      <c r="N27" s="396"/>
      <c r="O27" s="396"/>
      <c r="P27" s="396"/>
      <c r="Q27" s="396"/>
      <c r="R27" s="396"/>
      <c r="S27" s="396"/>
      <c r="T27" s="396"/>
      <c r="U27" s="396"/>
      <c r="V27" s="396"/>
      <c r="W27" s="396"/>
      <c r="X27" s="396"/>
      <c r="Y27" s="396"/>
      <c r="Z27" s="396"/>
      <c r="AA27" s="150"/>
      <c r="AB27" s="151"/>
      <c r="AC27" s="138"/>
      <c r="AD27" s="138"/>
      <c r="AE27" s="391" t="s">
        <v>167</v>
      </c>
      <c r="AF27" s="138"/>
      <c r="AG27" s="379" t="s">
        <v>52</v>
      </c>
      <c r="AH27" s="379"/>
      <c r="AI27" s="379"/>
      <c r="AJ27" s="379"/>
      <c r="AK27" s="379"/>
      <c r="AL27" s="379"/>
      <c r="AM27" s="379"/>
      <c r="AN27" s="379"/>
      <c r="AO27" s="379"/>
      <c r="AP27" s="379"/>
      <c r="AQ27" s="379"/>
      <c r="AR27" s="379"/>
      <c r="AS27" s="379"/>
      <c r="AT27" s="379"/>
      <c r="AU27" s="379"/>
      <c r="AV27" s="379"/>
      <c r="AW27" s="379"/>
      <c r="AX27" s="379"/>
      <c r="AY27" s="379"/>
      <c r="AZ27" s="432"/>
      <c r="BA27" s="136"/>
      <c r="BB27" s="136"/>
      <c r="BC27" s="136"/>
      <c r="BD27" s="136"/>
      <c r="BE27" s="136"/>
      <c r="BF27" s="136"/>
      <c r="BG27" s="136"/>
      <c r="BH27" s="136"/>
      <c r="BI27" s="136"/>
      <c r="BJ27" s="136"/>
      <c r="BK27" s="136"/>
      <c r="BL27" s="136"/>
      <c r="BM27" s="136"/>
      <c r="BN27" s="136"/>
      <c r="BO27" s="403"/>
      <c r="BP27" s="403"/>
      <c r="BQ27" s="136"/>
      <c r="BR27" s="136"/>
      <c r="BS27" s="136"/>
      <c r="BT27" s="136"/>
      <c r="BU27" s="136"/>
      <c r="BV27" s="136"/>
    </row>
    <row r="28" spans="1:74" s="143" customFormat="1" ht="7.5" customHeight="1">
      <c r="A28" s="136"/>
      <c r="B28" s="378"/>
      <c r="C28" s="379"/>
      <c r="D28" s="379"/>
      <c r="E28" s="379"/>
      <c r="F28" s="379"/>
      <c r="G28" s="389"/>
      <c r="H28" s="397"/>
      <c r="I28" s="397"/>
      <c r="J28" s="397"/>
      <c r="K28" s="397"/>
      <c r="L28" s="397"/>
      <c r="M28" s="397"/>
      <c r="N28" s="397"/>
      <c r="O28" s="397"/>
      <c r="P28" s="397"/>
      <c r="Q28" s="397"/>
      <c r="R28" s="397"/>
      <c r="S28" s="397"/>
      <c r="T28" s="397"/>
      <c r="U28" s="397"/>
      <c r="V28" s="397"/>
      <c r="W28" s="397"/>
      <c r="X28" s="397"/>
      <c r="Y28" s="397"/>
      <c r="Z28" s="397"/>
      <c r="AA28" s="150"/>
      <c r="AB28" s="151"/>
      <c r="AC28" s="138"/>
      <c r="AD28" s="138"/>
      <c r="AE28" s="391"/>
      <c r="AF28" s="138"/>
      <c r="AG28" s="379"/>
      <c r="AH28" s="379"/>
      <c r="AI28" s="379"/>
      <c r="AJ28" s="379"/>
      <c r="AK28" s="379"/>
      <c r="AL28" s="379"/>
      <c r="AM28" s="379"/>
      <c r="AN28" s="379"/>
      <c r="AO28" s="379"/>
      <c r="AP28" s="379"/>
      <c r="AQ28" s="379"/>
      <c r="AR28" s="379"/>
      <c r="AS28" s="379"/>
      <c r="AT28" s="379"/>
      <c r="AU28" s="379"/>
      <c r="AV28" s="379"/>
      <c r="AW28" s="379"/>
      <c r="AX28" s="379"/>
      <c r="AY28" s="379"/>
      <c r="AZ28" s="432"/>
      <c r="BA28" s="136"/>
      <c r="BB28" s="136"/>
      <c r="BC28" s="136"/>
      <c r="BD28" s="136"/>
      <c r="BE28" s="136"/>
      <c r="BF28" s="136"/>
      <c r="BG28" s="136"/>
      <c r="BH28" s="136"/>
      <c r="BI28" s="136"/>
      <c r="BJ28" s="136"/>
      <c r="BK28" s="136"/>
      <c r="BL28" s="136"/>
      <c r="BM28" s="136"/>
      <c r="BN28" s="136"/>
      <c r="BO28" s="403"/>
      <c r="BP28" s="403"/>
      <c r="BQ28" s="136"/>
      <c r="BR28" s="136"/>
      <c r="BS28" s="136"/>
      <c r="BT28" s="136"/>
      <c r="BU28" s="136"/>
      <c r="BV28" s="136"/>
    </row>
    <row r="29" spans="1:74" s="143" customFormat="1" ht="13.5" customHeight="1">
      <c r="A29" s="136"/>
      <c r="B29" s="137"/>
      <c r="C29" s="138"/>
      <c r="D29" s="138"/>
      <c r="E29" s="138"/>
      <c r="F29" s="138"/>
      <c r="G29" s="138"/>
      <c r="H29" s="397"/>
      <c r="I29" s="397"/>
      <c r="J29" s="397"/>
      <c r="K29" s="397"/>
      <c r="L29" s="397"/>
      <c r="M29" s="397"/>
      <c r="N29" s="397"/>
      <c r="O29" s="397"/>
      <c r="P29" s="397"/>
      <c r="Q29" s="397"/>
      <c r="R29" s="397"/>
      <c r="S29" s="397"/>
      <c r="T29" s="397"/>
      <c r="U29" s="397"/>
      <c r="V29" s="397"/>
      <c r="W29" s="397"/>
      <c r="X29" s="397"/>
      <c r="Y29" s="397"/>
      <c r="Z29" s="397"/>
      <c r="AA29" s="150"/>
      <c r="AB29" s="151"/>
      <c r="AC29" s="138"/>
      <c r="AD29" s="138"/>
      <c r="AE29" s="138"/>
      <c r="AF29" s="138"/>
      <c r="AG29" s="377" t="s">
        <v>166</v>
      </c>
      <c r="AH29" s="377"/>
      <c r="AI29" s="377"/>
      <c r="AJ29" s="377"/>
      <c r="AK29" s="377"/>
      <c r="AL29" s="377"/>
      <c r="AM29" s="377"/>
      <c r="AN29" s="377"/>
      <c r="AO29" s="377"/>
      <c r="AP29" s="377"/>
      <c r="AQ29" s="377"/>
      <c r="AR29" s="377"/>
      <c r="AS29" s="377"/>
      <c r="AT29" s="377"/>
      <c r="AU29" s="377"/>
      <c r="AV29" s="377"/>
      <c r="AW29" s="377"/>
      <c r="AX29" s="377"/>
      <c r="AY29" s="138"/>
      <c r="AZ29" s="141"/>
      <c r="BA29" s="136"/>
      <c r="BB29" s="136"/>
      <c r="BC29" s="136"/>
      <c r="BD29" s="136"/>
      <c r="BE29" s="136"/>
      <c r="BF29" s="136"/>
      <c r="BG29" s="136"/>
      <c r="BH29" s="136"/>
      <c r="BI29" s="136"/>
      <c r="BJ29" s="136"/>
      <c r="BK29" s="136"/>
      <c r="BL29" s="136"/>
      <c r="BM29" s="136"/>
      <c r="BN29" s="136"/>
      <c r="BO29" s="136"/>
      <c r="BP29" s="136"/>
      <c r="BQ29" s="136"/>
      <c r="BR29" s="136"/>
      <c r="BS29" s="136"/>
      <c r="BT29" s="136"/>
      <c r="BU29" s="136"/>
      <c r="BV29" s="136"/>
    </row>
    <row r="30" spans="1:74" s="143" customFormat="1" ht="2.25" customHeight="1" thickBot="1">
      <c r="A30" s="136"/>
      <c r="B30" s="137"/>
      <c r="C30" s="138"/>
      <c r="D30" s="138"/>
      <c r="E30" s="138"/>
      <c r="F30" s="138"/>
      <c r="G30" s="138"/>
      <c r="H30" s="398"/>
      <c r="I30" s="398"/>
      <c r="J30" s="398"/>
      <c r="K30" s="398"/>
      <c r="L30" s="398"/>
      <c r="M30" s="398"/>
      <c r="N30" s="398"/>
      <c r="O30" s="398"/>
      <c r="P30" s="398"/>
      <c r="Q30" s="398"/>
      <c r="R30" s="398"/>
      <c r="S30" s="398"/>
      <c r="T30" s="398"/>
      <c r="U30" s="398"/>
      <c r="V30" s="398"/>
      <c r="W30" s="398"/>
      <c r="X30" s="398"/>
      <c r="Y30" s="398"/>
      <c r="Z30" s="398"/>
      <c r="AA30" s="152"/>
      <c r="AB30" s="153"/>
      <c r="AC30" s="138"/>
      <c r="AD30" s="138"/>
      <c r="AE30" s="138"/>
      <c r="AF30" s="138"/>
      <c r="AG30" s="138"/>
      <c r="AH30" s="138"/>
      <c r="AI30" s="138"/>
      <c r="AJ30" s="138"/>
      <c r="AK30" s="138"/>
      <c r="AL30" s="138"/>
      <c r="AM30" s="138"/>
      <c r="AN30" s="138"/>
      <c r="AO30" s="138"/>
      <c r="AP30" s="138"/>
      <c r="AQ30" s="138"/>
      <c r="AR30" s="138"/>
      <c r="AS30" s="138"/>
      <c r="AT30" s="138"/>
      <c r="AU30" s="138"/>
      <c r="AV30" s="138"/>
      <c r="AW30" s="138"/>
      <c r="AX30" s="138"/>
      <c r="AY30" s="138"/>
      <c r="AZ30" s="141"/>
      <c r="BA30" s="136"/>
      <c r="BB30" s="136"/>
      <c r="BC30" s="136"/>
      <c r="BD30" s="136"/>
      <c r="BE30" s="136"/>
      <c r="BF30" s="136"/>
      <c r="BG30" s="136"/>
      <c r="BH30" s="136"/>
      <c r="BI30" s="136"/>
      <c r="BJ30" s="136"/>
      <c r="BK30" s="136"/>
      <c r="BL30" s="136"/>
      <c r="BM30" s="136"/>
      <c r="BN30" s="136"/>
      <c r="BO30" s="136"/>
      <c r="BP30" s="136"/>
      <c r="BQ30" s="136"/>
      <c r="BR30" s="136"/>
      <c r="BS30" s="136"/>
      <c r="BT30" s="136"/>
      <c r="BU30" s="136"/>
      <c r="BV30" s="136"/>
    </row>
    <row r="31" spans="1:74" s="143" customFormat="1" ht="13.5" thickBot="1">
      <c r="A31" s="136"/>
      <c r="B31" s="374" t="s">
        <v>53</v>
      </c>
      <c r="C31" s="375"/>
      <c r="D31" s="375"/>
      <c r="E31" s="375"/>
      <c r="F31" s="375"/>
      <c r="G31" s="375"/>
      <c r="H31" s="375"/>
      <c r="I31" s="375"/>
      <c r="J31" s="375"/>
      <c r="K31" s="375"/>
      <c r="L31" s="375"/>
      <c r="M31" s="375"/>
      <c r="N31" s="375"/>
      <c r="O31" s="375"/>
      <c r="P31" s="375"/>
      <c r="Q31" s="375"/>
      <c r="R31" s="375"/>
      <c r="S31" s="375"/>
      <c r="T31" s="375"/>
      <c r="U31" s="375"/>
      <c r="V31" s="375"/>
      <c r="W31" s="375"/>
      <c r="X31" s="375"/>
      <c r="Y31" s="375"/>
      <c r="Z31" s="375"/>
      <c r="AA31" s="375"/>
      <c r="AB31" s="375"/>
      <c r="AC31" s="375"/>
      <c r="AD31" s="375"/>
      <c r="AE31" s="375"/>
      <c r="AF31" s="375"/>
      <c r="AG31" s="375"/>
      <c r="AH31" s="375"/>
      <c r="AI31" s="375"/>
      <c r="AJ31" s="375"/>
      <c r="AK31" s="375"/>
      <c r="AL31" s="375"/>
      <c r="AM31" s="375"/>
      <c r="AN31" s="375"/>
      <c r="AO31" s="375"/>
      <c r="AP31" s="375"/>
      <c r="AQ31" s="375"/>
      <c r="AR31" s="375"/>
      <c r="AS31" s="375"/>
      <c r="AT31" s="375"/>
      <c r="AU31" s="375"/>
      <c r="AV31" s="375"/>
      <c r="AW31" s="375"/>
      <c r="AX31" s="375"/>
      <c r="AY31" s="375"/>
      <c r="AZ31" s="376"/>
      <c r="BA31" s="136"/>
      <c r="BB31" s="136"/>
      <c r="BC31" s="136"/>
      <c r="BD31" s="136"/>
      <c r="BE31" s="136"/>
      <c r="BF31" s="136"/>
      <c r="BG31" s="136"/>
      <c r="BH31" s="136"/>
      <c r="BI31" s="136"/>
      <c r="BJ31" s="136"/>
      <c r="BK31" s="136"/>
      <c r="BL31" s="136"/>
      <c r="BM31" s="136"/>
      <c r="BN31" s="136"/>
      <c r="BO31" s="136"/>
      <c r="BP31" s="136"/>
      <c r="BQ31" s="136"/>
      <c r="BR31" s="136"/>
      <c r="BS31" s="136"/>
      <c r="BT31" s="136"/>
      <c r="BU31" s="136"/>
      <c r="BV31" s="136"/>
    </row>
    <row r="32" spans="1:74" s="143" customFormat="1" ht="12.75">
      <c r="A32" s="136"/>
      <c r="B32" s="390" t="s">
        <v>18</v>
      </c>
      <c r="C32" s="391"/>
      <c r="D32" s="391"/>
      <c r="E32" s="391"/>
      <c r="F32" s="391"/>
      <c r="G32" s="391"/>
      <c r="H32" s="391"/>
      <c r="I32" s="391"/>
      <c r="J32" s="391"/>
      <c r="K32" s="391"/>
      <c r="L32" s="391"/>
      <c r="M32" s="391"/>
      <c r="N32" s="391"/>
      <c r="O32" s="391"/>
      <c r="P32" s="391"/>
      <c r="Q32" s="392" t="s">
        <v>19</v>
      </c>
      <c r="R32" s="391"/>
      <c r="S32" s="391"/>
      <c r="T32" s="391"/>
      <c r="U32" s="391"/>
      <c r="V32" s="391"/>
      <c r="W32" s="391"/>
      <c r="X32" s="391"/>
      <c r="Y32" s="391"/>
      <c r="Z32" s="391"/>
      <c r="AA32" s="393"/>
      <c r="AB32" s="391" t="s">
        <v>20</v>
      </c>
      <c r="AC32" s="391"/>
      <c r="AD32" s="391"/>
      <c r="AE32" s="391"/>
      <c r="AF32" s="391"/>
      <c r="AG32" s="391"/>
      <c r="AH32" s="391"/>
      <c r="AI32" s="391"/>
      <c r="AJ32" s="391"/>
      <c r="AK32" s="391"/>
      <c r="AL32" s="391"/>
      <c r="AM32" s="391"/>
      <c r="AN32" s="393"/>
      <c r="AO32" s="391" t="s">
        <v>21</v>
      </c>
      <c r="AP32" s="391"/>
      <c r="AQ32" s="391"/>
      <c r="AR32" s="391"/>
      <c r="AS32" s="391"/>
      <c r="AT32" s="391"/>
      <c r="AU32" s="391"/>
      <c r="AV32" s="391"/>
      <c r="AW32" s="391"/>
      <c r="AX32" s="391"/>
      <c r="AY32" s="391"/>
      <c r="AZ32" s="394"/>
      <c r="BA32" s="136"/>
      <c r="BB32" s="136"/>
      <c r="BC32" s="136"/>
      <c r="BD32" s="136"/>
      <c r="BE32" s="136"/>
      <c r="BF32" s="136"/>
      <c r="BG32" s="136"/>
      <c r="BH32" s="136"/>
      <c r="BI32" s="136"/>
      <c r="BJ32" s="136"/>
      <c r="BK32" s="136"/>
      <c r="BL32" s="136"/>
      <c r="BM32" s="136"/>
      <c r="BN32" s="136"/>
      <c r="BO32" s="136"/>
      <c r="BP32" s="136"/>
      <c r="BQ32" s="136"/>
      <c r="BR32" s="136"/>
      <c r="BS32" s="136"/>
      <c r="BT32" s="136"/>
      <c r="BU32" s="136"/>
      <c r="BV32" s="136"/>
    </row>
    <row r="33" spans="1:74" s="143" customFormat="1" ht="13.5">
      <c r="A33" s="136"/>
      <c r="B33" s="350"/>
      <c r="C33" s="348"/>
      <c r="D33" s="348"/>
      <c r="E33" s="348"/>
      <c r="F33" s="348"/>
      <c r="G33" s="348"/>
      <c r="H33" s="348"/>
      <c r="I33" s="348"/>
      <c r="J33" s="348"/>
      <c r="K33" s="348"/>
      <c r="L33" s="348"/>
      <c r="M33" s="348"/>
      <c r="N33" s="348"/>
      <c r="O33" s="348"/>
      <c r="P33" s="349"/>
      <c r="Q33" s="347"/>
      <c r="R33" s="348"/>
      <c r="S33" s="348"/>
      <c r="T33" s="348"/>
      <c r="U33" s="348"/>
      <c r="V33" s="348"/>
      <c r="W33" s="348"/>
      <c r="X33" s="348"/>
      <c r="Y33" s="348"/>
      <c r="Z33" s="348"/>
      <c r="AA33" s="349"/>
      <c r="AB33" s="339"/>
      <c r="AC33" s="340"/>
      <c r="AD33" s="340"/>
      <c r="AE33" s="340"/>
      <c r="AF33" s="340"/>
      <c r="AG33" s="340"/>
      <c r="AH33" s="340"/>
      <c r="AI33" s="340"/>
      <c r="AJ33" s="340"/>
      <c r="AK33" s="340"/>
      <c r="AL33" s="340"/>
      <c r="AM33" s="340"/>
      <c r="AN33" s="341"/>
      <c r="AO33" s="342" t="s">
        <v>168</v>
      </c>
      <c r="AP33" s="343"/>
      <c r="AQ33" s="343"/>
      <c r="AR33" s="343"/>
      <c r="AS33" s="343"/>
      <c r="AT33" s="343"/>
      <c r="AU33" s="343"/>
      <c r="AV33" s="343"/>
      <c r="AW33" s="343"/>
      <c r="AX33" s="343"/>
      <c r="AY33" s="343"/>
      <c r="AZ33" s="344"/>
      <c r="BA33" s="136"/>
      <c r="BB33" s="136"/>
      <c r="BC33" s="136"/>
      <c r="BD33" s="136"/>
      <c r="BE33" s="136"/>
      <c r="BF33" s="136"/>
      <c r="BG33" s="136"/>
      <c r="BH33" s="136"/>
      <c r="BI33" s="136"/>
      <c r="BJ33" s="136"/>
      <c r="BK33" s="136"/>
      <c r="BL33" s="136"/>
      <c r="BM33" s="136"/>
      <c r="BN33" s="136"/>
      <c r="BO33" s="136"/>
      <c r="BP33" s="136"/>
      <c r="BQ33" s="136"/>
      <c r="BR33" s="136"/>
      <c r="BS33" s="136"/>
      <c r="BT33" s="136"/>
      <c r="BU33" s="136"/>
      <c r="BV33" s="136"/>
    </row>
    <row r="34" spans="1:74" s="143" customFormat="1" ht="14.25" thickBot="1">
      <c r="A34" s="136"/>
      <c r="B34" s="345"/>
      <c r="C34" s="346"/>
      <c r="D34" s="346"/>
      <c r="E34" s="346"/>
      <c r="F34" s="346"/>
      <c r="G34" s="346"/>
      <c r="H34" s="346"/>
      <c r="I34" s="346"/>
      <c r="J34" s="346"/>
      <c r="K34" s="346"/>
      <c r="L34" s="346"/>
      <c r="M34" s="346"/>
      <c r="N34" s="346"/>
      <c r="O34" s="346"/>
      <c r="P34" s="346"/>
      <c r="Q34" s="444"/>
      <c r="R34" s="346"/>
      <c r="S34" s="346"/>
      <c r="T34" s="346"/>
      <c r="U34" s="346"/>
      <c r="V34" s="346"/>
      <c r="W34" s="346"/>
      <c r="X34" s="346"/>
      <c r="Y34" s="346"/>
      <c r="Z34" s="346"/>
      <c r="AA34" s="445"/>
      <c r="AB34" s="346"/>
      <c r="AC34" s="346"/>
      <c r="AD34" s="346"/>
      <c r="AE34" s="346"/>
      <c r="AF34" s="346"/>
      <c r="AG34" s="346"/>
      <c r="AH34" s="346"/>
      <c r="AI34" s="346"/>
      <c r="AJ34" s="346"/>
      <c r="AK34" s="346"/>
      <c r="AL34" s="346"/>
      <c r="AM34" s="346"/>
      <c r="AN34" s="445"/>
      <c r="AO34" s="446" t="s">
        <v>168</v>
      </c>
      <c r="AP34" s="346"/>
      <c r="AQ34" s="346"/>
      <c r="AR34" s="346"/>
      <c r="AS34" s="346"/>
      <c r="AT34" s="346"/>
      <c r="AU34" s="346"/>
      <c r="AV34" s="346"/>
      <c r="AW34" s="346"/>
      <c r="AX34" s="346"/>
      <c r="AY34" s="346"/>
      <c r="AZ34" s="447"/>
      <c r="BA34" s="136"/>
      <c r="BB34" s="136"/>
      <c r="BC34" s="136"/>
      <c r="BD34" s="136"/>
      <c r="BE34" s="136"/>
      <c r="BF34" s="136"/>
      <c r="BG34" s="136"/>
      <c r="BH34" s="136"/>
      <c r="BI34" s="136"/>
      <c r="BJ34" s="136"/>
      <c r="BK34" s="136"/>
      <c r="BL34" s="136"/>
      <c r="BM34" s="136"/>
      <c r="BN34" s="136"/>
      <c r="BO34" s="136"/>
      <c r="BP34" s="136"/>
      <c r="BQ34" s="136"/>
      <c r="BR34" s="136"/>
      <c r="BS34" s="136"/>
      <c r="BT34" s="136"/>
      <c r="BU34" s="136"/>
      <c r="BV34" s="136"/>
    </row>
    <row r="35" spans="1:74" s="143" customFormat="1" ht="13.5" thickBot="1">
      <c r="A35" s="136"/>
      <c r="B35" s="329" t="s">
        <v>54</v>
      </c>
      <c r="C35" s="330"/>
      <c r="D35" s="330"/>
      <c r="E35" s="330"/>
      <c r="F35" s="330"/>
      <c r="G35" s="330"/>
      <c r="H35" s="330"/>
      <c r="I35" s="330"/>
      <c r="J35" s="330"/>
      <c r="K35" s="330"/>
      <c r="L35" s="330"/>
      <c r="M35" s="330"/>
      <c r="N35" s="330"/>
      <c r="O35" s="330"/>
      <c r="P35" s="330"/>
      <c r="Q35" s="330"/>
      <c r="R35" s="330"/>
      <c r="S35" s="330"/>
      <c r="T35" s="330"/>
      <c r="U35" s="330"/>
      <c r="V35" s="330"/>
      <c r="W35" s="330"/>
      <c r="X35" s="330"/>
      <c r="Y35" s="330"/>
      <c r="Z35" s="330"/>
      <c r="AA35" s="330"/>
      <c r="AB35" s="330"/>
      <c r="AC35" s="330"/>
      <c r="AD35" s="330"/>
      <c r="AE35" s="330"/>
      <c r="AF35" s="330"/>
      <c r="AG35" s="330"/>
      <c r="AH35" s="330"/>
      <c r="AI35" s="330"/>
      <c r="AJ35" s="330"/>
      <c r="AK35" s="330"/>
      <c r="AL35" s="330"/>
      <c r="AM35" s="330"/>
      <c r="AN35" s="330"/>
      <c r="AO35" s="330"/>
      <c r="AP35" s="330"/>
      <c r="AQ35" s="330"/>
      <c r="AR35" s="330"/>
      <c r="AS35" s="330"/>
      <c r="AT35" s="330"/>
      <c r="AU35" s="330"/>
      <c r="AV35" s="330"/>
      <c r="AW35" s="330"/>
      <c r="AX35" s="330"/>
      <c r="AY35" s="330"/>
      <c r="AZ35" s="331"/>
      <c r="BA35" s="136"/>
      <c r="BB35" s="136"/>
      <c r="BC35" s="136"/>
      <c r="BD35" s="136"/>
      <c r="BE35" s="136"/>
      <c r="BF35" s="136"/>
      <c r="BG35" s="136"/>
      <c r="BH35" s="136"/>
      <c r="BI35" s="136"/>
      <c r="BJ35" s="136"/>
      <c r="BK35" s="136"/>
      <c r="BL35" s="136"/>
      <c r="BM35" s="136"/>
      <c r="BN35" s="136"/>
      <c r="BO35" s="136"/>
      <c r="BP35" s="136"/>
      <c r="BQ35" s="136"/>
      <c r="BR35" s="136"/>
      <c r="BS35" s="136"/>
      <c r="BT35" s="136"/>
      <c r="BU35" s="136"/>
      <c r="BV35" s="136"/>
    </row>
    <row r="36" spans="1:74" s="143" customFormat="1" ht="12.75">
      <c r="A36" s="136"/>
      <c r="B36" s="390" t="s">
        <v>18</v>
      </c>
      <c r="C36" s="391"/>
      <c r="D36" s="391"/>
      <c r="E36" s="391"/>
      <c r="F36" s="391"/>
      <c r="G36" s="391"/>
      <c r="H36" s="391"/>
      <c r="I36" s="391"/>
      <c r="J36" s="391"/>
      <c r="K36" s="391"/>
      <c r="L36" s="391"/>
      <c r="M36" s="391"/>
      <c r="N36" s="391"/>
      <c r="O36" s="391"/>
      <c r="P36" s="391"/>
      <c r="Q36" s="392" t="s">
        <v>19</v>
      </c>
      <c r="R36" s="391"/>
      <c r="S36" s="391"/>
      <c r="T36" s="391"/>
      <c r="U36" s="391"/>
      <c r="V36" s="391"/>
      <c r="W36" s="391"/>
      <c r="X36" s="391"/>
      <c r="Y36" s="391"/>
      <c r="Z36" s="391"/>
      <c r="AA36" s="393"/>
      <c r="AB36" s="391" t="s">
        <v>55</v>
      </c>
      <c r="AC36" s="391"/>
      <c r="AD36" s="391"/>
      <c r="AE36" s="391"/>
      <c r="AF36" s="391"/>
      <c r="AG36" s="391"/>
      <c r="AH36" s="391"/>
      <c r="AI36" s="391"/>
      <c r="AJ36" s="391"/>
      <c r="AK36" s="391"/>
      <c r="AL36" s="391"/>
      <c r="AM36" s="391"/>
      <c r="AN36" s="393"/>
      <c r="AO36" s="391" t="s">
        <v>37</v>
      </c>
      <c r="AP36" s="391"/>
      <c r="AQ36" s="391"/>
      <c r="AR36" s="391"/>
      <c r="AS36" s="391"/>
      <c r="AT36" s="391"/>
      <c r="AU36" s="391"/>
      <c r="AV36" s="391"/>
      <c r="AW36" s="391"/>
      <c r="AX36" s="391"/>
      <c r="AY36" s="391"/>
      <c r="AZ36" s="394"/>
      <c r="BA36" s="136"/>
      <c r="BB36" s="136"/>
      <c r="BC36" s="136"/>
      <c r="BD36" s="136"/>
      <c r="BE36" s="136"/>
      <c r="BF36" s="136"/>
      <c r="BG36" s="136"/>
      <c r="BH36" s="136"/>
      <c r="BI36" s="136"/>
      <c r="BJ36" s="136"/>
      <c r="BK36" s="136"/>
      <c r="BL36" s="136"/>
      <c r="BM36" s="136"/>
      <c r="BN36" s="136"/>
      <c r="BO36" s="136"/>
      <c r="BP36" s="136"/>
      <c r="BQ36" s="136"/>
      <c r="BR36" s="136"/>
      <c r="BS36" s="136"/>
      <c r="BT36" s="136"/>
      <c r="BU36" s="136"/>
      <c r="BV36" s="136"/>
    </row>
    <row r="37" spans="1:74" s="143" customFormat="1" ht="12.75">
      <c r="A37" s="136"/>
      <c r="B37" s="437"/>
      <c r="C37" s="337"/>
      <c r="D37" s="337"/>
      <c r="E37" s="337"/>
      <c r="F37" s="337"/>
      <c r="G37" s="337"/>
      <c r="H37" s="337"/>
      <c r="I37" s="337"/>
      <c r="J37" s="337"/>
      <c r="K37" s="337"/>
      <c r="L37" s="337"/>
      <c r="M37" s="337"/>
      <c r="N37" s="337"/>
      <c r="O37" s="337"/>
      <c r="P37" s="337"/>
      <c r="Q37" s="438"/>
      <c r="R37" s="337"/>
      <c r="S37" s="337"/>
      <c r="T37" s="337"/>
      <c r="U37" s="337"/>
      <c r="V37" s="337"/>
      <c r="W37" s="337"/>
      <c r="X37" s="337"/>
      <c r="Y37" s="337"/>
      <c r="Z37" s="337"/>
      <c r="AA37" s="338"/>
      <c r="AB37" s="439"/>
      <c r="AC37" s="337"/>
      <c r="AD37" s="337"/>
      <c r="AE37" s="337"/>
      <c r="AF37" s="337"/>
      <c r="AG37" s="337"/>
      <c r="AH37" s="337"/>
      <c r="AI37" s="337"/>
      <c r="AJ37" s="337"/>
      <c r="AK37" s="337"/>
      <c r="AL37" s="337"/>
      <c r="AM37" s="337"/>
      <c r="AN37" s="338"/>
      <c r="AO37" s="439"/>
      <c r="AP37" s="337"/>
      <c r="AQ37" s="337"/>
      <c r="AR37" s="337"/>
      <c r="AS37" s="337"/>
      <c r="AT37" s="337"/>
      <c r="AU37" s="337"/>
      <c r="AV37" s="337"/>
      <c r="AW37" s="337"/>
      <c r="AX37" s="337"/>
      <c r="AY37" s="337"/>
      <c r="AZ37" s="440"/>
      <c r="BA37" s="136"/>
      <c r="BB37" s="136"/>
      <c r="BC37" s="136"/>
      <c r="BD37" s="136"/>
      <c r="BE37" s="136"/>
      <c r="BF37" s="136"/>
      <c r="BG37" s="136"/>
      <c r="BH37" s="136"/>
      <c r="BI37" s="136"/>
      <c r="BJ37" s="136"/>
      <c r="BK37" s="136"/>
      <c r="BL37" s="136"/>
      <c r="BM37" s="136"/>
      <c r="BN37" s="136"/>
      <c r="BO37" s="136"/>
      <c r="BP37" s="136"/>
      <c r="BQ37" s="136"/>
      <c r="BR37" s="136"/>
      <c r="BS37" s="136"/>
      <c r="BT37" s="136"/>
      <c r="BU37" s="136"/>
      <c r="BV37" s="136"/>
    </row>
    <row r="38" spans="1:74" s="143" customFormat="1" ht="13.5" thickBot="1">
      <c r="A38" s="136"/>
      <c r="B38" s="441"/>
      <c r="C38" s="337"/>
      <c r="D38" s="337"/>
      <c r="E38" s="337"/>
      <c r="F38" s="337"/>
      <c r="G38" s="337"/>
      <c r="H38" s="337"/>
      <c r="I38" s="337"/>
      <c r="J38" s="337"/>
      <c r="K38" s="337"/>
      <c r="L38" s="337"/>
      <c r="M38" s="337"/>
      <c r="N38" s="337"/>
      <c r="O38" s="337"/>
      <c r="P38" s="337"/>
      <c r="Q38" s="442"/>
      <c r="R38" s="337"/>
      <c r="S38" s="337"/>
      <c r="T38" s="337"/>
      <c r="U38" s="337"/>
      <c r="V38" s="337"/>
      <c r="W38" s="337"/>
      <c r="X38" s="337"/>
      <c r="Y38" s="337"/>
      <c r="Z38" s="337"/>
      <c r="AA38" s="338"/>
      <c r="AB38" s="337"/>
      <c r="AC38" s="337"/>
      <c r="AD38" s="337"/>
      <c r="AE38" s="337"/>
      <c r="AF38" s="337"/>
      <c r="AG38" s="337"/>
      <c r="AH38" s="337"/>
      <c r="AI38" s="337"/>
      <c r="AJ38" s="337"/>
      <c r="AK38" s="337"/>
      <c r="AL38" s="337"/>
      <c r="AM38" s="337"/>
      <c r="AN38" s="338"/>
      <c r="AO38" s="337"/>
      <c r="AP38" s="337"/>
      <c r="AQ38" s="337"/>
      <c r="AR38" s="337"/>
      <c r="AS38" s="337"/>
      <c r="AT38" s="337"/>
      <c r="AU38" s="337"/>
      <c r="AV38" s="337"/>
      <c r="AW38" s="337"/>
      <c r="AX38" s="337"/>
      <c r="AY38" s="337"/>
      <c r="AZ38" s="440"/>
      <c r="BA38" s="136"/>
      <c r="BB38" s="136"/>
      <c r="BC38" s="136"/>
      <c r="BD38" s="136"/>
      <c r="BE38" s="136"/>
      <c r="BF38" s="136"/>
      <c r="BG38" s="136"/>
      <c r="BH38" s="136"/>
      <c r="BI38" s="136"/>
      <c r="BJ38" s="136"/>
      <c r="BK38" s="136"/>
      <c r="BL38" s="136"/>
      <c r="BM38" s="136"/>
      <c r="BN38" s="136"/>
      <c r="BO38" s="136"/>
      <c r="BP38" s="136"/>
      <c r="BQ38" s="136"/>
      <c r="BR38" s="136"/>
      <c r="BS38" s="136"/>
      <c r="BT38" s="136"/>
      <c r="BU38" s="136"/>
      <c r="BV38" s="136"/>
    </row>
    <row r="39" spans="1:74" s="143" customFormat="1" ht="15" customHeight="1" thickBot="1">
      <c r="A39" s="136"/>
      <c r="B39" s="374" t="s">
        <v>57</v>
      </c>
      <c r="C39" s="375"/>
      <c r="D39" s="375"/>
      <c r="E39" s="375"/>
      <c r="F39" s="375"/>
      <c r="G39" s="375"/>
      <c r="H39" s="375"/>
      <c r="I39" s="375"/>
      <c r="J39" s="375"/>
      <c r="K39" s="375"/>
      <c r="L39" s="375"/>
      <c r="M39" s="375"/>
      <c r="N39" s="375"/>
      <c r="O39" s="375"/>
      <c r="P39" s="375"/>
      <c r="Q39" s="375"/>
      <c r="R39" s="375"/>
      <c r="S39" s="375"/>
      <c r="T39" s="375"/>
      <c r="U39" s="375"/>
      <c r="V39" s="375"/>
      <c r="W39" s="375"/>
      <c r="X39" s="375"/>
      <c r="Y39" s="375"/>
      <c r="Z39" s="375"/>
      <c r="AA39" s="375"/>
      <c r="AB39" s="375" t="s">
        <v>58</v>
      </c>
      <c r="AC39" s="375"/>
      <c r="AD39" s="375"/>
      <c r="AE39" s="375"/>
      <c r="AF39" s="375"/>
      <c r="AG39" s="375"/>
      <c r="AH39" s="375"/>
      <c r="AI39" s="375"/>
      <c r="AJ39" s="375"/>
      <c r="AK39" s="375"/>
      <c r="AL39" s="375"/>
      <c r="AM39" s="375"/>
      <c r="AN39" s="375"/>
      <c r="AO39" s="375"/>
      <c r="AP39" s="375"/>
      <c r="AQ39" s="375"/>
      <c r="AR39" s="375"/>
      <c r="AS39" s="375"/>
      <c r="AT39" s="375"/>
      <c r="AU39" s="375"/>
      <c r="AV39" s="375"/>
      <c r="AW39" s="375"/>
      <c r="AX39" s="375"/>
      <c r="AY39" s="375"/>
      <c r="AZ39" s="376"/>
      <c r="BA39" s="136"/>
      <c r="BB39" s="136"/>
      <c r="BC39" s="136"/>
      <c r="BD39" s="136"/>
      <c r="BE39" s="136"/>
      <c r="BF39" s="136"/>
      <c r="BG39" s="136"/>
      <c r="BH39" s="136"/>
      <c r="BI39" s="136"/>
      <c r="BJ39" s="136"/>
      <c r="BK39" s="136"/>
      <c r="BL39" s="136"/>
      <c r="BM39" s="136"/>
      <c r="BN39" s="136"/>
      <c r="BO39" s="136"/>
      <c r="BP39" s="136"/>
      <c r="BQ39" s="136"/>
      <c r="BR39" s="136"/>
      <c r="BS39" s="136"/>
      <c r="BT39" s="136"/>
      <c r="BU39" s="136"/>
      <c r="BV39" s="136"/>
    </row>
    <row r="40" spans="1:74" s="143" customFormat="1" ht="13.5" customHeight="1">
      <c r="A40" s="136"/>
      <c r="B40" s="137"/>
      <c r="C40" s="154"/>
      <c r="D40" s="154"/>
      <c r="E40" s="154"/>
      <c r="F40" s="154"/>
      <c r="G40" s="154"/>
      <c r="H40" s="138"/>
      <c r="I40" s="145" t="s">
        <v>59</v>
      </c>
      <c r="J40" s="138"/>
      <c r="K40" s="154"/>
      <c r="L40" s="138"/>
      <c r="M40" s="138"/>
      <c r="N40" s="154"/>
      <c r="O40" s="154"/>
      <c r="P40" s="138"/>
      <c r="Q40" s="138" t="s">
        <v>60</v>
      </c>
      <c r="R40" s="138"/>
      <c r="S40" s="138"/>
      <c r="T40" s="138"/>
      <c r="U40" s="138"/>
      <c r="V40" s="154"/>
      <c r="W40" s="138"/>
      <c r="X40" s="138"/>
      <c r="Y40" s="154"/>
      <c r="Z40" s="138"/>
      <c r="AA40" s="138"/>
      <c r="AB40" s="334" t="s">
        <v>169</v>
      </c>
      <c r="AC40" s="335"/>
      <c r="AD40" s="335"/>
      <c r="AE40" s="335"/>
      <c r="AF40" s="335"/>
      <c r="AG40" s="335"/>
      <c r="AH40" s="335"/>
      <c r="AI40" s="335"/>
      <c r="AJ40" s="335"/>
      <c r="AK40" s="335"/>
      <c r="AL40" s="335"/>
      <c r="AM40" s="335"/>
      <c r="AN40" s="335"/>
      <c r="AO40" s="335"/>
      <c r="AP40" s="335"/>
      <c r="AQ40" s="335"/>
      <c r="AR40" s="335"/>
      <c r="AS40" s="335"/>
      <c r="AT40" s="335"/>
      <c r="AU40" s="335"/>
      <c r="AV40" s="335"/>
      <c r="AW40" s="335"/>
      <c r="AX40" s="335"/>
      <c r="AY40" s="335"/>
      <c r="AZ40" s="336"/>
      <c r="BA40" s="136"/>
      <c r="BB40" s="136"/>
      <c r="BC40" s="136"/>
      <c r="BD40" s="136"/>
      <c r="BE40" s="136"/>
      <c r="BF40" s="136"/>
      <c r="BG40" s="136"/>
      <c r="BH40" s="136"/>
      <c r="BI40" s="136"/>
      <c r="BJ40" s="136"/>
      <c r="BK40" s="136"/>
      <c r="BL40" s="136"/>
      <c r="BM40" s="136"/>
      <c r="BN40" s="136"/>
      <c r="BO40" s="136"/>
      <c r="BP40" s="136"/>
      <c r="BQ40" s="136"/>
      <c r="BR40" s="136"/>
      <c r="BS40" s="136"/>
      <c r="BT40" s="136"/>
      <c r="BU40" s="136"/>
      <c r="BV40" s="136"/>
    </row>
    <row r="41" spans="1:74" s="143" customFormat="1" ht="15">
      <c r="A41" s="136"/>
      <c r="B41" s="137"/>
      <c r="C41" s="154"/>
      <c r="D41" s="154"/>
      <c r="E41" s="154"/>
      <c r="F41" s="154"/>
      <c r="G41" s="154"/>
      <c r="H41" s="154"/>
      <c r="I41" s="138"/>
      <c r="J41" s="155" t="s">
        <v>61</v>
      </c>
      <c r="K41" s="436">
        <v>1</v>
      </c>
      <c r="L41" s="436"/>
      <c r="M41" s="138" t="s">
        <v>131</v>
      </c>
      <c r="N41" s="154"/>
      <c r="O41" s="154"/>
      <c r="P41" s="138"/>
      <c r="Q41" s="154"/>
      <c r="R41" s="154"/>
      <c r="S41" s="155" t="s">
        <v>61</v>
      </c>
      <c r="T41" s="436">
        <v>2</v>
      </c>
      <c r="U41" s="436"/>
      <c r="V41" s="138" t="s">
        <v>110</v>
      </c>
      <c r="W41" s="156"/>
      <c r="X41" s="139"/>
      <c r="Y41" s="138"/>
      <c r="Z41" s="138"/>
      <c r="AA41" s="138"/>
      <c r="AB41" s="334"/>
      <c r="AC41" s="335"/>
      <c r="AD41" s="335"/>
      <c r="AE41" s="335"/>
      <c r="AF41" s="335"/>
      <c r="AG41" s="335"/>
      <c r="AH41" s="335"/>
      <c r="AI41" s="335"/>
      <c r="AJ41" s="335"/>
      <c r="AK41" s="335"/>
      <c r="AL41" s="335"/>
      <c r="AM41" s="335"/>
      <c r="AN41" s="335"/>
      <c r="AO41" s="335"/>
      <c r="AP41" s="335"/>
      <c r="AQ41" s="335"/>
      <c r="AR41" s="335"/>
      <c r="AS41" s="335"/>
      <c r="AT41" s="335"/>
      <c r="AU41" s="335"/>
      <c r="AV41" s="335"/>
      <c r="AW41" s="335"/>
      <c r="AX41" s="335"/>
      <c r="AY41" s="335"/>
      <c r="AZ41" s="336"/>
      <c r="BA41" s="136"/>
      <c r="BB41" s="136"/>
      <c r="BC41" s="136"/>
      <c r="BD41" s="136"/>
      <c r="BE41" s="136"/>
      <c r="BF41" s="136"/>
      <c r="BG41" s="136"/>
      <c r="BH41" s="136"/>
      <c r="BI41" s="136"/>
      <c r="BJ41" s="136"/>
      <c r="BK41" s="136"/>
      <c r="BL41" s="136"/>
      <c r="BM41" s="136"/>
      <c r="BN41" s="136"/>
      <c r="BO41" s="136"/>
      <c r="BP41" s="136"/>
      <c r="BQ41" s="136"/>
      <c r="BR41" s="136"/>
      <c r="BS41" s="136"/>
      <c r="BT41" s="136"/>
      <c r="BU41" s="136"/>
      <c r="BV41" s="136"/>
    </row>
    <row r="42" spans="1:74" s="143" customFormat="1" ht="15.75" customHeight="1">
      <c r="A42" s="136"/>
      <c r="B42" s="137"/>
      <c r="C42" s="154"/>
      <c r="D42" s="154"/>
      <c r="E42" s="154"/>
      <c r="F42" s="154"/>
      <c r="G42" s="154"/>
      <c r="H42" s="154"/>
      <c r="I42" s="138"/>
      <c r="J42" s="155" t="s">
        <v>62</v>
      </c>
      <c r="K42" s="443">
        <v>10</v>
      </c>
      <c r="L42" s="443"/>
      <c r="M42" s="138" t="s">
        <v>131</v>
      </c>
      <c r="N42" s="154"/>
      <c r="O42" s="154"/>
      <c r="P42" s="138"/>
      <c r="Q42" s="154"/>
      <c r="R42" s="154"/>
      <c r="S42" s="155" t="s">
        <v>62</v>
      </c>
      <c r="T42" s="443">
        <v>12</v>
      </c>
      <c r="U42" s="443"/>
      <c r="V42" s="138" t="s">
        <v>110</v>
      </c>
      <c r="W42" s="157"/>
      <c r="X42" s="158"/>
      <c r="Y42" s="138"/>
      <c r="Z42" s="138"/>
      <c r="AA42" s="138"/>
      <c r="AB42" s="334"/>
      <c r="AC42" s="335"/>
      <c r="AD42" s="335"/>
      <c r="AE42" s="335"/>
      <c r="AF42" s="335"/>
      <c r="AG42" s="335"/>
      <c r="AH42" s="335"/>
      <c r="AI42" s="335"/>
      <c r="AJ42" s="335"/>
      <c r="AK42" s="335"/>
      <c r="AL42" s="335"/>
      <c r="AM42" s="335"/>
      <c r="AN42" s="335"/>
      <c r="AO42" s="335"/>
      <c r="AP42" s="335"/>
      <c r="AQ42" s="335"/>
      <c r="AR42" s="335"/>
      <c r="AS42" s="335"/>
      <c r="AT42" s="335"/>
      <c r="AU42" s="335"/>
      <c r="AV42" s="335"/>
      <c r="AW42" s="335"/>
      <c r="AX42" s="335"/>
      <c r="AY42" s="335"/>
      <c r="AZ42" s="336"/>
      <c r="BA42" s="136"/>
      <c r="BB42" s="136"/>
      <c r="BC42" s="136"/>
      <c r="BD42" s="136"/>
      <c r="BE42" s="136"/>
      <c r="BF42" s="136"/>
      <c r="BG42" s="136"/>
      <c r="BH42" s="136"/>
      <c r="BI42" s="136"/>
      <c r="BJ42" s="136"/>
      <c r="BK42" s="136"/>
      <c r="BL42" s="136"/>
      <c r="BM42" s="136"/>
      <c r="BN42" s="136"/>
      <c r="BO42" s="136"/>
      <c r="BP42" s="136"/>
      <c r="BQ42" s="136"/>
      <c r="BR42" s="136"/>
      <c r="BS42" s="136"/>
      <c r="BT42" s="136"/>
      <c r="BU42" s="136"/>
      <c r="BV42" s="136"/>
    </row>
    <row r="43" spans="1:74" s="143" customFormat="1" ht="3.75" customHeight="1" thickBot="1">
      <c r="A43" s="136"/>
      <c r="B43" s="137"/>
      <c r="C43" s="138"/>
      <c r="D43" s="138"/>
      <c r="E43" s="138"/>
      <c r="F43" s="138"/>
      <c r="G43" s="138"/>
      <c r="H43" s="138"/>
      <c r="I43" s="138"/>
      <c r="J43" s="138"/>
      <c r="K43" s="138"/>
      <c r="L43" s="138"/>
      <c r="M43" s="138"/>
      <c r="N43" s="138"/>
      <c r="O43" s="138"/>
      <c r="P43" s="138"/>
      <c r="Q43" s="138"/>
      <c r="R43" s="138"/>
      <c r="S43" s="138"/>
      <c r="T43" s="138"/>
      <c r="U43" s="138"/>
      <c r="V43" s="138"/>
      <c r="W43" s="138"/>
      <c r="X43" s="138"/>
      <c r="Y43" s="138"/>
      <c r="Z43" s="138"/>
      <c r="AA43" s="159"/>
      <c r="AB43" s="334"/>
      <c r="AC43" s="335"/>
      <c r="AD43" s="335"/>
      <c r="AE43" s="335"/>
      <c r="AF43" s="335"/>
      <c r="AG43" s="335"/>
      <c r="AH43" s="335"/>
      <c r="AI43" s="335"/>
      <c r="AJ43" s="335"/>
      <c r="AK43" s="335"/>
      <c r="AL43" s="335"/>
      <c r="AM43" s="335"/>
      <c r="AN43" s="335"/>
      <c r="AO43" s="335"/>
      <c r="AP43" s="335"/>
      <c r="AQ43" s="335"/>
      <c r="AR43" s="335"/>
      <c r="AS43" s="335"/>
      <c r="AT43" s="335"/>
      <c r="AU43" s="335"/>
      <c r="AV43" s="335"/>
      <c r="AW43" s="335"/>
      <c r="AX43" s="335"/>
      <c r="AY43" s="335"/>
      <c r="AZ43" s="336"/>
      <c r="BA43" s="136"/>
      <c r="BB43" s="136"/>
      <c r="BC43" s="136"/>
      <c r="BD43" s="136"/>
      <c r="BE43" s="136"/>
      <c r="BF43" s="136"/>
      <c r="BG43" s="136"/>
      <c r="BH43" s="136"/>
      <c r="BI43" s="136"/>
      <c r="BJ43" s="136"/>
      <c r="BK43" s="136"/>
      <c r="BL43" s="136"/>
      <c r="BM43" s="136"/>
      <c r="BN43" s="136"/>
      <c r="BO43" s="136"/>
      <c r="BP43" s="136"/>
      <c r="BQ43" s="136"/>
      <c r="BR43" s="136"/>
      <c r="BS43" s="136"/>
      <c r="BT43" s="136"/>
      <c r="BU43" s="136"/>
      <c r="BV43" s="136"/>
    </row>
    <row r="44" spans="1:74" s="143" customFormat="1" ht="15" customHeight="1" thickBot="1">
      <c r="A44" s="136"/>
      <c r="B44" s="160" t="s">
        <v>63</v>
      </c>
      <c r="C44" s="161"/>
      <c r="D44" s="161"/>
      <c r="E44" s="161"/>
      <c r="F44" s="161"/>
      <c r="G44" s="161"/>
      <c r="H44" s="161"/>
      <c r="I44" s="161"/>
      <c r="J44" s="161"/>
      <c r="K44" s="161"/>
      <c r="L44" s="161"/>
      <c r="M44" s="161"/>
      <c r="N44" s="161"/>
      <c r="O44" s="161"/>
      <c r="P44" s="161"/>
      <c r="Q44" s="161"/>
      <c r="R44" s="161"/>
      <c r="S44" s="161"/>
      <c r="T44" s="161"/>
      <c r="U44" s="161"/>
      <c r="V44" s="161"/>
      <c r="W44" s="161"/>
      <c r="X44" s="161"/>
      <c r="Y44" s="161"/>
      <c r="Z44" s="161"/>
      <c r="AA44" s="161"/>
      <c r="AB44" s="161"/>
      <c r="AC44" s="161"/>
      <c r="AD44" s="161"/>
      <c r="AE44" s="161"/>
      <c r="AF44" s="161"/>
      <c r="AG44" s="161"/>
      <c r="AH44" s="161"/>
      <c r="AI44" s="161"/>
      <c r="AJ44" s="161"/>
      <c r="AK44" s="161"/>
      <c r="AL44" s="161"/>
      <c r="AM44" s="161"/>
      <c r="AN44" s="161"/>
      <c r="AO44" s="161"/>
      <c r="AP44" s="161"/>
      <c r="AQ44" s="161"/>
      <c r="AR44" s="161"/>
      <c r="AS44" s="161"/>
      <c r="AT44" s="161"/>
      <c r="AU44" s="161"/>
      <c r="AV44" s="161"/>
      <c r="AW44" s="161"/>
      <c r="AX44" s="161"/>
      <c r="AY44" s="161"/>
      <c r="AZ44" s="162"/>
      <c r="BA44" s="136"/>
      <c r="BB44" s="136"/>
      <c r="BC44" s="136"/>
      <c r="BD44" s="136"/>
      <c r="BE44" s="136"/>
      <c r="BF44" s="136"/>
      <c r="BG44" s="136"/>
      <c r="BH44" s="136"/>
      <c r="BI44" s="136"/>
      <c r="BJ44" s="136"/>
      <c r="BK44" s="136"/>
      <c r="BL44" s="136"/>
      <c r="BM44" s="136"/>
      <c r="BN44" s="136"/>
      <c r="BO44" s="136"/>
      <c r="BP44" s="136"/>
      <c r="BQ44" s="136"/>
      <c r="BR44" s="136"/>
      <c r="BS44" s="136"/>
      <c r="BT44" s="136"/>
      <c r="BU44" s="136"/>
      <c r="BV44" s="136"/>
    </row>
    <row r="45" spans="1:74" s="143" customFormat="1" ht="15" customHeight="1">
      <c r="A45" s="136"/>
      <c r="B45" s="137"/>
      <c r="C45" s="332" t="s">
        <v>56</v>
      </c>
      <c r="D45" s="333"/>
      <c r="E45" s="333"/>
      <c r="F45" s="333"/>
      <c r="G45" s="333"/>
      <c r="H45" s="333"/>
      <c r="I45" s="333"/>
      <c r="J45" s="333"/>
      <c r="K45" s="333"/>
      <c r="L45" s="333"/>
      <c r="M45" s="333"/>
      <c r="N45" s="333"/>
      <c r="O45" s="333"/>
      <c r="P45" s="333"/>
      <c r="Q45" s="333"/>
      <c r="R45" s="333"/>
      <c r="S45" s="333"/>
      <c r="T45" s="333"/>
      <c r="U45" s="333"/>
      <c r="V45" s="333"/>
      <c r="W45" s="333"/>
      <c r="X45" s="333"/>
      <c r="Y45" s="333"/>
      <c r="Z45" s="333"/>
      <c r="AA45" s="333"/>
      <c r="AB45" s="333"/>
      <c r="AC45" s="333"/>
      <c r="AD45" s="333"/>
      <c r="AE45" s="333"/>
      <c r="AF45" s="333"/>
      <c r="AG45" s="333"/>
      <c r="AH45" s="333"/>
      <c r="AI45" s="333"/>
      <c r="AJ45" s="333"/>
      <c r="AK45" s="333"/>
      <c r="AL45" s="333"/>
      <c r="AM45" s="333"/>
      <c r="AN45" s="333"/>
      <c r="AO45" s="333"/>
      <c r="AP45" s="333"/>
      <c r="AQ45" s="333"/>
      <c r="AR45" s="333"/>
      <c r="AS45" s="333"/>
      <c r="AT45" s="138"/>
      <c r="AU45" s="138" t="s">
        <v>64</v>
      </c>
      <c r="AV45" s="138"/>
      <c r="AW45" s="138"/>
      <c r="AX45" s="138"/>
      <c r="AY45" s="138"/>
      <c r="AZ45" s="141"/>
      <c r="BA45" s="136"/>
      <c r="BB45" s="136"/>
      <c r="BC45" s="136"/>
      <c r="BD45" s="136"/>
      <c r="BE45" s="136"/>
      <c r="BF45" s="136"/>
      <c r="BG45" s="136"/>
      <c r="BH45" s="136"/>
      <c r="BI45" s="136"/>
      <c r="BJ45" s="136"/>
      <c r="BK45" s="136"/>
      <c r="BL45" s="136"/>
      <c r="BM45" s="136"/>
      <c r="BN45" s="136"/>
      <c r="BO45" s="136"/>
      <c r="BP45" s="136"/>
      <c r="BQ45" s="136"/>
      <c r="BR45" s="136"/>
      <c r="BS45" s="136"/>
      <c r="BT45" s="136"/>
      <c r="BU45" s="136"/>
      <c r="BV45" s="136"/>
    </row>
    <row r="46" spans="1:74" s="143" customFormat="1" ht="15" customHeight="1">
      <c r="A46" s="136"/>
      <c r="B46" s="137"/>
      <c r="C46" s="332" t="s">
        <v>56</v>
      </c>
      <c r="D46" s="333"/>
      <c r="E46" s="333"/>
      <c r="F46" s="333"/>
      <c r="G46" s="333"/>
      <c r="H46" s="333"/>
      <c r="I46" s="333"/>
      <c r="J46" s="333"/>
      <c r="K46" s="333"/>
      <c r="L46" s="333"/>
      <c r="M46" s="333"/>
      <c r="N46" s="333"/>
      <c r="O46" s="333"/>
      <c r="P46" s="333"/>
      <c r="Q46" s="333"/>
      <c r="R46" s="333"/>
      <c r="S46" s="333"/>
      <c r="T46" s="333"/>
      <c r="U46" s="333"/>
      <c r="V46" s="333"/>
      <c r="W46" s="333"/>
      <c r="X46" s="333"/>
      <c r="Y46" s="333"/>
      <c r="Z46" s="333"/>
      <c r="AA46" s="333"/>
      <c r="AB46" s="333"/>
      <c r="AC46" s="333"/>
      <c r="AD46" s="333"/>
      <c r="AE46" s="333"/>
      <c r="AF46" s="333"/>
      <c r="AG46" s="333"/>
      <c r="AH46" s="333"/>
      <c r="AI46" s="333"/>
      <c r="AJ46" s="333"/>
      <c r="AK46" s="333"/>
      <c r="AL46" s="333"/>
      <c r="AM46" s="333"/>
      <c r="AN46" s="333"/>
      <c r="AO46" s="333"/>
      <c r="AP46" s="333"/>
      <c r="AQ46" s="333"/>
      <c r="AR46" s="333"/>
      <c r="AS46" s="333"/>
      <c r="AT46" s="138"/>
      <c r="AU46" s="163" t="s">
        <v>65</v>
      </c>
      <c r="AV46" s="138"/>
      <c r="AW46" s="138"/>
      <c r="AX46" s="138"/>
      <c r="AY46" s="138"/>
      <c r="AZ46" s="141"/>
      <c r="BA46" s="136"/>
      <c r="BB46" s="136"/>
      <c r="BC46" s="136"/>
      <c r="BD46" s="136"/>
      <c r="BE46" s="136"/>
      <c r="BF46" s="136"/>
      <c r="BG46" s="136"/>
      <c r="BH46" s="136"/>
      <c r="BI46" s="136"/>
      <c r="BJ46" s="136"/>
      <c r="BK46" s="136"/>
      <c r="BL46" s="136"/>
      <c r="BM46" s="136"/>
      <c r="BN46" s="136"/>
      <c r="BO46" s="136"/>
      <c r="BP46" s="136"/>
      <c r="BQ46" s="136"/>
      <c r="BR46" s="136"/>
      <c r="BS46" s="136"/>
      <c r="BT46" s="136"/>
      <c r="BU46" s="136"/>
      <c r="BV46" s="136"/>
    </row>
    <row r="47" spans="1:74" s="143" customFormat="1" ht="12.75">
      <c r="A47" s="136"/>
      <c r="B47" s="137"/>
      <c r="C47" s="333" t="s">
        <v>56</v>
      </c>
      <c r="D47" s="333"/>
      <c r="E47" s="333"/>
      <c r="F47" s="333"/>
      <c r="G47" s="333"/>
      <c r="H47" s="333"/>
      <c r="I47" s="333"/>
      <c r="J47" s="333"/>
      <c r="K47" s="333"/>
      <c r="L47" s="333"/>
      <c r="M47" s="333"/>
      <c r="N47" s="333"/>
      <c r="O47" s="333"/>
      <c r="P47" s="333"/>
      <c r="Q47" s="333"/>
      <c r="R47" s="333"/>
      <c r="S47" s="333"/>
      <c r="T47" s="333"/>
      <c r="U47" s="333"/>
      <c r="V47" s="333"/>
      <c r="W47" s="333"/>
      <c r="X47" s="333"/>
      <c r="Y47" s="333"/>
      <c r="Z47" s="333"/>
      <c r="AA47" s="333"/>
      <c r="AB47" s="333"/>
      <c r="AC47" s="333"/>
      <c r="AD47" s="333"/>
      <c r="AE47" s="333"/>
      <c r="AF47" s="333"/>
      <c r="AG47" s="333"/>
      <c r="AH47" s="333"/>
      <c r="AI47" s="333"/>
      <c r="AJ47" s="333"/>
      <c r="AK47" s="333"/>
      <c r="AL47" s="333"/>
      <c r="AM47" s="333"/>
      <c r="AN47" s="333"/>
      <c r="AO47" s="333"/>
      <c r="AP47" s="333"/>
      <c r="AQ47" s="333"/>
      <c r="AR47" s="333"/>
      <c r="AS47" s="333"/>
      <c r="AT47" s="138"/>
      <c r="AU47" s="138"/>
      <c r="AV47" s="164"/>
      <c r="AW47" s="164"/>
      <c r="AX47" s="138" t="s">
        <v>45</v>
      </c>
      <c r="AY47" s="138"/>
      <c r="AZ47" s="141"/>
      <c r="BA47" s="136"/>
      <c r="BB47" s="136"/>
      <c r="BC47" s="136"/>
      <c r="BD47" s="136"/>
      <c r="BE47" s="136"/>
      <c r="BF47" s="136"/>
      <c r="BG47" s="136"/>
      <c r="BH47" s="136"/>
      <c r="BI47" s="136"/>
      <c r="BJ47" s="136"/>
      <c r="BK47" s="136"/>
      <c r="BL47" s="136"/>
      <c r="BM47" s="136"/>
      <c r="BN47" s="136"/>
      <c r="BO47" s="136"/>
      <c r="BP47" s="136"/>
      <c r="BQ47" s="136"/>
      <c r="BR47" s="136"/>
      <c r="BS47" s="136"/>
      <c r="BT47" s="136"/>
      <c r="BU47" s="136"/>
      <c r="BV47" s="136"/>
    </row>
    <row r="48" spans="1:74" s="143" customFormat="1" ht="15" customHeight="1">
      <c r="A48" s="136"/>
      <c r="B48" s="137"/>
      <c r="C48" s="333" t="s">
        <v>56</v>
      </c>
      <c r="D48" s="333"/>
      <c r="E48" s="333"/>
      <c r="F48" s="333"/>
      <c r="G48" s="333"/>
      <c r="H48" s="333"/>
      <c r="I48" s="333"/>
      <c r="J48" s="333"/>
      <c r="K48" s="333"/>
      <c r="L48" s="333"/>
      <c r="M48" s="333"/>
      <c r="N48" s="333"/>
      <c r="O48" s="333"/>
      <c r="P48" s="333"/>
      <c r="Q48" s="333"/>
      <c r="R48" s="333"/>
      <c r="S48" s="333"/>
      <c r="T48" s="333"/>
      <c r="U48" s="333"/>
      <c r="V48" s="333"/>
      <c r="W48" s="333"/>
      <c r="X48" s="333"/>
      <c r="Y48" s="333"/>
      <c r="Z48" s="333"/>
      <c r="AA48" s="333"/>
      <c r="AB48" s="333"/>
      <c r="AC48" s="333"/>
      <c r="AD48" s="333"/>
      <c r="AE48" s="333"/>
      <c r="AF48" s="333"/>
      <c r="AG48" s="333"/>
      <c r="AH48" s="333"/>
      <c r="AI48" s="333"/>
      <c r="AJ48" s="333"/>
      <c r="AK48" s="333"/>
      <c r="AL48" s="333"/>
      <c r="AM48" s="333"/>
      <c r="AN48" s="333"/>
      <c r="AO48" s="333"/>
      <c r="AP48" s="333"/>
      <c r="AQ48" s="333"/>
      <c r="AR48" s="333"/>
      <c r="AS48" s="333"/>
      <c r="AT48" s="138"/>
      <c r="AU48" s="138"/>
      <c r="AV48" s="138"/>
      <c r="AW48" s="164"/>
      <c r="AX48" s="138" t="s">
        <v>66</v>
      </c>
      <c r="AY48" s="138"/>
      <c r="AZ48" s="141"/>
      <c r="BA48" s="136"/>
      <c r="BB48" s="136"/>
      <c r="BC48" s="136"/>
      <c r="BD48" s="136"/>
      <c r="BE48" s="136"/>
      <c r="BF48" s="136"/>
      <c r="BG48" s="136"/>
      <c r="BH48" s="136"/>
      <c r="BI48" s="136"/>
      <c r="BJ48" s="136"/>
      <c r="BK48" s="136"/>
      <c r="BL48" s="136"/>
      <c r="BM48" s="136"/>
      <c r="BN48" s="136"/>
      <c r="BO48" s="136"/>
      <c r="BP48" s="136"/>
      <c r="BQ48" s="136"/>
      <c r="BR48" s="136"/>
      <c r="BS48" s="136"/>
      <c r="BT48" s="136"/>
      <c r="BU48" s="136"/>
      <c r="BV48" s="136"/>
    </row>
    <row r="49" spans="1:109" s="143" customFormat="1" ht="3.75" customHeight="1" thickBot="1">
      <c r="A49" s="136"/>
      <c r="B49" s="137"/>
      <c r="C49" s="165"/>
      <c r="D49" s="165"/>
      <c r="E49" s="165"/>
      <c r="F49" s="165"/>
      <c r="G49" s="165"/>
      <c r="H49" s="165"/>
      <c r="I49" s="165"/>
      <c r="J49" s="165"/>
      <c r="K49" s="165"/>
      <c r="L49" s="165"/>
      <c r="M49" s="165"/>
      <c r="N49" s="165"/>
      <c r="O49" s="165"/>
      <c r="P49" s="165"/>
      <c r="Q49" s="165"/>
      <c r="R49" s="165"/>
      <c r="S49" s="165"/>
      <c r="T49" s="165"/>
      <c r="U49" s="165"/>
      <c r="V49" s="165"/>
      <c r="W49" s="165"/>
      <c r="X49" s="165"/>
      <c r="Y49" s="165"/>
      <c r="Z49" s="165"/>
      <c r="AA49" s="165"/>
      <c r="AB49" s="165"/>
      <c r="AC49" s="165"/>
      <c r="AD49" s="165"/>
      <c r="AE49" s="165"/>
      <c r="AF49" s="165"/>
      <c r="AG49" s="165"/>
      <c r="AH49" s="165"/>
      <c r="AI49" s="165"/>
      <c r="AJ49" s="165"/>
      <c r="AK49" s="165"/>
      <c r="AL49" s="165"/>
      <c r="AM49" s="165"/>
      <c r="AN49" s="165"/>
      <c r="AO49" s="165"/>
      <c r="AP49" s="165"/>
      <c r="AQ49" s="165"/>
      <c r="AR49" s="165"/>
      <c r="AS49" s="165"/>
      <c r="AT49" s="138"/>
      <c r="AU49" s="138"/>
      <c r="AV49" s="138"/>
      <c r="AW49" s="138"/>
      <c r="AX49" s="138"/>
      <c r="AY49" s="138"/>
      <c r="AZ49" s="141"/>
      <c r="BA49" s="136"/>
      <c r="BB49" s="136"/>
      <c r="BC49" s="136"/>
      <c r="BD49" s="136"/>
      <c r="BE49" s="136"/>
      <c r="BF49" s="136"/>
      <c r="BG49" s="136"/>
      <c r="BH49" s="136"/>
      <c r="BI49" s="136"/>
      <c r="BJ49" s="136"/>
      <c r="BK49" s="136"/>
      <c r="BL49" s="136"/>
      <c r="BM49" s="136"/>
      <c r="BN49" s="136"/>
      <c r="BO49" s="136"/>
      <c r="BP49" s="136"/>
      <c r="BQ49" s="136"/>
      <c r="BR49" s="136"/>
      <c r="BS49" s="136"/>
      <c r="BT49" s="136"/>
      <c r="BU49" s="136"/>
      <c r="BV49" s="136"/>
    </row>
    <row r="50" spans="1:109" s="143" customFormat="1" ht="13.5" thickBot="1">
      <c r="A50" s="136"/>
      <c r="B50" s="433" t="s">
        <v>67</v>
      </c>
      <c r="C50" s="434"/>
      <c r="D50" s="434"/>
      <c r="E50" s="434"/>
      <c r="F50" s="434"/>
      <c r="G50" s="434"/>
      <c r="H50" s="434"/>
      <c r="I50" s="434"/>
      <c r="J50" s="434"/>
      <c r="K50" s="434"/>
      <c r="L50" s="434"/>
      <c r="M50" s="434"/>
      <c r="N50" s="434"/>
      <c r="O50" s="434"/>
      <c r="P50" s="434"/>
      <c r="Q50" s="434"/>
      <c r="R50" s="434"/>
      <c r="S50" s="434"/>
      <c r="T50" s="434"/>
      <c r="U50" s="434"/>
      <c r="V50" s="434"/>
      <c r="W50" s="434"/>
      <c r="X50" s="434"/>
      <c r="Y50" s="434"/>
      <c r="Z50" s="434"/>
      <c r="AA50" s="434"/>
      <c r="AB50" s="434"/>
      <c r="AC50" s="434"/>
      <c r="AD50" s="434"/>
      <c r="AE50" s="434"/>
      <c r="AF50" s="434"/>
      <c r="AG50" s="434"/>
      <c r="AH50" s="434"/>
      <c r="AI50" s="434"/>
      <c r="AJ50" s="434"/>
      <c r="AK50" s="434"/>
      <c r="AL50" s="434"/>
      <c r="AM50" s="434"/>
      <c r="AN50" s="434"/>
      <c r="AO50" s="434"/>
      <c r="AP50" s="434"/>
      <c r="AQ50" s="434"/>
      <c r="AR50" s="434"/>
      <c r="AS50" s="434"/>
      <c r="AT50" s="434"/>
      <c r="AU50" s="434"/>
      <c r="AV50" s="434"/>
      <c r="AW50" s="434"/>
      <c r="AX50" s="434"/>
      <c r="AY50" s="434"/>
      <c r="AZ50" s="435"/>
      <c r="BA50" s="136"/>
      <c r="BB50" s="136"/>
      <c r="BC50" s="136"/>
      <c r="BD50" s="136"/>
      <c r="BE50" s="136"/>
      <c r="BF50" s="136"/>
      <c r="BG50" s="136"/>
      <c r="BH50" s="136"/>
      <c r="BI50" s="136"/>
      <c r="BJ50" s="136"/>
      <c r="BK50" s="136"/>
      <c r="BL50" s="136"/>
      <c r="BM50" s="136"/>
      <c r="BN50" s="136"/>
      <c r="BO50" s="136"/>
      <c r="BP50" s="136"/>
      <c r="BQ50" s="136"/>
      <c r="BR50" s="136"/>
      <c r="BS50" s="136"/>
      <c r="BT50" s="136"/>
      <c r="BU50" s="136"/>
      <c r="BV50" s="136"/>
    </row>
    <row r="51" spans="1:109" s="143" customFormat="1" ht="12.75" thickBot="1">
      <c r="A51" s="136"/>
      <c r="B51" s="166"/>
      <c r="C51" s="167"/>
      <c r="D51" s="167"/>
      <c r="E51" s="167"/>
      <c r="F51" s="167"/>
      <c r="G51" s="167"/>
      <c r="H51" s="167"/>
      <c r="I51" s="167"/>
      <c r="J51" s="167"/>
      <c r="K51" s="167"/>
      <c r="L51" s="167"/>
      <c r="M51" s="167"/>
      <c r="N51" s="167"/>
      <c r="O51" s="167"/>
      <c r="P51" s="167"/>
      <c r="Q51" s="167"/>
      <c r="R51" s="167"/>
      <c r="S51" s="167"/>
      <c r="T51" s="167"/>
      <c r="U51" s="167"/>
      <c r="V51" s="167"/>
      <c r="W51" s="167"/>
      <c r="X51" s="167"/>
      <c r="Y51" s="167"/>
      <c r="Z51" s="167"/>
      <c r="AA51" s="167"/>
      <c r="AB51" s="167"/>
      <c r="AC51" s="167"/>
      <c r="AD51" s="167"/>
      <c r="AE51" s="167"/>
      <c r="AF51" s="167"/>
      <c r="AG51" s="167"/>
      <c r="AH51" s="167"/>
      <c r="AI51" s="167"/>
      <c r="AJ51" s="167"/>
      <c r="AK51" s="167"/>
      <c r="AL51" s="167"/>
      <c r="AM51" s="167"/>
      <c r="AN51" s="167"/>
      <c r="AO51" s="167"/>
      <c r="AP51" s="167"/>
      <c r="AQ51" s="167"/>
      <c r="AR51" s="167"/>
      <c r="AS51" s="167"/>
      <c r="AT51" s="167"/>
      <c r="AU51" s="167"/>
      <c r="AV51" s="167"/>
      <c r="AW51" s="167"/>
      <c r="AX51" s="167"/>
      <c r="AY51" s="167"/>
      <c r="AZ51" s="168"/>
      <c r="BA51" s="136"/>
      <c r="BB51" s="136"/>
      <c r="BC51" s="136"/>
      <c r="BD51" s="136"/>
      <c r="BE51" s="136"/>
      <c r="BF51" s="136"/>
      <c r="BG51" s="136"/>
      <c r="BH51" s="136"/>
      <c r="BI51" s="136"/>
      <c r="BJ51" s="136"/>
      <c r="BK51" s="136"/>
      <c r="BL51" s="136"/>
      <c r="BM51" s="136"/>
      <c r="BN51" s="136"/>
      <c r="BO51" s="136"/>
      <c r="BP51" s="136"/>
      <c r="BQ51" s="136"/>
      <c r="BR51" s="136"/>
      <c r="BS51" s="136"/>
      <c r="BT51" s="136"/>
      <c r="BU51" s="136"/>
      <c r="BV51" s="136"/>
      <c r="DB51" s="366"/>
      <c r="DC51" s="367"/>
    </row>
    <row r="52" spans="1:109" s="7" customFormat="1" ht="12.75" customHeight="1" thickBot="1">
      <c r="A52" s="169"/>
      <c r="B52" s="170"/>
      <c r="C52" s="139"/>
      <c r="D52" s="138"/>
      <c r="E52" s="139"/>
      <c r="F52" s="171" t="s">
        <v>68</v>
      </c>
      <c r="G52" s="139"/>
      <c r="H52" s="139"/>
      <c r="I52" s="139"/>
      <c r="J52" s="139"/>
      <c r="K52" s="139"/>
      <c r="L52" s="139"/>
      <c r="M52" s="139"/>
      <c r="N52" s="139"/>
      <c r="O52" s="139"/>
      <c r="P52" s="139"/>
      <c r="Q52" s="139"/>
      <c r="R52" s="139"/>
      <c r="S52" s="139"/>
      <c r="T52" s="139"/>
      <c r="U52" s="139"/>
      <c r="V52" s="139"/>
      <c r="W52" s="139"/>
      <c r="X52" s="139"/>
      <c r="Y52" s="139"/>
      <c r="Z52" s="139"/>
      <c r="AA52" s="139"/>
      <c r="AB52" s="139"/>
      <c r="AC52" s="139"/>
      <c r="AD52" s="139"/>
      <c r="AE52" s="139"/>
      <c r="AF52" s="139"/>
      <c r="AG52" s="139"/>
      <c r="AH52" s="139"/>
      <c r="AI52" s="139"/>
      <c r="AJ52" s="139"/>
      <c r="AK52" s="139"/>
      <c r="AL52" s="139"/>
      <c r="AM52" s="139"/>
      <c r="AN52" s="139"/>
      <c r="AO52" s="139"/>
      <c r="AP52" s="139"/>
      <c r="AQ52" s="139"/>
      <c r="AR52" s="139"/>
      <c r="AS52" s="139"/>
      <c r="AT52" s="139"/>
      <c r="AU52" s="139"/>
      <c r="AV52" s="139"/>
      <c r="AW52" s="139"/>
      <c r="AX52" s="139"/>
      <c r="AY52" s="139"/>
      <c r="AZ52" s="172"/>
      <c r="BA52" s="169"/>
      <c r="BB52" s="321" t="s">
        <v>124</v>
      </c>
      <c r="BC52" s="321"/>
      <c r="BD52" s="321"/>
      <c r="BE52" s="321"/>
      <c r="BF52" s="321"/>
      <c r="BG52" s="321"/>
      <c r="BH52" s="321"/>
      <c r="BI52" s="321"/>
      <c r="BJ52" s="321"/>
      <c r="BK52" s="321"/>
      <c r="BL52" s="321"/>
      <c r="BM52" s="321"/>
      <c r="BN52" s="321"/>
      <c r="BO52" s="321"/>
      <c r="BP52" s="321"/>
      <c r="BQ52" s="321"/>
      <c r="BR52" s="321"/>
      <c r="BS52" s="321"/>
      <c r="BT52" s="321"/>
      <c r="BU52" s="321"/>
      <c r="BV52" s="169"/>
      <c r="BX52" s="363" t="s">
        <v>69</v>
      </c>
      <c r="BY52" s="364"/>
      <c r="BZ52" s="364"/>
      <c r="CA52" s="364"/>
      <c r="CB52" s="365"/>
      <c r="CC52" s="2"/>
      <c r="CD52" s="363" t="s">
        <v>69</v>
      </c>
      <c r="CE52" s="364"/>
      <c r="CF52" s="364"/>
      <c r="CG52" s="364"/>
      <c r="CH52" s="365"/>
      <c r="CI52" s="2"/>
      <c r="CJ52" s="363" t="s">
        <v>129</v>
      </c>
      <c r="CK52" s="364"/>
      <c r="CL52" s="364"/>
      <c r="CM52" s="364"/>
      <c r="CN52" s="365"/>
      <c r="CO52" s="2"/>
      <c r="CP52" s="363" t="s">
        <v>129</v>
      </c>
      <c r="CQ52" s="364"/>
      <c r="CR52" s="364"/>
      <c r="CS52" s="364"/>
      <c r="CT52" s="365"/>
      <c r="CV52" s="363" t="s">
        <v>71</v>
      </c>
      <c r="CW52" s="364"/>
      <c r="CX52" s="364"/>
      <c r="CY52" s="364"/>
      <c r="CZ52" s="365"/>
      <c r="DB52" s="368" t="s">
        <v>116</v>
      </c>
      <c r="DC52" s="369"/>
      <c r="DD52" s="353" t="s">
        <v>117</v>
      </c>
      <c r="DE52" s="353"/>
    </row>
    <row r="53" spans="1:109" s="174" customFormat="1" ht="18" customHeight="1">
      <c r="A53" s="173"/>
      <c r="B53" s="170"/>
      <c r="C53" s="139"/>
      <c r="D53" s="139"/>
      <c r="E53" s="139"/>
      <c r="F53" s="328" t="s">
        <v>27</v>
      </c>
      <c r="G53" s="328"/>
      <c r="H53" s="328"/>
      <c r="I53" s="328"/>
      <c r="J53" s="328"/>
      <c r="K53" s="328"/>
      <c r="L53" s="328" t="s">
        <v>28</v>
      </c>
      <c r="M53" s="328"/>
      <c r="N53" s="328"/>
      <c r="O53" s="328"/>
      <c r="P53" s="328"/>
      <c r="Q53" s="328"/>
      <c r="R53" s="328"/>
      <c r="S53" s="328" t="s">
        <v>72</v>
      </c>
      <c r="T53" s="328"/>
      <c r="U53" s="328"/>
      <c r="V53" s="328"/>
      <c r="W53" s="328"/>
      <c r="X53" s="328" t="s">
        <v>73</v>
      </c>
      <c r="Y53" s="328"/>
      <c r="Z53" s="328"/>
      <c r="AA53" s="328"/>
      <c r="AB53" s="328"/>
      <c r="AC53" s="328"/>
      <c r="AD53" s="328"/>
      <c r="AE53" s="328"/>
      <c r="AF53" s="328"/>
      <c r="AG53" s="328"/>
      <c r="AH53" s="328"/>
      <c r="AI53" s="328"/>
      <c r="AJ53" s="328"/>
      <c r="AK53" s="328"/>
      <c r="AL53" s="328"/>
      <c r="AM53" s="328" t="s">
        <v>74</v>
      </c>
      <c r="AN53" s="328"/>
      <c r="AO53" s="328"/>
      <c r="AP53" s="328"/>
      <c r="AQ53" s="328"/>
      <c r="AR53" s="328" t="s">
        <v>29</v>
      </c>
      <c r="AS53" s="328"/>
      <c r="AT53" s="328"/>
      <c r="AU53" s="328"/>
      <c r="AV53" s="328"/>
      <c r="AW53" s="139"/>
      <c r="AX53" s="139"/>
      <c r="AY53" s="139"/>
      <c r="AZ53" s="172"/>
      <c r="BA53" s="173"/>
      <c r="BB53" s="328" t="s">
        <v>75</v>
      </c>
      <c r="BC53" s="328"/>
      <c r="BD53" s="328"/>
      <c r="BE53" s="328"/>
      <c r="BF53" s="328"/>
      <c r="BG53" s="328" t="s">
        <v>76</v>
      </c>
      <c r="BH53" s="328"/>
      <c r="BI53" s="328"/>
      <c r="BJ53" s="328"/>
      <c r="BK53" s="328"/>
      <c r="BL53" s="328" t="s">
        <v>77</v>
      </c>
      <c r="BM53" s="328"/>
      <c r="BN53" s="328"/>
      <c r="BO53" s="328"/>
      <c r="BP53" s="328"/>
      <c r="BQ53" s="328" t="s">
        <v>78</v>
      </c>
      <c r="BR53" s="328"/>
      <c r="BS53" s="328"/>
      <c r="BT53" s="328"/>
      <c r="BU53" s="328"/>
      <c r="BV53" s="173"/>
      <c r="BX53" s="357" t="s">
        <v>79</v>
      </c>
      <c r="BY53" s="355" t="s">
        <v>114</v>
      </c>
      <c r="BZ53" s="355" t="s">
        <v>80</v>
      </c>
      <c r="CA53" s="359" t="s">
        <v>81</v>
      </c>
      <c r="CB53" s="361" t="s">
        <v>82</v>
      </c>
      <c r="CC53" s="3"/>
      <c r="CD53" s="357" t="s">
        <v>79</v>
      </c>
      <c r="CE53" s="355" t="s">
        <v>114</v>
      </c>
      <c r="CF53" s="355" t="s">
        <v>80</v>
      </c>
      <c r="CG53" s="359" t="s">
        <v>81</v>
      </c>
      <c r="CH53" s="361" t="s">
        <v>82</v>
      </c>
      <c r="CI53" s="3"/>
      <c r="CJ53" s="357" t="s">
        <v>79</v>
      </c>
      <c r="CK53" s="355" t="s">
        <v>114</v>
      </c>
      <c r="CL53" s="355" t="s">
        <v>80</v>
      </c>
      <c r="CM53" s="359" t="s">
        <v>81</v>
      </c>
      <c r="CN53" s="361" t="s">
        <v>82</v>
      </c>
      <c r="CO53" s="3"/>
      <c r="CP53" s="357" t="s">
        <v>79</v>
      </c>
      <c r="CQ53" s="355" t="s">
        <v>114</v>
      </c>
      <c r="CR53" s="355" t="s">
        <v>80</v>
      </c>
      <c r="CS53" s="359" t="s">
        <v>81</v>
      </c>
      <c r="CT53" s="361" t="s">
        <v>82</v>
      </c>
      <c r="CU53" s="8"/>
      <c r="CV53" s="119" t="s">
        <v>83</v>
      </c>
      <c r="CW53" s="101" t="s">
        <v>84</v>
      </c>
      <c r="CX53" s="121" t="s">
        <v>85</v>
      </c>
      <c r="CY53" s="357" t="s">
        <v>86</v>
      </c>
      <c r="CZ53" s="370"/>
      <c r="DA53" s="8"/>
      <c r="DB53" s="368"/>
      <c r="DC53" s="369"/>
      <c r="DD53" s="353"/>
      <c r="DE53" s="353"/>
    </row>
    <row r="54" spans="1:109" s="174" customFormat="1" ht="18" customHeight="1" thickBot="1">
      <c r="A54" s="173"/>
      <c r="B54" s="170"/>
      <c r="C54" s="139"/>
      <c r="D54" s="139"/>
      <c r="E54" s="139"/>
      <c r="F54" s="328"/>
      <c r="G54" s="328"/>
      <c r="H54" s="328"/>
      <c r="I54" s="328"/>
      <c r="J54" s="328"/>
      <c r="K54" s="328"/>
      <c r="L54" s="328"/>
      <c r="M54" s="328"/>
      <c r="N54" s="328"/>
      <c r="O54" s="328"/>
      <c r="P54" s="328"/>
      <c r="Q54" s="328"/>
      <c r="R54" s="328"/>
      <c r="S54" s="328"/>
      <c r="T54" s="328"/>
      <c r="U54" s="328"/>
      <c r="V54" s="328"/>
      <c r="W54" s="328"/>
      <c r="X54" s="328">
        <v>1</v>
      </c>
      <c r="Y54" s="328"/>
      <c r="Z54" s="328"/>
      <c r="AA54" s="328"/>
      <c r="AB54" s="328"/>
      <c r="AC54" s="328">
        <v>2</v>
      </c>
      <c r="AD54" s="328"/>
      <c r="AE54" s="328"/>
      <c r="AF54" s="328"/>
      <c r="AG54" s="328"/>
      <c r="AH54" s="328">
        <v>3</v>
      </c>
      <c r="AI54" s="328"/>
      <c r="AJ54" s="328"/>
      <c r="AK54" s="328"/>
      <c r="AL54" s="328"/>
      <c r="AM54" s="328"/>
      <c r="AN54" s="328"/>
      <c r="AO54" s="328"/>
      <c r="AP54" s="328"/>
      <c r="AQ54" s="328"/>
      <c r="AR54" s="328"/>
      <c r="AS54" s="328"/>
      <c r="AT54" s="328"/>
      <c r="AU54" s="328"/>
      <c r="AV54" s="328"/>
      <c r="AW54" s="139"/>
      <c r="AX54" s="139"/>
      <c r="AY54" s="139"/>
      <c r="AZ54" s="172"/>
      <c r="BA54" s="173"/>
      <c r="BB54" s="328"/>
      <c r="BC54" s="328"/>
      <c r="BD54" s="328"/>
      <c r="BE54" s="328"/>
      <c r="BF54" s="328"/>
      <c r="BG54" s="328"/>
      <c r="BH54" s="328"/>
      <c r="BI54" s="328"/>
      <c r="BJ54" s="328"/>
      <c r="BK54" s="328"/>
      <c r="BL54" s="328"/>
      <c r="BM54" s="328"/>
      <c r="BN54" s="328"/>
      <c r="BO54" s="328"/>
      <c r="BP54" s="328"/>
      <c r="BQ54" s="328"/>
      <c r="BR54" s="328"/>
      <c r="BS54" s="328"/>
      <c r="BT54" s="328"/>
      <c r="BU54" s="328"/>
      <c r="BV54" s="173"/>
      <c r="BX54" s="358"/>
      <c r="BY54" s="356"/>
      <c r="BZ54" s="356"/>
      <c r="CA54" s="360"/>
      <c r="CB54" s="362"/>
      <c r="CC54" s="3"/>
      <c r="CD54" s="358"/>
      <c r="CE54" s="356"/>
      <c r="CF54" s="356"/>
      <c r="CG54" s="360"/>
      <c r="CH54" s="362"/>
      <c r="CI54" s="3"/>
      <c r="CJ54" s="358"/>
      <c r="CK54" s="356"/>
      <c r="CL54" s="356"/>
      <c r="CM54" s="360"/>
      <c r="CN54" s="362"/>
      <c r="CO54" s="3"/>
      <c r="CP54" s="358"/>
      <c r="CQ54" s="356"/>
      <c r="CR54" s="356"/>
      <c r="CS54" s="360"/>
      <c r="CT54" s="362"/>
      <c r="CU54" s="8"/>
      <c r="CV54" s="120" t="s">
        <v>87</v>
      </c>
      <c r="CW54" s="102" t="s">
        <v>88</v>
      </c>
      <c r="CX54" s="122" t="s">
        <v>89</v>
      </c>
      <c r="CY54" s="358" t="s">
        <v>90</v>
      </c>
      <c r="CZ54" s="371"/>
      <c r="DA54" s="8"/>
      <c r="DB54" s="368"/>
      <c r="DC54" s="369"/>
      <c r="DD54" s="353"/>
      <c r="DE54" s="353"/>
    </row>
    <row r="55" spans="1:109" s="174" customFormat="1" ht="18" customHeight="1">
      <c r="A55" s="173"/>
      <c r="B55" s="170"/>
      <c r="C55" s="139"/>
      <c r="D55" s="139"/>
      <c r="E55" s="139"/>
      <c r="F55" s="310" t="s">
        <v>134</v>
      </c>
      <c r="G55" s="311"/>
      <c r="H55" s="311"/>
      <c r="I55" s="311"/>
      <c r="J55" s="311"/>
      <c r="K55" s="312"/>
      <c r="L55" s="297">
        <v>60</v>
      </c>
      <c r="M55" s="298"/>
      <c r="N55" s="298"/>
      <c r="O55" s="298"/>
      <c r="P55" s="299" t="s">
        <v>91</v>
      </c>
      <c r="Q55" s="299"/>
      <c r="R55" s="300"/>
      <c r="S55" s="301"/>
      <c r="T55" s="301"/>
      <c r="U55" s="301"/>
      <c r="V55" s="301"/>
      <c r="W55" s="301"/>
      <c r="X55" s="291">
        <v>60</v>
      </c>
      <c r="Y55" s="291"/>
      <c r="Z55" s="291"/>
      <c r="AA55" s="291"/>
      <c r="AB55" s="291"/>
      <c r="AC55" s="325">
        <v>60</v>
      </c>
      <c r="AD55" s="326"/>
      <c r="AE55" s="326"/>
      <c r="AF55" s="326"/>
      <c r="AG55" s="327"/>
      <c r="AH55" s="325">
        <v>60</v>
      </c>
      <c r="AI55" s="326"/>
      <c r="AJ55" s="326"/>
      <c r="AK55" s="326"/>
      <c r="AL55" s="327"/>
      <c r="AM55" s="291">
        <f t="shared" ref="AM55:AM68" si="0">AVERAGE(X55:AL55)</f>
        <v>60</v>
      </c>
      <c r="AN55" s="291"/>
      <c r="AO55" s="291"/>
      <c r="AP55" s="291"/>
      <c r="AQ55" s="291"/>
      <c r="AR55" s="291">
        <f>AM55-L55</f>
        <v>0</v>
      </c>
      <c r="AS55" s="291"/>
      <c r="AT55" s="291"/>
      <c r="AU55" s="291"/>
      <c r="AV55" s="291"/>
      <c r="AW55" s="139"/>
      <c r="AX55" s="139"/>
      <c r="AY55" s="139"/>
      <c r="AZ55" s="172"/>
      <c r="BA55" s="173"/>
      <c r="BB55" s="303">
        <f>ABS(AM55*0.1%)+(1*CK55)</f>
        <v>0.16</v>
      </c>
      <c r="BC55" s="303"/>
      <c r="BD55" s="303"/>
      <c r="BE55" s="303"/>
      <c r="BF55" s="303"/>
      <c r="BG55" s="303">
        <f>L55+BB55</f>
        <v>60.16</v>
      </c>
      <c r="BH55" s="303"/>
      <c r="BI55" s="303"/>
      <c r="BJ55" s="303"/>
      <c r="BK55" s="303"/>
      <c r="BL55" s="303">
        <f>L55-BB55</f>
        <v>59.84</v>
      </c>
      <c r="BM55" s="303"/>
      <c r="BN55" s="303"/>
      <c r="BO55" s="303"/>
      <c r="BP55" s="303"/>
      <c r="BQ55" s="292" t="str">
        <f>IF(AND(AM55&lt;=BG55,AM55&gt;=BL55),"PASS","FAIL")</f>
        <v>PASS</v>
      </c>
      <c r="BR55" s="292"/>
      <c r="BS55" s="292"/>
      <c r="BT55" s="292"/>
      <c r="BU55" s="292"/>
      <c r="BV55" s="173"/>
      <c r="BX55" s="75" t="s">
        <v>128</v>
      </c>
      <c r="BY55" s="221">
        <v>7.6999999999999996E-4</v>
      </c>
      <c r="BZ55" s="76" t="str">
        <f>P55</f>
        <v>mV</v>
      </c>
      <c r="CA55" s="175">
        <v>2</v>
      </c>
      <c r="CB55" s="77">
        <f>BY55/CA55</f>
        <v>3.8499999999999998E-4</v>
      </c>
      <c r="CC55" s="4"/>
      <c r="CD55" s="70" t="s">
        <v>130</v>
      </c>
      <c r="CE55" s="90">
        <v>0</v>
      </c>
      <c r="CF55" s="91" t="str">
        <f>BZ55</f>
        <v>mV</v>
      </c>
      <c r="CG55" s="80">
        <f>SQRT(3)</f>
        <v>1.7320508075688772</v>
      </c>
      <c r="CH55" s="77">
        <f>CE55/CG55</f>
        <v>0</v>
      </c>
      <c r="CI55" s="4"/>
      <c r="CJ55" s="70" t="s">
        <v>92</v>
      </c>
      <c r="CK55" s="176">
        <v>0.1</v>
      </c>
      <c r="CL55" s="71" t="str">
        <f t="shared" ref="CL55:CL68" si="1">P55</f>
        <v>mV</v>
      </c>
      <c r="CM55" s="80">
        <f>SQRT(12)</f>
        <v>3.4641016151377544</v>
      </c>
      <c r="CN55" s="77">
        <f>CK55/CM55</f>
        <v>2.8867513459481291E-2</v>
      </c>
      <c r="CO55" s="4"/>
      <c r="CP55" s="70" t="s">
        <v>70</v>
      </c>
      <c r="CQ55" s="83">
        <f>STDEV(X55:AL55)</f>
        <v>0</v>
      </c>
      <c r="CR55" s="71" t="str">
        <f t="shared" ref="CR55:CR68" si="2">P55</f>
        <v>mV</v>
      </c>
      <c r="CS55" s="80">
        <f>SQRT(3)</f>
        <v>1.7320508075688772</v>
      </c>
      <c r="CT55" s="85">
        <f>CQ55/CS55</f>
        <v>0</v>
      </c>
      <c r="CU55" s="8"/>
      <c r="CV55" s="92">
        <f>SQRT(SUMSQ(CT55,CN55,CH55,CB55))</f>
        <v>2.8870080677638112E-2</v>
      </c>
      <c r="CW55" s="88">
        <f>(CV55^4)/(((CT55^4)/2)+((CN55^4)/200)+((CH55^4)/200)+((CB55^4)/200))</f>
        <v>200.07114799774902</v>
      </c>
      <c r="CX55" s="93">
        <f>ROUND(TINV(0.05,CW55),0)</f>
        <v>2</v>
      </c>
      <c r="CY55" s="103">
        <f>(CV55*CX55)</f>
        <v>5.7740161355276223E-2</v>
      </c>
      <c r="CZ55" s="104" t="str">
        <f t="shared" ref="CZ55:CZ68" si="3">P55</f>
        <v>mV</v>
      </c>
      <c r="DA55" s="8"/>
      <c r="DB55" s="177">
        <v>1.6000000000000001E-3</v>
      </c>
      <c r="DC55" s="178" t="str">
        <f>CZ55</f>
        <v>mV</v>
      </c>
      <c r="DD55" s="220">
        <f>MAX(DB55,CY55)</f>
        <v>5.7740161355276223E-2</v>
      </c>
      <c r="DE55" s="178" t="s">
        <v>157</v>
      </c>
    </row>
    <row r="56" spans="1:109" s="174" customFormat="1" ht="18" customHeight="1">
      <c r="A56" s="173"/>
      <c r="B56" s="170"/>
      <c r="C56" s="139"/>
      <c r="D56" s="139"/>
      <c r="E56" s="139"/>
      <c r="F56" s="313"/>
      <c r="G56" s="314"/>
      <c r="H56" s="314"/>
      <c r="I56" s="314"/>
      <c r="J56" s="314"/>
      <c r="K56" s="315"/>
      <c r="L56" s="297">
        <f>600*90%</f>
        <v>540</v>
      </c>
      <c r="M56" s="298"/>
      <c r="N56" s="298"/>
      <c r="O56" s="298"/>
      <c r="P56" s="299" t="s">
        <v>91</v>
      </c>
      <c r="Q56" s="299"/>
      <c r="R56" s="300"/>
      <c r="S56" s="301" t="s">
        <v>56</v>
      </c>
      <c r="T56" s="301"/>
      <c r="U56" s="301"/>
      <c r="V56" s="301"/>
      <c r="W56" s="301"/>
      <c r="X56" s="291">
        <v>540</v>
      </c>
      <c r="Y56" s="291"/>
      <c r="Z56" s="291"/>
      <c r="AA56" s="291"/>
      <c r="AB56" s="291"/>
      <c r="AC56" s="291">
        <v>540</v>
      </c>
      <c r="AD56" s="291"/>
      <c r="AE56" s="291"/>
      <c r="AF56" s="291"/>
      <c r="AG56" s="291"/>
      <c r="AH56" s="291">
        <v>540</v>
      </c>
      <c r="AI56" s="291"/>
      <c r="AJ56" s="291"/>
      <c r="AK56" s="291"/>
      <c r="AL56" s="291"/>
      <c r="AM56" s="325">
        <f t="shared" si="0"/>
        <v>540</v>
      </c>
      <c r="AN56" s="326"/>
      <c r="AO56" s="326"/>
      <c r="AP56" s="326"/>
      <c r="AQ56" s="327"/>
      <c r="AR56" s="325">
        <f t="shared" ref="AR56:AR68" si="4">AM56-L56</f>
        <v>0</v>
      </c>
      <c r="AS56" s="326"/>
      <c r="AT56" s="326"/>
      <c r="AU56" s="326"/>
      <c r="AV56" s="327"/>
      <c r="AW56" s="139"/>
      <c r="AX56" s="139"/>
      <c r="AY56" s="139"/>
      <c r="AZ56" s="172"/>
      <c r="BA56" s="173"/>
      <c r="BB56" s="322">
        <f t="shared" ref="BB56:BB71" si="5">ABS(AM56*0.1%)+(1*CK56)</f>
        <v>0.64</v>
      </c>
      <c r="BC56" s="323"/>
      <c r="BD56" s="323"/>
      <c r="BE56" s="323"/>
      <c r="BF56" s="324"/>
      <c r="BG56" s="322">
        <f t="shared" ref="BG56:BG71" si="6">L56+BB56</f>
        <v>540.64</v>
      </c>
      <c r="BH56" s="323"/>
      <c r="BI56" s="323"/>
      <c r="BJ56" s="323"/>
      <c r="BK56" s="324"/>
      <c r="BL56" s="322">
        <f t="shared" ref="BL56:BL71" si="7">L56-BB56</f>
        <v>539.36</v>
      </c>
      <c r="BM56" s="323"/>
      <c r="BN56" s="323"/>
      <c r="BO56" s="323"/>
      <c r="BP56" s="324"/>
      <c r="BQ56" s="292" t="str">
        <f t="shared" ref="BQ56:BQ68" si="8">IF(AND(AM56&lt;=BG56,AM56&gt;=BL56),"PASS","FAIL")</f>
        <v>PASS</v>
      </c>
      <c r="BR56" s="292"/>
      <c r="BS56" s="292"/>
      <c r="BT56" s="292"/>
      <c r="BU56" s="292"/>
      <c r="BV56" s="173"/>
      <c r="BX56" s="72" t="s">
        <v>128</v>
      </c>
      <c r="BY56" s="179">
        <v>2.0999999999999999E-3</v>
      </c>
      <c r="BZ56" s="1" t="str">
        <f t="shared" ref="BZ56:BZ68" si="9">P56</f>
        <v>mV</v>
      </c>
      <c r="CA56" s="180">
        <v>2</v>
      </c>
      <c r="CB56" s="78">
        <f t="shared" ref="CB56:CB57" si="10">BY56/CA56</f>
        <v>1.0499999999999999E-3</v>
      </c>
      <c r="CC56" s="4"/>
      <c r="CD56" s="72" t="s">
        <v>130</v>
      </c>
      <c r="CE56" s="5">
        <v>0</v>
      </c>
      <c r="CF56" s="1" t="str">
        <f t="shared" ref="CF56:CF68" si="11">BZ56</f>
        <v>mV</v>
      </c>
      <c r="CG56" s="81">
        <f t="shared" ref="CG56:CG97" si="12">SQRT(3)</f>
        <v>1.7320508075688772</v>
      </c>
      <c r="CH56" s="78">
        <f t="shared" ref="CH56:CH68" si="13">CE56/CG56</f>
        <v>0</v>
      </c>
      <c r="CI56" s="4"/>
      <c r="CJ56" s="72" t="s">
        <v>92</v>
      </c>
      <c r="CK56" s="181">
        <v>0.1</v>
      </c>
      <c r="CL56" s="1" t="str">
        <f t="shared" si="1"/>
        <v>mV</v>
      </c>
      <c r="CM56" s="81">
        <f t="shared" ref="CM56:CM71" si="14">SQRT(12)</f>
        <v>3.4641016151377544</v>
      </c>
      <c r="CN56" s="78">
        <f t="shared" ref="CN56:CN68" si="15">CK56/CM56</f>
        <v>2.8867513459481291E-2</v>
      </c>
      <c r="CO56" s="4"/>
      <c r="CP56" s="72" t="s">
        <v>70</v>
      </c>
      <c r="CQ56" s="6">
        <f t="shared" ref="CQ56:CQ68" si="16">STDEV(X56:AL56)</f>
        <v>0</v>
      </c>
      <c r="CR56" s="1" t="str">
        <f t="shared" si="2"/>
        <v>mV</v>
      </c>
      <c r="CS56" s="81">
        <f t="shared" ref="CS56:CS71" si="17">SQRT(3)</f>
        <v>1.7320508075688772</v>
      </c>
      <c r="CT56" s="86">
        <f t="shared" ref="CT56:CT68" si="18">CQ56/CS56</f>
        <v>0</v>
      </c>
      <c r="CU56" s="8"/>
      <c r="CV56" s="94">
        <f t="shared" ref="CV56:CV68" si="19">SQRT(SUMSQ(CT56,CN56,CH56,CB56))</f>
        <v>2.8886603007853544E-2</v>
      </c>
      <c r="CW56" s="5">
        <f t="shared" ref="CW56:CW68" si="20">(CV56^4)/(((CT56^4)/2)+((CN56^4)/200)+((CH56^4)/200)+((CB56^4)/200))</f>
        <v>200.52919907372751</v>
      </c>
      <c r="CX56" s="95">
        <f t="shared" ref="CX56:CX57" si="21">ROUND(TINV(0.05,CW56),0)</f>
        <v>2</v>
      </c>
      <c r="CY56" s="105">
        <f t="shared" ref="CY56:CY58" si="22">(CV56*CX56)</f>
        <v>5.7773206015707089E-2</v>
      </c>
      <c r="CZ56" s="106" t="str">
        <f t="shared" si="3"/>
        <v>mV</v>
      </c>
      <c r="DA56" s="8"/>
      <c r="DB56" s="177">
        <v>1.8E-3</v>
      </c>
      <c r="DC56" s="178" t="str">
        <f t="shared" ref="DC56:DC68" si="23">CZ56</f>
        <v>mV</v>
      </c>
      <c r="DD56" s="220">
        <f t="shared" ref="DD56:DD71" si="24">MAX(DB56,CY56)</f>
        <v>5.7773206015707089E-2</v>
      </c>
      <c r="DE56" s="178" t="str">
        <f t="shared" ref="DE56:DE68" si="25">DC56</f>
        <v>mV</v>
      </c>
    </row>
    <row r="57" spans="1:109" s="174" customFormat="1" ht="18" customHeight="1">
      <c r="A57" s="173"/>
      <c r="B57" s="170"/>
      <c r="C57" s="139"/>
      <c r="D57" s="139"/>
      <c r="E57" s="139"/>
      <c r="F57" s="316"/>
      <c r="G57" s="317"/>
      <c r="H57" s="317"/>
      <c r="I57" s="317"/>
      <c r="J57" s="317"/>
      <c r="K57" s="318"/>
      <c r="L57" s="297">
        <f>600*-90%</f>
        <v>-540</v>
      </c>
      <c r="M57" s="298"/>
      <c r="N57" s="298"/>
      <c r="O57" s="298"/>
      <c r="P57" s="299" t="s">
        <v>91</v>
      </c>
      <c r="Q57" s="299"/>
      <c r="R57" s="300"/>
      <c r="S57" s="301" t="s">
        <v>56</v>
      </c>
      <c r="T57" s="301"/>
      <c r="U57" s="301"/>
      <c r="V57" s="301"/>
      <c r="W57" s="301"/>
      <c r="X57" s="291">
        <v>-540</v>
      </c>
      <c r="Y57" s="291"/>
      <c r="Z57" s="291"/>
      <c r="AA57" s="291"/>
      <c r="AB57" s="291"/>
      <c r="AC57" s="291">
        <v>-540</v>
      </c>
      <c r="AD57" s="291"/>
      <c r="AE57" s="291"/>
      <c r="AF57" s="291"/>
      <c r="AG57" s="291"/>
      <c r="AH57" s="291">
        <v>-540</v>
      </c>
      <c r="AI57" s="291"/>
      <c r="AJ57" s="291"/>
      <c r="AK57" s="291"/>
      <c r="AL57" s="291"/>
      <c r="AM57" s="291">
        <f t="shared" si="0"/>
        <v>-540</v>
      </c>
      <c r="AN57" s="291"/>
      <c r="AO57" s="291"/>
      <c r="AP57" s="291"/>
      <c r="AQ57" s="291"/>
      <c r="AR57" s="291">
        <f t="shared" si="4"/>
        <v>0</v>
      </c>
      <c r="AS57" s="291"/>
      <c r="AT57" s="291"/>
      <c r="AU57" s="291"/>
      <c r="AV57" s="291"/>
      <c r="AW57" s="139"/>
      <c r="AX57" s="139"/>
      <c r="AY57" s="139"/>
      <c r="AZ57" s="172"/>
      <c r="BA57" s="173"/>
      <c r="BB57" s="322">
        <f t="shared" si="5"/>
        <v>0.64</v>
      </c>
      <c r="BC57" s="323"/>
      <c r="BD57" s="323"/>
      <c r="BE57" s="323"/>
      <c r="BF57" s="324"/>
      <c r="BG57" s="322">
        <f t="shared" si="6"/>
        <v>-539.36</v>
      </c>
      <c r="BH57" s="323"/>
      <c r="BI57" s="323"/>
      <c r="BJ57" s="323"/>
      <c r="BK57" s="324"/>
      <c r="BL57" s="322">
        <f t="shared" si="7"/>
        <v>-540.64</v>
      </c>
      <c r="BM57" s="323"/>
      <c r="BN57" s="323"/>
      <c r="BO57" s="323"/>
      <c r="BP57" s="324"/>
      <c r="BQ57" s="292" t="str">
        <f t="shared" si="8"/>
        <v>PASS</v>
      </c>
      <c r="BR57" s="292"/>
      <c r="BS57" s="292"/>
      <c r="BT57" s="292"/>
      <c r="BU57" s="292"/>
      <c r="BV57" s="173"/>
      <c r="BX57" s="72" t="s">
        <v>128</v>
      </c>
      <c r="BY57" s="179">
        <v>2.0999999999999999E-3</v>
      </c>
      <c r="BZ57" s="1" t="str">
        <f t="shared" si="9"/>
        <v>mV</v>
      </c>
      <c r="CA57" s="180">
        <v>2</v>
      </c>
      <c r="CB57" s="78">
        <f t="shared" si="10"/>
        <v>1.0499999999999999E-3</v>
      </c>
      <c r="CC57" s="4"/>
      <c r="CD57" s="72" t="s">
        <v>130</v>
      </c>
      <c r="CE57" s="5">
        <v>0</v>
      </c>
      <c r="CF57" s="1" t="str">
        <f>BZ57</f>
        <v>mV</v>
      </c>
      <c r="CG57" s="81">
        <f t="shared" si="12"/>
        <v>1.7320508075688772</v>
      </c>
      <c r="CH57" s="78">
        <f>CE57/CG57</f>
        <v>0</v>
      </c>
      <c r="CI57" s="4"/>
      <c r="CJ57" s="72" t="s">
        <v>92</v>
      </c>
      <c r="CK57" s="181">
        <v>0.1</v>
      </c>
      <c r="CL57" s="1" t="str">
        <f t="shared" si="1"/>
        <v>mV</v>
      </c>
      <c r="CM57" s="81">
        <f t="shared" si="14"/>
        <v>3.4641016151377544</v>
      </c>
      <c r="CN57" s="78">
        <f t="shared" si="15"/>
        <v>2.8867513459481291E-2</v>
      </c>
      <c r="CO57" s="4"/>
      <c r="CP57" s="72" t="s">
        <v>70</v>
      </c>
      <c r="CQ57" s="6">
        <f t="shared" si="16"/>
        <v>0</v>
      </c>
      <c r="CR57" s="1" t="str">
        <f t="shared" si="2"/>
        <v>mV</v>
      </c>
      <c r="CS57" s="81">
        <f t="shared" si="17"/>
        <v>1.7320508075688772</v>
      </c>
      <c r="CT57" s="86">
        <f t="shared" si="18"/>
        <v>0</v>
      </c>
      <c r="CU57" s="8"/>
      <c r="CV57" s="94">
        <f t="shared" si="19"/>
        <v>2.8886603007853544E-2</v>
      </c>
      <c r="CW57" s="5">
        <f t="shared" si="20"/>
        <v>200.52919907372751</v>
      </c>
      <c r="CX57" s="95">
        <f t="shared" si="21"/>
        <v>2</v>
      </c>
      <c r="CY57" s="105">
        <f t="shared" si="22"/>
        <v>5.7773206015707089E-2</v>
      </c>
      <c r="CZ57" s="106" t="str">
        <f t="shared" si="3"/>
        <v>mV</v>
      </c>
      <c r="DA57" s="8"/>
      <c r="DB57" s="177">
        <v>1.8E-3</v>
      </c>
      <c r="DC57" s="178" t="str">
        <f t="shared" si="23"/>
        <v>mV</v>
      </c>
      <c r="DD57" s="220">
        <f t="shared" si="24"/>
        <v>5.7773206015707089E-2</v>
      </c>
      <c r="DE57" s="178" t="str">
        <f t="shared" si="25"/>
        <v>mV</v>
      </c>
    </row>
    <row r="58" spans="1:109" s="174" customFormat="1" ht="18" customHeight="1">
      <c r="A58" s="173"/>
      <c r="B58" s="170"/>
      <c r="C58" s="139"/>
      <c r="D58" s="139"/>
      <c r="E58" s="139"/>
      <c r="F58" s="310" t="s">
        <v>135</v>
      </c>
      <c r="G58" s="311"/>
      <c r="H58" s="311"/>
      <c r="I58" s="311"/>
      <c r="J58" s="311"/>
      <c r="K58" s="312"/>
      <c r="L58" s="297">
        <f>6*10%</f>
        <v>0.60000000000000009</v>
      </c>
      <c r="M58" s="298"/>
      <c r="N58" s="298"/>
      <c r="O58" s="298"/>
      <c r="P58" s="299" t="s">
        <v>93</v>
      </c>
      <c r="Q58" s="299"/>
      <c r="R58" s="300"/>
      <c r="S58" s="301" t="s">
        <v>56</v>
      </c>
      <c r="T58" s="301"/>
      <c r="U58" s="301"/>
      <c r="V58" s="301"/>
      <c r="W58" s="301"/>
      <c r="X58" s="291">
        <v>0.6</v>
      </c>
      <c r="Y58" s="291"/>
      <c r="Z58" s="291"/>
      <c r="AA58" s="291"/>
      <c r="AB58" s="291"/>
      <c r="AC58" s="291">
        <v>0.6</v>
      </c>
      <c r="AD58" s="291"/>
      <c r="AE58" s="291"/>
      <c r="AF58" s="291"/>
      <c r="AG58" s="291"/>
      <c r="AH58" s="291">
        <v>0.6</v>
      </c>
      <c r="AI58" s="291"/>
      <c r="AJ58" s="291"/>
      <c r="AK58" s="291"/>
      <c r="AL58" s="291"/>
      <c r="AM58" s="320">
        <f t="shared" si="0"/>
        <v>0.6</v>
      </c>
      <c r="AN58" s="320"/>
      <c r="AO58" s="320"/>
      <c r="AP58" s="320"/>
      <c r="AQ58" s="320"/>
      <c r="AR58" s="320">
        <f t="shared" si="4"/>
        <v>0</v>
      </c>
      <c r="AS58" s="320"/>
      <c r="AT58" s="320"/>
      <c r="AU58" s="320"/>
      <c r="AV58" s="320"/>
      <c r="AW58" s="139"/>
      <c r="AX58" s="139"/>
      <c r="AY58" s="139"/>
      <c r="AZ58" s="172"/>
      <c r="BA58" s="173"/>
      <c r="BB58" s="322">
        <f t="shared" si="5"/>
        <v>1.5999999999999999E-3</v>
      </c>
      <c r="BC58" s="323"/>
      <c r="BD58" s="323"/>
      <c r="BE58" s="323"/>
      <c r="BF58" s="324"/>
      <c r="BG58" s="322">
        <f t="shared" si="6"/>
        <v>0.60160000000000013</v>
      </c>
      <c r="BH58" s="323"/>
      <c r="BI58" s="323"/>
      <c r="BJ58" s="323"/>
      <c r="BK58" s="324"/>
      <c r="BL58" s="322">
        <f t="shared" si="7"/>
        <v>0.59840000000000004</v>
      </c>
      <c r="BM58" s="323"/>
      <c r="BN58" s="323"/>
      <c r="BO58" s="323"/>
      <c r="BP58" s="324"/>
      <c r="BQ58" s="292" t="str">
        <f t="shared" si="8"/>
        <v>PASS</v>
      </c>
      <c r="BR58" s="292"/>
      <c r="BS58" s="292"/>
      <c r="BT58" s="292"/>
      <c r="BU58" s="292"/>
      <c r="BV58" s="173"/>
      <c r="BX58" s="72" t="s">
        <v>128</v>
      </c>
      <c r="BY58" s="222">
        <v>2.0999999999999998E-6</v>
      </c>
      <c r="BZ58" s="1" t="str">
        <f t="shared" si="9"/>
        <v>V</v>
      </c>
      <c r="CA58" s="180">
        <v>2</v>
      </c>
      <c r="CB58" s="78">
        <f t="shared" ref="CB58:CB60" si="26">BY58/CA58</f>
        <v>1.0499999999999999E-6</v>
      </c>
      <c r="CC58" s="4"/>
      <c r="CD58" s="72" t="s">
        <v>130</v>
      </c>
      <c r="CE58" s="5">
        <v>0</v>
      </c>
      <c r="CF58" s="1" t="str">
        <f t="shared" si="11"/>
        <v>V</v>
      </c>
      <c r="CG58" s="81">
        <f t="shared" si="12"/>
        <v>1.7320508075688772</v>
      </c>
      <c r="CH58" s="78">
        <f t="shared" si="13"/>
        <v>0</v>
      </c>
      <c r="CI58" s="4"/>
      <c r="CJ58" s="72" t="s">
        <v>92</v>
      </c>
      <c r="CK58" s="181">
        <v>1E-3</v>
      </c>
      <c r="CL58" s="1" t="str">
        <f t="shared" si="1"/>
        <v>V</v>
      </c>
      <c r="CM58" s="81">
        <f t="shared" si="14"/>
        <v>3.4641016151377544</v>
      </c>
      <c r="CN58" s="78">
        <f t="shared" si="15"/>
        <v>2.886751345948129E-4</v>
      </c>
      <c r="CO58" s="4"/>
      <c r="CP58" s="72" t="s">
        <v>70</v>
      </c>
      <c r="CQ58" s="6">
        <f t="shared" si="16"/>
        <v>0</v>
      </c>
      <c r="CR58" s="1" t="str">
        <f t="shared" si="2"/>
        <v>V</v>
      </c>
      <c r="CS58" s="81">
        <f t="shared" si="17"/>
        <v>1.7320508075688772</v>
      </c>
      <c r="CT58" s="86">
        <f t="shared" si="18"/>
        <v>0</v>
      </c>
      <c r="CU58" s="8"/>
      <c r="CV58" s="94">
        <f t="shared" si="19"/>
        <v>2.8867704417451234E-4</v>
      </c>
      <c r="CW58" s="5">
        <f t="shared" si="20"/>
        <v>200.00529199999917</v>
      </c>
      <c r="CX58" s="95">
        <f t="shared" ref="CX58:CX60" si="27">ROUND(TINV(0.05,CW58),0)</f>
        <v>2</v>
      </c>
      <c r="CY58" s="110">
        <f t="shared" si="22"/>
        <v>5.7735408834902469E-4</v>
      </c>
      <c r="CZ58" s="106" t="str">
        <f t="shared" si="3"/>
        <v>V</v>
      </c>
      <c r="DA58" s="8"/>
      <c r="DB58" s="203">
        <v>1.7999999999999999E-6</v>
      </c>
      <c r="DC58" s="178" t="str">
        <f>CZ58</f>
        <v>V</v>
      </c>
      <c r="DD58" s="220">
        <f t="shared" si="24"/>
        <v>5.7735408834902469E-4</v>
      </c>
      <c r="DE58" s="178" t="str">
        <f t="shared" si="25"/>
        <v>V</v>
      </c>
    </row>
    <row r="59" spans="1:109" s="174" customFormat="1" ht="18" customHeight="1">
      <c r="A59" s="173"/>
      <c r="B59" s="170"/>
      <c r="C59" s="139"/>
      <c r="D59" s="139"/>
      <c r="E59" s="139"/>
      <c r="F59" s="313"/>
      <c r="G59" s="314"/>
      <c r="H59" s="314"/>
      <c r="I59" s="314"/>
      <c r="J59" s="314"/>
      <c r="K59" s="315"/>
      <c r="L59" s="297">
        <f>6*90%</f>
        <v>5.4</v>
      </c>
      <c r="M59" s="298"/>
      <c r="N59" s="298"/>
      <c r="O59" s="298"/>
      <c r="P59" s="299" t="s">
        <v>93</v>
      </c>
      <c r="Q59" s="299"/>
      <c r="R59" s="300"/>
      <c r="S59" s="301" t="s">
        <v>56</v>
      </c>
      <c r="T59" s="301"/>
      <c r="U59" s="301"/>
      <c r="V59" s="301"/>
      <c r="W59" s="301"/>
      <c r="X59" s="291">
        <v>5.4</v>
      </c>
      <c r="Y59" s="291"/>
      <c r="Z59" s="291"/>
      <c r="AA59" s="291"/>
      <c r="AB59" s="291"/>
      <c r="AC59" s="291">
        <v>5.4</v>
      </c>
      <c r="AD59" s="291"/>
      <c r="AE59" s="291"/>
      <c r="AF59" s="291"/>
      <c r="AG59" s="291"/>
      <c r="AH59" s="291">
        <v>5.4</v>
      </c>
      <c r="AI59" s="291"/>
      <c r="AJ59" s="291"/>
      <c r="AK59" s="291"/>
      <c r="AL59" s="291"/>
      <c r="AM59" s="320">
        <f t="shared" si="0"/>
        <v>5.4000000000000012</v>
      </c>
      <c r="AN59" s="320"/>
      <c r="AO59" s="320"/>
      <c r="AP59" s="320"/>
      <c r="AQ59" s="320"/>
      <c r="AR59" s="320">
        <f t="shared" si="4"/>
        <v>0</v>
      </c>
      <c r="AS59" s="320"/>
      <c r="AT59" s="320"/>
      <c r="AU59" s="320"/>
      <c r="AV59" s="320"/>
      <c r="AW59" s="139"/>
      <c r="AX59" s="139"/>
      <c r="AY59" s="139"/>
      <c r="AZ59" s="172"/>
      <c r="BA59" s="173"/>
      <c r="BB59" s="322">
        <f t="shared" si="5"/>
        <v>6.4000000000000012E-3</v>
      </c>
      <c r="BC59" s="323"/>
      <c r="BD59" s="323"/>
      <c r="BE59" s="323"/>
      <c r="BF59" s="324"/>
      <c r="BG59" s="322">
        <f t="shared" si="6"/>
        <v>5.4064000000000005</v>
      </c>
      <c r="BH59" s="323"/>
      <c r="BI59" s="323"/>
      <c r="BJ59" s="323"/>
      <c r="BK59" s="324"/>
      <c r="BL59" s="322">
        <f t="shared" si="7"/>
        <v>5.3936000000000002</v>
      </c>
      <c r="BM59" s="323"/>
      <c r="BN59" s="323"/>
      <c r="BO59" s="323"/>
      <c r="BP59" s="324"/>
      <c r="BQ59" s="292" t="str">
        <f t="shared" si="8"/>
        <v>PASS</v>
      </c>
      <c r="BR59" s="292"/>
      <c r="BS59" s="292"/>
      <c r="BT59" s="292"/>
      <c r="BU59" s="292"/>
      <c r="BV59" s="173"/>
      <c r="BX59" s="72" t="s">
        <v>128</v>
      </c>
      <c r="BY59" s="5">
        <v>1.8E-5</v>
      </c>
      <c r="BZ59" s="1" t="str">
        <f t="shared" si="9"/>
        <v>V</v>
      </c>
      <c r="CA59" s="180">
        <v>2</v>
      </c>
      <c r="CB59" s="78">
        <f t="shared" si="26"/>
        <v>9.0000000000000002E-6</v>
      </c>
      <c r="CC59" s="4"/>
      <c r="CD59" s="72" t="s">
        <v>130</v>
      </c>
      <c r="CE59" s="5">
        <v>0</v>
      </c>
      <c r="CF59" s="1" t="str">
        <f t="shared" si="11"/>
        <v>V</v>
      </c>
      <c r="CG59" s="81">
        <f t="shared" si="12"/>
        <v>1.7320508075688772</v>
      </c>
      <c r="CH59" s="78">
        <f t="shared" si="13"/>
        <v>0</v>
      </c>
      <c r="CI59" s="4"/>
      <c r="CJ59" s="72" t="s">
        <v>92</v>
      </c>
      <c r="CK59" s="181">
        <v>1E-3</v>
      </c>
      <c r="CL59" s="1" t="str">
        <f t="shared" si="1"/>
        <v>V</v>
      </c>
      <c r="CM59" s="81">
        <f t="shared" si="14"/>
        <v>3.4641016151377544</v>
      </c>
      <c r="CN59" s="78">
        <f t="shared" si="15"/>
        <v>2.886751345948129E-4</v>
      </c>
      <c r="CO59" s="4"/>
      <c r="CP59" s="72" t="s">
        <v>70</v>
      </c>
      <c r="CQ59" s="6">
        <f t="shared" si="16"/>
        <v>1.0877919644084146E-15</v>
      </c>
      <c r="CR59" s="1" t="str">
        <f t="shared" si="2"/>
        <v>V</v>
      </c>
      <c r="CS59" s="81">
        <f t="shared" si="17"/>
        <v>1.7320508075688772</v>
      </c>
      <c r="CT59" s="86">
        <f t="shared" si="18"/>
        <v>6.2803698347350997E-16</v>
      </c>
      <c r="CU59" s="8"/>
      <c r="CV59" s="94">
        <f t="shared" si="19"/>
        <v>2.8881539663482854E-4</v>
      </c>
      <c r="CW59" s="5">
        <f t="shared" si="20"/>
        <v>200.38879963266828</v>
      </c>
      <c r="CX59" s="95">
        <f t="shared" si="27"/>
        <v>2</v>
      </c>
      <c r="CY59" s="111">
        <f t="shared" ref="CY59:CY61" si="28">(CV59*CX59)</f>
        <v>5.7763079326965709E-4</v>
      </c>
      <c r="CZ59" s="106" t="str">
        <f t="shared" si="3"/>
        <v>V</v>
      </c>
      <c r="DA59" s="8"/>
      <c r="DB59" s="177">
        <v>1.0000000000000001E-5</v>
      </c>
      <c r="DC59" s="178" t="str">
        <f t="shared" si="23"/>
        <v>V</v>
      </c>
      <c r="DD59" s="220">
        <f t="shared" si="24"/>
        <v>5.7763079326965709E-4</v>
      </c>
      <c r="DE59" s="178" t="str">
        <f t="shared" si="25"/>
        <v>V</v>
      </c>
    </row>
    <row r="60" spans="1:109" s="174" customFormat="1" ht="18" customHeight="1">
      <c r="A60" s="173"/>
      <c r="B60" s="170"/>
      <c r="C60" s="139"/>
      <c r="D60" s="139"/>
      <c r="E60" s="139"/>
      <c r="F60" s="316"/>
      <c r="G60" s="317"/>
      <c r="H60" s="317"/>
      <c r="I60" s="317"/>
      <c r="J60" s="317"/>
      <c r="K60" s="318"/>
      <c r="L60" s="297">
        <f>6*-90%</f>
        <v>-5.4</v>
      </c>
      <c r="M60" s="298"/>
      <c r="N60" s="298"/>
      <c r="O60" s="298"/>
      <c r="P60" s="299" t="s">
        <v>93</v>
      </c>
      <c r="Q60" s="299"/>
      <c r="R60" s="300"/>
      <c r="S60" s="301" t="s">
        <v>56</v>
      </c>
      <c r="T60" s="301"/>
      <c r="U60" s="301"/>
      <c r="V60" s="301"/>
      <c r="W60" s="301"/>
      <c r="X60" s="291">
        <v>-5.4</v>
      </c>
      <c r="Y60" s="291"/>
      <c r="Z60" s="291"/>
      <c r="AA60" s="291"/>
      <c r="AB60" s="291"/>
      <c r="AC60" s="291">
        <v>-5.4</v>
      </c>
      <c r="AD60" s="291"/>
      <c r="AE60" s="291"/>
      <c r="AF60" s="291"/>
      <c r="AG60" s="291"/>
      <c r="AH60" s="291">
        <v>-5.4</v>
      </c>
      <c r="AI60" s="291"/>
      <c r="AJ60" s="291"/>
      <c r="AK60" s="291"/>
      <c r="AL60" s="291"/>
      <c r="AM60" s="404">
        <f t="shared" si="0"/>
        <v>-5.4000000000000012</v>
      </c>
      <c r="AN60" s="405"/>
      <c r="AO60" s="405"/>
      <c r="AP60" s="405"/>
      <c r="AQ60" s="406"/>
      <c r="AR60" s="320">
        <f t="shared" si="4"/>
        <v>0</v>
      </c>
      <c r="AS60" s="320"/>
      <c r="AT60" s="320"/>
      <c r="AU60" s="320"/>
      <c r="AV60" s="320"/>
      <c r="AW60" s="139"/>
      <c r="AX60" s="139"/>
      <c r="AY60" s="139"/>
      <c r="AZ60" s="172"/>
      <c r="BA60" s="173"/>
      <c r="BB60" s="322">
        <f t="shared" si="5"/>
        <v>6.4000000000000012E-3</v>
      </c>
      <c r="BC60" s="323"/>
      <c r="BD60" s="323"/>
      <c r="BE60" s="323"/>
      <c r="BF60" s="324"/>
      <c r="BG60" s="322">
        <f t="shared" si="6"/>
        <v>-5.3936000000000002</v>
      </c>
      <c r="BH60" s="323"/>
      <c r="BI60" s="323"/>
      <c r="BJ60" s="323"/>
      <c r="BK60" s="324"/>
      <c r="BL60" s="322">
        <f t="shared" si="7"/>
        <v>-5.4064000000000005</v>
      </c>
      <c r="BM60" s="323"/>
      <c r="BN60" s="323"/>
      <c r="BO60" s="323"/>
      <c r="BP60" s="324"/>
      <c r="BQ60" s="292" t="str">
        <f t="shared" si="8"/>
        <v>PASS</v>
      </c>
      <c r="BR60" s="292"/>
      <c r="BS60" s="292"/>
      <c r="BT60" s="292"/>
      <c r="BU60" s="292"/>
      <c r="BV60" s="173"/>
      <c r="BX60" s="72" t="s">
        <v>128</v>
      </c>
      <c r="BY60" s="5">
        <v>1.8E-5</v>
      </c>
      <c r="BZ60" s="1" t="str">
        <f t="shared" si="9"/>
        <v>V</v>
      </c>
      <c r="CA60" s="180">
        <v>2</v>
      </c>
      <c r="CB60" s="78">
        <f t="shared" si="26"/>
        <v>9.0000000000000002E-6</v>
      </c>
      <c r="CC60" s="4"/>
      <c r="CD60" s="72" t="s">
        <v>130</v>
      </c>
      <c r="CE60" s="5">
        <v>0</v>
      </c>
      <c r="CF60" s="1" t="str">
        <f t="shared" si="11"/>
        <v>V</v>
      </c>
      <c r="CG60" s="81">
        <f t="shared" si="12"/>
        <v>1.7320508075688772</v>
      </c>
      <c r="CH60" s="78">
        <f t="shared" si="13"/>
        <v>0</v>
      </c>
      <c r="CI60" s="4"/>
      <c r="CJ60" s="72" t="s">
        <v>92</v>
      </c>
      <c r="CK60" s="181">
        <v>1E-3</v>
      </c>
      <c r="CL60" s="1" t="str">
        <f t="shared" si="1"/>
        <v>V</v>
      </c>
      <c r="CM60" s="81">
        <f t="shared" si="14"/>
        <v>3.4641016151377544</v>
      </c>
      <c r="CN60" s="78">
        <f t="shared" si="15"/>
        <v>2.886751345948129E-4</v>
      </c>
      <c r="CO60" s="4"/>
      <c r="CP60" s="72" t="s">
        <v>70</v>
      </c>
      <c r="CQ60" s="6">
        <f t="shared" si="16"/>
        <v>1.0877919644084146E-15</v>
      </c>
      <c r="CR60" s="1" t="str">
        <f t="shared" si="2"/>
        <v>V</v>
      </c>
      <c r="CS60" s="81">
        <f t="shared" si="17"/>
        <v>1.7320508075688772</v>
      </c>
      <c r="CT60" s="86">
        <f t="shared" si="18"/>
        <v>6.2803698347350997E-16</v>
      </c>
      <c r="CU60" s="8"/>
      <c r="CV60" s="94">
        <f t="shared" si="19"/>
        <v>2.8881539663482854E-4</v>
      </c>
      <c r="CW60" s="5">
        <f t="shared" si="20"/>
        <v>200.38879963266828</v>
      </c>
      <c r="CX60" s="95">
        <f t="shared" si="27"/>
        <v>2</v>
      </c>
      <c r="CY60" s="111">
        <f t="shared" si="28"/>
        <v>5.7763079326965709E-4</v>
      </c>
      <c r="CZ60" s="106" t="str">
        <f t="shared" si="3"/>
        <v>V</v>
      </c>
      <c r="DA60" s="8"/>
      <c r="DB60" s="177">
        <v>1.0000000000000001E-5</v>
      </c>
      <c r="DC60" s="178" t="str">
        <f t="shared" si="23"/>
        <v>V</v>
      </c>
      <c r="DD60" s="220">
        <f t="shared" si="24"/>
        <v>5.7763079326965709E-4</v>
      </c>
      <c r="DE60" s="178" t="str">
        <f t="shared" si="25"/>
        <v>V</v>
      </c>
    </row>
    <row r="61" spans="1:109" s="174" customFormat="1" ht="18" customHeight="1">
      <c r="A61" s="173"/>
      <c r="B61" s="170"/>
      <c r="C61" s="139"/>
      <c r="D61" s="139"/>
      <c r="E61" s="139"/>
      <c r="F61" s="310" t="s">
        <v>136</v>
      </c>
      <c r="G61" s="311"/>
      <c r="H61" s="311"/>
      <c r="I61" s="311"/>
      <c r="J61" s="311"/>
      <c r="K61" s="312"/>
      <c r="L61" s="297">
        <f>60*10%</f>
        <v>6</v>
      </c>
      <c r="M61" s="298"/>
      <c r="N61" s="298"/>
      <c r="O61" s="298"/>
      <c r="P61" s="299" t="s">
        <v>93</v>
      </c>
      <c r="Q61" s="299"/>
      <c r="R61" s="300"/>
      <c r="S61" s="301" t="s">
        <v>56</v>
      </c>
      <c r="T61" s="301"/>
      <c r="U61" s="301"/>
      <c r="V61" s="301"/>
      <c r="W61" s="301"/>
      <c r="X61" s="291">
        <v>6</v>
      </c>
      <c r="Y61" s="291"/>
      <c r="Z61" s="291"/>
      <c r="AA61" s="291"/>
      <c r="AB61" s="291"/>
      <c r="AC61" s="291">
        <v>6</v>
      </c>
      <c r="AD61" s="291"/>
      <c r="AE61" s="291"/>
      <c r="AF61" s="291"/>
      <c r="AG61" s="291"/>
      <c r="AH61" s="291">
        <v>6</v>
      </c>
      <c r="AI61" s="291"/>
      <c r="AJ61" s="291"/>
      <c r="AK61" s="291"/>
      <c r="AL61" s="291"/>
      <c r="AM61" s="303">
        <f t="shared" si="0"/>
        <v>6</v>
      </c>
      <c r="AN61" s="303"/>
      <c r="AO61" s="303"/>
      <c r="AP61" s="303"/>
      <c r="AQ61" s="303"/>
      <c r="AR61" s="303">
        <f t="shared" si="4"/>
        <v>0</v>
      </c>
      <c r="AS61" s="303"/>
      <c r="AT61" s="303"/>
      <c r="AU61" s="303"/>
      <c r="AV61" s="303"/>
      <c r="AW61" s="139"/>
      <c r="AX61" s="139"/>
      <c r="AY61" s="139"/>
      <c r="AZ61" s="172"/>
      <c r="BA61" s="173"/>
      <c r="BB61" s="322">
        <f t="shared" si="5"/>
        <v>1.6E-2</v>
      </c>
      <c r="BC61" s="323"/>
      <c r="BD61" s="323"/>
      <c r="BE61" s="323"/>
      <c r="BF61" s="324"/>
      <c r="BG61" s="322">
        <f t="shared" si="6"/>
        <v>6.016</v>
      </c>
      <c r="BH61" s="323"/>
      <c r="BI61" s="323"/>
      <c r="BJ61" s="323"/>
      <c r="BK61" s="324"/>
      <c r="BL61" s="322">
        <f t="shared" si="7"/>
        <v>5.984</v>
      </c>
      <c r="BM61" s="323"/>
      <c r="BN61" s="323"/>
      <c r="BO61" s="323"/>
      <c r="BP61" s="324"/>
      <c r="BQ61" s="292" t="str">
        <f t="shared" si="8"/>
        <v>PASS</v>
      </c>
      <c r="BR61" s="292"/>
      <c r="BS61" s="292"/>
      <c r="BT61" s="292"/>
      <c r="BU61" s="292"/>
      <c r="BV61" s="173"/>
      <c r="BX61" s="72" t="s">
        <v>128</v>
      </c>
      <c r="BY61" s="5">
        <v>1.8E-5</v>
      </c>
      <c r="BZ61" s="1" t="str">
        <f t="shared" si="9"/>
        <v>V</v>
      </c>
      <c r="CA61" s="180">
        <v>2</v>
      </c>
      <c r="CB61" s="78">
        <f t="shared" ref="CB61:CB68" si="29">BY61/CA61</f>
        <v>9.0000000000000002E-6</v>
      </c>
      <c r="CC61" s="4"/>
      <c r="CD61" s="72" t="s">
        <v>130</v>
      </c>
      <c r="CE61" s="5">
        <v>0</v>
      </c>
      <c r="CF61" s="1" t="str">
        <f t="shared" si="11"/>
        <v>V</v>
      </c>
      <c r="CG61" s="81">
        <f t="shared" si="12"/>
        <v>1.7320508075688772</v>
      </c>
      <c r="CH61" s="78">
        <f t="shared" si="13"/>
        <v>0</v>
      </c>
      <c r="CI61" s="4"/>
      <c r="CJ61" s="72" t="s">
        <v>92</v>
      </c>
      <c r="CK61" s="181">
        <v>0.01</v>
      </c>
      <c r="CL61" s="1" t="str">
        <f t="shared" si="1"/>
        <v>V</v>
      </c>
      <c r="CM61" s="81">
        <f t="shared" si="14"/>
        <v>3.4641016151377544</v>
      </c>
      <c r="CN61" s="78">
        <f t="shared" si="15"/>
        <v>2.886751345948129E-3</v>
      </c>
      <c r="CO61" s="4"/>
      <c r="CP61" s="72" t="s">
        <v>70</v>
      </c>
      <c r="CQ61" s="6">
        <f t="shared" si="16"/>
        <v>0</v>
      </c>
      <c r="CR61" s="1" t="str">
        <f t="shared" si="2"/>
        <v>V</v>
      </c>
      <c r="CS61" s="81">
        <f t="shared" si="17"/>
        <v>1.7320508075688772</v>
      </c>
      <c r="CT61" s="86">
        <f t="shared" si="18"/>
        <v>0</v>
      </c>
      <c r="CU61" s="8"/>
      <c r="CV61" s="94">
        <f t="shared" si="19"/>
        <v>2.8867653755255784E-3</v>
      </c>
      <c r="CW61" s="5">
        <f t="shared" si="20"/>
        <v>200.00388799999962</v>
      </c>
      <c r="CX61" s="95">
        <f t="shared" ref="CX61:CX68" si="30">ROUND(TINV(0.05,CW61),0)</f>
        <v>2</v>
      </c>
      <c r="CY61" s="110">
        <f t="shared" si="28"/>
        <v>5.7735307510511568E-3</v>
      </c>
      <c r="CZ61" s="106" t="str">
        <f t="shared" si="3"/>
        <v>V</v>
      </c>
      <c r="DA61" s="8"/>
      <c r="DB61" s="177">
        <v>1.0000000000000001E-5</v>
      </c>
      <c r="DC61" s="178" t="str">
        <f t="shared" si="23"/>
        <v>V</v>
      </c>
      <c r="DD61" s="220">
        <f t="shared" si="24"/>
        <v>5.7735307510511568E-3</v>
      </c>
      <c r="DE61" s="178" t="str">
        <f t="shared" si="25"/>
        <v>V</v>
      </c>
    </row>
    <row r="62" spans="1:109" s="174" customFormat="1" ht="18" customHeight="1">
      <c r="A62" s="173"/>
      <c r="B62" s="170"/>
      <c r="C62" s="139"/>
      <c r="D62" s="139"/>
      <c r="E62" s="139"/>
      <c r="F62" s="313"/>
      <c r="G62" s="314"/>
      <c r="H62" s="314"/>
      <c r="I62" s="314"/>
      <c r="J62" s="314"/>
      <c r="K62" s="315"/>
      <c r="L62" s="297">
        <f>60*50%</f>
        <v>30</v>
      </c>
      <c r="M62" s="298"/>
      <c r="N62" s="298"/>
      <c r="O62" s="298"/>
      <c r="P62" s="299" t="s">
        <v>93</v>
      </c>
      <c r="Q62" s="299"/>
      <c r="R62" s="300"/>
      <c r="S62" s="301" t="s">
        <v>56</v>
      </c>
      <c r="T62" s="301"/>
      <c r="U62" s="301"/>
      <c r="V62" s="301"/>
      <c r="W62" s="301"/>
      <c r="X62" s="291">
        <v>30</v>
      </c>
      <c r="Y62" s="291"/>
      <c r="Z62" s="291"/>
      <c r="AA62" s="291"/>
      <c r="AB62" s="291"/>
      <c r="AC62" s="291">
        <v>30</v>
      </c>
      <c r="AD62" s="291"/>
      <c r="AE62" s="291"/>
      <c r="AF62" s="291"/>
      <c r="AG62" s="291"/>
      <c r="AH62" s="291">
        <v>30</v>
      </c>
      <c r="AI62" s="291"/>
      <c r="AJ62" s="291"/>
      <c r="AK62" s="291"/>
      <c r="AL62" s="291"/>
      <c r="AM62" s="303">
        <f t="shared" si="0"/>
        <v>30</v>
      </c>
      <c r="AN62" s="303"/>
      <c r="AO62" s="303"/>
      <c r="AP62" s="303"/>
      <c r="AQ62" s="303"/>
      <c r="AR62" s="303">
        <f t="shared" si="4"/>
        <v>0</v>
      </c>
      <c r="AS62" s="303"/>
      <c r="AT62" s="303"/>
      <c r="AU62" s="303"/>
      <c r="AV62" s="303"/>
      <c r="AW62" s="139"/>
      <c r="AX62" s="139"/>
      <c r="AY62" s="139"/>
      <c r="AZ62" s="172"/>
      <c r="BA62" s="173"/>
      <c r="BB62" s="322">
        <f t="shared" si="5"/>
        <v>0.04</v>
      </c>
      <c r="BC62" s="323"/>
      <c r="BD62" s="323"/>
      <c r="BE62" s="323"/>
      <c r="BF62" s="324"/>
      <c r="BG62" s="322">
        <f t="shared" si="6"/>
        <v>30.04</v>
      </c>
      <c r="BH62" s="323"/>
      <c r="BI62" s="323"/>
      <c r="BJ62" s="323"/>
      <c r="BK62" s="324"/>
      <c r="BL62" s="322">
        <f t="shared" si="7"/>
        <v>29.96</v>
      </c>
      <c r="BM62" s="323"/>
      <c r="BN62" s="323"/>
      <c r="BO62" s="323"/>
      <c r="BP62" s="324"/>
      <c r="BQ62" s="292" t="str">
        <f t="shared" si="8"/>
        <v>PASS</v>
      </c>
      <c r="BR62" s="292"/>
      <c r="BS62" s="292"/>
      <c r="BT62" s="292"/>
      <c r="BU62" s="292"/>
      <c r="BV62" s="173"/>
      <c r="BX62" s="72" t="s">
        <v>128</v>
      </c>
      <c r="BY62" s="5">
        <v>1E-4</v>
      </c>
      <c r="BZ62" s="1" t="str">
        <f t="shared" si="9"/>
        <v>V</v>
      </c>
      <c r="CA62" s="180">
        <v>2</v>
      </c>
      <c r="CB62" s="78">
        <f t="shared" ref="CB62:CB63" si="31">BY62/CA62</f>
        <v>5.0000000000000002E-5</v>
      </c>
      <c r="CC62" s="4"/>
      <c r="CD62" s="72" t="s">
        <v>130</v>
      </c>
      <c r="CE62" s="5">
        <v>0</v>
      </c>
      <c r="CF62" s="1" t="str">
        <f t="shared" si="11"/>
        <v>V</v>
      </c>
      <c r="CG62" s="81">
        <f t="shared" si="12"/>
        <v>1.7320508075688772</v>
      </c>
      <c r="CH62" s="78">
        <f t="shared" si="13"/>
        <v>0</v>
      </c>
      <c r="CI62" s="4"/>
      <c r="CJ62" s="72" t="s">
        <v>92</v>
      </c>
      <c r="CK62" s="181">
        <v>0.01</v>
      </c>
      <c r="CL62" s="1" t="str">
        <f t="shared" si="1"/>
        <v>V</v>
      </c>
      <c r="CM62" s="81">
        <f t="shared" si="14"/>
        <v>3.4641016151377544</v>
      </c>
      <c r="CN62" s="78">
        <f t="shared" si="15"/>
        <v>2.886751345948129E-3</v>
      </c>
      <c r="CO62" s="4"/>
      <c r="CP62" s="72" t="s">
        <v>70</v>
      </c>
      <c r="CQ62" s="6">
        <f t="shared" si="16"/>
        <v>0</v>
      </c>
      <c r="CR62" s="1" t="str">
        <f t="shared" si="2"/>
        <v>V</v>
      </c>
      <c r="CS62" s="81">
        <f t="shared" si="17"/>
        <v>1.7320508075688772</v>
      </c>
      <c r="CT62" s="86">
        <f t="shared" si="18"/>
        <v>0</v>
      </c>
      <c r="CU62" s="8"/>
      <c r="CV62" s="94">
        <f t="shared" si="19"/>
        <v>2.887184326178939E-3</v>
      </c>
      <c r="CW62" s="5">
        <f t="shared" si="20"/>
        <v>200.11999998920001</v>
      </c>
      <c r="CX62" s="95">
        <f t="shared" ref="CX62:CX63" si="32">ROUND(TINV(0.05,CW62),0)</f>
        <v>2</v>
      </c>
      <c r="CY62" s="110">
        <f t="shared" ref="CY62:CY63" si="33">(CV62*CX62)</f>
        <v>5.774368652357878E-3</v>
      </c>
      <c r="CZ62" s="106" t="str">
        <f t="shared" si="3"/>
        <v>V</v>
      </c>
      <c r="DA62" s="8"/>
      <c r="DB62" s="177">
        <v>1.0000000000000001E-5</v>
      </c>
      <c r="DC62" s="178" t="str">
        <f t="shared" si="23"/>
        <v>V</v>
      </c>
      <c r="DD62" s="220">
        <f t="shared" si="24"/>
        <v>5.774368652357878E-3</v>
      </c>
      <c r="DE62" s="178" t="str">
        <f t="shared" si="25"/>
        <v>V</v>
      </c>
    </row>
    <row r="63" spans="1:109" s="174" customFormat="1" ht="18" customHeight="1">
      <c r="A63" s="173"/>
      <c r="B63" s="170"/>
      <c r="C63" s="139"/>
      <c r="D63" s="139"/>
      <c r="E63" s="139"/>
      <c r="F63" s="313"/>
      <c r="G63" s="314"/>
      <c r="H63" s="314"/>
      <c r="I63" s="314"/>
      <c r="J63" s="314"/>
      <c r="K63" s="315"/>
      <c r="L63" s="297">
        <f>60*90%</f>
        <v>54</v>
      </c>
      <c r="M63" s="298"/>
      <c r="N63" s="298"/>
      <c r="O63" s="298"/>
      <c r="P63" s="299" t="s">
        <v>93</v>
      </c>
      <c r="Q63" s="299"/>
      <c r="R63" s="300"/>
      <c r="S63" s="301" t="s">
        <v>56</v>
      </c>
      <c r="T63" s="301"/>
      <c r="U63" s="301"/>
      <c r="V63" s="301"/>
      <c r="W63" s="301"/>
      <c r="X63" s="291">
        <v>54</v>
      </c>
      <c r="Y63" s="291"/>
      <c r="Z63" s="291"/>
      <c r="AA63" s="291"/>
      <c r="AB63" s="291"/>
      <c r="AC63" s="291">
        <v>54</v>
      </c>
      <c r="AD63" s="291"/>
      <c r="AE63" s="291"/>
      <c r="AF63" s="291"/>
      <c r="AG63" s="291"/>
      <c r="AH63" s="291">
        <v>54</v>
      </c>
      <c r="AI63" s="291"/>
      <c r="AJ63" s="291"/>
      <c r="AK63" s="291"/>
      <c r="AL63" s="291"/>
      <c r="AM63" s="303">
        <f t="shared" si="0"/>
        <v>54</v>
      </c>
      <c r="AN63" s="303"/>
      <c r="AO63" s="303"/>
      <c r="AP63" s="303"/>
      <c r="AQ63" s="303"/>
      <c r="AR63" s="303">
        <f t="shared" si="4"/>
        <v>0</v>
      </c>
      <c r="AS63" s="303"/>
      <c r="AT63" s="303"/>
      <c r="AU63" s="303"/>
      <c r="AV63" s="303"/>
      <c r="AW63" s="139"/>
      <c r="AX63" s="139"/>
      <c r="AY63" s="139"/>
      <c r="AZ63" s="172"/>
      <c r="BA63" s="173"/>
      <c r="BB63" s="322">
        <f t="shared" si="5"/>
        <v>6.4000000000000001E-2</v>
      </c>
      <c r="BC63" s="323"/>
      <c r="BD63" s="323"/>
      <c r="BE63" s="323"/>
      <c r="BF63" s="324"/>
      <c r="BG63" s="322">
        <f t="shared" si="6"/>
        <v>54.064</v>
      </c>
      <c r="BH63" s="323"/>
      <c r="BI63" s="323"/>
      <c r="BJ63" s="323"/>
      <c r="BK63" s="324"/>
      <c r="BL63" s="322">
        <f t="shared" si="7"/>
        <v>53.936</v>
      </c>
      <c r="BM63" s="323"/>
      <c r="BN63" s="323"/>
      <c r="BO63" s="323"/>
      <c r="BP63" s="324"/>
      <c r="BQ63" s="292" t="str">
        <f t="shared" si="8"/>
        <v>PASS</v>
      </c>
      <c r="BR63" s="292"/>
      <c r="BS63" s="292"/>
      <c r="BT63" s="292"/>
      <c r="BU63" s="292"/>
      <c r="BV63" s="173"/>
      <c r="BX63" s="72" t="s">
        <v>128</v>
      </c>
      <c r="BY63" s="5">
        <v>3.1E-4</v>
      </c>
      <c r="BZ63" s="1" t="str">
        <f t="shared" si="9"/>
        <v>V</v>
      </c>
      <c r="CA63" s="180">
        <v>2</v>
      </c>
      <c r="CB63" s="78">
        <f t="shared" si="31"/>
        <v>1.55E-4</v>
      </c>
      <c r="CC63" s="4"/>
      <c r="CD63" s="72" t="s">
        <v>130</v>
      </c>
      <c r="CE63" s="5">
        <v>0</v>
      </c>
      <c r="CF63" s="1" t="str">
        <f t="shared" si="11"/>
        <v>V</v>
      </c>
      <c r="CG63" s="81">
        <f t="shared" si="12"/>
        <v>1.7320508075688772</v>
      </c>
      <c r="CH63" s="78">
        <f t="shared" si="13"/>
        <v>0</v>
      </c>
      <c r="CI63" s="4"/>
      <c r="CJ63" s="72" t="s">
        <v>92</v>
      </c>
      <c r="CK63" s="181">
        <v>0.01</v>
      </c>
      <c r="CL63" s="1" t="str">
        <f t="shared" si="1"/>
        <v>V</v>
      </c>
      <c r="CM63" s="81">
        <f t="shared" si="14"/>
        <v>3.4641016151377544</v>
      </c>
      <c r="CN63" s="78">
        <f t="shared" si="15"/>
        <v>2.886751345948129E-3</v>
      </c>
      <c r="CO63" s="4"/>
      <c r="CP63" s="72" t="s">
        <v>70</v>
      </c>
      <c r="CQ63" s="6">
        <f t="shared" si="16"/>
        <v>0</v>
      </c>
      <c r="CR63" s="1" t="str">
        <f t="shared" si="2"/>
        <v>V</v>
      </c>
      <c r="CS63" s="81">
        <f t="shared" si="17"/>
        <v>1.7320508075688772</v>
      </c>
      <c r="CT63" s="86">
        <f t="shared" si="18"/>
        <v>0</v>
      </c>
      <c r="CU63" s="8"/>
      <c r="CV63" s="94">
        <f t="shared" si="19"/>
        <v>2.8909096031064919E-3</v>
      </c>
      <c r="CW63" s="5">
        <f t="shared" si="20"/>
        <v>201.15319041503992</v>
      </c>
      <c r="CX63" s="95">
        <f t="shared" si="32"/>
        <v>2</v>
      </c>
      <c r="CY63" s="110">
        <f t="shared" si="33"/>
        <v>5.7818192062129839E-3</v>
      </c>
      <c r="CZ63" s="106" t="str">
        <f t="shared" si="3"/>
        <v>V</v>
      </c>
      <c r="DA63" s="8"/>
      <c r="DB63" s="177">
        <v>1.8000000000000001E-4</v>
      </c>
      <c r="DC63" s="178" t="str">
        <f t="shared" si="23"/>
        <v>V</v>
      </c>
      <c r="DD63" s="220">
        <f t="shared" si="24"/>
        <v>5.7818192062129839E-3</v>
      </c>
      <c r="DE63" s="178" t="str">
        <f t="shared" si="25"/>
        <v>V</v>
      </c>
    </row>
    <row r="64" spans="1:109" s="174" customFormat="1" ht="18" customHeight="1">
      <c r="A64" s="173"/>
      <c r="B64" s="170"/>
      <c r="C64" s="139"/>
      <c r="D64" s="139"/>
      <c r="E64" s="139"/>
      <c r="F64" s="313"/>
      <c r="G64" s="314"/>
      <c r="H64" s="314"/>
      <c r="I64" s="314"/>
      <c r="J64" s="314"/>
      <c r="K64" s="315"/>
      <c r="L64" s="297">
        <f>60*-10%</f>
        <v>-6</v>
      </c>
      <c r="M64" s="298"/>
      <c r="N64" s="298"/>
      <c r="O64" s="298"/>
      <c r="P64" s="299" t="s">
        <v>93</v>
      </c>
      <c r="Q64" s="299"/>
      <c r="R64" s="300"/>
      <c r="S64" s="301" t="s">
        <v>56</v>
      </c>
      <c r="T64" s="301"/>
      <c r="U64" s="301"/>
      <c r="V64" s="301"/>
      <c r="W64" s="301"/>
      <c r="X64" s="291">
        <v>-6</v>
      </c>
      <c r="Y64" s="291"/>
      <c r="Z64" s="291"/>
      <c r="AA64" s="291"/>
      <c r="AB64" s="291"/>
      <c r="AC64" s="291">
        <v>-6</v>
      </c>
      <c r="AD64" s="291"/>
      <c r="AE64" s="291"/>
      <c r="AF64" s="291"/>
      <c r="AG64" s="291"/>
      <c r="AH64" s="291">
        <v>-6</v>
      </c>
      <c r="AI64" s="291"/>
      <c r="AJ64" s="291"/>
      <c r="AK64" s="291"/>
      <c r="AL64" s="291"/>
      <c r="AM64" s="303">
        <f t="shared" si="0"/>
        <v>-6</v>
      </c>
      <c r="AN64" s="303"/>
      <c r="AO64" s="303"/>
      <c r="AP64" s="303"/>
      <c r="AQ64" s="303"/>
      <c r="AR64" s="303">
        <f t="shared" si="4"/>
        <v>0</v>
      </c>
      <c r="AS64" s="303"/>
      <c r="AT64" s="303"/>
      <c r="AU64" s="303"/>
      <c r="AV64" s="303"/>
      <c r="AW64" s="139"/>
      <c r="AX64" s="139"/>
      <c r="AY64" s="139"/>
      <c r="AZ64" s="172"/>
      <c r="BA64" s="173"/>
      <c r="BB64" s="322">
        <f t="shared" si="5"/>
        <v>1.6E-2</v>
      </c>
      <c r="BC64" s="323"/>
      <c r="BD64" s="323"/>
      <c r="BE64" s="323"/>
      <c r="BF64" s="324"/>
      <c r="BG64" s="322">
        <f t="shared" si="6"/>
        <v>-5.984</v>
      </c>
      <c r="BH64" s="323"/>
      <c r="BI64" s="323"/>
      <c r="BJ64" s="323"/>
      <c r="BK64" s="324"/>
      <c r="BL64" s="322">
        <f t="shared" si="7"/>
        <v>-6.016</v>
      </c>
      <c r="BM64" s="323"/>
      <c r="BN64" s="323"/>
      <c r="BO64" s="323"/>
      <c r="BP64" s="324"/>
      <c r="BQ64" s="292" t="str">
        <f t="shared" si="8"/>
        <v>PASS</v>
      </c>
      <c r="BR64" s="292"/>
      <c r="BS64" s="292"/>
      <c r="BT64" s="292"/>
      <c r="BU64" s="292"/>
      <c r="BV64" s="173"/>
      <c r="BX64" s="72" t="s">
        <v>128</v>
      </c>
      <c r="BY64" s="5">
        <v>1.8E-5</v>
      </c>
      <c r="BZ64" s="1" t="str">
        <f t="shared" si="9"/>
        <v>V</v>
      </c>
      <c r="CA64" s="180">
        <v>2</v>
      </c>
      <c r="CB64" s="78">
        <f t="shared" si="29"/>
        <v>9.0000000000000002E-6</v>
      </c>
      <c r="CC64" s="4"/>
      <c r="CD64" s="72" t="s">
        <v>130</v>
      </c>
      <c r="CE64" s="5">
        <v>0</v>
      </c>
      <c r="CF64" s="1" t="str">
        <f t="shared" si="11"/>
        <v>V</v>
      </c>
      <c r="CG64" s="81">
        <f t="shared" si="12"/>
        <v>1.7320508075688772</v>
      </c>
      <c r="CH64" s="78">
        <f t="shared" si="13"/>
        <v>0</v>
      </c>
      <c r="CI64" s="4"/>
      <c r="CJ64" s="72" t="s">
        <v>92</v>
      </c>
      <c r="CK64" s="181">
        <v>0.01</v>
      </c>
      <c r="CL64" s="1" t="str">
        <f t="shared" si="1"/>
        <v>V</v>
      </c>
      <c r="CM64" s="81">
        <f t="shared" si="14"/>
        <v>3.4641016151377544</v>
      </c>
      <c r="CN64" s="78">
        <f t="shared" si="15"/>
        <v>2.886751345948129E-3</v>
      </c>
      <c r="CO64" s="4"/>
      <c r="CP64" s="72" t="s">
        <v>70</v>
      </c>
      <c r="CQ64" s="6">
        <f t="shared" si="16"/>
        <v>0</v>
      </c>
      <c r="CR64" s="1" t="str">
        <f t="shared" si="2"/>
        <v>V</v>
      </c>
      <c r="CS64" s="81">
        <f t="shared" si="17"/>
        <v>1.7320508075688772</v>
      </c>
      <c r="CT64" s="86">
        <f t="shared" si="18"/>
        <v>0</v>
      </c>
      <c r="CU64" s="8"/>
      <c r="CV64" s="94">
        <f t="shared" si="19"/>
        <v>2.8867653755255784E-3</v>
      </c>
      <c r="CW64" s="5">
        <f t="shared" si="20"/>
        <v>200.00388799999962</v>
      </c>
      <c r="CX64" s="95">
        <f t="shared" si="30"/>
        <v>2</v>
      </c>
      <c r="CY64" s="110">
        <f t="shared" ref="CY64:CY65" si="34">(CV64*CX64)</f>
        <v>5.7735307510511568E-3</v>
      </c>
      <c r="CZ64" s="106" t="str">
        <f t="shared" si="3"/>
        <v>V</v>
      </c>
      <c r="DA64" s="8"/>
      <c r="DB64" s="177">
        <v>1.0000000000000001E-5</v>
      </c>
      <c r="DC64" s="178" t="str">
        <f t="shared" si="23"/>
        <v>V</v>
      </c>
      <c r="DD64" s="220">
        <f t="shared" si="24"/>
        <v>5.7735307510511568E-3</v>
      </c>
      <c r="DE64" s="178" t="str">
        <f t="shared" si="25"/>
        <v>V</v>
      </c>
    </row>
    <row r="65" spans="1:109" s="174" customFormat="1" ht="18" customHeight="1">
      <c r="A65" s="173"/>
      <c r="B65" s="170"/>
      <c r="C65" s="139"/>
      <c r="D65" s="139"/>
      <c r="E65" s="139"/>
      <c r="F65" s="316"/>
      <c r="G65" s="317"/>
      <c r="H65" s="317"/>
      <c r="I65" s="317"/>
      <c r="J65" s="317"/>
      <c r="K65" s="318"/>
      <c r="L65" s="297">
        <f>60*-90%</f>
        <v>-54</v>
      </c>
      <c r="M65" s="298"/>
      <c r="N65" s="298"/>
      <c r="O65" s="298"/>
      <c r="P65" s="299" t="s">
        <v>93</v>
      </c>
      <c r="Q65" s="299"/>
      <c r="R65" s="300"/>
      <c r="S65" s="301" t="s">
        <v>56</v>
      </c>
      <c r="T65" s="301"/>
      <c r="U65" s="301"/>
      <c r="V65" s="301"/>
      <c r="W65" s="301"/>
      <c r="X65" s="291">
        <v>-54</v>
      </c>
      <c r="Y65" s="291"/>
      <c r="Z65" s="291"/>
      <c r="AA65" s="291"/>
      <c r="AB65" s="291"/>
      <c r="AC65" s="291">
        <v>-54</v>
      </c>
      <c r="AD65" s="291"/>
      <c r="AE65" s="291"/>
      <c r="AF65" s="291"/>
      <c r="AG65" s="291"/>
      <c r="AH65" s="291">
        <v>-54</v>
      </c>
      <c r="AI65" s="291"/>
      <c r="AJ65" s="291"/>
      <c r="AK65" s="291"/>
      <c r="AL65" s="291"/>
      <c r="AM65" s="303">
        <f t="shared" si="0"/>
        <v>-54</v>
      </c>
      <c r="AN65" s="303"/>
      <c r="AO65" s="303"/>
      <c r="AP65" s="303"/>
      <c r="AQ65" s="303"/>
      <c r="AR65" s="303">
        <f t="shared" si="4"/>
        <v>0</v>
      </c>
      <c r="AS65" s="303"/>
      <c r="AT65" s="303"/>
      <c r="AU65" s="303"/>
      <c r="AV65" s="303"/>
      <c r="AW65" s="139"/>
      <c r="AX65" s="139"/>
      <c r="AY65" s="139"/>
      <c r="AZ65" s="172"/>
      <c r="BA65" s="173"/>
      <c r="BB65" s="322">
        <f t="shared" si="5"/>
        <v>6.4000000000000001E-2</v>
      </c>
      <c r="BC65" s="323"/>
      <c r="BD65" s="323"/>
      <c r="BE65" s="323"/>
      <c r="BF65" s="324"/>
      <c r="BG65" s="322">
        <f t="shared" si="6"/>
        <v>-53.936</v>
      </c>
      <c r="BH65" s="323"/>
      <c r="BI65" s="323"/>
      <c r="BJ65" s="323"/>
      <c r="BK65" s="324"/>
      <c r="BL65" s="322">
        <f t="shared" si="7"/>
        <v>-54.064</v>
      </c>
      <c r="BM65" s="323"/>
      <c r="BN65" s="323"/>
      <c r="BO65" s="323"/>
      <c r="BP65" s="324"/>
      <c r="BQ65" s="292" t="str">
        <f t="shared" si="8"/>
        <v>PASS</v>
      </c>
      <c r="BR65" s="292"/>
      <c r="BS65" s="292"/>
      <c r="BT65" s="292"/>
      <c r="BU65" s="292"/>
      <c r="BV65" s="173"/>
      <c r="BX65" s="72" t="s">
        <v>128</v>
      </c>
      <c r="BY65" s="5">
        <v>3.1E-4</v>
      </c>
      <c r="BZ65" s="1" t="str">
        <f t="shared" si="9"/>
        <v>V</v>
      </c>
      <c r="CA65" s="180">
        <v>2</v>
      </c>
      <c r="CB65" s="78">
        <f t="shared" si="29"/>
        <v>1.55E-4</v>
      </c>
      <c r="CC65" s="4"/>
      <c r="CD65" s="72" t="s">
        <v>130</v>
      </c>
      <c r="CE65" s="5">
        <v>0</v>
      </c>
      <c r="CF65" s="1" t="str">
        <f t="shared" si="11"/>
        <v>V</v>
      </c>
      <c r="CG65" s="81">
        <f t="shared" si="12"/>
        <v>1.7320508075688772</v>
      </c>
      <c r="CH65" s="78">
        <f t="shared" si="13"/>
        <v>0</v>
      </c>
      <c r="CI65" s="4"/>
      <c r="CJ65" s="72" t="s">
        <v>92</v>
      </c>
      <c r="CK65" s="181">
        <v>0.01</v>
      </c>
      <c r="CL65" s="1" t="str">
        <f t="shared" si="1"/>
        <v>V</v>
      </c>
      <c r="CM65" s="81">
        <f t="shared" si="14"/>
        <v>3.4641016151377544</v>
      </c>
      <c r="CN65" s="78">
        <f t="shared" si="15"/>
        <v>2.886751345948129E-3</v>
      </c>
      <c r="CO65" s="4"/>
      <c r="CP65" s="72" t="s">
        <v>70</v>
      </c>
      <c r="CQ65" s="6">
        <f t="shared" si="16"/>
        <v>0</v>
      </c>
      <c r="CR65" s="1" t="str">
        <f t="shared" si="2"/>
        <v>V</v>
      </c>
      <c r="CS65" s="81">
        <f t="shared" si="17"/>
        <v>1.7320508075688772</v>
      </c>
      <c r="CT65" s="86">
        <f t="shared" si="18"/>
        <v>0</v>
      </c>
      <c r="CU65" s="8"/>
      <c r="CV65" s="94">
        <f t="shared" si="19"/>
        <v>2.8909096031064919E-3</v>
      </c>
      <c r="CW65" s="5">
        <f t="shared" si="20"/>
        <v>201.15319041503992</v>
      </c>
      <c r="CX65" s="95">
        <f t="shared" si="30"/>
        <v>2</v>
      </c>
      <c r="CY65" s="110">
        <f t="shared" si="34"/>
        <v>5.7818192062129839E-3</v>
      </c>
      <c r="CZ65" s="106" t="str">
        <f t="shared" si="3"/>
        <v>V</v>
      </c>
      <c r="DA65" s="8"/>
      <c r="DB65" s="177">
        <v>1.8000000000000001E-4</v>
      </c>
      <c r="DC65" s="178" t="str">
        <f t="shared" si="23"/>
        <v>V</v>
      </c>
      <c r="DD65" s="220">
        <f t="shared" si="24"/>
        <v>5.7818192062129839E-3</v>
      </c>
      <c r="DE65" s="178" t="str">
        <f t="shared" si="25"/>
        <v>V</v>
      </c>
    </row>
    <row r="66" spans="1:109" s="174" customFormat="1" ht="18" customHeight="1">
      <c r="A66" s="173"/>
      <c r="B66" s="170"/>
      <c r="C66" s="139"/>
      <c r="D66" s="139"/>
      <c r="E66" s="139"/>
      <c r="F66" s="310" t="s">
        <v>94</v>
      </c>
      <c r="G66" s="311"/>
      <c r="H66" s="311"/>
      <c r="I66" s="311"/>
      <c r="J66" s="311"/>
      <c r="K66" s="312"/>
      <c r="L66" s="297">
        <v>60</v>
      </c>
      <c r="M66" s="298"/>
      <c r="N66" s="298"/>
      <c r="O66" s="298"/>
      <c r="P66" s="299" t="s">
        <v>93</v>
      </c>
      <c r="Q66" s="299"/>
      <c r="R66" s="300"/>
      <c r="S66" s="301" t="s">
        <v>56</v>
      </c>
      <c r="T66" s="301"/>
      <c r="U66" s="301"/>
      <c r="V66" s="301"/>
      <c r="W66" s="301"/>
      <c r="X66" s="291">
        <v>60</v>
      </c>
      <c r="Y66" s="291"/>
      <c r="Z66" s="291"/>
      <c r="AA66" s="291"/>
      <c r="AB66" s="291"/>
      <c r="AC66" s="291">
        <v>60</v>
      </c>
      <c r="AD66" s="291"/>
      <c r="AE66" s="291"/>
      <c r="AF66" s="291"/>
      <c r="AG66" s="291"/>
      <c r="AH66" s="291">
        <v>60</v>
      </c>
      <c r="AI66" s="291"/>
      <c r="AJ66" s="291"/>
      <c r="AK66" s="291"/>
      <c r="AL66" s="291"/>
      <c r="AM66" s="291">
        <f t="shared" si="0"/>
        <v>60</v>
      </c>
      <c r="AN66" s="291"/>
      <c r="AO66" s="291"/>
      <c r="AP66" s="291"/>
      <c r="AQ66" s="291"/>
      <c r="AR66" s="291">
        <f t="shared" si="4"/>
        <v>0</v>
      </c>
      <c r="AS66" s="291"/>
      <c r="AT66" s="291"/>
      <c r="AU66" s="291"/>
      <c r="AV66" s="291"/>
      <c r="AW66" s="139"/>
      <c r="AX66" s="139"/>
      <c r="AY66" s="139"/>
      <c r="AZ66" s="172"/>
      <c r="BA66" s="173"/>
      <c r="BB66" s="322">
        <f t="shared" si="5"/>
        <v>0.16</v>
      </c>
      <c r="BC66" s="323"/>
      <c r="BD66" s="323"/>
      <c r="BE66" s="323"/>
      <c r="BF66" s="324"/>
      <c r="BG66" s="322">
        <f t="shared" si="6"/>
        <v>60.16</v>
      </c>
      <c r="BH66" s="323"/>
      <c r="BI66" s="323"/>
      <c r="BJ66" s="323"/>
      <c r="BK66" s="324"/>
      <c r="BL66" s="322">
        <f t="shared" si="7"/>
        <v>59.84</v>
      </c>
      <c r="BM66" s="323"/>
      <c r="BN66" s="323"/>
      <c r="BO66" s="323"/>
      <c r="BP66" s="324"/>
      <c r="BQ66" s="292" t="str">
        <f t="shared" si="8"/>
        <v>PASS</v>
      </c>
      <c r="BR66" s="292"/>
      <c r="BS66" s="292"/>
      <c r="BT66" s="292"/>
      <c r="BU66" s="292"/>
      <c r="BV66" s="173"/>
      <c r="BX66" s="72" t="s">
        <v>128</v>
      </c>
      <c r="BY66" s="5">
        <v>3.1E-4</v>
      </c>
      <c r="BZ66" s="1" t="str">
        <f t="shared" si="9"/>
        <v>V</v>
      </c>
      <c r="CA66" s="180">
        <v>2</v>
      </c>
      <c r="CB66" s="78">
        <f t="shared" si="29"/>
        <v>1.55E-4</v>
      </c>
      <c r="CC66" s="4"/>
      <c r="CD66" s="72" t="s">
        <v>130</v>
      </c>
      <c r="CE66" s="5">
        <v>0</v>
      </c>
      <c r="CF66" s="1" t="str">
        <f t="shared" si="11"/>
        <v>V</v>
      </c>
      <c r="CG66" s="81">
        <f t="shared" si="12"/>
        <v>1.7320508075688772</v>
      </c>
      <c r="CH66" s="78">
        <f t="shared" si="13"/>
        <v>0</v>
      </c>
      <c r="CI66" s="4"/>
      <c r="CJ66" s="72" t="s">
        <v>92</v>
      </c>
      <c r="CK66" s="181">
        <v>0.1</v>
      </c>
      <c r="CL66" s="1" t="str">
        <f t="shared" si="1"/>
        <v>V</v>
      </c>
      <c r="CM66" s="81">
        <f t="shared" si="14"/>
        <v>3.4641016151377544</v>
      </c>
      <c r="CN66" s="78">
        <f t="shared" si="15"/>
        <v>2.8867513459481291E-2</v>
      </c>
      <c r="CO66" s="4"/>
      <c r="CP66" s="72" t="s">
        <v>70</v>
      </c>
      <c r="CQ66" s="6">
        <f t="shared" si="16"/>
        <v>0</v>
      </c>
      <c r="CR66" s="1" t="str">
        <f t="shared" si="2"/>
        <v>V</v>
      </c>
      <c r="CS66" s="81">
        <f t="shared" si="17"/>
        <v>1.7320508075688772</v>
      </c>
      <c r="CT66" s="86">
        <f t="shared" si="18"/>
        <v>0</v>
      </c>
      <c r="CU66" s="8"/>
      <c r="CV66" s="94">
        <f t="shared" si="19"/>
        <v>2.8867929581688628E-2</v>
      </c>
      <c r="CW66" s="5">
        <f t="shared" si="20"/>
        <v>200.01153199999035</v>
      </c>
      <c r="CX66" s="95">
        <f t="shared" si="30"/>
        <v>2</v>
      </c>
      <c r="CY66" s="112">
        <f t="shared" ref="CY66" si="35">(CV66*CX66)</f>
        <v>5.7735859163377257E-2</v>
      </c>
      <c r="CZ66" s="106" t="str">
        <f t="shared" si="3"/>
        <v>V</v>
      </c>
      <c r="DA66" s="8"/>
      <c r="DB66" s="177">
        <v>1.8000000000000001E-4</v>
      </c>
      <c r="DC66" s="178" t="str">
        <f t="shared" si="23"/>
        <v>V</v>
      </c>
      <c r="DD66" s="220">
        <f t="shared" si="24"/>
        <v>5.7735859163377257E-2</v>
      </c>
      <c r="DE66" s="178" t="str">
        <f t="shared" si="25"/>
        <v>V</v>
      </c>
    </row>
    <row r="67" spans="1:109" s="174" customFormat="1" ht="18" customHeight="1">
      <c r="A67" s="173"/>
      <c r="B67" s="170"/>
      <c r="C67" s="139"/>
      <c r="D67" s="139"/>
      <c r="E67" s="139"/>
      <c r="F67" s="313"/>
      <c r="G67" s="314"/>
      <c r="H67" s="314"/>
      <c r="I67" s="314"/>
      <c r="J67" s="314"/>
      <c r="K67" s="315"/>
      <c r="L67" s="297">
        <v>540</v>
      </c>
      <c r="M67" s="298"/>
      <c r="N67" s="298"/>
      <c r="O67" s="298"/>
      <c r="P67" s="299" t="s">
        <v>93</v>
      </c>
      <c r="Q67" s="299"/>
      <c r="R67" s="300"/>
      <c r="S67" s="301" t="s">
        <v>56</v>
      </c>
      <c r="T67" s="301"/>
      <c r="U67" s="301"/>
      <c r="V67" s="301"/>
      <c r="W67" s="301"/>
      <c r="X67" s="291">
        <v>540</v>
      </c>
      <c r="Y67" s="291"/>
      <c r="Z67" s="291"/>
      <c r="AA67" s="291"/>
      <c r="AB67" s="291"/>
      <c r="AC67" s="291">
        <v>540</v>
      </c>
      <c r="AD67" s="291"/>
      <c r="AE67" s="291"/>
      <c r="AF67" s="291"/>
      <c r="AG67" s="291"/>
      <c r="AH67" s="291">
        <v>540</v>
      </c>
      <c r="AI67" s="291"/>
      <c r="AJ67" s="291"/>
      <c r="AK67" s="291"/>
      <c r="AL67" s="291"/>
      <c r="AM67" s="291">
        <f t="shared" si="0"/>
        <v>540</v>
      </c>
      <c r="AN67" s="291"/>
      <c r="AO67" s="291"/>
      <c r="AP67" s="291"/>
      <c r="AQ67" s="291"/>
      <c r="AR67" s="291">
        <f t="shared" si="4"/>
        <v>0</v>
      </c>
      <c r="AS67" s="291"/>
      <c r="AT67" s="291"/>
      <c r="AU67" s="291"/>
      <c r="AV67" s="291"/>
      <c r="AW67" s="139"/>
      <c r="AX67" s="139"/>
      <c r="AY67" s="139"/>
      <c r="AZ67" s="172"/>
      <c r="BA67" s="173"/>
      <c r="BB67" s="322">
        <f t="shared" si="5"/>
        <v>0.64</v>
      </c>
      <c r="BC67" s="323"/>
      <c r="BD67" s="323"/>
      <c r="BE67" s="323"/>
      <c r="BF67" s="324"/>
      <c r="BG67" s="322">
        <f t="shared" si="6"/>
        <v>540.64</v>
      </c>
      <c r="BH67" s="323"/>
      <c r="BI67" s="323"/>
      <c r="BJ67" s="323"/>
      <c r="BK67" s="324"/>
      <c r="BL67" s="322">
        <f t="shared" si="7"/>
        <v>539.36</v>
      </c>
      <c r="BM67" s="323"/>
      <c r="BN67" s="323"/>
      <c r="BO67" s="323"/>
      <c r="BP67" s="324"/>
      <c r="BQ67" s="292" t="str">
        <f t="shared" si="8"/>
        <v>PASS</v>
      </c>
      <c r="BR67" s="292"/>
      <c r="BS67" s="292"/>
      <c r="BT67" s="292"/>
      <c r="BU67" s="292"/>
      <c r="BV67" s="173"/>
      <c r="BX67" s="72" t="s">
        <v>128</v>
      </c>
      <c r="BY67" s="179">
        <v>3.3E-3</v>
      </c>
      <c r="BZ67" s="1" t="str">
        <f t="shared" si="9"/>
        <v>V</v>
      </c>
      <c r="CA67" s="180">
        <v>2</v>
      </c>
      <c r="CB67" s="78">
        <f t="shared" si="29"/>
        <v>1.65E-3</v>
      </c>
      <c r="CC67" s="4"/>
      <c r="CD67" s="72" t="s">
        <v>130</v>
      </c>
      <c r="CE67" s="5">
        <v>0</v>
      </c>
      <c r="CF67" s="1" t="str">
        <f t="shared" si="11"/>
        <v>V</v>
      </c>
      <c r="CG67" s="81">
        <f t="shared" si="12"/>
        <v>1.7320508075688772</v>
      </c>
      <c r="CH67" s="78">
        <f t="shared" si="13"/>
        <v>0</v>
      </c>
      <c r="CI67" s="4"/>
      <c r="CJ67" s="72" t="s">
        <v>92</v>
      </c>
      <c r="CK67" s="181">
        <v>0.1</v>
      </c>
      <c r="CL67" s="1" t="str">
        <f t="shared" si="1"/>
        <v>V</v>
      </c>
      <c r="CM67" s="81">
        <f t="shared" si="14"/>
        <v>3.4641016151377544</v>
      </c>
      <c r="CN67" s="78">
        <f t="shared" si="15"/>
        <v>2.8867513459481291E-2</v>
      </c>
      <c r="CO67" s="4"/>
      <c r="CP67" s="72" t="s">
        <v>70</v>
      </c>
      <c r="CQ67" s="6">
        <f t="shared" si="16"/>
        <v>0</v>
      </c>
      <c r="CR67" s="1" t="str">
        <f t="shared" si="2"/>
        <v>V</v>
      </c>
      <c r="CS67" s="81">
        <f t="shared" si="17"/>
        <v>1.7320508075688772</v>
      </c>
      <c r="CT67" s="86">
        <f t="shared" si="18"/>
        <v>0</v>
      </c>
      <c r="CU67" s="8"/>
      <c r="CV67" s="94">
        <f t="shared" si="19"/>
        <v>2.8914630091587432E-2</v>
      </c>
      <c r="CW67" s="5">
        <f t="shared" si="20"/>
        <v>201.3067860522948</v>
      </c>
      <c r="CX67" s="95">
        <f t="shared" si="30"/>
        <v>2</v>
      </c>
      <c r="CY67" s="112">
        <f t="shared" ref="CY67:CY69" si="36">(CV67*CX67)</f>
        <v>5.7829260183174865E-2</v>
      </c>
      <c r="CZ67" s="106" t="str">
        <f t="shared" si="3"/>
        <v>V</v>
      </c>
      <c r="DA67" s="8"/>
      <c r="DB67" s="177">
        <v>1.4E-3</v>
      </c>
      <c r="DC67" s="178" t="str">
        <f t="shared" si="23"/>
        <v>V</v>
      </c>
      <c r="DD67" s="220">
        <f t="shared" si="24"/>
        <v>5.7829260183174865E-2</v>
      </c>
      <c r="DE67" s="178" t="str">
        <f t="shared" si="25"/>
        <v>V</v>
      </c>
    </row>
    <row r="68" spans="1:109" s="174" customFormat="1" ht="18" customHeight="1" thickBot="1">
      <c r="A68" s="173"/>
      <c r="B68" s="170"/>
      <c r="C68" s="139"/>
      <c r="D68" s="139"/>
      <c r="E68" s="139"/>
      <c r="F68" s="316"/>
      <c r="G68" s="317"/>
      <c r="H68" s="317"/>
      <c r="I68" s="317"/>
      <c r="J68" s="317"/>
      <c r="K68" s="318"/>
      <c r="L68" s="297">
        <v>-540</v>
      </c>
      <c r="M68" s="298"/>
      <c r="N68" s="298"/>
      <c r="O68" s="298"/>
      <c r="P68" s="299" t="s">
        <v>93</v>
      </c>
      <c r="Q68" s="299"/>
      <c r="R68" s="300"/>
      <c r="S68" s="301" t="s">
        <v>56</v>
      </c>
      <c r="T68" s="301"/>
      <c r="U68" s="301"/>
      <c r="V68" s="301"/>
      <c r="W68" s="301"/>
      <c r="X68" s="291">
        <v>-540</v>
      </c>
      <c r="Y68" s="291"/>
      <c r="Z68" s="291"/>
      <c r="AA68" s="291"/>
      <c r="AB68" s="291"/>
      <c r="AC68" s="291">
        <v>-540</v>
      </c>
      <c r="AD68" s="291"/>
      <c r="AE68" s="291"/>
      <c r="AF68" s="291"/>
      <c r="AG68" s="291"/>
      <c r="AH68" s="291">
        <v>-540</v>
      </c>
      <c r="AI68" s="291"/>
      <c r="AJ68" s="291"/>
      <c r="AK68" s="291"/>
      <c r="AL68" s="291"/>
      <c r="AM68" s="291">
        <f t="shared" si="0"/>
        <v>-540</v>
      </c>
      <c r="AN68" s="291"/>
      <c r="AO68" s="291"/>
      <c r="AP68" s="291"/>
      <c r="AQ68" s="291"/>
      <c r="AR68" s="291">
        <f t="shared" si="4"/>
        <v>0</v>
      </c>
      <c r="AS68" s="291"/>
      <c r="AT68" s="291"/>
      <c r="AU68" s="291"/>
      <c r="AV68" s="291"/>
      <c r="AW68" s="139"/>
      <c r="AX68" s="139"/>
      <c r="AY68" s="139"/>
      <c r="AZ68" s="172"/>
      <c r="BA68" s="173"/>
      <c r="BB68" s="322">
        <f t="shared" si="5"/>
        <v>0.64</v>
      </c>
      <c r="BC68" s="323"/>
      <c r="BD68" s="323"/>
      <c r="BE68" s="323"/>
      <c r="BF68" s="324"/>
      <c r="BG68" s="322">
        <f t="shared" si="6"/>
        <v>-539.36</v>
      </c>
      <c r="BH68" s="323"/>
      <c r="BI68" s="323"/>
      <c r="BJ68" s="323"/>
      <c r="BK68" s="324"/>
      <c r="BL68" s="322">
        <f t="shared" si="7"/>
        <v>-540.64</v>
      </c>
      <c r="BM68" s="323"/>
      <c r="BN68" s="323"/>
      <c r="BO68" s="323"/>
      <c r="BP68" s="324"/>
      <c r="BQ68" s="292" t="str">
        <f t="shared" si="8"/>
        <v>PASS</v>
      </c>
      <c r="BR68" s="292"/>
      <c r="BS68" s="292"/>
      <c r="BT68" s="292"/>
      <c r="BU68" s="292"/>
      <c r="BV68" s="173"/>
      <c r="BX68" s="72" t="s">
        <v>128</v>
      </c>
      <c r="BY68" s="179">
        <v>3.3E-3</v>
      </c>
      <c r="BZ68" s="1" t="str">
        <f t="shared" si="9"/>
        <v>V</v>
      </c>
      <c r="CA68" s="206">
        <v>2</v>
      </c>
      <c r="CB68" s="207">
        <f t="shared" si="29"/>
        <v>1.65E-3</v>
      </c>
      <c r="CC68" s="4"/>
      <c r="CD68" s="73" t="s">
        <v>130</v>
      </c>
      <c r="CE68" s="89">
        <v>0</v>
      </c>
      <c r="CF68" s="74" t="str">
        <f t="shared" si="11"/>
        <v>V</v>
      </c>
      <c r="CG68" s="82">
        <f t="shared" si="12"/>
        <v>1.7320508075688772</v>
      </c>
      <c r="CH68" s="79">
        <f t="shared" si="13"/>
        <v>0</v>
      </c>
      <c r="CI68" s="4"/>
      <c r="CJ68" s="73" t="s">
        <v>92</v>
      </c>
      <c r="CK68" s="183">
        <v>0.1</v>
      </c>
      <c r="CL68" s="74" t="str">
        <f t="shared" si="1"/>
        <v>V</v>
      </c>
      <c r="CM68" s="82">
        <f t="shared" si="14"/>
        <v>3.4641016151377544</v>
      </c>
      <c r="CN68" s="79">
        <f t="shared" si="15"/>
        <v>2.8867513459481291E-2</v>
      </c>
      <c r="CO68" s="4"/>
      <c r="CP68" s="73" t="s">
        <v>70</v>
      </c>
      <c r="CQ68" s="84">
        <f t="shared" si="16"/>
        <v>0</v>
      </c>
      <c r="CR68" s="74" t="str">
        <f t="shared" si="2"/>
        <v>V</v>
      </c>
      <c r="CS68" s="82">
        <f t="shared" si="17"/>
        <v>1.7320508075688772</v>
      </c>
      <c r="CT68" s="87">
        <f t="shared" si="18"/>
        <v>0</v>
      </c>
      <c r="CU68" s="8"/>
      <c r="CV68" s="96">
        <f t="shared" si="19"/>
        <v>2.8914630091587432E-2</v>
      </c>
      <c r="CW68" s="89">
        <f t="shared" si="20"/>
        <v>201.3067860522948</v>
      </c>
      <c r="CX68" s="97">
        <f t="shared" si="30"/>
        <v>2</v>
      </c>
      <c r="CY68" s="113">
        <f t="shared" si="36"/>
        <v>5.7829260183174865E-2</v>
      </c>
      <c r="CZ68" s="108" t="str">
        <f t="shared" si="3"/>
        <v>V</v>
      </c>
      <c r="DA68" s="8"/>
      <c r="DB68" s="177">
        <v>1.4E-3</v>
      </c>
      <c r="DC68" s="178" t="str">
        <f t="shared" si="23"/>
        <v>V</v>
      </c>
      <c r="DD68" s="220">
        <f t="shared" si="24"/>
        <v>5.7829260183174865E-2</v>
      </c>
      <c r="DE68" s="178" t="str">
        <f t="shared" si="25"/>
        <v>V</v>
      </c>
    </row>
    <row r="69" spans="1:109" s="174" customFormat="1" ht="18" customHeight="1">
      <c r="A69" s="173"/>
      <c r="B69" s="170"/>
      <c r="C69" s="139"/>
      <c r="D69" s="139"/>
      <c r="E69" s="139"/>
      <c r="F69" s="310" t="s">
        <v>158</v>
      </c>
      <c r="G69" s="311"/>
      <c r="H69" s="311"/>
      <c r="I69" s="311"/>
      <c r="J69" s="311"/>
      <c r="K69" s="312"/>
      <c r="L69" s="297">
        <f>1000*10%</f>
        <v>100</v>
      </c>
      <c r="M69" s="298"/>
      <c r="N69" s="298"/>
      <c r="O69" s="298"/>
      <c r="P69" s="299" t="s">
        <v>93</v>
      </c>
      <c r="Q69" s="299"/>
      <c r="R69" s="300"/>
      <c r="S69" s="301" t="s">
        <v>56</v>
      </c>
      <c r="T69" s="301"/>
      <c r="U69" s="301"/>
      <c r="V69" s="301"/>
      <c r="W69" s="301"/>
      <c r="X69" s="291">
        <v>100</v>
      </c>
      <c r="Y69" s="291"/>
      <c r="Z69" s="291"/>
      <c r="AA69" s="291"/>
      <c r="AB69" s="291"/>
      <c r="AC69" s="291">
        <v>100</v>
      </c>
      <c r="AD69" s="291"/>
      <c r="AE69" s="291"/>
      <c r="AF69" s="291"/>
      <c r="AG69" s="291"/>
      <c r="AH69" s="291">
        <v>100</v>
      </c>
      <c r="AI69" s="291"/>
      <c r="AJ69" s="291"/>
      <c r="AK69" s="291"/>
      <c r="AL69" s="291"/>
      <c r="AM69" s="302">
        <f t="shared" ref="AM69:AM71" si="37">AVERAGE(X69:AL69)</f>
        <v>100</v>
      </c>
      <c r="AN69" s="302"/>
      <c r="AO69" s="302"/>
      <c r="AP69" s="302"/>
      <c r="AQ69" s="302"/>
      <c r="AR69" s="302">
        <f t="shared" ref="AR69:AR71" si="38">AM69-L69</f>
        <v>0</v>
      </c>
      <c r="AS69" s="302"/>
      <c r="AT69" s="302"/>
      <c r="AU69" s="302"/>
      <c r="AV69" s="302"/>
      <c r="AW69" s="139"/>
      <c r="AX69" s="139"/>
      <c r="AY69" s="139"/>
      <c r="AZ69" s="172"/>
      <c r="BA69" s="173"/>
      <c r="BB69" s="322">
        <f t="shared" si="5"/>
        <v>1.1000000000000001</v>
      </c>
      <c r="BC69" s="323"/>
      <c r="BD69" s="323"/>
      <c r="BE69" s="323"/>
      <c r="BF69" s="324"/>
      <c r="BG69" s="322">
        <f t="shared" si="6"/>
        <v>101.1</v>
      </c>
      <c r="BH69" s="323"/>
      <c r="BI69" s="323"/>
      <c r="BJ69" s="323"/>
      <c r="BK69" s="324"/>
      <c r="BL69" s="322">
        <f t="shared" si="7"/>
        <v>98.9</v>
      </c>
      <c r="BM69" s="323"/>
      <c r="BN69" s="323"/>
      <c r="BO69" s="323"/>
      <c r="BP69" s="324"/>
      <c r="BQ69" s="292" t="str">
        <f t="shared" ref="BQ69:BQ71" si="39">IF(AND(AM69&lt;=BG69,AM69&gt;=BL69),"PASS","FAIL")</f>
        <v>PASS</v>
      </c>
      <c r="BR69" s="292"/>
      <c r="BS69" s="292"/>
      <c r="BT69" s="292"/>
      <c r="BU69" s="292"/>
      <c r="BV69" s="173"/>
      <c r="BX69" s="75" t="s">
        <v>128</v>
      </c>
      <c r="BY69" s="221">
        <v>3.1E-4</v>
      </c>
      <c r="BZ69" s="76" t="str">
        <f t="shared" ref="BZ69:BZ71" si="40">P69</f>
        <v>V</v>
      </c>
      <c r="CA69" s="180">
        <v>2</v>
      </c>
      <c r="CB69" s="78">
        <f t="shared" ref="CB69:CB71" si="41">BY69/CA69</f>
        <v>1.55E-4</v>
      </c>
      <c r="CC69" s="4"/>
      <c r="CD69" s="72" t="s">
        <v>130</v>
      </c>
      <c r="CE69" s="5">
        <v>0</v>
      </c>
      <c r="CF69" s="1" t="str">
        <f t="shared" ref="CF69:CF71" si="42">BZ69</f>
        <v>V</v>
      </c>
      <c r="CG69" s="81">
        <f t="shared" si="12"/>
        <v>1.7320508075688772</v>
      </c>
      <c r="CH69" s="78">
        <f t="shared" ref="CH69:CH71" si="43">CE69/CG69</f>
        <v>0</v>
      </c>
      <c r="CI69" s="4"/>
      <c r="CJ69" s="72" t="s">
        <v>92</v>
      </c>
      <c r="CK69" s="181">
        <v>1</v>
      </c>
      <c r="CL69" s="1" t="str">
        <f t="shared" ref="CL69:CL71" si="44">P69</f>
        <v>V</v>
      </c>
      <c r="CM69" s="81">
        <f t="shared" si="14"/>
        <v>3.4641016151377544</v>
      </c>
      <c r="CN69" s="78">
        <f t="shared" ref="CN69:CN71" si="45">CK69/CM69</f>
        <v>0.28867513459481292</v>
      </c>
      <c r="CO69" s="4"/>
      <c r="CP69" s="72" t="s">
        <v>70</v>
      </c>
      <c r="CQ69" s="6">
        <f t="shared" ref="CQ69:CQ71" si="46">STDEV(X69:AL69)</f>
        <v>0</v>
      </c>
      <c r="CR69" s="1" t="str">
        <f t="shared" ref="CR69:CR71" si="47">P69</f>
        <v>V</v>
      </c>
      <c r="CS69" s="81">
        <f t="shared" si="17"/>
        <v>1.7320508075688772</v>
      </c>
      <c r="CT69" s="86">
        <f t="shared" ref="CT69:CT71" si="48">CQ69/CS69</f>
        <v>0</v>
      </c>
      <c r="CU69" s="8"/>
      <c r="CV69" s="94">
        <f t="shared" ref="CV69:CV71" si="49">SQRT(SUMSQ(CT69,CN69,CH69,CB69))</f>
        <v>0.28867517620733057</v>
      </c>
      <c r="CW69" s="5">
        <f t="shared" ref="CW69:CW71" si="50">(CV69^4)/(((CT69^4)/2)+((CN69^4)/200)+((CH69^4)/200)+((CB69^4)/200))</f>
        <v>200.00011531999999</v>
      </c>
      <c r="CX69" s="95">
        <f t="shared" ref="CX69:CX71" si="51">ROUND(TINV(0.05,CW69),0)</f>
        <v>2</v>
      </c>
      <c r="CY69" s="112">
        <f t="shared" si="36"/>
        <v>0.57735035241466115</v>
      </c>
      <c r="CZ69" s="106" t="str">
        <f t="shared" ref="CZ69:CZ71" si="52">P69</f>
        <v>V</v>
      </c>
      <c r="DA69" s="8"/>
      <c r="DB69" s="177">
        <v>1.8000000000000001E-4</v>
      </c>
      <c r="DC69" s="178" t="str">
        <f t="shared" ref="DC69:DC71" si="53">CZ69</f>
        <v>V</v>
      </c>
      <c r="DD69" s="220">
        <f t="shared" si="24"/>
        <v>0.57735035241466115</v>
      </c>
      <c r="DE69" s="178" t="str">
        <f t="shared" ref="DE69:DE71" si="54">DC69</f>
        <v>V</v>
      </c>
    </row>
    <row r="70" spans="1:109" s="174" customFormat="1" ht="18" customHeight="1">
      <c r="A70" s="173"/>
      <c r="B70" s="170"/>
      <c r="C70" s="139"/>
      <c r="D70" s="139"/>
      <c r="E70" s="139"/>
      <c r="F70" s="313"/>
      <c r="G70" s="314"/>
      <c r="H70" s="314"/>
      <c r="I70" s="314"/>
      <c r="J70" s="314"/>
      <c r="K70" s="315"/>
      <c r="L70" s="297">
        <f>1000*90%</f>
        <v>900</v>
      </c>
      <c r="M70" s="298"/>
      <c r="N70" s="298"/>
      <c r="O70" s="298"/>
      <c r="P70" s="299" t="s">
        <v>93</v>
      </c>
      <c r="Q70" s="299"/>
      <c r="R70" s="300"/>
      <c r="S70" s="301" t="s">
        <v>56</v>
      </c>
      <c r="T70" s="301"/>
      <c r="U70" s="301"/>
      <c r="V70" s="301"/>
      <c r="W70" s="301"/>
      <c r="X70" s="291">
        <v>900</v>
      </c>
      <c r="Y70" s="291"/>
      <c r="Z70" s="291"/>
      <c r="AA70" s="291"/>
      <c r="AB70" s="291"/>
      <c r="AC70" s="291">
        <v>900</v>
      </c>
      <c r="AD70" s="291"/>
      <c r="AE70" s="291"/>
      <c r="AF70" s="291"/>
      <c r="AG70" s="291"/>
      <c r="AH70" s="291">
        <v>900</v>
      </c>
      <c r="AI70" s="291"/>
      <c r="AJ70" s="291"/>
      <c r="AK70" s="291"/>
      <c r="AL70" s="291"/>
      <c r="AM70" s="302">
        <f t="shared" si="37"/>
        <v>900</v>
      </c>
      <c r="AN70" s="302"/>
      <c r="AO70" s="302"/>
      <c r="AP70" s="302"/>
      <c r="AQ70" s="302"/>
      <c r="AR70" s="302">
        <f t="shared" si="38"/>
        <v>0</v>
      </c>
      <c r="AS70" s="302"/>
      <c r="AT70" s="302"/>
      <c r="AU70" s="302"/>
      <c r="AV70" s="302"/>
      <c r="AW70" s="139"/>
      <c r="AX70" s="139"/>
      <c r="AY70" s="139"/>
      <c r="AZ70" s="172"/>
      <c r="BA70" s="173"/>
      <c r="BB70" s="322">
        <f t="shared" si="5"/>
        <v>1.9</v>
      </c>
      <c r="BC70" s="323"/>
      <c r="BD70" s="323"/>
      <c r="BE70" s="323"/>
      <c r="BF70" s="324"/>
      <c r="BG70" s="322">
        <f t="shared" si="6"/>
        <v>901.9</v>
      </c>
      <c r="BH70" s="323"/>
      <c r="BI70" s="323"/>
      <c r="BJ70" s="323"/>
      <c r="BK70" s="324"/>
      <c r="BL70" s="322">
        <f t="shared" si="7"/>
        <v>898.1</v>
      </c>
      <c r="BM70" s="323"/>
      <c r="BN70" s="323"/>
      <c r="BO70" s="323"/>
      <c r="BP70" s="324"/>
      <c r="BQ70" s="292" t="str">
        <f t="shared" si="39"/>
        <v>PASS</v>
      </c>
      <c r="BR70" s="292"/>
      <c r="BS70" s="292"/>
      <c r="BT70" s="292"/>
      <c r="BU70" s="292"/>
      <c r="BV70" s="173"/>
      <c r="BX70" s="72" t="s">
        <v>128</v>
      </c>
      <c r="BY70" s="179">
        <v>3.3E-3</v>
      </c>
      <c r="BZ70" s="1" t="str">
        <f t="shared" si="40"/>
        <v>V</v>
      </c>
      <c r="CA70" s="180">
        <v>2</v>
      </c>
      <c r="CB70" s="78">
        <f t="shared" si="41"/>
        <v>1.65E-3</v>
      </c>
      <c r="CC70" s="4"/>
      <c r="CD70" s="72" t="s">
        <v>130</v>
      </c>
      <c r="CE70" s="5">
        <v>0</v>
      </c>
      <c r="CF70" s="1" t="str">
        <f t="shared" si="42"/>
        <v>V</v>
      </c>
      <c r="CG70" s="81">
        <f t="shared" si="12"/>
        <v>1.7320508075688772</v>
      </c>
      <c r="CH70" s="78">
        <f t="shared" si="43"/>
        <v>0</v>
      </c>
      <c r="CI70" s="4"/>
      <c r="CJ70" s="72" t="s">
        <v>92</v>
      </c>
      <c r="CK70" s="181">
        <v>1</v>
      </c>
      <c r="CL70" s="1" t="str">
        <f t="shared" si="44"/>
        <v>V</v>
      </c>
      <c r="CM70" s="81">
        <f t="shared" si="14"/>
        <v>3.4641016151377544</v>
      </c>
      <c r="CN70" s="78">
        <f t="shared" si="45"/>
        <v>0.28867513459481292</v>
      </c>
      <c r="CO70" s="4"/>
      <c r="CP70" s="72" t="s">
        <v>70</v>
      </c>
      <c r="CQ70" s="6">
        <f t="shared" si="46"/>
        <v>0</v>
      </c>
      <c r="CR70" s="1" t="str">
        <f t="shared" si="47"/>
        <v>V</v>
      </c>
      <c r="CS70" s="81">
        <f t="shared" si="17"/>
        <v>1.7320508075688772</v>
      </c>
      <c r="CT70" s="86">
        <f t="shared" si="48"/>
        <v>0</v>
      </c>
      <c r="CU70" s="8"/>
      <c r="CV70" s="94">
        <f t="shared" si="49"/>
        <v>0.28867985006462321</v>
      </c>
      <c r="CW70" s="5">
        <f t="shared" si="50"/>
        <v>200.01306799998596</v>
      </c>
      <c r="CX70" s="95">
        <f t="shared" si="51"/>
        <v>2</v>
      </c>
      <c r="CY70" s="112">
        <f t="shared" ref="CY70:CY71" si="55">(CV70*CX70)</f>
        <v>0.57735970012924642</v>
      </c>
      <c r="CZ70" s="106" t="str">
        <f t="shared" si="52"/>
        <v>V</v>
      </c>
      <c r="DA70" s="8"/>
      <c r="DB70" s="177">
        <v>1.4E-3</v>
      </c>
      <c r="DC70" s="178" t="str">
        <f t="shared" si="53"/>
        <v>V</v>
      </c>
      <c r="DD70" s="220">
        <f t="shared" si="24"/>
        <v>0.57735970012924642</v>
      </c>
      <c r="DE70" s="178" t="str">
        <f t="shared" si="54"/>
        <v>V</v>
      </c>
    </row>
    <row r="71" spans="1:109" s="174" customFormat="1" ht="18" customHeight="1" thickBot="1">
      <c r="A71" s="173"/>
      <c r="B71" s="170"/>
      <c r="C71" s="139"/>
      <c r="D71" s="139"/>
      <c r="E71" s="139"/>
      <c r="F71" s="316"/>
      <c r="G71" s="317"/>
      <c r="H71" s="317"/>
      <c r="I71" s="317"/>
      <c r="J71" s="317"/>
      <c r="K71" s="318"/>
      <c r="L71" s="297">
        <f>1000*-90%</f>
        <v>-900</v>
      </c>
      <c r="M71" s="298"/>
      <c r="N71" s="298"/>
      <c r="O71" s="298"/>
      <c r="P71" s="299" t="s">
        <v>93</v>
      </c>
      <c r="Q71" s="299"/>
      <c r="R71" s="300"/>
      <c r="S71" s="301" t="s">
        <v>56</v>
      </c>
      <c r="T71" s="301"/>
      <c r="U71" s="301"/>
      <c r="V71" s="301"/>
      <c r="W71" s="301"/>
      <c r="X71" s="291">
        <v>-900</v>
      </c>
      <c r="Y71" s="291"/>
      <c r="Z71" s="291"/>
      <c r="AA71" s="291"/>
      <c r="AB71" s="291"/>
      <c r="AC71" s="291">
        <v>-900</v>
      </c>
      <c r="AD71" s="291"/>
      <c r="AE71" s="291"/>
      <c r="AF71" s="291"/>
      <c r="AG71" s="291"/>
      <c r="AH71" s="291">
        <v>-900</v>
      </c>
      <c r="AI71" s="291"/>
      <c r="AJ71" s="291"/>
      <c r="AK71" s="291"/>
      <c r="AL71" s="291"/>
      <c r="AM71" s="302">
        <f t="shared" si="37"/>
        <v>-900</v>
      </c>
      <c r="AN71" s="302"/>
      <c r="AO71" s="302"/>
      <c r="AP71" s="302"/>
      <c r="AQ71" s="302"/>
      <c r="AR71" s="302">
        <f t="shared" si="38"/>
        <v>0</v>
      </c>
      <c r="AS71" s="302"/>
      <c r="AT71" s="302"/>
      <c r="AU71" s="302"/>
      <c r="AV71" s="302"/>
      <c r="AW71" s="139"/>
      <c r="AX71" s="139"/>
      <c r="AY71" s="139"/>
      <c r="AZ71" s="172"/>
      <c r="BA71" s="173"/>
      <c r="BB71" s="322">
        <f t="shared" si="5"/>
        <v>1.9</v>
      </c>
      <c r="BC71" s="323"/>
      <c r="BD71" s="323"/>
      <c r="BE71" s="323"/>
      <c r="BF71" s="324"/>
      <c r="BG71" s="322">
        <f t="shared" si="6"/>
        <v>-898.1</v>
      </c>
      <c r="BH71" s="323"/>
      <c r="BI71" s="323"/>
      <c r="BJ71" s="323"/>
      <c r="BK71" s="324"/>
      <c r="BL71" s="322">
        <f t="shared" si="7"/>
        <v>-901.9</v>
      </c>
      <c r="BM71" s="323"/>
      <c r="BN71" s="323"/>
      <c r="BO71" s="323"/>
      <c r="BP71" s="324"/>
      <c r="BQ71" s="292" t="str">
        <f t="shared" si="39"/>
        <v>PASS</v>
      </c>
      <c r="BR71" s="292"/>
      <c r="BS71" s="292"/>
      <c r="BT71" s="292"/>
      <c r="BU71" s="292"/>
      <c r="BV71" s="173"/>
      <c r="BX71" s="73" t="s">
        <v>128</v>
      </c>
      <c r="BY71" s="223">
        <v>3.3E-3</v>
      </c>
      <c r="BZ71" s="74" t="str">
        <f t="shared" si="40"/>
        <v>V</v>
      </c>
      <c r="CA71" s="182">
        <v>2</v>
      </c>
      <c r="CB71" s="79">
        <f t="shared" si="41"/>
        <v>1.65E-3</v>
      </c>
      <c r="CC71" s="4"/>
      <c r="CD71" s="73" t="s">
        <v>130</v>
      </c>
      <c r="CE71" s="89">
        <v>0</v>
      </c>
      <c r="CF71" s="74" t="str">
        <f t="shared" si="42"/>
        <v>V</v>
      </c>
      <c r="CG71" s="82">
        <f t="shared" si="12"/>
        <v>1.7320508075688772</v>
      </c>
      <c r="CH71" s="79">
        <f t="shared" si="43"/>
        <v>0</v>
      </c>
      <c r="CI71" s="4"/>
      <c r="CJ71" s="73" t="s">
        <v>92</v>
      </c>
      <c r="CK71" s="183">
        <v>1</v>
      </c>
      <c r="CL71" s="74" t="str">
        <f t="shared" si="44"/>
        <v>V</v>
      </c>
      <c r="CM71" s="82">
        <f t="shared" si="14"/>
        <v>3.4641016151377544</v>
      </c>
      <c r="CN71" s="79">
        <f t="shared" si="45"/>
        <v>0.28867513459481292</v>
      </c>
      <c r="CO71" s="4"/>
      <c r="CP71" s="73" t="s">
        <v>70</v>
      </c>
      <c r="CQ71" s="84">
        <f t="shared" si="46"/>
        <v>0</v>
      </c>
      <c r="CR71" s="74" t="str">
        <f t="shared" si="47"/>
        <v>V</v>
      </c>
      <c r="CS71" s="82">
        <f t="shared" si="17"/>
        <v>1.7320508075688772</v>
      </c>
      <c r="CT71" s="87">
        <f t="shared" si="48"/>
        <v>0</v>
      </c>
      <c r="CU71" s="8"/>
      <c r="CV71" s="96">
        <f t="shared" si="49"/>
        <v>0.28867985006462321</v>
      </c>
      <c r="CW71" s="89">
        <f t="shared" si="50"/>
        <v>200.01306799998596</v>
      </c>
      <c r="CX71" s="97">
        <f t="shared" si="51"/>
        <v>2</v>
      </c>
      <c r="CY71" s="113">
        <f t="shared" si="55"/>
        <v>0.57735970012924642</v>
      </c>
      <c r="CZ71" s="108" t="str">
        <f t="shared" si="52"/>
        <v>V</v>
      </c>
      <c r="DA71" s="8"/>
      <c r="DB71" s="177">
        <v>1.4E-3</v>
      </c>
      <c r="DC71" s="178" t="str">
        <f t="shared" si="53"/>
        <v>V</v>
      </c>
      <c r="DD71" s="220">
        <f t="shared" si="24"/>
        <v>0.57735970012924642</v>
      </c>
      <c r="DE71" s="178" t="str">
        <f t="shared" si="54"/>
        <v>V</v>
      </c>
    </row>
    <row r="72" spans="1:109" s="143" customFormat="1" ht="14.25" thickBot="1">
      <c r="A72" s="136"/>
      <c r="B72" s="166"/>
      <c r="C72" s="167"/>
      <c r="D72" s="167"/>
      <c r="E72" s="167"/>
      <c r="F72" s="184"/>
      <c r="G72" s="184"/>
      <c r="H72" s="184"/>
      <c r="I72" s="184"/>
      <c r="J72" s="184"/>
      <c r="K72" s="184"/>
      <c r="L72" s="185"/>
      <c r="M72" s="185"/>
      <c r="N72" s="185"/>
      <c r="O72" s="185"/>
      <c r="P72" s="186"/>
      <c r="Q72" s="186"/>
      <c r="R72" s="186"/>
      <c r="S72" s="187"/>
      <c r="T72" s="187"/>
      <c r="U72" s="187"/>
      <c r="V72" s="187"/>
      <c r="W72" s="187"/>
      <c r="X72" s="188"/>
      <c r="Y72" s="188"/>
      <c r="Z72" s="188"/>
      <c r="AA72" s="188"/>
      <c r="AB72" s="188"/>
      <c r="AC72" s="188"/>
      <c r="AD72" s="188"/>
      <c r="AE72" s="188"/>
      <c r="AF72" s="188"/>
      <c r="AG72" s="188"/>
      <c r="AH72" s="188"/>
      <c r="AI72" s="188"/>
      <c r="AJ72" s="188"/>
      <c r="AK72" s="188"/>
      <c r="AL72" s="188"/>
      <c r="AM72" s="188"/>
      <c r="AN72" s="188"/>
      <c r="AO72" s="188"/>
      <c r="AP72" s="188"/>
      <c r="AQ72" s="188"/>
      <c r="AR72" s="188"/>
      <c r="AS72" s="188"/>
      <c r="AT72" s="188"/>
      <c r="AU72" s="188"/>
      <c r="AV72" s="188"/>
      <c r="AW72" s="167"/>
      <c r="AX72" s="167"/>
      <c r="AY72" s="167"/>
      <c r="AZ72" s="168"/>
      <c r="BA72" s="136"/>
      <c r="BB72" s="136"/>
      <c r="BC72" s="136"/>
      <c r="BD72" s="136"/>
      <c r="BE72" s="136"/>
      <c r="BF72" s="136"/>
      <c r="BG72" s="189"/>
      <c r="BH72" s="189"/>
      <c r="BI72" s="189"/>
      <c r="BJ72" s="189"/>
      <c r="BK72" s="189"/>
      <c r="BL72" s="189"/>
      <c r="BM72" s="189"/>
      <c r="BN72" s="189"/>
      <c r="BO72" s="189"/>
      <c r="BP72" s="189"/>
      <c r="BQ72" s="190"/>
      <c r="BR72" s="190"/>
      <c r="BS72" s="190"/>
      <c r="BT72" s="190"/>
      <c r="BU72" s="190"/>
      <c r="BV72" s="136"/>
      <c r="BX72" s="9"/>
      <c r="BY72" s="12"/>
      <c r="BZ72" s="10"/>
      <c r="CA72" s="9"/>
      <c r="CB72" s="11"/>
      <c r="CC72" s="11"/>
      <c r="CD72" s="9"/>
      <c r="CE72" s="12"/>
      <c r="CF72" s="10"/>
      <c r="CG72" s="13"/>
      <c r="CH72" s="11"/>
      <c r="CI72" s="11"/>
      <c r="CJ72" s="9"/>
      <c r="CK72" s="9"/>
      <c r="CL72" s="10"/>
      <c r="CM72" s="13"/>
      <c r="CN72" s="11"/>
      <c r="CO72" s="11"/>
      <c r="CP72" s="9"/>
      <c r="CQ72" s="14"/>
      <c r="CR72" s="10"/>
      <c r="CS72" s="13"/>
      <c r="CT72" s="14"/>
      <c r="CU72" s="15"/>
      <c r="CV72" s="11"/>
      <c r="CW72" s="12"/>
      <c r="CX72" s="16"/>
      <c r="CY72" s="17"/>
      <c r="CZ72" s="18"/>
      <c r="DA72" s="15"/>
    </row>
    <row r="73" spans="1:109" s="7" customFormat="1" ht="12.75" customHeight="1" thickBot="1">
      <c r="A73" s="169"/>
      <c r="B73" s="170"/>
      <c r="C73" s="139"/>
      <c r="D73" s="138"/>
      <c r="E73" s="139"/>
      <c r="F73" s="171" t="s">
        <v>95</v>
      </c>
      <c r="G73" s="139"/>
      <c r="H73" s="139"/>
      <c r="I73" s="139"/>
      <c r="J73" s="139"/>
      <c r="K73" s="139"/>
      <c r="L73" s="139"/>
      <c r="M73" s="139"/>
      <c r="N73" s="139"/>
      <c r="O73" s="139"/>
      <c r="P73" s="139"/>
      <c r="Q73" s="139"/>
      <c r="R73" s="139"/>
      <c r="S73" s="139"/>
      <c r="T73" s="139"/>
      <c r="U73" s="139"/>
      <c r="V73" s="139"/>
      <c r="W73" s="139"/>
      <c r="X73" s="139"/>
      <c r="Y73" s="139"/>
      <c r="Z73" s="139"/>
      <c r="AA73" s="139"/>
      <c r="AB73" s="139"/>
      <c r="AC73" s="139"/>
      <c r="AD73" s="139"/>
      <c r="AE73" s="139"/>
      <c r="AF73" s="139"/>
      <c r="AG73" s="139"/>
      <c r="AH73" s="139"/>
      <c r="AI73" s="139"/>
      <c r="AJ73" s="139"/>
      <c r="AK73" s="139"/>
      <c r="AL73" s="139"/>
      <c r="AM73" s="139"/>
      <c r="AN73" s="139"/>
      <c r="AO73" s="139"/>
      <c r="AP73" s="139"/>
      <c r="AQ73" s="139"/>
      <c r="AR73" s="139"/>
      <c r="AS73" s="139"/>
      <c r="AT73" s="139"/>
      <c r="AU73" s="139"/>
      <c r="AV73" s="139"/>
      <c r="AW73" s="139"/>
      <c r="AX73" s="139"/>
      <c r="AY73" s="139"/>
      <c r="AZ73" s="172"/>
      <c r="BA73" s="169"/>
      <c r="BB73" s="321" t="s">
        <v>124</v>
      </c>
      <c r="BC73" s="321"/>
      <c r="BD73" s="321"/>
      <c r="BE73" s="321"/>
      <c r="BF73" s="321"/>
      <c r="BG73" s="321"/>
      <c r="BH73" s="321"/>
      <c r="BI73" s="321"/>
      <c r="BJ73" s="321"/>
      <c r="BK73" s="321"/>
      <c r="BL73" s="321"/>
      <c r="BM73" s="321"/>
      <c r="BN73" s="321"/>
      <c r="BO73" s="321"/>
      <c r="BP73" s="321"/>
      <c r="BQ73" s="321"/>
      <c r="BR73" s="321"/>
      <c r="BS73" s="321"/>
      <c r="BT73" s="321"/>
      <c r="BU73" s="321"/>
      <c r="BV73" s="169"/>
      <c r="BX73" s="363" t="s">
        <v>69</v>
      </c>
      <c r="BY73" s="364"/>
      <c r="BZ73" s="364"/>
      <c r="CA73" s="364"/>
      <c r="CB73" s="365"/>
      <c r="CC73" s="2"/>
      <c r="CD73" s="363" t="s">
        <v>69</v>
      </c>
      <c r="CE73" s="364"/>
      <c r="CF73" s="364"/>
      <c r="CG73" s="364"/>
      <c r="CH73" s="365"/>
      <c r="CI73" s="2"/>
      <c r="CJ73" s="363" t="s">
        <v>129</v>
      </c>
      <c r="CK73" s="364"/>
      <c r="CL73" s="364"/>
      <c r="CM73" s="364"/>
      <c r="CN73" s="365"/>
      <c r="CO73" s="2"/>
      <c r="CP73" s="363" t="s">
        <v>129</v>
      </c>
      <c r="CQ73" s="364"/>
      <c r="CR73" s="364"/>
      <c r="CS73" s="364"/>
      <c r="CT73" s="365"/>
      <c r="CV73" s="363" t="s">
        <v>71</v>
      </c>
      <c r="CW73" s="364"/>
      <c r="CX73" s="364"/>
      <c r="CY73" s="364"/>
      <c r="CZ73" s="365"/>
      <c r="DB73" s="354" t="s">
        <v>116</v>
      </c>
      <c r="DC73" s="352"/>
      <c r="DD73" s="354" t="s">
        <v>117</v>
      </c>
      <c r="DE73" s="354"/>
    </row>
    <row r="74" spans="1:109" s="174" customFormat="1" ht="18" customHeight="1">
      <c r="A74" s="173"/>
      <c r="B74" s="170"/>
      <c r="C74" s="139"/>
      <c r="D74" s="139"/>
      <c r="E74" s="139"/>
      <c r="F74" s="328" t="s">
        <v>27</v>
      </c>
      <c r="G74" s="328"/>
      <c r="H74" s="328"/>
      <c r="I74" s="328"/>
      <c r="J74" s="328"/>
      <c r="K74" s="328"/>
      <c r="L74" s="328" t="s">
        <v>28</v>
      </c>
      <c r="M74" s="328"/>
      <c r="N74" s="328"/>
      <c r="O74" s="328"/>
      <c r="P74" s="328"/>
      <c r="Q74" s="328"/>
      <c r="R74" s="328"/>
      <c r="S74" s="328" t="s">
        <v>72</v>
      </c>
      <c r="T74" s="328"/>
      <c r="U74" s="328"/>
      <c r="V74" s="328"/>
      <c r="W74" s="328"/>
      <c r="X74" s="328" t="s">
        <v>73</v>
      </c>
      <c r="Y74" s="328"/>
      <c r="Z74" s="328"/>
      <c r="AA74" s="328"/>
      <c r="AB74" s="328"/>
      <c r="AC74" s="328"/>
      <c r="AD74" s="328"/>
      <c r="AE74" s="328"/>
      <c r="AF74" s="328"/>
      <c r="AG74" s="328"/>
      <c r="AH74" s="328"/>
      <c r="AI74" s="328"/>
      <c r="AJ74" s="328"/>
      <c r="AK74" s="328"/>
      <c r="AL74" s="328"/>
      <c r="AM74" s="328" t="s">
        <v>74</v>
      </c>
      <c r="AN74" s="328"/>
      <c r="AO74" s="328"/>
      <c r="AP74" s="328"/>
      <c r="AQ74" s="328"/>
      <c r="AR74" s="328" t="s">
        <v>29</v>
      </c>
      <c r="AS74" s="328"/>
      <c r="AT74" s="328"/>
      <c r="AU74" s="328"/>
      <c r="AV74" s="328"/>
      <c r="AW74" s="139"/>
      <c r="AX74" s="139"/>
      <c r="AY74" s="139"/>
      <c r="AZ74" s="172"/>
      <c r="BA74" s="173"/>
      <c r="BB74" s="328" t="s">
        <v>75</v>
      </c>
      <c r="BC74" s="328"/>
      <c r="BD74" s="328"/>
      <c r="BE74" s="328"/>
      <c r="BF74" s="328"/>
      <c r="BG74" s="328" t="s">
        <v>76</v>
      </c>
      <c r="BH74" s="328"/>
      <c r="BI74" s="328"/>
      <c r="BJ74" s="328"/>
      <c r="BK74" s="328"/>
      <c r="BL74" s="328" t="s">
        <v>77</v>
      </c>
      <c r="BM74" s="328"/>
      <c r="BN74" s="328"/>
      <c r="BO74" s="328"/>
      <c r="BP74" s="328"/>
      <c r="BQ74" s="328" t="s">
        <v>78</v>
      </c>
      <c r="BR74" s="328"/>
      <c r="BS74" s="328"/>
      <c r="BT74" s="328"/>
      <c r="BU74" s="328"/>
      <c r="BV74" s="173"/>
      <c r="BX74" s="357" t="s">
        <v>79</v>
      </c>
      <c r="BY74" s="355" t="s">
        <v>114</v>
      </c>
      <c r="BZ74" s="355" t="s">
        <v>80</v>
      </c>
      <c r="CA74" s="359" t="s">
        <v>81</v>
      </c>
      <c r="CB74" s="361" t="s">
        <v>82</v>
      </c>
      <c r="CC74" s="3"/>
      <c r="CD74" s="357" t="s">
        <v>79</v>
      </c>
      <c r="CE74" s="355" t="s">
        <v>114</v>
      </c>
      <c r="CF74" s="355" t="s">
        <v>80</v>
      </c>
      <c r="CG74" s="359" t="s">
        <v>81</v>
      </c>
      <c r="CH74" s="361" t="s">
        <v>82</v>
      </c>
      <c r="CI74" s="3"/>
      <c r="CJ74" s="357" t="s">
        <v>79</v>
      </c>
      <c r="CK74" s="355" t="s">
        <v>114</v>
      </c>
      <c r="CL74" s="355" t="s">
        <v>80</v>
      </c>
      <c r="CM74" s="359" t="s">
        <v>81</v>
      </c>
      <c r="CN74" s="361" t="s">
        <v>82</v>
      </c>
      <c r="CO74" s="3"/>
      <c r="CP74" s="357" t="s">
        <v>79</v>
      </c>
      <c r="CQ74" s="355" t="s">
        <v>114</v>
      </c>
      <c r="CR74" s="355" t="s">
        <v>80</v>
      </c>
      <c r="CS74" s="359" t="s">
        <v>81</v>
      </c>
      <c r="CT74" s="361" t="s">
        <v>82</v>
      </c>
      <c r="CU74" s="8"/>
      <c r="CV74" s="119" t="s">
        <v>83</v>
      </c>
      <c r="CW74" s="101" t="s">
        <v>84</v>
      </c>
      <c r="CX74" s="121" t="s">
        <v>85</v>
      </c>
      <c r="CY74" s="357" t="s">
        <v>86</v>
      </c>
      <c r="CZ74" s="370"/>
      <c r="DA74" s="8"/>
      <c r="DB74" s="354"/>
      <c r="DC74" s="352"/>
      <c r="DD74" s="354"/>
      <c r="DE74" s="354"/>
    </row>
    <row r="75" spans="1:109" s="174" customFormat="1" ht="18" customHeight="1" thickBot="1">
      <c r="A75" s="173"/>
      <c r="B75" s="170"/>
      <c r="C75" s="139"/>
      <c r="D75" s="139"/>
      <c r="E75" s="139"/>
      <c r="F75" s="328"/>
      <c r="G75" s="328"/>
      <c r="H75" s="328"/>
      <c r="I75" s="328"/>
      <c r="J75" s="328"/>
      <c r="K75" s="328"/>
      <c r="L75" s="328"/>
      <c r="M75" s="328"/>
      <c r="N75" s="328"/>
      <c r="O75" s="328"/>
      <c r="P75" s="328"/>
      <c r="Q75" s="328"/>
      <c r="R75" s="328"/>
      <c r="S75" s="328"/>
      <c r="T75" s="328"/>
      <c r="U75" s="328"/>
      <c r="V75" s="328"/>
      <c r="W75" s="328"/>
      <c r="X75" s="328">
        <v>1</v>
      </c>
      <c r="Y75" s="328"/>
      <c r="Z75" s="328"/>
      <c r="AA75" s="328"/>
      <c r="AB75" s="328"/>
      <c r="AC75" s="328">
        <v>2</v>
      </c>
      <c r="AD75" s="328"/>
      <c r="AE75" s="328"/>
      <c r="AF75" s="328"/>
      <c r="AG75" s="328"/>
      <c r="AH75" s="328">
        <v>3</v>
      </c>
      <c r="AI75" s="328"/>
      <c r="AJ75" s="328"/>
      <c r="AK75" s="328"/>
      <c r="AL75" s="328"/>
      <c r="AM75" s="328"/>
      <c r="AN75" s="328"/>
      <c r="AO75" s="328"/>
      <c r="AP75" s="328"/>
      <c r="AQ75" s="328"/>
      <c r="AR75" s="328"/>
      <c r="AS75" s="328"/>
      <c r="AT75" s="328"/>
      <c r="AU75" s="328"/>
      <c r="AV75" s="328"/>
      <c r="AW75" s="139"/>
      <c r="AX75" s="139"/>
      <c r="AY75" s="139"/>
      <c r="AZ75" s="172"/>
      <c r="BA75" s="173"/>
      <c r="BB75" s="328"/>
      <c r="BC75" s="328"/>
      <c r="BD75" s="328"/>
      <c r="BE75" s="328"/>
      <c r="BF75" s="328"/>
      <c r="BG75" s="328"/>
      <c r="BH75" s="328"/>
      <c r="BI75" s="328"/>
      <c r="BJ75" s="328"/>
      <c r="BK75" s="328"/>
      <c r="BL75" s="328"/>
      <c r="BM75" s="328"/>
      <c r="BN75" s="328"/>
      <c r="BO75" s="328"/>
      <c r="BP75" s="328"/>
      <c r="BQ75" s="328"/>
      <c r="BR75" s="328"/>
      <c r="BS75" s="328"/>
      <c r="BT75" s="328"/>
      <c r="BU75" s="328"/>
      <c r="BV75" s="173"/>
      <c r="BX75" s="358"/>
      <c r="BY75" s="356"/>
      <c r="BZ75" s="356"/>
      <c r="CA75" s="360"/>
      <c r="CB75" s="362"/>
      <c r="CC75" s="3"/>
      <c r="CD75" s="358"/>
      <c r="CE75" s="356"/>
      <c r="CF75" s="356"/>
      <c r="CG75" s="360"/>
      <c r="CH75" s="362"/>
      <c r="CI75" s="3"/>
      <c r="CJ75" s="358"/>
      <c r="CK75" s="356"/>
      <c r="CL75" s="356"/>
      <c r="CM75" s="360"/>
      <c r="CN75" s="362"/>
      <c r="CO75" s="3"/>
      <c r="CP75" s="358"/>
      <c r="CQ75" s="356"/>
      <c r="CR75" s="356"/>
      <c r="CS75" s="360"/>
      <c r="CT75" s="362"/>
      <c r="CU75" s="8"/>
      <c r="CV75" s="120" t="s">
        <v>87</v>
      </c>
      <c r="CW75" s="102" t="s">
        <v>88</v>
      </c>
      <c r="CX75" s="122" t="s">
        <v>89</v>
      </c>
      <c r="CY75" s="358" t="s">
        <v>90</v>
      </c>
      <c r="CZ75" s="371"/>
      <c r="DA75" s="8"/>
      <c r="DB75" s="354"/>
      <c r="DC75" s="352"/>
      <c r="DD75" s="354"/>
      <c r="DE75" s="354"/>
    </row>
    <row r="76" spans="1:109" s="174" customFormat="1" ht="18" customHeight="1">
      <c r="A76" s="173"/>
      <c r="B76" s="170"/>
      <c r="C76" s="139"/>
      <c r="D76" s="139"/>
      <c r="E76" s="139"/>
      <c r="F76" s="310" t="s">
        <v>134</v>
      </c>
      <c r="G76" s="311"/>
      <c r="H76" s="311"/>
      <c r="I76" s="311"/>
      <c r="J76" s="311"/>
      <c r="K76" s="312"/>
      <c r="L76" s="297">
        <f>600*10%</f>
        <v>60</v>
      </c>
      <c r="M76" s="298"/>
      <c r="N76" s="298"/>
      <c r="O76" s="298"/>
      <c r="P76" s="299" t="s">
        <v>91</v>
      </c>
      <c r="Q76" s="299"/>
      <c r="R76" s="300"/>
      <c r="S76" s="319" t="s">
        <v>96</v>
      </c>
      <c r="T76" s="319"/>
      <c r="U76" s="319"/>
      <c r="V76" s="319"/>
      <c r="W76" s="319"/>
      <c r="X76" s="291">
        <v>60</v>
      </c>
      <c r="Y76" s="291"/>
      <c r="Z76" s="291"/>
      <c r="AA76" s="291"/>
      <c r="AB76" s="291"/>
      <c r="AC76" s="291">
        <v>60</v>
      </c>
      <c r="AD76" s="291"/>
      <c r="AE76" s="291"/>
      <c r="AF76" s="291"/>
      <c r="AG76" s="291"/>
      <c r="AH76" s="291">
        <v>60</v>
      </c>
      <c r="AI76" s="291"/>
      <c r="AJ76" s="291"/>
      <c r="AK76" s="291"/>
      <c r="AL76" s="291"/>
      <c r="AM76" s="325">
        <f t="shared" ref="AM76:AM79" si="56">AVERAGE(X76:AL76)</f>
        <v>60</v>
      </c>
      <c r="AN76" s="326"/>
      <c r="AO76" s="326"/>
      <c r="AP76" s="326"/>
      <c r="AQ76" s="327"/>
      <c r="AR76" s="291">
        <f t="shared" ref="AR76:AR79" si="57">AM76-L76</f>
        <v>0</v>
      </c>
      <c r="AS76" s="291"/>
      <c r="AT76" s="291"/>
      <c r="AU76" s="291"/>
      <c r="AV76" s="291"/>
      <c r="AW76" s="139"/>
      <c r="AX76" s="139"/>
      <c r="AY76" s="139"/>
      <c r="AZ76" s="172"/>
      <c r="BA76" s="173"/>
      <c r="BB76" s="320">
        <f>(AM76*0.7%)+(4*CK76)</f>
        <v>0.82</v>
      </c>
      <c r="BC76" s="320"/>
      <c r="BD76" s="320"/>
      <c r="BE76" s="320"/>
      <c r="BF76" s="320"/>
      <c r="BG76" s="320">
        <f t="shared" ref="BG76:BG79" si="58">L76+BB76</f>
        <v>60.82</v>
      </c>
      <c r="BH76" s="320"/>
      <c r="BI76" s="320"/>
      <c r="BJ76" s="320"/>
      <c r="BK76" s="320"/>
      <c r="BL76" s="320">
        <f t="shared" ref="BL76:BL79" si="59">L76-BB76</f>
        <v>59.18</v>
      </c>
      <c r="BM76" s="320"/>
      <c r="BN76" s="320"/>
      <c r="BO76" s="320"/>
      <c r="BP76" s="320"/>
      <c r="BQ76" s="292" t="str">
        <f t="shared" ref="BQ76:BQ79" si="60">IF(AND(AM76&lt;=BG76,AM76&gt;=BL76),"PASS","FAIL")</f>
        <v>PASS</v>
      </c>
      <c r="BR76" s="292"/>
      <c r="BS76" s="292"/>
      <c r="BT76" s="292"/>
      <c r="BU76" s="292"/>
      <c r="BV76" s="173"/>
      <c r="BX76" s="70" t="s">
        <v>128</v>
      </c>
      <c r="BY76" s="83">
        <v>7.0000000000000007E-2</v>
      </c>
      <c r="BZ76" s="71" t="str">
        <f t="shared" ref="BZ76:BZ79" si="61">P76</f>
        <v>mV</v>
      </c>
      <c r="CA76" s="191">
        <v>2</v>
      </c>
      <c r="CB76" s="77">
        <f t="shared" ref="CB76:CB79" si="62">BY76/CA76</f>
        <v>3.5000000000000003E-2</v>
      </c>
      <c r="CC76" s="4"/>
      <c r="CD76" s="70" t="s">
        <v>130</v>
      </c>
      <c r="CE76" s="88">
        <v>0</v>
      </c>
      <c r="CF76" s="71" t="str">
        <f t="shared" ref="CF76:CF79" si="63">BZ76</f>
        <v>mV</v>
      </c>
      <c r="CG76" s="80">
        <f t="shared" si="12"/>
        <v>1.7320508075688772</v>
      </c>
      <c r="CH76" s="77">
        <f>CE76/CG76</f>
        <v>0</v>
      </c>
      <c r="CI76" s="4"/>
      <c r="CJ76" s="70" t="s">
        <v>92</v>
      </c>
      <c r="CK76" s="176">
        <v>0.1</v>
      </c>
      <c r="CL76" s="71" t="str">
        <f t="shared" ref="CL76:CL79" si="64">P76</f>
        <v>mV</v>
      </c>
      <c r="CM76" s="80">
        <f>SQRT(12)</f>
        <v>3.4641016151377544</v>
      </c>
      <c r="CN76" s="77">
        <f>CK76/CM76</f>
        <v>2.8867513459481291E-2</v>
      </c>
      <c r="CO76" s="4"/>
      <c r="CP76" s="70" t="s">
        <v>70</v>
      </c>
      <c r="CQ76" s="83">
        <f t="shared" ref="CQ76:CQ79" si="65">STDEV(X76:AL76)</f>
        <v>0</v>
      </c>
      <c r="CR76" s="71" t="str">
        <f t="shared" ref="CR76:CR79" si="66">P76</f>
        <v>mV</v>
      </c>
      <c r="CS76" s="80">
        <f>SQRT(3)</f>
        <v>1.7320508075688772</v>
      </c>
      <c r="CT76" s="85">
        <f>CQ76/CS76</f>
        <v>0</v>
      </c>
      <c r="CU76" s="8"/>
      <c r="CV76" s="92">
        <f>SQRT(SUMSQ(CT76,CN76,CH76,CB76))</f>
        <v>4.5368858629387339E-2</v>
      </c>
      <c r="CW76" s="88">
        <f>(CV76^4)/(((CT76^4)/2)+((CN76^4)/200)+((CH76^4)/200)+((CB76^4)/200))</f>
        <v>386.02296814198502</v>
      </c>
      <c r="CX76" s="93">
        <f t="shared" ref="CX76:CX79" si="67">ROUND(TINV(0.05,CW76),0)</f>
        <v>2</v>
      </c>
      <c r="CY76" s="118">
        <f>(CV76*CX76)</f>
        <v>9.0737717258774678E-2</v>
      </c>
      <c r="CZ76" s="104" t="str">
        <f t="shared" ref="CZ76:CZ79" si="68">P76</f>
        <v>mV</v>
      </c>
      <c r="DA76" s="8"/>
      <c r="DB76" s="177">
        <v>0.01</v>
      </c>
      <c r="DC76" s="178" t="str">
        <f>CZ76</f>
        <v>mV</v>
      </c>
      <c r="DD76" s="220">
        <f t="shared" ref="DD76:DD97" si="69">MAX(DB76,CY76)</f>
        <v>9.0737717258774678E-2</v>
      </c>
      <c r="DE76" s="178" t="str">
        <f>DC76</f>
        <v>mV</v>
      </c>
    </row>
    <row r="77" spans="1:109" s="174" customFormat="1" ht="18" customHeight="1">
      <c r="A77" s="173"/>
      <c r="B77" s="170"/>
      <c r="C77" s="139"/>
      <c r="D77" s="139"/>
      <c r="E77" s="139"/>
      <c r="F77" s="313"/>
      <c r="G77" s="314"/>
      <c r="H77" s="314"/>
      <c r="I77" s="314"/>
      <c r="J77" s="314"/>
      <c r="K77" s="315"/>
      <c r="L77" s="297">
        <f t="shared" ref="L77" si="70">600*10%</f>
        <v>60</v>
      </c>
      <c r="M77" s="298"/>
      <c r="N77" s="298"/>
      <c r="O77" s="298"/>
      <c r="P77" s="299" t="s">
        <v>91</v>
      </c>
      <c r="Q77" s="299"/>
      <c r="R77" s="300"/>
      <c r="S77" s="319" t="s">
        <v>143</v>
      </c>
      <c r="T77" s="319"/>
      <c r="U77" s="319"/>
      <c r="V77" s="319"/>
      <c r="W77" s="319"/>
      <c r="X77" s="291">
        <v>60</v>
      </c>
      <c r="Y77" s="291"/>
      <c r="Z77" s="291"/>
      <c r="AA77" s="291"/>
      <c r="AB77" s="291"/>
      <c r="AC77" s="291">
        <v>60</v>
      </c>
      <c r="AD77" s="291"/>
      <c r="AE77" s="291"/>
      <c r="AF77" s="291"/>
      <c r="AG77" s="291"/>
      <c r="AH77" s="291">
        <v>60</v>
      </c>
      <c r="AI77" s="291"/>
      <c r="AJ77" s="291"/>
      <c r="AK77" s="291"/>
      <c r="AL77" s="291"/>
      <c r="AM77" s="291">
        <f t="shared" si="56"/>
        <v>60</v>
      </c>
      <c r="AN77" s="291"/>
      <c r="AO77" s="291"/>
      <c r="AP77" s="291"/>
      <c r="AQ77" s="291"/>
      <c r="AR77" s="291">
        <f t="shared" si="57"/>
        <v>0</v>
      </c>
      <c r="AS77" s="291"/>
      <c r="AT77" s="291"/>
      <c r="AU77" s="291"/>
      <c r="AV77" s="291"/>
      <c r="AW77" s="139"/>
      <c r="AX77" s="139"/>
      <c r="AY77" s="139"/>
      <c r="AZ77" s="172"/>
      <c r="BA77" s="173"/>
      <c r="BB77" s="320">
        <f>(AM77*1%)+(4*CK77)</f>
        <v>1</v>
      </c>
      <c r="BC77" s="320"/>
      <c r="BD77" s="320"/>
      <c r="BE77" s="320"/>
      <c r="BF77" s="320"/>
      <c r="BG77" s="320">
        <f t="shared" si="58"/>
        <v>61</v>
      </c>
      <c r="BH77" s="320"/>
      <c r="BI77" s="320"/>
      <c r="BJ77" s="320"/>
      <c r="BK77" s="320"/>
      <c r="BL77" s="320">
        <f t="shared" si="59"/>
        <v>59</v>
      </c>
      <c r="BM77" s="320"/>
      <c r="BN77" s="320"/>
      <c r="BO77" s="320"/>
      <c r="BP77" s="320"/>
      <c r="BQ77" s="292" t="str">
        <f t="shared" si="60"/>
        <v>PASS</v>
      </c>
      <c r="BR77" s="292"/>
      <c r="BS77" s="292"/>
      <c r="BT77" s="292"/>
      <c r="BU77" s="292"/>
      <c r="BV77" s="173"/>
      <c r="BX77" s="72" t="s">
        <v>128</v>
      </c>
      <c r="BY77" s="6">
        <v>7.0000000000000007E-2</v>
      </c>
      <c r="BZ77" s="1" t="str">
        <f t="shared" si="61"/>
        <v>mV</v>
      </c>
      <c r="CA77" s="180">
        <v>2</v>
      </c>
      <c r="CB77" s="78">
        <f t="shared" si="62"/>
        <v>3.5000000000000003E-2</v>
      </c>
      <c r="CC77" s="4"/>
      <c r="CD77" s="72" t="s">
        <v>130</v>
      </c>
      <c r="CE77" s="5">
        <v>0</v>
      </c>
      <c r="CF77" s="1" t="str">
        <f t="shared" si="63"/>
        <v>mV</v>
      </c>
      <c r="CG77" s="81">
        <f t="shared" si="12"/>
        <v>1.7320508075688772</v>
      </c>
      <c r="CH77" s="78">
        <f t="shared" ref="CH77:CH79" si="71">CE77/CG77</f>
        <v>0</v>
      </c>
      <c r="CI77" s="4"/>
      <c r="CJ77" s="72" t="s">
        <v>92</v>
      </c>
      <c r="CK77" s="181">
        <v>0.1</v>
      </c>
      <c r="CL77" s="1" t="str">
        <f t="shared" si="64"/>
        <v>mV</v>
      </c>
      <c r="CM77" s="81">
        <f t="shared" ref="CM77:CM79" si="72">SQRT(12)</f>
        <v>3.4641016151377544</v>
      </c>
      <c r="CN77" s="78">
        <f t="shared" ref="CN77:CN79" si="73">CK77/CM77</f>
        <v>2.8867513459481291E-2</v>
      </c>
      <c r="CO77" s="4"/>
      <c r="CP77" s="72" t="s">
        <v>70</v>
      </c>
      <c r="CQ77" s="6">
        <f t="shared" si="65"/>
        <v>0</v>
      </c>
      <c r="CR77" s="1" t="str">
        <f t="shared" si="66"/>
        <v>mV</v>
      </c>
      <c r="CS77" s="81">
        <f t="shared" ref="CS77:CS79" si="74">SQRT(3)</f>
        <v>1.7320508075688772</v>
      </c>
      <c r="CT77" s="86">
        <f t="shared" ref="CT77:CT79" si="75">CQ77/CS77</f>
        <v>0</v>
      </c>
      <c r="CU77" s="8"/>
      <c r="CV77" s="94">
        <f t="shared" ref="CV77:CV79" si="76">SQRT(SUMSQ(CT77,CN77,CH77,CB77))</f>
        <v>4.5368858629387339E-2</v>
      </c>
      <c r="CW77" s="5">
        <f t="shared" ref="CW77:CW79" si="77">(CV77^4)/(((CT77^4)/2)+((CN77^4)/200)+((CH77^4)/200)+((CB77^4)/200))</f>
        <v>386.02296814198502</v>
      </c>
      <c r="CX77" s="95">
        <f t="shared" si="67"/>
        <v>2</v>
      </c>
      <c r="CY77" s="111">
        <f t="shared" ref="CY77:CY79" si="78">(CV77*CX77)</f>
        <v>9.0737717258774678E-2</v>
      </c>
      <c r="CZ77" s="106" t="str">
        <f t="shared" si="68"/>
        <v>mV</v>
      </c>
      <c r="DA77" s="8"/>
      <c r="DB77" s="177">
        <v>0.01</v>
      </c>
      <c r="DC77" s="178" t="str">
        <f t="shared" ref="DC77:DC79" si="79">CZ77</f>
        <v>mV</v>
      </c>
      <c r="DD77" s="220">
        <f t="shared" si="69"/>
        <v>9.0737717258774678E-2</v>
      </c>
      <c r="DE77" s="178" t="str">
        <f t="shared" ref="DE77:DE79" si="80">DC77</f>
        <v>mV</v>
      </c>
    </row>
    <row r="78" spans="1:109" s="174" customFormat="1" ht="18" customHeight="1">
      <c r="A78" s="173"/>
      <c r="B78" s="170"/>
      <c r="C78" s="139"/>
      <c r="D78" s="139"/>
      <c r="E78" s="139"/>
      <c r="F78" s="313"/>
      <c r="G78" s="314"/>
      <c r="H78" s="314"/>
      <c r="I78" s="314"/>
      <c r="J78" s="314"/>
      <c r="K78" s="315"/>
      <c r="L78" s="297">
        <f>600*90%</f>
        <v>540</v>
      </c>
      <c r="M78" s="298"/>
      <c r="N78" s="298"/>
      <c r="O78" s="298"/>
      <c r="P78" s="299" t="s">
        <v>91</v>
      </c>
      <c r="Q78" s="299"/>
      <c r="R78" s="300"/>
      <c r="S78" s="319" t="s">
        <v>96</v>
      </c>
      <c r="T78" s="319"/>
      <c r="U78" s="319"/>
      <c r="V78" s="319"/>
      <c r="W78" s="319"/>
      <c r="X78" s="291">
        <v>540</v>
      </c>
      <c r="Y78" s="291"/>
      <c r="Z78" s="291"/>
      <c r="AA78" s="291"/>
      <c r="AB78" s="291"/>
      <c r="AC78" s="291">
        <v>540</v>
      </c>
      <c r="AD78" s="291"/>
      <c r="AE78" s="291"/>
      <c r="AF78" s="291"/>
      <c r="AG78" s="291"/>
      <c r="AH78" s="291">
        <v>540</v>
      </c>
      <c r="AI78" s="291"/>
      <c r="AJ78" s="291"/>
      <c r="AK78" s="291"/>
      <c r="AL78" s="291"/>
      <c r="AM78" s="291">
        <f t="shared" si="56"/>
        <v>540</v>
      </c>
      <c r="AN78" s="291"/>
      <c r="AO78" s="291"/>
      <c r="AP78" s="291"/>
      <c r="AQ78" s="291"/>
      <c r="AR78" s="291">
        <f t="shared" si="57"/>
        <v>0</v>
      </c>
      <c r="AS78" s="291"/>
      <c r="AT78" s="291"/>
      <c r="AU78" s="291"/>
      <c r="AV78" s="291"/>
      <c r="AW78" s="139"/>
      <c r="AX78" s="139"/>
      <c r="AY78" s="139"/>
      <c r="AZ78" s="172"/>
      <c r="BA78" s="173"/>
      <c r="BB78" s="320">
        <f>(AM78*0.7%)+(4*CK78)</f>
        <v>4.18</v>
      </c>
      <c r="BC78" s="320"/>
      <c r="BD78" s="320"/>
      <c r="BE78" s="320"/>
      <c r="BF78" s="320"/>
      <c r="BG78" s="320">
        <f t="shared" si="58"/>
        <v>544.17999999999995</v>
      </c>
      <c r="BH78" s="320"/>
      <c r="BI78" s="320"/>
      <c r="BJ78" s="320"/>
      <c r="BK78" s="320"/>
      <c r="BL78" s="320">
        <f t="shared" si="59"/>
        <v>535.82000000000005</v>
      </c>
      <c r="BM78" s="320"/>
      <c r="BN78" s="320"/>
      <c r="BO78" s="320"/>
      <c r="BP78" s="320"/>
      <c r="BQ78" s="292" t="str">
        <f t="shared" si="60"/>
        <v>PASS</v>
      </c>
      <c r="BR78" s="292"/>
      <c r="BS78" s="292"/>
      <c r="BT78" s="292"/>
      <c r="BU78" s="292"/>
      <c r="BV78" s="173"/>
      <c r="BX78" s="72" t="s">
        <v>128</v>
      </c>
      <c r="BY78" s="179">
        <v>0.91</v>
      </c>
      <c r="BZ78" s="1" t="str">
        <f t="shared" si="61"/>
        <v>mV</v>
      </c>
      <c r="CA78" s="180">
        <v>2</v>
      </c>
      <c r="CB78" s="78">
        <f t="shared" si="62"/>
        <v>0.45500000000000002</v>
      </c>
      <c r="CC78" s="4"/>
      <c r="CD78" s="72" t="s">
        <v>130</v>
      </c>
      <c r="CE78" s="5">
        <v>0</v>
      </c>
      <c r="CF78" s="1" t="str">
        <f t="shared" si="63"/>
        <v>mV</v>
      </c>
      <c r="CG78" s="81">
        <f t="shared" si="12"/>
        <v>1.7320508075688772</v>
      </c>
      <c r="CH78" s="78">
        <f t="shared" si="71"/>
        <v>0</v>
      </c>
      <c r="CI78" s="4"/>
      <c r="CJ78" s="72" t="s">
        <v>92</v>
      </c>
      <c r="CK78" s="181">
        <v>0.1</v>
      </c>
      <c r="CL78" s="1" t="str">
        <f t="shared" si="64"/>
        <v>mV</v>
      </c>
      <c r="CM78" s="81">
        <f t="shared" si="72"/>
        <v>3.4641016151377544</v>
      </c>
      <c r="CN78" s="78">
        <f t="shared" si="73"/>
        <v>2.8867513459481291E-2</v>
      </c>
      <c r="CO78" s="4"/>
      <c r="CP78" s="72" t="s">
        <v>70</v>
      </c>
      <c r="CQ78" s="6">
        <f t="shared" si="65"/>
        <v>0</v>
      </c>
      <c r="CR78" s="1" t="str">
        <f t="shared" si="66"/>
        <v>mV</v>
      </c>
      <c r="CS78" s="81">
        <f t="shared" si="74"/>
        <v>1.7320508075688772</v>
      </c>
      <c r="CT78" s="86">
        <f t="shared" si="75"/>
        <v>0</v>
      </c>
      <c r="CU78" s="8"/>
      <c r="CV78" s="94">
        <f t="shared" si="76"/>
        <v>0.45591483122764642</v>
      </c>
      <c r="CW78" s="5">
        <f t="shared" si="77"/>
        <v>201.61008541221824</v>
      </c>
      <c r="CX78" s="95">
        <f t="shared" si="67"/>
        <v>2</v>
      </c>
      <c r="CY78" s="111">
        <f t="shared" si="78"/>
        <v>0.91182966245529284</v>
      </c>
      <c r="CZ78" s="106" t="str">
        <f t="shared" si="68"/>
        <v>mV</v>
      </c>
      <c r="DA78" s="8"/>
      <c r="DB78" s="177">
        <v>8.5000000000000006E-2</v>
      </c>
      <c r="DC78" s="178" t="str">
        <f t="shared" si="79"/>
        <v>mV</v>
      </c>
      <c r="DD78" s="220">
        <f t="shared" si="69"/>
        <v>0.91182966245529284</v>
      </c>
      <c r="DE78" s="178" t="str">
        <f t="shared" si="80"/>
        <v>mV</v>
      </c>
    </row>
    <row r="79" spans="1:109" s="174" customFormat="1" ht="18" customHeight="1" thickBot="1">
      <c r="A79" s="173"/>
      <c r="B79" s="170"/>
      <c r="C79" s="139"/>
      <c r="D79" s="139"/>
      <c r="E79" s="139"/>
      <c r="F79" s="316"/>
      <c r="G79" s="317"/>
      <c r="H79" s="317"/>
      <c r="I79" s="317"/>
      <c r="J79" s="317"/>
      <c r="K79" s="318"/>
      <c r="L79" s="297">
        <f>600*90%</f>
        <v>540</v>
      </c>
      <c r="M79" s="298"/>
      <c r="N79" s="298"/>
      <c r="O79" s="298"/>
      <c r="P79" s="299" t="s">
        <v>91</v>
      </c>
      <c r="Q79" s="299"/>
      <c r="R79" s="300"/>
      <c r="S79" s="319" t="s">
        <v>143</v>
      </c>
      <c r="T79" s="319"/>
      <c r="U79" s="319"/>
      <c r="V79" s="319"/>
      <c r="W79" s="319"/>
      <c r="X79" s="291">
        <v>540</v>
      </c>
      <c r="Y79" s="291"/>
      <c r="Z79" s="291"/>
      <c r="AA79" s="291"/>
      <c r="AB79" s="291"/>
      <c r="AC79" s="291">
        <v>540</v>
      </c>
      <c r="AD79" s="291"/>
      <c r="AE79" s="291"/>
      <c r="AF79" s="291"/>
      <c r="AG79" s="291"/>
      <c r="AH79" s="291">
        <v>540</v>
      </c>
      <c r="AI79" s="291"/>
      <c r="AJ79" s="291"/>
      <c r="AK79" s="291"/>
      <c r="AL79" s="291"/>
      <c r="AM79" s="291">
        <f t="shared" si="56"/>
        <v>540</v>
      </c>
      <c r="AN79" s="291"/>
      <c r="AO79" s="291"/>
      <c r="AP79" s="291"/>
      <c r="AQ79" s="291"/>
      <c r="AR79" s="291">
        <f t="shared" si="57"/>
        <v>0</v>
      </c>
      <c r="AS79" s="291"/>
      <c r="AT79" s="291"/>
      <c r="AU79" s="291"/>
      <c r="AV79" s="291"/>
      <c r="AW79" s="139"/>
      <c r="AX79" s="139"/>
      <c r="AY79" s="139"/>
      <c r="AZ79" s="172"/>
      <c r="BA79" s="173"/>
      <c r="BB79" s="320">
        <f>(AM79*1%)+(4*CK79)</f>
        <v>5.8000000000000007</v>
      </c>
      <c r="BC79" s="320"/>
      <c r="BD79" s="320"/>
      <c r="BE79" s="320"/>
      <c r="BF79" s="320"/>
      <c r="BG79" s="320">
        <f t="shared" si="58"/>
        <v>545.79999999999995</v>
      </c>
      <c r="BH79" s="320"/>
      <c r="BI79" s="320"/>
      <c r="BJ79" s="320"/>
      <c r="BK79" s="320"/>
      <c r="BL79" s="320">
        <f t="shared" si="59"/>
        <v>534.20000000000005</v>
      </c>
      <c r="BM79" s="320"/>
      <c r="BN79" s="320"/>
      <c r="BO79" s="320"/>
      <c r="BP79" s="320"/>
      <c r="BQ79" s="292" t="str">
        <f t="shared" si="60"/>
        <v>PASS</v>
      </c>
      <c r="BR79" s="292"/>
      <c r="BS79" s="292"/>
      <c r="BT79" s="292"/>
      <c r="BU79" s="292"/>
      <c r="BV79" s="173"/>
      <c r="BX79" s="72" t="s">
        <v>128</v>
      </c>
      <c r="BY79" s="179">
        <v>0.91</v>
      </c>
      <c r="BZ79" s="208" t="str">
        <f t="shared" si="61"/>
        <v>mV</v>
      </c>
      <c r="CA79" s="180">
        <v>2</v>
      </c>
      <c r="CB79" s="78">
        <f t="shared" si="62"/>
        <v>0.45500000000000002</v>
      </c>
      <c r="CC79" s="4"/>
      <c r="CD79" s="72" t="s">
        <v>130</v>
      </c>
      <c r="CE79" s="5">
        <v>0</v>
      </c>
      <c r="CF79" s="1" t="str">
        <f t="shared" si="63"/>
        <v>mV</v>
      </c>
      <c r="CG79" s="81">
        <f t="shared" si="12"/>
        <v>1.7320508075688772</v>
      </c>
      <c r="CH79" s="78">
        <f t="shared" si="71"/>
        <v>0</v>
      </c>
      <c r="CI79" s="4"/>
      <c r="CJ79" s="72" t="s">
        <v>92</v>
      </c>
      <c r="CK79" s="181">
        <v>0.1</v>
      </c>
      <c r="CL79" s="1" t="str">
        <f t="shared" si="64"/>
        <v>mV</v>
      </c>
      <c r="CM79" s="81">
        <f t="shared" si="72"/>
        <v>3.4641016151377544</v>
      </c>
      <c r="CN79" s="78">
        <f t="shared" si="73"/>
        <v>2.8867513459481291E-2</v>
      </c>
      <c r="CO79" s="4"/>
      <c r="CP79" s="72" t="s">
        <v>70</v>
      </c>
      <c r="CQ79" s="6">
        <f t="shared" si="65"/>
        <v>0</v>
      </c>
      <c r="CR79" s="1" t="str">
        <f t="shared" si="66"/>
        <v>mV</v>
      </c>
      <c r="CS79" s="81">
        <f t="shared" si="74"/>
        <v>1.7320508075688772</v>
      </c>
      <c r="CT79" s="86">
        <f t="shared" si="75"/>
        <v>0</v>
      </c>
      <c r="CU79" s="8"/>
      <c r="CV79" s="94">
        <f t="shared" si="76"/>
        <v>0.45591483122764642</v>
      </c>
      <c r="CW79" s="5">
        <f t="shared" si="77"/>
        <v>201.61008541221824</v>
      </c>
      <c r="CX79" s="95">
        <f t="shared" si="67"/>
        <v>2</v>
      </c>
      <c r="CY79" s="111">
        <f t="shared" si="78"/>
        <v>0.91182966245529284</v>
      </c>
      <c r="CZ79" s="106" t="str">
        <f t="shared" si="68"/>
        <v>mV</v>
      </c>
      <c r="DA79" s="8"/>
      <c r="DB79" s="177">
        <v>8.5000000000000006E-2</v>
      </c>
      <c r="DC79" s="178" t="str">
        <f t="shared" si="79"/>
        <v>mV</v>
      </c>
      <c r="DD79" s="220">
        <f t="shared" si="69"/>
        <v>0.91182966245529284</v>
      </c>
      <c r="DE79" s="178" t="str">
        <f t="shared" si="80"/>
        <v>mV</v>
      </c>
    </row>
    <row r="80" spans="1:109" s="174" customFormat="1" ht="18" customHeight="1">
      <c r="A80" s="173"/>
      <c r="B80" s="170"/>
      <c r="C80" s="139"/>
      <c r="D80" s="139"/>
      <c r="E80" s="139"/>
      <c r="F80" s="310" t="s">
        <v>135</v>
      </c>
      <c r="G80" s="311"/>
      <c r="H80" s="311"/>
      <c r="I80" s="311"/>
      <c r="J80" s="311"/>
      <c r="K80" s="312"/>
      <c r="L80" s="297">
        <f>6*10%</f>
        <v>0.60000000000000009</v>
      </c>
      <c r="M80" s="298"/>
      <c r="N80" s="298"/>
      <c r="O80" s="298"/>
      <c r="P80" s="299" t="s">
        <v>93</v>
      </c>
      <c r="Q80" s="299"/>
      <c r="R80" s="300"/>
      <c r="S80" s="319" t="s">
        <v>96</v>
      </c>
      <c r="T80" s="319"/>
      <c r="U80" s="319"/>
      <c r="V80" s="319"/>
      <c r="W80" s="319"/>
      <c r="X80" s="291">
        <v>0.6</v>
      </c>
      <c r="Y80" s="291"/>
      <c r="Z80" s="291"/>
      <c r="AA80" s="291"/>
      <c r="AB80" s="291"/>
      <c r="AC80" s="291">
        <v>0.6</v>
      </c>
      <c r="AD80" s="291"/>
      <c r="AE80" s="291"/>
      <c r="AF80" s="291"/>
      <c r="AG80" s="291"/>
      <c r="AH80" s="291">
        <v>0.6</v>
      </c>
      <c r="AI80" s="291"/>
      <c r="AJ80" s="291"/>
      <c r="AK80" s="291"/>
      <c r="AL80" s="291"/>
      <c r="AM80" s="320">
        <f t="shared" ref="AM80:AM93" si="81">AVERAGE(X80:AL80)</f>
        <v>0.6</v>
      </c>
      <c r="AN80" s="320"/>
      <c r="AO80" s="320"/>
      <c r="AP80" s="320"/>
      <c r="AQ80" s="320"/>
      <c r="AR80" s="320">
        <f t="shared" ref="AR80:AR93" si="82">AM80-L80</f>
        <v>0</v>
      </c>
      <c r="AS80" s="320"/>
      <c r="AT80" s="320"/>
      <c r="AU80" s="320"/>
      <c r="AV80" s="320"/>
      <c r="AW80" s="139"/>
      <c r="AX80" s="139"/>
      <c r="AY80" s="139"/>
      <c r="AZ80" s="172"/>
      <c r="BA80" s="173"/>
      <c r="BB80" s="320">
        <f>(AM80*0.7%)+(2*CK80)</f>
        <v>6.1999999999999998E-3</v>
      </c>
      <c r="BC80" s="320"/>
      <c r="BD80" s="320"/>
      <c r="BE80" s="320"/>
      <c r="BF80" s="320"/>
      <c r="BG80" s="320">
        <f t="shared" ref="BG80:BG93" si="83">L80+BB80</f>
        <v>0.60620000000000007</v>
      </c>
      <c r="BH80" s="320"/>
      <c r="BI80" s="320"/>
      <c r="BJ80" s="320"/>
      <c r="BK80" s="320"/>
      <c r="BL80" s="320">
        <f t="shared" ref="BL80:BL93" si="84">L80-BB80</f>
        <v>0.59380000000000011</v>
      </c>
      <c r="BM80" s="320"/>
      <c r="BN80" s="320"/>
      <c r="BO80" s="320"/>
      <c r="BP80" s="320"/>
      <c r="BQ80" s="292" t="str">
        <f t="shared" ref="BQ80:BQ93" si="85">IF(AND(AM80&lt;=BG80,AM80&gt;=BL80),"PASS","FAIL")</f>
        <v>PASS</v>
      </c>
      <c r="BR80" s="292"/>
      <c r="BS80" s="292"/>
      <c r="BT80" s="292"/>
      <c r="BU80" s="292"/>
      <c r="BV80" s="173"/>
      <c r="BX80" s="75" t="s">
        <v>128</v>
      </c>
      <c r="BY80" s="6">
        <v>9.1E-4</v>
      </c>
      <c r="BZ80" s="1" t="str">
        <f t="shared" ref="BZ80:BZ93" si="86">P80</f>
        <v>V</v>
      </c>
      <c r="CA80" s="175">
        <v>2</v>
      </c>
      <c r="CB80" s="209">
        <f t="shared" ref="CB80:CB93" si="87">BY80/CA80</f>
        <v>4.55E-4</v>
      </c>
      <c r="CC80" s="4"/>
      <c r="CD80" s="70" t="s">
        <v>130</v>
      </c>
      <c r="CE80" s="88">
        <v>0</v>
      </c>
      <c r="CF80" s="71" t="str">
        <f t="shared" ref="CF80:CF93" si="88">BZ80</f>
        <v>V</v>
      </c>
      <c r="CG80" s="80">
        <f t="shared" si="12"/>
        <v>1.7320508075688772</v>
      </c>
      <c r="CH80" s="77">
        <f>CE80/CG80</f>
        <v>0</v>
      </c>
      <c r="CI80" s="4"/>
      <c r="CJ80" s="70" t="s">
        <v>92</v>
      </c>
      <c r="CK80" s="176">
        <v>1E-3</v>
      </c>
      <c r="CL80" s="71" t="str">
        <f t="shared" ref="CL80:CL93" si="89">P80</f>
        <v>V</v>
      </c>
      <c r="CM80" s="80">
        <f>SQRT(12)</f>
        <v>3.4641016151377544</v>
      </c>
      <c r="CN80" s="77">
        <f>CK80/CM80</f>
        <v>2.886751345948129E-4</v>
      </c>
      <c r="CO80" s="4"/>
      <c r="CP80" s="70" t="s">
        <v>70</v>
      </c>
      <c r="CQ80" s="83">
        <f t="shared" ref="CQ80:CQ93" si="90">STDEV(X80:AL80)</f>
        <v>0</v>
      </c>
      <c r="CR80" s="71" t="str">
        <f t="shared" ref="CR80:CR93" si="91">P80</f>
        <v>V</v>
      </c>
      <c r="CS80" s="80">
        <f>SQRT(3)</f>
        <v>1.7320508075688772</v>
      </c>
      <c r="CT80" s="85">
        <f>CQ80/CS80</f>
        <v>0</v>
      </c>
      <c r="CU80" s="8"/>
      <c r="CV80" s="92">
        <f>SQRT(SUMSQ(CT80,CN80,CH80,CB80))</f>
        <v>5.3884908214947656E-4</v>
      </c>
      <c r="CW80" s="88">
        <f>(CV80^4)/(((CT80^4)/2)+((CN80^4)/200)+((CH80^4)/200)+((CB80^4)/200))</f>
        <v>338.56039130574459</v>
      </c>
      <c r="CX80" s="93">
        <f t="shared" ref="CX80:CX93" si="92">ROUND(TINV(0.05,CW80),0)</f>
        <v>2</v>
      </c>
      <c r="CY80" s="118">
        <f>(CV80*CX80)</f>
        <v>1.0776981642989531E-3</v>
      </c>
      <c r="CZ80" s="104" t="str">
        <f t="shared" ref="CZ80:CZ93" si="93">P80</f>
        <v>V</v>
      </c>
      <c r="DA80" s="8"/>
      <c r="DB80" s="177">
        <v>8.5000000000000006E-5</v>
      </c>
      <c r="DC80" s="178" t="str">
        <f>CZ80</f>
        <v>V</v>
      </c>
      <c r="DD80" s="220">
        <f t="shared" si="69"/>
        <v>1.0776981642989531E-3</v>
      </c>
      <c r="DE80" s="178" t="str">
        <f>DC80</f>
        <v>V</v>
      </c>
    </row>
    <row r="81" spans="1:109" s="174" customFormat="1" ht="18" customHeight="1">
      <c r="A81" s="173"/>
      <c r="B81" s="170"/>
      <c r="C81" s="139"/>
      <c r="D81" s="139"/>
      <c r="E81" s="139"/>
      <c r="F81" s="313"/>
      <c r="G81" s="314"/>
      <c r="H81" s="314"/>
      <c r="I81" s="314"/>
      <c r="J81" s="314"/>
      <c r="K81" s="315"/>
      <c r="L81" s="297">
        <f>6*10%</f>
        <v>0.60000000000000009</v>
      </c>
      <c r="M81" s="298"/>
      <c r="N81" s="298"/>
      <c r="O81" s="298"/>
      <c r="P81" s="299" t="s">
        <v>93</v>
      </c>
      <c r="Q81" s="299"/>
      <c r="R81" s="300"/>
      <c r="S81" s="319" t="s">
        <v>143</v>
      </c>
      <c r="T81" s="319"/>
      <c r="U81" s="319"/>
      <c r="V81" s="319"/>
      <c r="W81" s="319"/>
      <c r="X81" s="291">
        <v>0.6</v>
      </c>
      <c r="Y81" s="291"/>
      <c r="Z81" s="291"/>
      <c r="AA81" s="291"/>
      <c r="AB81" s="291"/>
      <c r="AC81" s="291">
        <v>0.6</v>
      </c>
      <c r="AD81" s="291"/>
      <c r="AE81" s="291"/>
      <c r="AF81" s="291"/>
      <c r="AG81" s="291"/>
      <c r="AH81" s="291">
        <v>0.6</v>
      </c>
      <c r="AI81" s="291"/>
      <c r="AJ81" s="291"/>
      <c r="AK81" s="291"/>
      <c r="AL81" s="291"/>
      <c r="AM81" s="320">
        <f t="shared" si="81"/>
        <v>0.6</v>
      </c>
      <c r="AN81" s="320"/>
      <c r="AO81" s="320"/>
      <c r="AP81" s="320"/>
      <c r="AQ81" s="320"/>
      <c r="AR81" s="320">
        <f t="shared" si="82"/>
        <v>0</v>
      </c>
      <c r="AS81" s="320"/>
      <c r="AT81" s="320"/>
      <c r="AU81" s="320"/>
      <c r="AV81" s="320"/>
      <c r="AW81" s="139"/>
      <c r="AX81" s="139"/>
      <c r="AY81" s="139"/>
      <c r="AZ81" s="172"/>
      <c r="BA81" s="173"/>
      <c r="BB81" s="320">
        <f>(AM81*1%)+(4*CK81)</f>
        <v>0.01</v>
      </c>
      <c r="BC81" s="320"/>
      <c r="BD81" s="320"/>
      <c r="BE81" s="320"/>
      <c r="BF81" s="320"/>
      <c r="BG81" s="320">
        <f t="shared" si="83"/>
        <v>0.6100000000000001</v>
      </c>
      <c r="BH81" s="320"/>
      <c r="BI81" s="320"/>
      <c r="BJ81" s="320"/>
      <c r="BK81" s="320"/>
      <c r="BL81" s="320">
        <f t="shared" si="84"/>
        <v>0.59000000000000008</v>
      </c>
      <c r="BM81" s="320"/>
      <c r="BN81" s="320"/>
      <c r="BO81" s="320"/>
      <c r="BP81" s="320"/>
      <c r="BQ81" s="292" t="str">
        <f t="shared" si="85"/>
        <v>PASS</v>
      </c>
      <c r="BR81" s="292"/>
      <c r="BS81" s="292"/>
      <c r="BT81" s="292"/>
      <c r="BU81" s="292"/>
      <c r="BV81" s="173"/>
      <c r="BX81" s="72" t="s">
        <v>128</v>
      </c>
      <c r="BY81" s="6">
        <v>9.1E-4</v>
      </c>
      <c r="BZ81" s="1" t="str">
        <f t="shared" si="86"/>
        <v>V</v>
      </c>
      <c r="CA81" s="180">
        <v>2</v>
      </c>
      <c r="CB81" s="78">
        <f t="shared" si="87"/>
        <v>4.55E-4</v>
      </c>
      <c r="CC81" s="4"/>
      <c r="CD81" s="72" t="s">
        <v>130</v>
      </c>
      <c r="CE81" s="5">
        <v>0</v>
      </c>
      <c r="CF81" s="1" t="str">
        <f t="shared" si="88"/>
        <v>V</v>
      </c>
      <c r="CG81" s="81">
        <f t="shared" si="12"/>
        <v>1.7320508075688772</v>
      </c>
      <c r="CH81" s="78">
        <f t="shared" ref="CH81:CH93" si="94">CE81/CG81</f>
        <v>0</v>
      </c>
      <c r="CI81" s="4"/>
      <c r="CJ81" s="72" t="s">
        <v>92</v>
      </c>
      <c r="CK81" s="181">
        <v>1E-3</v>
      </c>
      <c r="CL81" s="1" t="str">
        <f t="shared" si="89"/>
        <v>V</v>
      </c>
      <c r="CM81" s="81">
        <f t="shared" ref="CM81:CM97" si="95">SQRT(12)</f>
        <v>3.4641016151377544</v>
      </c>
      <c r="CN81" s="78">
        <f t="shared" ref="CN81:CN93" si="96">CK81/CM81</f>
        <v>2.886751345948129E-4</v>
      </c>
      <c r="CO81" s="4"/>
      <c r="CP81" s="72" t="s">
        <v>70</v>
      </c>
      <c r="CQ81" s="6">
        <f t="shared" si="90"/>
        <v>0</v>
      </c>
      <c r="CR81" s="1" t="str">
        <f t="shared" si="91"/>
        <v>V</v>
      </c>
      <c r="CS81" s="81">
        <f t="shared" ref="CS81:CS97" si="97">SQRT(3)</f>
        <v>1.7320508075688772</v>
      </c>
      <c r="CT81" s="86">
        <f t="shared" ref="CT81:CT93" si="98">CQ81/CS81</f>
        <v>0</v>
      </c>
      <c r="CU81" s="8"/>
      <c r="CV81" s="94">
        <f t="shared" ref="CV81:CV93" si="99">SQRT(SUMSQ(CT81,CN81,CH81,CB81))</f>
        <v>5.3884908214947656E-4</v>
      </c>
      <c r="CW81" s="5">
        <f t="shared" ref="CW81:CW93" si="100">(CV81^4)/(((CT81^4)/2)+((CN81^4)/200)+((CH81^4)/200)+((CB81^4)/200))</f>
        <v>338.56039130574459</v>
      </c>
      <c r="CX81" s="95">
        <f t="shared" si="92"/>
        <v>2</v>
      </c>
      <c r="CY81" s="111">
        <f t="shared" ref="CY81:CY85" si="101">(CV81*CX81)</f>
        <v>1.0776981642989531E-3</v>
      </c>
      <c r="CZ81" s="106" t="str">
        <f t="shared" si="93"/>
        <v>V</v>
      </c>
      <c r="DA81" s="8"/>
      <c r="DB81" s="177">
        <v>8.5000000000000006E-5</v>
      </c>
      <c r="DC81" s="178" t="str">
        <f t="shared" ref="DC81:DC93" si="102">CZ81</f>
        <v>V</v>
      </c>
      <c r="DD81" s="220">
        <f t="shared" si="69"/>
        <v>1.0776981642989531E-3</v>
      </c>
      <c r="DE81" s="178" t="str">
        <f t="shared" ref="DE81:DE93" si="103">DC81</f>
        <v>V</v>
      </c>
    </row>
    <row r="82" spans="1:109" s="174" customFormat="1" ht="18" customHeight="1">
      <c r="A82" s="173"/>
      <c r="B82" s="170"/>
      <c r="C82" s="139"/>
      <c r="D82" s="139"/>
      <c r="E82" s="139"/>
      <c r="F82" s="313"/>
      <c r="G82" s="314"/>
      <c r="H82" s="314"/>
      <c r="I82" s="314"/>
      <c r="J82" s="314"/>
      <c r="K82" s="315"/>
      <c r="L82" s="297">
        <f>6*90%</f>
        <v>5.4</v>
      </c>
      <c r="M82" s="298"/>
      <c r="N82" s="298"/>
      <c r="O82" s="298"/>
      <c r="P82" s="299" t="s">
        <v>93</v>
      </c>
      <c r="Q82" s="299"/>
      <c r="R82" s="300"/>
      <c r="S82" s="319" t="s">
        <v>96</v>
      </c>
      <c r="T82" s="319"/>
      <c r="U82" s="319"/>
      <c r="V82" s="319"/>
      <c r="W82" s="319"/>
      <c r="X82" s="291">
        <v>5.4</v>
      </c>
      <c r="Y82" s="291"/>
      <c r="Z82" s="291"/>
      <c r="AA82" s="291"/>
      <c r="AB82" s="291"/>
      <c r="AC82" s="291">
        <v>5.4</v>
      </c>
      <c r="AD82" s="291"/>
      <c r="AE82" s="291"/>
      <c r="AF82" s="291"/>
      <c r="AG82" s="291"/>
      <c r="AH82" s="291">
        <v>5.4</v>
      </c>
      <c r="AI82" s="291"/>
      <c r="AJ82" s="291"/>
      <c r="AK82" s="291"/>
      <c r="AL82" s="291"/>
      <c r="AM82" s="320">
        <f t="shared" si="81"/>
        <v>5.4000000000000012</v>
      </c>
      <c r="AN82" s="320"/>
      <c r="AO82" s="320"/>
      <c r="AP82" s="320"/>
      <c r="AQ82" s="320"/>
      <c r="AR82" s="320">
        <f t="shared" si="82"/>
        <v>0</v>
      </c>
      <c r="AS82" s="320"/>
      <c r="AT82" s="320"/>
      <c r="AU82" s="320"/>
      <c r="AV82" s="320"/>
      <c r="AW82" s="139"/>
      <c r="AX82" s="139"/>
      <c r="AY82" s="139"/>
      <c r="AZ82" s="172"/>
      <c r="BA82" s="173"/>
      <c r="BB82" s="320">
        <f>(AM82*0.7%)+(2*CK82)</f>
        <v>3.9800000000000009E-2</v>
      </c>
      <c r="BC82" s="320"/>
      <c r="BD82" s="320"/>
      <c r="BE82" s="320"/>
      <c r="BF82" s="320"/>
      <c r="BG82" s="320">
        <f t="shared" si="83"/>
        <v>5.4398</v>
      </c>
      <c r="BH82" s="320"/>
      <c r="BI82" s="320"/>
      <c r="BJ82" s="320"/>
      <c r="BK82" s="320"/>
      <c r="BL82" s="320">
        <f t="shared" si="84"/>
        <v>5.3602000000000007</v>
      </c>
      <c r="BM82" s="320"/>
      <c r="BN82" s="320"/>
      <c r="BO82" s="320"/>
      <c r="BP82" s="320"/>
      <c r="BQ82" s="292" t="str">
        <f t="shared" si="85"/>
        <v>PASS</v>
      </c>
      <c r="BR82" s="292"/>
      <c r="BS82" s="292"/>
      <c r="BT82" s="292"/>
      <c r="BU82" s="292"/>
      <c r="BV82" s="173"/>
      <c r="BX82" s="72" t="s">
        <v>128</v>
      </c>
      <c r="BY82" s="179">
        <v>7.3000000000000001E-3</v>
      </c>
      <c r="BZ82" s="1" t="str">
        <f t="shared" si="86"/>
        <v>V</v>
      </c>
      <c r="CA82" s="180">
        <v>2</v>
      </c>
      <c r="CB82" s="78">
        <f t="shared" ref="CB82" si="104">BY82/CA82</f>
        <v>3.65E-3</v>
      </c>
      <c r="CC82" s="4"/>
      <c r="CD82" s="72" t="s">
        <v>130</v>
      </c>
      <c r="CE82" s="5">
        <v>0</v>
      </c>
      <c r="CF82" s="1" t="str">
        <f t="shared" si="88"/>
        <v>V</v>
      </c>
      <c r="CG82" s="81">
        <f t="shared" si="12"/>
        <v>1.7320508075688772</v>
      </c>
      <c r="CH82" s="78">
        <f t="shared" si="94"/>
        <v>0</v>
      </c>
      <c r="CI82" s="4"/>
      <c r="CJ82" s="72" t="s">
        <v>92</v>
      </c>
      <c r="CK82" s="181">
        <v>1E-3</v>
      </c>
      <c r="CL82" s="1" t="str">
        <f t="shared" si="89"/>
        <v>V</v>
      </c>
      <c r="CM82" s="81">
        <f t="shared" si="95"/>
        <v>3.4641016151377544</v>
      </c>
      <c r="CN82" s="78">
        <f t="shared" si="96"/>
        <v>2.886751345948129E-4</v>
      </c>
      <c r="CO82" s="4"/>
      <c r="CP82" s="72" t="s">
        <v>70</v>
      </c>
      <c r="CQ82" s="6">
        <f t="shared" si="90"/>
        <v>1.0877919644084146E-15</v>
      </c>
      <c r="CR82" s="1" t="str">
        <f t="shared" si="91"/>
        <v>V</v>
      </c>
      <c r="CS82" s="81">
        <f t="shared" si="97"/>
        <v>1.7320508075688772</v>
      </c>
      <c r="CT82" s="86">
        <f t="shared" si="98"/>
        <v>6.2803698347350997E-16</v>
      </c>
      <c r="CU82" s="8"/>
      <c r="CV82" s="94">
        <f t="shared" si="99"/>
        <v>3.6613977294652563E-3</v>
      </c>
      <c r="CW82" s="5">
        <f t="shared" si="100"/>
        <v>202.50193501088827</v>
      </c>
      <c r="CX82" s="95">
        <f t="shared" ref="CX82" si="105">ROUND(TINV(0.05,CW82),0)</f>
        <v>2</v>
      </c>
      <c r="CY82" s="111">
        <f t="shared" ref="CY82" si="106">(CV82*CX82)</f>
        <v>7.3227954589305125E-3</v>
      </c>
      <c r="CZ82" s="106" t="str">
        <f t="shared" si="93"/>
        <v>V</v>
      </c>
      <c r="DA82" s="8"/>
      <c r="DB82" s="177">
        <v>8.4999999999999995E-4</v>
      </c>
      <c r="DC82" s="178" t="str">
        <f t="shared" si="102"/>
        <v>V</v>
      </c>
      <c r="DD82" s="220">
        <f t="shared" si="69"/>
        <v>7.3227954589305125E-3</v>
      </c>
      <c r="DE82" s="178" t="str">
        <f t="shared" si="103"/>
        <v>V</v>
      </c>
    </row>
    <row r="83" spans="1:109" s="174" customFormat="1" ht="18" customHeight="1">
      <c r="A83" s="173"/>
      <c r="B83" s="170"/>
      <c r="C83" s="139"/>
      <c r="D83" s="139"/>
      <c r="E83" s="139"/>
      <c r="F83" s="316"/>
      <c r="G83" s="317"/>
      <c r="H83" s="317"/>
      <c r="I83" s="317"/>
      <c r="J83" s="317"/>
      <c r="K83" s="318"/>
      <c r="L83" s="297">
        <f>6*90%</f>
        <v>5.4</v>
      </c>
      <c r="M83" s="298"/>
      <c r="N83" s="298"/>
      <c r="O83" s="298"/>
      <c r="P83" s="299" t="s">
        <v>93</v>
      </c>
      <c r="Q83" s="299"/>
      <c r="R83" s="300"/>
      <c r="S83" s="319" t="s">
        <v>143</v>
      </c>
      <c r="T83" s="319"/>
      <c r="U83" s="319"/>
      <c r="V83" s="319"/>
      <c r="W83" s="319"/>
      <c r="X83" s="291">
        <v>5.4</v>
      </c>
      <c r="Y83" s="291"/>
      <c r="Z83" s="291"/>
      <c r="AA83" s="291"/>
      <c r="AB83" s="291"/>
      <c r="AC83" s="291">
        <v>5.4</v>
      </c>
      <c r="AD83" s="291"/>
      <c r="AE83" s="291"/>
      <c r="AF83" s="291"/>
      <c r="AG83" s="291"/>
      <c r="AH83" s="291">
        <v>5.4</v>
      </c>
      <c r="AI83" s="291"/>
      <c r="AJ83" s="291"/>
      <c r="AK83" s="291"/>
      <c r="AL83" s="291"/>
      <c r="AM83" s="320">
        <f t="shared" si="81"/>
        <v>5.4000000000000012</v>
      </c>
      <c r="AN83" s="320"/>
      <c r="AO83" s="320"/>
      <c r="AP83" s="320"/>
      <c r="AQ83" s="320"/>
      <c r="AR83" s="320">
        <f t="shared" si="82"/>
        <v>0</v>
      </c>
      <c r="AS83" s="320"/>
      <c r="AT83" s="320"/>
      <c r="AU83" s="320"/>
      <c r="AV83" s="320"/>
      <c r="AW83" s="139"/>
      <c r="AX83" s="139"/>
      <c r="AY83" s="139"/>
      <c r="AZ83" s="172"/>
      <c r="BA83" s="173"/>
      <c r="BB83" s="320">
        <f>(AM83*1%)+(4*CK83)</f>
        <v>5.800000000000001E-2</v>
      </c>
      <c r="BC83" s="320"/>
      <c r="BD83" s="320"/>
      <c r="BE83" s="320"/>
      <c r="BF83" s="320"/>
      <c r="BG83" s="320">
        <f t="shared" si="83"/>
        <v>5.4580000000000002</v>
      </c>
      <c r="BH83" s="320"/>
      <c r="BI83" s="320"/>
      <c r="BJ83" s="320"/>
      <c r="BK83" s="320"/>
      <c r="BL83" s="320">
        <f t="shared" si="84"/>
        <v>5.3420000000000005</v>
      </c>
      <c r="BM83" s="320"/>
      <c r="BN83" s="320"/>
      <c r="BO83" s="320"/>
      <c r="BP83" s="320"/>
      <c r="BQ83" s="292" t="str">
        <f t="shared" si="85"/>
        <v>PASS</v>
      </c>
      <c r="BR83" s="292"/>
      <c r="BS83" s="292"/>
      <c r="BT83" s="292"/>
      <c r="BU83" s="292"/>
      <c r="BV83" s="173"/>
      <c r="BX83" s="72" t="s">
        <v>128</v>
      </c>
      <c r="BY83" s="179">
        <v>7.3000000000000001E-3</v>
      </c>
      <c r="BZ83" s="1" t="str">
        <f t="shared" si="86"/>
        <v>V</v>
      </c>
      <c r="CA83" s="180">
        <v>2</v>
      </c>
      <c r="CB83" s="78">
        <f t="shared" si="87"/>
        <v>3.65E-3</v>
      </c>
      <c r="CC83" s="4"/>
      <c r="CD83" s="72" t="s">
        <v>130</v>
      </c>
      <c r="CE83" s="5">
        <v>0</v>
      </c>
      <c r="CF83" s="1" t="str">
        <f t="shared" si="88"/>
        <v>V</v>
      </c>
      <c r="CG83" s="81">
        <f t="shared" si="12"/>
        <v>1.7320508075688772</v>
      </c>
      <c r="CH83" s="78">
        <f t="shared" si="94"/>
        <v>0</v>
      </c>
      <c r="CI83" s="4"/>
      <c r="CJ83" s="72" t="s">
        <v>92</v>
      </c>
      <c r="CK83" s="181">
        <v>1E-3</v>
      </c>
      <c r="CL83" s="1" t="str">
        <f t="shared" si="89"/>
        <v>V</v>
      </c>
      <c r="CM83" s="81">
        <f t="shared" si="95"/>
        <v>3.4641016151377544</v>
      </c>
      <c r="CN83" s="78">
        <f t="shared" si="96"/>
        <v>2.886751345948129E-4</v>
      </c>
      <c r="CO83" s="4"/>
      <c r="CP83" s="72" t="s">
        <v>70</v>
      </c>
      <c r="CQ83" s="6">
        <f t="shared" si="90"/>
        <v>1.0877919644084146E-15</v>
      </c>
      <c r="CR83" s="1" t="str">
        <f t="shared" si="91"/>
        <v>V</v>
      </c>
      <c r="CS83" s="81">
        <f t="shared" si="97"/>
        <v>1.7320508075688772</v>
      </c>
      <c r="CT83" s="86">
        <f t="shared" si="98"/>
        <v>6.2803698347350997E-16</v>
      </c>
      <c r="CU83" s="8"/>
      <c r="CV83" s="94">
        <f t="shared" si="99"/>
        <v>3.6613977294652563E-3</v>
      </c>
      <c r="CW83" s="5">
        <f t="shared" si="100"/>
        <v>202.50193501088827</v>
      </c>
      <c r="CX83" s="95">
        <f t="shared" si="92"/>
        <v>2</v>
      </c>
      <c r="CY83" s="111">
        <f t="shared" si="101"/>
        <v>7.3227954589305125E-3</v>
      </c>
      <c r="CZ83" s="106" t="str">
        <f t="shared" si="93"/>
        <v>V</v>
      </c>
      <c r="DA83" s="8"/>
      <c r="DB83" s="177">
        <v>8.4999999999999995E-4</v>
      </c>
      <c r="DC83" s="178" t="str">
        <f t="shared" si="102"/>
        <v>V</v>
      </c>
      <c r="DD83" s="220">
        <f t="shared" si="69"/>
        <v>7.3227954589305125E-3</v>
      </c>
      <c r="DE83" s="178" t="str">
        <f t="shared" si="103"/>
        <v>V</v>
      </c>
    </row>
    <row r="84" spans="1:109" s="174" customFormat="1" ht="18" customHeight="1">
      <c r="A84" s="173"/>
      <c r="B84" s="170"/>
      <c r="C84" s="139"/>
      <c r="D84" s="139"/>
      <c r="E84" s="139"/>
      <c r="F84" s="310" t="s">
        <v>136</v>
      </c>
      <c r="G84" s="311"/>
      <c r="H84" s="311"/>
      <c r="I84" s="311"/>
      <c r="J84" s="311"/>
      <c r="K84" s="312"/>
      <c r="L84" s="297">
        <f>60*10%</f>
        <v>6</v>
      </c>
      <c r="M84" s="298"/>
      <c r="N84" s="298"/>
      <c r="O84" s="298"/>
      <c r="P84" s="299" t="s">
        <v>93</v>
      </c>
      <c r="Q84" s="299"/>
      <c r="R84" s="300"/>
      <c r="S84" s="319" t="s">
        <v>96</v>
      </c>
      <c r="T84" s="319"/>
      <c r="U84" s="319"/>
      <c r="V84" s="319"/>
      <c r="W84" s="319"/>
      <c r="X84" s="291">
        <v>6</v>
      </c>
      <c r="Y84" s="291"/>
      <c r="Z84" s="291"/>
      <c r="AA84" s="291"/>
      <c r="AB84" s="291"/>
      <c r="AC84" s="291">
        <v>6</v>
      </c>
      <c r="AD84" s="291"/>
      <c r="AE84" s="291"/>
      <c r="AF84" s="291"/>
      <c r="AG84" s="291"/>
      <c r="AH84" s="291">
        <v>6</v>
      </c>
      <c r="AI84" s="291"/>
      <c r="AJ84" s="291"/>
      <c r="AK84" s="291"/>
      <c r="AL84" s="291"/>
      <c r="AM84" s="303">
        <f t="shared" si="81"/>
        <v>6</v>
      </c>
      <c r="AN84" s="303"/>
      <c r="AO84" s="303"/>
      <c r="AP84" s="303"/>
      <c r="AQ84" s="303"/>
      <c r="AR84" s="303">
        <f t="shared" si="82"/>
        <v>0</v>
      </c>
      <c r="AS84" s="303"/>
      <c r="AT84" s="303"/>
      <c r="AU84" s="303"/>
      <c r="AV84" s="303"/>
      <c r="AW84" s="139"/>
      <c r="AX84" s="139"/>
      <c r="AY84" s="139"/>
      <c r="AZ84" s="172"/>
      <c r="BA84" s="173"/>
      <c r="BB84" s="320">
        <f>(AM84*0.7%)+(2*CK84)</f>
        <v>6.2E-2</v>
      </c>
      <c r="BC84" s="320"/>
      <c r="BD84" s="320"/>
      <c r="BE84" s="320"/>
      <c r="BF84" s="320"/>
      <c r="BG84" s="303">
        <f t="shared" si="83"/>
        <v>6.0620000000000003</v>
      </c>
      <c r="BH84" s="303"/>
      <c r="BI84" s="303"/>
      <c r="BJ84" s="303"/>
      <c r="BK84" s="303"/>
      <c r="BL84" s="303">
        <f t="shared" si="84"/>
        <v>5.9379999999999997</v>
      </c>
      <c r="BM84" s="303"/>
      <c r="BN84" s="303"/>
      <c r="BO84" s="303"/>
      <c r="BP84" s="303"/>
      <c r="BQ84" s="292" t="str">
        <f t="shared" si="85"/>
        <v>PASS</v>
      </c>
      <c r="BR84" s="292"/>
      <c r="BS84" s="292"/>
      <c r="BT84" s="292"/>
      <c r="BU84" s="292"/>
      <c r="BV84" s="173"/>
      <c r="BX84" s="72" t="s">
        <v>128</v>
      </c>
      <c r="BY84" s="179">
        <v>7.3000000000000001E-3</v>
      </c>
      <c r="BZ84" s="1" t="str">
        <f t="shared" si="86"/>
        <v>V</v>
      </c>
      <c r="CA84" s="180">
        <v>2</v>
      </c>
      <c r="CB84" s="78">
        <f t="shared" si="87"/>
        <v>3.65E-3</v>
      </c>
      <c r="CC84" s="4"/>
      <c r="CD84" s="72" t="s">
        <v>130</v>
      </c>
      <c r="CE84" s="5">
        <v>0</v>
      </c>
      <c r="CF84" s="1" t="str">
        <f t="shared" si="88"/>
        <v>V</v>
      </c>
      <c r="CG84" s="81">
        <f t="shared" si="12"/>
        <v>1.7320508075688772</v>
      </c>
      <c r="CH84" s="78">
        <f t="shared" si="94"/>
        <v>0</v>
      </c>
      <c r="CI84" s="4"/>
      <c r="CJ84" s="72" t="s">
        <v>92</v>
      </c>
      <c r="CK84" s="181">
        <v>0.01</v>
      </c>
      <c r="CL84" s="1" t="str">
        <f t="shared" si="89"/>
        <v>V</v>
      </c>
      <c r="CM84" s="81">
        <f t="shared" si="95"/>
        <v>3.4641016151377544</v>
      </c>
      <c r="CN84" s="78">
        <f t="shared" si="96"/>
        <v>2.886751345948129E-3</v>
      </c>
      <c r="CO84" s="4"/>
      <c r="CP84" s="72" t="s">
        <v>70</v>
      </c>
      <c r="CQ84" s="6">
        <f t="shared" si="90"/>
        <v>0</v>
      </c>
      <c r="CR84" s="1" t="str">
        <f t="shared" si="91"/>
        <v>V</v>
      </c>
      <c r="CS84" s="81">
        <f t="shared" si="97"/>
        <v>1.7320508075688772</v>
      </c>
      <c r="CT84" s="86">
        <f t="shared" si="98"/>
        <v>0</v>
      </c>
      <c r="CU84" s="8"/>
      <c r="CV84" s="94">
        <f t="shared" si="99"/>
        <v>4.6535828490887896E-3</v>
      </c>
      <c r="CW84" s="5">
        <f t="shared" si="100"/>
        <v>379.83927737795335</v>
      </c>
      <c r="CX84" s="95">
        <f t="shared" si="92"/>
        <v>2</v>
      </c>
      <c r="CY84" s="110">
        <f t="shared" si="101"/>
        <v>9.3071656981775792E-3</v>
      </c>
      <c r="CZ84" s="106" t="str">
        <f t="shared" si="93"/>
        <v>V</v>
      </c>
      <c r="DA84" s="8"/>
      <c r="DB84" s="177">
        <v>8.4999999999999995E-4</v>
      </c>
      <c r="DC84" s="178" t="str">
        <f t="shared" si="102"/>
        <v>V</v>
      </c>
      <c r="DD84" s="220">
        <f t="shared" si="69"/>
        <v>9.3071656981775792E-3</v>
      </c>
      <c r="DE84" s="178" t="str">
        <f t="shared" si="103"/>
        <v>V</v>
      </c>
    </row>
    <row r="85" spans="1:109" s="174" customFormat="1" ht="18" customHeight="1">
      <c r="A85" s="173"/>
      <c r="B85" s="170"/>
      <c r="C85" s="139"/>
      <c r="D85" s="139"/>
      <c r="E85" s="139"/>
      <c r="F85" s="313"/>
      <c r="G85" s="314"/>
      <c r="H85" s="314"/>
      <c r="I85" s="314"/>
      <c r="J85" s="314"/>
      <c r="K85" s="315"/>
      <c r="L85" s="297">
        <f>60*10%</f>
        <v>6</v>
      </c>
      <c r="M85" s="298"/>
      <c r="N85" s="298"/>
      <c r="O85" s="298"/>
      <c r="P85" s="299" t="s">
        <v>93</v>
      </c>
      <c r="Q85" s="299"/>
      <c r="R85" s="300"/>
      <c r="S85" s="319" t="s">
        <v>143</v>
      </c>
      <c r="T85" s="319"/>
      <c r="U85" s="319"/>
      <c r="V85" s="319"/>
      <c r="W85" s="319"/>
      <c r="X85" s="291">
        <v>6</v>
      </c>
      <c r="Y85" s="291"/>
      <c r="Z85" s="291"/>
      <c r="AA85" s="291"/>
      <c r="AB85" s="291"/>
      <c r="AC85" s="291">
        <v>6</v>
      </c>
      <c r="AD85" s="291"/>
      <c r="AE85" s="291"/>
      <c r="AF85" s="291"/>
      <c r="AG85" s="291"/>
      <c r="AH85" s="291">
        <v>6</v>
      </c>
      <c r="AI85" s="291"/>
      <c r="AJ85" s="291"/>
      <c r="AK85" s="291"/>
      <c r="AL85" s="291"/>
      <c r="AM85" s="303">
        <f t="shared" si="81"/>
        <v>6</v>
      </c>
      <c r="AN85" s="303"/>
      <c r="AO85" s="303"/>
      <c r="AP85" s="303"/>
      <c r="AQ85" s="303"/>
      <c r="AR85" s="303">
        <f t="shared" si="82"/>
        <v>0</v>
      </c>
      <c r="AS85" s="303"/>
      <c r="AT85" s="303"/>
      <c r="AU85" s="303"/>
      <c r="AV85" s="303"/>
      <c r="AW85" s="139"/>
      <c r="AX85" s="139"/>
      <c r="AY85" s="139"/>
      <c r="AZ85" s="172"/>
      <c r="BA85" s="173"/>
      <c r="BB85" s="320">
        <f>(AM85*1%)+(4*CK85)</f>
        <v>0.1</v>
      </c>
      <c r="BC85" s="320"/>
      <c r="BD85" s="320"/>
      <c r="BE85" s="320"/>
      <c r="BF85" s="320"/>
      <c r="BG85" s="303">
        <f t="shared" si="83"/>
        <v>6.1</v>
      </c>
      <c r="BH85" s="303"/>
      <c r="BI85" s="303"/>
      <c r="BJ85" s="303"/>
      <c r="BK85" s="303"/>
      <c r="BL85" s="303">
        <f t="shared" si="84"/>
        <v>5.9</v>
      </c>
      <c r="BM85" s="303"/>
      <c r="BN85" s="303"/>
      <c r="BO85" s="303"/>
      <c r="BP85" s="303"/>
      <c r="BQ85" s="292" t="str">
        <f t="shared" si="85"/>
        <v>PASS</v>
      </c>
      <c r="BR85" s="292"/>
      <c r="BS85" s="292"/>
      <c r="BT85" s="292"/>
      <c r="BU85" s="292"/>
      <c r="BV85" s="173"/>
      <c r="BX85" s="72" t="s">
        <v>128</v>
      </c>
      <c r="BY85" s="179">
        <v>7.3000000000000001E-3</v>
      </c>
      <c r="BZ85" s="1" t="str">
        <f t="shared" si="86"/>
        <v>V</v>
      </c>
      <c r="CA85" s="180">
        <v>2</v>
      </c>
      <c r="CB85" s="78">
        <f t="shared" ref="CB85" si="107">BY85/CA85</f>
        <v>3.65E-3</v>
      </c>
      <c r="CC85" s="4"/>
      <c r="CD85" s="72" t="s">
        <v>130</v>
      </c>
      <c r="CE85" s="5">
        <v>0</v>
      </c>
      <c r="CF85" s="1" t="str">
        <f t="shared" si="88"/>
        <v>V</v>
      </c>
      <c r="CG85" s="81">
        <f t="shared" si="12"/>
        <v>1.7320508075688772</v>
      </c>
      <c r="CH85" s="78">
        <f t="shared" si="94"/>
        <v>0</v>
      </c>
      <c r="CI85" s="4"/>
      <c r="CJ85" s="72" t="s">
        <v>92</v>
      </c>
      <c r="CK85" s="181">
        <v>0.01</v>
      </c>
      <c r="CL85" s="1" t="str">
        <f t="shared" si="89"/>
        <v>V</v>
      </c>
      <c r="CM85" s="81">
        <f t="shared" si="95"/>
        <v>3.4641016151377544</v>
      </c>
      <c r="CN85" s="78">
        <f t="shared" si="96"/>
        <v>2.886751345948129E-3</v>
      </c>
      <c r="CO85" s="4"/>
      <c r="CP85" s="72" t="s">
        <v>70</v>
      </c>
      <c r="CQ85" s="6">
        <f t="shared" si="90"/>
        <v>0</v>
      </c>
      <c r="CR85" s="1" t="str">
        <f t="shared" si="91"/>
        <v>V</v>
      </c>
      <c r="CS85" s="81">
        <f t="shared" si="97"/>
        <v>1.7320508075688772</v>
      </c>
      <c r="CT85" s="86">
        <f t="shared" si="98"/>
        <v>0</v>
      </c>
      <c r="CU85" s="8"/>
      <c r="CV85" s="94">
        <f t="shared" si="99"/>
        <v>4.6535828490887896E-3</v>
      </c>
      <c r="CW85" s="5">
        <f t="shared" si="100"/>
        <v>379.83927737795335</v>
      </c>
      <c r="CX85" s="95">
        <f t="shared" ref="CX85" si="108">ROUND(TINV(0.05,CW85),0)</f>
        <v>2</v>
      </c>
      <c r="CY85" s="110">
        <f t="shared" si="101"/>
        <v>9.3071656981775792E-3</v>
      </c>
      <c r="CZ85" s="106" t="str">
        <f t="shared" si="93"/>
        <v>V</v>
      </c>
      <c r="DA85" s="8"/>
      <c r="DB85" s="177">
        <v>8.4999999999999995E-4</v>
      </c>
      <c r="DC85" s="178" t="str">
        <f t="shared" si="102"/>
        <v>V</v>
      </c>
      <c r="DD85" s="220">
        <f t="shared" si="69"/>
        <v>9.3071656981775792E-3</v>
      </c>
      <c r="DE85" s="178" t="str">
        <f t="shared" si="103"/>
        <v>V</v>
      </c>
    </row>
    <row r="86" spans="1:109" s="174" customFormat="1" ht="18" customHeight="1">
      <c r="A86" s="173"/>
      <c r="B86" s="170"/>
      <c r="C86" s="139"/>
      <c r="D86" s="139"/>
      <c r="E86" s="139"/>
      <c r="F86" s="313"/>
      <c r="G86" s="314"/>
      <c r="H86" s="314"/>
      <c r="I86" s="314"/>
      <c r="J86" s="314"/>
      <c r="K86" s="315"/>
      <c r="L86" s="297">
        <f>60*50%</f>
        <v>30</v>
      </c>
      <c r="M86" s="298"/>
      <c r="N86" s="298"/>
      <c r="O86" s="298"/>
      <c r="P86" s="299" t="s">
        <v>93</v>
      </c>
      <c r="Q86" s="299"/>
      <c r="R86" s="300"/>
      <c r="S86" s="319" t="s">
        <v>96</v>
      </c>
      <c r="T86" s="319"/>
      <c r="U86" s="319"/>
      <c r="V86" s="319"/>
      <c r="W86" s="319"/>
      <c r="X86" s="291">
        <v>30</v>
      </c>
      <c r="Y86" s="291"/>
      <c r="Z86" s="291"/>
      <c r="AA86" s="291"/>
      <c r="AB86" s="291"/>
      <c r="AC86" s="291">
        <v>30</v>
      </c>
      <c r="AD86" s="291"/>
      <c r="AE86" s="291"/>
      <c r="AF86" s="291"/>
      <c r="AG86" s="291"/>
      <c r="AH86" s="291">
        <v>30</v>
      </c>
      <c r="AI86" s="291"/>
      <c r="AJ86" s="291"/>
      <c r="AK86" s="291"/>
      <c r="AL86" s="291"/>
      <c r="AM86" s="303">
        <f t="shared" si="81"/>
        <v>30</v>
      </c>
      <c r="AN86" s="303"/>
      <c r="AO86" s="303"/>
      <c r="AP86" s="303"/>
      <c r="AQ86" s="303"/>
      <c r="AR86" s="303">
        <f t="shared" si="82"/>
        <v>0</v>
      </c>
      <c r="AS86" s="303"/>
      <c r="AT86" s="303"/>
      <c r="AU86" s="303"/>
      <c r="AV86" s="303"/>
      <c r="AW86" s="139"/>
      <c r="AX86" s="139"/>
      <c r="AY86" s="139"/>
      <c r="AZ86" s="172"/>
      <c r="BA86" s="173"/>
      <c r="BB86" s="320">
        <f>(AM86*0.7%)+(2*CK86)</f>
        <v>0.22999999999999995</v>
      </c>
      <c r="BC86" s="320"/>
      <c r="BD86" s="320"/>
      <c r="BE86" s="320"/>
      <c r="BF86" s="320"/>
      <c r="BG86" s="303">
        <f t="shared" si="83"/>
        <v>30.23</v>
      </c>
      <c r="BH86" s="303"/>
      <c r="BI86" s="303"/>
      <c r="BJ86" s="303"/>
      <c r="BK86" s="303"/>
      <c r="BL86" s="303">
        <f t="shared" si="84"/>
        <v>29.77</v>
      </c>
      <c r="BM86" s="303"/>
      <c r="BN86" s="303"/>
      <c r="BO86" s="303"/>
      <c r="BP86" s="303"/>
      <c r="BQ86" s="292" t="str">
        <f t="shared" si="85"/>
        <v>PASS</v>
      </c>
      <c r="BR86" s="292"/>
      <c r="BS86" s="292"/>
      <c r="BT86" s="292"/>
      <c r="BU86" s="292"/>
      <c r="BV86" s="173"/>
      <c r="BX86" s="72" t="s">
        <v>128</v>
      </c>
      <c r="BY86" s="179">
        <v>7.3000000000000001E-3</v>
      </c>
      <c r="BZ86" s="1" t="str">
        <f t="shared" si="86"/>
        <v>V</v>
      </c>
      <c r="CA86" s="180">
        <v>2</v>
      </c>
      <c r="CB86" s="78">
        <f t="shared" si="87"/>
        <v>3.65E-3</v>
      </c>
      <c r="CC86" s="4"/>
      <c r="CD86" s="72" t="s">
        <v>130</v>
      </c>
      <c r="CE86" s="5">
        <v>0</v>
      </c>
      <c r="CF86" s="1" t="str">
        <f t="shared" si="88"/>
        <v>V</v>
      </c>
      <c r="CG86" s="81">
        <f t="shared" si="12"/>
        <v>1.7320508075688772</v>
      </c>
      <c r="CH86" s="78">
        <f t="shared" si="94"/>
        <v>0</v>
      </c>
      <c r="CI86" s="4"/>
      <c r="CJ86" s="72" t="s">
        <v>92</v>
      </c>
      <c r="CK86" s="181">
        <v>0.01</v>
      </c>
      <c r="CL86" s="1" t="str">
        <f t="shared" si="89"/>
        <v>V</v>
      </c>
      <c r="CM86" s="81">
        <f t="shared" si="95"/>
        <v>3.4641016151377544</v>
      </c>
      <c r="CN86" s="78">
        <f t="shared" si="96"/>
        <v>2.886751345948129E-3</v>
      </c>
      <c r="CO86" s="4"/>
      <c r="CP86" s="72" t="s">
        <v>70</v>
      </c>
      <c r="CQ86" s="6">
        <f t="shared" si="90"/>
        <v>0</v>
      </c>
      <c r="CR86" s="1" t="str">
        <f t="shared" si="91"/>
        <v>V</v>
      </c>
      <c r="CS86" s="81">
        <f t="shared" si="97"/>
        <v>1.7320508075688772</v>
      </c>
      <c r="CT86" s="86">
        <f t="shared" si="98"/>
        <v>0</v>
      </c>
      <c r="CU86" s="8"/>
      <c r="CV86" s="94">
        <f t="shared" si="99"/>
        <v>4.6535828490887896E-3</v>
      </c>
      <c r="CW86" s="5">
        <f t="shared" si="100"/>
        <v>379.83927737795335</v>
      </c>
      <c r="CX86" s="95">
        <f t="shared" si="92"/>
        <v>2</v>
      </c>
      <c r="CY86" s="110">
        <f t="shared" ref="CY86:CY89" si="109">(CV86*CX86)</f>
        <v>9.3071656981775792E-3</v>
      </c>
      <c r="CZ86" s="106" t="str">
        <f t="shared" si="93"/>
        <v>V</v>
      </c>
      <c r="DA86" s="8"/>
      <c r="DB86" s="177">
        <v>8.4999999999999995E-4</v>
      </c>
      <c r="DC86" s="178" t="str">
        <f t="shared" si="102"/>
        <v>V</v>
      </c>
      <c r="DD86" s="220">
        <f t="shared" si="69"/>
        <v>9.3071656981775792E-3</v>
      </c>
      <c r="DE86" s="178" t="str">
        <f t="shared" si="103"/>
        <v>V</v>
      </c>
    </row>
    <row r="87" spans="1:109" s="174" customFormat="1" ht="18" customHeight="1">
      <c r="A87" s="173"/>
      <c r="B87" s="170"/>
      <c r="C87" s="139"/>
      <c r="D87" s="139"/>
      <c r="E87" s="139"/>
      <c r="F87" s="313"/>
      <c r="G87" s="314"/>
      <c r="H87" s="314"/>
      <c r="I87" s="314"/>
      <c r="J87" s="314"/>
      <c r="K87" s="315"/>
      <c r="L87" s="297">
        <f>60*50%</f>
        <v>30</v>
      </c>
      <c r="M87" s="298"/>
      <c r="N87" s="298"/>
      <c r="O87" s="298"/>
      <c r="P87" s="299" t="s">
        <v>93</v>
      </c>
      <c r="Q87" s="299"/>
      <c r="R87" s="300"/>
      <c r="S87" s="319" t="s">
        <v>143</v>
      </c>
      <c r="T87" s="319"/>
      <c r="U87" s="319"/>
      <c r="V87" s="319"/>
      <c r="W87" s="319"/>
      <c r="X87" s="291">
        <v>30</v>
      </c>
      <c r="Y87" s="291"/>
      <c r="Z87" s="291"/>
      <c r="AA87" s="291"/>
      <c r="AB87" s="291"/>
      <c r="AC87" s="291">
        <v>30</v>
      </c>
      <c r="AD87" s="291"/>
      <c r="AE87" s="291"/>
      <c r="AF87" s="291"/>
      <c r="AG87" s="291"/>
      <c r="AH87" s="291">
        <v>30</v>
      </c>
      <c r="AI87" s="291"/>
      <c r="AJ87" s="291"/>
      <c r="AK87" s="291"/>
      <c r="AL87" s="291"/>
      <c r="AM87" s="303">
        <f t="shared" si="81"/>
        <v>30</v>
      </c>
      <c r="AN87" s="303"/>
      <c r="AO87" s="303"/>
      <c r="AP87" s="303"/>
      <c r="AQ87" s="303"/>
      <c r="AR87" s="303">
        <f t="shared" si="82"/>
        <v>0</v>
      </c>
      <c r="AS87" s="303"/>
      <c r="AT87" s="303"/>
      <c r="AU87" s="303"/>
      <c r="AV87" s="303"/>
      <c r="AW87" s="139"/>
      <c r="AX87" s="139"/>
      <c r="AY87" s="139"/>
      <c r="AZ87" s="172"/>
      <c r="BA87" s="173"/>
      <c r="BB87" s="320">
        <f>(AM87*1%)+(4*CK87)</f>
        <v>0.33999999999999997</v>
      </c>
      <c r="BC87" s="320"/>
      <c r="BD87" s="320"/>
      <c r="BE87" s="320"/>
      <c r="BF87" s="320"/>
      <c r="BG87" s="303">
        <f t="shared" si="83"/>
        <v>30.34</v>
      </c>
      <c r="BH87" s="303"/>
      <c r="BI87" s="303"/>
      <c r="BJ87" s="303"/>
      <c r="BK87" s="303"/>
      <c r="BL87" s="303">
        <f t="shared" si="84"/>
        <v>29.66</v>
      </c>
      <c r="BM87" s="303"/>
      <c r="BN87" s="303"/>
      <c r="BO87" s="303"/>
      <c r="BP87" s="303"/>
      <c r="BQ87" s="292" t="str">
        <f t="shared" si="85"/>
        <v>PASS</v>
      </c>
      <c r="BR87" s="292"/>
      <c r="BS87" s="292"/>
      <c r="BT87" s="292"/>
      <c r="BU87" s="292"/>
      <c r="BV87" s="173"/>
      <c r="BX87" s="72" t="s">
        <v>128</v>
      </c>
      <c r="BY87" s="179">
        <v>7.3000000000000001E-3</v>
      </c>
      <c r="BZ87" s="1" t="str">
        <f t="shared" si="86"/>
        <v>V</v>
      </c>
      <c r="CA87" s="180">
        <v>2</v>
      </c>
      <c r="CB87" s="78">
        <f t="shared" si="87"/>
        <v>3.65E-3</v>
      </c>
      <c r="CC87" s="4"/>
      <c r="CD87" s="72" t="s">
        <v>130</v>
      </c>
      <c r="CE87" s="5">
        <v>0</v>
      </c>
      <c r="CF87" s="1" t="str">
        <f t="shared" si="88"/>
        <v>V</v>
      </c>
      <c r="CG87" s="81">
        <f t="shared" si="12"/>
        <v>1.7320508075688772</v>
      </c>
      <c r="CH87" s="78">
        <f t="shared" si="94"/>
        <v>0</v>
      </c>
      <c r="CI87" s="4"/>
      <c r="CJ87" s="72" t="s">
        <v>92</v>
      </c>
      <c r="CK87" s="181">
        <v>0.01</v>
      </c>
      <c r="CL87" s="1" t="str">
        <f t="shared" si="89"/>
        <v>V</v>
      </c>
      <c r="CM87" s="81">
        <f t="shared" si="95"/>
        <v>3.4641016151377544</v>
      </c>
      <c r="CN87" s="78">
        <f t="shared" si="96"/>
        <v>2.886751345948129E-3</v>
      </c>
      <c r="CO87" s="4"/>
      <c r="CP87" s="72" t="s">
        <v>70</v>
      </c>
      <c r="CQ87" s="6">
        <f t="shared" si="90"/>
        <v>0</v>
      </c>
      <c r="CR87" s="1" t="str">
        <f t="shared" si="91"/>
        <v>V</v>
      </c>
      <c r="CS87" s="81">
        <f t="shared" si="97"/>
        <v>1.7320508075688772</v>
      </c>
      <c r="CT87" s="86">
        <f t="shared" si="98"/>
        <v>0</v>
      </c>
      <c r="CU87" s="8"/>
      <c r="CV87" s="94">
        <f t="shared" si="99"/>
        <v>4.6535828490887896E-3</v>
      </c>
      <c r="CW87" s="5">
        <f t="shared" si="100"/>
        <v>379.83927737795335</v>
      </c>
      <c r="CX87" s="95">
        <f t="shared" si="92"/>
        <v>2</v>
      </c>
      <c r="CY87" s="110">
        <f t="shared" si="109"/>
        <v>9.3071656981775792E-3</v>
      </c>
      <c r="CZ87" s="106" t="str">
        <f t="shared" si="93"/>
        <v>V</v>
      </c>
      <c r="DA87" s="8"/>
      <c r="DB87" s="177">
        <v>8.4999999999999995E-4</v>
      </c>
      <c r="DC87" s="178" t="str">
        <f t="shared" si="102"/>
        <v>V</v>
      </c>
      <c r="DD87" s="220">
        <f t="shared" si="69"/>
        <v>9.3071656981775792E-3</v>
      </c>
      <c r="DE87" s="178" t="str">
        <f t="shared" si="103"/>
        <v>V</v>
      </c>
    </row>
    <row r="88" spans="1:109" s="174" customFormat="1" ht="18" customHeight="1">
      <c r="A88" s="173"/>
      <c r="B88" s="170"/>
      <c r="C88" s="139"/>
      <c r="D88" s="139"/>
      <c r="E88" s="139"/>
      <c r="F88" s="313"/>
      <c r="G88" s="314"/>
      <c r="H88" s="314"/>
      <c r="I88" s="314"/>
      <c r="J88" s="314"/>
      <c r="K88" s="315"/>
      <c r="L88" s="297">
        <f>60*90%</f>
        <v>54</v>
      </c>
      <c r="M88" s="298"/>
      <c r="N88" s="298"/>
      <c r="O88" s="298"/>
      <c r="P88" s="299" t="s">
        <v>93</v>
      </c>
      <c r="Q88" s="299"/>
      <c r="R88" s="300"/>
      <c r="S88" s="319" t="s">
        <v>96</v>
      </c>
      <c r="T88" s="319"/>
      <c r="U88" s="319"/>
      <c r="V88" s="319"/>
      <c r="W88" s="319"/>
      <c r="X88" s="291">
        <v>54</v>
      </c>
      <c r="Y88" s="291"/>
      <c r="Z88" s="291"/>
      <c r="AA88" s="291"/>
      <c r="AB88" s="291"/>
      <c r="AC88" s="291">
        <v>54</v>
      </c>
      <c r="AD88" s="291"/>
      <c r="AE88" s="291"/>
      <c r="AF88" s="291"/>
      <c r="AG88" s="291"/>
      <c r="AH88" s="291">
        <v>54</v>
      </c>
      <c r="AI88" s="291"/>
      <c r="AJ88" s="291"/>
      <c r="AK88" s="291"/>
      <c r="AL88" s="291"/>
      <c r="AM88" s="303">
        <f t="shared" si="81"/>
        <v>54</v>
      </c>
      <c r="AN88" s="303"/>
      <c r="AO88" s="303"/>
      <c r="AP88" s="303"/>
      <c r="AQ88" s="303"/>
      <c r="AR88" s="303">
        <f t="shared" si="82"/>
        <v>0</v>
      </c>
      <c r="AS88" s="303"/>
      <c r="AT88" s="303"/>
      <c r="AU88" s="303"/>
      <c r="AV88" s="303"/>
      <c r="AW88" s="139"/>
      <c r="AX88" s="139"/>
      <c r="AY88" s="139"/>
      <c r="AZ88" s="172"/>
      <c r="BA88" s="173"/>
      <c r="BB88" s="320">
        <f>(AM88*0.7%)+(2*CK88)</f>
        <v>0.39799999999999996</v>
      </c>
      <c r="BC88" s="320"/>
      <c r="BD88" s="320"/>
      <c r="BE88" s="320"/>
      <c r="BF88" s="320"/>
      <c r="BG88" s="291">
        <f t="shared" si="83"/>
        <v>54.398000000000003</v>
      </c>
      <c r="BH88" s="291"/>
      <c r="BI88" s="291"/>
      <c r="BJ88" s="291"/>
      <c r="BK88" s="291"/>
      <c r="BL88" s="291">
        <f t="shared" si="84"/>
        <v>53.601999999999997</v>
      </c>
      <c r="BM88" s="291"/>
      <c r="BN88" s="291"/>
      <c r="BO88" s="291"/>
      <c r="BP88" s="291"/>
      <c r="BQ88" s="292" t="str">
        <f t="shared" si="85"/>
        <v>PASS</v>
      </c>
      <c r="BR88" s="292"/>
      <c r="BS88" s="292"/>
      <c r="BT88" s="292"/>
      <c r="BU88" s="292"/>
      <c r="BV88" s="173"/>
      <c r="BX88" s="72" t="s">
        <v>128</v>
      </c>
      <c r="BY88" s="179">
        <v>7.0999999999999994E-2</v>
      </c>
      <c r="BZ88" s="1" t="str">
        <f t="shared" si="86"/>
        <v>V</v>
      </c>
      <c r="CA88" s="180">
        <v>2</v>
      </c>
      <c r="CB88" s="78">
        <f t="shared" si="87"/>
        <v>3.5499999999999997E-2</v>
      </c>
      <c r="CC88" s="4"/>
      <c r="CD88" s="72" t="s">
        <v>130</v>
      </c>
      <c r="CE88" s="5">
        <v>0</v>
      </c>
      <c r="CF88" s="1" t="str">
        <f t="shared" si="88"/>
        <v>V</v>
      </c>
      <c r="CG88" s="81">
        <f t="shared" si="12"/>
        <v>1.7320508075688772</v>
      </c>
      <c r="CH88" s="78">
        <f t="shared" si="94"/>
        <v>0</v>
      </c>
      <c r="CI88" s="4"/>
      <c r="CJ88" s="72" t="s">
        <v>92</v>
      </c>
      <c r="CK88" s="181">
        <v>0.01</v>
      </c>
      <c r="CL88" s="1" t="str">
        <f t="shared" si="89"/>
        <v>V</v>
      </c>
      <c r="CM88" s="81">
        <f t="shared" si="95"/>
        <v>3.4641016151377544</v>
      </c>
      <c r="CN88" s="78">
        <f t="shared" si="96"/>
        <v>2.886751345948129E-3</v>
      </c>
      <c r="CO88" s="4"/>
      <c r="CP88" s="72" t="s">
        <v>70</v>
      </c>
      <c r="CQ88" s="6">
        <f t="shared" si="90"/>
        <v>0</v>
      </c>
      <c r="CR88" s="1" t="str">
        <f t="shared" si="91"/>
        <v>V</v>
      </c>
      <c r="CS88" s="81">
        <f t="shared" si="97"/>
        <v>1.7320508075688772</v>
      </c>
      <c r="CT88" s="86">
        <f t="shared" si="98"/>
        <v>0</v>
      </c>
      <c r="CU88" s="8"/>
      <c r="CV88" s="94">
        <f t="shared" si="99"/>
        <v>3.561717750374576E-2</v>
      </c>
      <c r="CW88" s="5">
        <f t="shared" si="100"/>
        <v>202.64486220323451</v>
      </c>
      <c r="CX88" s="95">
        <f t="shared" si="92"/>
        <v>2</v>
      </c>
      <c r="CY88" s="110">
        <f t="shared" si="109"/>
        <v>7.123435500749152E-2</v>
      </c>
      <c r="CZ88" s="106" t="str">
        <f t="shared" si="93"/>
        <v>V</v>
      </c>
      <c r="DA88" s="8"/>
      <c r="DB88" s="177">
        <v>6.4000000000000003E-3</v>
      </c>
      <c r="DC88" s="178" t="str">
        <f t="shared" si="102"/>
        <v>V</v>
      </c>
      <c r="DD88" s="220">
        <f t="shared" si="69"/>
        <v>7.123435500749152E-2</v>
      </c>
      <c r="DE88" s="178" t="str">
        <f t="shared" si="103"/>
        <v>V</v>
      </c>
    </row>
    <row r="89" spans="1:109" s="174" customFormat="1" ht="18" customHeight="1">
      <c r="A89" s="173"/>
      <c r="B89" s="170"/>
      <c r="C89" s="139"/>
      <c r="D89" s="139"/>
      <c r="E89" s="139"/>
      <c r="F89" s="316"/>
      <c r="G89" s="317"/>
      <c r="H89" s="317"/>
      <c r="I89" s="317"/>
      <c r="J89" s="317"/>
      <c r="K89" s="318"/>
      <c r="L89" s="297">
        <f>60*90%</f>
        <v>54</v>
      </c>
      <c r="M89" s="298"/>
      <c r="N89" s="298"/>
      <c r="O89" s="298"/>
      <c r="P89" s="299" t="s">
        <v>93</v>
      </c>
      <c r="Q89" s="299"/>
      <c r="R89" s="300"/>
      <c r="S89" s="319" t="s">
        <v>143</v>
      </c>
      <c r="T89" s="319"/>
      <c r="U89" s="319"/>
      <c r="V89" s="319"/>
      <c r="W89" s="319"/>
      <c r="X89" s="291">
        <v>54</v>
      </c>
      <c r="Y89" s="291"/>
      <c r="Z89" s="291"/>
      <c r="AA89" s="291"/>
      <c r="AB89" s="291"/>
      <c r="AC89" s="291">
        <v>54</v>
      </c>
      <c r="AD89" s="291"/>
      <c r="AE89" s="291"/>
      <c r="AF89" s="291"/>
      <c r="AG89" s="291"/>
      <c r="AH89" s="291">
        <v>54</v>
      </c>
      <c r="AI89" s="291"/>
      <c r="AJ89" s="291"/>
      <c r="AK89" s="291"/>
      <c r="AL89" s="291"/>
      <c r="AM89" s="303">
        <f t="shared" si="81"/>
        <v>54</v>
      </c>
      <c r="AN89" s="303"/>
      <c r="AO89" s="303"/>
      <c r="AP89" s="303"/>
      <c r="AQ89" s="303"/>
      <c r="AR89" s="303">
        <f t="shared" si="82"/>
        <v>0</v>
      </c>
      <c r="AS89" s="303"/>
      <c r="AT89" s="303"/>
      <c r="AU89" s="303"/>
      <c r="AV89" s="303"/>
      <c r="AW89" s="139"/>
      <c r="AX89" s="139"/>
      <c r="AY89" s="139"/>
      <c r="AZ89" s="172"/>
      <c r="BA89" s="173"/>
      <c r="BB89" s="320">
        <f>(AM89*1%)+(4*CK89)</f>
        <v>0.58000000000000007</v>
      </c>
      <c r="BC89" s="320"/>
      <c r="BD89" s="320"/>
      <c r="BE89" s="320"/>
      <c r="BF89" s="320"/>
      <c r="BG89" s="291">
        <f t="shared" si="83"/>
        <v>54.58</v>
      </c>
      <c r="BH89" s="291"/>
      <c r="BI89" s="291"/>
      <c r="BJ89" s="291"/>
      <c r="BK89" s="291"/>
      <c r="BL89" s="291">
        <f t="shared" si="84"/>
        <v>53.42</v>
      </c>
      <c r="BM89" s="291"/>
      <c r="BN89" s="291"/>
      <c r="BO89" s="291"/>
      <c r="BP89" s="291"/>
      <c r="BQ89" s="292" t="str">
        <f t="shared" si="85"/>
        <v>PASS</v>
      </c>
      <c r="BR89" s="292"/>
      <c r="BS89" s="292"/>
      <c r="BT89" s="292"/>
      <c r="BU89" s="292"/>
      <c r="BV89" s="173"/>
      <c r="BX89" s="72" t="s">
        <v>128</v>
      </c>
      <c r="BY89" s="179">
        <v>7.0999999999999994E-2</v>
      </c>
      <c r="BZ89" s="1" t="str">
        <f t="shared" si="86"/>
        <v>V</v>
      </c>
      <c r="CA89" s="180">
        <v>2</v>
      </c>
      <c r="CB89" s="78">
        <f t="shared" si="87"/>
        <v>3.5499999999999997E-2</v>
      </c>
      <c r="CC89" s="4"/>
      <c r="CD89" s="72" t="s">
        <v>130</v>
      </c>
      <c r="CE89" s="5">
        <v>0</v>
      </c>
      <c r="CF89" s="1" t="str">
        <f t="shared" si="88"/>
        <v>V</v>
      </c>
      <c r="CG89" s="81">
        <f t="shared" si="12"/>
        <v>1.7320508075688772</v>
      </c>
      <c r="CH89" s="78">
        <f t="shared" si="94"/>
        <v>0</v>
      </c>
      <c r="CI89" s="4"/>
      <c r="CJ89" s="72" t="s">
        <v>92</v>
      </c>
      <c r="CK89" s="181">
        <v>0.01</v>
      </c>
      <c r="CL89" s="1" t="str">
        <f t="shared" si="89"/>
        <v>V</v>
      </c>
      <c r="CM89" s="81">
        <f t="shared" si="95"/>
        <v>3.4641016151377544</v>
      </c>
      <c r="CN89" s="78">
        <f t="shared" si="96"/>
        <v>2.886751345948129E-3</v>
      </c>
      <c r="CO89" s="4"/>
      <c r="CP89" s="72" t="s">
        <v>70</v>
      </c>
      <c r="CQ89" s="6">
        <f t="shared" si="90"/>
        <v>0</v>
      </c>
      <c r="CR89" s="1" t="str">
        <f t="shared" si="91"/>
        <v>V</v>
      </c>
      <c r="CS89" s="81">
        <f t="shared" si="97"/>
        <v>1.7320508075688772</v>
      </c>
      <c r="CT89" s="86">
        <f t="shared" si="98"/>
        <v>0</v>
      </c>
      <c r="CU89" s="8"/>
      <c r="CV89" s="94">
        <f t="shared" si="99"/>
        <v>3.561717750374576E-2</v>
      </c>
      <c r="CW89" s="5">
        <f t="shared" si="100"/>
        <v>202.64486220323451</v>
      </c>
      <c r="CX89" s="95">
        <f t="shared" si="92"/>
        <v>2</v>
      </c>
      <c r="CY89" s="110">
        <f t="shared" si="109"/>
        <v>7.123435500749152E-2</v>
      </c>
      <c r="CZ89" s="106" t="str">
        <f t="shared" si="93"/>
        <v>V</v>
      </c>
      <c r="DA89" s="8"/>
      <c r="DB89" s="177">
        <v>6.4000000000000003E-3</v>
      </c>
      <c r="DC89" s="178" t="str">
        <f t="shared" si="102"/>
        <v>V</v>
      </c>
      <c r="DD89" s="220">
        <f t="shared" si="69"/>
        <v>7.123435500749152E-2</v>
      </c>
      <c r="DE89" s="178" t="str">
        <f t="shared" si="103"/>
        <v>V</v>
      </c>
    </row>
    <row r="90" spans="1:109" s="174" customFormat="1" ht="18" customHeight="1">
      <c r="A90" s="173"/>
      <c r="B90" s="170"/>
      <c r="C90" s="139"/>
      <c r="D90" s="139"/>
      <c r="E90" s="139"/>
      <c r="F90" s="310" t="s">
        <v>94</v>
      </c>
      <c r="G90" s="311"/>
      <c r="H90" s="311"/>
      <c r="I90" s="311"/>
      <c r="J90" s="311"/>
      <c r="K90" s="312"/>
      <c r="L90" s="297">
        <v>60</v>
      </c>
      <c r="M90" s="298"/>
      <c r="N90" s="298"/>
      <c r="O90" s="298"/>
      <c r="P90" s="299" t="s">
        <v>93</v>
      </c>
      <c r="Q90" s="299"/>
      <c r="R90" s="300"/>
      <c r="S90" s="319" t="s">
        <v>96</v>
      </c>
      <c r="T90" s="319"/>
      <c r="U90" s="319"/>
      <c r="V90" s="319"/>
      <c r="W90" s="319"/>
      <c r="X90" s="291">
        <v>60</v>
      </c>
      <c r="Y90" s="291"/>
      <c r="Z90" s="291"/>
      <c r="AA90" s="291"/>
      <c r="AB90" s="291"/>
      <c r="AC90" s="291">
        <v>60</v>
      </c>
      <c r="AD90" s="291"/>
      <c r="AE90" s="291"/>
      <c r="AF90" s="291"/>
      <c r="AG90" s="291"/>
      <c r="AH90" s="291">
        <v>60</v>
      </c>
      <c r="AI90" s="291"/>
      <c r="AJ90" s="291"/>
      <c r="AK90" s="291"/>
      <c r="AL90" s="291"/>
      <c r="AM90" s="291">
        <f t="shared" si="81"/>
        <v>60</v>
      </c>
      <c r="AN90" s="291"/>
      <c r="AO90" s="291"/>
      <c r="AP90" s="291"/>
      <c r="AQ90" s="291"/>
      <c r="AR90" s="291">
        <f t="shared" si="82"/>
        <v>0</v>
      </c>
      <c r="AS90" s="291"/>
      <c r="AT90" s="291"/>
      <c r="AU90" s="291"/>
      <c r="AV90" s="291"/>
      <c r="AW90" s="139"/>
      <c r="AX90" s="139"/>
      <c r="AY90" s="139"/>
      <c r="AZ90" s="172"/>
      <c r="BA90" s="173"/>
      <c r="BB90" s="320">
        <f>(AM90*0.7%)+(2*CK90)</f>
        <v>0.61999999999999988</v>
      </c>
      <c r="BC90" s="320"/>
      <c r="BD90" s="320"/>
      <c r="BE90" s="320"/>
      <c r="BF90" s="320"/>
      <c r="BG90" s="302">
        <f t="shared" si="83"/>
        <v>60.62</v>
      </c>
      <c r="BH90" s="302"/>
      <c r="BI90" s="302"/>
      <c r="BJ90" s="302"/>
      <c r="BK90" s="302"/>
      <c r="BL90" s="302">
        <f t="shared" si="84"/>
        <v>59.38</v>
      </c>
      <c r="BM90" s="302"/>
      <c r="BN90" s="302"/>
      <c r="BO90" s="302"/>
      <c r="BP90" s="302"/>
      <c r="BQ90" s="292" t="str">
        <f t="shared" si="85"/>
        <v>PASS</v>
      </c>
      <c r="BR90" s="292"/>
      <c r="BS90" s="292"/>
      <c r="BT90" s="292"/>
      <c r="BU90" s="292"/>
      <c r="BV90" s="173"/>
      <c r="BX90" s="72" t="s">
        <v>128</v>
      </c>
      <c r="BY90" s="179">
        <v>7.0999999999999994E-2</v>
      </c>
      <c r="BZ90" s="1" t="str">
        <f t="shared" si="86"/>
        <v>V</v>
      </c>
      <c r="CA90" s="180">
        <v>2</v>
      </c>
      <c r="CB90" s="78">
        <f t="shared" si="87"/>
        <v>3.5499999999999997E-2</v>
      </c>
      <c r="CC90" s="4"/>
      <c r="CD90" s="72" t="s">
        <v>130</v>
      </c>
      <c r="CE90" s="5">
        <v>0</v>
      </c>
      <c r="CF90" s="1" t="str">
        <f t="shared" si="88"/>
        <v>V</v>
      </c>
      <c r="CG90" s="81">
        <f t="shared" si="12"/>
        <v>1.7320508075688772</v>
      </c>
      <c r="CH90" s="78">
        <f t="shared" si="94"/>
        <v>0</v>
      </c>
      <c r="CI90" s="4"/>
      <c r="CJ90" s="72" t="s">
        <v>92</v>
      </c>
      <c r="CK90" s="181">
        <v>0.1</v>
      </c>
      <c r="CL90" s="1" t="str">
        <f t="shared" si="89"/>
        <v>V</v>
      </c>
      <c r="CM90" s="81">
        <f t="shared" si="95"/>
        <v>3.4641016151377544</v>
      </c>
      <c r="CN90" s="78">
        <f t="shared" si="96"/>
        <v>2.8867513459481291E-2</v>
      </c>
      <c r="CO90" s="4"/>
      <c r="CP90" s="72" t="s">
        <v>70</v>
      </c>
      <c r="CQ90" s="6">
        <f t="shared" si="90"/>
        <v>0</v>
      </c>
      <c r="CR90" s="1" t="str">
        <f t="shared" si="91"/>
        <v>V</v>
      </c>
      <c r="CS90" s="81">
        <f t="shared" si="97"/>
        <v>1.7320508075688772</v>
      </c>
      <c r="CT90" s="86">
        <f t="shared" si="98"/>
        <v>0</v>
      </c>
      <c r="CU90" s="8"/>
      <c r="CV90" s="94">
        <f t="shared" si="99"/>
        <v>4.5755691813514673E-2</v>
      </c>
      <c r="CW90" s="5">
        <f t="shared" si="100"/>
        <v>384.03120201997228</v>
      </c>
      <c r="CX90" s="95">
        <f t="shared" si="92"/>
        <v>2</v>
      </c>
      <c r="CY90" s="112">
        <f t="shared" ref="CY90:CY91" si="110">(CV90*CX90)</f>
        <v>9.1511383627029347E-2</v>
      </c>
      <c r="CZ90" s="106" t="str">
        <f t="shared" si="93"/>
        <v>V</v>
      </c>
      <c r="DA90" s="8"/>
      <c r="DB90" s="177">
        <v>6.4000000000000003E-3</v>
      </c>
      <c r="DC90" s="178" t="str">
        <f t="shared" si="102"/>
        <v>V</v>
      </c>
      <c r="DD90" s="220">
        <f t="shared" si="69"/>
        <v>9.1511383627029347E-2</v>
      </c>
      <c r="DE90" s="178" t="str">
        <f t="shared" si="103"/>
        <v>V</v>
      </c>
    </row>
    <row r="91" spans="1:109" s="174" customFormat="1" ht="18" customHeight="1">
      <c r="A91" s="173"/>
      <c r="B91" s="170"/>
      <c r="C91" s="139"/>
      <c r="D91" s="139"/>
      <c r="E91" s="139"/>
      <c r="F91" s="313"/>
      <c r="G91" s="314"/>
      <c r="H91" s="314"/>
      <c r="I91" s="314"/>
      <c r="J91" s="314"/>
      <c r="K91" s="315"/>
      <c r="L91" s="297">
        <v>60</v>
      </c>
      <c r="M91" s="298"/>
      <c r="N91" s="298"/>
      <c r="O91" s="298"/>
      <c r="P91" s="299" t="s">
        <v>93</v>
      </c>
      <c r="Q91" s="299"/>
      <c r="R91" s="300"/>
      <c r="S91" s="319" t="s">
        <v>143</v>
      </c>
      <c r="T91" s="319"/>
      <c r="U91" s="319"/>
      <c r="V91" s="319"/>
      <c r="W91" s="319"/>
      <c r="X91" s="291">
        <v>60</v>
      </c>
      <c r="Y91" s="291"/>
      <c r="Z91" s="291"/>
      <c r="AA91" s="291"/>
      <c r="AB91" s="291"/>
      <c r="AC91" s="291">
        <v>60</v>
      </c>
      <c r="AD91" s="291"/>
      <c r="AE91" s="291"/>
      <c r="AF91" s="291"/>
      <c r="AG91" s="291"/>
      <c r="AH91" s="291">
        <v>60</v>
      </c>
      <c r="AI91" s="291"/>
      <c r="AJ91" s="291"/>
      <c r="AK91" s="291"/>
      <c r="AL91" s="291"/>
      <c r="AM91" s="291">
        <f t="shared" si="81"/>
        <v>60</v>
      </c>
      <c r="AN91" s="291"/>
      <c r="AO91" s="291"/>
      <c r="AP91" s="291"/>
      <c r="AQ91" s="291"/>
      <c r="AR91" s="291">
        <f t="shared" si="82"/>
        <v>0</v>
      </c>
      <c r="AS91" s="291"/>
      <c r="AT91" s="291"/>
      <c r="AU91" s="291"/>
      <c r="AV91" s="291"/>
      <c r="AW91" s="139"/>
      <c r="AX91" s="139"/>
      <c r="AY91" s="139"/>
      <c r="AZ91" s="172"/>
      <c r="BA91" s="173"/>
      <c r="BB91" s="320">
        <f>(AM91*1%)+(4*CK91)</f>
        <v>1</v>
      </c>
      <c r="BC91" s="320"/>
      <c r="BD91" s="320"/>
      <c r="BE91" s="320"/>
      <c r="BF91" s="320"/>
      <c r="BG91" s="302">
        <f t="shared" si="83"/>
        <v>61</v>
      </c>
      <c r="BH91" s="302"/>
      <c r="BI91" s="302"/>
      <c r="BJ91" s="302"/>
      <c r="BK91" s="302"/>
      <c r="BL91" s="302">
        <f t="shared" si="84"/>
        <v>59</v>
      </c>
      <c r="BM91" s="302"/>
      <c r="BN91" s="302"/>
      <c r="BO91" s="302"/>
      <c r="BP91" s="302"/>
      <c r="BQ91" s="292" t="str">
        <f t="shared" si="85"/>
        <v>PASS</v>
      </c>
      <c r="BR91" s="292"/>
      <c r="BS91" s="292"/>
      <c r="BT91" s="292"/>
      <c r="BU91" s="292"/>
      <c r="BV91" s="173"/>
      <c r="BX91" s="72" t="s">
        <v>128</v>
      </c>
      <c r="BY91" s="179">
        <v>7.0999999999999994E-2</v>
      </c>
      <c r="BZ91" s="1" t="str">
        <f t="shared" si="86"/>
        <v>V</v>
      </c>
      <c r="CA91" s="180">
        <v>2</v>
      </c>
      <c r="CB91" s="78">
        <f t="shared" ref="CB91" si="111">BY91/CA91</f>
        <v>3.5499999999999997E-2</v>
      </c>
      <c r="CC91" s="4"/>
      <c r="CD91" s="72" t="s">
        <v>130</v>
      </c>
      <c r="CE91" s="5">
        <v>0</v>
      </c>
      <c r="CF91" s="1" t="str">
        <f t="shared" si="88"/>
        <v>V</v>
      </c>
      <c r="CG91" s="81">
        <f t="shared" si="12"/>
        <v>1.7320508075688772</v>
      </c>
      <c r="CH91" s="78">
        <f t="shared" si="94"/>
        <v>0</v>
      </c>
      <c r="CI91" s="4"/>
      <c r="CJ91" s="72" t="s">
        <v>92</v>
      </c>
      <c r="CK91" s="181">
        <v>0.1</v>
      </c>
      <c r="CL91" s="1" t="str">
        <f t="shared" si="89"/>
        <v>V</v>
      </c>
      <c r="CM91" s="81">
        <f t="shared" si="95"/>
        <v>3.4641016151377544</v>
      </c>
      <c r="CN91" s="78">
        <f t="shared" si="96"/>
        <v>2.8867513459481291E-2</v>
      </c>
      <c r="CO91" s="4"/>
      <c r="CP91" s="72" t="s">
        <v>70</v>
      </c>
      <c r="CQ91" s="6">
        <f t="shared" si="90"/>
        <v>0</v>
      </c>
      <c r="CR91" s="1" t="str">
        <f t="shared" si="91"/>
        <v>V</v>
      </c>
      <c r="CS91" s="81">
        <f t="shared" si="97"/>
        <v>1.7320508075688772</v>
      </c>
      <c r="CT91" s="86">
        <f t="shared" si="98"/>
        <v>0</v>
      </c>
      <c r="CU91" s="8"/>
      <c r="CV91" s="94">
        <f t="shared" si="99"/>
        <v>4.5755691813514673E-2</v>
      </c>
      <c r="CW91" s="5">
        <f t="shared" si="100"/>
        <v>384.03120201997228</v>
      </c>
      <c r="CX91" s="95">
        <f t="shared" ref="CX91" si="112">ROUND(TINV(0.05,CW91),0)</f>
        <v>2</v>
      </c>
      <c r="CY91" s="112">
        <f t="shared" si="110"/>
        <v>9.1511383627029347E-2</v>
      </c>
      <c r="CZ91" s="106" t="str">
        <f t="shared" si="93"/>
        <v>V</v>
      </c>
      <c r="DA91" s="8"/>
      <c r="DB91" s="177">
        <v>6.4000000000000003E-3</v>
      </c>
      <c r="DC91" s="178" t="str">
        <f t="shared" si="102"/>
        <v>V</v>
      </c>
      <c r="DD91" s="220">
        <f t="shared" si="69"/>
        <v>9.1511383627029347E-2</v>
      </c>
      <c r="DE91" s="178" t="str">
        <f t="shared" si="103"/>
        <v>V</v>
      </c>
    </row>
    <row r="92" spans="1:109" s="174" customFormat="1" ht="18" customHeight="1">
      <c r="A92" s="173"/>
      <c r="B92" s="170"/>
      <c r="C92" s="139"/>
      <c r="D92" s="139"/>
      <c r="E92" s="139"/>
      <c r="F92" s="313"/>
      <c r="G92" s="314"/>
      <c r="H92" s="314"/>
      <c r="I92" s="314"/>
      <c r="J92" s="314"/>
      <c r="K92" s="315"/>
      <c r="L92" s="297">
        <v>540</v>
      </c>
      <c r="M92" s="298"/>
      <c r="N92" s="298"/>
      <c r="O92" s="298"/>
      <c r="P92" s="299" t="s">
        <v>93</v>
      </c>
      <c r="Q92" s="299"/>
      <c r="R92" s="300"/>
      <c r="S92" s="319" t="s">
        <v>96</v>
      </c>
      <c r="T92" s="319"/>
      <c r="U92" s="319"/>
      <c r="V92" s="319"/>
      <c r="W92" s="319"/>
      <c r="X92" s="291">
        <v>540</v>
      </c>
      <c r="Y92" s="291"/>
      <c r="Z92" s="291"/>
      <c r="AA92" s="291"/>
      <c r="AB92" s="291"/>
      <c r="AC92" s="291">
        <v>540</v>
      </c>
      <c r="AD92" s="291"/>
      <c r="AE92" s="291"/>
      <c r="AF92" s="291"/>
      <c r="AG92" s="291"/>
      <c r="AH92" s="291">
        <v>540</v>
      </c>
      <c r="AI92" s="291"/>
      <c r="AJ92" s="291"/>
      <c r="AK92" s="291"/>
      <c r="AL92" s="291"/>
      <c r="AM92" s="291">
        <f t="shared" si="81"/>
        <v>540</v>
      </c>
      <c r="AN92" s="291"/>
      <c r="AO92" s="291"/>
      <c r="AP92" s="291"/>
      <c r="AQ92" s="291"/>
      <c r="AR92" s="291">
        <f t="shared" si="82"/>
        <v>0</v>
      </c>
      <c r="AS92" s="291"/>
      <c r="AT92" s="291"/>
      <c r="AU92" s="291"/>
      <c r="AV92" s="291"/>
      <c r="AW92" s="139"/>
      <c r="AX92" s="139"/>
      <c r="AY92" s="139"/>
      <c r="AZ92" s="172"/>
      <c r="BA92" s="173"/>
      <c r="BB92" s="320">
        <f>(AM92*0.7%)+(2*CK92)</f>
        <v>3.98</v>
      </c>
      <c r="BC92" s="320"/>
      <c r="BD92" s="320"/>
      <c r="BE92" s="320"/>
      <c r="BF92" s="320"/>
      <c r="BG92" s="302">
        <f t="shared" si="83"/>
        <v>543.98</v>
      </c>
      <c r="BH92" s="302"/>
      <c r="BI92" s="302"/>
      <c r="BJ92" s="302"/>
      <c r="BK92" s="302"/>
      <c r="BL92" s="302">
        <f t="shared" si="84"/>
        <v>536.02</v>
      </c>
      <c r="BM92" s="302"/>
      <c r="BN92" s="302"/>
      <c r="BO92" s="302"/>
      <c r="BP92" s="302"/>
      <c r="BQ92" s="292" t="str">
        <f t="shared" si="85"/>
        <v>PASS</v>
      </c>
      <c r="BR92" s="292"/>
      <c r="BS92" s="292"/>
      <c r="BT92" s="292"/>
      <c r="BU92" s="292"/>
      <c r="BV92" s="173"/>
      <c r="BX92" s="72" t="s">
        <v>128</v>
      </c>
      <c r="BY92" s="224">
        <v>7.0999999999999994E-2</v>
      </c>
      <c r="BZ92" s="1" t="str">
        <f t="shared" si="86"/>
        <v>V</v>
      </c>
      <c r="CA92" s="180">
        <v>2</v>
      </c>
      <c r="CB92" s="78">
        <f t="shared" si="87"/>
        <v>3.5499999999999997E-2</v>
      </c>
      <c r="CC92" s="4"/>
      <c r="CD92" s="72" t="s">
        <v>130</v>
      </c>
      <c r="CE92" s="5">
        <v>0</v>
      </c>
      <c r="CF92" s="1" t="str">
        <f t="shared" si="88"/>
        <v>V</v>
      </c>
      <c r="CG92" s="81">
        <f t="shared" si="12"/>
        <v>1.7320508075688772</v>
      </c>
      <c r="CH92" s="78">
        <f t="shared" si="94"/>
        <v>0</v>
      </c>
      <c r="CI92" s="4"/>
      <c r="CJ92" s="72" t="s">
        <v>92</v>
      </c>
      <c r="CK92" s="181">
        <v>0.1</v>
      </c>
      <c r="CL92" s="1" t="str">
        <f t="shared" si="89"/>
        <v>V</v>
      </c>
      <c r="CM92" s="81">
        <f t="shared" si="95"/>
        <v>3.4641016151377544</v>
      </c>
      <c r="CN92" s="78">
        <f t="shared" si="96"/>
        <v>2.8867513459481291E-2</v>
      </c>
      <c r="CO92" s="4"/>
      <c r="CP92" s="72" t="s">
        <v>70</v>
      </c>
      <c r="CQ92" s="6">
        <f t="shared" si="90"/>
        <v>0</v>
      </c>
      <c r="CR92" s="1" t="str">
        <f t="shared" si="91"/>
        <v>V</v>
      </c>
      <c r="CS92" s="81">
        <f t="shared" si="97"/>
        <v>1.7320508075688772</v>
      </c>
      <c r="CT92" s="86">
        <f t="shared" si="98"/>
        <v>0</v>
      </c>
      <c r="CU92" s="8"/>
      <c r="CV92" s="94">
        <f t="shared" si="99"/>
        <v>4.5755691813514673E-2</v>
      </c>
      <c r="CW92" s="5">
        <f t="shared" si="100"/>
        <v>384.03120201997228</v>
      </c>
      <c r="CX92" s="95">
        <f t="shared" si="92"/>
        <v>2</v>
      </c>
      <c r="CY92" s="112">
        <f t="shared" ref="CY92:CY95" si="113">(CV92*CX92)</f>
        <v>9.1511383627029347E-2</v>
      </c>
      <c r="CZ92" s="106" t="str">
        <f t="shared" si="93"/>
        <v>V</v>
      </c>
      <c r="DA92" s="8"/>
      <c r="DB92" s="177">
        <v>8.4000000000000005E-2</v>
      </c>
      <c r="DC92" s="178" t="str">
        <f t="shared" si="102"/>
        <v>V</v>
      </c>
      <c r="DD92" s="220">
        <f t="shared" si="69"/>
        <v>9.1511383627029347E-2</v>
      </c>
      <c r="DE92" s="178" t="str">
        <f t="shared" si="103"/>
        <v>V</v>
      </c>
    </row>
    <row r="93" spans="1:109" s="174" customFormat="1" ht="18" customHeight="1" thickBot="1">
      <c r="A93" s="173"/>
      <c r="B93" s="170"/>
      <c r="C93" s="139"/>
      <c r="D93" s="139"/>
      <c r="E93" s="139"/>
      <c r="F93" s="316"/>
      <c r="G93" s="317"/>
      <c r="H93" s="317"/>
      <c r="I93" s="317"/>
      <c r="J93" s="317"/>
      <c r="K93" s="318"/>
      <c r="L93" s="297">
        <v>540</v>
      </c>
      <c r="M93" s="298"/>
      <c r="N93" s="298"/>
      <c r="O93" s="298"/>
      <c r="P93" s="299" t="s">
        <v>93</v>
      </c>
      <c r="Q93" s="299"/>
      <c r="R93" s="300"/>
      <c r="S93" s="319" t="s">
        <v>143</v>
      </c>
      <c r="T93" s="319"/>
      <c r="U93" s="319"/>
      <c r="V93" s="319"/>
      <c r="W93" s="319"/>
      <c r="X93" s="291">
        <v>540</v>
      </c>
      <c r="Y93" s="291"/>
      <c r="Z93" s="291"/>
      <c r="AA93" s="291"/>
      <c r="AB93" s="291"/>
      <c r="AC93" s="291">
        <v>540</v>
      </c>
      <c r="AD93" s="291"/>
      <c r="AE93" s="291"/>
      <c r="AF93" s="291"/>
      <c r="AG93" s="291"/>
      <c r="AH93" s="291">
        <v>540</v>
      </c>
      <c r="AI93" s="291"/>
      <c r="AJ93" s="291"/>
      <c r="AK93" s="291"/>
      <c r="AL93" s="291"/>
      <c r="AM93" s="291">
        <f t="shared" si="81"/>
        <v>540</v>
      </c>
      <c r="AN93" s="291"/>
      <c r="AO93" s="291"/>
      <c r="AP93" s="291"/>
      <c r="AQ93" s="291"/>
      <c r="AR93" s="291">
        <f t="shared" si="82"/>
        <v>0</v>
      </c>
      <c r="AS93" s="291"/>
      <c r="AT93" s="291"/>
      <c r="AU93" s="291"/>
      <c r="AV93" s="291"/>
      <c r="AW93" s="139"/>
      <c r="AX93" s="139"/>
      <c r="AY93" s="139"/>
      <c r="AZ93" s="172"/>
      <c r="BA93" s="173"/>
      <c r="BB93" s="320">
        <f>(AM93*1%)+(4*CK93)</f>
        <v>5.8000000000000007</v>
      </c>
      <c r="BC93" s="320"/>
      <c r="BD93" s="320"/>
      <c r="BE93" s="320"/>
      <c r="BF93" s="320"/>
      <c r="BG93" s="302">
        <f t="shared" si="83"/>
        <v>545.79999999999995</v>
      </c>
      <c r="BH93" s="302"/>
      <c r="BI93" s="302"/>
      <c r="BJ93" s="302"/>
      <c r="BK93" s="302"/>
      <c r="BL93" s="302">
        <f t="shared" si="84"/>
        <v>534.20000000000005</v>
      </c>
      <c r="BM93" s="302"/>
      <c r="BN93" s="302"/>
      <c r="BO93" s="302"/>
      <c r="BP93" s="302"/>
      <c r="BQ93" s="292" t="str">
        <f t="shared" si="85"/>
        <v>PASS</v>
      </c>
      <c r="BR93" s="292"/>
      <c r="BS93" s="292"/>
      <c r="BT93" s="292"/>
      <c r="BU93" s="292"/>
      <c r="BV93" s="173"/>
      <c r="BX93" s="210" t="s">
        <v>128</v>
      </c>
      <c r="BY93" s="224">
        <v>7.0999999999999994E-2</v>
      </c>
      <c r="BZ93" s="1" t="str">
        <f t="shared" si="86"/>
        <v>V</v>
      </c>
      <c r="CA93" s="180">
        <v>2</v>
      </c>
      <c r="CB93" s="78">
        <f t="shared" si="87"/>
        <v>3.5499999999999997E-2</v>
      </c>
      <c r="CC93" s="4"/>
      <c r="CD93" s="73" t="s">
        <v>130</v>
      </c>
      <c r="CE93" s="89">
        <v>0</v>
      </c>
      <c r="CF93" s="74" t="str">
        <f t="shared" si="88"/>
        <v>V</v>
      </c>
      <c r="CG93" s="82">
        <f t="shared" si="12"/>
        <v>1.7320508075688772</v>
      </c>
      <c r="CH93" s="79">
        <f t="shared" si="94"/>
        <v>0</v>
      </c>
      <c r="CI93" s="4"/>
      <c r="CJ93" s="73" t="s">
        <v>92</v>
      </c>
      <c r="CK93" s="183">
        <v>0.1</v>
      </c>
      <c r="CL93" s="74" t="str">
        <f t="shared" si="89"/>
        <v>V</v>
      </c>
      <c r="CM93" s="82">
        <f t="shared" si="95"/>
        <v>3.4641016151377544</v>
      </c>
      <c r="CN93" s="79">
        <f t="shared" si="96"/>
        <v>2.8867513459481291E-2</v>
      </c>
      <c r="CO93" s="4"/>
      <c r="CP93" s="73" t="s">
        <v>70</v>
      </c>
      <c r="CQ93" s="84">
        <f t="shared" si="90"/>
        <v>0</v>
      </c>
      <c r="CR93" s="74" t="str">
        <f t="shared" si="91"/>
        <v>V</v>
      </c>
      <c r="CS93" s="82">
        <f t="shared" si="97"/>
        <v>1.7320508075688772</v>
      </c>
      <c r="CT93" s="87">
        <f t="shared" si="98"/>
        <v>0</v>
      </c>
      <c r="CU93" s="8"/>
      <c r="CV93" s="96">
        <f t="shared" si="99"/>
        <v>4.5755691813514673E-2</v>
      </c>
      <c r="CW93" s="89">
        <f t="shared" si="100"/>
        <v>384.03120201997228</v>
      </c>
      <c r="CX93" s="97">
        <f t="shared" si="92"/>
        <v>2</v>
      </c>
      <c r="CY93" s="113">
        <f t="shared" si="113"/>
        <v>9.1511383627029347E-2</v>
      </c>
      <c r="CZ93" s="108" t="str">
        <f t="shared" si="93"/>
        <v>V</v>
      </c>
      <c r="DA93" s="8"/>
      <c r="DB93" s="177">
        <v>8.4000000000000005E-2</v>
      </c>
      <c r="DC93" s="178" t="str">
        <f t="shared" si="102"/>
        <v>V</v>
      </c>
      <c r="DD93" s="220">
        <f t="shared" si="69"/>
        <v>9.1511383627029347E-2</v>
      </c>
      <c r="DE93" s="178" t="str">
        <f t="shared" si="103"/>
        <v>V</v>
      </c>
    </row>
    <row r="94" spans="1:109" s="174" customFormat="1" ht="18" customHeight="1">
      <c r="A94" s="173"/>
      <c r="B94" s="170"/>
      <c r="C94" s="139"/>
      <c r="D94" s="139"/>
      <c r="E94" s="139"/>
      <c r="F94" s="310" t="s">
        <v>158</v>
      </c>
      <c r="G94" s="311"/>
      <c r="H94" s="311"/>
      <c r="I94" s="311"/>
      <c r="J94" s="311"/>
      <c r="K94" s="312"/>
      <c r="L94" s="297">
        <f>1000*10%</f>
        <v>100</v>
      </c>
      <c r="M94" s="298"/>
      <c r="N94" s="298"/>
      <c r="O94" s="298"/>
      <c r="P94" s="299" t="s">
        <v>93</v>
      </c>
      <c r="Q94" s="299"/>
      <c r="R94" s="300"/>
      <c r="S94" s="319" t="s">
        <v>96</v>
      </c>
      <c r="T94" s="319"/>
      <c r="U94" s="319"/>
      <c r="V94" s="319"/>
      <c r="W94" s="319"/>
      <c r="X94" s="291">
        <v>100</v>
      </c>
      <c r="Y94" s="291"/>
      <c r="Z94" s="291"/>
      <c r="AA94" s="291"/>
      <c r="AB94" s="291"/>
      <c r="AC94" s="291">
        <v>100</v>
      </c>
      <c r="AD94" s="291"/>
      <c r="AE94" s="291"/>
      <c r="AF94" s="291"/>
      <c r="AG94" s="291"/>
      <c r="AH94" s="291">
        <v>100</v>
      </c>
      <c r="AI94" s="291"/>
      <c r="AJ94" s="291"/>
      <c r="AK94" s="291"/>
      <c r="AL94" s="291"/>
      <c r="AM94" s="302">
        <f t="shared" ref="AM94:AM97" si="114">AVERAGE(X94:AL94)</f>
        <v>100</v>
      </c>
      <c r="AN94" s="302"/>
      <c r="AO94" s="302"/>
      <c r="AP94" s="302"/>
      <c r="AQ94" s="302"/>
      <c r="AR94" s="302">
        <f t="shared" ref="AR94:AR97" si="115">AM94-L94</f>
        <v>0</v>
      </c>
      <c r="AS94" s="302"/>
      <c r="AT94" s="302"/>
      <c r="AU94" s="302"/>
      <c r="AV94" s="302"/>
      <c r="AW94" s="139"/>
      <c r="AX94" s="139"/>
      <c r="AY94" s="139"/>
      <c r="AZ94" s="172"/>
      <c r="BA94" s="173"/>
      <c r="BB94" s="320">
        <f>(AM94*0.7%)+(2*CK94)</f>
        <v>2.7</v>
      </c>
      <c r="BC94" s="320"/>
      <c r="BD94" s="320"/>
      <c r="BE94" s="320"/>
      <c r="BF94" s="320"/>
      <c r="BG94" s="302">
        <f t="shared" ref="BG94:BG97" si="116">L94+BB94</f>
        <v>102.7</v>
      </c>
      <c r="BH94" s="302"/>
      <c r="BI94" s="302"/>
      <c r="BJ94" s="302"/>
      <c r="BK94" s="302"/>
      <c r="BL94" s="302">
        <f t="shared" ref="BL94:BL97" si="117">L94-BB94</f>
        <v>97.3</v>
      </c>
      <c r="BM94" s="302"/>
      <c r="BN94" s="302"/>
      <c r="BO94" s="302"/>
      <c r="BP94" s="302"/>
      <c r="BQ94" s="292" t="str">
        <f t="shared" ref="BQ94:BQ97" si="118">IF(AND(AM94&lt;=BG94,AM94&gt;=BL94),"PASS","FAIL")</f>
        <v>PASS</v>
      </c>
      <c r="BR94" s="292"/>
      <c r="BS94" s="292"/>
      <c r="BT94" s="292"/>
      <c r="BU94" s="292"/>
      <c r="BV94" s="173"/>
      <c r="BX94" s="72" t="s">
        <v>128</v>
      </c>
      <c r="BY94" s="224">
        <v>7.0999999999999994E-2</v>
      </c>
      <c r="BZ94" s="76" t="str">
        <f t="shared" ref="BZ94:BZ97" si="119">P94</f>
        <v>V</v>
      </c>
      <c r="CA94" s="175">
        <v>2</v>
      </c>
      <c r="CB94" s="209">
        <f t="shared" ref="CB94:CB97" si="120">BY94/CA94</f>
        <v>3.5499999999999997E-2</v>
      </c>
      <c r="CC94" s="4"/>
      <c r="CD94" s="72" t="s">
        <v>130</v>
      </c>
      <c r="CE94" s="5">
        <v>0</v>
      </c>
      <c r="CF94" s="1" t="str">
        <f t="shared" ref="CF94:CF97" si="121">BZ94</f>
        <v>V</v>
      </c>
      <c r="CG94" s="81">
        <f t="shared" si="12"/>
        <v>1.7320508075688772</v>
      </c>
      <c r="CH94" s="78">
        <f t="shared" ref="CH94:CH97" si="122">CE94/CG94</f>
        <v>0</v>
      </c>
      <c r="CI94" s="4"/>
      <c r="CJ94" s="72" t="s">
        <v>92</v>
      </c>
      <c r="CK94" s="181">
        <v>1</v>
      </c>
      <c r="CL94" s="1" t="str">
        <f t="shared" ref="CL94:CL97" si="123">P94</f>
        <v>V</v>
      </c>
      <c r="CM94" s="81">
        <f t="shared" si="95"/>
        <v>3.4641016151377544</v>
      </c>
      <c r="CN94" s="78">
        <f t="shared" ref="CN94:CN97" si="124">CK94/CM94</f>
        <v>0.28867513459481292</v>
      </c>
      <c r="CO94" s="4"/>
      <c r="CP94" s="72" t="s">
        <v>70</v>
      </c>
      <c r="CQ94" s="6">
        <f t="shared" ref="CQ94:CQ97" si="125">STDEV(X94:AL94)</f>
        <v>0</v>
      </c>
      <c r="CR94" s="1" t="str">
        <f t="shared" ref="CR94:CR97" si="126">P94</f>
        <v>V</v>
      </c>
      <c r="CS94" s="81">
        <f t="shared" si="97"/>
        <v>1.7320508075688772</v>
      </c>
      <c r="CT94" s="86">
        <f t="shared" ref="CT94:CT97" si="127">CQ94/CS94</f>
        <v>0</v>
      </c>
      <c r="CU94" s="8"/>
      <c r="CV94" s="94">
        <f t="shared" ref="CV94:CV97" si="128">SQRT(SUMSQ(CT94,CN94,CH94,CB94))</f>
        <v>0.29084976075859742</v>
      </c>
      <c r="CW94" s="5">
        <f t="shared" ref="CW94:CW97" si="129">(CV94^4)/(((CT94^4)/2)+((CN94^4)/200)+((CH94^4)/200)+((CB94^4)/200))</f>
        <v>206.04781683327099</v>
      </c>
      <c r="CX94" s="95">
        <f t="shared" ref="CX94:CX97" si="130">ROUND(TINV(0.05,CW94),0)</f>
        <v>2</v>
      </c>
      <c r="CY94" s="112">
        <f t="shared" si="113"/>
        <v>0.58169952151719484</v>
      </c>
      <c r="CZ94" s="106" t="str">
        <f t="shared" ref="CZ94:CZ97" si="131">P94</f>
        <v>V</v>
      </c>
      <c r="DA94" s="8"/>
      <c r="DB94" s="177">
        <v>6.4000000000000003E-3</v>
      </c>
      <c r="DC94" s="178" t="str">
        <f t="shared" ref="DC94:DC97" si="132">CZ94</f>
        <v>V</v>
      </c>
      <c r="DD94" s="220">
        <f t="shared" si="69"/>
        <v>0.58169952151719484</v>
      </c>
      <c r="DE94" s="178" t="str">
        <f t="shared" ref="DE94:DE97" si="133">DC94</f>
        <v>V</v>
      </c>
    </row>
    <row r="95" spans="1:109" s="174" customFormat="1" ht="18" customHeight="1">
      <c r="A95" s="173"/>
      <c r="B95" s="170"/>
      <c r="C95" s="139"/>
      <c r="D95" s="139"/>
      <c r="E95" s="139"/>
      <c r="F95" s="313"/>
      <c r="G95" s="314"/>
      <c r="H95" s="314"/>
      <c r="I95" s="314"/>
      <c r="J95" s="314"/>
      <c r="K95" s="315"/>
      <c r="L95" s="297">
        <f>1000*10%</f>
        <v>100</v>
      </c>
      <c r="M95" s="298"/>
      <c r="N95" s="298"/>
      <c r="O95" s="298"/>
      <c r="P95" s="299" t="s">
        <v>93</v>
      </c>
      <c r="Q95" s="299"/>
      <c r="R95" s="300"/>
      <c r="S95" s="319" t="s">
        <v>143</v>
      </c>
      <c r="T95" s="319"/>
      <c r="U95" s="319"/>
      <c r="V95" s="319"/>
      <c r="W95" s="319"/>
      <c r="X95" s="291">
        <v>100</v>
      </c>
      <c r="Y95" s="291"/>
      <c r="Z95" s="291"/>
      <c r="AA95" s="291"/>
      <c r="AB95" s="291"/>
      <c r="AC95" s="291">
        <v>100</v>
      </c>
      <c r="AD95" s="291"/>
      <c r="AE95" s="291"/>
      <c r="AF95" s="291"/>
      <c r="AG95" s="291"/>
      <c r="AH95" s="291">
        <v>100</v>
      </c>
      <c r="AI95" s="291"/>
      <c r="AJ95" s="291"/>
      <c r="AK95" s="291"/>
      <c r="AL95" s="291"/>
      <c r="AM95" s="302">
        <f t="shared" si="114"/>
        <v>100</v>
      </c>
      <c r="AN95" s="302"/>
      <c r="AO95" s="302"/>
      <c r="AP95" s="302"/>
      <c r="AQ95" s="302"/>
      <c r="AR95" s="302">
        <f t="shared" si="115"/>
        <v>0</v>
      </c>
      <c r="AS95" s="302"/>
      <c r="AT95" s="302"/>
      <c r="AU95" s="302"/>
      <c r="AV95" s="302"/>
      <c r="AW95" s="139"/>
      <c r="AX95" s="139"/>
      <c r="AY95" s="139"/>
      <c r="AZ95" s="172"/>
      <c r="BA95" s="173"/>
      <c r="BB95" s="320">
        <f>(AM95*1%)+(4*CK95)</f>
        <v>5</v>
      </c>
      <c r="BC95" s="320"/>
      <c r="BD95" s="320"/>
      <c r="BE95" s="320"/>
      <c r="BF95" s="320"/>
      <c r="BG95" s="302">
        <f t="shared" si="116"/>
        <v>105</v>
      </c>
      <c r="BH95" s="302"/>
      <c r="BI95" s="302"/>
      <c r="BJ95" s="302"/>
      <c r="BK95" s="302"/>
      <c r="BL95" s="302">
        <f t="shared" si="117"/>
        <v>95</v>
      </c>
      <c r="BM95" s="302"/>
      <c r="BN95" s="302"/>
      <c r="BO95" s="302"/>
      <c r="BP95" s="302"/>
      <c r="BQ95" s="292" t="str">
        <f t="shared" si="118"/>
        <v>PASS</v>
      </c>
      <c r="BR95" s="292"/>
      <c r="BS95" s="292"/>
      <c r="BT95" s="292"/>
      <c r="BU95" s="292"/>
      <c r="BV95" s="173"/>
      <c r="BX95" s="72" t="s">
        <v>128</v>
      </c>
      <c r="BY95" s="224">
        <v>7.0999999999999994E-2</v>
      </c>
      <c r="BZ95" s="1" t="str">
        <f t="shared" si="119"/>
        <v>V</v>
      </c>
      <c r="CA95" s="180">
        <v>2</v>
      </c>
      <c r="CB95" s="78">
        <f t="shared" si="120"/>
        <v>3.5499999999999997E-2</v>
      </c>
      <c r="CC95" s="4"/>
      <c r="CD95" s="72" t="s">
        <v>130</v>
      </c>
      <c r="CE95" s="5">
        <v>0</v>
      </c>
      <c r="CF95" s="1" t="str">
        <f t="shared" si="121"/>
        <v>V</v>
      </c>
      <c r="CG95" s="81">
        <f t="shared" si="12"/>
        <v>1.7320508075688772</v>
      </c>
      <c r="CH95" s="78">
        <f t="shared" si="122"/>
        <v>0</v>
      </c>
      <c r="CI95" s="4"/>
      <c r="CJ95" s="72" t="s">
        <v>92</v>
      </c>
      <c r="CK95" s="181">
        <v>1</v>
      </c>
      <c r="CL95" s="1" t="str">
        <f t="shared" si="123"/>
        <v>V</v>
      </c>
      <c r="CM95" s="81">
        <f t="shared" si="95"/>
        <v>3.4641016151377544</v>
      </c>
      <c r="CN95" s="78">
        <f t="shared" si="124"/>
        <v>0.28867513459481292</v>
      </c>
      <c r="CO95" s="4"/>
      <c r="CP95" s="72" t="s">
        <v>70</v>
      </c>
      <c r="CQ95" s="6">
        <f t="shared" si="125"/>
        <v>0</v>
      </c>
      <c r="CR95" s="1" t="str">
        <f t="shared" si="126"/>
        <v>V</v>
      </c>
      <c r="CS95" s="81">
        <f t="shared" si="97"/>
        <v>1.7320508075688772</v>
      </c>
      <c r="CT95" s="86">
        <f t="shared" si="127"/>
        <v>0</v>
      </c>
      <c r="CU95" s="8"/>
      <c r="CV95" s="94">
        <f t="shared" si="128"/>
        <v>0.29084976075859742</v>
      </c>
      <c r="CW95" s="5">
        <f t="shared" si="129"/>
        <v>206.04781683327099</v>
      </c>
      <c r="CX95" s="95">
        <f t="shared" si="130"/>
        <v>2</v>
      </c>
      <c r="CY95" s="112">
        <f t="shared" si="113"/>
        <v>0.58169952151719484</v>
      </c>
      <c r="CZ95" s="106" t="str">
        <f t="shared" si="131"/>
        <v>V</v>
      </c>
      <c r="DA95" s="8"/>
      <c r="DB95" s="177">
        <v>6.4000000000000003E-3</v>
      </c>
      <c r="DC95" s="178" t="str">
        <f t="shared" si="132"/>
        <v>V</v>
      </c>
      <c r="DD95" s="220">
        <f t="shared" si="69"/>
        <v>0.58169952151719484</v>
      </c>
      <c r="DE95" s="178" t="str">
        <f t="shared" si="133"/>
        <v>V</v>
      </c>
    </row>
    <row r="96" spans="1:109" s="174" customFormat="1" ht="18" customHeight="1">
      <c r="A96" s="173"/>
      <c r="B96" s="170"/>
      <c r="C96" s="139"/>
      <c r="D96" s="139"/>
      <c r="E96" s="139"/>
      <c r="F96" s="313"/>
      <c r="G96" s="314"/>
      <c r="H96" s="314"/>
      <c r="I96" s="314"/>
      <c r="J96" s="314"/>
      <c r="K96" s="315"/>
      <c r="L96" s="297">
        <f>1000*90%</f>
        <v>900</v>
      </c>
      <c r="M96" s="298"/>
      <c r="N96" s="298"/>
      <c r="O96" s="298"/>
      <c r="P96" s="299" t="s">
        <v>93</v>
      </c>
      <c r="Q96" s="299"/>
      <c r="R96" s="300"/>
      <c r="S96" s="319" t="s">
        <v>96</v>
      </c>
      <c r="T96" s="319"/>
      <c r="U96" s="319"/>
      <c r="V96" s="319"/>
      <c r="W96" s="319"/>
      <c r="X96" s="291">
        <v>900</v>
      </c>
      <c r="Y96" s="291"/>
      <c r="Z96" s="291"/>
      <c r="AA96" s="291"/>
      <c r="AB96" s="291"/>
      <c r="AC96" s="291">
        <v>900</v>
      </c>
      <c r="AD96" s="291"/>
      <c r="AE96" s="291"/>
      <c r="AF96" s="291"/>
      <c r="AG96" s="291"/>
      <c r="AH96" s="291">
        <v>900</v>
      </c>
      <c r="AI96" s="291"/>
      <c r="AJ96" s="291"/>
      <c r="AK96" s="291"/>
      <c r="AL96" s="291"/>
      <c r="AM96" s="302">
        <f t="shared" si="114"/>
        <v>900</v>
      </c>
      <c r="AN96" s="302"/>
      <c r="AO96" s="302"/>
      <c r="AP96" s="302"/>
      <c r="AQ96" s="302"/>
      <c r="AR96" s="302">
        <f t="shared" si="115"/>
        <v>0</v>
      </c>
      <c r="AS96" s="302"/>
      <c r="AT96" s="302"/>
      <c r="AU96" s="302"/>
      <c r="AV96" s="302"/>
      <c r="AW96" s="139"/>
      <c r="AX96" s="139"/>
      <c r="AY96" s="139"/>
      <c r="AZ96" s="172"/>
      <c r="BA96" s="173"/>
      <c r="BB96" s="320">
        <f>(AM96*0.7%)+(2*CK96)</f>
        <v>8.2999999999999989</v>
      </c>
      <c r="BC96" s="320"/>
      <c r="BD96" s="320"/>
      <c r="BE96" s="320"/>
      <c r="BF96" s="320"/>
      <c r="BG96" s="302">
        <f t="shared" si="116"/>
        <v>908.3</v>
      </c>
      <c r="BH96" s="302"/>
      <c r="BI96" s="302"/>
      <c r="BJ96" s="302"/>
      <c r="BK96" s="302"/>
      <c r="BL96" s="302">
        <f t="shared" si="117"/>
        <v>891.7</v>
      </c>
      <c r="BM96" s="302"/>
      <c r="BN96" s="302"/>
      <c r="BO96" s="302"/>
      <c r="BP96" s="302"/>
      <c r="BQ96" s="292" t="str">
        <f t="shared" si="118"/>
        <v>PASS</v>
      </c>
      <c r="BR96" s="292"/>
      <c r="BS96" s="292"/>
      <c r="BT96" s="292"/>
      <c r="BU96" s="292"/>
      <c r="BV96" s="173"/>
      <c r="BX96" s="72" t="s">
        <v>128</v>
      </c>
      <c r="BY96" s="224">
        <v>7.0999999999999994E-2</v>
      </c>
      <c r="BZ96" s="1" t="str">
        <f t="shared" si="119"/>
        <v>V</v>
      </c>
      <c r="CA96" s="180">
        <v>2</v>
      </c>
      <c r="CB96" s="78">
        <f t="shared" si="120"/>
        <v>3.5499999999999997E-2</v>
      </c>
      <c r="CC96" s="4"/>
      <c r="CD96" s="72" t="s">
        <v>130</v>
      </c>
      <c r="CE96" s="5">
        <v>0</v>
      </c>
      <c r="CF96" s="1" t="str">
        <f t="shared" si="121"/>
        <v>V</v>
      </c>
      <c r="CG96" s="81">
        <f t="shared" si="12"/>
        <v>1.7320508075688772</v>
      </c>
      <c r="CH96" s="78">
        <f t="shared" si="122"/>
        <v>0</v>
      </c>
      <c r="CI96" s="4"/>
      <c r="CJ96" s="72" t="s">
        <v>92</v>
      </c>
      <c r="CK96" s="181">
        <v>1</v>
      </c>
      <c r="CL96" s="1" t="str">
        <f t="shared" si="123"/>
        <v>V</v>
      </c>
      <c r="CM96" s="81">
        <f t="shared" si="95"/>
        <v>3.4641016151377544</v>
      </c>
      <c r="CN96" s="78">
        <f t="shared" si="124"/>
        <v>0.28867513459481292</v>
      </c>
      <c r="CO96" s="4"/>
      <c r="CP96" s="72" t="s">
        <v>70</v>
      </c>
      <c r="CQ96" s="6">
        <f t="shared" si="125"/>
        <v>0</v>
      </c>
      <c r="CR96" s="1" t="str">
        <f t="shared" si="126"/>
        <v>V</v>
      </c>
      <c r="CS96" s="81">
        <f t="shared" si="97"/>
        <v>1.7320508075688772</v>
      </c>
      <c r="CT96" s="86">
        <f t="shared" si="127"/>
        <v>0</v>
      </c>
      <c r="CU96" s="8"/>
      <c r="CV96" s="94">
        <f t="shared" si="128"/>
        <v>0.29084976075859742</v>
      </c>
      <c r="CW96" s="5">
        <f t="shared" si="129"/>
        <v>206.04781683327099</v>
      </c>
      <c r="CX96" s="95">
        <f t="shared" si="130"/>
        <v>2</v>
      </c>
      <c r="CY96" s="112">
        <f t="shared" ref="CY96:CY97" si="134">(CV96*CX96)</f>
        <v>0.58169952151719484</v>
      </c>
      <c r="CZ96" s="106" t="str">
        <f t="shared" si="131"/>
        <v>V</v>
      </c>
      <c r="DA96" s="8"/>
      <c r="DB96" s="177">
        <v>8.4000000000000005E-2</v>
      </c>
      <c r="DC96" s="178" t="str">
        <f t="shared" si="132"/>
        <v>V</v>
      </c>
      <c r="DD96" s="220">
        <f t="shared" si="69"/>
        <v>0.58169952151719484</v>
      </c>
      <c r="DE96" s="178" t="str">
        <f t="shared" si="133"/>
        <v>V</v>
      </c>
    </row>
    <row r="97" spans="1:109" s="174" customFormat="1" ht="18" customHeight="1" thickBot="1">
      <c r="A97" s="173"/>
      <c r="B97" s="170"/>
      <c r="C97" s="139"/>
      <c r="D97" s="139"/>
      <c r="E97" s="139"/>
      <c r="F97" s="316"/>
      <c r="G97" s="317"/>
      <c r="H97" s="317"/>
      <c r="I97" s="317"/>
      <c r="J97" s="317"/>
      <c r="K97" s="318"/>
      <c r="L97" s="297">
        <f>1000*90%</f>
        <v>900</v>
      </c>
      <c r="M97" s="298"/>
      <c r="N97" s="298"/>
      <c r="O97" s="298"/>
      <c r="P97" s="299" t="s">
        <v>93</v>
      </c>
      <c r="Q97" s="299"/>
      <c r="R97" s="300"/>
      <c r="S97" s="319" t="s">
        <v>143</v>
      </c>
      <c r="T97" s="319"/>
      <c r="U97" s="319"/>
      <c r="V97" s="319"/>
      <c r="W97" s="319"/>
      <c r="X97" s="291">
        <v>900</v>
      </c>
      <c r="Y97" s="291"/>
      <c r="Z97" s="291"/>
      <c r="AA97" s="291"/>
      <c r="AB97" s="291"/>
      <c r="AC97" s="291">
        <v>900</v>
      </c>
      <c r="AD97" s="291"/>
      <c r="AE97" s="291"/>
      <c r="AF97" s="291"/>
      <c r="AG97" s="291"/>
      <c r="AH97" s="291">
        <v>900</v>
      </c>
      <c r="AI97" s="291"/>
      <c r="AJ97" s="291"/>
      <c r="AK97" s="291"/>
      <c r="AL97" s="291"/>
      <c r="AM97" s="302">
        <f t="shared" si="114"/>
        <v>900</v>
      </c>
      <c r="AN97" s="302"/>
      <c r="AO97" s="302"/>
      <c r="AP97" s="302"/>
      <c r="AQ97" s="302"/>
      <c r="AR97" s="302">
        <f t="shared" si="115"/>
        <v>0</v>
      </c>
      <c r="AS97" s="302"/>
      <c r="AT97" s="302"/>
      <c r="AU97" s="302"/>
      <c r="AV97" s="302"/>
      <c r="AW97" s="139"/>
      <c r="AX97" s="139"/>
      <c r="AY97" s="139"/>
      <c r="AZ97" s="172"/>
      <c r="BA97" s="173"/>
      <c r="BB97" s="320">
        <f>(AM97*1%)+(4*CK97)</f>
        <v>13</v>
      </c>
      <c r="BC97" s="320"/>
      <c r="BD97" s="320"/>
      <c r="BE97" s="320"/>
      <c r="BF97" s="320"/>
      <c r="BG97" s="302">
        <f t="shared" si="116"/>
        <v>913</v>
      </c>
      <c r="BH97" s="302"/>
      <c r="BI97" s="302"/>
      <c r="BJ97" s="302"/>
      <c r="BK97" s="302"/>
      <c r="BL97" s="302">
        <f t="shared" si="117"/>
        <v>887</v>
      </c>
      <c r="BM97" s="302"/>
      <c r="BN97" s="302"/>
      <c r="BO97" s="302"/>
      <c r="BP97" s="302"/>
      <c r="BQ97" s="292" t="str">
        <f t="shared" si="118"/>
        <v>PASS</v>
      </c>
      <c r="BR97" s="292"/>
      <c r="BS97" s="292"/>
      <c r="BT97" s="292"/>
      <c r="BU97" s="292"/>
      <c r="BV97" s="173"/>
      <c r="BX97" s="73" t="s">
        <v>128</v>
      </c>
      <c r="BY97" s="225">
        <v>7.0999999999999994E-2</v>
      </c>
      <c r="BZ97" s="74" t="str">
        <f t="shared" si="119"/>
        <v>V</v>
      </c>
      <c r="CA97" s="182">
        <v>2</v>
      </c>
      <c r="CB97" s="79">
        <f t="shared" si="120"/>
        <v>3.5499999999999997E-2</v>
      </c>
      <c r="CC97" s="4"/>
      <c r="CD97" s="73" t="s">
        <v>130</v>
      </c>
      <c r="CE97" s="89">
        <v>0</v>
      </c>
      <c r="CF97" s="74" t="str">
        <f t="shared" si="121"/>
        <v>V</v>
      </c>
      <c r="CG97" s="82">
        <f t="shared" si="12"/>
        <v>1.7320508075688772</v>
      </c>
      <c r="CH97" s="79">
        <f t="shared" si="122"/>
        <v>0</v>
      </c>
      <c r="CI97" s="4"/>
      <c r="CJ97" s="73" t="s">
        <v>92</v>
      </c>
      <c r="CK97" s="183">
        <v>1</v>
      </c>
      <c r="CL97" s="74" t="str">
        <f t="shared" si="123"/>
        <v>V</v>
      </c>
      <c r="CM97" s="82">
        <f t="shared" si="95"/>
        <v>3.4641016151377544</v>
      </c>
      <c r="CN97" s="79">
        <f t="shared" si="124"/>
        <v>0.28867513459481292</v>
      </c>
      <c r="CO97" s="4"/>
      <c r="CP97" s="73" t="s">
        <v>70</v>
      </c>
      <c r="CQ97" s="84">
        <f t="shared" si="125"/>
        <v>0</v>
      </c>
      <c r="CR97" s="74" t="str">
        <f t="shared" si="126"/>
        <v>V</v>
      </c>
      <c r="CS97" s="82">
        <f t="shared" si="97"/>
        <v>1.7320508075688772</v>
      </c>
      <c r="CT97" s="87">
        <f t="shared" si="127"/>
        <v>0</v>
      </c>
      <c r="CU97" s="8"/>
      <c r="CV97" s="96">
        <f t="shared" si="128"/>
        <v>0.29084976075859742</v>
      </c>
      <c r="CW97" s="89">
        <f t="shared" si="129"/>
        <v>206.04781683327099</v>
      </c>
      <c r="CX97" s="97">
        <f t="shared" si="130"/>
        <v>2</v>
      </c>
      <c r="CY97" s="113">
        <f t="shared" si="134"/>
        <v>0.58169952151719484</v>
      </c>
      <c r="CZ97" s="108" t="str">
        <f t="shared" si="131"/>
        <v>V</v>
      </c>
      <c r="DA97" s="8"/>
      <c r="DB97" s="177">
        <v>8.4000000000000005E-2</v>
      </c>
      <c r="DC97" s="178" t="str">
        <f t="shared" si="132"/>
        <v>V</v>
      </c>
      <c r="DD97" s="220">
        <f t="shared" si="69"/>
        <v>0.58169952151719484</v>
      </c>
      <c r="DE97" s="178" t="str">
        <f t="shared" si="133"/>
        <v>V</v>
      </c>
    </row>
    <row r="98" spans="1:109" s="143" customFormat="1" ht="14.25" thickBot="1">
      <c r="A98" s="136"/>
      <c r="B98" s="166"/>
      <c r="C98" s="167"/>
      <c r="D98" s="167"/>
      <c r="E98" s="167"/>
      <c r="F98" s="184"/>
      <c r="G98" s="184"/>
      <c r="H98" s="184"/>
      <c r="I98" s="184"/>
      <c r="J98" s="184"/>
      <c r="K98" s="184"/>
      <c r="L98" s="185"/>
      <c r="M98" s="185"/>
      <c r="N98" s="185"/>
      <c r="O98" s="185"/>
      <c r="P98" s="186"/>
      <c r="Q98" s="186"/>
      <c r="R98" s="186"/>
      <c r="S98" s="187"/>
      <c r="T98" s="187"/>
      <c r="U98" s="187"/>
      <c r="V98" s="187"/>
      <c r="W98" s="187"/>
      <c r="X98" s="188"/>
      <c r="Y98" s="188"/>
      <c r="Z98" s="188"/>
      <c r="AA98" s="188"/>
      <c r="AB98" s="188"/>
      <c r="AC98" s="188"/>
      <c r="AD98" s="188"/>
      <c r="AE98" s="188"/>
      <c r="AF98" s="188"/>
      <c r="AG98" s="188"/>
      <c r="AH98" s="188"/>
      <c r="AI98" s="188"/>
      <c r="AJ98" s="188"/>
      <c r="AK98" s="188"/>
      <c r="AL98" s="188"/>
      <c r="AM98" s="188"/>
      <c r="AN98" s="188"/>
      <c r="AO98" s="188"/>
      <c r="AP98" s="188"/>
      <c r="AQ98" s="188"/>
      <c r="AR98" s="188"/>
      <c r="AS98" s="188"/>
      <c r="AT98" s="188"/>
      <c r="AU98" s="188"/>
      <c r="AV98" s="188"/>
      <c r="AW98" s="167"/>
      <c r="AX98" s="167"/>
      <c r="AY98" s="167"/>
      <c r="AZ98" s="168"/>
      <c r="BA98" s="136"/>
      <c r="BB98" s="136"/>
      <c r="BC98" s="136"/>
      <c r="BD98" s="136"/>
      <c r="BE98" s="136"/>
      <c r="BF98" s="136"/>
      <c r="BG98" s="189"/>
      <c r="BH98" s="189"/>
      <c r="BI98" s="189"/>
      <c r="BJ98" s="189"/>
      <c r="BK98" s="189"/>
      <c r="BL98" s="189"/>
      <c r="BM98" s="189"/>
      <c r="BN98" s="189"/>
      <c r="BO98" s="189"/>
      <c r="BP98" s="189"/>
      <c r="BQ98" s="190"/>
      <c r="BR98" s="190"/>
      <c r="BS98" s="190"/>
      <c r="BT98" s="190"/>
      <c r="BU98" s="190"/>
      <c r="BV98" s="136"/>
      <c r="BX98" s="9"/>
      <c r="BY98" s="12"/>
      <c r="BZ98" s="10"/>
      <c r="CA98" s="9"/>
      <c r="CB98" s="11"/>
      <c r="CC98" s="11"/>
      <c r="CD98" s="9"/>
      <c r="CE98" s="12"/>
      <c r="CF98" s="10"/>
      <c r="CG98" s="13"/>
      <c r="CH98" s="11"/>
      <c r="CI98" s="11"/>
      <c r="CJ98" s="9"/>
      <c r="CK98" s="9"/>
      <c r="CL98" s="10"/>
      <c r="CM98" s="13"/>
      <c r="CN98" s="11"/>
      <c r="CO98" s="11"/>
      <c r="CP98" s="9"/>
      <c r="CQ98" s="14"/>
      <c r="CR98" s="10"/>
      <c r="CS98" s="13"/>
      <c r="CT98" s="14"/>
      <c r="CU98" s="15"/>
      <c r="CV98" s="11"/>
      <c r="CW98" s="12"/>
      <c r="CX98" s="16"/>
      <c r="CY98" s="17"/>
      <c r="CZ98" s="18"/>
      <c r="DA98" s="15"/>
    </row>
    <row r="99" spans="1:109" s="7" customFormat="1" ht="12.75" customHeight="1" thickBot="1">
      <c r="A99" s="169"/>
      <c r="B99" s="170"/>
      <c r="C99" s="139"/>
      <c r="D99" s="138"/>
      <c r="E99" s="139"/>
      <c r="F99" s="171" t="s">
        <v>97</v>
      </c>
      <c r="G99" s="139"/>
      <c r="H99" s="139"/>
      <c r="I99" s="139"/>
      <c r="J99" s="139"/>
      <c r="K99" s="139"/>
      <c r="L99" s="139"/>
      <c r="M99" s="139"/>
      <c r="N99" s="139"/>
      <c r="O99" s="139"/>
      <c r="P99" s="139"/>
      <c r="Q99" s="139"/>
      <c r="R99" s="139"/>
      <c r="S99" s="139"/>
      <c r="T99" s="139"/>
      <c r="U99" s="139"/>
      <c r="V99" s="139"/>
      <c r="W99" s="139"/>
      <c r="X99" s="139"/>
      <c r="Y99" s="139"/>
      <c r="Z99" s="139"/>
      <c r="AA99" s="139"/>
      <c r="AB99" s="139"/>
      <c r="AC99" s="139"/>
      <c r="AD99" s="139"/>
      <c r="AE99" s="139"/>
      <c r="AF99" s="139"/>
      <c r="AG99" s="139"/>
      <c r="AH99" s="139"/>
      <c r="AI99" s="139"/>
      <c r="AJ99" s="139"/>
      <c r="AK99" s="139"/>
      <c r="AL99" s="139"/>
      <c r="AM99" s="139"/>
      <c r="AN99" s="139"/>
      <c r="AO99" s="139"/>
      <c r="AP99" s="139"/>
      <c r="AQ99" s="139"/>
      <c r="AR99" s="139"/>
      <c r="AS99" s="139"/>
      <c r="AT99" s="139"/>
      <c r="AU99" s="139"/>
      <c r="AV99" s="139"/>
      <c r="AW99" s="139"/>
      <c r="AX99" s="139"/>
      <c r="AY99" s="139"/>
      <c r="AZ99" s="172"/>
      <c r="BA99" s="169"/>
      <c r="BB99" s="321" t="s">
        <v>124</v>
      </c>
      <c r="BC99" s="321"/>
      <c r="BD99" s="321"/>
      <c r="BE99" s="321"/>
      <c r="BF99" s="321"/>
      <c r="BG99" s="321"/>
      <c r="BH99" s="321"/>
      <c r="BI99" s="321"/>
      <c r="BJ99" s="321"/>
      <c r="BK99" s="321"/>
      <c r="BL99" s="321"/>
      <c r="BM99" s="321"/>
      <c r="BN99" s="321"/>
      <c r="BO99" s="321"/>
      <c r="BP99" s="321"/>
      <c r="BQ99" s="321"/>
      <c r="BR99" s="321"/>
      <c r="BS99" s="321"/>
      <c r="BT99" s="321"/>
      <c r="BU99" s="321"/>
      <c r="BV99" s="169"/>
      <c r="BX99" s="363" t="s">
        <v>69</v>
      </c>
      <c r="BY99" s="364"/>
      <c r="BZ99" s="364"/>
      <c r="CA99" s="364"/>
      <c r="CB99" s="365"/>
      <c r="CC99" s="2"/>
      <c r="CD99" s="363" t="s">
        <v>69</v>
      </c>
      <c r="CE99" s="364"/>
      <c r="CF99" s="364"/>
      <c r="CG99" s="364"/>
      <c r="CH99" s="365"/>
      <c r="CI99" s="2"/>
      <c r="CJ99" s="363" t="s">
        <v>129</v>
      </c>
      <c r="CK99" s="364"/>
      <c r="CL99" s="364"/>
      <c r="CM99" s="364"/>
      <c r="CN99" s="365"/>
      <c r="CO99" s="2"/>
      <c r="CP99" s="363" t="s">
        <v>129</v>
      </c>
      <c r="CQ99" s="364"/>
      <c r="CR99" s="364"/>
      <c r="CS99" s="364"/>
      <c r="CT99" s="365"/>
      <c r="CV99" s="363" t="s">
        <v>71</v>
      </c>
      <c r="CW99" s="364"/>
      <c r="CX99" s="364"/>
      <c r="CY99" s="364"/>
      <c r="CZ99" s="365"/>
      <c r="DB99" s="354" t="s">
        <v>116</v>
      </c>
      <c r="DC99" s="352"/>
      <c r="DD99" s="354" t="s">
        <v>117</v>
      </c>
      <c r="DE99" s="354"/>
    </row>
    <row r="100" spans="1:109" s="174" customFormat="1" ht="18" customHeight="1">
      <c r="A100" s="173"/>
      <c r="B100" s="170"/>
      <c r="C100" s="139"/>
      <c r="D100" s="139"/>
      <c r="E100" s="139"/>
      <c r="F100" s="328" t="s">
        <v>27</v>
      </c>
      <c r="G100" s="328"/>
      <c r="H100" s="328"/>
      <c r="I100" s="328"/>
      <c r="J100" s="328"/>
      <c r="K100" s="328"/>
      <c r="L100" s="328" t="s">
        <v>28</v>
      </c>
      <c r="M100" s="328"/>
      <c r="N100" s="328"/>
      <c r="O100" s="328"/>
      <c r="P100" s="328"/>
      <c r="Q100" s="328"/>
      <c r="R100" s="328"/>
      <c r="S100" s="328" t="s">
        <v>72</v>
      </c>
      <c r="T100" s="328"/>
      <c r="U100" s="328"/>
      <c r="V100" s="328"/>
      <c r="W100" s="328"/>
      <c r="X100" s="328" t="s">
        <v>73</v>
      </c>
      <c r="Y100" s="328"/>
      <c r="Z100" s="328"/>
      <c r="AA100" s="328"/>
      <c r="AB100" s="328"/>
      <c r="AC100" s="328"/>
      <c r="AD100" s="328"/>
      <c r="AE100" s="328"/>
      <c r="AF100" s="328"/>
      <c r="AG100" s="328"/>
      <c r="AH100" s="328"/>
      <c r="AI100" s="328"/>
      <c r="AJ100" s="328"/>
      <c r="AK100" s="328"/>
      <c r="AL100" s="328"/>
      <c r="AM100" s="328" t="s">
        <v>74</v>
      </c>
      <c r="AN100" s="328"/>
      <c r="AO100" s="328"/>
      <c r="AP100" s="328"/>
      <c r="AQ100" s="328"/>
      <c r="AR100" s="328" t="s">
        <v>29</v>
      </c>
      <c r="AS100" s="328"/>
      <c r="AT100" s="328"/>
      <c r="AU100" s="328"/>
      <c r="AV100" s="328"/>
      <c r="AW100" s="139"/>
      <c r="AX100" s="139"/>
      <c r="AY100" s="139"/>
      <c r="AZ100" s="172"/>
      <c r="BA100" s="173"/>
      <c r="BB100" s="328" t="s">
        <v>75</v>
      </c>
      <c r="BC100" s="328"/>
      <c r="BD100" s="328"/>
      <c r="BE100" s="328"/>
      <c r="BF100" s="328"/>
      <c r="BG100" s="328" t="s">
        <v>76</v>
      </c>
      <c r="BH100" s="328"/>
      <c r="BI100" s="328"/>
      <c r="BJ100" s="328"/>
      <c r="BK100" s="328"/>
      <c r="BL100" s="328" t="s">
        <v>77</v>
      </c>
      <c r="BM100" s="328"/>
      <c r="BN100" s="328"/>
      <c r="BO100" s="328"/>
      <c r="BP100" s="328"/>
      <c r="BQ100" s="328" t="s">
        <v>78</v>
      </c>
      <c r="BR100" s="328"/>
      <c r="BS100" s="328"/>
      <c r="BT100" s="328"/>
      <c r="BU100" s="328"/>
      <c r="BV100" s="173"/>
      <c r="BX100" s="357" t="s">
        <v>79</v>
      </c>
      <c r="BY100" s="355" t="s">
        <v>114</v>
      </c>
      <c r="BZ100" s="355" t="s">
        <v>80</v>
      </c>
      <c r="CA100" s="359" t="s">
        <v>81</v>
      </c>
      <c r="CB100" s="361" t="s">
        <v>82</v>
      </c>
      <c r="CC100" s="3"/>
      <c r="CD100" s="357" t="s">
        <v>79</v>
      </c>
      <c r="CE100" s="355" t="s">
        <v>114</v>
      </c>
      <c r="CF100" s="355" t="s">
        <v>80</v>
      </c>
      <c r="CG100" s="359" t="s">
        <v>81</v>
      </c>
      <c r="CH100" s="361" t="s">
        <v>82</v>
      </c>
      <c r="CI100" s="3"/>
      <c r="CJ100" s="357" t="s">
        <v>79</v>
      </c>
      <c r="CK100" s="355" t="s">
        <v>114</v>
      </c>
      <c r="CL100" s="355" t="s">
        <v>80</v>
      </c>
      <c r="CM100" s="359" t="s">
        <v>81</v>
      </c>
      <c r="CN100" s="361" t="s">
        <v>82</v>
      </c>
      <c r="CO100" s="3"/>
      <c r="CP100" s="357" t="s">
        <v>79</v>
      </c>
      <c r="CQ100" s="355" t="s">
        <v>114</v>
      </c>
      <c r="CR100" s="355" t="s">
        <v>80</v>
      </c>
      <c r="CS100" s="359" t="s">
        <v>81</v>
      </c>
      <c r="CT100" s="361" t="s">
        <v>82</v>
      </c>
      <c r="CU100" s="8"/>
      <c r="CV100" s="119" t="s">
        <v>83</v>
      </c>
      <c r="CW100" s="101" t="s">
        <v>84</v>
      </c>
      <c r="CX100" s="121" t="s">
        <v>85</v>
      </c>
      <c r="CY100" s="357" t="s">
        <v>86</v>
      </c>
      <c r="CZ100" s="370"/>
      <c r="DA100" s="8"/>
      <c r="DB100" s="354"/>
      <c r="DC100" s="352"/>
      <c r="DD100" s="354"/>
      <c r="DE100" s="354"/>
    </row>
    <row r="101" spans="1:109" s="174" customFormat="1" ht="18" customHeight="1" thickBot="1">
      <c r="A101" s="173"/>
      <c r="B101" s="170"/>
      <c r="C101" s="139"/>
      <c r="D101" s="139"/>
      <c r="E101" s="139"/>
      <c r="F101" s="328"/>
      <c r="G101" s="328"/>
      <c r="H101" s="328"/>
      <c r="I101" s="328"/>
      <c r="J101" s="328"/>
      <c r="K101" s="328"/>
      <c r="L101" s="328"/>
      <c r="M101" s="328"/>
      <c r="N101" s="328"/>
      <c r="O101" s="328"/>
      <c r="P101" s="328"/>
      <c r="Q101" s="328"/>
      <c r="R101" s="328"/>
      <c r="S101" s="328"/>
      <c r="T101" s="328"/>
      <c r="U101" s="328"/>
      <c r="V101" s="328"/>
      <c r="W101" s="328"/>
      <c r="X101" s="328">
        <v>1</v>
      </c>
      <c r="Y101" s="328"/>
      <c r="Z101" s="328"/>
      <c r="AA101" s="328"/>
      <c r="AB101" s="328"/>
      <c r="AC101" s="328">
        <v>2</v>
      </c>
      <c r="AD101" s="328"/>
      <c r="AE101" s="328"/>
      <c r="AF101" s="328"/>
      <c r="AG101" s="328"/>
      <c r="AH101" s="328">
        <v>3</v>
      </c>
      <c r="AI101" s="328"/>
      <c r="AJ101" s="328"/>
      <c r="AK101" s="328"/>
      <c r="AL101" s="328"/>
      <c r="AM101" s="328"/>
      <c r="AN101" s="328"/>
      <c r="AO101" s="328"/>
      <c r="AP101" s="328"/>
      <c r="AQ101" s="328"/>
      <c r="AR101" s="328"/>
      <c r="AS101" s="328"/>
      <c r="AT101" s="328"/>
      <c r="AU101" s="328"/>
      <c r="AV101" s="328"/>
      <c r="AW101" s="139"/>
      <c r="AX101" s="139"/>
      <c r="AY101" s="139"/>
      <c r="AZ101" s="172"/>
      <c r="BA101" s="173"/>
      <c r="BB101" s="328"/>
      <c r="BC101" s="328"/>
      <c r="BD101" s="328"/>
      <c r="BE101" s="328"/>
      <c r="BF101" s="328"/>
      <c r="BG101" s="328"/>
      <c r="BH101" s="328"/>
      <c r="BI101" s="328"/>
      <c r="BJ101" s="328"/>
      <c r="BK101" s="328"/>
      <c r="BL101" s="328"/>
      <c r="BM101" s="328"/>
      <c r="BN101" s="328"/>
      <c r="BO101" s="328"/>
      <c r="BP101" s="328"/>
      <c r="BQ101" s="328"/>
      <c r="BR101" s="328"/>
      <c r="BS101" s="328"/>
      <c r="BT101" s="328"/>
      <c r="BU101" s="328"/>
      <c r="BV101" s="173"/>
      <c r="BX101" s="358"/>
      <c r="BY101" s="356"/>
      <c r="BZ101" s="356"/>
      <c r="CA101" s="360"/>
      <c r="CB101" s="362"/>
      <c r="CC101" s="3"/>
      <c r="CD101" s="358"/>
      <c r="CE101" s="356"/>
      <c r="CF101" s="356"/>
      <c r="CG101" s="360"/>
      <c r="CH101" s="362"/>
      <c r="CI101" s="3"/>
      <c r="CJ101" s="358"/>
      <c r="CK101" s="356"/>
      <c r="CL101" s="356"/>
      <c r="CM101" s="360"/>
      <c r="CN101" s="362"/>
      <c r="CO101" s="3"/>
      <c r="CP101" s="358"/>
      <c r="CQ101" s="356"/>
      <c r="CR101" s="356"/>
      <c r="CS101" s="360"/>
      <c r="CT101" s="362"/>
      <c r="CU101" s="8"/>
      <c r="CV101" s="120" t="s">
        <v>87</v>
      </c>
      <c r="CW101" s="102" t="s">
        <v>88</v>
      </c>
      <c r="CX101" s="122" t="s">
        <v>89</v>
      </c>
      <c r="CY101" s="358" t="s">
        <v>90</v>
      </c>
      <c r="CZ101" s="371"/>
      <c r="DA101" s="8"/>
      <c r="DB101" s="354"/>
      <c r="DC101" s="352"/>
      <c r="DD101" s="354"/>
      <c r="DE101" s="354"/>
    </row>
    <row r="102" spans="1:109" s="174" customFormat="1" ht="18" customHeight="1">
      <c r="A102" s="173"/>
      <c r="B102" s="170"/>
      <c r="C102" s="139"/>
      <c r="D102" s="139"/>
      <c r="E102" s="139"/>
      <c r="F102" s="296" t="s">
        <v>137</v>
      </c>
      <c r="G102" s="294"/>
      <c r="H102" s="294"/>
      <c r="I102" s="294"/>
      <c r="J102" s="294"/>
      <c r="K102" s="295"/>
      <c r="L102" s="297">
        <v>0</v>
      </c>
      <c r="M102" s="298"/>
      <c r="N102" s="298"/>
      <c r="O102" s="298"/>
      <c r="P102" s="299" t="s">
        <v>98</v>
      </c>
      <c r="Q102" s="299"/>
      <c r="R102" s="300"/>
      <c r="S102" s="301" t="s">
        <v>56</v>
      </c>
      <c r="T102" s="301"/>
      <c r="U102" s="301"/>
      <c r="V102" s="301"/>
      <c r="W102" s="301"/>
      <c r="X102" s="291">
        <v>0</v>
      </c>
      <c r="Y102" s="291"/>
      <c r="Z102" s="291"/>
      <c r="AA102" s="291"/>
      <c r="AB102" s="291"/>
      <c r="AC102" s="291">
        <v>0</v>
      </c>
      <c r="AD102" s="291"/>
      <c r="AE102" s="291"/>
      <c r="AF102" s="291"/>
      <c r="AG102" s="291"/>
      <c r="AH102" s="291">
        <v>0</v>
      </c>
      <c r="AI102" s="291"/>
      <c r="AJ102" s="291"/>
      <c r="AK102" s="291"/>
      <c r="AL102" s="291"/>
      <c r="AM102" s="291">
        <f>AVERAGE(X102:AL102)</f>
        <v>0</v>
      </c>
      <c r="AN102" s="291"/>
      <c r="AO102" s="291"/>
      <c r="AP102" s="291"/>
      <c r="AQ102" s="291"/>
      <c r="AR102" s="291">
        <f>AM102-L102</f>
        <v>0</v>
      </c>
      <c r="AS102" s="291"/>
      <c r="AT102" s="291"/>
      <c r="AU102" s="291"/>
      <c r="AV102" s="291"/>
      <c r="AW102" s="139"/>
      <c r="AX102" s="139"/>
      <c r="AY102" s="139"/>
      <c r="AZ102" s="172"/>
      <c r="BA102" s="173"/>
      <c r="BB102" s="291">
        <f>(AM102*0.2%)+(2*CK102)</f>
        <v>0.2</v>
      </c>
      <c r="BC102" s="291"/>
      <c r="BD102" s="291"/>
      <c r="BE102" s="291"/>
      <c r="BF102" s="291"/>
      <c r="BG102" s="291">
        <f t="shared" ref="BG102:BG108" si="135">L102+BB102</f>
        <v>0.2</v>
      </c>
      <c r="BH102" s="291"/>
      <c r="BI102" s="291"/>
      <c r="BJ102" s="291"/>
      <c r="BK102" s="291"/>
      <c r="BL102" s="291">
        <f t="shared" ref="BL102:BL108" si="136">L102-BB102</f>
        <v>-0.2</v>
      </c>
      <c r="BM102" s="291"/>
      <c r="BN102" s="291"/>
      <c r="BO102" s="291"/>
      <c r="BP102" s="291"/>
      <c r="BQ102" s="292" t="str">
        <f t="shared" ref="BQ102:BQ108" si="137">IF(AND(AM102&lt;=BG102,AM102&gt;=BL102),"PASS","FAIL")</f>
        <v>PASS</v>
      </c>
      <c r="BR102" s="292"/>
      <c r="BS102" s="292"/>
      <c r="BT102" s="292"/>
      <c r="BU102" s="292"/>
      <c r="BV102" s="173"/>
      <c r="BX102" s="70" t="s">
        <v>128</v>
      </c>
      <c r="BY102" s="88">
        <v>7.7000000000000001E-5</v>
      </c>
      <c r="BZ102" s="71" t="str">
        <f t="shared" ref="BZ102:BZ108" si="138">P102</f>
        <v>Ω</v>
      </c>
      <c r="CA102" s="191">
        <v>2</v>
      </c>
      <c r="CB102" s="77">
        <f t="shared" ref="CB102:CB103" si="139">BY102/CA102</f>
        <v>3.8500000000000001E-5</v>
      </c>
      <c r="CC102" s="4"/>
      <c r="CD102" s="70" t="s">
        <v>130</v>
      </c>
      <c r="CE102" s="88">
        <v>0</v>
      </c>
      <c r="CF102" s="71" t="str">
        <f t="shared" ref="CF102:CF108" si="140">BZ102</f>
        <v>Ω</v>
      </c>
      <c r="CG102" s="80">
        <f t="shared" ref="CG102:CG108" si="141">SQRT(3)</f>
        <v>1.7320508075688772</v>
      </c>
      <c r="CH102" s="77">
        <f t="shared" ref="CH102:CH108" si="142">CE102/CG102</f>
        <v>0</v>
      </c>
      <c r="CI102" s="4"/>
      <c r="CJ102" s="70" t="s">
        <v>92</v>
      </c>
      <c r="CK102" s="176">
        <v>0.1</v>
      </c>
      <c r="CL102" s="71" t="str">
        <f t="shared" ref="CL102:CL108" si="143">P102</f>
        <v>Ω</v>
      </c>
      <c r="CM102" s="80">
        <f>SQRT(12)</f>
        <v>3.4641016151377544</v>
      </c>
      <c r="CN102" s="77">
        <f>CK102/CM102</f>
        <v>2.8867513459481291E-2</v>
      </c>
      <c r="CO102" s="4"/>
      <c r="CP102" s="70" t="s">
        <v>70</v>
      </c>
      <c r="CQ102" s="83">
        <f t="shared" ref="CQ102:CQ108" si="144">STDEV(X102:AL102)</f>
        <v>0</v>
      </c>
      <c r="CR102" s="71" t="str">
        <f t="shared" ref="CR102:CR108" si="145">P102</f>
        <v>Ω</v>
      </c>
      <c r="CS102" s="80">
        <f>SQRT(3)</f>
        <v>1.7320508075688772</v>
      </c>
      <c r="CT102" s="85">
        <f>CQ102/CS102</f>
        <v>0</v>
      </c>
      <c r="CU102" s="8"/>
      <c r="CV102" s="92">
        <f>SQRT(SUMSQ(CT102,CN102,CH102,CB102))</f>
        <v>2.8867539132792972E-2</v>
      </c>
      <c r="CW102" s="88">
        <f>(CV102^4)/(((CT102^4)/2)+((CN102^4)/200)+((CH102^4)/200)+((CB102^4)/200))</f>
        <v>200.00071148000006</v>
      </c>
      <c r="CX102" s="114">
        <f t="shared" ref="CX102:CX103" si="146">ROUND(TINV(0.05,CW102),0)</f>
        <v>2</v>
      </c>
      <c r="CY102" s="103">
        <f>(CV102*CX102)</f>
        <v>5.7735078265585944E-2</v>
      </c>
      <c r="CZ102" s="104" t="str">
        <f t="shared" ref="CZ102:CZ108" si="147">P102</f>
        <v>Ω</v>
      </c>
      <c r="DA102" s="8"/>
      <c r="DB102" s="177">
        <v>7.7999999999999996E-3</v>
      </c>
      <c r="DC102" s="178" t="str">
        <f>CZ102</f>
        <v>Ω</v>
      </c>
      <c r="DD102" s="220">
        <f t="shared" ref="DD102:DD108" si="148">MAX(DB102,CY102)</f>
        <v>5.7735078265585944E-2</v>
      </c>
      <c r="DE102" s="178" t="str">
        <f>DC102</f>
        <v>Ω</v>
      </c>
    </row>
    <row r="103" spans="1:109" s="174" customFormat="1" ht="18" customHeight="1">
      <c r="A103" s="173"/>
      <c r="B103" s="170"/>
      <c r="C103" s="139"/>
      <c r="D103" s="139"/>
      <c r="E103" s="139"/>
      <c r="F103" s="296"/>
      <c r="G103" s="294"/>
      <c r="H103" s="294"/>
      <c r="I103" s="294"/>
      <c r="J103" s="294"/>
      <c r="K103" s="295"/>
      <c r="L103" s="297">
        <f>600*90%</f>
        <v>540</v>
      </c>
      <c r="M103" s="298"/>
      <c r="N103" s="298"/>
      <c r="O103" s="298"/>
      <c r="P103" s="299" t="s">
        <v>98</v>
      </c>
      <c r="Q103" s="299"/>
      <c r="R103" s="300"/>
      <c r="S103" s="301" t="s">
        <v>56</v>
      </c>
      <c r="T103" s="301"/>
      <c r="U103" s="301"/>
      <c r="V103" s="301"/>
      <c r="W103" s="301"/>
      <c r="X103" s="291">
        <v>540</v>
      </c>
      <c r="Y103" s="291"/>
      <c r="Z103" s="291"/>
      <c r="AA103" s="291"/>
      <c r="AB103" s="291"/>
      <c r="AC103" s="291">
        <v>540</v>
      </c>
      <c r="AD103" s="291"/>
      <c r="AE103" s="291"/>
      <c r="AF103" s="291"/>
      <c r="AG103" s="291"/>
      <c r="AH103" s="291">
        <v>540</v>
      </c>
      <c r="AI103" s="291"/>
      <c r="AJ103" s="291"/>
      <c r="AK103" s="291"/>
      <c r="AL103" s="291"/>
      <c r="AM103" s="291">
        <f t="shared" ref="AM103:AM108" si="149">AVERAGE(X103:AL103)</f>
        <v>540</v>
      </c>
      <c r="AN103" s="291"/>
      <c r="AO103" s="291"/>
      <c r="AP103" s="291"/>
      <c r="AQ103" s="291"/>
      <c r="AR103" s="291">
        <f t="shared" ref="AR103:AR108" si="150">AM103-L103</f>
        <v>0</v>
      </c>
      <c r="AS103" s="291"/>
      <c r="AT103" s="291"/>
      <c r="AU103" s="291"/>
      <c r="AV103" s="291"/>
      <c r="AW103" s="139"/>
      <c r="AX103" s="139"/>
      <c r="AY103" s="139"/>
      <c r="AZ103" s="172"/>
      <c r="BA103" s="173"/>
      <c r="BB103" s="291">
        <f>(AM103*0.2%)+(2*CK103)</f>
        <v>1.28</v>
      </c>
      <c r="BC103" s="291"/>
      <c r="BD103" s="291"/>
      <c r="BE103" s="291"/>
      <c r="BF103" s="291"/>
      <c r="BG103" s="291">
        <f t="shared" si="135"/>
        <v>541.28</v>
      </c>
      <c r="BH103" s="291"/>
      <c r="BI103" s="291"/>
      <c r="BJ103" s="291"/>
      <c r="BK103" s="291"/>
      <c r="BL103" s="291">
        <f t="shared" si="136"/>
        <v>538.72</v>
      </c>
      <c r="BM103" s="291"/>
      <c r="BN103" s="291"/>
      <c r="BO103" s="291"/>
      <c r="BP103" s="291"/>
      <c r="BQ103" s="292" t="str">
        <f t="shared" si="137"/>
        <v>PASS</v>
      </c>
      <c r="BR103" s="292"/>
      <c r="BS103" s="292"/>
      <c r="BT103" s="292"/>
      <c r="BU103" s="292"/>
      <c r="BV103" s="173"/>
      <c r="BX103" s="72" t="s">
        <v>128</v>
      </c>
      <c r="BY103" s="179">
        <v>3.0000000000000001E-3</v>
      </c>
      <c r="BZ103" s="1" t="str">
        <f t="shared" si="138"/>
        <v>Ω</v>
      </c>
      <c r="CA103" s="180">
        <v>2</v>
      </c>
      <c r="CB103" s="78">
        <f t="shared" si="139"/>
        <v>1.5E-3</v>
      </c>
      <c r="CC103" s="4"/>
      <c r="CD103" s="72" t="s">
        <v>130</v>
      </c>
      <c r="CE103" s="5">
        <v>0</v>
      </c>
      <c r="CF103" s="1" t="str">
        <f t="shared" si="140"/>
        <v>Ω</v>
      </c>
      <c r="CG103" s="81">
        <f t="shared" si="141"/>
        <v>1.7320508075688772</v>
      </c>
      <c r="CH103" s="78">
        <f t="shared" si="142"/>
        <v>0</v>
      </c>
      <c r="CI103" s="4"/>
      <c r="CJ103" s="72" t="s">
        <v>92</v>
      </c>
      <c r="CK103" s="181">
        <v>0.1</v>
      </c>
      <c r="CL103" s="1" t="str">
        <f t="shared" si="143"/>
        <v>Ω</v>
      </c>
      <c r="CM103" s="81">
        <f t="shared" ref="CM103:CM108" si="151">SQRT(12)</f>
        <v>3.4641016151377544</v>
      </c>
      <c r="CN103" s="78">
        <f t="shared" ref="CN103:CN108" si="152">CK103/CM103</f>
        <v>2.8867513459481291E-2</v>
      </c>
      <c r="CO103" s="4"/>
      <c r="CP103" s="72" t="s">
        <v>70</v>
      </c>
      <c r="CQ103" s="6">
        <f t="shared" si="144"/>
        <v>0</v>
      </c>
      <c r="CR103" s="1" t="str">
        <f t="shared" si="145"/>
        <v>Ω</v>
      </c>
      <c r="CS103" s="81">
        <f t="shared" ref="CS103:CS108" si="153">SQRT(3)</f>
        <v>1.7320508075688772</v>
      </c>
      <c r="CT103" s="86">
        <f t="shared" ref="CT103:CT108" si="154">CQ103/CS103</f>
        <v>0</v>
      </c>
      <c r="CU103" s="8"/>
      <c r="CV103" s="94">
        <f t="shared" ref="CV103:CV108" si="155">SQRT(SUMSQ(CT103,CN103,CH103,CB103))</f>
        <v>2.8906458332582589E-2</v>
      </c>
      <c r="CW103" s="5">
        <f t="shared" ref="CW103:CW108" si="156">(CV103^4)/(((CT103^4)/2)+((CN103^4)/200)+((CH103^4)/200)+((CB103^4)/200))</f>
        <v>201.07999212685738</v>
      </c>
      <c r="CX103" s="109">
        <f t="shared" si="146"/>
        <v>2</v>
      </c>
      <c r="CY103" s="105">
        <f t="shared" ref="CY103" si="157">(CV103*CX103)</f>
        <v>5.7812916665165179E-2</v>
      </c>
      <c r="CZ103" s="106" t="str">
        <f t="shared" si="147"/>
        <v>Ω</v>
      </c>
      <c r="DA103" s="8"/>
      <c r="DB103" s="177">
        <v>2.3E-2</v>
      </c>
      <c r="DC103" s="178" t="str">
        <f t="shared" ref="DC103:DC106" si="158">CZ103</f>
        <v>Ω</v>
      </c>
      <c r="DD103" s="220">
        <f t="shared" si="148"/>
        <v>5.7812916665165179E-2</v>
      </c>
      <c r="DE103" s="178" t="str">
        <f t="shared" ref="DE103:DE106" si="159">DC103</f>
        <v>Ω</v>
      </c>
    </row>
    <row r="104" spans="1:109" s="174" customFormat="1" ht="18" customHeight="1">
      <c r="A104" s="173"/>
      <c r="B104" s="170"/>
      <c r="C104" s="139"/>
      <c r="D104" s="139"/>
      <c r="E104" s="139"/>
      <c r="F104" s="296" t="s">
        <v>138</v>
      </c>
      <c r="G104" s="294"/>
      <c r="H104" s="294"/>
      <c r="I104" s="294"/>
      <c r="J104" s="294"/>
      <c r="K104" s="295"/>
      <c r="L104" s="297">
        <f>6*90%</f>
        <v>5.4</v>
      </c>
      <c r="M104" s="298"/>
      <c r="N104" s="298"/>
      <c r="O104" s="298"/>
      <c r="P104" s="299" t="s">
        <v>99</v>
      </c>
      <c r="Q104" s="299"/>
      <c r="R104" s="300"/>
      <c r="S104" s="301" t="s">
        <v>56</v>
      </c>
      <c r="T104" s="301"/>
      <c r="U104" s="301"/>
      <c r="V104" s="301"/>
      <c r="W104" s="301"/>
      <c r="X104" s="291">
        <v>5.4</v>
      </c>
      <c r="Y104" s="291"/>
      <c r="Z104" s="291"/>
      <c r="AA104" s="291"/>
      <c r="AB104" s="291"/>
      <c r="AC104" s="291">
        <v>5.4</v>
      </c>
      <c r="AD104" s="291"/>
      <c r="AE104" s="291"/>
      <c r="AF104" s="291"/>
      <c r="AG104" s="291"/>
      <c r="AH104" s="291">
        <v>5.4</v>
      </c>
      <c r="AI104" s="291"/>
      <c r="AJ104" s="291"/>
      <c r="AK104" s="291"/>
      <c r="AL104" s="291"/>
      <c r="AM104" s="320">
        <f t="shared" si="149"/>
        <v>5.4000000000000012</v>
      </c>
      <c r="AN104" s="320"/>
      <c r="AO104" s="320"/>
      <c r="AP104" s="320"/>
      <c r="AQ104" s="320"/>
      <c r="AR104" s="320">
        <f t="shared" si="150"/>
        <v>0</v>
      </c>
      <c r="AS104" s="320"/>
      <c r="AT104" s="320"/>
      <c r="AU104" s="320"/>
      <c r="AV104" s="320"/>
      <c r="AW104" s="139"/>
      <c r="AX104" s="139"/>
      <c r="AY104" s="139"/>
      <c r="AZ104" s="172"/>
      <c r="BA104" s="173"/>
      <c r="BB104" s="291">
        <f>(AM104*0.2%)+(1*CK104)</f>
        <v>1.1800000000000001E-2</v>
      </c>
      <c r="BC104" s="291"/>
      <c r="BD104" s="291"/>
      <c r="BE104" s="291"/>
      <c r="BF104" s="291"/>
      <c r="BG104" s="320">
        <f t="shared" si="135"/>
        <v>5.4118000000000004</v>
      </c>
      <c r="BH104" s="320"/>
      <c r="BI104" s="320"/>
      <c r="BJ104" s="320"/>
      <c r="BK104" s="320"/>
      <c r="BL104" s="320">
        <f t="shared" si="136"/>
        <v>5.3882000000000003</v>
      </c>
      <c r="BM104" s="320"/>
      <c r="BN104" s="320"/>
      <c r="BO104" s="320"/>
      <c r="BP104" s="320"/>
      <c r="BQ104" s="292" t="str">
        <f t="shared" si="137"/>
        <v>PASS</v>
      </c>
      <c r="BR104" s="292"/>
      <c r="BS104" s="292"/>
      <c r="BT104" s="292"/>
      <c r="BU104" s="292"/>
      <c r="BV104" s="173"/>
      <c r="BX104" s="72" t="s">
        <v>128</v>
      </c>
      <c r="BY104" s="222">
        <v>5.5000000000000002E-5</v>
      </c>
      <c r="BZ104" s="1" t="str">
        <f t="shared" si="138"/>
        <v>kΩ</v>
      </c>
      <c r="CA104" s="180">
        <v>2</v>
      </c>
      <c r="CB104" s="78">
        <f t="shared" ref="CB104" si="160">BY104/CA104</f>
        <v>2.7500000000000001E-5</v>
      </c>
      <c r="CC104" s="4"/>
      <c r="CD104" s="72" t="s">
        <v>130</v>
      </c>
      <c r="CE104" s="5">
        <v>0</v>
      </c>
      <c r="CF104" s="1" t="str">
        <f t="shared" si="140"/>
        <v>kΩ</v>
      </c>
      <c r="CG104" s="81">
        <f t="shared" si="141"/>
        <v>1.7320508075688772</v>
      </c>
      <c r="CH104" s="78">
        <f t="shared" si="142"/>
        <v>0</v>
      </c>
      <c r="CI104" s="4"/>
      <c r="CJ104" s="72" t="s">
        <v>92</v>
      </c>
      <c r="CK104" s="181">
        <v>1E-3</v>
      </c>
      <c r="CL104" s="1" t="str">
        <f t="shared" si="143"/>
        <v>kΩ</v>
      </c>
      <c r="CM104" s="81">
        <f t="shared" si="151"/>
        <v>3.4641016151377544</v>
      </c>
      <c r="CN104" s="78">
        <f t="shared" si="152"/>
        <v>2.886751345948129E-4</v>
      </c>
      <c r="CO104" s="4"/>
      <c r="CP104" s="72" t="s">
        <v>70</v>
      </c>
      <c r="CQ104" s="6">
        <f t="shared" si="144"/>
        <v>1.0877919644084146E-15</v>
      </c>
      <c r="CR104" s="1" t="str">
        <f t="shared" si="145"/>
        <v>kΩ</v>
      </c>
      <c r="CS104" s="81">
        <f t="shared" si="153"/>
        <v>1.7320508075688772</v>
      </c>
      <c r="CT104" s="86">
        <f t="shared" si="154"/>
        <v>6.2803698347350997E-16</v>
      </c>
      <c r="CU104" s="8"/>
      <c r="CV104" s="94">
        <f t="shared" si="155"/>
        <v>2.899820396737242E-4</v>
      </c>
      <c r="CW104" s="5">
        <f t="shared" si="156"/>
        <v>203.62970107369958</v>
      </c>
      <c r="CX104" s="109">
        <f t="shared" ref="CX104" si="161">ROUND(TINV(0.05,CW104),0)</f>
        <v>2</v>
      </c>
      <c r="CY104" s="111">
        <f t="shared" ref="CY104" si="162">(CV104*CX104)</f>
        <v>5.799640793474484E-4</v>
      </c>
      <c r="CZ104" s="106" t="str">
        <f t="shared" si="147"/>
        <v>kΩ</v>
      </c>
      <c r="DA104" s="8"/>
      <c r="DB104" s="177">
        <v>2.3000000000000001E-4</v>
      </c>
      <c r="DC104" s="178" t="str">
        <f t="shared" si="158"/>
        <v>kΩ</v>
      </c>
      <c r="DD104" s="220">
        <f t="shared" si="148"/>
        <v>5.799640793474484E-4</v>
      </c>
      <c r="DE104" s="178" t="str">
        <f t="shared" si="159"/>
        <v>kΩ</v>
      </c>
    </row>
    <row r="105" spans="1:109" s="174" customFormat="1" ht="18" customHeight="1">
      <c r="A105" s="173"/>
      <c r="B105" s="170"/>
      <c r="C105" s="139"/>
      <c r="D105" s="139"/>
      <c r="E105" s="139"/>
      <c r="F105" s="296" t="s">
        <v>139</v>
      </c>
      <c r="G105" s="294"/>
      <c r="H105" s="294"/>
      <c r="I105" s="294"/>
      <c r="J105" s="294"/>
      <c r="K105" s="295"/>
      <c r="L105" s="297">
        <f>60*90%</f>
        <v>54</v>
      </c>
      <c r="M105" s="298"/>
      <c r="N105" s="298"/>
      <c r="O105" s="298"/>
      <c r="P105" s="299" t="s">
        <v>99</v>
      </c>
      <c r="Q105" s="299"/>
      <c r="R105" s="300"/>
      <c r="S105" s="301" t="s">
        <v>56</v>
      </c>
      <c r="T105" s="301"/>
      <c r="U105" s="301"/>
      <c r="V105" s="301"/>
      <c r="W105" s="301"/>
      <c r="X105" s="291">
        <v>54</v>
      </c>
      <c r="Y105" s="291"/>
      <c r="Z105" s="291"/>
      <c r="AA105" s="291"/>
      <c r="AB105" s="291"/>
      <c r="AC105" s="291">
        <v>54</v>
      </c>
      <c r="AD105" s="291"/>
      <c r="AE105" s="291"/>
      <c r="AF105" s="291"/>
      <c r="AG105" s="291"/>
      <c r="AH105" s="291">
        <v>54</v>
      </c>
      <c r="AI105" s="291"/>
      <c r="AJ105" s="291"/>
      <c r="AK105" s="291"/>
      <c r="AL105" s="291"/>
      <c r="AM105" s="303">
        <f t="shared" si="149"/>
        <v>54</v>
      </c>
      <c r="AN105" s="303"/>
      <c r="AO105" s="303"/>
      <c r="AP105" s="303"/>
      <c r="AQ105" s="303"/>
      <c r="AR105" s="303">
        <f t="shared" si="150"/>
        <v>0</v>
      </c>
      <c r="AS105" s="303"/>
      <c r="AT105" s="303"/>
      <c r="AU105" s="303"/>
      <c r="AV105" s="303"/>
      <c r="AW105" s="139"/>
      <c r="AX105" s="139"/>
      <c r="AY105" s="139"/>
      <c r="AZ105" s="172"/>
      <c r="BA105" s="173"/>
      <c r="BB105" s="291">
        <f>(AM105*0.2%)+(1*CK105)</f>
        <v>0.11799999999999999</v>
      </c>
      <c r="BC105" s="291"/>
      <c r="BD105" s="291"/>
      <c r="BE105" s="291"/>
      <c r="BF105" s="291"/>
      <c r="BG105" s="303">
        <f t="shared" si="135"/>
        <v>54.118000000000002</v>
      </c>
      <c r="BH105" s="303"/>
      <c r="BI105" s="303"/>
      <c r="BJ105" s="303"/>
      <c r="BK105" s="303"/>
      <c r="BL105" s="303">
        <f t="shared" si="136"/>
        <v>53.881999999999998</v>
      </c>
      <c r="BM105" s="303"/>
      <c r="BN105" s="303"/>
      <c r="BO105" s="303"/>
      <c r="BP105" s="303"/>
      <c r="BQ105" s="292" t="str">
        <f t="shared" si="137"/>
        <v>PASS</v>
      </c>
      <c r="BR105" s="292"/>
      <c r="BS105" s="292"/>
      <c r="BT105" s="292"/>
      <c r="BU105" s="292"/>
      <c r="BV105" s="173"/>
      <c r="BX105" s="72" t="s">
        <v>128</v>
      </c>
      <c r="BY105" s="6">
        <v>8.0999999999999996E-4</v>
      </c>
      <c r="BZ105" s="1" t="str">
        <f t="shared" si="138"/>
        <v>kΩ</v>
      </c>
      <c r="CA105" s="180">
        <v>2</v>
      </c>
      <c r="CB105" s="78">
        <f t="shared" ref="CB105:CB108" si="163">BY105/CA105</f>
        <v>4.0499999999999998E-4</v>
      </c>
      <c r="CC105" s="4"/>
      <c r="CD105" s="72" t="s">
        <v>130</v>
      </c>
      <c r="CE105" s="5">
        <v>0</v>
      </c>
      <c r="CF105" s="1" t="str">
        <f t="shared" si="140"/>
        <v>kΩ</v>
      </c>
      <c r="CG105" s="81">
        <f t="shared" si="141"/>
        <v>1.7320508075688772</v>
      </c>
      <c r="CH105" s="78">
        <f t="shared" si="142"/>
        <v>0</v>
      </c>
      <c r="CI105" s="4"/>
      <c r="CJ105" s="72" t="s">
        <v>92</v>
      </c>
      <c r="CK105" s="181">
        <v>0.01</v>
      </c>
      <c r="CL105" s="1" t="str">
        <f t="shared" si="143"/>
        <v>kΩ</v>
      </c>
      <c r="CM105" s="81">
        <f t="shared" si="151"/>
        <v>3.4641016151377544</v>
      </c>
      <c r="CN105" s="78">
        <f t="shared" si="152"/>
        <v>2.886751345948129E-3</v>
      </c>
      <c r="CO105" s="4"/>
      <c r="CP105" s="72" t="s">
        <v>70</v>
      </c>
      <c r="CQ105" s="6">
        <f t="shared" si="144"/>
        <v>0</v>
      </c>
      <c r="CR105" s="1" t="str">
        <f t="shared" si="145"/>
        <v>kΩ</v>
      </c>
      <c r="CS105" s="81">
        <f t="shared" si="153"/>
        <v>1.7320508075688772</v>
      </c>
      <c r="CT105" s="86">
        <f t="shared" si="154"/>
        <v>0</v>
      </c>
      <c r="CU105" s="8"/>
      <c r="CV105" s="94">
        <f t="shared" si="155"/>
        <v>2.9150228701218337E-3</v>
      </c>
      <c r="CW105" s="5">
        <f t="shared" si="156"/>
        <v>207.8701509422734</v>
      </c>
      <c r="CX105" s="109">
        <f t="shared" ref="CX105:CX108" si="164">ROUND(TINV(0.05,CW105),0)</f>
        <v>2</v>
      </c>
      <c r="CY105" s="110">
        <f t="shared" ref="CY105:CY106" si="165">(CV105*CX105)</f>
        <v>5.8300457402436674E-3</v>
      </c>
      <c r="CZ105" s="106" t="str">
        <f t="shared" si="147"/>
        <v>kΩ</v>
      </c>
      <c r="DA105" s="8"/>
      <c r="DB105" s="177">
        <v>1.5E-3</v>
      </c>
      <c r="DC105" s="178" t="str">
        <f t="shared" si="158"/>
        <v>kΩ</v>
      </c>
      <c r="DD105" s="220">
        <f t="shared" si="148"/>
        <v>5.8300457402436674E-3</v>
      </c>
      <c r="DE105" s="178" t="str">
        <f t="shared" si="159"/>
        <v>kΩ</v>
      </c>
    </row>
    <row r="106" spans="1:109" s="174" customFormat="1" ht="18" customHeight="1">
      <c r="A106" s="173"/>
      <c r="B106" s="170"/>
      <c r="C106" s="139"/>
      <c r="D106" s="139"/>
      <c r="E106" s="139"/>
      <c r="F106" s="296" t="s">
        <v>140</v>
      </c>
      <c r="G106" s="294"/>
      <c r="H106" s="294"/>
      <c r="I106" s="294"/>
      <c r="J106" s="294"/>
      <c r="K106" s="295"/>
      <c r="L106" s="297">
        <f>600*90%</f>
        <v>540</v>
      </c>
      <c r="M106" s="298"/>
      <c r="N106" s="298"/>
      <c r="O106" s="298"/>
      <c r="P106" s="299" t="s">
        <v>99</v>
      </c>
      <c r="Q106" s="299"/>
      <c r="R106" s="300"/>
      <c r="S106" s="301" t="s">
        <v>56</v>
      </c>
      <c r="T106" s="301"/>
      <c r="U106" s="301"/>
      <c r="V106" s="301"/>
      <c r="W106" s="301"/>
      <c r="X106" s="291">
        <v>540</v>
      </c>
      <c r="Y106" s="291"/>
      <c r="Z106" s="291"/>
      <c r="AA106" s="291"/>
      <c r="AB106" s="291"/>
      <c r="AC106" s="291">
        <v>540</v>
      </c>
      <c r="AD106" s="291"/>
      <c r="AE106" s="291"/>
      <c r="AF106" s="291"/>
      <c r="AG106" s="291"/>
      <c r="AH106" s="291">
        <v>540</v>
      </c>
      <c r="AI106" s="291"/>
      <c r="AJ106" s="291"/>
      <c r="AK106" s="291"/>
      <c r="AL106" s="291"/>
      <c r="AM106" s="291">
        <f t="shared" si="149"/>
        <v>540</v>
      </c>
      <c r="AN106" s="291"/>
      <c r="AO106" s="291"/>
      <c r="AP106" s="291"/>
      <c r="AQ106" s="291"/>
      <c r="AR106" s="291">
        <f t="shared" si="150"/>
        <v>0</v>
      </c>
      <c r="AS106" s="291"/>
      <c r="AT106" s="291"/>
      <c r="AU106" s="291"/>
      <c r="AV106" s="291"/>
      <c r="AW106" s="139"/>
      <c r="AX106" s="139"/>
      <c r="AY106" s="139"/>
      <c r="AZ106" s="172"/>
      <c r="BA106" s="173"/>
      <c r="BB106" s="291">
        <f>(AM106*0.6%)+(1*CK106)</f>
        <v>3.3400000000000003</v>
      </c>
      <c r="BC106" s="291"/>
      <c r="BD106" s="291"/>
      <c r="BE106" s="291"/>
      <c r="BF106" s="291"/>
      <c r="BG106" s="291">
        <f t="shared" si="135"/>
        <v>543.34</v>
      </c>
      <c r="BH106" s="291"/>
      <c r="BI106" s="291"/>
      <c r="BJ106" s="291"/>
      <c r="BK106" s="291"/>
      <c r="BL106" s="291">
        <f t="shared" si="136"/>
        <v>536.66</v>
      </c>
      <c r="BM106" s="291"/>
      <c r="BN106" s="291"/>
      <c r="BO106" s="291"/>
      <c r="BP106" s="291"/>
      <c r="BQ106" s="292" t="str">
        <f t="shared" si="137"/>
        <v>PASS</v>
      </c>
      <c r="BR106" s="292"/>
      <c r="BS106" s="292"/>
      <c r="BT106" s="292"/>
      <c r="BU106" s="292"/>
      <c r="BV106" s="173"/>
      <c r="BX106" s="72" t="s">
        <v>128</v>
      </c>
      <c r="BY106" s="179">
        <v>6.6E-3</v>
      </c>
      <c r="BZ106" s="1" t="str">
        <f t="shared" si="138"/>
        <v>kΩ</v>
      </c>
      <c r="CA106" s="180">
        <v>2</v>
      </c>
      <c r="CB106" s="78">
        <f t="shared" si="163"/>
        <v>3.3E-3</v>
      </c>
      <c r="CC106" s="4"/>
      <c r="CD106" s="72" t="s">
        <v>130</v>
      </c>
      <c r="CE106" s="5">
        <v>0</v>
      </c>
      <c r="CF106" s="1" t="str">
        <f t="shared" si="140"/>
        <v>kΩ</v>
      </c>
      <c r="CG106" s="81">
        <f t="shared" si="141"/>
        <v>1.7320508075688772</v>
      </c>
      <c r="CH106" s="78">
        <f t="shared" si="142"/>
        <v>0</v>
      </c>
      <c r="CI106" s="4"/>
      <c r="CJ106" s="72" t="s">
        <v>92</v>
      </c>
      <c r="CK106" s="181">
        <v>0.1</v>
      </c>
      <c r="CL106" s="1" t="str">
        <f t="shared" si="143"/>
        <v>kΩ</v>
      </c>
      <c r="CM106" s="81">
        <f t="shared" si="151"/>
        <v>3.4641016151377544</v>
      </c>
      <c r="CN106" s="78">
        <f t="shared" si="152"/>
        <v>2.8867513459481291E-2</v>
      </c>
      <c r="CO106" s="4"/>
      <c r="CP106" s="72" t="s">
        <v>70</v>
      </c>
      <c r="CQ106" s="6">
        <f t="shared" si="144"/>
        <v>0</v>
      </c>
      <c r="CR106" s="1" t="str">
        <f t="shared" si="145"/>
        <v>kΩ</v>
      </c>
      <c r="CS106" s="81">
        <f t="shared" si="153"/>
        <v>1.7320508075688772</v>
      </c>
      <c r="CT106" s="86">
        <f t="shared" si="154"/>
        <v>0</v>
      </c>
      <c r="CU106" s="8"/>
      <c r="CV106" s="94">
        <f t="shared" si="155"/>
        <v>2.9055521563608758E-2</v>
      </c>
      <c r="CW106" s="5">
        <f t="shared" si="156"/>
        <v>205.22630748975618</v>
      </c>
      <c r="CX106" s="109">
        <f t="shared" si="164"/>
        <v>2</v>
      </c>
      <c r="CY106" s="105">
        <f t="shared" si="165"/>
        <v>5.8111043127217515E-2</v>
      </c>
      <c r="CZ106" s="106" t="str">
        <f t="shared" si="147"/>
        <v>kΩ</v>
      </c>
      <c r="DA106" s="8"/>
      <c r="DB106" s="177">
        <v>1.6E-2</v>
      </c>
      <c r="DC106" s="178" t="str">
        <f t="shared" si="158"/>
        <v>kΩ</v>
      </c>
      <c r="DD106" s="220">
        <f t="shared" si="148"/>
        <v>5.8111043127217515E-2</v>
      </c>
      <c r="DE106" s="178" t="str">
        <f t="shared" si="159"/>
        <v>kΩ</v>
      </c>
    </row>
    <row r="107" spans="1:109" s="174" customFormat="1" ht="18" customHeight="1">
      <c r="A107" s="173"/>
      <c r="B107" s="170"/>
      <c r="C107" s="139"/>
      <c r="D107" s="139"/>
      <c r="E107" s="139"/>
      <c r="F107" s="296" t="s">
        <v>144</v>
      </c>
      <c r="G107" s="294"/>
      <c r="H107" s="294"/>
      <c r="I107" s="294"/>
      <c r="J107" s="294"/>
      <c r="K107" s="295"/>
      <c r="L107" s="297">
        <f>6*90%</f>
        <v>5.4</v>
      </c>
      <c r="M107" s="298"/>
      <c r="N107" s="298"/>
      <c r="O107" s="298"/>
      <c r="P107" s="299" t="s">
        <v>100</v>
      </c>
      <c r="Q107" s="299"/>
      <c r="R107" s="300"/>
      <c r="S107" s="301" t="s">
        <v>56</v>
      </c>
      <c r="T107" s="301"/>
      <c r="U107" s="301"/>
      <c r="V107" s="301"/>
      <c r="W107" s="301"/>
      <c r="X107" s="291">
        <v>5.4</v>
      </c>
      <c r="Y107" s="291"/>
      <c r="Z107" s="291"/>
      <c r="AA107" s="291"/>
      <c r="AB107" s="291"/>
      <c r="AC107" s="291">
        <v>5.4</v>
      </c>
      <c r="AD107" s="291"/>
      <c r="AE107" s="291"/>
      <c r="AF107" s="291"/>
      <c r="AG107" s="291"/>
      <c r="AH107" s="291">
        <v>5.4</v>
      </c>
      <c r="AI107" s="291"/>
      <c r="AJ107" s="291"/>
      <c r="AK107" s="291"/>
      <c r="AL107" s="291"/>
      <c r="AM107" s="320">
        <f t="shared" ref="AM107" si="166">AVERAGE(X107:AL107)</f>
        <v>5.4000000000000012</v>
      </c>
      <c r="AN107" s="320"/>
      <c r="AO107" s="320"/>
      <c r="AP107" s="320"/>
      <c r="AQ107" s="320"/>
      <c r="AR107" s="320">
        <f t="shared" ref="AR107" si="167">AM107-L107</f>
        <v>0</v>
      </c>
      <c r="AS107" s="320"/>
      <c r="AT107" s="320"/>
      <c r="AU107" s="320"/>
      <c r="AV107" s="320"/>
      <c r="AW107" s="139"/>
      <c r="AX107" s="139"/>
      <c r="AY107" s="139"/>
      <c r="AZ107" s="172"/>
      <c r="BA107" s="173"/>
      <c r="BB107" s="291">
        <f>(AM107*0.6%)+(1*CK107)</f>
        <v>3.3400000000000006E-2</v>
      </c>
      <c r="BC107" s="291"/>
      <c r="BD107" s="291"/>
      <c r="BE107" s="291"/>
      <c r="BF107" s="291"/>
      <c r="BG107" s="291">
        <f t="shared" ref="BG107" si="168">L107+BB107</f>
        <v>5.4334000000000007</v>
      </c>
      <c r="BH107" s="291"/>
      <c r="BI107" s="291"/>
      <c r="BJ107" s="291"/>
      <c r="BK107" s="291"/>
      <c r="BL107" s="291">
        <f t="shared" ref="BL107" si="169">L107-BB107</f>
        <v>5.3666</v>
      </c>
      <c r="BM107" s="291"/>
      <c r="BN107" s="291"/>
      <c r="BO107" s="291"/>
      <c r="BP107" s="291"/>
      <c r="BQ107" s="292" t="str">
        <f t="shared" ref="BQ107" si="170">IF(AND(AM107&lt;=BG107,AM107&gt;=BL107),"PASS","FAIL")</f>
        <v>PASS</v>
      </c>
      <c r="BR107" s="292"/>
      <c r="BS107" s="292"/>
      <c r="BT107" s="292"/>
      <c r="BU107" s="292"/>
      <c r="BV107" s="173"/>
      <c r="BX107" s="72" t="s">
        <v>128</v>
      </c>
      <c r="BY107" s="6">
        <v>4.8000000000000001E-4</v>
      </c>
      <c r="BZ107" s="1" t="str">
        <f t="shared" ref="BZ107" si="171">P107</f>
        <v>MΩ</v>
      </c>
      <c r="CA107" s="180">
        <v>2</v>
      </c>
      <c r="CB107" s="78">
        <f t="shared" ref="CB107" si="172">BY107/CA107</f>
        <v>2.4000000000000001E-4</v>
      </c>
      <c r="CC107" s="4"/>
      <c r="CD107" s="72" t="s">
        <v>130</v>
      </c>
      <c r="CE107" s="5">
        <v>0</v>
      </c>
      <c r="CF107" s="1" t="str">
        <f t="shared" ref="CF107" si="173">BZ107</f>
        <v>MΩ</v>
      </c>
      <c r="CG107" s="81">
        <f t="shared" si="141"/>
        <v>1.7320508075688772</v>
      </c>
      <c r="CH107" s="78">
        <f t="shared" ref="CH107" si="174">CE107/CG107</f>
        <v>0</v>
      </c>
      <c r="CI107" s="4"/>
      <c r="CJ107" s="72" t="s">
        <v>92</v>
      </c>
      <c r="CK107" s="181">
        <v>1E-3</v>
      </c>
      <c r="CL107" s="1" t="str">
        <f t="shared" ref="CL107" si="175">P107</f>
        <v>MΩ</v>
      </c>
      <c r="CM107" s="81">
        <f t="shared" si="151"/>
        <v>3.4641016151377544</v>
      </c>
      <c r="CN107" s="78">
        <f t="shared" ref="CN107" si="176">CK107/CM107</f>
        <v>2.886751345948129E-4</v>
      </c>
      <c r="CO107" s="4"/>
      <c r="CP107" s="72" t="s">
        <v>70</v>
      </c>
      <c r="CQ107" s="6">
        <f t="shared" ref="CQ107" si="177">STDEV(X107:AL107)</f>
        <v>1.0877919644084146E-15</v>
      </c>
      <c r="CR107" s="1" t="str">
        <f t="shared" ref="CR107" si="178">P107</f>
        <v>MΩ</v>
      </c>
      <c r="CS107" s="81">
        <f t="shared" si="153"/>
        <v>1.7320508075688772</v>
      </c>
      <c r="CT107" s="86">
        <f t="shared" ref="CT107" si="179">CQ107/CS107</f>
        <v>6.2803698347350997E-16</v>
      </c>
      <c r="CU107" s="8"/>
      <c r="CV107" s="94">
        <f t="shared" ref="CV107" si="180">SQRT(SUMSQ(CT107,CN107,CH107,CB107))</f>
        <v>3.75410886008029E-4</v>
      </c>
      <c r="CW107" s="5">
        <f t="shared" ref="CW107" si="181">(CV107^4)/(((CT107^4)/2)+((CN107^4)/200)+((CH107^4)/200)+((CB107^4)/200))</f>
        <v>387.09430419108577</v>
      </c>
      <c r="CX107" s="109">
        <f t="shared" ref="CX107" si="182">ROUND(TINV(0.05,CW107),0)</f>
        <v>2</v>
      </c>
      <c r="CY107" s="105">
        <f t="shared" ref="CY107" si="183">(CV107*CX107)</f>
        <v>7.50821772016058E-4</v>
      </c>
      <c r="CZ107" s="106" t="str">
        <f t="shared" ref="CZ107" si="184">P107</f>
        <v>MΩ</v>
      </c>
      <c r="DA107" s="8"/>
      <c r="DB107" s="177">
        <v>5.2999999999999998E-4</v>
      </c>
      <c r="DC107" s="178" t="str">
        <f t="shared" ref="DC107" si="185">CZ107</f>
        <v>MΩ</v>
      </c>
      <c r="DD107" s="220">
        <f t="shared" si="148"/>
        <v>7.50821772016058E-4</v>
      </c>
      <c r="DE107" s="178" t="str">
        <f t="shared" ref="DE107" si="186">DC107</f>
        <v>MΩ</v>
      </c>
    </row>
    <row r="108" spans="1:109" s="174" customFormat="1" ht="18" customHeight="1" thickBot="1">
      <c r="A108" s="173"/>
      <c r="B108" s="170"/>
      <c r="C108" s="139"/>
      <c r="D108" s="139"/>
      <c r="E108" s="139"/>
      <c r="F108" s="296" t="s">
        <v>145</v>
      </c>
      <c r="G108" s="294"/>
      <c r="H108" s="294"/>
      <c r="I108" s="294"/>
      <c r="J108" s="294"/>
      <c r="K108" s="295"/>
      <c r="L108" s="297">
        <f>50*90%</f>
        <v>45</v>
      </c>
      <c r="M108" s="298"/>
      <c r="N108" s="298"/>
      <c r="O108" s="298"/>
      <c r="P108" s="299" t="s">
        <v>100</v>
      </c>
      <c r="Q108" s="299"/>
      <c r="R108" s="300"/>
      <c r="S108" s="301" t="s">
        <v>56</v>
      </c>
      <c r="T108" s="301"/>
      <c r="U108" s="301"/>
      <c r="V108" s="301"/>
      <c r="W108" s="301"/>
      <c r="X108" s="291">
        <v>45</v>
      </c>
      <c r="Y108" s="291"/>
      <c r="Z108" s="291"/>
      <c r="AA108" s="291"/>
      <c r="AB108" s="291"/>
      <c r="AC108" s="291">
        <v>45</v>
      </c>
      <c r="AD108" s="291"/>
      <c r="AE108" s="291"/>
      <c r="AF108" s="291"/>
      <c r="AG108" s="291"/>
      <c r="AH108" s="291">
        <v>45</v>
      </c>
      <c r="AI108" s="291"/>
      <c r="AJ108" s="291"/>
      <c r="AK108" s="291"/>
      <c r="AL108" s="291"/>
      <c r="AM108" s="303">
        <f t="shared" si="149"/>
        <v>45</v>
      </c>
      <c r="AN108" s="303"/>
      <c r="AO108" s="303"/>
      <c r="AP108" s="303"/>
      <c r="AQ108" s="303"/>
      <c r="AR108" s="303">
        <f t="shared" si="150"/>
        <v>0</v>
      </c>
      <c r="AS108" s="303"/>
      <c r="AT108" s="303"/>
      <c r="AU108" s="303"/>
      <c r="AV108" s="303"/>
      <c r="AW108" s="139"/>
      <c r="AX108" s="139"/>
      <c r="AY108" s="139"/>
      <c r="AZ108" s="172"/>
      <c r="BA108" s="173"/>
      <c r="BB108" s="303">
        <f>(AM108*1%)+(10*CK108)</f>
        <v>0.55000000000000004</v>
      </c>
      <c r="BC108" s="303"/>
      <c r="BD108" s="303"/>
      <c r="BE108" s="303"/>
      <c r="BF108" s="303"/>
      <c r="BG108" s="291">
        <f t="shared" si="135"/>
        <v>45.55</v>
      </c>
      <c r="BH108" s="291"/>
      <c r="BI108" s="291"/>
      <c r="BJ108" s="291"/>
      <c r="BK108" s="291"/>
      <c r="BL108" s="291">
        <f t="shared" si="136"/>
        <v>44.45</v>
      </c>
      <c r="BM108" s="291"/>
      <c r="BN108" s="291"/>
      <c r="BO108" s="291"/>
      <c r="BP108" s="291"/>
      <c r="BQ108" s="292" t="str">
        <f t="shared" si="137"/>
        <v>PASS</v>
      </c>
      <c r="BR108" s="292"/>
      <c r="BS108" s="292"/>
      <c r="BT108" s="292"/>
      <c r="BU108" s="292"/>
      <c r="BV108" s="173"/>
      <c r="BX108" s="73" t="s">
        <v>128</v>
      </c>
      <c r="BY108" s="223">
        <v>4.7000000000000002E-3</v>
      </c>
      <c r="BZ108" s="74" t="str">
        <f t="shared" si="138"/>
        <v>MΩ</v>
      </c>
      <c r="CA108" s="182">
        <v>2</v>
      </c>
      <c r="CB108" s="79">
        <f t="shared" si="163"/>
        <v>2.3500000000000001E-3</v>
      </c>
      <c r="CC108" s="4"/>
      <c r="CD108" s="73" t="s">
        <v>130</v>
      </c>
      <c r="CE108" s="89">
        <v>0</v>
      </c>
      <c r="CF108" s="74" t="str">
        <f t="shared" si="140"/>
        <v>MΩ</v>
      </c>
      <c r="CG108" s="82">
        <f t="shared" si="141"/>
        <v>1.7320508075688772</v>
      </c>
      <c r="CH108" s="79">
        <f t="shared" si="142"/>
        <v>0</v>
      </c>
      <c r="CI108" s="4"/>
      <c r="CJ108" s="73" t="s">
        <v>92</v>
      </c>
      <c r="CK108" s="183">
        <v>0.01</v>
      </c>
      <c r="CL108" s="74" t="str">
        <f t="shared" si="143"/>
        <v>MΩ</v>
      </c>
      <c r="CM108" s="82">
        <f t="shared" si="151"/>
        <v>3.4641016151377544</v>
      </c>
      <c r="CN108" s="79">
        <f t="shared" si="152"/>
        <v>2.886751345948129E-3</v>
      </c>
      <c r="CO108" s="4"/>
      <c r="CP108" s="73" t="s">
        <v>70</v>
      </c>
      <c r="CQ108" s="84">
        <f t="shared" si="144"/>
        <v>0</v>
      </c>
      <c r="CR108" s="74" t="str">
        <f t="shared" si="145"/>
        <v>MΩ</v>
      </c>
      <c r="CS108" s="82">
        <f t="shared" si="153"/>
        <v>1.7320508075688772</v>
      </c>
      <c r="CT108" s="87">
        <f t="shared" si="154"/>
        <v>0</v>
      </c>
      <c r="CU108" s="8"/>
      <c r="CV108" s="96">
        <f t="shared" si="155"/>
        <v>3.7223424524529354E-3</v>
      </c>
      <c r="CW108" s="89">
        <f t="shared" si="156"/>
        <v>384.18933301539113</v>
      </c>
      <c r="CX108" s="115">
        <f t="shared" si="164"/>
        <v>2</v>
      </c>
      <c r="CY108" s="116">
        <f>(CV108*CX108)</f>
        <v>7.4446849049058707E-3</v>
      </c>
      <c r="CZ108" s="108" t="str">
        <f t="shared" si="147"/>
        <v>MΩ</v>
      </c>
      <c r="DA108" s="8"/>
      <c r="DB108" s="177">
        <v>1.4999999999999999E-2</v>
      </c>
      <c r="DC108" s="178" t="str">
        <f t="shared" ref="DC108" si="187">CZ108</f>
        <v>MΩ</v>
      </c>
      <c r="DD108" s="220">
        <f t="shared" si="148"/>
        <v>1.4999999999999999E-2</v>
      </c>
      <c r="DE108" s="178" t="str">
        <f t="shared" ref="DE108" si="188">DC108</f>
        <v>MΩ</v>
      </c>
    </row>
    <row r="109" spans="1:109" s="143" customFormat="1" ht="13.5" customHeight="1" thickBot="1">
      <c r="A109" s="136"/>
      <c r="B109" s="166"/>
      <c r="C109" s="167"/>
      <c r="D109" s="167"/>
      <c r="E109" s="167"/>
      <c r="F109" s="167"/>
      <c r="G109" s="167"/>
      <c r="H109" s="167"/>
      <c r="I109" s="167"/>
      <c r="J109" s="167"/>
      <c r="K109" s="167"/>
      <c r="L109" s="167"/>
      <c r="M109" s="167"/>
      <c r="N109" s="167"/>
      <c r="O109" s="167"/>
      <c r="P109" s="167"/>
      <c r="Q109" s="167"/>
      <c r="R109" s="167"/>
      <c r="S109" s="167"/>
      <c r="T109" s="167"/>
      <c r="U109" s="167"/>
      <c r="V109" s="167"/>
      <c r="W109" s="167"/>
      <c r="X109" s="167"/>
      <c r="Y109" s="167"/>
      <c r="Z109" s="167"/>
      <c r="AA109" s="167"/>
      <c r="AB109" s="167"/>
      <c r="AC109" s="167"/>
      <c r="AD109" s="167"/>
      <c r="AE109" s="167"/>
      <c r="AF109" s="167"/>
      <c r="AG109" s="167"/>
      <c r="AH109" s="167"/>
      <c r="AI109" s="167"/>
      <c r="AJ109" s="167"/>
      <c r="AK109" s="167"/>
      <c r="AL109" s="167"/>
      <c r="AM109" s="167"/>
      <c r="AN109" s="167"/>
      <c r="AO109" s="167"/>
      <c r="AP109" s="167"/>
      <c r="AQ109" s="167"/>
      <c r="AR109" s="167"/>
      <c r="AS109" s="167"/>
      <c r="AT109" s="167"/>
      <c r="AU109" s="167"/>
      <c r="AV109" s="167"/>
      <c r="AW109" s="167"/>
      <c r="AX109" s="167"/>
      <c r="AY109" s="167"/>
      <c r="AZ109" s="168"/>
      <c r="BA109" s="136"/>
      <c r="BB109" s="136"/>
      <c r="BC109" s="136"/>
      <c r="BD109" s="136"/>
      <c r="BE109" s="136"/>
      <c r="BF109" s="136"/>
      <c r="BG109" s="136"/>
      <c r="BH109" s="136"/>
      <c r="BI109" s="136"/>
      <c r="BJ109" s="136"/>
      <c r="BK109" s="136"/>
      <c r="BL109" s="136"/>
      <c r="BM109" s="136"/>
      <c r="BN109" s="136"/>
      <c r="BO109" s="136"/>
      <c r="BP109" s="136"/>
      <c r="BQ109" s="136"/>
      <c r="BR109" s="136"/>
      <c r="BS109" s="136"/>
      <c r="BT109" s="136"/>
      <c r="BU109" s="136"/>
      <c r="BV109" s="136"/>
    </row>
    <row r="110" spans="1:109" s="7" customFormat="1" ht="12.75" customHeight="1" thickBot="1">
      <c r="A110" s="169"/>
      <c r="B110" s="170"/>
      <c r="C110" s="139"/>
      <c r="D110" s="138"/>
      <c r="E110" s="139"/>
      <c r="F110" s="171" t="s">
        <v>101</v>
      </c>
      <c r="G110" s="139"/>
      <c r="H110" s="139"/>
      <c r="I110" s="139"/>
      <c r="J110" s="139"/>
      <c r="K110" s="139"/>
      <c r="L110" s="139"/>
      <c r="M110" s="139"/>
      <c r="N110" s="139"/>
      <c r="O110" s="139"/>
      <c r="P110" s="139"/>
      <c r="Q110" s="139"/>
      <c r="R110" s="139"/>
      <c r="S110" s="139"/>
      <c r="T110" s="139"/>
      <c r="U110" s="139"/>
      <c r="V110" s="139"/>
      <c r="W110" s="139"/>
      <c r="X110" s="139"/>
      <c r="Y110" s="139"/>
      <c r="Z110" s="139"/>
      <c r="AA110" s="139"/>
      <c r="AB110" s="139"/>
      <c r="AC110" s="139"/>
      <c r="AD110" s="139"/>
      <c r="AE110" s="139"/>
      <c r="AF110" s="139"/>
      <c r="AG110" s="139"/>
      <c r="AH110" s="139"/>
      <c r="AI110" s="139"/>
      <c r="AJ110" s="139"/>
      <c r="AK110" s="139"/>
      <c r="AL110" s="139"/>
      <c r="AM110" s="139"/>
      <c r="AN110" s="139"/>
      <c r="AO110" s="139"/>
      <c r="AP110" s="139"/>
      <c r="AQ110" s="139"/>
      <c r="AR110" s="139"/>
      <c r="AS110" s="139"/>
      <c r="AT110" s="139"/>
      <c r="AU110" s="139"/>
      <c r="AV110" s="139"/>
      <c r="AW110" s="139"/>
      <c r="AX110" s="139"/>
      <c r="AY110" s="139"/>
      <c r="AZ110" s="172"/>
      <c r="BA110" s="169"/>
      <c r="BB110" s="321" t="s">
        <v>124</v>
      </c>
      <c r="BC110" s="321"/>
      <c r="BD110" s="321"/>
      <c r="BE110" s="321"/>
      <c r="BF110" s="321"/>
      <c r="BG110" s="321"/>
      <c r="BH110" s="321"/>
      <c r="BI110" s="321"/>
      <c r="BJ110" s="321"/>
      <c r="BK110" s="321"/>
      <c r="BL110" s="321"/>
      <c r="BM110" s="321"/>
      <c r="BN110" s="321"/>
      <c r="BO110" s="321"/>
      <c r="BP110" s="321"/>
      <c r="BQ110" s="321"/>
      <c r="BR110" s="321"/>
      <c r="BS110" s="321"/>
      <c r="BT110" s="321"/>
      <c r="BU110" s="321"/>
      <c r="BV110" s="169"/>
      <c r="BX110" s="363" t="s">
        <v>69</v>
      </c>
      <c r="BY110" s="364"/>
      <c r="BZ110" s="364"/>
      <c r="CA110" s="364"/>
      <c r="CB110" s="365"/>
      <c r="CC110" s="2"/>
      <c r="CD110" s="363" t="s">
        <v>69</v>
      </c>
      <c r="CE110" s="364"/>
      <c r="CF110" s="364"/>
      <c r="CG110" s="364"/>
      <c r="CH110" s="365"/>
      <c r="CI110" s="2"/>
      <c r="CJ110" s="363" t="s">
        <v>129</v>
      </c>
      <c r="CK110" s="364"/>
      <c r="CL110" s="364"/>
      <c r="CM110" s="364"/>
      <c r="CN110" s="365"/>
      <c r="CO110" s="2"/>
      <c r="CP110" s="363" t="s">
        <v>129</v>
      </c>
      <c r="CQ110" s="364"/>
      <c r="CR110" s="364"/>
      <c r="CS110" s="364"/>
      <c r="CT110" s="365"/>
      <c r="CV110" s="363" t="s">
        <v>71</v>
      </c>
      <c r="CW110" s="364"/>
      <c r="CX110" s="364"/>
      <c r="CY110" s="364"/>
      <c r="CZ110" s="365"/>
      <c r="DB110" s="354" t="s">
        <v>116</v>
      </c>
      <c r="DC110" s="352"/>
      <c r="DD110" s="354" t="s">
        <v>117</v>
      </c>
      <c r="DE110" s="354"/>
    </row>
    <row r="111" spans="1:109" s="174" customFormat="1" ht="18" customHeight="1">
      <c r="A111" s="173"/>
      <c r="B111" s="170"/>
      <c r="C111" s="139"/>
      <c r="D111" s="139"/>
      <c r="E111" s="139"/>
      <c r="F111" s="328" t="s">
        <v>27</v>
      </c>
      <c r="G111" s="328"/>
      <c r="H111" s="328"/>
      <c r="I111" s="328"/>
      <c r="J111" s="328"/>
      <c r="K111" s="328"/>
      <c r="L111" s="328" t="s">
        <v>28</v>
      </c>
      <c r="M111" s="328"/>
      <c r="N111" s="328"/>
      <c r="O111" s="328"/>
      <c r="P111" s="328"/>
      <c r="Q111" s="328"/>
      <c r="R111" s="328"/>
      <c r="S111" s="328" t="s">
        <v>72</v>
      </c>
      <c r="T111" s="328"/>
      <c r="U111" s="328"/>
      <c r="V111" s="328"/>
      <c r="W111" s="328"/>
      <c r="X111" s="328" t="s">
        <v>73</v>
      </c>
      <c r="Y111" s="328"/>
      <c r="Z111" s="328"/>
      <c r="AA111" s="328"/>
      <c r="AB111" s="328"/>
      <c r="AC111" s="328"/>
      <c r="AD111" s="328"/>
      <c r="AE111" s="328"/>
      <c r="AF111" s="328"/>
      <c r="AG111" s="328"/>
      <c r="AH111" s="328"/>
      <c r="AI111" s="328"/>
      <c r="AJ111" s="328"/>
      <c r="AK111" s="328"/>
      <c r="AL111" s="328"/>
      <c r="AM111" s="328" t="s">
        <v>74</v>
      </c>
      <c r="AN111" s="328"/>
      <c r="AO111" s="328"/>
      <c r="AP111" s="328"/>
      <c r="AQ111" s="328"/>
      <c r="AR111" s="328" t="s">
        <v>29</v>
      </c>
      <c r="AS111" s="328"/>
      <c r="AT111" s="328"/>
      <c r="AU111" s="328"/>
      <c r="AV111" s="328"/>
      <c r="AW111" s="139"/>
      <c r="AX111" s="139"/>
      <c r="AY111" s="139"/>
      <c r="AZ111" s="172"/>
      <c r="BA111" s="173"/>
      <c r="BB111" s="328" t="s">
        <v>75</v>
      </c>
      <c r="BC111" s="328"/>
      <c r="BD111" s="328"/>
      <c r="BE111" s="328"/>
      <c r="BF111" s="328"/>
      <c r="BG111" s="328" t="s">
        <v>76</v>
      </c>
      <c r="BH111" s="328"/>
      <c r="BI111" s="328"/>
      <c r="BJ111" s="328"/>
      <c r="BK111" s="328"/>
      <c r="BL111" s="328" t="s">
        <v>77</v>
      </c>
      <c r="BM111" s="328"/>
      <c r="BN111" s="328"/>
      <c r="BO111" s="328"/>
      <c r="BP111" s="328"/>
      <c r="BQ111" s="328" t="s">
        <v>78</v>
      </c>
      <c r="BR111" s="328"/>
      <c r="BS111" s="328"/>
      <c r="BT111" s="328"/>
      <c r="BU111" s="328"/>
      <c r="BV111" s="173"/>
      <c r="BX111" s="357" t="s">
        <v>79</v>
      </c>
      <c r="BY111" s="355" t="s">
        <v>114</v>
      </c>
      <c r="BZ111" s="355" t="s">
        <v>80</v>
      </c>
      <c r="CA111" s="359" t="s">
        <v>81</v>
      </c>
      <c r="CB111" s="361" t="s">
        <v>82</v>
      </c>
      <c r="CC111" s="3"/>
      <c r="CD111" s="357" t="s">
        <v>79</v>
      </c>
      <c r="CE111" s="355" t="s">
        <v>114</v>
      </c>
      <c r="CF111" s="355" t="s">
        <v>80</v>
      </c>
      <c r="CG111" s="359" t="s">
        <v>81</v>
      </c>
      <c r="CH111" s="361" t="s">
        <v>82</v>
      </c>
      <c r="CI111" s="3"/>
      <c r="CJ111" s="357" t="s">
        <v>79</v>
      </c>
      <c r="CK111" s="355" t="s">
        <v>114</v>
      </c>
      <c r="CL111" s="355" t="s">
        <v>80</v>
      </c>
      <c r="CM111" s="359" t="s">
        <v>81</v>
      </c>
      <c r="CN111" s="361" t="s">
        <v>82</v>
      </c>
      <c r="CO111" s="3"/>
      <c r="CP111" s="357" t="s">
        <v>79</v>
      </c>
      <c r="CQ111" s="355" t="s">
        <v>114</v>
      </c>
      <c r="CR111" s="355" t="s">
        <v>80</v>
      </c>
      <c r="CS111" s="359" t="s">
        <v>81</v>
      </c>
      <c r="CT111" s="361" t="s">
        <v>82</v>
      </c>
      <c r="CU111" s="8"/>
      <c r="CV111" s="119" t="s">
        <v>83</v>
      </c>
      <c r="CW111" s="101" t="s">
        <v>84</v>
      </c>
      <c r="CX111" s="121" t="s">
        <v>85</v>
      </c>
      <c r="CY111" s="357" t="s">
        <v>86</v>
      </c>
      <c r="CZ111" s="370"/>
      <c r="DA111" s="8"/>
      <c r="DB111" s="354"/>
      <c r="DC111" s="352"/>
      <c r="DD111" s="354"/>
      <c r="DE111" s="354"/>
    </row>
    <row r="112" spans="1:109" s="174" customFormat="1" ht="18" customHeight="1" thickBot="1">
      <c r="A112" s="173"/>
      <c r="B112" s="170"/>
      <c r="C112" s="139"/>
      <c r="D112" s="139"/>
      <c r="E112" s="139"/>
      <c r="F112" s="328"/>
      <c r="G112" s="328"/>
      <c r="H112" s="328"/>
      <c r="I112" s="328"/>
      <c r="J112" s="328"/>
      <c r="K112" s="328"/>
      <c r="L112" s="328"/>
      <c r="M112" s="328"/>
      <c r="N112" s="328"/>
      <c r="O112" s="328"/>
      <c r="P112" s="328"/>
      <c r="Q112" s="328"/>
      <c r="R112" s="328"/>
      <c r="S112" s="328"/>
      <c r="T112" s="328"/>
      <c r="U112" s="328"/>
      <c r="V112" s="328"/>
      <c r="W112" s="328"/>
      <c r="X112" s="328">
        <v>1</v>
      </c>
      <c r="Y112" s="328"/>
      <c r="Z112" s="328"/>
      <c r="AA112" s="328"/>
      <c r="AB112" s="328"/>
      <c r="AC112" s="328">
        <v>2</v>
      </c>
      <c r="AD112" s="328"/>
      <c r="AE112" s="328"/>
      <c r="AF112" s="328"/>
      <c r="AG112" s="328"/>
      <c r="AH112" s="328">
        <v>3</v>
      </c>
      <c r="AI112" s="328"/>
      <c r="AJ112" s="328"/>
      <c r="AK112" s="328"/>
      <c r="AL112" s="328"/>
      <c r="AM112" s="328"/>
      <c r="AN112" s="328"/>
      <c r="AO112" s="328"/>
      <c r="AP112" s="328"/>
      <c r="AQ112" s="328"/>
      <c r="AR112" s="328"/>
      <c r="AS112" s="328"/>
      <c r="AT112" s="328"/>
      <c r="AU112" s="328"/>
      <c r="AV112" s="328"/>
      <c r="AW112" s="139"/>
      <c r="AX112" s="139"/>
      <c r="AY112" s="139"/>
      <c r="AZ112" s="172"/>
      <c r="BA112" s="173"/>
      <c r="BB112" s="328"/>
      <c r="BC112" s="328"/>
      <c r="BD112" s="328"/>
      <c r="BE112" s="328"/>
      <c r="BF112" s="328"/>
      <c r="BG112" s="328"/>
      <c r="BH112" s="328"/>
      <c r="BI112" s="328"/>
      <c r="BJ112" s="328"/>
      <c r="BK112" s="328"/>
      <c r="BL112" s="328"/>
      <c r="BM112" s="328"/>
      <c r="BN112" s="328"/>
      <c r="BO112" s="328"/>
      <c r="BP112" s="328"/>
      <c r="BQ112" s="328"/>
      <c r="BR112" s="328"/>
      <c r="BS112" s="328"/>
      <c r="BT112" s="328"/>
      <c r="BU112" s="328"/>
      <c r="BV112" s="173"/>
      <c r="BX112" s="358"/>
      <c r="BY112" s="356"/>
      <c r="BZ112" s="356"/>
      <c r="CA112" s="360"/>
      <c r="CB112" s="362"/>
      <c r="CC112" s="3"/>
      <c r="CD112" s="358"/>
      <c r="CE112" s="356"/>
      <c r="CF112" s="356"/>
      <c r="CG112" s="360"/>
      <c r="CH112" s="362"/>
      <c r="CI112" s="3"/>
      <c r="CJ112" s="358"/>
      <c r="CK112" s="356"/>
      <c r="CL112" s="356"/>
      <c r="CM112" s="360"/>
      <c r="CN112" s="362"/>
      <c r="CO112" s="3"/>
      <c r="CP112" s="358"/>
      <c r="CQ112" s="356"/>
      <c r="CR112" s="356"/>
      <c r="CS112" s="360"/>
      <c r="CT112" s="362"/>
      <c r="CU112" s="8"/>
      <c r="CV112" s="120" t="s">
        <v>87</v>
      </c>
      <c r="CW112" s="102" t="s">
        <v>88</v>
      </c>
      <c r="CX112" s="122" t="s">
        <v>89</v>
      </c>
      <c r="CY112" s="358" t="s">
        <v>90</v>
      </c>
      <c r="CZ112" s="371"/>
      <c r="DA112" s="8"/>
      <c r="DB112" s="354"/>
      <c r="DC112" s="352"/>
      <c r="DD112" s="354"/>
      <c r="DE112" s="354"/>
    </row>
    <row r="113" spans="1:109" s="174" customFormat="1" ht="18" customHeight="1">
      <c r="A113" s="173"/>
      <c r="B113" s="170"/>
      <c r="C113" s="139"/>
      <c r="D113" s="139"/>
      <c r="E113" s="139"/>
      <c r="F113" s="293" t="s">
        <v>146</v>
      </c>
      <c r="G113" s="294"/>
      <c r="H113" s="294"/>
      <c r="I113" s="294"/>
      <c r="J113" s="294"/>
      <c r="K113" s="295"/>
      <c r="L113" s="297">
        <f>600*90%</f>
        <v>540</v>
      </c>
      <c r="M113" s="298"/>
      <c r="N113" s="298"/>
      <c r="O113" s="298"/>
      <c r="P113" s="299" t="s">
        <v>148</v>
      </c>
      <c r="Q113" s="299"/>
      <c r="R113" s="300"/>
      <c r="S113" s="301" t="s">
        <v>56</v>
      </c>
      <c r="T113" s="301"/>
      <c r="U113" s="301"/>
      <c r="V113" s="301"/>
      <c r="W113" s="301"/>
      <c r="X113" s="291">
        <v>540</v>
      </c>
      <c r="Y113" s="291"/>
      <c r="Z113" s="291"/>
      <c r="AA113" s="291"/>
      <c r="AB113" s="291"/>
      <c r="AC113" s="291">
        <v>540</v>
      </c>
      <c r="AD113" s="291"/>
      <c r="AE113" s="291"/>
      <c r="AF113" s="291"/>
      <c r="AG113" s="291"/>
      <c r="AH113" s="291">
        <v>540</v>
      </c>
      <c r="AI113" s="291"/>
      <c r="AJ113" s="291"/>
      <c r="AK113" s="291"/>
      <c r="AL113" s="291"/>
      <c r="AM113" s="291">
        <f>AVERAGE(X113:AL113)</f>
        <v>540</v>
      </c>
      <c r="AN113" s="291"/>
      <c r="AO113" s="291"/>
      <c r="AP113" s="291"/>
      <c r="AQ113" s="291"/>
      <c r="AR113" s="291">
        <f>AM113-L113</f>
        <v>0</v>
      </c>
      <c r="AS113" s="291"/>
      <c r="AT113" s="291"/>
      <c r="AU113" s="291"/>
      <c r="AV113" s="291"/>
      <c r="AW113" s="139"/>
      <c r="AX113" s="139"/>
      <c r="AY113" s="139"/>
      <c r="AZ113" s="172"/>
      <c r="BA113" s="173"/>
      <c r="BB113" s="303">
        <f>(AM113*0.2%)+(4*CK113)</f>
        <v>1.48</v>
      </c>
      <c r="BC113" s="303"/>
      <c r="BD113" s="303"/>
      <c r="BE113" s="303"/>
      <c r="BF113" s="303"/>
      <c r="BG113" s="303">
        <f t="shared" ref="BG113:BG121" si="189">L113+BB113</f>
        <v>541.48</v>
      </c>
      <c r="BH113" s="303"/>
      <c r="BI113" s="303"/>
      <c r="BJ113" s="303"/>
      <c r="BK113" s="303"/>
      <c r="BL113" s="303">
        <f t="shared" ref="BL113:BL121" si="190">L113-BB113</f>
        <v>538.52</v>
      </c>
      <c r="BM113" s="303"/>
      <c r="BN113" s="303"/>
      <c r="BO113" s="303"/>
      <c r="BP113" s="303"/>
      <c r="BQ113" s="292" t="str">
        <f t="shared" ref="BQ113:BQ121" si="191">IF(AND(AM113&lt;=BG113,AM113&gt;=BL113),"PASS","FAIL")</f>
        <v>PASS</v>
      </c>
      <c r="BR113" s="292"/>
      <c r="BS113" s="292"/>
      <c r="BT113" s="292"/>
      <c r="BU113" s="292"/>
      <c r="BV113" s="173"/>
      <c r="BX113" s="70" t="s">
        <v>128</v>
      </c>
      <c r="BY113" s="202">
        <v>0.09</v>
      </c>
      <c r="BZ113" s="71" t="str">
        <f t="shared" ref="BZ113:BZ121" si="192">P113</f>
        <v>µA</v>
      </c>
      <c r="CA113" s="191">
        <v>2</v>
      </c>
      <c r="CB113" s="77">
        <f t="shared" ref="CB113:CB114" si="193">BY113/CA113</f>
        <v>4.4999999999999998E-2</v>
      </c>
      <c r="CC113" s="4"/>
      <c r="CD113" s="70" t="s">
        <v>130</v>
      </c>
      <c r="CE113" s="88">
        <v>0</v>
      </c>
      <c r="CF113" s="71" t="str">
        <f t="shared" ref="CF113:CF114" si="194">BZ113</f>
        <v>µA</v>
      </c>
      <c r="CG113" s="80">
        <f t="shared" ref="CG113:CG114" si="195">SQRT(3)</f>
        <v>1.7320508075688772</v>
      </c>
      <c r="CH113" s="77">
        <f t="shared" ref="CH113:CH114" si="196">CE113/CG113</f>
        <v>0</v>
      </c>
      <c r="CI113" s="4"/>
      <c r="CJ113" s="70" t="s">
        <v>92</v>
      </c>
      <c r="CK113" s="176">
        <v>0.1</v>
      </c>
      <c r="CL113" s="71" t="str">
        <f t="shared" ref="CL113:CL121" si="197">P113</f>
        <v>µA</v>
      </c>
      <c r="CM113" s="80">
        <f t="shared" ref="CM113:CM114" si="198">SQRT(12)</f>
        <v>3.4641016151377544</v>
      </c>
      <c r="CN113" s="77">
        <f t="shared" ref="CN113:CN114" si="199">CK113/CM113</f>
        <v>2.8867513459481291E-2</v>
      </c>
      <c r="CO113" s="4"/>
      <c r="CP113" s="70" t="s">
        <v>70</v>
      </c>
      <c r="CQ113" s="83">
        <f t="shared" ref="CQ113:CQ121" si="200">STDEV(X113:AL113)</f>
        <v>0</v>
      </c>
      <c r="CR113" s="71" t="str">
        <f t="shared" ref="CR113:CR121" si="201">P113</f>
        <v>µA</v>
      </c>
      <c r="CS113" s="80">
        <f t="shared" ref="CS113:CS114" si="202">SQRT(3)</f>
        <v>1.7320508075688772</v>
      </c>
      <c r="CT113" s="85">
        <f t="shared" ref="CT113:CT114" si="203">CQ113/CS113</f>
        <v>0</v>
      </c>
      <c r="CU113" s="8"/>
      <c r="CV113" s="92">
        <f t="shared" ref="CV113:CV114" si="204">SQRT(SUMSQ(CT113,CN113,CH113,CB113))</f>
        <v>5.3463383107818133E-2</v>
      </c>
      <c r="CW113" s="88">
        <f t="shared" ref="CW113:CW114" si="205">(CV113^4)/(((CT113^4)/2)+((CN113^4)/200)+((CH113^4)/200)+((CB113^4)/200))</f>
        <v>340.76959840113545</v>
      </c>
      <c r="CX113" s="93">
        <f t="shared" ref="CX113:CX114" si="206">ROUND(TINV(0.05,CW113),0)</f>
        <v>2</v>
      </c>
      <c r="CY113" s="117">
        <f>(CV113*CX113)</f>
        <v>0.10692676621563627</v>
      </c>
      <c r="CZ113" s="104" t="str">
        <f t="shared" ref="CZ113:CZ121" si="207">P113</f>
        <v>µA</v>
      </c>
      <c r="DA113" s="8"/>
      <c r="DB113" s="177">
        <v>6.4000000000000001E-2</v>
      </c>
      <c r="DC113" s="178" t="str">
        <f>CZ113</f>
        <v>µA</v>
      </c>
      <c r="DD113" s="220">
        <f t="shared" ref="DD113:DD121" si="208">MAX(DB113,CY113)</f>
        <v>0.10692676621563627</v>
      </c>
      <c r="DE113" s="178" t="str">
        <f>DC113</f>
        <v>µA</v>
      </c>
    </row>
    <row r="114" spans="1:109" s="174" customFormat="1" ht="18" customHeight="1" thickBot="1">
      <c r="A114" s="173"/>
      <c r="B114" s="170"/>
      <c r="C114" s="139"/>
      <c r="D114" s="139"/>
      <c r="E114" s="139"/>
      <c r="F114" s="293" t="s">
        <v>159</v>
      </c>
      <c r="G114" s="294"/>
      <c r="H114" s="294"/>
      <c r="I114" s="294"/>
      <c r="J114" s="294"/>
      <c r="K114" s="295"/>
      <c r="L114" s="297">
        <f>6000*90%</f>
        <v>5400</v>
      </c>
      <c r="M114" s="298"/>
      <c r="N114" s="298"/>
      <c r="O114" s="298"/>
      <c r="P114" s="299" t="s">
        <v>148</v>
      </c>
      <c r="Q114" s="299"/>
      <c r="R114" s="300"/>
      <c r="S114" s="301" t="s">
        <v>56</v>
      </c>
      <c r="T114" s="301"/>
      <c r="U114" s="301"/>
      <c r="V114" s="301"/>
      <c r="W114" s="301"/>
      <c r="X114" s="291">
        <v>5400</v>
      </c>
      <c r="Y114" s="291"/>
      <c r="Z114" s="291"/>
      <c r="AA114" s="291"/>
      <c r="AB114" s="291"/>
      <c r="AC114" s="291">
        <v>5400</v>
      </c>
      <c r="AD114" s="291"/>
      <c r="AE114" s="291"/>
      <c r="AF114" s="291"/>
      <c r="AG114" s="291"/>
      <c r="AH114" s="291">
        <v>5400</v>
      </c>
      <c r="AI114" s="291"/>
      <c r="AJ114" s="291"/>
      <c r="AK114" s="291"/>
      <c r="AL114" s="291"/>
      <c r="AM114" s="302">
        <f t="shared" ref="AM114" si="209">AVERAGE(X114:AL114)</f>
        <v>5400</v>
      </c>
      <c r="AN114" s="302"/>
      <c r="AO114" s="302"/>
      <c r="AP114" s="302"/>
      <c r="AQ114" s="302"/>
      <c r="AR114" s="302">
        <f t="shared" ref="AR114" si="210">AM114-L114</f>
        <v>0</v>
      </c>
      <c r="AS114" s="302"/>
      <c r="AT114" s="302"/>
      <c r="AU114" s="302"/>
      <c r="AV114" s="302"/>
      <c r="AW114" s="139"/>
      <c r="AX114" s="139"/>
      <c r="AY114" s="139"/>
      <c r="AZ114" s="172"/>
      <c r="BA114" s="173"/>
      <c r="BB114" s="303">
        <f>(AM114*0.2%)+(2*CK114)</f>
        <v>12.8</v>
      </c>
      <c r="BC114" s="303"/>
      <c r="BD114" s="303"/>
      <c r="BE114" s="303"/>
      <c r="BF114" s="303"/>
      <c r="BG114" s="291">
        <f t="shared" si="189"/>
        <v>5412.8</v>
      </c>
      <c r="BH114" s="291"/>
      <c r="BI114" s="291"/>
      <c r="BJ114" s="291"/>
      <c r="BK114" s="291"/>
      <c r="BL114" s="291">
        <f t="shared" si="190"/>
        <v>5387.2</v>
      </c>
      <c r="BM114" s="291"/>
      <c r="BN114" s="291"/>
      <c r="BO114" s="291"/>
      <c r="BP114" s="291"/>
      <c r="BQ114" s="292" t="str">
        <f t="shared" si="191"/>
        <v>PASS</v>
      </c>
      <c r="BR114" s="292"/>
      <c r="BS114" s="292"/>
      <c r="BT114" s="292"/>
      <c r="BU114" s="292"/>
      <c r="BV114" s="173"/>
      <c r="BX114" s="72" t="s">
        <v>128</v>
      </c>
      <c r="BY114" s="211">
        <v>0.38</v>
      </c>
      <c r="BZ114" s="208" t="str">
        <f t="shared" si="192"/>
        <v>µA</v>
      </c>
      <c r="CA114" s="206">
        <v>2</v>
      </c>
      <c r="CB114" s="78">
        <f t="shared" si="193"/>
        <v>0.19</v>
      </c>
      <c r="CC114" s="4"/>
      <c r="CD114" s="73" t="s">
        <v>130</v>
      </c>
      <c r="CE114" s="89">
        <v>0</v>
      </c>
      <c r="CF114" s="74" t="str">
        <f t="shared" si="194"/>
        <v>µA</v>
      </c>
      <c r="CG114" s="82">
        <f t="shared" si="195"/>
        <v>1.7320508075688772</v>
      </c>
      <c r="CH114" s="79">
        <f t="shared" si="196"/>
        <v>0</v>
      </c>
      <c r="CI114" s="4"/>
      <c r="CJ114" s="73" t="s">
        <v>92</v>
      </c>
      <c r="CK114" s="183">
        <v>1</v>
      </c>
      <c r="CL114" s="74" t="str">
        <f t="shared" si="197"/>
        <v>µA</v>
      </c>
      <c r="CM114" s="82">
        <f t="shared" si="198"/>
        <v>3.4641016151377544</v>
      </c>
      <c r="CN114" s="79">
        <f t="shared" si="199"/>
        <v>0.28867513459481292</v>
      </c>
      <c r="CO114" s="4"/>
      <c r="CP114" s="73" t="s">
        <v>70</v>
      </c>
      <c r="CQ114" s="84">
        <f t="shared" si="200"/>
        <v>0</v>
      </c>
      <c r="CR114" s="74" t="str">
        <f t="shared" si="201"/>
        <v>µA</v>
      </c>
      <c r="CS114" s="82">
        <f t="shared" si="202"/>
        <v>1.7320508075688772</v>
      </c>
      <c r="CT114" s="87">
        <f t="shared" si="203"/>
        <v>0</v>
      </c>
      <c r="CU114" s="8"/>
      <c r="CV114" s="96">
        <f t="shared" si="204"/>
        <v>0.34559128075420736</v>
      </c>
      <c r="CW114" s="89">
        <f t="shared" si="205"/>
        <v>345.90006667215431</v>
      </c>
      <c r="CX114" s="97">
        <f t="shared" si="206"/>
        <v>2</v>
      </c>
      <c r="CY114" s="107">
        <f t="shared" ref="CY114" si="211">(CV114*CX114)</f>
        <v>0.69118256150841473</v>
      </c>
      <c r="CZ114" s="108" t="str">
        <f t="shared" si="207"/>
        <v>µA</v>
      </c>
      <c r="DA114" s="8"/>
      <c r="DB114" s="177">
        <v>0.45</v>
      </c>
      <c r="DC114" s="178" t="str">
        <f t="shared" ref="DC114" si="212">CZ114</f>
        <v>µA</v>
      </c>
      <c r="DD114" s="220">
        <f t="shared" si="208"/>
        <v>0.69118256150841473</v>
      </c>
      <c r="DE114" s="178" t="str">
        <f t="shared" ref="DE114" si="213">DC114</f>
        <v>µA</v>
      </c>
    </row>
    <row r="115" spans="1:109" s="174" customFormat="1" ht="18" customHeight="1">
      <c r="A115" s="173"/>
      <c r="B115" s="170"/>
      <c r="C115" s="139"/>
      <c r="D115" s="139"/>
      <c r="E115" s="139"/>
      <c r="F115" s="293" t="s">
        <v>147</v>
      </c>
      <c r="G115" s="294"/>
      <c r="H115" s="294"/>
      <c r="I115" s="294"/>
      <c r="J115" s="294"/>
      <c r="K115" s="295"/>
      <c r="L115" s="297">
        <f>60*90%</f>
        <v>54</v>
      </c>
      <c r="M115" s="298"/>
      <c r="N115" s="298"/>
      <c r="O115" s="298"/>
      <c r="P115" s="299" t="s">
        <v>102</v>
      </c>
      <c r="Q115" s="299"/>
      <c r="R115" s="300"/>
      <c r="S115" s="301" t="s">
        <v>56</v>
      </c>
      <c r="T115" s="301"/>
      <c r="U115" s="301"/>
      <c r="V115" s="301"/>
      <c r="W115" s="301"/>
      <c r="X115" s="291">
        <v>54</v>
      </c>
      <c r="Y115" s="291"/>
      <c r="Z115" s="291"/>
      <c r="AA115" s="291"/>
      <c r="AB115" s="291"/>
      <c r="AC115" s="291">
        <v>54</v>
      </c>
      <c r="AD115" s="291"/>
      <c r="AE115" s="291"/>
      <c r="AF115" s="291"/>
      <c r="AG115" s="291"/>
      <c r="AH115" s="291">
        <v>54</v>
      </c>
      <c r="AI115" s="291"/>
      <c r="AJ115" s="291"/>
      <c r="AK115" s="291"/>
      <c r="AL115" s="291"/>
      <c r="AM115" s="303">
        <f>AVERAGE(X115:AL115)</f>
        <v>54</v>
      </c>
      <c r="AN115" s="303"/>
      <c r="AO115" s="303"/>
      <c r="AP115" s="303"/>
      <c r="AQ115" s="303"/>
      <c r="AR115" s="303">
        <f>AM115-L115</f>
        <v>0</v>
      </c>
      <c r="AS115" s="303"/>
      <c r="AT115" s="303"/>
      <c r="AU115" s="303"/>
      <c r="AV115" s="303"/>
      <c r="AW115" s="139"/>
      <c r="AX115" s="139"/>
      <c r="AY115" s="139"/>
      <c r="AZ115" s="172"/>
      <c r="BA115" s="173"/>
      <c r="BB115" s="303">
        <f>(AM115*0.2%)+(4*CK115)</f>
        <v>0.14799999999999999</v>
      </c>
      <c r="BC115" s="303"/>
      <c r="BD115" s="303"/>
      <c r="BE115" s="303"/>
      <c r="BF115" s="303"/>
      <c r="BG115" s="303">
        <f t="shared" si="189"/>
        <v>54.148000000000003</v>
      </c>
      <c r="BH115" s="303"/>
      <c r="BI115" s="303"/>
      <c r="BJ115" s="303"/>
      <c r="BK115" s="303"/>
      <c r="BL115" s="303">
        <f t="shared" si="190"/>
        <v>53.851999999999997</v>
      </c>
      <c r="BM115" s="303"/>
      <c r="BN115" s="303"/>
      <c r="BO115" s="303"/>
      <c r="BP115" s="303"/>
      <c r="BQ115" s="292" t="str">
        <f t="shared" si="191"/>
        <v>PASS</v>
      </c>
      <c r="BR115" s="292"/>
      <c r="BS115" s="292"/>
      <c r="BT115" s="292"/>
      <c r="BU115" s="292"/>
      <c r="BV115" s="173"/>
      <c r="BX115" s="75" t="s">
        <v>128</v>
      </c>
      <c r="BY115" s="214">
        <v>1.4E-3</v>
      </c>
      <c r="BZ115" s="1" t="str">
        <f t="shared" si="192"/>
        <v>mA</v>
      </c>
      <c r="CA115" s="180">
        <v>2</v>
      </c>
      <c r="CB115" s="209">
        <f t="shared" ref="CB115:CB117" si="214">BY115/CA115</f>
        <v>6.9999999999999999E-4</v>
      </c>
      <c r="CC115" s="4"/>
      <c r="CD115" s="70" t="s">
        <v>130</v>
      </c>
      <c r="CE115" s="88">
        <v>0</v>
      </c>
      <c r="CF115" s="71" t="str">
        <f t="shared" ref="CF115:CF117" si="215">BZ115</f>
        <v>mA</v>
      </c>
      <c r="CG115" s="80">
        <f t="shared" ref="CG115:CG117" si="216">SQRT(3)</f>
        <v>1.7320508075688772</v>
      </c>
      <c r="CH115" s="77">
        <f t="shared" ref="CH115:CH117" si="217">CE115/CG115</f>
        <v>0</v>
      </c>
      <c r="CI115" s="4"/>
      <c r="CJ115" s="70" t="s">
        <v>92</v>
      </c>
      <c r="CK115" s="176">
        <v>0.01</v>
      </c>
      <c r="CL115" s="71" t="str">
        <f t="shared" si="197"/>
        <v>mA</v>
      </c>
      <c r="CM115" s="80">
        <f t="shared" ref="CM115:CM117" si="218">SQRT(12)</f>
        <v>3.4641016151377544</v>
      </c>
      <c r="CN115" s="77">
        <f t="shared" ref="CN115:CN117" si="219">CK115/CM115</f>
        <v>2.886751345948129E-3</v>
      </c>
      <c r="CO115" s="4"/>
      <c r="CP115" s="70" t="s">
        <v>70</v>
      </c>
      <c r="CQ115" s="83">
        <f t="shared" si="200"/>
        <v>0</v>
      </c>
      <c r="CR115" s="71" t="str">
        <f t="shared" si="201"/>
        <v>mA</v>
      </c>
      <c r="CS115" s="80">
        <f t="shared" ref="CS115:CS117" si="220">SQRT(3)</f>
        <v>1.7320508075688772</v>
      </c>
      <c r="CT115" s="85">
        <f t="shared" ref="CT115:CT117" si="221">CQ115/CS115</f>
        <v>0</v>
      </c>
      <c r="CU115" s="8"/>
      <c r="CV115" s="92">
        <f t="shared" ref="CV115:CV117" si="222">SQRT(SUMSQ(CT115,CN115,CH115,CB115))</f>
        <v>2.9704096238285611E-3</v>
      </c>
      <c r="CW115" s="88">
        <f t="shared" ref="CW115:CW117" si="223">(CV115^4)/(((CT115^4)/2)+((CN115^4)/200)+((CH115^4)/200)+((CB115^4)/200))</f>
        <v>223.43896119799561</v>
      </c>
      <c r="CX115" s="93">
        <f t="shared" ref="CX115:CX117" si="224">ROUND(TINV(0.05,CW115),0)</f>
        <v>2</v>
      </c>
      <c r="CY115" s="117">
        <f>(CV115*CX115)</f>
        <v>5.9408192476571222E-3</v>
      </c>
      <c r="CZ115" s="104" t="str">
        <f t="shared" si="207"/>
        <v>mA</v>
      </c>
      <c r="DA115" s="8"/>
      <c r="DB115" s="177">
        <v>4.3E-3</v>
      </c>
      <c r="DC115" s="178" t="str">
        <f>CZ115</f>
        <v>mA</v>
      </c>
      <c r="DD115" s="220">
        <f t="shared" si="208"/>
        <v>5.9408192476571222E-3</v>
      </c>
      <c r="DE115" s="178" t="str">
        <f>DC115</f>
        <v>mA</v>
      </c>
    </row>
    <row r="116" spans="1:109" s="174" customFormat="1" ht="18" customHeight="1">
      <c r="A116" s="173"/>
      <c r="B116" s="170"/>
      <c r="C116" s="139"/>
      <c r="D116" s="139"/>
      <c r="E116" s="139"/>
      <c r="F116" s="296"/>
      <c r="G116" s="294"/>
      <c r="H116" s="294"/>
      <c r="I116" s="294"/>
      <c r="J116" s="294"/>
      <c r="K116" s="295"/>
      <c r="L116" s="297">
        <f>60*-90%</f>
        <v>-54</v>
      </c>
      <c r="M116" s="298"/>
      <c r="N116" s="298"/>
      <c r="O116" s="298"/>
      <c r="P116" s="299" t="s">
        <v>102</v>
      </c>
      <c r="Q116" s="299"/>
      <c r="R116" s="300"/>
      <c r="S116" s="301" t="s">
        <v>56</v>
      </c>
      <c r="T116" s="301"/>
      <c r="U116" s="301"/>
      <c r="V116" s="301"/>
      <c r="W116" s="301"/>
      <c r="X116" s="291">
        <v>-54</v>
      </c>
      <c r="Y116" s="291"/>
      <c r="Z116" s="291"/>
      <c r="AA116" s="291"/>
      <c r="AB116" s="291"/>
      <c r="AC116" s="291">
        <v>-54</v>
      </c>
      <c r="AD116" s="291"/>
      <c r="AE116" s="291"/>
      <c r="AF116" s="291"/>
      <c r="AG116" s="291"/>
      <c r="AH116" s="291">
        <v>-54</v>
      </c>
      <c r="AI116" s="291"/>
      <c r="AJ116" s="291"/>
      <c r="AK116" s="291"/>
      <c r="AL116" s="291"/>
      <c r="AM116" s="303">
        <f t="shared" ref="AM116:AM117" si="225">AVERAGE(X116:AL116)</f>
        <v>-54</v>
      </c>
      <c r="AN116" s="303"/>
      <c r="AO116" s="303"/>
      <c r="AP116" s="303"/>
      <c r="AQ116" s="303"/>
      <c r="AR116" s="303">
        <f t="shared" ref="AR116:AR117" si="226">AM116-L116</f>
        <v>0</v>
      </c>
      <c r="AS116" s="303"/>
      <c r="AT116" s="303"/>
      <c r="AU116" s="303"/>
      <c r="AV116" s="303"/>
      <c r="AW116" s="139"/>
      <c r="AX116" s="139"/>
      <c r="AY116" s="139"/>
      <c r="AZ116" s="172"/>
      <c r="BA116" s="173"/>
      <c r="BB116" s="303">
        <f>ABS(AM116*0.2%)+(4*CK116)</f>
        <v>0.14799999999999999</v>
      </c>
      <c r="BC116" s="303"/>
      <c r="BD116" s="303"/>
      <c r="BE116" s="303"/>
      <c r="BF116" s="303"/>
      <c r="BG116" s="303">
        <f t="shared" si="189"/>
        <v>-53.851999999999997</v>
      </c>
      <c r="BH116" s="303"/>
      <c r="BI116" s="303"/>
      <c r="BJ116" s="303"/>
      <c r="BK116" s="303"/>
      <c r="BL116" s="303">
        <f t="shared" si="190"/>
        <v>-54.148000000000003</v>
      </c>
      <c r="BM116" s="303"/>
      <c r="BN116" s="303"/>
      <c r="BO116" s="303"/>
      <c r="BP116" s="303"/>
      <c r="BQ116" s="292" t="str">
        <f t="shared" si="191"/>
        <v>PASS</v>
      </c>
      <c r="BR116" s="292"/>
      <c r="BS116" s="292"/>
      <c r="BT116" s="292"/>
      <c r="BU116" s="292"/>
      <c r="BV116" s="173"/>
      <c r="BX116" s="72" t="s">
        <v>128</v>
      </c>
      <c r="BY116" s="214">
        <v>1.4E-3</v>
      </c>
      <c r="BZ116" s="1" t="str">
        <f t="shared" si="192"/>
        <v>mA</v>
      </c>
      <c r="CA116" s="180">
        <v>2</v>
      </c>
      <c r="CB116" s="78">
        <f t="shared" si="214"/>
        <v>6.9999999999999999E-4</v>
      </c>
      <c r="CC116" s="4"/>
      <c r="CD116" s="72" t="s">
        <v>130</v>
      </c>
      <c r="CE116" s="5">
        <v>0</v>
      </c>
      <c r="CF116" s="1" t="str">
        <f t="shared" si="215"/>
        <v>mA</v>
      </c>
      <c r="CG116" s="81">
        <f t="shared" si="216"/>
        <v>1.7320508075688772</v>
      </c>
      <c r="CH116" s="78">
        <f t="shared" si="217"/>
        <v>0</v>
      </c>
      <c r="CI116" s="4"/>
      <c r="CJ116" s="72" t="s">
        <v>92</v>
      </c>
      <c r="CK116" s="181">
        <v>0.01</v>
      </c>
      <c r="CL116" s="1" t="str">
        <f t="shared" si="197"/>
        <v>mA</v>
      </c>
      <c r="CM116" s="81">
        <f t="shared" si="218"/>
        <v>3.4641016151377544</v>
      </c>
      <c r="CN116" s="78">
        <f t="shared" si="219"/>
        <v>2.886751345948129E-3</v>
      </c>
      <c r="CO116" s="4"/>
      <c r="CP116" s="72" t="s">
        <v>70</v>
      </c>
      <c r="CQ116" s="6">
        <f t="shared" si="200"/>
        <v>0</v>
      </c>
      <c r="CR116" s="1" t="str">
        <f t="shared" si="201"/>
        <v>mA</v>
      </c>
      <c r="CS116" s="81">
        <f t="shared" si="220"/>
        <v>1.7320508075688772</v>
      </c>
      <c r="CT116" s="86">
        <f t="shared" si="221"/>
        <v>0</v>
      </c>
      <c r="CU116" s="8"/>
      <c r="CV116" s="94">
        <f t="shared" si="222"/>
        <v>2.9704096238285611E-3</v>
      </c>
      <c r="CW116" s="5">
        <f t="shared" si="223"/>
        <v>223.43896119799561</v>
      </c>
      <c r="CX116" s="95">
        <f t="shared" si="224"/>
        <v>2</v>
      </c>
      <c r="CY116" s="110">
        <f t="shared" ref="CY116:CY117" si="227">(CV116*CX116)</f>
        <v>5.9408192476571222E-3</v>
      </c>
      <c r="CZ116" s="106" t="str">
        <f t="shared" si="207"/>
        <v>mA</v>
      </c>
      <c r="DA116" s="8"/>
      <c r="DB116" s="177">
        <v>4.3E-3</v>
      </c>
      <c r="DC116" s="178" t="str">
        <f t="shared" ref="DC116:DC117" si="228">CZ116</f>
        <v>mA</v>
      </c>
      <c r="DD116" s="220">
        <f t="shared" si="208"/>
        <v>5.9408192476571222E-3</v>
      </c>
      <c r="DE116" s="178" t="str">
        <f t="shared" ref="DE116:DE117" si="229">DC116</f>
        <v>mA</v>
      </c>
    </row>
    <row r="117" spans="1:109" s="174" customFormat="1" ht="18" customHeight="1" thickBot="1">
      <c r="A117" s="173"/>
      <c r="B117" s="170"/>
      <c r="C117" s="139"/>
      <c r="D117" s="139"/>
      <c r="E117" s="139"/>
      <c r="F117" s="304" t="s">
        <v>150</v>
      </c>
      <c r="G117" s="305"/>
      <c r="H117" s="305"/>
      <c r="I117" s="305"/>
      <c r="J117" s="305"/>
      <c r="K117" s="306"/>
      <c r="L117" s="297">
        <f>400*90%</f>
        <v>360</v>
      </c>
      <c r="M117" s="298"/>
      <c r="N117" s="298"/>
      <c r="O117" s="298"/>
      <c r="P117" s="299" t="s">
        <v>102</v>
      </c>
      <c r="Q117" s="299"/>
      <c r="R117" s="300"/>
      <c r="S117" s="301" t="s">
        <v>56</v>
      </c>
      <c r="T117" s="301"/>
      <c r="U117" s="301"/>
      <c r="V117" s="301"/>
      <c r="W117" s="301"/>
      <c r="X117" s="291">
        <v>360</v>
      </c>
      <c r="Y117" s="291"/>
      <c r="Z117" s="291"/>
      <c r="AA117" s="291"/>
      <c r="AB117" s="291"/>
      <c r="AC117" s="291">
        <v>360</v>
      </c>
      <c r="AD117" s="291"/>
      <c r="AE117" s="291"/>
      <c r="AF117" s="291"/>
      <c r="AG117" s="291"/>
      <c r="AH117" s="291">
        <v>360</v>
      </c>
      <c r="AI117" s="291"/>
      <c r="AJ117" s="291"/>
      <c r="AK117" s="291"/>
      <c r="AL117" s="291"/>
      <c r="AM117" s="291">
        <f t="shared" si="225"/>
        <v>360</v>
      </c>
      <c r="AN117" s="291"/>
      <c r="AO117" s="291"/>
      <c r="AP117" s="291"/>
      <c r="AQ117" s="291"/>
      <c r="AR117" s="291">
        <f t="shared" si="226"/>
        <v>0</v>
      </c>
      <c r="AS117" s="291"/>
      <c r="AT117" s="291"/>
      <c r="AU117" s="291"/>
      <c r="AV117" s="291"/>
      <c r="AW117" s="139"/>
      <c r="AX117" s="139"/>
      <c r="AY117" s="139"/>
      <c r="AZ117" s="172"/>
      <c r="BA117" s="173"/>
      <c r="BB117" s="303">
        <f>(AM117*0.2%)+(2*CK117)</f>
        <v>0.91999999999999993</v>
      </c>
      <c r="BC117" s="303"/>
      <c r="BD117" s="303"/>
      <c r="BE117" s="303"/>
      <c r="BF117" s="303"/>
      <c r="BG117" s="291">
        <f t="shared" si="189"/>
        <v>360.92</v>
      </c>
      <c r="BH117" s="291"/>
      <c r="BI117" s="291"/>
      <c r="BJ117" s="291"/>
      <c r="BK117" s="291"/>
      <c r="BL117" s="291">
        <f t="shared" si="190"/>
        <v>359.08</v>
      </c>
      <c r="BM117" s="291"/>
      <c r="BN117" s="291"/>
      <c r="BO117" s="291"/>
      <c r="BP117" s="291"/>
      <c r="BQ117" s="292" t="str">
        <f t="shared" si="191"/>
        <v>PASS</v>
      </c>
      <c r="BR117" s="292"/>
      <c r="BS117" s="292"/>
      <c r="BT117" s="292"/>
      <c r="BU117" s="292"/>
      <c r="BV117" s="173"/>
      <c r="BX117" s="72" t="s">
        <v>128</v>
      </c>
      <c r="BY117" s="211">
        <v>2.7E-2</v>
      </c>
      <c r="BZ117" s="1" t="str">
        <f t="shared" si="192"/>
        <v>mA</v>
      </c>
      <c r="CA117" s="180">
        <v>2</v>
      </c>
      <c r="CB117" s="78">
        <f t="shared" si="214"/>
        <v>1.35E-2</v>
      </c>
      <c r="CC117" s="4"/>
      <c r="CD117" s="73" t="s">
        <v>130</v>
      </c>
      <c r="CE117" s="89">
        <v>0</v>
      </c>
      <c r="CF117" s="74" t="str">
        <f t="shared" si="215"/>
        <v>mA</v>
      </c>
      <c r="CG117" s="82">
        <f t="shared" si="216"/>
        <v>1.7320508075688772</v>
      </c>
      <c r="CH117" s="79">
        <f t="shared" si="217"/>
        <v>0</v>
      </c>
      <c r="CI117" s="4"/>
      <c r="CJ117" s="73" t="s">
        <v>92</v>
      </c>
      <c r="CK117" s="183">
        <v>0.1</v>
      </c>
      <c r="CL117" s="74" t="str">
        <f t="shared" si="197"/>
        <v>mA</v>
      </c>
      <c r="CM117" s="82">
        <f t="shared" si="218"/>
        <v>3.4641016151377544</v>
      </c>
      <c r="CN117" s="79">
        <f t="shared" si="219"/>
        <v>2.8867513459481291E-2</v>
      </c>
      <c r="CO117" s="4"/>
      <c r="CP117" s="73" t="s">
        <v>70</v>
      </c>
      <c r="CQ117" s="84">
        <f t="shared" si="200"/>
        <v>0</v>
      </c>
      <c r="CR117" s="74" t="str">
        <f t="shared" si="201"/>
        <v>mA</v>
      </c>
      <c r="CS117" s="82">
        <f t="shared" si="220"/>
        <v>1.7320508075688772</v>
      </c>
      <c r="CT117" s="87">
        <f t="shared" si="221"/>
        <v>0</v>
      </c>
      <c r="CU117" s="8"/>
      <c r="CV117" s="96">
        <f t="shared" si="222"/>
        <v>3.1868218232799485E-2</v>
      </c>
      <c r="CW117" s="89">
        <f t="shared" si="223"/>
        <v>283.48684985247945</v>
      </c>
      <c r="CX117" s="97">
        <f t="shared" si="224"/>
        <v>2</v>
      </c>
      <c r="CY117" s="107">
        <f t="shared" si="227"/>
        <v>6.373643646559897E-2</v>
      </c>
      <c r="CZ117" s="108" t="str">
        <f t="shared" si="207"/>
        <v>mA</v>
      </c>
      <c r="DA117" s="8"/>
      <c r="DB117" s="177">
        <v>8.2000000000000003E-2</v>
      </c>
      <c r="DC117" s="178" t="str">
        <f t="shared" si="228"/>
        <v>mA</v>
      </c>
      <c r="DD117" s="220">
        <f t="shared" si="208"/>
        <v>8.2000000000000003E-2</v>
      </c>
      <c r="DE117" s="178" t="str">
        <f t="shared" si="229"/>
        <v>mA</v>
      </c>
    </row>
    <row r="118" spans="1:109" s="174" customFormat="1" ht="18" customHeight="1">
      <c r="A118" s="173"/>
      <c r="B118" s="170"/>
      <c r="C118" s="139"/>
      <c r="D118" s="139"/>
      <c r="E118" s="139"/>
      <c r="F118" s="293" t="s">
        <v>141</v>
      </c>
      <c r="G118" s="294"/>
      <c r="H118" s="294"/>
      <c r="I118" s="294"/>
      <c r="J118" s="294"/>
      <c r="K118" s="295"/>
      <c r="L118" s="297">
        <f>6*50%</f>
        <v>3</v>
      </c>
      <c r="M118" s="298"/>
      <c r="N118" s="298"/>
      <c r="O118" s="298"/>
      <c r="P118" s="299" t="s">
        <v>149</v>
      </c>
      <c r="Q118" s="299"/>
      <c r="R118" s="300"/>
      <c r="S118" s="301" t="s">
        <v>56</v>
      </c>
      <c r="T118" s="301"/>
      <c r="U118" s="301"/>
      <c r="V118" s="301"/>
      <c r="W118" s="301"/>
      <c r="X118" s="291">
        <v>3</v>
      </c>
      <c r="Y118" s="291"/>
      <c r="Z118" s="291"/>
      <c r="AA118" s="291"/>
      <c r="AB118" s="291"/>
      <c r="AC118" s="291">
        <v>3</v>
      </c>
      <c r="AD118" s="291"/>
      <c r="AE118" s="291"/>
      <c r="AF118" s="291"/>
      <c r="AG118" s="291"/>
      <c r="AH118" s="291">
        <v>3</v>
      </c>
      <c r="AI118" s="291"/>
      <c r="AJ118" s="291"/>
      <c r="AK118" s="291"/>
      <c r="AL118" s="291"/>
      <c r="AM118" s="320">
        <f>AVERAGE(X118:AL118)</f>
        <v>3</v>
      </c>
      <c r="AN118" s="320"/>
      <c r="AO118" s="320"/>
      <c r="AP118" s="320"/>
      <c r="AQ118" s="320"/>
      <c r="AR118" s="320">
        <f>AM118-L118</f>
        <v>0</v>
      </c>
      <c r="AS118" s="320"/>
      <c r="AT118" s="320"/>
      <c r="AU118" s="320"/>
      <c r="AV118" s="320"/>
      <c r="AW118" s="139"/>
      <c r="AX118" s="139"/>
      <c r="AY118" s="139"/>
      <c r="AZ118" s="172"/>
      <c r="BA118" s="173"/>
      <c r="BB118" s="303">
        <f>(AM118*0.2%)+(4*CK118)</f>
        <v>0.01</v>
      </c>
      <c r="BC118" s="303"/>
      <c r="BD118" s="303"/>
      <c r="BE118" s="303"/>
      <c r="BF118" s="303"/>
      <c r="BG118" s="303">
        <f t="shared" si="189"/>
        <v>3.01</v>
      </c>
      <c r="BH118" s="303"/>
      <c r="BI118" s="303"/>
      <c r="BJ118" s="303"/>
      <c r="BK118" s="303"/>
      <c r="BL118" s="303">
        <f t="shared" si="190"/>
        <v>2.99</v>
      </c>
      <c r="BM118" s="303"/>
      <c r="BN118" s="303"/>
      <c r="BO118" s="303"/>
      <c r="BP118" s="303"/>
      <c r="BQ118" s="292" t="str">
        <f t="shared" si="191"/>
        <v>PASS</v>
      </c>
      <c r="BR118" s="292"/>
      <c r="BS118" s="292"/>
      <c r="BT118" s="292"/>
      <c r="BU118" s="292"/>
      <c r="BV118" s="173"/>
      <c r="BX118" s="75" t="s">
        <v>128</v>
      </c>
      <c r="BY118" s="6">
        <v>1.4E-3</v>
      </c>
      <c r="BZ118" s="76" t="str">
        <f t="shared" si="192"/>
        <v>A</v>
      </c>
      <c r="CA118" s="175">
        <v>2</v>
      </c>
      <c r="CB118" s="209">
        <f t="shared" ref="CB118:CB120" si="230">BY118/CA118</f>
        <v>6.9999999999999999E-4</v>
      </c>
      <c r="CC118" s="4"/>
      <c r="CD118" s="70" t="s">
        <v>130</v>
      </c>
      <c r="CE118" s="88">
        <v>0</v>
      </c>
      <c r="CF118" s="71" t="str">
        <f t="shared" ref="CF118:CF121" si="231">BZ118</f>
        <v>A</v>
      </c>
      <c r="CG118" s="80">
        <f t="shared" ref="CG118:CG121" si="232">SQRT(3)</f>
        <v>1.7320508075688772</v>
      </c>
      <c r="CH118" s="77">
        <f t="shared" ref="CH118:CH121" si="233">CE118/CG118</f>
        <v>0</v>
      </c>
      <c r="CI118" s="4"/>
      <c r="CJ118" s="70" t="s">
        <v>92</v>
      </c>
      <c r="CK118" s="176">
        <v>1E-3</v>
      </c>
      <c r="CL118" s="71" t="str">
        <f t="shared" si="197"/>
        <v>A</v>
      </c>
      <c r="CM118" s="80">
        <f t="shared" ref="CM118:CM121" si="234">SQRT(12)</f>
        <v>3.4641016151377544</v>
      </c>
      <c r="CN118" s="77">
        <f t="shared" ref="CN118:CN121" si="235">CK118/CM118</f>
        <v>2.886751345948129E-4</v>
      </c>
      <c r="CO118" s="4"/>
      <c r="CP118" s="70" t="s">
        <v>70</v>
      </c>
      <c r="CQ118" s="83">
        <f t="shared" si="200"/>
        <v>0</v>
      </c>
      <c r="CR118" s="71" t="str">
        <f t="shared" si="201"/>
        <v>A</v>
      </c>
      <c r="CS118" s="80">
        <f t="shared" ref="CS118:CS121" si="236">SQRT(3)</f>
        <v>1.7320508075688772</v>
      </c>
      <c r="CT118" s="85">
        <f t="shared" ref="CT118:CT121" si="237">CQ118/CS118</f>
        <v>0</v>
      </c>
      <c r="CU118" s="8"/>
      <c r="CV118" s="92">
        <f t="shared" ref="CV118:CV121" si="238">SQRT(SUMSQ(CT118,CN118,CH118,CB118))</f>
        <v>7.5718777944003648E-4</v>
      </c>
      <c r="CW118" s="88">
        <f t="shared" ref="CW118:CW121" si="239">(CV118^4)/(((CT118^4)/2)+((CN118^4)/200)+((CH118^4)/200)+((CB118^4)/200))</f>
        <v>266.114959071692</v>
      </c>
      <c r="CX118" s="93">
        <f t="shared" ref="CX118:CX120" si="240">ROUND(TINV(0.05,CW118),0)</f>
        <v>2</v>
      </c>
      <c r="CY118" s="117">
        <f>(CV118*CX118)</f>
        <v>1.514375558880073E-3</v>
      </c>
      <c r="CZ118" s="104" t="str">
        <f t="shared" si="207"/>
        <v>A</v>
      </c>
      <c r="DA118" s="8"/>
      <c r="DB118" s="177">
        <v>1.6000000000000001E-3</v>
      </c>
      <c r="DC118" s="178" t="str">
        <f>CZ118</f>
        <v>A</v>
      </c>
      <c r="DD118" s="220">
        <f t="shared" si="208"/>
        <v>1.6000000000000001E-3</v>
      </c>
      <c r="DE118" s="178" t="str">
        <f>DC118</f>
        <v>A</v>
      </c>
    </row>
    <row r="119" spans="1:109" s="174" customFormat="1" ht="18" customHeight="1">
      <c r="A119" s="173"/>
      <c r="B119" s="170"/>
      <c r="C119" s="139"/>
      <c r="D119" s="139"/>
      <c r="E119" s="139"/>
      <c r="F119" s="296"/>
      <c r="G119" s="294"/>
      <c r="H119" s="294"/>
      <c r="I119" s="294"/>
      <c r="J119" s="294"/>
      <c r="K119" s="295"/>
      <c r="L119" s="297">
        <f>6*90%</f>
        <v>5.4</v>
      </c>
      <c r="M119" s="298"/>
      <c r="N119" s="298"/>
      <c r="O119" s="298"/>
      <c r="P119" s="299" t="s">
        <v>149</v>
      </c>
      <c r="Q119" s="299"/>
      <c r="R119" s="300"/>
      <c r="S119" s="301" t="s">
        <v>56</v>
      </c>
      <c r="T119" s="301"/>
      <c r="U119" s="301"/>
      <c r="V119" s="301"/>
      <c r="W119" s="301"/>
      <c r="X119" s="291">
        <v>5.4</v>
      </c>
      <c r="Y119" s="291"/>
      <c r="Z119" s="291"/>
      <c r="AA119" s="291"/>
      <c r="AB119" s="291"/>
      <c r="AC119" s="291">
        <v>5.4</v>
      </c>
      <c r="AD119" s="291"/>
      <c r="AE119" s="291"/>
      <c r="AF119" s="291"/>
      <c r="AG119" s="291"/>
      <c r="AH119" s="291">
        <v>5.4</v>
      </c>
      <c r="AI119" s="291"/>
      <c r="AJ119" s="291"/>
      <c r="AK119" s="291"/>
      <c r="AL119" s="291"/>
      <c r="AM119" s="320">
        <f t="shared" ref="AM119:AM120" si="241">AVERAGE(X119:AL119)</f>
        <v>5.4000000000000012</v>
      </c>
      <c r="AN119" s="320"/>
      <c r="AO119" s="320"/>
      <c r="AP119" s="320"/>
      <c r="AQ119" s="320"/>
      <c r="AR119" s="320">
        <f t="shared" ref="AR119:AR120" si="242">AM119-L119</f>
        <v>0</v>
      </c>
      <c r="AS119" s="320"/>
      <c r="AT119" s="320"/>
      <c r="AU119" s="320"/>
      <c r="AV119" s="320"/>
      <c r="AW119" s="139"/>
      <c r="AX119" s="139"/>
      <c r="AY119" s="139"/>
      <c r="AZ119" s="172"/>
      <c r="BA119" s="173"/>
      <c r="BB119" s="303">
        <f>(AM119*0.2%)+(4*CK119)</f>
        <v>1.4800000000000002E-2</v>
      </c>
      <c r="BC119" s="303"/>
      <c r="BD119" s="303"/>
      <c r="BE119" s="303"/>
      <c r="BF119" s="303"/>
      <c r="BG119" s="303">
        <f t="shared" si="189"/>
        <v>5.4148000000000005</v>
      </c>
      <c r="BH119" s="303"/>
      <c r="BI119" s="303"/>
      <c r="BJ119" s="303"/>
      <c r="BK119" s="303"/>
      <c r="BL119" s="303">
        <f t="shared" si="190"/>
        <v>5.3852000000000002</v>
      </c>
      <c r="BM119" s="303"/>
      <c r="BN119" s="303"/>
      <c r="BO119" s="303"/>
      <c r="BP119" s="303"/>
      <c r="BQ119" s="292" t="str">
        <f t="shared" si="191"/>
        <v>PASS</v>
      </c>
      <c r="BR119" s="292"/>
      <c r="BS119" s="292"/>
      <c r="BT119" s="292"/>
      <c r="BU119" s="292"/>
      <c r="BV119" s="173"/>
      <c r="BX119" s="72" t="s">
        <v>128</v>
      </c>
      <c r="BY119" s="6">
        <v>1.4E-3</v>
      </c>
      <c r="BZ119" s="1" t="str">
        <f t="shared" si="192"/>
        <v>A</v>
      </c>
      <c r="CA119" s="180">
        <v>2</v>
      </c>
      <c r="CB119" s="78">
        <f t="shared" si="230"/>
        <v>6.9999999999999999E-4</v>
      </c>
      <c r="CC119" s="4"/>
      <c r="CD119" s="72" t="s">
        <v>130</v>
      </c>
      <c r="CE119" s="5">
        <v>0</v>
      </c>
      <c r="CF119" s="1" t="str">
        <f t="shared" si="231"/>
        <v>A</v>
      </c>
      <c r="CG119" s="81">
        <f t="shared" si="232"/>
        <v>1.7320508075688772</v>
      </c>
      <c r="CH119" s="78">
        <f t="shared" si="233"/>
        <v>0</v>
      </c>
      <c r="CI119" s="4"/>
      <c r="CJ119" s="72" t="s">
        <v>92</v>
      </c>
      <c r="CK119" s="181">
        <v>1E-3</v>
      </c>
      <c r="CL119" s="1" t="str">
        <f t="shared" si="197"/>
        <v>A</v>
      </c>
      <c r="CM119" s="81">
        <f t="shared" si="234"/>
        <v>3.4641016151377544</v>
      </c>
      <c r="CN119" s="78">
        <f t="shared" si="235"/>
        <v>2.886751345948129E-4</v>
      </c>
      <c r="CO119" s="4"/>
      <c r="CP119" s="72" t="s">
        <v>70</v>
      </c>
      <c r="CQ119" s="6">
        <f t="shared" si="200"/>
        <v>1.0877919644084146E-15</v>
      </c>
      <c r="CR119" s="1" t="str">
        <f t="shared" si="201"/>
        <v>A</v>
      </c>
      <c r="CS119" s="81">
        <f t="shared" si="236"/>
        <v>1.7320508075688772</v>
      </c>
      <c r="CT119" s="86">
        <f t="shared" si="237"/>
        <v>6.2803698347350997E-16</v>
      </c>
      <c r="CU119" s="8"/>
      <c r="CV119" s="94">
        <f t="shared" si="238"/>
        <v>7.5718777944003648E-4</v>
      </c>
      <c r="CW119" s="5">
        <f t="shared" si="239"/>
        <v>266.114959071692</v>
      </c>
      <c r="CX119" s="95">
        <f t="shared" si="240"/>
        <v>2</v>
      </c>
      <c r="CY119" s="110">
        <f t="shared" ref="CY119:CY120" si="243">(CV119*CX119)</f>
        <v>1.514375558880073E-3</v>
      </c>
      <c r="CZ119" s="106" t="str">
        <f t="shared" si="207"/>
        <v>A</v>
      </c>
      <c r="DA119" s="8"/>
      <c r="DB119" s="177">
        <v>1.6000000000000001E-3</v>
      </c>
      <c r="DC119" s="178" t="str">
        <f t="shared" ref="DC119:DC121" si="244">CZ119</f>
        <v>A</v>
      </c>
      <c r="DD119" s="220">
        <f t="shared" si="208"/>
        <v>1.6000000000000001E-3</v>
      </c>
      <c r="DE119" s="178" t="str">
        <f t="shared" ref="DE119:DE121" si="245">DC119</f>
        <v>A</v>
      </c>
    </row>
    <row r="120" spans="1:109" s="174" customFormat="1" ht="18" customHeight="1" thickBot="1">
      <c r="A120" s="173"/>
      <c r="B120" s="170"/>
      <c r="C120" s="139"/>
      <c r="D120" s="139"/>
      <c r="E120" s="139"/>
      <c r="F120" s="304" t="s">
        <v>142</v>
      </c>
      <c r="G120" s="305"/>
      <c r="H120" s="305"/>
      <c r="I120" s="305"/>
      <c r="J120" s="305"/>
      <c r="K120" s="306"/>
      <c r="L120" s="297">
        <f>10*50%</f>
        <v>5</v>
      </c>
      <c r="M120" s="298"/>
      <c r="N120" s="298"/>
      <c r="O120" s="298"/>
      <c r="P120" s="299" t="s">
        <v>149</v>
      </c>
      <c r="Q120" s="299"/>
      <c r="R120" s="300"/>
      <c r="S120" s="301" t="s">
        <v>56</v>
      </c>
      <c r="T120" s="301"/>
      <c r="U120" s="301"/>
      <c r="V120" s="301"/>
      <c r="W120" s="301"/>
      <c r="X120" s="291">
        <v>5</v>
      </c>
      <c r="Y120" s="291"/>
      <c r="Z120" s="291"/>
      <c r="AA120" s="291"/>
      <c r="AB120" s="291"/>
      <c r="AC120" s="291">
        <v>5</v>
      </c>
      <c r="AD120" s="291"/>
      <c r="AE120" s="291"/>
      <c r="AF120" s="291"/>
      <c r="AG120" s="291"/>
      <c r="AH120" s="291">
        <v>5</v>
      </c>
      <c r="AI120" s="291"/>
      <c r="AJ120" s="291"/>
      <c r="AK120" s="291"/>
      <c r="AL120" s="291"/>
      <c r="AM120" s="303">
        <f t="shared" si="241"/>
        <v>5</v>
      </c>
      <c r="AN120" s="303"/>
      <c r="AO120" s="303"/>
      <c r="AP120" s="303"/>
      <c r="AQ120" s="303"/>
      <c r="AR120" s="303">
        <f t="shared" si="242"/>
        <v>0</v>
      </c>
      <c r="AS120" s="303"/>
      <c r="AT120" s="303"/>
      <c r="AU120" s="303"/>
      <c r="AV120" s="303"/>
      <c r="AW120" s="139"/>
      <c r="AX120" s="139"/>
      <c r="AY120" s="139"/>
      <c r="AZ120" s="172"/>
      <c r="BA120" s="173"/>
      <c r="BB120" s="303">
        <f>(AM120*0.2%)+(2*CK120)</f>
        <v>0.03</v>
      </c>
      <c r="BC120" s="303"/>
      <c r="BD120" s="303"/>
      <c r="BE120" s="303"/>
      <c r="BF120" s="303"/>
      <c r="BG120" s="291">
        <f t="shared" si="189"/>
        <v>5.03</v>
      </c>
      <c r="BH120" s="291"/>
      <c r="BI120" s="291"/>
      <c r="BJ120" s="291"/>
      <c r="BK120" s="291"/>
      <c r="BL120" s="291">
        <f t="shared" si="190"/>
        <v>4.97</v>
      </c>
      <c r="BM120" s="291"/>
      <c r="BN120" s="291"/>
      <c r="BO120" s="291"/>
      <c r="BP120" s="291"/>
      <c r="BQ120" s="292" t="str">
        <f t="shared" si="191"/>
        <v>PASS</v>
      </c>
      <c r="BR120" s="292"/>
      <c r="BS120" s="292"/>
      <c r="BT120" s="292"/>
      <c r="BU120" s="292"/>
      <c r="BV120" s="173"/>
      <c r="BX120" s="72" t="s">
        <v>128</v>
      </c>
      <c r="BY120" s="6">
        <v>1.4E-3</v>
      </c>
      <c r="BZ120" s="208" t="str">
        <f t="shared" si="192"/>
        <v>A</v>
      </c>
      <c r="CA120" s="180">
        <v>2</v>
      </c>
      <c r="CB120" s="78">
        <f t="shared" si="230"/>
        <v>6.9999999999999999E-4</v>
      </c>
      <c r="CC120" s="4"/>
      <c r="CD120" s="73" t="s">
        <v>130</v>
      </c>
      <c r="CE120" s="89">
        <v>0</v>
      </c>
      <c r="CF120" s="74" t="str">
        <f t="shared" ref="CF120" si="246">BZ120</f>
        <v>A</v>
      </c>
      <c r="CG120" s="82">
        <f t="shared" si="232"/>
        <v>1.7320508075688772</v>
      </c>
      <c r="CH120" s="79">
        <f t="shared" ref="CH120" si="247">CE120/CG120</f>
        <v>0</v>
      </c>
      <c r="CI120" s="4"/>
      <c r="CJ120" s="73" t="s">
        <v>92</v>
      </c>
      <c r="CK120" s="183">
        <v>0.01</v>
      </c>
      <c r="CL120" s="74" t="str">
        <f t="shared" si="197"/>
        <v>A</v>
      </c>
      <c r="CM120" s="82">
        <f t="shared" si="234"/>
        <v>3.4641016151377544</v>
      </c>
      <c r="CN120" s="79">
        <f t="shared" ref="CN120" si="248">CK120/CM120</f>
        <v>2.886751345948129E-3</v>
      </c>
      <c r="CO120" s="4"/>
      <c r="CP120" s="73" t="s">
        <v>70</v>
      </c>
      <c r="CQ120" s="84">
        <f t="shared" si="200"/>
        <v>0</v>
      </c>
      <c r="CR120" s="74" t="str">
        <f t="shared" si="201"/>
        <v>A</v>
      </c>
      <c r="CS120" s="82">
        <f t="shared" si="236"/>
        <v>1.7320508075688772</v>
      </c>
      <c r="CT120" s="87">
        <f t="shared" ref="CT120" si="249">CQ120/CS120</f>
        <v>0</v>
      </c>
      <c r="CU120" s="8"/>
      <c r="CV120" s="96">
        <f t="shared" ref="CV120" si="250">SQRT(SUMSQ(CT120,CN120,CH120,CB120))</f>
        <v>2.9704096238285611E-3</v>
      </c>
      <c r="CW120" s="89">
        <f t="shared" ref="CW120" si="251">(CV120^4)/(((CT120^4)/2)+((CN120^4)/200)+((CH120^4)/200)+((CB120^4)/200))</f>
        <v>223.43896119799561</v>
      </c>
      <c r="CX120" s="97">
        <f t="shared" si="240"/>
        <v>2</v>
      </c>
      <c r="CY120" s="107">
        <f t="shared" si="243"/>
        <v>5.9408192476571222E-3</v>
      </c>
      <c r="CZ120" s="108" t="str">
        <f t="shared" si="207"/>
        <v>A</v>
      </c>
      <c r="DA120" s="8"/>
      <c r="DB120" s="177">
        <v>1.6000000000000001E-3</v>
      </c>
      <c r="DC120" s="178" t="str">
        <f t="shared" ref="DC120" si="252">CZ120</f>
        <v>A</v>
      </c>
      <c r="DD120" s="220">
        <f t="shared" si="208"/>
        <v>5.9408192476571222E-3</v>
      </c>
      <c r="DE120" s="178" t="str">
        <f t="shared" ref="DE120" si="253">DC120</f>
        <v>A</v>
      </c>
    </row>
    <row r="121" spans="1:109" s="174" customFormat="1" ht="18" customHeight="1" thickBot="1">
      <c r="A121" s="173"/>
      <c r="B121" s="170"/>
      <c r="C121" s="139"/>
      <c r="D121" s="139"/>
      <c r="E121" s="139"/>
      <c r="F121" s="307"/>
      <c r="G121" s="308"/>
      <c r="H121" s="308"/>
      <c r="I121" s="308"/>
      <c r="J121" s="308"/>
      <c r="K121" s="309"/>
      <c r="L121" s="297">
        <f>10*90%</f>
        <v>9</v>
      </c>
      <c r="M121" s="298"/>
      <c r="N121" s="298"/>
      <c r="O121" s="298"/>
      <c r="P121" s="299" t="s">
        <v>149</v>
      </c>
      <c r="Q121" s="299"/>
      <c r="R121" s="300"/>
      <c r="S121" s="301" t="s">
        <v>56</v>
      </c>
      <c r="T121" s="301"/>
      <c r="U121" s="301"/>
      <c r="V121" s="301"/>
      <c r="W121" s="301"/>
      <c r="X121" s="291">
        <v>9</v>
      </c>
      <c r="Y121" s="291"/>
      <c r="Z121" s="291"/>
      <c r="AA121" s="291"/>
      <c r="AB121" s="291"/>
      <c r="AC121" s="291">
        <v>9</v>
      </c>
      <c r="AD121" s="291"/>
      <c r="AE121" s="291"/>
      <c r="AF121" s="291"/>
      <c r="AG121" s="291"/>
      <c r="AH121" s="291">
        <v>9</v>
      </c>
      <c r="AI121" s="291"/>
      <c r="AJ121" s="291"/>
      <c r="AK121" s="291"/>
      <c r="AL121" s="291"/>
      <c r="AM121" s="303">
        <f t="shared" ref="AM121" si="254">AVERAGE(X121:AL121)</f>
        <v>9</v>
      </c>
      <c r="AN121" s="303"/>
      <c r="AO121" s="303"/>
      <c r="AP121" s="303"/>
      <c r="AQ121" s="303"/>
      <c r="AR121" s="303">
        <f t="shared" ref="AR121" si="255">AM121-L121</f>
        <v>0</v>
      </c>
      <c r="AS121" s="303"/>
      <c r="AT121" s="303"/>
      <c r="AU121" s="303"/>
      <c r="AV121" s="303"/>
      <c r="AW121" s="139"/>
      <c r="AX121" s="139"/>
      <c r="AY121" s="139"/>
      <c r="AZ121" s="172"/>
      <c r="BA121" s="173"/>
      <c r="BB121" s="303">
        <f>(AM121*0.2%)+(2*CK121)</f>
        <v>3.8000000000000006E-2</v>
      </c>
      <c r="BC121" s="303"/>
      <c r="BD121" s="303"/>
      <c r="BE121" s="303"/>
      <c r="BF121" s="303"/>
      <c r="BG121" s="291">
        <f t="shared" si="189"/>
        <v>9.0380000000000003</v>
      </c>
      <c r="BH121" s="291"/>
      <c r="BI121" s="291"/>
      <c r="BJ121" s="291"/>
      <c r="BK121" s="291"/>
      <c r="BL121" s="291">
        <f t="shared" si="190"/>
        <v>8.9619999999999997</v>
      </c>
      <c r="BM121" s="291"/>
      <c r="BN121" s="291"/>
      <c r="BO121" s="291"/>
      <c r="BP121" s="291"/>
      <c r="BQ121" s="292" t="str">
        <f t="shared" si="191"/>
        <v>PASS</v>
      </c>
      <c r="BR121" s="292"/>
      <c r="BS121" s="292"/>
      <c r="BT121" s="292"/>
      <c r="BU121" s="292"/>
      <c r="BV121" s="173"/>
      <c r="BX121" s="216" t="s">
        <v>128</v>
      </c>
      <c r="BY121" s="215">
        <v>1.4E-3</v>
      </c>
      <c r="BZ121" s="74" t="str">
        <f t="shared" si="192"/>
        <v>A</v>
      </c>
      <c r="CA121" s="212">
        <v>2</v>
      </c>
      <c r="CB121" s="213">
        <f t="shared" ref="CB121" si="256">BY121/CA121</f>
        <v>6.9999999999999999E-4</v>
      </c>
      <c r="CC121" s="4"/>
      <c r="CD121" s="73" t="s">
        <v>130</v>
      </c>
      <c r="CE121" s="89">
        <v>0</v>
      </c>
      <c r="CF121" s="74" t="str">
        <f t="shared" si="231"/>
        <v>A</v>
      </c>
      <c r="CG121" s="82">
        <f t="shared" si="232"/>
        <v>1.7320508075688772</v>
      </c>
      <c r="CH121" s="79">
        <f t="shared" si="233"/>
        <v>0</v>
      </c>
      <c r="CI121" s="4"/>
      <c r="CJ121" s="73" t="s">
        <v>92</v>
      </c>
      <c r="CK121" s="183">
        <v>0.01</v>
      </c>
      <c r="CL121" s="74" t="str">
        <f t="shared" si="197"/>
        <v>A</v>
      </c>
      <c r="CM121" s="82">
        <f t="shared" si="234"/>
        <v>3.4641016151377544</v>
      </c>
      <c r="CN121" s="79">
        <f t="shared" si="235"/>
        <v>2.886751345948129E-3</v>
      </c>
      <c r="CO121" s="4"/>
      <c r="CP121" s="73" t="s">
        <v>70</v>
      </c>
      <c r="CQ121" s="84">
        <f t="shared" si="200"/>
        <v>0</v>
      </c>
      <c r="CR121" s="74" t="str">
        <f t="shared" si="201"/>
        <v>A</v>
      </c>
      <c r="CS121" s="82">
        <f t="shared" si="236"/>
        <v>1.7320508075688772</v>
      </c>
      <c r="CT121" s="87">
        <f t="shared" si="237"/>
        <v>0</v>
      </c>
      <c r="CU121" s="8"/>
      <c r="CV121" s="96">
        <f t="shared" si="238"/>
        <v>2.9704096238285611E-3</v>
      </c>
      <c r="CW121" s="89">
        <f t="shared" si="239"/>
        <v>223.43896119799561</v>
      </c>
      <c r="CX121" s="97">
        <f t="shared" ref="CX121" si="257">ROUND(TINV(0.05,CW121),0)</f>
        <v>2</v>
      </c>
      <c r="CY121" s="107">
        <f t="shared" ref="CY121" si="258">(CV121*CX121)</f>
        <v>5.9408192476571222E-3</v>
      </c>
      <c r="CZ121" s="108" t="str">
        <f t="shared" si="207"/>
        <v>A</v>
      </c>
      <c r="DA121" s="8"/>
      <c r="DB121" s="177">
        <v>1.6000000000000001E-3</v>
      </c>
      <c r="DC121" s="178" t="str">
        <f t="shared" si="244"/>
        <v>A</v>
      </c>
      <c r="DD121" s="220">
        <f t="shared" si="208"/>
        <v>5.9408192476571222E-3</v>
      </c>
      <c r="DE121" s="178" t="str">
        <f t="shared" si="245"/>
        <v>A</v>
      </c>
    </row>
    <row r="122" spans="1:109" s="143" customFormat="1" ht="13.5" customHeight="1" thickBot="1">
      <c r="A122" s="136"/>
      <c r="B122" s="166"/>
      <c r="C122" s="167"/>
      <c r="D122" s="167"/>
      <c r="E122" s="167"/>
      <c r="F122" s="167"/>
      <c r="G122" s="167"/>
      <c r="H122" s="167"/>
      <c r="I122" s="167"/>
      <c r="J122" s="167"/>
      <c r="K122" s="167"/>
      <c r="L122" s="167"/>
      <c r="M122" s="167"/>
      <c r="N122" s="167"/>
      <c r="O122" s="167"/>
      <c r="P122" s="167"/>
      <c r="Q122" s="167"/>
      <c r="R122" s="167"/>
      <c r="S122" s="167"/>
      <c r="T122" s="167"/>
      <c r="U122" s="167"/>
      <c r="V122" s="167"/>
      <c r="W122" s="167"/>
      <c r="X122" s="167"/>
      <c r="Y122" s="167"/>
      <c r="Z122" s="167"/>
      <c r="AA122" s="167"/>
      <c r="AB122" s="167"/>
      <c r="AC122" s="167"/>
      <c r="AD122" s="167"/>
      <c r="AE122" s="167"/>
      <c r="AF122" s="167"/>
      <c r="AG122" s="167"/>
      <c r="AH122" s="167"/>
      <c r="AI122" s="167"/>
      <c r="AJ122" s="167"/>
      <c r="AK122" s="167"/>
      <c r="AL122" s="167"/>
      <c r="AM122" s="167"/>
      <c r="AN122" s="167"/>
      <c r="AO122" s="167"/>
      <c r="AP122" s="167"/>
      <c r="AQ122" s="167"/>
      <c r="AR122" s="167"/>
      <c r="AS122" s="167"/>
      <c r="AT122" s="167"/>
      <c r="AU122" s="167"/>
      <c r="AV122" s="167"/>
      <c r="AW122" s="167"/>
      <c r="AX122" s="167"/>
      <c r="AY122" s="167"/>
      <c r="AZ122" s="168"/>
      <c r="BA122" s="136"/>
      <c r="BB122" s="136"/>
      <c r="BC122" s="136"/>
      <c r="BD122" s="136"/>
      <c r="BE122" s="136"/>
      <c r="BF122" s="136"/>
      <c r="BG122" s="136"/>
      <c r="BH122" s="136"/>
      <c r="BI122" s="136"/>
      <c r="BJ122" s="136"/>
      <c r="BK122" s="136"/>
      <c r="BL122" s="136"/>
      <c r="BM122" s="136"/>
      <c r="BN122" s="136"/>
      <c r="BO122" s="136"/>
      <c r="BP122" s="136"/>
      <c r="BQ122" s="136"/>
      <c r="BR122" s="136"/>
      <c r="BS122" s="136"/>
      <c r="BT122" s="136"/>
      <c r="BU122" s="136"/>
      <c r="BV122" s="136"/>
      <c r="BY122" s="218"/>
    </row>
    <row r="123" spans="1:109" s="7" customFormat="1" ht="12.75" customHeight="1" thickBot="1">
      <c r="A123" s="169"/>
      <c r="B123" s="170"/>
      <c r="C123" s="139"/>
      <c r="D123" s="138"/>
      <c r="E123" s="139"/>
      <c r="F123" s="171" t="s">
        <v>103</v>
      </c>
      <c r="G123" s="139"/>
      <c r="H123" s="139"/>
      <c r="I123" s="139"/>
      <c r="J123" s="139"/>
      <c r="K123" s="139"/>
      <c r="L123" s="139"/>
      <c r="M123" s="139"/>
      <c r="N123" s="139"/>
      <c r="O123" s="139"/>
      <c r="P123" s="139"/>
      <c r="Q123" s="139"/>
      <c r="R123" s="139"/>
      <c r="S123" s="139"/>
      <c r="T123" s="139"/>
      <c r="U123" s="139"/>
      <c r="V123" s="139"/>
      <c r="W123" s="139"/>
      <c r="X123" s="139"/>
      <c r="Y123" s="139"/>
      <c r="Z123" s="139"/>
      <c r="AA123" s="139"/>
      <c r="AB123" s="139"/>
      <c r="AC123" s="139"/>
      <c r="AD123" s="139"/>
      <c r="AE123" s="139"/>
      <c r="AF123" s="139"/>
      <c r="AG123" s="139"/>
      <c r="AH123" s="139"/>
      <c r="AI123" s="139"/>
      <c r="AJ123" s="139"/>
      <c r="AK123" s="139"/>
      <c r="AL123" s="139"/>
      <c r="AM123" s="139"/>
      <c r="AN123" s="139"/>
      <c r="AO123" s="139"/>
      <c r="AP123" s="139"/>
      <c r="AQ123" s="139"/>
      <c r="AR123" s="139"/>
      <c r="AS123" s="139"/>
      <c r="AT123" s="139"/>
      <c r="AU123" s="139"/>
      <c r="AV123" s="139"/>
      <c r="AW123" s="139"/>
      <c r="AX123" s="139"/>
      <c r="AY123" s="139"/>
      <c r="AZ123" s="172"/>
      <c r="BA123" s="169"/>
      <c r="BB123" s="321" t="s">
        <v>124</v>
      </c>
      <c r="BC123" s="321"/>
      <c r="BD123" s="321"/>
      <c r="BE123" s="321"/>
      <c r="BF123" s="321"/>
      <c r="BG123" s="321"/>
      <c r="BH123" s="321"/>
      <c r="BI123" s="321"/>
      <c r="BJ123" s="321"/>
      <c r="BK123" s="321"/>
      <c r="BL123" s="321"/>
      <c r="BM123" s="321"/>
      <c r="BN123" s="321"/>
      <c r="BO123" s="321"/>
      <c r="BP123" s="321"/>
      <c r="BQ123" s="321"/>
      <c r="BR123" s="321"/>
      <c r="BS123" s="321"/>
      <c r="BT123" s="321"/>
      <c r="BU123" s="321"/>
      <c r="BV123" s="169"/>
      <c r="BX123" s="363" t="s">
        <v>69</v>
      </c>
      <c r="BY123" s="364"/>
      <c r="BZ123" s="364"/>
      <c r="CA123" s="364"/>
      <c r="CB123" s="365"/>
      <c r="CC123" s="2"/>
      <c r="CD123" s="363" t="s">
        <v>69</v>
      </c>
      <c r="CE123" s="364"/>
      <c r="CF123" s="364"/>
      <c r="CG123" s="364"/>
      <c r="CH123" s="365"/>
      <c r="CI123" s="2"/>
      <c r="CJ123" s="363" t="s">
        <v>129</v>
      </c>
      <c r="CK123" s="364"/>
      <c r="CL123" s="364"/>
      <c r="CM123" s="364"/>
      <c r="CN123" s="365"/>
      <c r="CO123" s="2"/>
      <c r="CP123" s="363" t="s">
        <v>129</v>
      </c>
      <c r="CQ123" s="364"/>
      <c r="CR123" s="364"/>
      <c r="CS123" s="364"/>
      <c r="CT123" s="365"/>
      <c r="CV123" s="363" t="s">
        <v>71</v>
      </c>
      <c r="CW123" s="364"/>
      <c r="CX123" s="364"/>
      <c r="CY123" s="364"/>
      <c r="CZ123" s="365"/>
      <c r="DB123" s="351" t="s">
        <v>116</v>
      </c>
      <c r="DC123" s="352"/>
      <c r="DD123" s="354" t="s">
        <v>117</v>
      </c>
      <c r="DE123" s="354"/>
    </row>
    <row r="124" spans="1:109" s="174" customFormat="1" ht="18" customHeight="1">
      <c r="A124" s="173"/>
      <c r="B124" s="170"/>
      <c r="C124" s="139"/>
      <c r="D124" s="139"/>
      <c r="E124" s="139"/>
      <c r="F124" s="328" t="s">
        <v>27</v>
      </c>
      <c r="G124" s="328"/>
      <c r="H124" s="328"/>
      <c r="I124" s="328"/>
      <c r="J124" s="328"/>
      <c r="K124" s="328"/>
      <c r="L124" s="328" t="s">
        <v>28</v>
      </c>
      <c r="M124" s="328"/>
      <c r="N124" s="328"/>
      <c r="O124" s="328"/>
      <c r="P124" s="328"/>
      <c r="Q124" s="328"/>
      <c r="R124" s="328"/>
      <c r="S124" s="328" t="s">
        <v>72</v>
      </c>
      <c r="T124" s="328"/>
      <c r="U124" s="328"/>
      <c r="V124" s="328"/>
      <c r="W124" s="328"/>
      <c r="X124" s="328" t="s">
        <v>73</v>
      </c>
      <c r="Y124" s="328"/>
      <c r="Z124" s="328"/>
      <c r="AA124" s="328"/>
      <c r="AB124" s="328"/>
      <c r="AC124" s="328"/>
      <c r="AD124" s="328"/>
      <c r="AE124" s="328"/>
      <c r="AF124" s="328"/>
      <c r="AG124" s="328"/>
      <c r="AH124" s="328"/>
      <c r="AI124" s="328"/>
      <c r="AJ124" s="328"/>
      <c r="AK124" s="328"/>
      <c r="AL124" s="328"/>
      <c r="AM124" s="328" t="s">
        <v>74</v>
      </c>
      <c r="AN124" s="328"/>
      <c r="AO124" s="328"/>
      <c r="AP124" s="328"/>
      <c r="AQ124" s="328"/>
      <c r="AR124" s="328" t="s">
        <v>29</v>
      </c>
      <c r="AS124" s="328"/>
      <c r="AT124" s="328"/>
      <c r="AU124" s="328"/>
      <c r="AV124" s="328"/>
      <c r="AW124" s="139"/>
      <c r="AX124" s="139"/>
      <c r="AY124" s="139"/>
      <c r="AZ124" s="172"/>
      <c r="BA124" s="173"/>
      <c r="BB124" s="328" t="s">
        <v>75</v>
      </c>
      <c r="BC124" s="328"/>
      <c r="BD124" s="328"/>
      <c r="BE124" s="328"/>
      <c r="BF124" s="328"/>
      <c r="BG124" s="328" t="s">
        <v>76</v>
      </c>
      <c r="BH124" s="328"/>
      <c r="BI124" s="328"/>
      <c r="BJ124" s="328"/>
      <c r="BK124" s="328"/>
      <c r="BL124" s="328" t="s">
        <v>77</v>
      </c>
      <c r="BM124" s="328"/>
      <c r="BN124" s="328"/>
      <c r="BO124" s="328"/>
      <c r="BP124" s="328"/>
      <c r="BQ124" s="328" t="s">
        <v>78</v>
      </c>
      <c r="BR124" s="328"/>
      <c r="BS124" s="328"/>
      <c r="BT124" s="328"/>
      <c r="BU124" s="328"/>
      <c r="BV124" s="173"/>
      <c r="BX124" s="357" t="s">
        <v>79</v>
      </c>
      <c r="BY124" s="355" t="s">
        <v>114</v>
      </c>
      <c r="BZ124" s="355" t="s">
        <v>80</v>
      </c>
      <c r="CA124" s="359" t="s">
        <v>81</v>
      </c>
      <c r="CB124" s="361" t="s">
        <v>82</v>
      </c>
      <c r="CC124" s="3"/>
      <c r="CD124" s="357" t="s">
        <v>79</v>
      </c>
      <c r="CE124" s="355" t="s">
        <v>114</v>
      </c>
      <c r="CF124" s="355" t="s">
        <v>80</v>
      </c>
      <c r="CG124" s="359" t="s">
        <v>81</v>
      </c>
      <c r="CH124" s="361" t="s">
        <v>82</v>
      </c>
      <c r="CI124" s="3"/>
      <c r="CJ124" s="357" t="s">
        <v>79</v>
      </c>
      <c r="CK124" s="355" t="s">
        <v>114</v>
      </c>
      <c r="CL124" s="355" t="s">
        <v>80</v>
      </c>
      <c r="CM124" s="359" t="s">
        <v>81</v>
      </c>
      <c r="CN124" s="361" t="s">
        <v>82</v>
      </c>
      <c r="CO124" s="3"/>
      <c r="CP124" s="357" t="s">
        <v>79</v>
      </c>
      <c r="CQ124" s="355" t="s">
        <v>114</v>
      </c>
      <c r="CR124" s="355" t="s">
        <v>80</v>
      </c>
      <c r="CS124" s="359" t="s">
        <v>81</v>
      </c>
      <c r="CT124" s="361" t="s">
        <v>82</v>
      </c>
      <c r="CU124" s="8"/>
      <c r="CV124" s="119" t="s">
        <v>83</v>
      </c>
      <c r="CW124" s="101" t="s">
        <v>84</v>
      </c>
      <c r="CX124" s="121" t="s">
        <v>85</v>
      </c>
      <c r="CY124" s="357" t="s">
        <v>86</v>
      </c>
      <c r="CZ124" s="370"/>
      <c r="DA124" s="8"/>
      <c r="DB124" s="351"/>
      <c r="DC124" s="352"/>
      <c r="DD124" s="354"/>
      <c r="DE124" s="354"/>
    </row>
    <row r="125" spans="1:109" s="174" customFormat="1" ht="18" customHeight="1" thickBot="1">
      <c r="A125" s="173"/>
      <c r="B125" s="170"/>
      <c r="C125" s="139"/>
      <c r="D125" s="139"/>
      <c r="E125" s="139"/>
      <c r="F125" s="328"/>
      <c r="G125" s="328"/>
      <c r="H125" s="328"/>
      <c r="I125" s="328"/>
      <c r="J125" s="328"/>
      <c r="K125" s="328"/>
      <c r="L125" s="328"/>
      <c r="M125" s="328"/>
      <c r="N125" s="328"/>
      <c r="O125" s="328"/>
      <c r="P125" s="328"/>
      <c r="Q125" s="328"/>
      <c r="R125" s="328"/>
      <c r="S125" s="328"/>
      <c r="T125" s="328"/>
      <c r="U125" s="328"/>
      <c r="V125" s="328"/>
      <c r="W125" s="328"/>
      <c r="X125" s="328">
        <v>1</v>
      </c>
      <c r="Y125" s="328"/>
      <c r="Z125" s="328"/>
      <c r="AA125" s="328"/>
      <c r="AB125" s="328"/>
      <c r="AC125" s="328">
        <v>2</v>
      </c>
      <c r="AD125" s="328"/>
      <c r="AE125" s="328"/>
      <c r="AF125" s="328"/>
      <c r="AG125" s="328"/>
      <c r="AH125" s="328">
        <v>3</v>
      </c>
      <c r="AI125" s="328"/>
      <c r="AJ125" s="328"/>
      <c r="AK125" s="328"/>
      <c r="AL125" s="328"/>
      <c r="AM125" s="328"/>
      <c r="AN125" s="328"/>
      <c r="AO125" s="328"/>
      <c r="AP125" s="328"/>
      <c r="AQ125" s="328"/>
      <c r="AR125" s="328"/>
      <c r="AS125" s="328"/>
      <c r="AT125" s="328"/>
      <c r="AU125" s="328"/>
      <c r="AV125" s="328"/>
      <c r="AW125" s="139"/>
      <c r="AX125" s="139"/>
      <c r="AY125" s="139"/>
      <c r="AZ125" s="172"/>
      <c r="BA125" s="173"/>
      <c r="BB125" s="328"/>
      <c r="BC125" s="328"/>
      <c r="BD125" s="328"/>
      <c r="BE125" s="328"/>
      <c r="BF125" s="328"/>
      <c r="BG125" s="328"/>
      <c r="BH125" s="328"/>
      <c r="BI125" s="328"/>
      <c r="BJ125" s="328"/>
      <c r="BK125" s="328"/>
      <c r="BL125" s="328"/>
      <c r="BM125" s="328"/>
      <c r="BN125" s="328"/>
      <c r="BO125" s="328"/>
      <c r="BP125" s="328"/>
      <c r="BQ125" s="328"/>
      <c r="BR125" s="328"/>
      <c r="BS125" s="328"/>
      <c r="BT125" s="328"/>
      <c r="BU125" s="328"/>
      <c r="BV125" s="173"/>
      <c r="BX125" s="358"/>
      <c r="BY125" s="356"/>
      <c r="BZ125" s="407"/>
      <c r="CA125" s="360"/>
      <c r="CB125" s="362"/>
      <c r="CC125" s="3"/>
      <c r="CD125" s="358"/>
      <c r="CE125" s="356"/>
      <c r="CF125" s="356"/>
      <c r="CG125" s="360"/>
      <c r="CH125" s="362"/>
      <c r="CI125" s="3"/>
      <c r="CJ125" s="358"/>
      <c r="CK125" s="356"/>
      <c r="CL125" s="356"/>
      <c r="CM125" s="360"/>
      <c r="CN125" s="362"/>
      <c r="CO125" s="3"/>
      <c r="CP125" s="358"/>
      <c r="CQ125" s="356"/>
      <c r="CR125" s="356"/>
      <c r="CS125" s="360"/>
      <c r="CT125" s="362"/>
      <c r="CU125" s="8"/>
      <c r="CV125" s="120" t="s">
        <v>87</v>
      </c>
      <c r="CW125" s="102" t="s">
        <v>88</v>
      </c>
      <c r="CX125" s="122" t="s">
        <v>89</v>
      </c>
      <c r="CY125" s="358" t="s">
        <v>90</v>
      </c>
      <c r="CZ125" s="371"/>
      <c r="DA125" s="8"/>
      <c r="DB125" s="351"/>
      <c r="DC125" s="352"/>
      <c r="DD125" s="354"/>
      <c r="DE125" s="354"/>
    </row>
    <row r="126" spans="1:109" s="174" customFormat="1" ht="18" customHeight="1" thickBot="1">
      <c r="A126" s="173"/>
      <c r="B126" s="170"/>
      <c r="C126" s="139"/>
      <c r="D126" s="139"/>
      <c r="E126" s="139"/>
      <c r="F126" s="293" t="s">
        <v>146</v>
      </c>
      <c r="G126" s="294"/>
      <c r="H126" s="294"/>
      <c r="I126" s="294"/>
      <c r="J126" s="294"/>
      <c r="K126" s="295"/>
      <c r="L126" s="297">
        <f>600*90%</f>
        <v>540</v>
      </c>
      <c r="M126" s="298"/>
      <c r="N126" s="298"/>
      <c r="O126" s="298"/>
      <c r="P126" s="299" t="s">
        <v>148</v>
      </c>
      <c r="Q126" s="299"/>
      <c r="R126" s="300"/>
      <c r="S126" s="301" t="s">
        <v>96</v>
      </c>
      <c r="T126" s="301"/>
      <c r="U126" s="301"/>
      <c r="V126" s="301"/>
      <c r="W126" s="301"/>
      <c r="X126" s="291">
        <v>540</v>
      </c>
      <c r="Y126" s="291"/>
      <c r="Z126" s="291"/>
      <c r="AA126" s="291"/>
      <c r="AB126" s="291"/>
      <c r="AC126" s="291">
        <v>540</v>
      </c>
      <c r="AD126" s="291"/>
      <c r="AE126" s="291"/>
      <c r="AF126" s="291"/>
      <c r="AG126" s="291"/>
      <c r="AH126" s="291">
        <v>540</v>
      </c>
      <c r="AI126" s="291"/>
      <c r="AJ126" s="291"/>
      <c r="AK126" s="291"/>
      <c r="AL126" s="291"/>
      <c r="AM126" s="291">
        <f>AVERAGE(X126:AL126)</f>
        <v>540</v>
      </c>
      <c r="AN126" s="291"/>
      <c r="AO126" s="291"/>
      <c r="AP126" s="291"/>
      <c r="AQ126" s="291"/>
      <c r="AR126" s="291">
        <f>AM126-L126</f>
        <v>0</v>
      </c>
      <c r="AS126" s="291"/>
      <c r="AT126" s="291"/>
      <c r="AU126" s="291"/>
      <c r="AV126" s="291"/>
      <c r="AW126" s="139"/>
      <c r="AX126" s="139"/>
      <c r="AY126" s="139"/>
      <c r="AZ126" s="172"/>
      <c r="BA126" s="173"/>
      <c r="BB126" s="303">
        <f>(AM126*1%)+(2*CK126)</f>
        <v>5.6000000000000005</v>
      </c>
      <c r="BC126" s="303"/>
      <c r="BD126" s="303"/>
      <c r="BE126" s="303"/>
      <c r="BF126" s="303"/>
      <c r="BG126" s="303">
        <f t="shared" ref="BG126:BG137" si="259">L126+BB126</f>
        <v>545.6</v>
      </c>
      <c r="BH126" s="303"/>
      <c r="BI126" s="303"/>
      <c r="BJ126" s="303"/>
      <c r="BK126" s="303"/>
      <c r="BL126" s="303">
        <f t="shared" ref="BL126:BL137" si="260">L126-BB126</f>
        <v>534.4</v>
      </c>
      <c r="BM126" s="303"/>
      <c r="BN126" s="303"/>
      <c r="BO126" s="303"/>
      <c r="BP126" s="303"/>
      <c r="BQ126" s="292" t="str">
        <f t="shared" ref="BQ126:BQ137" si="261">IF(AND(AM126&lt;=BG126,AM126&gt;=BL126),"PASS","FAIL")</f>
        <v>PASS</v>
      </c>
      <c r="BR126" s="292"/>
      <c r="BS126" s="292"/>
      <c r="BT126" s="292"/>
      <c r="BU126" s="292"/>
      <c r="BV126" s="173"/>
      <c r="BX126" s="70" t="s">
        <v>128</v>
      </c>
      <c r="BY126" s="205">
        <v>1.7</v>
      </c>
      <c r="BZ126" s="71" t="str">
        <f t="shared" ref="BZ126:BZ137" si="262">P126</f>
        <v>µA</v>
      </c>
      <c r="CA126" s="191">
        <v>2</v>
      </c>
      <c r="CB126" s="77">
        <f t="shared" ref="CB126:CB129" si="263">BY126/CA126</f>
        <v>0.85</v>
      </c>
      <c r="CC126" s="4"/>
      <c r="CD126" s="70" t="s">
        <v>130</v>
      </c>
      <c r="CE126" s="88">
        <v>0</v>
      </c>
      <c r="CF126" s="71" t="str">
        <f t="shared" ref="CF126:CF129" si="264">BZ126</f>
        <v>µA</v>
      </c>
      <c r="CG126" s="80">
        <f t="shared" ref="CG126:CG129" si="265">SQRT(3)</f>
        <v>1.7320508075688772</v>
      </c>
      <c r="CH126" s="77">
        <f t="shared" ref="CH126:CH129" si="266">CE126/CG126</f>
        <v>0</v>
      </c>
      <c r="CI126" s="4"/>
      <c r="CJ126" s="70" t="s">
        <v>92</v>
      </c>
      <c r="CK126" s="176">
        <v>0.1</v>
      </c>
      <c r="CL126" s="71" t="str">
        <f>P126</f>
        <v>µA</v>
      </c>
      <c r="CM126" s="80">
        <f t="shared" ref="CM126:CM129" si="267">SQRT(12)</f>
        <v>3.4641016151377544</v>
      </c>
      <c r="CN126" s="77">
        <f t="shared" ref="CN126:CN129" si="268">CK126/CM126</f>
        <v>2.8867513459481291E-2</v>
      </c>
      <c r="CO126" s="4"/>
      <c r="CP126" s="70" t="s">
        <v>70</v>
      </c>
      <c r="CQ126" s="83">
        <f t="shared" ref="CQ126:CQ137" si="269">STDEV(X126:AL126)</f>
        <v>0</v>
      </c>
      <c r="CR126" s="71" t="str">
        <f t="shared" ref="CR126:CR137" si="270">P126</f>
        <v>µA</v>
      </c>
      <c r="CS126" s="80">
        <f t="shared" ref="CS126:CS129" si="271">SQRT(3)</f>
        <v>1.7320508075688772</v>
      </c>
      <c r="CT126" s="85">
        <f t="shared" ref="CT126:CT129" si="272">CQ126/CS126</f>
        <v>0</v>
      </c>
      <c r="CU126" s="8"/>
      <c r="CV126" s="98">
        <f t="shared" ref="CV126:CV129" si="273">SQRT(SUMSQ(CT126,CN126,CH126,CB126))</f>
        <v>0.85049005481153817</v>
      </c>
      <c r="CW126" s="99">
        <f t="shared" ref="CW126:CW129" si="274">(CV126^4)/(((CT126^4)/2)+((CN126^4)/200)+((CH126^4)/200)+((CB126^4)/200))</f>
        <v>200.46136040122914</v>
      </c>
      <c r="CX126" s="100">
        <f t="shared" ref="CX126:CX129" si="275">ROUND(TINV(0.05,CW126),0)</f>
        <v>2</v>
      </c>
      <c r="CY126" s="103">
        <f>(CV126*CX126)</f>
        <v>1.7009801096230763</v>
      </c>
      <c r="CZ126" s="104" t="str">
        <f>P126</f>
        <v>µA</v>
      </c>
      <c r="DA126" s="8"/>
      <c r="DB126" s="177">
        <v>3.6999999999999999E-4</v>
      </c>
      <c r="DC126" s="178" t="str">
        <f>CZ126</f>
        <v>µA</v>
      </c>
      <c r="DD126" s="220">
        <f t="shared" ref="DD126:DD137" si="276">MAX(DB126,CY126)</f>
        <v>1.7009801096230763</v>
      </c>
      <c r="DE126" s="178" t="str">
        <f>DC126</f>
        <v>µA</v>
      </c>
    </row>
    <row r="127" spans="1:109" s="174" customFormat="1" ht="18" customHeight="1">
      <c r="A127" s="173"/>
      <c r="B127" s="170"/>
      <c r="C127" s="139"/>
      <c r="D127" s="139"/>
      <c r="E127" s="139"/>
      <c r="F127" s="296"/>
      <c r="G127" s="294"/>
      <c r="H127" s="294"/>
      <c r="I127" s="294"/>
      <c r="J127" s="294"/>
      <c r="K127" s="295"/>
      <c r="L127" s="297">
        <f>600*90%</f>
        <v>540</v>
      </c>
      <c r="M127" s="298"/>
      <c r="N127" s="298"/>
      <c r="O127" s="298"/>
      <c r="P127" s="299" t="s">
        <v>148</v>
      </c>
      <c r="Q127" s="299"/>
      <c r="R127" s="300"/>
      <c r="S127" s="301" t="s">
        <v>143</v>
      </c>
      <c r="T127" s="301"/>
      <c r="U127" s="301"/>
      <c r="V127" s="301"/>
      <c r="W127" s="301"/>
      <c r="X127" s="291">
        <v>540</v>
      </c>
      <c r="Y127" s="291"/>
      <c r="Z127" s="291"/>
      <c r="AA127" s="291"/>
      <c r="AB127" s="291"/>
      <c r="AC127" s="291">
        <v>540</v>
      </c>
      <c r="AD127" s="291"/>
      <c r="AE127" s="291"/>
      <c r="AF127" s="291"/>
      <c r="AG127" s="291"/>
      <c r="AH127" s="291">
        <v>540</v>
      </c>
      <c r="AI127" s="291"/>
      <c r="AJ127" s="291"/>
      <c r="AK127" s="291"/>
      <c r="AL127" s="291"/>
      <c r="AM127" s="291">
        <f t="shared" ref="AM127:AM129" si="277">AVERAGE(X127:AL127)</f>
        <v>540</v>
      </c>
      <c r="AN127" s="291"/>
      <c r="AO127" s="291"/>
      <c r="AP127" s="291"/>
      <c r="AQ127" s="291"/>
      <c r="AR127" s="291">
        <f t="shared" ref="AR127:AR129" si="278">AM127-L127</f>
        <v>0</v>
      </c>
      <c r="AS127" s="291"/>
      <c r="AT127" s="291"/>
      <c r="AU127" s="291"/>
      <c r="AV127" s="291"/>
      <c r="AW127" s="139"/>
      <c r="AX127" s="139"/>
      <c r="AY127" s="139"/>
      <c r="AZ127" s="172"/>
      <c r="BA127" s="173"/>
      <c r="BB127" s="303">
        <f>(AM127*1%)+(2*CK127)</f>
        <v>5.6000000000000005</v>
      </c>
      <c r="BC127" s="303"/>
      <c r="BD127" s="303"/>
      <c r="BE127" s="303"/>
      <c r="BF127" s="303"/>
      <c r="BG127" s="291">
        <f t="shared" si="259"/>
        <v>545.6</v>
      </c>
      <c r="BH127" s="291"/>
      <c r="BI127" s="291"/>
      <c r="BJ127" s="291"/>
      <c r="BK127" s="291"/>
      <c r="BL127" s="291">
        <f t="shared" si="260"/>
        <v>534.4</v>
      </c>
      <c r="BM127" s="291"/>
      <c r="BN127" s="291"/>
      <c r="BO127" s="291"/>
      <c r="BP127" s="291"/>
      <c r="BQ127" s="292" t="str">
        <f t="shared" si="261"/>
        <v>PASS</v>
      </c>
      <c r="BR127" s="292"/>
      <c r="BS127" s="292"/>
      <c r="BT127" s="292"/>
      <c r="BU127" s="292"/>
      <c r="BV127" s="173"/>
      <c r="BX127" s="72" t="s">
        <v>128</v>
      </c>
      <c r="BY127" s="205">
        <v>1.7</v>
      </c>
      <c r="BZ127" s="1" t="str">
        <f t="shared" si="262"/>
        <v>µA</v>
      </c>
      <c r="CA127" s="180">
        <v>2</v>
      </c>
      <c r="CB127" s="78">
        <f t="shared" si="263"/>
        <v>0.85</v>
      </c>
      <c r="CC127" s="4"/>
      <c r="CD127" s="72" t="s">
        <v>130</v>
      </c>
      <c r="CE127" s="5">
        <v>0</v>
      </c>
      <c r="CF127" s="1" t="str">
        <f t="shared" si="264"/>
        <v>µA</v>
      </c>
      <c r="CG127" s="81">
        <f t="shared" si="265"/>
        <v>1.7320508075688772</v>
      </c>
      <c r="CH127" s="78">
        <f t="shared" si="266"/>
        <v>0</v>
      </c>
      <c r="CI127" s="4"/>
      <c r="CJ127" s="72" t="s">
        <v>92</v>
      </c>
      <c r="CK127" s="181">
        <v>0.1</v>
      </c>
      <c r="CL127" s="1" t="str">
        <f>P127</f>
        <v>µA</v>
      </c>
      <c r="CM127" s="81">
        <f t="shared" si="267"/>
        <v>3.4641016151377544</v>
      </c>
      <c r="CN127" s="78">
        <f t="shared" si="268"/>
        <v>2.8867513459481291E-2</v>
      </c>
      <c r="CO127" s="4"/>
      <c r="CP127" s="72" t="s">
        <v>70</v>
      </c>
      <c r="CQ127" s="6">
        <f t="shared" si="269"/>
        <v>0</v>
      </c>
      <c r="CR127" s="1" t="str">
        <f t="shared" si="270"/>
        <v>µA</v>
      </c>
      <c r="CS127" s="81">
        <f t="shared" si="271"/>
        <v>1.7320508075688772</v>
      </c>
      <c r="CT127" s="86">
        <f t="shared" si="272"/>
        <v>0</v>
      </c>
      <c r="CU127" s="8"/>
      <c r="CV127" s="94">
        <f t="shared" si="273"/>
        <v>0.85049005481153817</v>
      </c>
      <c r="CW127" s="5">
        <f t="shared" si="274"/>
        <v>200.46136040122914</v>
      </c>
      <c r="CX127" s="95">
        <f t="shared" si="275"/>
        <v>2</v>
      </c>
      <c r="CY127" s="105">
        <f t="shared" ref="CY127:CY128" si="279">(CV127*CX127)</f>
        <v>1.7009801096230763</v>
      </c>
      <c r="CZ127" s="106" t="str">
        <f>P127</f>
        <v>µA</v>
      </c>
      <c r="DA127" s="8"/>
      <c r="DB127" s="177">
        <v>3.6999999999999999E-4</v>
      </c>
      <c r="DC127" s="178" t="str">
        <f t="shared" ref="DC127:DC129" si="280">CZ127</f>
        <v>µA</v>
      </c>
      <c r="DD127" s="220">
        <f t="shared" si="276"/>
        <v>1.7009801096230763</v>
      </c>
      <c r="DE127" s="178" t="str">
        <f t="shared" ref="DE127:DE129" si="281">DC127</f>
        <v>µA</v>
      </c>
    </row>
    <row r="128" spans="1:109" s="174" customFormat="1" ht="18" customHeight="1">
      <c r="A128" s="173"/>
      <c r="B128" s="170"/>
      <c r="C128" s="139"/>
      <c r="D128" s="139"/>
      <c r="E128" s="139"/>
      <c r="F128" s="293" t="s">
        <v>159</v>
      </c>
      <c r="G128" s="294"/>
      <c r="H128" s="294"/>
      <c r="I128" s="294"/>
      <c r="J128" s="294"/>
      <c r="K128" s="295"/>
      <c r="L128" s="297">
        <f>6000*90%</f>
        <v>5400</v>
      </c>
      <c r="M128" s="298"/>
      <c r="N128" s="298"/>
      <c r="O128" s="298"/>
      <c r="P128" s="299" t="s">
        <v>148</v>
      </c>
      <c r="Q128" s="299"/>
      <c r="R128" s="300"/>
      <c r="S128" s="301" t="s">
        <v>96</v>
      </c>
      <c r="T128" s="301"/>
      <c r="U128" s="301"/>
      <c r="V128" s="301"/>
      <c r="W128" s="301"/>
      <c r="X128" s="291">
        <v>5400</v>
      </c>
      <c r="Y128" s="291"/>
      <c r="Z128" s="291"/>
      <c r="AA128" s="291"/>
      <c r="AB128" s="291"/>
      <c r="AC128" s="291">
        <v>5400</v>
      </c>
      <c r="AD128" s="291"/>
      <c r="AE128" s="291"/>
      <c r="AF128" s="291"/>
      <c r="AG128" s="291"/>
      <c r="AH128" s="291">
        <v>5400</v>
      </c>
      <c r="AI128" s="291"/>
      <c r="AJ128" s="291"/>
      <c r="AK128" s="291"/>
      <c r="AL128" s="291"/>
      <c r="AM128" s="302">
        <f t="shared" si="277"/>
        <v>5400</v>
      </c>
      <c r="AN128" s="302"/>
      <c r="AO128" s="302"/>
      <c r="AP128" s="302"/>
      <c r="AQ128" s="302"/>
      <c r="AR128" s="302">
        <f t="shared" si="278"/>
        <v>0</v>
      </c>
      <c r="AS128" s="302"/>
      <c r="AT128" s="302"/>
      <c r="AU128" s="302"/>
      <c r="AV128" s="302"/>
      <c r="AW128" s="139"/>
      <c r="AX128" s="139"/>
      <c r="AY128" s="139"/>
      <c r="AZ128" s="172"/>
      <c r="BA128" s="173"/>
      <c r="BB128" s="303">
        <f t="shared" ref="BB128:BB129" si="282">(AM128*1%)+(2*CK128)</f>
        <v>56</v>
      </c>
      <c r="BC128" s="303"/>
      <c r="BD128" s="303"/>
      <c r="BE128" s="303"/>
      <c r="BF128" s="303"/>
      <c r="BG128" s="291">
        <f t="shared" si="259"/>
        <v>5456</v>
      </c>
      <c r="BH128" s="291"/>
      <c r="BI128" s="291"/>
      <c r="BJ128" s="291"/>
      <c r="BK128" s="291"/>
      <c r="BL128" s="291">
        <f t="shared" si="260"/>
        <v>5344</v>
      </c>
      <c r="BM128" s="291"/>
      <c r="BN128" s="291"/>
      <c r="BO128" s="291"/>
      <c r="BP128" s="291"/>
      <c r="BQ128" s="292" t="str">
        <f t="shared" si="261"/>
        <v>PASS</v>
      </c>
      <c r="BR128" s="292"/>
      <c r="BS128" s="292"/>
      <c r="BT128" s="292"/>
      <c r="BU128" s="292"/>
      <c r="BV128" s="173"/>
      <c r="BX128" s="72" t="s">
        <v>128</v>
      </c>
      <c r="BY128" s="192">
        <v>13</v>
      </c>
      <c r="BZ128" s="1" t="str">
        <f t="shared" si="262"/>
        <v>µA</v>
      </c>
      <c r="CA128" s="180">
        <v>2</v>
      </c>
      <c r="CB128" s="78">
        <f t="shared" si="263"/>
        <v>6.5</v>
      </c>
      <c r="CC128" s="4"/>
      <c r="CD128" s="72" t="s">
        <v>130</v>
      </c>
      <c r="CE128" s="5">
        <v>0</v>
      </c>
      <c r="CF128" s="1" t="str">
        <f t="shared" si="264"/>
        <v>µA</v>
      </c>
      <c r="CG128" s="81">
        <f t="shared" si="265"/>
        <v>1.7320508075688772</v>
      </c>
      <c r="CH128" s="78">
        <f t="shared" si="266"/>
        <v>0</v>
      </c>
      <c r="CI128" s="4"/>
      <c r="CJ128" s="72" t="s">
        <v>92</v>
      </c>
      <c r="CK128" s="181">
        <v>1</v>
      </c>
      <c r="CL128" s="1" t="str">
        <f>P128</f>
        <v>µA</v>
      </c>
      <c r="CM128" s="81">
        <f t="shared" si="267"/>
        <v>3.4641016151377544</v>
      </c>
      <c r="CN128" s="78">
        <f t="shared" si="268"/>
        <v>0.28867513459481292</v>
      </c>
      <c r="CO128" s="4"/>
      <c r="CP128" s="72" t="s">
        <v>70</v>
      </c>
      <c r="CQ128" s="6">
        <f t="shared" si="269"/>
        <v>0</v>
      </c>
      <c r="CR128" s="1" t="str">
        <f t="shared" si="270"/>
        <v>µA</v>
      </c>
      <c r="CS128" s="81">
        <f t="shared" si="271"/>
        <v>1.7320508075688772</v>
      </c>
      <c r="CT128" s="86">
        <f t="shared" si="272"/>
        <v>0</v>
      </c>
      <c r="CU128" s="8"/>
      <c r="CV128" s="94">
        <f t="shared" si="273"/>
        <v>6.5064070986477116</v>
      </c>
      <c r="CW128" s="5">
        <f t="shared" si="274"/>
        <v>200.78895156584323</v>
      </c>
      <c r="CX128" s="95">
        <f t="shared" si="275"/>
        <v>2</v>
      </c>
      <c r="CY128" s="105">
        <f t="shared" si="279"/>
        <v>13.012814197295423</v>
      </c>
      <c r="CZ128" s="106" t="str">
        <f t="shared" ref="CZ128:CZ129" si="283">P128</f>
        <v>µA</v>
      </c>
      <c r="DA128" s="8"/>
      <c r="DB128" s="177">
        <v>2.6</v>
      </c>
      <c r="DC128" s="178" t="str">
        <f t="shared" si="280"/>
        <v>µA</v>
      </c>
      <c r="DD128" s="220">
        <f t="shared" si="276"/>
        <v>13.012814197295423</v>
      </c>
      <c r="DE128" s="178" t="str">
        <f t="shared" si="281"/>
        <v>µA</v>
      </c>
    </row>
    <row r="129" spans="1:109" s="174" customFormat="1" ht="18" customHeight="1" thickBot="1">
      <c r="A129" s="173"/>
      <c r="B129" s="170"/>
      <c r="C129" s="139"/>
      <c r="D129" s="139"/>
      <c r="E129" s="139"/>
      <c r="F129" s="296"/>
      <c r="G129" s="294"/>
      <c r="H129" s="294"/>
      <c r="I129" s="294"/>
      <c r="J129" s="294"/>
      <c r="K129" s="295"/>
      <c r="L129" s="297">
        <f>6000*90%</f>
        <v>5400</v>
      </c>
      <c r="M129" s="298"/>
      <c r="N129" s="298"/>
      <c r="O129" s="298"/>
      <c r="P129" s="299" t="s">
        <v>148</v>
      </c>
      <c r="Q129" s="299"/>
      <c r="R129" s="300"/>
      <c r="S129" s="301" t="s">
        <v>143</v>
      </c>
      <c r="T129" s="301"/>
      <c r="U129" s="301"/>
      <c r="V129" s="301"/>
      <c r="W129" s="301"/>
      <c r="X129" s="291">
        <v>5400</v>
      </c>
      <c r="Y129" s="291"/>
      <c r="Z129" s="291"/>
      <c r="AA129" s="291"/>
      <c r="AB129" s="291"/>
      <c r="AC129" s="291">
        <v>5400</v>
      </c>
      <c r="AD129" s="291"/>
      <c r="AE129" s="291"/>
      <c r="AF129" s="291"/>
      <c r="AG129" s="291"/>
      <c r="AH129" s="291">
        <v>5400</v>
      </c>
      <c r="AI129" s="291"/>
      <c r="AJ129" s="291"/>
      <c r="AK129" s="291"/>
      <c r="AL129" s="291"/>
      <c r="AM129" s="302">
        <f t="shared" si="277"/>
        <v>5400</v>
      </c>
      <c r="AN129" s="302"/>
      <c r="AO129" s="302"/>
      <c r="AP129" s="302"/>
      <c r="AQ129" s="302"/>
      <c r="AR129" s="302">
        <f t="shared" si="278"/>
        <v>0</v>
      </c>
      <c r="AS129" s="302"/>
      <c r="AT129" s="302"/>
      <c r="AU129" s="302"/>
      <c r="AV129" s="302"/>
      <c r="AW129" s="139"/>
      <c r="AX129" s="139"/>
      <c r="AY129" s="139"/>
      <c r="AZ129" s="172"/>
      <c r="BA129" s="173"/>
      <c r="BB129" s="303">
        <f t="shared" si="282"/>
        <v>56</v>
      </c>
      <c r="BC129" s="303"/>
      <c r="BD129" s="303"/>
      <c r="BE129" s="303"/>
      <c r="BF129" s="303"/>
      <c r="BG129" s="291">
        <f t="shared" si="259"/>
        <v>5456</v>
      </c>
      <c r="BH129" s="291"/>
      <c r="BI129" s="291"/>
      <c r="BJ129" s="291"/>
      <c r="BK129" s="291"/>
      <c r="BL129" s="291">
        <f t="shared" si="260"/>
        <v>5344</v>
      </c>
      <c r="BM129" s="291"/>
      <c r="BN129" s="291"/>
      <c r="BO129" s="291"/>
      <c r="BP129" s="291"/>
      <c r="BQ129" s="292" t="str">
        <f t="shared" si="261"/>
        <v>PASS</v>
      </c>
      <c r="BR129" s="292"/>
      <c r="BS129" s="292"/>
      <c r="BT129" s="292"/>
      <c r="BU129" s="292"/>
      <c r="BV129" s="173"/>
      <c r="BX129" s="72" t="s">
        <v>128</v>
      </c>
      <c r="BY129" s="192">
        <v>13</v>
      </c>
      <c r="BZ129" s="208" t="str">
        <f t="shared" si="262"/>
        <v>µA</v>
      </c>
      <c r="CA129" s="206">
        <v>2</v>
      </c>
      <c r="CB129" s="78">
        <f t="shared" si="263"/>
        <v>6.5</v>
      </c>
      <c r="CC129" s="4"/>
      <c r="CD129" s="73" t="s">
        <v>130</v>
      </c>
      <c r="CE129" s="89">
        <v>0</v>
      </c>
      <c r="CF129" s="74" t="str">
        <f t="shared" si="264"/>
        <v>µA</v>
      </c>
      <c r="CG129" s="82">
        <f t="shared" si="265"/>
        <v>1.7320508075688772</v>
      </c>
      <c r="CH129" s="79">
        <f t="shared" si="266"/>
        <v>0</v>
      </c>
      <c r="CI129" s="4"/>
      <c r="CJ129" s="73" t="s">
        <v>92</v>
      </c>
      <c r="CK129" s="183">
        <v>1</v>
      </c>
      <c r="CL129" s="74" t="str">
        <f t="shared" ref="CL129" si="284">P129</f>
        <v>µA</v>
      </c>
      <c r="CM129" s="82">
        <f t="shared" si="267"/>
        <v>3.4641016151377544</v>
      </c>
      <c r="CN129" s="79">
        <f t="shared" si="268"/>
        <v>0.28867513459481292</v>
      </c>
      <c r="CO129" s="4"/>
      <c r="CP129" s="73" t="s">
        <v>70</v>
      </c>
      <c r="CQ129" s="84">
        <f t="shared" si="269"/>
        <v>0</v>
      </c>
      <c r="CR129" s="74" t="str">
        <f t="shared" si="270"/>
        <v>µA</v>
      </c>
      <c r="CS129" s="82">
        <f t="shared" si="271"/>
        <v>1.7320508075688772</v>
      </c>
      <c r="CT129" s="87">
        <f t="shared" si="272"/>
        <v>0</v>
      </c>
      <c r="CU129" s="8"/>
      <c r="CV129" s="96">
        <f t="shared" si="273"/>
        <v>6.5064070986477116</v>
      </c>
      <c r="CW129" s="89">
        <f t="shared" si="274"/>
        <v>200.78895156584323</v>
      </c>
      <c r="CX129" s="97">
        <f t="shared" si="275"/>
        <v>2</v>
      </c>
      <c r="CY129" s="107">
        <f>(CV129*CX129)</f>
        <v>13.012814197295423</v>
      </c>
      <c r="CZ129" s="108" t="str">
        <f t="shared" si="283"/>
        <v>µA</v>
      </c>
      <c r="DA129" s="8"/>
      <c r="DB129" s="177">
        <v>2.6</v>
      </c>
      <c r="DC129" s="178" t="str">
        <f t="shared" si="280"/>
        <v>µA</v>
      </c>
      <c r="DD129" s="220">
        <f t="shared" si="276"/>
        <v>13.012814197295423</v>
      </c>
      <c r="DE129" s="178" t="str">
        <f t="shared" si="281"/>
        <v>µA</v>
      </c>
    </row>
    <row r="130" spans="1:109" s="174" customFormat="1" ht="18" customHeight="1">
      <c r="A130" s="173"/>
      <c r="B130" s="170"/>
      <c r="C130" s="139"/>
      <c r="D130" s="139"/>
      <c r="E130" s="139"/>
      <c r="F130" s="293" t="s">
        <v>147</v>
      </c>
      <c r="G130" s="294"/>
      <c r="H130" s="294"/>
      <c r="I130" s="294"/>
      <c r="J130" s="294"/>
      <c r="K130" s="295"/>
      <c r="L130" s="297">
        <f>60*90%</f>
        <v>54</v>
      </c>
      <c r="M130" s="298"/>
      <c r="N130" s="298"/>
      <c r="O130" s="298"/>
      <c r="P130" s="299" t="s">
        <v>102</v>
      </c>
      <c r="Q130" s="299"/>
      <c r="R130" s="300"/>
      <c r="S130" s="301" t="s">
        <v>96</v>
      </c>
      <c r="T130" s="301"/>
      <c r="U130" s="301"/>
      <c r="V130" s="301"/>
      <c r="W130" s="301"/>
      <c r="X130" s="291">
        <v>54</v>
      </c>
      <c r="Y130" s="291"/>
      <c r="Z130" s="291"/>
      <c r="AA130" s="291"/>
      <c r="AB130" s="291"/>
      <c r="AC130" s="291">
        <v>54</v>
      </c>
      <c r="AD130" s="291"/>
      <c r="AE130" s="291"/>
      <c r="AF130" s="291"/>
      <c r="AG130" s="291"/>
      <c r="AH130" s="291">
        <v>54</v>
      </c>
      <c r="AI130" s="291"/>
      <c r="AJ130" s="291"/>
      <c r="AK130" s="291"/>
      <c r="AL130" s="291"/>
      <c r="AM130" s="303">
        <f>AVERAGE(X130:AL130)</f>
        <v>54</v>
      </c>
      <c r="AN130" s="303"/>
      <c r="AO130" s="303"/>
      <c r="AP130" s="303"/>
      <c r="AQ130" s="303"/>
      <c r="AR130" s="303">
        <f>AM130-L130</f>
        <v>0</v>
      </c>
      <c r="AS130" s="303"/>
      <c r="AT130" s="303"/>
      <c r="AU130" s="303"/>
      <c r="AV130" s="303"/>
      <c r="AW130" s="139"/>
      <c r="AX130" s="139"/>
      <c r="AY130" s="139"/>
      <c r="AZ130" s="172"/>
      <c r="BA130" s="173"/>
      <c r="BB130" s="303">
        <f t="shared" ref="BB130:BB137" si="285">(AM130*1%)+(2*CK130)</f>
        <v>0.56000000000000005</v>
      </c>
      <c r="BC130" s="303"/>
      <c r="BD130" s="303"/>
      <c r="BE130" s="303"/>
      <c r="BF130" s="303"/>
      <c r="BG130" s="303">
        <f t="shared" si="259"/>
        <v>54.56</v>
      </c>
      <c r="BH130" s="303"/>
      <c r="BI130" s="303"/>
      <c r="BJ130" s="303"/>
      <c r="BK130" s="303"/>
      <c r="BL130" s="303">
        <f t="shared" si="260"/>
        <v>53.44</v>
      </c>
      <c r="BM130" s="303"/>
      <c r="BN130" s="303"/>
      <c r="BO130" s="303"/>
      <c r="BP130" s="303"/>
      <c r="BQ130" s="292" t="str">
        <f t="shared" si="261"/>
        <v>PASS</v>
      </c>
      <c r="BR130" s="292"/>
      <c r="BS130" s="292"/>
      <c r="BT130" s="292"/>
      <c r="BU130" s="292"/>
      <c r="BV130" s="173"/>
      <c r="BX130" s="75" t="s">
        <v>128</v>
      </c>
      <c r="BY130" s="192">
        <v>0.22</v>
      </c>
      <c r="BZ130" s="1" t="str">
        <f t="shared" si="262"/>
        <v>mA</v>
      </c>
      <c r="CA130" s="180">
        <v>2</v>
      </c>
      <c r="CB130" s="209">
        <f t="shared" ref="CB130:CB133" si="286">BY130/CA130</f>
        <v>0.11</v>
      </c>
      <c r="CC130" s="4"/>
      <c r="CD130" s="70" t="s">
        <v>130</v>
      </c>
      <c r="CE130" s="88">
        <v>0</v>
      </c>
      <c r="CF130" s="71" t="str">
        <f t="shared" ref="CF130:CF133" si="287">BZ130</f>
        <v>mA</v>
      </c>
      <c r="CG130" s="80">
        <f t="shared" ref="CG130:CG133" si="288">SQRT(3)</f>
        <v>1.7320508075688772</v>
      </c>
      <c r="CH130" s="77">
        <f t="shared" ref="CH130:CH133" si="289">CE130/CG130</f>
        <v>0</v>
      </c>
      <c r="CI130" s="4"/>
      <c r="CJ130" s="70" t="s">
        <v>92</v>
      </c>
      <c r="CK130" s="176">
        <v>0.01</v>
      </c>
      <c r="CL130" s="71" t="str">
        <f>P130</f>
        <v>mA</v>
      </c>
      <c r="CM130" s="80">
        <f t="shared" ref="CM130:CM133" si="290">SQRT(12)</f>
        <v>3.4641016151377544</v>
      </c>
      <c r="CN130" s="77">
        <f t="shared" ref="CN130:CN133" si="291">CK130/CM130</f>
        <v>2.886751345948129E-3</v>
      </c>
      <c r="CO130" s="4"/>
      <c r="CP130" s="70" t="s">
        <v>70</v>
      </c>
      <c r="CQ130" s="83">
        <f t="shared" si="269"/>
        <v>0</v>
      </c>
      <c r="CR130" s="71" t="str">
        <f t="shared" si="270"/>
        <v>mA</v>
      </c>
      <c r="CS130" s="80">
        <f t="shared" ref="CS130:CS133" si="292">SQRT(3)</f>
        <v>1.7320508075688772</v>
      </c>
      <c r="CT130" s="85">
        <f t="shared" ref="CT130:CT133" si="293">CQ130/CS130</f>
        <v>0</v>
      </c>
      <c r="CU130" s="8"/>
      <c r="CV130" s="98">
        <f t="shared" ref="CV130:CV133" si="294">SQRT(SUMSQ(CT130,CN130,CH130,CB130))</f>
        <v>0.11003787226829376</v>
      </c>
      <c r="CW130" s="99">
        <f t="shared" ref="CW130:CW133" si="295">(CV130^4)/(((CT130^4)/2)+((CN130^4)/200)+((CH130^4)/200)+((CB130^4)/200))</f>
        <v>200.27548196299864</v>
      </c>
      <c r="CX130" s="100">
        <f t="shared" ref="CX130:CX133" si="296">ROUND(TINV(0.05,CW130),0)</f>
        <v>2</v>
      </c>
      <c r="CY130" s="103">
        <f>(CV130*CX130)</f>
        <v>0.22007574453658751</v>
      </c>
      <c r="CZ130" s="104" t="str">
        <f>P130</f>
        <v>mA</v>
      </c>
      <c r="DA130" s="8"/>
      <c r="DB130" s="177">
        <v>2.5999999999999999E-2</v>
      </c>
      <c r="DC130" s="178" t="str">
        <f>CZ130</f>
        <v>mA</v>
      </c>
      <c r="DD130" s="220">
        <f t="shared" si="276"/>
        <v>0.22007574453658751</v>
      </c>
      <c r="DE130" s="178" t="str">
        <f>DC130</f>
        <v>mA</v>
      </c>
    </row>
    <row r="131" spans="1:109" s="174" customFormat="1" ht="18" customHeight="1">
      <c r="A131" s="173"/>
      <c r="B131" s="170"/>
      <c r="C131" s="139"/>
      <c r="D131" s="139"/>
      <c r="E131" s="139"/>
      <c r="F131" s="296"/>
      <c r="G131" s="294"/>
      <c r="H131" s="294"/>
      <c r="I131" s="294"/>
      <c r="J131" s="294"/>
      <c r="K131" s="295"/>
      <c r="L131" s="297">
        <f>60*90%</f>
        <v>54</v>
      </c>
      <c r="M131" s="298"/>
      <c r="N131" s="298"/>
      <c r="O131" s="298"/>
      <c r="P131" s="299" t="s">
        <v>102</v>
      </c>
      <c r="Q131" s="299"/>
      <c r="R131" s="300"/>
      <c r="S131" s="301" t="s">
        <v>143</v>
      </c>
      <c r="T131" s="301"/>
      <c r="U131" s="301"/>
      <c r="V131" s="301"/>
      <c r="W131" s="301"/>
      <c r="X131" s="291">
        <v>54</v>
      </c>
      <c r="Y131" s="291"/>
      <c r="Z131" s="291"/>
      <c r="AA131" s="291"/>
      <c r="AB131" s="291"/>
      <c r="AC131" s="291">
        <v>54</v>
      </c>
      <c r="AD131" s="291"/>
      <c r="AE131" s="291"/>
      <c r="AF131" s="291"/>
      <c r="AG131" s="291"/>
      <c r="AH131" s="291">
        <v>54</v>
      </c>
      <c r="AI131" s="291"/>
      <c r="AJ131" s="291"/>
      <c r="AK131" s="291"/>
      <c r="AL131" s="291"/>
      <c r="AM131" s="303">
        <f t="shared" ref="AM131:AM133" si="297">AVERAGE(X131:AL131)</f>
        <v>54</v>
      </c>
      <c r="AN131" s="303"/>
      <c r="AO131" s="303"/>
      <c r="AP131" s="303"/>
      <c r="AQ131" s="303"/>
      <c r="AR131" s="303">
        <f t="shared" ref="AR131:AR133" si="298">AM131-L131</f>
        <v>0</v>
      </c>
      <c r="AS131" s="303"/>
      <c r="AT131" s="303"/>
      <c r="AU131" s="303"/>
      <c r="AV131" s="303"/>
      <c r="AW131" s="139"/>
      <c r="AX131" s="139"/>
      <c r="AY131" s="139"/>
      <c r="AZ131" s="172"/>
      <c r="BA131" s="173"/>
      <c r="BB131" s="303">
        <f t="shared" si="285"/>
        <v>0.56000000000000005</v>
      </c>
      <c r="BC131" s="303"/>
      <c r="BD131" s="303"/>
      <c r="BE131" s="303"/>
      <c r="BF131" s="303"/>
      <c r="BG131" s="291">
        <f t="shared" si="259"/>
        <v>54.56</v>
      </c>
      <c r="BH131" s="291"/>
      <c r="BI131" s="291"/>
      <c r="BJ131" s="291"/>
      <c r="BK131" s="291"/>
      <c r="BL131" s="291">
        <f t="shared" si="260"/>
        <v>53.44</v>
      </c>
      <c r="BM131" s="291"/>
      <c r="BN131" s="291"/>
      <c r="BO131" s="291"/>
      <c r="BP131" s="291"/>
      <c r="BQ131" s="292" t="str">
        <f t="shared" si="261"/>
        <v>PASS</v>
      </c>
      <c r="BR131" s="292"/>
      <c r="BS131" s="292"/>
      <c r="BT131" s="292"/>
      <c r="BU131" s="292"/>
      <c r="BV131" s="173"/>
      <c r="BX131" s="72" t="s">
        <v>128</v>
      </c>
      <c r="BY131" s="192">
        <v>0.22</v>
      </c>
      <c r="BZ131" s="1" t="str">
        <f t="shared" si="262"/>
        <v>mA</v>
      </c>
      <c r="CA131" s="180">
        <v>2</v>
      </c>
      <c r="CB131" s="78">
        <f t="shared" si="286"/>
        <v>0.11</v>
      </c>
      <c r="CC131" s="4"/>
      <c r="CD131" s="72" t="s">
        <v>130</v>
      </c>
      <c r="CE131" s="5">
        <v>0</v>
      </c>
      <c r="CF131" s="1" t="str">
        <f t="shared" si="287"/>
        <v>mA</v>
      </c>
      <c r="CG131" s="81">
        <f t="shared" si="288"/>
        <v>1.7320508075688772</v>
      </c>
      <c r="CH131" s="78">
        <f t="shared" si="289"/>
        <v>0</v>
      </c>
      <c r="CI131" s="4"/>
      <c r="CJ131" s="72" t="s">
        <v>92</v>
      </c>
      <c r="CK131" s="181">
        <v>0.01</v>
      </c>
      <c r="CL131" s="1" t="str">
        <f>P131</f>
        <v>mA</v>
      </c>
      <c r="CM131" s="81">
        <f t="shared" si="290"/>
        <v>3.4641016151377544</v>
      </c>
      <c r="CN131" s="78">
        <f t="shared" si="291"/>
        <v>2.886751345948129E-3</v>
      </c>
      <c r="CO131" s="4"/>
      <c r="CP131" s="72" t="s">
        <v>70</v>
      </c>
      <c r="CQ131" s="6">
        <f t="shared" si="269"/>
        <v>0</v>
      </c>
      <c r="CR131" s="1" t="str">
        <f t="shared" si="270"/>
        <v>mA</v>
      </c>
      <c r="CS131" s="81">
        <f t="shared" si="292"/>
        <v>1.7320508075688772</v>
      </c>
      <c r="CT131" s="86">
        <f t="shared" si="293"/>
        <v>0</v>
      </c>
      <c r="CU131" s="8"/>
      <c r="CV131" s="94">
        <f t="shared" si="294"/>
        <v>0.11003787226829376</v>
      </c>
      <c r="CW131" s="5">
        <f t="shared" si="295"/>
        <v>200.27548196299864</v>
      </c>
      <c r="CX131" s="95">
        <f t="shared" si="296"/>
        <v>2</v>
      </c>
      <c r="CY131" s="105">
        <f t="shared" ref="CY131:CY132" si="299">(CV131*CX131)</f>
        <v>0.22007574453658751</v>
      </c>
      <c r="CZ131" s="106" t="str">
        <f>P131</f>
        <v>mA</v>
      </c>
      <c r="DA131" s="8"/>
      <c r="DB131" s="177">
        <v>2.5999999999999999E-2</v>
      </c>
      <c r="DC131" s="178" t="str">
        <f t="shared" ref="DC131:DC133" si="300">CZ131</f>
        <v>mA</v>
      </c>
      <c r="DD131" s="220">
        <f t="shared" si="276"/>
        <v>0.22007574453658751</v>
      </c>
      <c r="DE131" s="178" t="str">
        <f t="shared" ref="DE131:DE133" si="301">DC131</f>
        <v>mA</v>
      </c>
    </row>
    <row r="132" spans="1:109" s="174" customFormat="1" ht="18" customHeight="1">
      <c r="A132" s="173"/>
      <c r="B132" s="170"/>
      <c r="C132" s="139"/>
      <c r="D132" s="139"/>
      <c r="E132" s="139"/>
      <c r="F132" s="304" t="s">
        <v>150</v>
      </c>
      <c r="G132" s="305"/>
      <c r="H132" s="305"/>
      <c r="I132" s="305"/>
      <c r="J132" s="305"/>
      <c r="K132" s="306"/>
      <c r="L132" s="297">
        <f>400*90%</f>
        <v>360</v>
      </c>
      <c r="M132" s="298"/>
      <c r="N132" s="298"/>
      <c r="O132" s="298"/>
      <c r="P132" s="299" t="s">
        <v>102</v>
      </c>
      <c r="Q132" s="299"/>
      <c r="R132" s="300"/>
      <c r="S132" s="301" t="s">
        <v>96</v>
      </c>
      <c r="T132" s="301"/>
      <c r="U132" s="301"/>
      <c r="V132" s="301"/>
      <c r="W132" s="301"/>
      <c r="X132" s="291">
        <v>360</v>
      </c>
      <c r="Y132" s="291"/>
      <c r="Z132" s="291"/>
      <c r="AA132" s="291"/>
      <c r="AB132" s="291"/>
      <c r="AC132" s="291">
        <v>360</v>
      </c>
      <c r="AD132" s="291"/>
      <c r="AE132" s="291"/>
      <c r="AF132" s="291"/>
      <c r="AG132" s="291"/>
      <c r="AH132" s="291">
        <v>360</v>
      </c>
      <c r="AI132" s="291"/>
      <c r="AJ132" s="291"/>
      <c r="AK132" s="291"/>
      <c r="AL132" s="291"/>
      <c r="AM132" s="291">
        <f t="shared" si="297"/>
        <v>360</v>
      </c>
      <c r="AN132" s="291"/>
      <c r="AO132" s="291"/>
      <c r="AP132" s="291"/>
      <c r="AQ132" s="291"/>
      <c r="AR132" s="291">
        <f t="shared" si="298"/>
        <v>0</v>
      </c>
      <c r="AS132" s="291"/>
      <c r="AT132" s="291"/>
      <c r="AU132" s="291"/>
      <c r="AV132" s="291"/>
      <c r="AW132" s="139"/>
      <c r="AX132" s="139"/>
      <c r="AY132" s="139"/>
      <c r="AZ132" s="172"/>
      <c r="BA132" s="173"/>
      <c r="BB132" s="303">
        <f t="shared" si="285"/>
        <v>3.8000000000000003</v>
      </c>
      <c r="BC132" s="303"/>
      <c r="BD132" s="303"/>
      <c r="BE132" s="303"/>
      <c r="BF132" s="303"/>
      <c r="BG132" s="291">
        <f t="shared" si="259"/>
        <v>363.8</v>
      </c>
      <c r="BH132" s="291"/>
      <c r="BI132" s="291"/>
      <c r="BJ132" s="291"/>
      <c r="BK132" s="291"/>
      <c r="BL132" s="291">
        <f t="shared" si="260"/>
        <v>356.2</v>
      </c>
      <c r="BM132" s="291"/>
      <c r="BN132" s="291"/>
      <c r="BO132" s="291"/>
      <c r="BP132" s="291"/>
      <c r="BQ132" s="292" t="str">
        <f t="shared" si="261"/>
        <v>PASS</v>
      </c>
      <c r="BR132" s="292"/>
      <c r="BS132" s="292"/>
      <c r="BT132" s="292"/>
      <c r="BU132" s="292"/>
      <c r="BV132" s="173"/>
      <c r="BX132" s="72" t="s">
        <v>128</v>
      </c>
      <c r="BY132" s="192">
        <v>0.72</v>
      </c>
      <c r="BZ132" s="1" t="str">
        <f t="shared" si="262"/>
        <v>mA</v>
      </c>
      <c r="CA132" s="180">
        <v>2</v>
      </c>
      <c r="CB132" s="78">
        <f t="shared" si="286"/>
        <v>0.36</v>
      </c>
      <c r="CC132" s="4"/>
      <c r="CD132" s="72" t="s">
        <v>130</v>
      </c>
      <c r="CE132" s="5">
        <v>0</v>
      </c>
      <c r="CF132" s="1" t="str">
        <f t="shared" si="287"/>
        <v>mA</v>
      </c>
      <c r="CG132" s="81">
        <f t="shared" si="288"/>
        <v>1.7320508075688772</v>
      </c>
      <c r="CH132" s="78">
        <f t="shared" si="289"/>
        <v>0</v>
      </c>
      <c r="CI132" s="4"/>
      <c r="CJ132" s="72" t="s">
        <v>92</v>
      </c>
      <c r="CK132" s="181">
        <v>0.1</v>
      </c>
      <c r="CL132" s="1" t="str">
        <f>P132</f>
        <v>mA</v>
      </c>
      <c r="CM132" s="81">
        <f t="shared" si="290"/>
        <v>3.4641016151377544</v>
      </c>
      <c r="CN132" s="78">
        <f t="shared" si="291"/>
        <v>2.8867513459481291E-2</v>
      </c>
      <c r="CO132" s="4"/>
      <c r="CP132" s="72" t="s">
        <v>70</v>
      </c>
      <c r="CQ132" s="6">
        <f t="shared" si="269"/>
        <v>0</v>
      </c>
      <c r="CR132" s="1" t="str">
        <f t="shared" si="270"/>
        <v>mA</v>
      </c>
      <c r="CS132" s="81">
        <f t="shared" si="292"/>
        <v>1.7320508075688772</v>
      </c>
      <c r="CT132" s="86">
        <f t="shared" si="293"/>
        <v>0</v>
      </c>
      <c r="CU132" s="8"/>
      <c r="CV132" s="94">
        <f t="shared" si="294"/>
        <v>0.36115555282084938</v>
      </c>
      <c r="CW132" s="5">
        <f t="shared" si="295"/>
        <v>202.57191012417729</v>
      </c>
      <c r="CX132" s="95">
        <f t="shared" si="296"/>
        <v>2</v>
      </c>
      <c r="CY132" s="105">
        <f t="shared" si="299"/>
        <v>0.72231110564169876</v>
      </c>
      <c r="CZ132" s="106" t="str">
        <f t="shared" ref="CZ132:CZ133" si="302">P132</f>
        <v>mA</v>
      </c>
      <c r="DA132" s="8"/>
      <c r="DB132" s="177">
        <v>0.21</v>
      </c>
      <c r="DC132" s="178" t="str">
        <f t="shared" si="300"/>
        <v>mA</v>
      </c>
      <c r="DD132" s="220">
        <f t="shared" si="276"/>
        <v>0.72231110564169876</v>
      </c>
      <c r="DE132" s="178" t="str">
        <f t="shared" si="301"/>
        <v>mA</v>
      </c>
    </row>
    <row r="133" spans="1:109" s="174" customFormat="1" ht="18" customHeight="1" thickBot="1">
      <c r="A133" s="173"/>
      <c r="B133" s="170"/>
      <c r="C133" s="139"/>
      <c r="D133" s="139"/>
      <c r="E133" s="139"/>
      <c r="F133" s="307"/>
      <c r="G133" s="308"/>
      <c r="H133" s="308"/>
      <c r="I133" s="308"/>
      <c r="J133" s="308"/>
      <c r="K133" s="309"/>
      <c r="L133" s="297">
        <f>400*90%</f>
        <v>360</v>
      </c>
      <c r="M133" s="298"/>
      <c r="N133" s="298"/>
      <c r="O133" s="298"/>
      <c r="P133" s="299" t="s">
        <v>102</v>
      </c>
      <c r="Q133" s="299"/>
      <c r="R133" s="300"/>
      <c r="S133" s="301" t="s">
        <v>143</v>
      </c>
      <c r="T133" s="301"/>
      <c r="U133" s="301"/>
      <c r="V133" s="301"/>
      <c r="W133" s="301"/>
      <c r="X133" s="291">
        <v>360</v>
      </c>
      <c r="Y133" s="291"/>
      <c r="Z133" s="291"/>
      <c r="AA133" s="291"/>
      <c r="AB133" s="291"/>
      <c r="AC133" s="291">
        <v>360</v>
      </c>
      <c r="AD133" s="291"/>
      <c r="AE133" s="291"/>
      <c r="AF133" s="291"/>
      <c r="AG133" s="291"/>
      <c r="AH133" s="291">
        <v>360</v>
      </c>
      <c r="AI133" s="291"/>
      <c r="AJ133" s="291"/>
      <c r="AK133" s="291"/>
      <c r="AL133" s="291"/>
      <c r="AM133" s="291">
        <f t="shared" si="297"/>
        <v>360</v>
      </c>
      <c r="AN133" s="291"/>
      <c r="AO133" s="291"/>
      <c r="AP133" s="291"/>
      <c r="AQ133" s="291"/>
      <c r="AR133" s="291">
        <f t="shared" si="298"/>
        <v>0</v>
      </c>
      <c r="AS133" s="291"/>
      <c r="AT133" s="291"/>
      <c r="AU133" s="291"/>
      <c r="AV133" s="291"/>
      <c r="AW133" s="139"/>
      <c r="AX133" s="139"/>
      <c r="AY133" s="139"/>
      <c r="AZ133" s="172"/>
      <c r="BA133" s="173"/>
      <c r="BB133" s="303">
        <f t="shared" si="285"/>
        <v>3.8000000000000003</v>
      </c>
      <c r="BC133" s="303"/>
      <c r="BD133" s="303"/>
      <c r="BE133" s="303"/>
      <c r="BF133" s="303"/>
      <c r="BG133" s="291">
        <f t="shared" si="259"/>
        <v>363.8</v>
      </c>
      <c r="BH133" s="291"/>
      <c r="BI133" s="291"/>
      <c r="BJ133" s="291"/>
      <c r="BK133" s="291"/>
      <c r="BL133" s="291">
        <f t="shared" si="260"/>
        <v>356.2</v>
      </c>
      <c r="BM133" s="291"/>
      <c r="BN133" s="291"/>
      <c r="BO133" s="291"/>
      <c r="BP133" s="291"/>
      <c r="BQ133" s="292" t="str">
        <f t="shared" si="261"/>
        <v>PASS</v>
      </c>
      <c r="BR133" s="292"/>
      <c r="BS133" s="292"/>
      <c r="BT133" s="292"/>
      <c r="BU133" s="292"/>
      <c r="BV133" s="173"/>
      <c r="BX133" s="210" t="s">
        <v>128</v>
      </c>
      <c r="BY133" s="192">
        <v>0.72</v>
      </c>
      <c r="BZ133" s="1" t="str">
        <f t="shared" si="262"/>
        <v>mA</v>
      </c>
      <c r="CA133" s="206">
        <v>2</v>
      </c>
      <c r="CB133" s="207">
        <f t="shared" si="286"/>
        <v>0.36</v>
      </c>
      <c r="CC133" s="4"/>
      <c r="CD133" s="73" t="s">
        <v>130</v>
      </c>
      <c r="CE133" s="89">
        <v>0</v>
      </c>
      <c r="CF133" s="74" t="str">
        <f t="shared" si="287"/>
        <v>mA</v>
      </c>
      <c r="CG133" s="82">
        <f t="shared" si="288"/>
        <v>1.7320508075688772</v>
      </c>
      <c r="CH133" s="79">
        <f t="shared" si="289"/>
        <v>0</v>
      </c>
      <c r="CI133" s="4"/>
      <c r="CJ133" s="73" t="s">
        <v>92</v>
      </c>
      <c r="CK133" s="183">
        <v>0.1</v>
      </c>
      <c r="CL133" s="74" t="str">
        <f t="shared" ref="CL133" si="303">P133</f>
        <v>mA</v>
      </c>
      <c r="CM133" s="82">
        <f t="shared" si="290"/>
        <v>3.4641016151377544</v>
      </c>
      <c r="CN133" s="79">
        <f t="shared" si="291"/>
        <v>2.8867513459481291E-2</v>
      </c>
      <c r="CO133" s="4"/>
      <c r="CP133" s="73" t="s">
        <v>70</v>
      </c>
      <c r="CQ133" s="84">
        <f t="shared" si="269"/>
        <v>0</v>
      </c>
      <c r="CR133" s="74" t="str">
        <f t="shared" si="270"/>
        <v>mA</v>
      </c>
      <c r="CS133" s="82">
        <f t="shared" si="292"/>
        <v>1.7320508075688772</v>
      </c>
      <c r="CT133" s="87">
        <f t="shared" si="293"/>
        <v>0</v>
      </c>
      <c r="CU133" s="8"/>
      <c r="CV133" s="96">
        <f t="shared" si="294"/>
        <v>0.36115555282084938</v>
      </c>
      <c r="CW133" s="89">
        <f t="shared" si="295"/>
        <v>202.57191012417729</v>
      </c>
      <c r="CX133" s="97">
        <f t="shared" si="296"/>
        <v>2</v>
      </c>
      <c r="CY133" s="107">
        <f>(CV133*CX133)</f>
        <v>0.72231110564169876</v>
      </c>
      <c r="CZ133" s="108" t="str">
        <f t="shared" si="302"/>
        <v>mA</v>
      </c>
      <c r="DA133" s="8"/>
      <c r="DB133" s="177">
        <v>0.21</v>
      </c>
      <c r="DC133" s="178" t="str">
        <f t="shared" si="300"/>
        <v>mA</v>
      </c>
      <c r="DD133" s="220">
        <f t="shared" si="276"/>
        <v>0.72231110564169876</v>
      </c>
      <c r="DE133" s="178" t="str">
        <f t="shared" si="301"/>
        <v>mA</v>
      </c>
    </row>
    <row r="134" spans="1:109" s="174" customFormat="1" ht="18" customHeight="1">
      <c r="A134" s="173"/>
      <c r="B134" s="170"/>
      <c r="C134" s="139"/>
      <c r="D134" s="139"/>
      <c r="E134" s="139"/>
      <c r="F134" s="293" t="s">
        <v>141</v>
      </c>
      <c r="G134" s="294"/>
      <c r="H134" s="294"/>
      <c r="I134" s="294"/>
      <c r="J134" s="294"/>
      <c r="K134" s="295"/>
      <c r="L134" s="297">
        <f>6*90%</f>
        <v>5.4</v>
      </c>
      <c r="M134" s="298"/>
      <c r="N134" s="298"/>
      <c r="O134" s="298"/>
      <c r="P134" s="299" t="s">
        <v>149</v>
      </c>
      <c r="Q134" s="299"/>
      <c r="R134" s="300"/>
      <c r="S134" s="301" t="s">
        <v>96</v>
      </c>
      <c r="T134" s="301"/>
      <c r="U134" s="301"/>
      <c r="V134" s="301"/>
      <c r="W134" s="301"/>
      <c r="X134" s="291">
        <v>5.4</v>
      </c>
      <c r="Y134" s="291"/>
      <c r="Z134" s="291"/>
      <c r="AA134" s="291"/>
      <c r="AB134" s="291"/>
      <c r="AC134" s="291">
        <v>5.4</v>
      </c>
      <c r="AD134" s="291"/>
      <c r="AE134" s="291"/>
      <c r="AF134" s="291"/>
      <c r="AG134" s="291"/>
      <c r="AH134" s="291">
        <v>5.4</v>
      </c>
      <c r="AI134" s="291"/>
      <c r="AJ134" s="291"/>
      <c r="AK134" s="291"/>
      <c r="AL134" s="291"/>
      <c r="AM134" s="320">
        <f>AVERAGE(X134:AL134)</f>
        <v>5.4000000000000012</v>
      </c>
      <c r="AN134" s="320"/>
      <c r="AO134" s="320"/>
      <c r="AP134" s="320"/>
      <c r="AQ134" s="320"/>
      <c r="AR134" s="320">
        <f>AM134-L134</f>
        <v>0</v>
      </c>
      <c r="AS134" s="320"/>
      <c r="AT134" s="320"/>
      <c r="AU134" s="320"/>
      <c r="AV134" s="320"/>
      <c r="AW134" s="139"/>
      <c r="AX134" s="139"/>
      <c r="AY134" s="139"/>
      <c r="AZ134" s="172"/>
      <c r="BA134" s="173"/>
      <c r="BB134" s="303">
        <f t="shared" si="285"/>
        <v>5.6000000000000015E-2</v>
      </c>
      <c r="BC134" s="303"/>
      <c r="BD134" s="303"/>
      <c r="BE134" s="303"/>
      <c r="BF134" s="303"/>
      <c r="BG134" s="303">
        <f t="shared" si="259"/>
        <v>5.4560000000000004</v>
      </c>
      <c r="BH134" s="303"/>
      <c r="BI134" s="303"/>
      <c r="BJ134" s="303"/>
      <c r="BK134" s="303"/>
      <c r="BL134" s="303">
        <f t="shared" si="260"/>
        <v>5.3440000000000003</v>
      </c>
      <c r="BM134" s="303"/>
      <c r="BN134" s="303"/>
      <c r="BO134" s="303"/>
      <c r="BP134" s="303"/>
      <c r="BQ134" s="292" t="str">
        <f t="shared" si="261"/>
        <v>PASS</v>
      </c>
      <c r="BR134" s="292"/>
      <c r="BS134" s="292"/>
      <c r="BT134" s="292"/>
      <c r="BU134" s="292"/>
      <c r="BV134" s="173"/>
      <c r="BX134" s="72" t="s">
        <v>128</v>
      </c>
      <c r="BY134" s="226">
        <v>0.01</v>
      </c>
      <c r="BZ134" s="76" t="str">
        <f t="shared" si="262"/>
        <v>A</v>
      </c>
      <c r="CA134" s="180">
        <v>2</v>
      </c>
      <c r="CB134" s="78">
        <f t="shared" ref="CB134:CB135" si="304">BY134/CA134</f>
        <v>5.0000000000000001E-3</v>
      </c>
      <c r="CC134" s="4"/>
      <c r="CD134" s="70" t="s">
        <v>130</v>
      </c>
      <c r="CE134" s="88">
        <v>0</v>
      </c>
      <c r="CF134" s="71" t="str">
        <f t="shared" ref="CF134:CF137" si="305">BZ134</f>
        <v>A</v>
      </c>
      <c r="CG134" s="80">
        <f t="shared" ref="CG134:CG137" si="306">SQRT(3)</f>
        <v>1.7320508075688772</v>
      </c>
      <c r="CH134" s="77">
        <f t="shared" ref="CH134:CH137" si="307">CE134/CG134</f>
        <v>0</v>
      </c>
      <c r="CI134" s="4"/>
      <c r="CJ134" s="70" t="s">
        <v>92</v>
      </c>
      <c r="CK134" s="176">
        <v>1E-3</v>
      </c>
      <c r="CL134" s="71" t="str">
        <f>P134</f>
        <v>A</v>
      </c>
      <c r="CM134" s="80">
        <f t="shared" ref="CM134:CM137" si="308">SQRT(12)</f>
        <v>3.4641016151377544</v>
      </c>
      <c r="CN134" s="77">
        <f t="shared" ref="CN134:CN137" si="309">CK134/CM134</f>
        <v>2.886751345948129E-4</v>
      </c>
      <c r="CO134" s="4"/>
      <c r="CP134" s="70" t="s">
        <v>70</v>
      </c>
      <c r="CQ134" s="83">
        <f t="shared" si="269"/>
        <v>1.0877919644084146E-15</v>
      </c>
      <c r="CR134" s="71" t="str">
        <f t="shared" si="270"/>
        <v>A</v>
      </c>
      <c r="CS134" s="80">
        <f t="shared" ref="CS134:CS137" si="310">SQRT(3)</f>
        <v>1.7320508075688772</v>
      </c>
      <c r="CT134" s="85">
        <f t="shared" ref="CT134:CT137" si="311">CQ134/CS134</f>
        <v>6.2803698347350997E-16</v>
      </c>
      <c r="CU134" s="8"/>
      <c r="CV134" s="98">
        <f t="shared" ref="CV134:CV137" si="312">SQRT(SUMSQ(CT134,CN134,CH134,CB134))</f>
        <v>5.0083264004389064E-3</v>
      </c>
      <c r="CW134" s="99">
        <f t="shared" ref="CW134:CW137" si="313">(CV134^4)/(((CT134^4)/2)+((CN134^4)/200)+((CH134^4)/200)+((CB134^4)/200))</f>
        <v>201.33331851868311</v>
      </c>
      <c r="CX134" s="100">
        <f t="shared" ref="CX134:CX135" si="314">ROUND(TINV(0.05,CW134),0)</f>
        <v>2</v>
      </c>
      <c r="CY134" s="103">
        <f>(CV134*CX134)</f>
        <v>1.0016652800877813E-2</v>
      </c>
      <c r="CZ134" s="104" t="str">
        <f>P134</f>
        <v>A</v>
      </c>
      <c r="DA134" s="8"/>
      <c r="DB134" s="177">
        <v>2.8999999999999998E-3</v>
      </c>
      <c r="DC134" s="178" t="str">
        <f>CZ134</f>
        <v>A</v>
      </c>
      <c r="DD134" s="220">
        <f t="shared" si="276"/>
        <v>1.0016652800877813E-2</v>
      </c>
      <c r="DE134" s="178" t="str">
        <f>DC134</f>
        <v>A</v>
      </c>
    </row>
    <row r="135" spans="1:109" s="174" customFormat="1" ht="18" customHeight="1">
      <c r="A135" s="173"/>
      <c r="B135" s="170"/>
      <c r="C135" s="139"/>
      <c r="D135" s="139"/>
      <c r="E135" s="139"/>
      <c r="F135" s="296"/>
      <c r="G135" s="294"/>
      <c r="H135" s="294"/>
      <c r="I135" s="294"/>
      <c r="J135" s="294"/>
      <c r="K135" s="295"/>
      <c r="L135" s="297">
        <f>6*90%</f>
        <v>5.4</v>
      </c>
      <c r="M135" s="298"/>
      <c r="N135" s="298"/>
      <c r="O135" s="298"/>
      <c r="P135" s="299" t="s">
        <v>149</v>
      </c>
      <c r="Q135" s="299"/>
      <c r="R135" s="300"/>
      <c r="S135" s="301" t="s">
        <v>143</v>
      </c>
      <c r="T135" s="301"/>
      <c r="U135" s="301"/>
      <c r="V135" s="301"/>
      <c r="W135" s="301"/>
      <c r="X135" s="291">
        <v>5.4</v>
      </c>
      <c r="Y135" s="291"/>
      <c r="Z135" s="291"/>
      <c r="AA135" s="291"/>
      <c r="AB135" s="291"/>
      <c r="AC135" s="291">
        <v>5.4</v>
      </c>
      <c r="AD135" s="291"/>
      <c r="AE135" s="291"/>
      <c r="AF135" s="291"/>
      <c r="AG135" s="291"/>
      <c r="AH135" s="291">
        <v>5.4</v>
      </c>
      <c r="AI135" s="291"/>
      <c r="AJ135" s="291"/>
      <c r="AK135" s="291"/>
      <c r="AL135" s="291"/>
      <c r="AM135" s="320">
        <f t="shared" ref="AM135:AM136" si="315">AVERAGE(X135:AL135)</f>
        <v>5.4000000000000012</v>
      </c>
      <c r="AN135" s="320"/>
      <c r="AO135" s="320"/>
      <c r="AP135" s="320"/>
      <c r="AQ135" s="320"/>
      <c r="AR135" s="320">
        <f t="shared" ref="AR135:AR136" si="316">AM135-L135</f>
        <v>0</v>
      </c>
      <c r="AS135" s="320"/>
      <c r="AT135" s="320"/>
      <c r="AU135" s="320"/>
      <c r="AV135" s="320"/>
      <c r="AW135" s="139"/>
      <c r="AX135" s="139"/>
      <c r="AY135" s="139"/>
      <c r="AZ135" s="172"/>
      <c r="BA135" s="173"/>
      <c r="BB135" s="303">
        <f t="shared" si="285"/>
        <v>5.6000000000000015E-2</v>
      </c>
      <c r="BC135" s="303"/>
      <c r="BD135" s="303"/>
      <c r="BE135" s="303"/>
      <c r="BF135" s="303"/>
      <c r="BG135" s="291">
        <f t="shared" si="259"/>
        <v>5.4560000000000004</v>
      </c>
      <c r="BH135" s="291"/>
      <c r="BI135" s="291"/>
      <c r="BJ135" s="291"/>
      <c r="BK135" s="291"/>
      <c r="BL135" s="291">
        <f t="shared" si="260"/>
        <v>5.3440000000000003</v>
      </c>
      <c r="BM135" s="291"/>
      <c r="BN135" s="291"/>
      <c r="BO135" s="291"/>
      <c r="BP135" s="291"/>
      <c r="BQ135" s="292" t="str">
        <f t="shared" si="261"/>
        <v>PASS</v>
      </c>
      <c r="BR135" s="292"/>
      <c r="BS135" s="292"/>
      <c r="BT135" s="292"/>
      <c r="BU135" s="292"/>
      <c r="BV135" s="173"/>
      <c r="BX135" s="72" t="s">
        <v>128</v>
      </c>
      <c r="BY135" s="224">
        <v>1.0999999999999999E-2</v>
      </c>
      <c r="BZ135" s="1" t="str">
        <f t="shared" si="262"/>
        <v>A</v>
      </c>
      <c r="CA135" s="180">
        <v>2</v>
      </c>
      <c r="CB135" s="78">
        <f t="shared" si="304"/>
        <v>5.4999999999999997E-3</v>
      </c>
      <c r="CC135" s="4"/>
      <c r="CD135" s="72" t="s">
        <v>130</v>
      </c>
      <c r="CE135" s="5">
        <v>0</v>
      </c>
      <c r="CF135" s="1" t="str">
        <f t="shared" si="305"/>
        <v>A</v>
      </c>
      <c r="CG135" s="81">
        <f t="shared" si="306"/>
        <v>1.7320508075688772</v>
      </c>
      <c r="CH135" s="78">
        <f t="shared" si="307"/>
        <v>0</v>
      </c>
      <c r="CI135" s="4"/>
      <c r="CJ135" s="72" t="s">
        <v>92</v>
      </c>
      <c r="CK135" s="181">
        <v>1E-3</v>
      </c>
      <c r="CL135" s="1" t="str">
        <f>P135</f>
        <v>A</v>
      </c>
      <c r="CM135" s="81">
        <f t="shared" si="308"/>
        <v>3.4641016151377544</v>
      </c>
      <c r="CN135" s="78">
        <f t="shared" si="309"/>
        <v>2.886751345948129E-4</v>
      </c>
      <c r="CO135" s="4"/>
      <c r="CP135" s="72" t="s">
        <v>70</v>
      </c>
      <c r="CQ135" s="6">
        <f t="shared" si="269"/>
        <v>1.0877919644084146E-15</v>
      </c>
      <c r="CR135" s="1" t="str">
        <f t="shared" si="270"/>
        <v>A</v>
      </c>
      <c r="CS135" s="81">
        <f t="shared" si="310"/>
        <v>1.7320508075688772</v>
      </c>
      <c r="CT135" s="86">
        <f t="shared" si="311"/>
        <v>6.2803698347350997E-16</v>
      </c>
      <c r="CU135" s="8"/>
      <c r="CV135" s="94">
        <f t="shared" si="312"/>
        <v>5.5075705472861017E-3</v>
      </c>
      <c r="CW135" s="5">
        <f t="shared" si="313"/>
        <v>201.10192001214236</v>
      </c>
      <c r="CX135" s="95">
        <f t="shared" si="314"/>
        <v>2</v>
      </c>
      <c r="CY135" s="105">
        <f t="shared" ref="CY135:CY136" si="317">(CV135*CX135)</f>
        <v>1.1015141094572203E-2</v>
      </c>
      <c r="CZ135" s="106" t="str">
        <f>P135</f>
        <v>A</v>
      </c>
      <c r="DA135" s="8"/>
      <c r="DB135" s="177">
        <v>3.8999999999999998E-3</v>
      </c>
      <c r="DC135" s="178" t="str">
        <f t="shared" ref="DC135:DC137" si="318">CZ135</f>
        <v>A</v>
      </c>
      <c r="DD135" s="220">
        <f t="shared" si="276"/>
        <v>1.1015141094572203E-2</v>
      </c>
      <c r="DE135" s="178" t="str">
        <f t="shared" ref="DE135:DE137" si="319">DC135</f>
        <v>A</v>
      </c>
    </row>
    <row r="136" spans="1:109" s="174" customFormat="1" ht="18" customHeight="1">
      <c r="A136" s="173"/>
      <c r="B136" s="170"/>
      <c r="C136" s="139"/>
      <c r="D136" s="139"/>
      <c r="E136" s="139"/>
      <c r="F136" s="304" t="s">
        <v>142</v>
      </c>
      <c r="G136" s="305"/>
      <c r="H136" s="305"/>
      <c r="I136" s="305"/>
      <c r="J136" s="305"/>
      <c r="K136" s="306"/>
      <c r="L136" s="297">
        <f>10*90%</f>
        <v>9</v>
      </c>
      <c r="M136" s="298"/>
      <c r="N136" s="298"/>
      <c r="O136" s="298"/>
      <c r="P136" s="299" t="s">
        <v>149</v>
      </c>
      <c r="Q136" s="299"/>
      <c r="R136" s="300"/>
      <c r="S136" s="301" t="s">
        <v>96</v>
      </c>
      <c r="T136" s="301"/>
      <c r="U136" s="301"/>
      <c r="V136" s="301"/>
      <c r="W136" s="301"/>
      <c r="X136" s="291">
        <v>9</v>
      </c>
      <c r="Y136" s="291"/>
      <c r="Z136" s="291"/>
      <c r="AA136" s="291"/>
      <c r="AB136" s="291"/>
      <c r="AC136" s="291">
        <v>9</v>
      </c>
      <c r="AD136" s="291"/>
      <c r="AE136" s="291"/>
      <c r="AF136" s="291"/>
      <c r="AG136" s="291"/>
      <c r="AH136" s="291">
        <v>9</v>
      </c>
      <c r="AI136" s="291"/>
      <c r="AJ136" s="291"/>
      <c r="AK136" s="291"/>
      <c r="AL136" s="291"/>
      <c r="AM136" s="303">
        <f t="shared" si="315"/>
        <v>9</v>
      </c>
      <c r="AN136" s="303"/>
      <c r="AO136" s="303"/>
      <c r="AP136" s="303"/>
      <c r="AQ136" s="303"/>
      <c r="AR136" s="303">
        <f t="shared" si="316"/>
        <v>0</v>
      </c>
      <c r="AS136" s="303"/>
      <c r="AT136" s="303"/>
      <c r="AU136" s="303"/>
      <c r="AV136" s="303"/>
      <c r="AW136" s="139"/>
      <c r="AX136" s="139"/>
      <c r="AY136" s="139"/>
      <c r="AZ136" s="172"/>
      <c r="BA136" s="173"/>
      <c r="BB136" s="303">
        <f t="shared" si="285"/>
        <v>0.11</v>
      </c>
      <c r="BC136" s="303"/>
      <c r="BD136" s="303"/>
      <c r="BE136" s="303"/>
      <c r="BF136" s="303"/>
      <c r="BG136" s="291">
        <f t="shared" si="259"/>
        <v>9.11</v>
      </c>
      <c r="BH136" s="291"/>
      <c r="BI136" s="291"/>
      <c r="BJ136" s="291"/>
      <c r="BK136" s="291"/>
      <c r="BL136" s="291">
        <f t="shared" si="260"/>
        <v>8.89</v>
      </c>
      <c r="BM136" s="291"/>
      <c r="BN136" s="291"/>
      <c r="BO136" s="291"/>
      <c r="BP136" s="291"/>
      <c r="BQ136" s="292" t="str">
        <f t="shared" si="261"/>
        <v>PASS</v>
      </c>
      <c r="BR136" s="292"/>
      <c r="BS136" s="292"/>
      <c r="BT136" s="292"/>
      <c r="BU136" s="292"/>
      <c r="BV136" s="173"/>
      <c r="BX136" s="72" t="s">
        <v>128</v>
      </c>
      <c r="BY136" s="226">
        <v>0.01</v>
      </c>
      <c r="BZ136" s="1" t="str">
        <f t="shared" si="262"/>
        <v>A</v>
      </c>
      <c r="CA136" s="180">
        <v>2</v>
      </c>
      <c r="CB136" s="78">
        <f t="shared" ref="CB136:CB137" si="320">BY136/CA136</f>
        <v>5.0000000000000001E-3</v>
      </c>
      <c r="CC136" s="4"/>
      <c r="CD136" s="72" t="s">
        <v>130</v>
      </c>
      <c r="CE136" s="5">
        <v>0</v>
      </c>
      <c r="CF136" s="1" t="str">
        <f t="shared" si="305"/>
        <v>A</v>
      </c>
      <c r="CG136" s="81">
        <f t="shared" si="306"/>
        <v>1.7320508075688772</v>
      </c>
      <c r="CH136" s="78">
        <f t="shared" si="307"/>
        <v>0</v>
      </c>
      <c r="CI136" s="4"/>
      <c r="CJ136" s="72" t="s">
        <v>92</v>
      </c>
      <c r="CK136" s="181">
        <v>0.01</v>
      </c>
      <c r="CL136" s="1" t="str">
        <f>P136</f>
        <v>A</v>
      </c>
      <c r="CM136" s="81">
        <f t="shared" si="308"/>
        <v>3.4641016151377544</v>
      </c>
      <c r="CN136" s="78">
        <f t="shared" si="309"/>
        <v>2.886751345948129E-3</v>
      </c>
      <c r="CO136" s="4"/>
      <c r="CP136" s="72" t="s">
        <v>70</v>
      </c>
      <c r="CQ136" s="6">
        <f t="shared" si="269"/>
        <v>0</v>
      </c>
      <c r="CR136" s="1" t="str">
        <f t="shared" si="270"/>
        <v>A</v>
      </c>
      <c r="CS136" s="81">
        <f t="shared" si="310"/>
        <v>1.7320508075688772</v>
      </c>
      <c r="CT136" s="86">
        <f t="shared" si="311"/>
        <v>0</v>
      </c>
      <c r="CU136" s="8"/>
      <c r="CV136" s="94">
        <f t="shared" si="312"/>
        <v>5.773502691896258E-3</v>
      </c>
      <c r="CW136" s="5">
        <f t="shared" si="313"/>
        <v>320</v>
      </c>
      <c r="CX136" s="95">
        <f t="shared" ref="CX136:CX137" si="321">ROUND(TINV(0.05,CW136),0)</f>
        <v>2</v>
      </c>
      <c r="CY136" s="105">
        <f t="shared" si="317"/>
        <v>1.1547005383792516E-2</v>
      </c>
      <c r="CZ136" s="106" t="str">
        <f t="shared" ref="CZ136:CZ137" si="322">P136</f>
        <v>A</v>
      </c>
      <c r="DA136" s="8"/>
      <c r="DB136" s="177">
        <v>2.8999999999999998E-3</v>
      </c>
      <c r="DC136" s="178" t="str">
        <f t="shared" si="318"/>
        <v>A</v>
      </c>
      <c r="DD136" s="220">
        <f t="shared" si="276"/>
        <v>1.1547005383792516E-2</v>
      </c>
      <c r="DE136" s="178" t="str">
        <f t="shared" si="319"/>
        <v>A</v>
      </c>
    </row>
    <row r="137" spans="1:109" s="174" customFormat="1" ht="18" customHeight="1" thickBot="1">
      <c r="A137" s="173"/>
      <c r="B137" s="170"/>
      <c r="C137" s="139"/>
      <c r="D137" s="139"/>
      <c r="E137" s="139"/>
      <c r="F137" s="307"/>
      <c r="G137" s="308"/>
      <c r="H137" s="308"/>
      <c r="I137" s="308"/>
      <c r="J137" s="308"/>
      <c r="K137" s="309"/>
      <c r="L137" s="297">
        <f>10*90%</f>
        <v>9</v>
      </c>
      <c r="M137" s="298"/>
      <c r="N137" s="298"/>
      <c r="O137" s="298"/>
      <c r="P137" s="299" t="s">
        <v>149</v>
      </c>
      <c r="Q137" s="299"/>
      <c r="R137" s="300"/>
      <c r="S137" s="301" t="s">
        <v>143</v>
      </c>
      <c r="T137" s="301"/>
      <c r="U137" s="301"/>
      <c r="V137" s="301"/>
      <c r="W137" s="301"/>
      <c r="X137" s="291">
        <v>9</v>
      </c>
      <c r="Y137" s="291"/>
      <c r="Z137" s="291"/>
      <c r="AA137" s="291"/>
      <c r="AB137" s="291"/>
      <c r="AC137" s="291">
        <v>9</v>
      </c>
      <c r="AD137" s="291"/>
      <c r="AE137" s="291"/>
      <c r="AF137" s="291"/>
      <c r="AG137" s="291"/>
      <c r="AH137" s="291">
        <v>9</v>
      </c>
      <c r="AI137" s="291"/>
      <c r="AJ137" s="291"/>
      <c r="AK137" s="291"/>
      <c r="AL137" s="291"/>
      <c r="AM137" s="303">
        <f t="shared" ref="AM137" si="323">AVERAGE(X137:AL137)</f>
        <v>9</v>
      </c>
      <c r="AN137" s="303"/>
      <c r="AO137" s="303"/>
      <c r="AP137" s="303"/>
      <c r="AQ137" s="303"/>
      <c r="AR137" s="303">
        <f t="shared" ref="AR137" si="324">AM137-L137</f>
        <v>0</v>
      </c>
      <c r="AS137" s="303"/>
      <c r="AT137" s="303"/>
      <c r="AU137" s="303"/>
      <c r="AV137" s="303"/>
      <c r="AW137" s="139"/>
      <c r="AX137" s="139"/>
      <c r="AY137" s="139"/>
      <c r="AZ137" s="172"/>
      <c r="BA137" s="173"/>
      <c r="BB137" s="303">
        <f t="shared" si="285"/>
        <v>0.11</v>
      </c>
      <c r="BC137" s="303"/>
      <c r="BD137" s="303"/>
      <c r="BE137" s="303"/>
      <c r="BF137" s="303"/>
      <c r="BG137" s="291">
        <f t="shared" si="259"/>
        <v>9.11</v>
      </c>
      <c r="BH137" s="291"/>
      <c r="BI137" s="291"/>
      <c r="BJ137" s="291"/>
      <c r="BK137" s="291"/>
      <c r="BL137" s="291">
        <f t="shared" si="260"/>
        <v>8.89</v>
      </c>
      <c r="BM137" s="291"/>
      <c r="BN137" s="291"/>
      <c r="BO137" s="291"/>
      <c r="BP137" s="291"/>
      <c r="BQ137" s="292" t="str">
        <f t="shared" si="261"/>
        <v>PASS</v>
      </c>
      <c r="BR137" s="292"/>
      <c r="BS137" s="292"/>
      <c r="BT137" s="292"/>
      <c r="BU137" s="292"/>
      <c r="BV137" s="173"/>
      <c r="BX137" s="73" t="s">
        <v>128</v>
      </c>
      <c r="BY137" s="224">
        <v>1.0999999999999999E-2</v>
      </c>
      <c r="BZ137" s="74" t="str">
        <f t="shared" si="262"/>
        <v>A</v>
      </c>
      <c r="CA137" s="182">
        <v>2</v>
      </c>
      <c r="CB137" s="79">
        <f t="shared" si="320"/>
        <v>5.4999999999999997E-3</v>
      </c>
      <c r="CC137" s="4"/>
      <c r="CD137" s="73" t="s">
        <v>130</v>
      </c>
      <c r="CE137" s="89">
        <v>0</v>
      </c>
      <c r="CF137" s="74" t="str">
        <f t="shared" si="305"/>
        <v>A</v>
      </c>
      <c r="CG137" s="82">
        <f t="shared" si="306"/>
        <v>1.7320508075688772</v>
      </c>
      <c r="CH137" s="79">
        <f t="shared" si="307"/>
        <v>0</v>
      </c>
      <c r="CI137" s="4"/>
      <c r="CJ137" s="73" t="s">
        <v>92</v>
      </c>
      <c r="CK137" s="183">
        <v>0.01</v>
      </c>
      <c r="CL137" s="74" t="str">
        <f t="shared" ref="CL137" si="325">P137</f>
        <v>A</v>
      </c>
      <c r="CM137" s="82">
        <f t="shared" si="308"/>
        <v>3.4641016151377544</v>
      </c>
      <c r="CN137" s="79">
        <f t="shared" si="309"/>
        <v>2.886751345948129E-3</v>
      </c>
      <c r="CO137" s="4"/>
      <c r="CP137" s="73" t="s">
        <v>70</v>
      </c>
      <c r="CQ137" s="84">
        <f t="shared" si="269"/>
        <v>0</v>
      </c>
      <c r="CR137" s="74" t="str">
        <f t="shared" si="270"/>
        <v>A</v>
      </c>
      <c r="CS137" s="82">
        <f t="shared" si="310"/>
        <v>1.7320508075688772</v>
      </c>
      <c r="CT137" s="87">
        <f t="shared" si="311"/>
        <v>0</v>
      </c>
      <c r="CU137" s="8"/>
      <c r="CV137" s="96">
        <f t="shared" si="312"/>
        <v>6.2115483845280742E-3</v>
      </c>
      <c r="CW137" s="89">
        <f t="shared" si="313"/>
        <v>302.42013416191128</v>
      </c>
      <c r="CX137" s="97">
        <f t="shared" si="321"/>
        <v>2</v>
      </c>
      <c r="CY137" s="107">
        <f>(CV137*CX137)</f>
        <v>1.2423096769056148E-2</v>
      </c>
      <c r="CZ137" s="108" t="str">
        <f t="shared" si="322"/>
        <v>A</v>
      </c>
      <c r="DA137" s="8"/>
      <c r="DB137" s="177">
        <v>3.8999999999999998E-3</v>
      </c>
      <c r="DC137" s="178" t="str">
        <f t="shared" si="318"/>
        <v>A</v>
      </c>
      <c r="DD137" s="220">
        <f t="shared" si="276"/>
        <v>1.2423096769056148E-2</v>
      </c>
      <c r="DE137" s="178" t="str">
        <f t="shared" si="319"/>
        <v>A</v>
      </c>
    </row>
    <row r="138" spans="1:109" s="143" customFormat="1" ht="12">
      <c r="A138" s="136"/>
      <c r="B138" s="166"/>
      <c r="C138" s="167"/>
      <c r="D138" s="167"/>
      <c r="E138" s="167"/>
      <c r="F138" s="167"/>
      <c r="G138" s="167"/>
      <c r="H138" s="167"/>
      <c r="I138" s="167"/>
      <c r="J138" s="167"/>
      <c r="K138" s="167"/>
      <c r="L138" s="167"/>
      <c r="M138" s="167"/>
      <c r="N138" s="167"/>
      <c r="O138" s="167"/>
      <c r="P138" s="167"/>
      <c r="Q138" s="167"/>
      <c r="R138" s="167"/>
      <c r="S138" s="167"/>
      <c r="T138" s="167"/>
      <c r="U138" s="167"/>
      <c r="V138" s="167"/>
      <c r="W138" s="167"/>
      <c r="X138" s="167"/>
      <c r="Y138" s="167"/>
      <c r="Z138" s="167"/>
      <c r="AA138" s="167"/>
      <c r="AB138" s="167"/>
      <c r="AC138" s="167"/>
      <c r="AD138" s="167"/>
      <c r="AE138" s="167"/>
      <c r="AF138" s="167"/>
      <c r="AG138" s="167"/>
      <c r="AH138" s="167"/>
      <c r="AI138" s="167"/>
      <c r="AJ138" s="167"/>
      <c r="AK138" s="167"/>
      <c r="AL138" s="167"/>
      <c r="AM138" s="167"/>
      <c r="AN138" s="167"/>
      <c r="AO138" s="167"/>
      <c r="AP138" s="167"/>
      <c r="AQ138" s="167"/>
      <c r="AR138" s="167"/>
      <c r="AS138" s="167"/>
      <c r="AT138" s="167"/>
      <c r="AU138" s="167"/>
      <c r="AV138" s="167"/>
      <c r="AW138" s="167"/>
      <c r="AX138" s="167"/>
      <c r="AY138" s="167"/>
      <c r="AZ138" s="168"/>
      <c r="BA138" s="136"/>
      <c r="BB138" s="136"/>
      <c r="BC138" s="136"/>
      <c r="BD138" s="136"/>
      <c r="BE138" s="136"/>
      <c r="BF138" s="136"/>
      <c r="BG138" s="136"/>
      <c r="BH138" s="136"/>
      <c r="BI138" s="136"/>
      <c r="BJ138" s="136"/>
      <c r="BK138" s="136"/>
      <c r="BL138" s="136"/>
      <c r="BM138" s="136"/>
      <c r="BN138" s="136"/>
      <c r="BO138" s="136"/>
      <c r="BP138" s="136"/>
      <c r="BQ138" s="136"/>
      <c r="BR138" s="136"/>
      <c r="BS138" s="136"/>
      <c r="BT138" s="136"/>
      <c r="BU138" s="136"/>
      <c r="BV138" s="136"/>
      <c r="BY138" s="217"/>
    </row>
    <row r="139" spans="1:109" s="143" customFormat="1" ht="13.5">
      <c r="A139" s="136"/>
      <c r="B139" s="193" t="s">
        <v>104</v>
      </c>
      <c r="C139" s="194"/>
      <c r="D139" s="194"/>
      <c r="E139" s="194"/>
      <c r="F139" s="194"/>
      <c r="G139" s="194"/>
      <c r="H139" s="194"/>
      <c r="I139" s="194"/>
      <c r="J139" s="195"/>
      <c r="K139" s="195"/>
      <c r="L139" s="195"/>
      <c r="M139" s="195"/>
      <c r="N139" s="195"/>
      <c r="O139" s="195"/>
      <c r="P139" s="195"/>
      <c r="Q139" s="195"/>
      <c r="R139" s="195"/>
      <c r="S139" s="195"/>
      <c r="T139" s="195"/>
      <c r="U139" s="195"/>
      <c r="V139" s="195"/>
      <c r="W139" s="195"/>
      <c r="X139" s="195"/>
      <c r="Y139" s="194"/>
      <c r="Z139" s="194"/>
      <c r="AA139" s="194"/>
      <c r="AB139" s="195"/>
      <c r="AC139" s="195"/>
      <c r="AD139" s="195"/>
      <c r="AE139" s="195"/>
      <c r="AF139" s="195"/>
      <c r="AG139" s="195"/>
      <c r="AH139" s="195"/>
      <c r="AI139" s="195"/>
      <c r="AJ139" s="195"/>
      <c r="AK139" s="195"/>
      <c r="AL139" s="195"/>
      <c r="AM139" s="195"/>
      <c r="AN139" s="195"/>
      <c r="AO139" s="195"/>
      <c r="AP139" s="195"/>
      <c r="AQ139" s="195"/>
      <c r="AR139" s="195"/>
      <c r="AS139" s="195"/>
      <c r="AT139" s="195"/>
      <c r="AU139" s="195"/>
      <c r="AV139" s="195"/>
      <c r="AW139" s="194"/>
      <c r="AX139" s="194"/>
      <c r="AY139" s="194"/>
      <c r="AZ139" s="196"/>
      <c r="BA139" s="136"/>
      <c r="BB139" s="136"/>
      <c r="BC139" s="136"/>
      <c r="BD139" s="136"/>
      <c r="BE139" s="136"/>
      <c r="BF139" s="136"/>
      <c r="BG139" s="136"/>
      <c r="BH139" s="136"/>
      <c r="BI139" s="136"/>
      <c r="BJ139" s="136"/>
      <c r="BK139" s="136"/>
      <c r="BL139" s="136"/>
      <c r="BM139" s="136"/>
      <c r="BN139" s="136"/>
      <c r="BO139" s="136"/>
      <c r="BP139" s="136"/>
      <c r="BQ139" s="136"/>
      <c r="BR139" s="136"/>
      <c r="BS139" s="136"/>
      <c r="BT139" s="136"/>
      <c r="BU139" s="136"/>
      <c r="BV139" s="136"/>
    </row>
    <row r="140" spans="1:109" s="143" customFormat="1" ht="13.5">
      <c r="A140" s="136"/>
      <c r="B140" s="429" t="s">
        <v>170</v>
      </c>
      <c r="C140" s="430"/>
      <c r="D140" s="430"/>
      <c r="E140" s="430"/>
      <c r="F140" s="430"/>
      <c r="G140" s="430"/>
      <c r="H140" s="430"/>
      <c r="I140" s="430"/>
      <c r="J140" s="430"/>
      <c r="K140" s="430"/>
      <c r="L140" s="430"/>
      <c r="M140" s="430"/>
      <c r="N140" s="430"/>
      <c r="O140" s="430"/>
      <c r="P140" s="430"/>
      <c r="Q140" s="430"/>
      <c r="R140" s="430"/>
      <c r="S140" s="430"/>
      <c r="T140" s="431"/>
      <c r="U140" s="409"/>
      <c r="V140" s="409"/>
      <c r="W140" s="409"/>
      <c r="X140" s="409"/>
      <c r="Y140" s="409"/>
      <c r="Z140" s="409"/>
      <c r="AA140" s="409"/>
      <c r="AB140" s="409"/>
      <c r="AC140" s="409"/>
      <c r="AD140" s="409"/>
      <c r="AE140" s="409"/>
      <c r="AF140" s="409"/>
      <c r="AG140" s="409"/>
      <c r="AH140" s="409"/>
      <c r="AI140" s="409"/>
      <c r="AJ140" s="411"/>
      <c r="AK140" s="414">
        <f>AL11</f>
        <v>45786</v>
      </c>
      <c r="AL140" s="415"/>
      <c r="AM140" s="415"/>
      <c r="AN140" s="415"/>
      <c r="AO140" s="415"/>
      <c r="AP140" s="415"/>
      <c r="AQ140" s="415"/>
      <c r="AR140" s="415"/>
      <c r="AS140" s="415"/>
      <c r="AT140" s="415"/>
      <c r="AU140" s="415"/>
      <c r="AV140" s="415"/>
      <c r="AW140" s="415"/>
      <c r="AX140" s="415"/>
      <c r="AY140" s="415"/>
      <c r="AZ140" s="416"/>
      <c r="BA140" s="136"/>
      <c r="BB140" s="136"/>
      <c r="BC140" s="136"/>
      <c r="BD140" s="136"/>
      <c r="BE140" s="136"/>
      <c r="BF140" s="136"/>
      <c r="BG140" s="136"/>
      <c r="BH140" s="136"/>
      <c r="BI140" s="136"/>
      <c r="BJ140" s="136"/>
      <c r="BK140" s="136"/>
      <c r="BL140" s="136"/>
      <c r="BM140" s="136"/>
      <c r="BN140" s="136"/>
      <c r="BO140" s="136"/>
      <c r="BP140" s="136"/>
      <c r="BQ140" s="136"/>
      <c r="BR140" s="136"/>
      <c r="BS140" s="136"/>
      <c r="BT140" s="136"/>
      <c r="BU140" s="136"/>
      <c r="BV140" s="136"/>
    </row>
    <row r="141" spans="1:109" s="143" customFormat="1" ht="13.5">
      <c r="A141" s="136"/>
      <c r="B141" s="423" t="s">
        <v>105</v>
      </c>
      <c r="C141" s="424"/>
      <c r="D141" s="424"/>
      <c r="E141" s="424"/>
      <c r="F141" s="424"/>
      <c r="G141" s="424"/>
      <c r="H141" s="424"/>
      <c r="I141" s="424"/>
      <c r="J141" s="424"/>
      <c r="K141" s="424"/>
      <c r="L141" s="424"/>
      <c r="M141" s="424"/>
      <c r="N141" s="424"/>
      <c r="O141" s="424"/>
      <c r="P141" s="424"/>
      <c r="Q141" s="424"/>
      <c r="R141" s="424"/>
      <c r="S141" s="424"/>
      <c r="T141" s="425"/>
      <c r="U141" s="424" t="s">
        <v>106</v>
      </c>
      <c r="V141" s="424"/>
      <c r="W141" s="424"/>
      <c r="X141" s="424"/>
      <c r="Y141" s="424"/>
      <c r="Z141" s="424"/>
      <c r="AA141" s="424"/>
      <c r="AB141" s="424"/>
      <c r="AC141" s="424"/>
      <c r="AD141" s="424"/>
      <c r="AE141" s="424"/>
      <c r="AF141" s="424"/>
      <c r="AG141" s="424"/>
      <c r="AH141" s="424"/>
      <c r="AI141" s="424"/>
      <c r="AJ141" s="426"/>
      <c r="AK141" s="427" t="s">
        <v>107</v>
      </c>
      <c r="AL141" s="424"/>
      <c r="AM141" s="424"/>
      <c r="AN141" s="424"/>
      <c r="AO141" s="424"/>
      <c r="AP141" s="424"/>
      <c r="AQ141" s="424"/>
      <c r="AR141" s="424"/>
      <c r="AS141" s="424"/>
      <c r="AT141" s="424"/>
      <c r="AU141" s="424"/>
      <c r="AV141" s="424"/>
      <c r="AW141" s="424"/>
      <c r="AX141" s="424"/>
      <c r="AY141" s="424"/>
      <c r="AZ141" s="428"/>
      <c r="BA141" s="136"/>
      <c r="BB141" s="136"/>
      <c r="BC141" s="136"/>
      <c r="BD141" s="136"/>
      <c r="BE141" s="136"/>
      <c r="BF141" s="136"/>
      <c r="BG141" s="136"/>
      <c r="BH141" s="136"/>
      <c r="BI141" s="136"/>
      <c r="BJ141" s="136"/>
      <c r="BK141" s="136"/>
      <c r="BL141" s="136"/>
      <c r="BM141" s="136"/>
      <c r="BN141" s="136"/>
      <c r="BO141" s="136"/>
      <c r="BP141" s="136"/>
      <c r="BQ141" s="136"/>
      <c r="BR141" s="136"/>
      <c r="BS141" s="136"/>
      <c r="BT141" s="136"/>
      <c r="BU141" s="136"/>
      <c r="BV141" s="136"/>
    </row>
    <row r="142" spans="1:109" s="143" customFormat="1" ht="13.5">
      <c r="A142" s="136"/>
      <c r="B142" s="197" t="s">
        <v>108</v>
      </c>
      <c r="C142" s="187"/>
      <c r="D142" s="187"/>
      <c r="E142" s="187"/>
      <c r="F142" s="187"/>
      <c r="G142" s="187"/>
      <c r="H142" s="187"/>
      <c r="I142" s="187"/>
      <c r="J142" s="198"/>
      <c r="K142" s="198"/>
      <c r="L142" s="198"/>
      <c r="M142" s="198"/>
      <c r="N142" s="198"/>
      <c r="O142" s="198"/>
      <c r="P142" s="198"/>
      <c r="Q142" s="198"/>
      <c r="R142" s="198"/>
      <c r="S142" s="198"/>
      <c r="T142" s="198"/>
      <c r="U142" s="198"/>
      <c r="V142" s="198"/>
      <c r="W142" s="198"/>
      <c r="X142" s="198"/>
      <c r="Y142" s="198"/>
      <c r="Z142" s="198"/>
      <c r="AA142" s="198"/>
      <c r="AB142" s="198"/>
      <c r="AC142" s="198"/>
      <c r="AD142" s="198"/>
      <c r="AE142" s="198"/>
      <c r="AF142" s="198"/>
      <c r="AG142" s="198"/>
      <c r="AH142" s="187"/>
      <c r="AI142" s="187"/>
      <c r="AJ142" s="187"/>
      <c r="AK142" s="198"/>
      <c r="AL142" s="198"/>
      <c r="AM142" s="198"/>
      <c r="AN142" s="198"/>
      <c r="AO142" s="198"/>
      <c r="AP142" s="198"/>
      <c r="AQ142" s="198"/>
      <c r="AR142" s="198"/>
      <c r="AS142" s="198"/>
      <c r="AT142" s="198"/>
      <c r="AU142" s="198"/>
      <c r="AV142" s="198"/>
      <c r="AW142" s="187"/>
      <c r="AX142" s="187"/>
      <c r="AY142" s="187"/>
      <c r="AZ142" s="199"/>
      <c r="BA142" s="136"/>
      <c r="BB142" s="136"/>
      <c r="BC142" s="136"/>
      <c r="BD142" s="136"/>
      <c r="BE142" s="136"/>
      <c r="BF142" s="136"/>
      <c r="BG142" s="136"/>
      <c r="BH142" s="136"/>
      <c r="BI142" s="136"/>
      <c r="BJ142" s="136"/>
      <c r="BK142" s="136"/>
      <c r="BL142" s="136"/>
      <c r="BM142" s="136"/>
      <c r="BN142" s="136"/>
      <c r="BO142" s="136"/>
      <c r="BP142" s="136"/>
      <c r="BQ142" s="136"/>
      <c r="BR142" s="136"/>
      <c r="BS142" s="136"/>
      <c r="BT142" s="136"/>
      <c r="BU142" s="136"/>
      <c r="BV142" s="136"/>
    </row>
    <row r="143" spans="1:109" s="143" customFormat="1" ht="13.5">
      <c r="A143" s="136"/>
      <c r="B143" s="408" t="s">
        <v>132</v>
      </c>
      <c r="C143" s="409"/>
      <c r="D143" s="409"/>
      <c r="E143" s="409"/>
      <c r="F143" s="409"/>
      <c r="G143" s="409"/>
      <c r="H143" s="409"/>
      <c r="I143" s="409"/>
      <c r="J143" s="409"/>
      <c r="K143" s="409"/>
      <c r="L143" s="409"/>
      <c r="M143" s="409"/>
      <c r="N143" s="409"/>
      <c r="O143" s="409"/>
      <c r="P143" s="409"/>
      <c r="Q143" s="409"/>
      <c r="R143" s="409"/>
      <c r="S143" s="409"/>
      <c r="T143" s="410"/>
      <c r="U143" s="409"/>
      <c r="V143" s="409"/>
      <c r="W143" s="409"/>
      <c r="X143" s="409"/>
      <c r="Y143" s="409"/>
      <c r="Z143" s="409"/>
      <c r="AA143" s="409"/>
      <c r="AB143" s="409"/>
      <c r="AC143" s="409"/>
      <c r="AD143" s="409"/>
      <c r="AE143" s="409"/>
      <c r="AF143" s="409"/>
      <c r="AG143" s="409"/>
      <c r="AH143" s="409"/>
      <c r="AI143" s="409"/>
      <c r="AJ143" s="411"/>
      <c r="AK143" s="414"/>
      <c r="AL143" s="415"/>
      <c r="AM143" s="415"/>
      <c r="AN143" s="415"/>
      <c r="AO143" s="415"/>
      <c r="AP143" s="415"/>
      <c r="AQ143" s="415"/>
      <c r="AR143" s="415"/>
      <c r="AS143" s="415"/>
      <c r="AT143" s="415"/>
      <c r="AU143" s="415"/>
      <c r="AV143" s="415"/>
      <c r="AW143" s="415"/>
      <c r="AX143" s="415"/>
      <c r="AY143" s="415"/>
      <c r="AZ143" s="416"/>
      <c r="BA143" s="136"/>
      <c r="BB143" s="136"/>
      <c r="BC143" s="136"/>
      <c r="BD143" s="136"/>
      <c r="BE143" s="136"/>
      <c r="BF143" s="136"/>
      <c r="BG143" s="136"/>
      <c r="BH143" s="136"/>
      <c r="BI143" s="136"/>
      <c r="BJ143" s="136"/>
      <c r="BK143" s="136"/>
      <c r="BL143" s="136"/>
      <c r="BM143" s="136"/>
      <c r="BN143" s="136"/>
      <c r="BO143" s="136"/>
      <c r="BP143" s="136"/>
      <c r="BQ143" s="136"/>
      <c r="BR143" s="136"/>
      <c r="BS143" s="136"/>
      <c r="BT143" s="136"/>
      <c r="BU143" s="136"/>
      <c r="BV143" s="136"/>
    </row>
    <row r="144" spans="1:109" s="143" customFormat="1" ht="13.5">
      <c r="A144" s="136"/>
      <c r="B144" s="423" t="s">
        <v>152</v>
      </c>
      <c r="C144" s="424"/>
      <c r="D144" s="424"/>
      <c r="E144" s="424"/>
      <c r="F144" s="424"/>
      <c r="G144" s="424"/>
      <c r="H144" s="424"/>
      <c r="I144" s="424"/>
      <c r="J144" s="424"/>
      <c r="K144" s="424"/>
      <c r="L144" s="424"/>
      <c r="M144" s="424"/>
      <c r="N144" s="424"/>
      <c r="O144" s="424"/>
      <c r="P144" s="424"/>
      <c r="Q144" s="424"/>
      <c r="R144" s="424"/>
      <c r="S144" s="424"/>
      <c r="T144" s="425"/>
      <c r="U144" s="424" t="s">
        <v>106</v>
      </c>
      <c r="V144" s="424"/>
      <c r="W144" s="424"/>
      <c r="X144" s="424"/>
      <c r="Y144" s="424"/>
      <c r="Z144" s="424"/>
      <c r="AA144" s="424"/>
      <c r="AB144" s="424"/>
      <c r="AC144" s="424"/>
      <c r="AD144" s="424"/>
      <c r="AE144" s="424"/>
      <c r="AF144" s="424"/>
      <c r="AG144" s="424"/>
      <c r="AH144" s="424"/>
      <c r="AI144" s="424"/>
      <c r="AJ144" s="426"/>
      <c r="AK144" s="427" t="s">
        <v>107</v>
      </c>
      <c r="AL144" s="424"/>
      <c r="AM144" s="424"/>
      <c r="AN144" s="424"/>
      <c r="AO144" s="424"/>
      <c r="AP144" s="424"/>
      <c r="AQ144" s="424"/>
      <c r="AR144" s="424"/>
      <c r="AS144" s="424"/>
      <c r="AT144" s="424"/>
      <c r="AU144" s="424"/>
      <c r="AV144" s="424"/>
      <c r="AW144" s="424"/>
      <c r="AX144" s="424"/>
      <c r="AY144" s="424"/>
      <c r="AZ144" s="428"/>
      <c r="BA144" s="136"/>
      <c r="BB144" s="136"/>
      <c r="BC144" s="136"/>
      <c r="BD144" s="136"/>
      <c r="BE144" s="136"/>
      <c r="BF144" s="136"/>
      <c r="BG144" s="136"/>
      <c r="BH144" s="136"/>
      <c r="BI144" s="136"/>
      <c r="BJ144" s="136"/>
      <c r="BK144" s="136"/>
      <c r="BL144" s="136"/>
      <c r="BM144" s="136"/>
      <c r="BN144" s="136"/>
      <c r="BO144" s="136"/>
      <c r="BP144" s="136"/>
      <c r="BQ144" s="136"/>
      <c r="BR144" s="136"/>
      <c r="BS144" s="136"/>
      <c r="BT144" s="136"/>
      <c r="BU144" s="136"/>
      <c r="BV144" s="136"/>
    </row>
    <row r="145" spans="1:105" s="143" customFormat="1" ht="13.5">
      <c r="A145" s="136"/>
      <c r="B145" s="193" t="s">
        <v>109</v>
      </c>
      <c r="C145" s="194"/>
      <c r="D145" s="194"/>
      <c r="E145" s="194"/>
      <c r="F145" s="194"/>
      <c r="G145" s="194"/>
      <c r="H145" s="194"/>
      <c r="I145" s="194"/>
      <c r="J145" s="195"/>
      <c r="K145" s="195"/>
      <c r="L145" s="195"/>
      <c r="M145" s="195"/>
      <c r="N145" s="195"/>
      <c r="O145" s="195"/>
      <c r="P145" s="195"/>
      <c r="Q145" s="195"/>
      <c r="R145" s="195"/>
      <c r="S145" s="195"/>
      <c r="T145" s="195"/>
      <c r="U145" s="195"/>
      <c r="V145" s="195"/>
      <c r="W145" s="195"/>
      <c r="X145" s="195"/>
      <c r="Y145" s="194"/>
      <c r="Z145" s="194"/>
      <c r="AA145" s="194"/>
      <c r="AB145" s="195"/>
      <c r="AC145" s="195"/>
      <c r="AD145" s="195"/>
      <c r="AE145" s="195"/>
      <c r="AF145" s="195"/>
      <c r="AG145" s="195"/>
      <c r="AH145" s="195"/>
      <c r="AI145" s="195"/>
      <c r="AJ145" s="195"/>
      <c r="AK145" s="195"/>
      <c r="AL145" s="195"/>
      <c r="AM145" s="195"/>
      <c r="AN145" s="195"/>
      <c r="AO145" s="195"/>
      <c r="AP145" s="195"/>
      <c r="AQ145" s="195"/>
      <c r="AR145" s="195"/>
      <c r="AS145" s="195"/>
      <c r="AT145" s="195"/>
      <c r="AU145" s="195"/>
      <c r="AV145" s="195"/>
      <c r="AW145" s="194"/>
      <c r="AX145" s="194"/>
      <c r="AY145" s="194"/>
      <c r="AZ145" s="196"/>
      <c r="BA145" s="136"/>
      <c r="BB145" s="136"/>
      <c r="BC145" s="136"/>
      <c r="BD145" s="136"/>
      <c r="BE145" s="136"/>
      <c r="BF145" s="136"/>
      <c r="BG145" s="136"/>
      <c r="BH145" s="136"/>
      <c r="BI145" s="136"/>
      <c r="BJ145" s="136"/>
      <c r="BK145" s="136"/>
      <c r="BL145" s="136"/>
      <c r="BM145" s="136"/>
      <c r="BN145" s="136"/>
      <c r="BO145" s="136"/>
      <c r="BP145" s="136"/>
      <c r="BQ145" s="136"/>
      <c r="BR145" s="136"/>
      <c r="BS145" s="136"/>
      <c r="BT145" s="136"/>
      <c r="BU145" s="136"/>
      <c r="BV145" s="136"/>
    </row>
    <row r="146" spans="1:105" s="143" customFormat="1" ht="12.75" customHeight="1">
      <c r="A146" s="136"/>
      <c r="B146" s="408" t="s">
        <v>56</v>
      </c>
      <c r="C146" s="409"/>
      <c r="D146" s="409"/>
      <c r="E146" s="409"/>
      <c r="F146" s="409"/>
      <c r="G146" s="409"/>
      <c r="H146" s="409"/>
      <c r="I146" s="409"/>
      <c r="J146" s="409"/>
      <c r="K146" s="409"/>
      <c r="L146" s="409"/>
      <c r="M146" s="409"/>
      <c r="N146" s="409"/>
      <c r="O146" s="409"/>
      <c r="P146" s="409"/>
      <c r="Q146" s="409"/>
      <c r="R146" s="409"/>
      <c r="S146" s="409"/>
      <c r="T146" s="410"/>
      <c r="U146" s="409" t="s">
        <v>56</v>
      </c>
      <c r="V146" s="409"/>
      <c r="W146" s="409"/>
      <c r="X146" s="409"/>
      <c r="Y146" s="409"/>
      <c r="Z146" s="409"/>
      <c r="AA146" s="409"/>
      <c r="AB146" s="409"/>
      <c r="AC146" s="409"/>
      <c r="AD146" s="409"/>
      <c r="AE146" s="409"/>
      <c r="AF146" s="409"/>
      <c r="AG146" s="409"/>
      <c r="AH146" s="409"/>
      <c r="AI146" s="409"/>
      <c r="AJ146" s="411"/>
      <c r="AK146" s="412" t="s">
        <v>56</v>
      </c>
      <c r="AL146" s="409"/>
      <c r="AM146" s="409"/>
      <c r="AN146" s="409"/>
      <c r="AO146" s="409"/>
      <c r="AP146" s="409"/>
      <c r="AQ146" s="409"/>
      <c r="AR146" s="409"/>
      <c r="AS146" s="409"/>
      <c r="AT146" s="409"/>
      <c r="AU146" s="409"/>
      <c r="AV146" s="409"/>
      <c r="AW146" s="409"/>
      <c r="AX146" s="409"/>
      <c r="AY146" s="409"/>
      <c r="AZ146" s="413"/>
      <c r="BA146" s="136"/>
      <c r="BB146" s="136"/>
      <c r="BC146" s="136"/>
      <c r="BD146" s="136"/>
      <c r="BE146" s="136"/>
      <c r="BF146" s="136"/>
      <c r="BG146" s="136"/>
      <c r="BH146" s="136"/>
      <c r="BI146" s="136"/>
      <c r="BJ146" s="136"/>
      <c r="BK146" s="136"/>
      <c r="BL146" s="136"/>
      <c r="BM146" s="136"/>
      <c r="BN146" s="136"/>
      <c r="BO146" s="136"/>
      <c r="BP146" s="136"/>
      <c r="BQ146" s="136"/>
      <c r="BR146" s="136"/>
      <c r="BS146" s="136"/>
      <c r="BT146" s="136"/>
      <c r="BU146" s="136"/>
      <c r="BV146" s="136"/>
    </row>
    <row r="147" spans="1:105" s="143" customFormat="1" ht="14.25" thickBot="1">
      <c r="A147" s="136"/>
      <c r="B147" s="417" t="s">
        <v>105</v>
      </c>
      <c r="C147" s="418"/>
      <c r="D147" s="418"/>
      <c r="E147" s="418"/>
      <c r="F147" s="418"/>
      <c r="G147" s="418"/>
      <c r="H147" s="418"/>
      <c r="I147" s="418"/>
      <c r="J147" s="418"/>
      <c r="K147" s="418"/>
      <c r="L147" s="418"/>
      <c r="M147" s="418"/>
      <c r="N147" s="418"/>
      <c r="O147" s="418"/>
      <c r="P147" s="418"/>
      <c r="Q147" s="418"/>
      <c r="R147" s="418"/>
      <c r="S147" s="418"/>
      <c r="T147" s="419"/>
      <c r="U147" s="418" t="s">
        <v>106</v>
      </c>
      <c r="V147" s="418"/>
      <c r="W147" s="418"/>
      <c r="X147" s="418"/>
      <c r="Y147" s="418"/>
      <c r="Z147" s="418"/>
      <c r="AA147" s="418"/>
      <c r="AB147" s="418"/>
      <c r="AC147" s="418"/>
      <c r="AD147" s="418"/>
      <c r="AE147" s="418"/>
      <c r="AF147" s="418"/>
      <c r="AG147" s="418"/>
      <c r="AH147" s="418"/>
      <c r="AI147" s="418"/>
      <c r="AJ147" s="420"/>
      <c r="AK147" s="421" t="s">
        <v>107</v>
      </c>
      <c r="AL147" s="418"/>
      <c r="AM147" s="418"/>
      <c r="AN147" s="418"/>
      <c r="AO147" s="418"/>
      <c r="AP147" s="418"/>
      <c r="AQ147" s="418"/>
      <c r="AR147" s="418"/>
      <c r="AS147" s="418"/>
      <c r="AT147" s="418"/>
      <c r="AU147" s="418"/>
      <c r="AV147" s="418"/>
      <c r="AW147" s="418"/>
      <c r="AX147" s="418"/>
      <c r="AY147" s="418"/>
      <c r="AZ147" s="422"/>
      <c r="BA147" s="136"/>
      <c r="BB147" s="136"/>
      <c r="BC147" s="136"/>
      <c r="BD147" s="136"/>
      <c r="BE147" s="136"/>
      <c r="BF147" s="136"/>
      <c r="BG147" s="136"/>
      <c r="BH147" s="136"/>
      <c r="BI147" s="136"/>
      <c r="BJ147" s="136"/>
      <c r="BK147" s="136"/>
      <c r="BL147" s="136"/>
      <c r="BM147" s="136"/>
      <c r="BN147" s="136"/>
      <c r="BO147" s="136"/>
      <c r="BP147" s="136"/>
      <c r="BQ147" s="136"/>
      <c r="BR147" s="136"/>
      <c r="BS147" s="136"/>
      <c r="BT147" s="136"/>
      <c r="BU147" s="136"/>
      <c r="BV147" s="136"/>
    </row>
    <row r="148" spans="1:105" s="201" customFormat="1" ht="15" hidden="1">
      <c r="A148" s="200"/>
      <c r="B148" s="127"/>
      <c r="C148" s="127"/>
      <c r="D148" s="127"/>
      <c r="E148" s="127"/>
      <c r="F148" s="127"/>
      <c r="G148" s="127"/>
      <c r="H148" s="127"/>
      <c r="I148" s="127"/>
      <c r="J148" s="127"/>
      <c r="K148" s="127"/>
      <c r="L148" s="127"/>
      <c r="M148" s="127"/>
      <c r="N148" s="127"/>
      <c r="O148" s="127"/>
      <c r="P148" s="127"/>
      <c r="Q148" s="127"/>
      <c r="R148" s="127"/>
      <c r="S148" s="127"/>
      <c r="T148" s="127"/>
      <c r="U148" s="127"/>
      <c r="V148" s="127"/>
      <c r="W148" s="127"/>
      <c r="X148" s="127"/>
      <c r="Y148" s="127"/>
      <c r="Z148" s="127"/>
      <c r="AA148" s="127"/>
      <c r="AB148" s="127"/>
      <c r="AC148" s="127"/>
      <c r="AD148" s="127"/>
      <c r="AE148" s="127"/>
      <c r="AF148" s="127"/>
      <c r="AG148" s="127"/>
      <c r="AH148" s="127"/>
      <c r="AI148" s="127"/>
      <c r="AJ148" s="127"/>
      <c r="AK148" s="127"/>
      <c r="AL148" s="127"/>
      <c r="AM148" s="127"/>
      <c r="AN148" s="127"/>
      <c r="AO148" s="127"/>
      <c r="AP148" s="127"/>
      <c r="AQ148" s="127"/>
      <c r="AR148" s="127"/>
      <c r="AS148" s="127"/>
      <c r="AT148" s="127"/>
      <c r="AU148" s="127"/>
      <c r="AV148" s="127"/>
      <c r="AW148" s="127"/>
      <c r="AX148" s="127"/>
      <c r="AY148" s="127"/>
      <c r="AZ148" s="127"/>
      <c r="BA148" s="123"/>
      <c r="BB148" s="123"/>
      <c r="BC148" s="123"/>
      <c r="BD148" s="123"/>
      <c r="BE148" s="123"/>
      <c r="BF148" s="123"/>
      <c r="BG148" s="123"/>
      <c r="BH148" s="123"/>
      <c r="BI148" s="123"/>
      <c r="BJ148" s="123"/>
      <c r="BK148" s="123"/>
      <c r="BL148" s="123"/>
      <c r="BM148" s="123"/>
      <c r="BN148" s="123"/>
      <c r="BO148" s="123"/>
      <c r="BP148" s="123"/>
      <c r="BQ148" s="123"/>
      <c r="BR148" s="123"/>
      <c r="BS148" s="123"/>
      <c r="BT148" s="123"/>
      <c r="BU148" s="123"/>
      <c r="BV148" s="123"/>
      <c r="BW148" s="127"/>
      <c r="BX148" s="127"/>
      <c r="BY148" s="127"/>
      <c r="BZ148" s="127"/>
      <c r="CA148" s="127"/>
      <c r="CB148" s="127"/>
      <c r="CC148" s="127"/>
      <c r="CD148" s="127"/>
      <c r="CE148" s="127"/>
      <c r="CF148" s="127"/>
      <c r="CG148" s="127"/>
      <c r="CH148" s="127"/>
      <c r="CI148" s="127"/>
      <c r="CJ148" s="127"/>
      <c r="CK148" s="127"/>
      <c r="CL148" s="127"/>
      <c r="CM148" s="127"/>
      <c r="CN148" s="127"/>
      <c r="CO148" s="127"/>
      <c r="CP148" s="127"/>
      <c r="CQ148" s="127"/>
      <c r="CR148" s="127"/>
      <c r="CS148" s="127"/>
      <c r="CT148" s="127"/>
      <c r="CU148" s="127"/>
      <c r="CV148" s="127"/>
      <c r="CW148" s="127"/>
      <c r="CX148" s="127"/>
      <c r="CY148" s="127"/>
      <c r="CZ148" s="127"/>
      <c r="DA148" s="127"/>
    </row>
    <row r="149" spans="1:105" ht="15" hidden="1"/>
    <row r="150" spans="1:105" ht="15" hidden="1"/>
    <row r="151" spans="1:105" ht="15" hidden="1"/>
    <row r="152" spans="1:105" ht="15" hidden="1"/>
    <row r="153" spans="1:105" ht="15" hidden="1" customHeight="1"/>
    <row r="154" spans="1:105" ht="15" hidden="1" customHeight="1"/>
    <row r="155" spans="1:105" ht="15" hidden="1" customHeight="1"/>
    <row r="156" spans="1:105" ht="15" hidden="1" customHeight="1"/>
    <row r="157" spans="1:105" ht="15" hidden="1" customHeight="1"/>
    <row r="158" spans="1:105" ht="15" hidden="1" customHeight="1"/>
    <row r="159" spans="1:105" ht="15" hidden="1" customHeight="1"/>
    <row r="160" spans="1:105" ht="15" hidden="1" customHeight="1"/>
    <row r="161" ht="15" hidden="1" customHeight="1"/>
    <row r="162" ht="15" hidden="1" customHeight="1"/>
    <row r="163" ht="15" hidden="1" customHeight="1"/>
    <row r="164" ht="15" hidden="1" customHeight="1"/>
    <row r="165" ht="15" hidden="1" customHeight="1"/>
    <row r="166" ht="15" hidden="1" customHeight="1"/>
    <row r="167" ht="15" hidden="1" customHeight="1"/>
    <row r="168" ht="15" hidden="1" customHeight="1"/>
    <row r="169" ht="15" hidden="1" customHeight="1"/>
    <row r="170" ht="15" hidden="1" customHeight="1"/>
    <row r="171" ht="15" hidden="1" customHeight="1"/>
    <row r="172" ht="15" hidden="1" customHeight="1"/>
    <row r="173" ht="15" hidden="1" customHeight="1"/>
    <row r="174" ht="15" hidden="1" customHeight="1"/>
    <row r="175" ht="15" hidden="1" customHeight="1"/>
    <row r="176" ht="15" hidden="1" customHeight="1"/>
    <row r="177" ht="15" hidden="1" customHeight="1"/>
    <row r="178" ht="15" hidden="1" customHeight="1"/>
    <row r="179" ht="15" hidden="1" customHeight="1"/>
    <row r="180" ht="15" hidden="1" customHeight="1"/>
    <row r="181" ht="15" hidden="1" customHeight="1"/>
    <row r="182" ht="15" hidden="1" customHeight="1"/>
    <row r="183" ht="15" hidden="1" customHeight="1"/>
    <row r="184" ht="15" hidden="1" customHeight="1"/>
    <row r="185" ht="15" hidden="1" customHeight="1"/>
    <row r="186" ht="15" hidden="1" customHeight="1"/>
    <row r="187" ht="15" hidden="1" customHeight="1"/>
  </sheetData>
  <mergeCells count="1163">
    <mergeCell ref="CP52:CT52"/>
    <mergeCell ref="CR100:CR101"/>
    <mergeCell ref="CR111:CR112"/>
    <mergeCell ref="CL111:CL112"/>
    <mergeCell ref="CD110:CH110"/>
    <mergeCell ref="CH111:CH112"/>
    <mergeCell ref="CK100:CK101"/>
    <mergeCell ref="CJ100:CJ101"/>
    <mergeCell ref="CD74:CD75"/>
    <mergeCell ref="CD99:CH99"/>
    <mergeCell ref="CS53:CS54"/>
    <mergeCell ref="CS74:CS75"/>
    <mergeCell ref="CP53:CP54"/>
    <mergeCell ref="CP74:CP75"/>
    <mergeCell ref="CP100:CP101"/>
    <mergeCell ref="CP111:CP112"/>
    <mergeCell ref="CL100:CL101"/>
    <mergeCell ref="CM53:CM54"/>
    <mergeCell ref="CM74:CM75"/>
    <mergeCell ref="CM100:CM101"/>
    <mergeCell ref="CQ53:CQ54"/>
    <mergeCell ref="CQ74:CQ75"/>
    <mergeCell ref="CQ100:CQ101"/>
    <mergeCell ref="CQ111:CQ112"/>
    <mergeCell ref="CD73:CH73"/>
    <mergeCell ref="CH74:CH75"/>
    <mergeCell ref="CD53:CD54"/>
    <mergeCell ref="CE53:CE54"/>
    <mergeCell ref="CF53:CF54"/>
    <mergeCell ref="CG53:CG54"/>
    <mergeCell ref="CG74:CG75"/>
    <mergeCell ref="F58:K60"/>
    <mergeCell ref="F134:K135"/>
    <mergeCell ref="F124:K125"/>
    <mergeCell ref="L124:R125"/>
    <mergeCell ref="S124:W125"/>
    <mergeCell ref="AM124:AQ125"/>
    <mergeCell ref="AR124:AV125"/>
    <mergeCell ref="BB124:BF125"/>
    <mergeCell ref="AH134:AL134"/>
    <mergeCell ref="AM134:AQ134"/>
    <mergeCell ref="BB135:BF135"/>
    <mergeCell ref="L134:O134"/>
    <mergeCell ref="P134:R134"/>
    <mergeCell ref="S134:W134"/>
    <mergeCell ref="X134:AB134"/>
    <mergeCell ref="AC134:AG134"/>
    <mergeCell ref="AR134:AV134"/>
    <mergeCell ref="BB134:BF134"/>
    <mergeCell ref="L135:O135"/>
    <mergeCell ref="P135:R135"/>
    <mergeCell ref="S135:W135"/>
    <mergeCell ref="X135:AB135"/>
    <mergeCell ref="AC135:AG135"/>
    <mergeCell ref="F74:K75"/>
    <mergeCell ref="L74:R75"/>
    <mergeCell ref="S74:W75"/>
    <mergeCell ref="AM74:AQ75"/>
    <mergeCell ref="X75:AB75"/>
    <mergeCell ref="AC75:AG75"/>
    <mergeCell ref="AH75:AL75"/>
    <mergeCell ref="L68:O68"/>
    <mergeCell ref="P68:R68"/>
    <mergeCell ref="S68:W68"/>
    <mergeCell ref="L67:O67"/>
    <mergeCell ref="P67:R67"/>
    <mergeCell ref="S67:W67"/>
    <mergeCell ref="X67:AB67"/>
    <mergeCell ref="AC67:AG67"/>
    <mergeCell ref="AH67:AL67"/>
    <mergeCell ref="AM67:AQ67"/>
    <mergeCell ref="CP73:CT73"/>
    <mergeCell ref="CT53:CT54"/>
    <mergeCell ref="CS124:CS125"/>
    <mergeCell ref="CT74:CT75"/>
    <mergeCell ref="CT100:CT101"/>
    <mergeCell ref="CT111:CT112"/>
    <mergeCell ref="CT124:CT125"/>
    <mergeCell ref="CR74:CR75"/>
    <mergeCell ref="CR124:CR125"/>
    <mergeCell ref="AR100:AV101"/>
    <mergeCell ref="X100:AL100"/>
    <mergeCell ref="X101:AB101"/>
    <mergeCell ref="AC101:AG101"/>
    <mergeCell ref="AH101:AL101"/>
    <mergeCell ref="L90:O90"/>
    <mergeCell ref="P90:R90"/>
    <mergeCell ref="BQ106:BU106"/>
    <mergeCell ref="BB103:BF103"/>
    <mergeCell ref="AM92:AQ92"/>
    <mergeCell ref="AR92:AV92"/>
    <mergeCell ref="L91:O91"/>
    <mergeCell ref="BX99:CB99"/>
    <mergeCell ref="BQ89:BU89"/>
    <mergeCell ref="BB92:BF92"/>
    <mergeCell ref="B25:F26"/>
    <mergeCell ref="AG25:AZ26"/>
    <mergeCell ref="B27:F28"/>
    <mergeCell ref="AG27:AZ28"/>
    <mergeCell ref="B50:AZ50"/>
    <mergeCell ref="B39:AA39"/>
    <mergeCell ref="AB39:AZ39"/>
    <mergeCell ref="K41:L41"/>
    <mergeCell ref="B36:P36"/>
    <mergeCell ref="Q36:AA36"/>
    <mergeCell ref="AB36:AN36"/>
    <mergeCell ref="AO36:AZ36"/>
    <mergeCell ref="B37:P37"/>
    <mergeCell ref="Q37:AA37"/>
    <mergeCell ref="AB37:AN37"/>
    <mergeCell ref="AO37:AZ37"/>
    <mergeCell ref="B38:P38"/>
    <mergeCell ref="Q38:AA38"/>
    <mergeCell ref="AO38:AZ38"/>
    <mergeCell ref="T41:U41"/>
    <mergeCell ref="K42:L42"/>
    <mergeCell ref="T42:U42"/>
    <mergeCell ref="G25:G26"/>
    <mergeCell ref="G27:G28"/>
    <mergeCell ref="Q34:AA34"/>
    <mergeCell ref="AB34:AN34"/>
    <mergeCell ref="AO34:AZ34"/>
    <mergeCell ref="F80:K83"/>
    <mergeCell ref="L80:O80"/>
    <mergeCell ref="P80:R80"/>
    <mergeCell ref="AC80:AG80"/>
    <mergeCell ref="S80:W80"/>
    <mergeCell ref="X80:AB80"/>
    <mergeCell ref="CP124:CP125"/>
    <mergeCell ref="BB121:BF121"/>
    <mergeCell ref="BB123:BU123"/>
    <mergeCell ref="F84:K89"/>
    <mergeCell ref="L118:O118"/>
    <mergeCell ref="P118:R118"/>
    <mergeCell ref="S118:W118"/>
    <mergeCell ref="X118:AB118"/>
    <mergeCell ref="AC118:AG118"/>
    <mergeCell ref="AH118:AL118"/>
    <mergeCell ref="F118:K119"/>
    <mergeCell ref="AM118:AQ118"/>
    <mergeCell ref="AR118:AV118"/>
    <mergeCell ref="BB118:BF118"/>
    <mergeCell ref="BG118:BK118"/>
    <mergeCell ref="BL118:BP118"/>
    <mergeCell ref="CM111:CM112"/>
    <mergeCell ref="CD100:CD101"/>
    <mergeCell ref="CP123:CT123"/>
    <mergeCell ref="CP110:CT110"/>
    <mergeCell ref="CP99:CT99"/>
    <mergeCell ref="F90:K93"/>
    <mergeCell ref="F100:K101"/>
    <mergeCell ref="L100:R101"/>
    <mergeCell ref="S100:W101"/>
    <mergeCell ref="AM100:AQ101"/>
    <mergeCell ref="F111:K112"/>
    <mergeCell ref="L111:R112"/>
    <mergeCell ref="S111:W112"/>
    <mergeCell ref="F106:K106"/>
    <mergeCell ref="L106:O106"/>
    <mergeCell ref="BX110:CB110"/>
    <mergeCell ref="BB108:BF108"/>
    <mergeCell ref="BG108:BK108"/>
    <mergeCell ref="BL108:BP108"/>
    <mergeCell ref="BQ108:BU108"/>
    <mergeCell ref="BB105:BF105"/>
    <mergeCell ref="AC119:AG119"/>
    <mergeCell ref="AH119:AL119"/>
    <mergeCell ref="AM119:AQ119"/>
    <mergeCell ref="AR119:AV119"/>
    <mergeCell ref="AR105:AV105"/>
    <mergeCell ref="L121:O121"/>
    <mergeCell ref="P121:R121"/>
    <mergeCell ref="S121:W121"/>
    <mergeCell ref="P106:R106"/>
    <mergeCell ref="P107:R107"/>
    <mergeCell ref="S107:W107"/>
    <mergeCell ref="AM105:AQ105"/>
    <mergeCell ref="S119:W119"/>
    <mergeCell ref="X119:AB119"/>
    <mergeCell ref="BB110:BU110"/>
    <mergeCell ref="BG105:BK105"/>
    <mergeCell ref="BL105:BP105"/>
    <mergeCell ref="BQ105:BU105"/>
    <mergeCell ref="BB106:BF106"/>
    <mergeCell ref="BG106:BK106"/>
    <mergeCell ref="BL106:BP106"/>
    <mergeCell ref="L136:O136"/>
    <mergeCell ref="P136:R136"/>
    <mergeCell ref="S136:W136"/>
    <mergeCell ref="BB136:BF136"/>
    <mergeCell ref="L119:O119"/>
    <mergeCell ref="P119:R119"/>
    <mergeCell ref="AM111:AQ112"/>
    <mergeCell ref="AR111:AV112"/>
    <mergeCell ref="AC136:AG136"/>
    <mergeCell ref="AH136:AL136"/>
    <mergeCell ref="BB119:BF119"/>
    <mergeCell ref="BG119:BK119"/>
    <mergeCell ref="BL119:BP119"/>
    <mergeCell ref="BL121:BP121"/>
    <mergeCell ref="BG135:BK135"/>
    <mergeCell ref="BL134:BP134"/>
    <mergeCell ref="AH135:AL135"/>
    <mergeCell ref="AM135:AQ135"/>
    <mergeCell ref="X124:AL124"/>
    <mergeCell ref="BB117:BF117"/>
    <mergeCell ref="BG117:BK117"/>
    <mergeCell ref="BL117:BP117"/>
    <mergeCell ref="X111:AL111"/>
    <mergeCell ref="X112:AB112"/>
    <mergeCell ref="AC112:AG112"/>
    <mergeCell ref="AH112:AL112"/>
    <mergeCell ref="BG111:BK112"/>
    <mergeCell ref="BL111:BP112"/>
    <mergeCell ref="BB111:BF112"/>
    <mergeCell ref="X121:AB121"/>
    <mergeCell ref="BB113:BF113"/>
    <mergeCell ref="BG113:BK113"/>
    <mergeCell ref="X136:AB136"/>
    <mergeCell ref="CM124:CM125"/>
    <mergeCell ref="CN53:CN54"/>
    <mergeCell ref="CN74:CN75"/>
    <mergeCell ref="CN100:CN101"/>
    <mergeCell ref="CN111:CN112"/>
    <mergeCell ref="CN124:CN125"/>
    <mergeCell ref="CJ73:CN73"/>
    <mergeCell ref="CJ99:CN99"/>
    <mergeCell ref="CJ110:CN110"/>
    <mergeCell ref="CJ123:CN123"/>
    <mergeCell ref="CL53:CL54"/>
    <mergeCell ref="CK53:CK54"/>
    <mergeCell ref="CJ53:CJ54"/>
    <mergeCell ref="CL124:CL125"/>
    <mergeCell ref="CK74:CK75"/>
    <mergeCell ref="CJ74:CJ75"/>
    <mergeCell ref="CL74:CL75"/>
    <mergeCell ref="BL135:BP135"/>
    <mergeCell ref="BQ119:BU119"/>
    <mergeCell ref="BQ121:BU121"/>
    <mergeCell ref="BQ118:BU118"/>
    <mergeCell ref="BQ116:BU116"/>
    <mergeCell ref="BQ117:BU117"/>
    <mergeCell ref="BL113:BP113"/>
    <mergeCell ref="BQ113:BU113"/>
    <mergeCell ref="AH80:AL80"/>
    <mergeCell ref="AM80:AQ80"/>
    <mergeCell ref="AC121:AG121"/>
    <mergeCell ref="AH121:AL121"/>
    <mergeCell ref="AM121:AQ121"/>
    <mergeCell ref="AR121:AV121"/>
    <mergeCell ref="B146:T146"/>
    <mergeCell ref="U146:AJ146"/>
    <mergeCell ref="AK146:AZ146"/>
    <mergeCell ref="AK143:AZ143"/>
    <mergeCell ref="B147:T147"/>
    <mergeCell ref="U147:AJ147"/>
    <mergeCell ref="AK147:AZ147"/>
    <mergeCell ref="BL136:BP136"/>
    <mergeCell ref="B144:T144"/>
    <mergeCell ref="U144:AJ144"/>
    <mergeCell ref="AK144:AZ144"/>
    <mergeCell ref="S137:W137"/>
    <mergeCell ref="X137:AB137"/>
    <mergeCell ref="AC137:AG137"/>
    <mergeCell ref="AH137:AL137"/>
    <mergeCell ref="AM137:AQ137"/>
    <mergeCell ref="AR137:AV137"/>
    <mergeCell ref="BB137:BF137"/>
    <mergeCell ref="B140:T140"/>
    <mergeCell ref="U140:AJ140"/>
    <mergeCell ref="AK140:AZ140"/>
    <mergeCell ref="B141:T141"/>
    <mergeCell ref="U141:AJ141"/>
    <mergeCell ref="AK141:AZ141"/>
    <mergeCell ref="B143:T143"/>
    <mergeCell ref="U143:AJ143"/>
    <mergeCell ref="F136:K137"/>
    <mergeCell ref="BG137:BK137"/>
    <mergeCell ref="BG136:BK136"/>
    <mergeCell ref="L137:O137"/>
    <mergeCell ref="P137:R137"/>
    <mergeCell ref="AM136:AQ136"/>
    <mergeCell ref="CV123:CZ123"/>
    <mergeCell ref="CD123:CH123"/>
    <mergeCell ref="CY111:CZ111"/>
    <mergeCell ref="CY112:CZ112"/>
    <mergeCell ref="BX111:BX112"/>
    <mergeCell ref="BY111:BY112"/>
    <mergeCell ref="BZ111:BZ112"/>
    <mergeCell ref="CA111:CA112"/>
    <mergeCell ref="CB111:CB112"/>
    <mergeCell ref="CD111:CD112"/>
    <mergeCell ref="CE111:CE112"/>
    <mergeCell ref="CF111:CF112"/>
    <mergeCell ref="CG111:CG112"/>
    <mergeCell ref="CK111:CK112"/>
    <mergeCell ref="CJ111:CJ112"/>
    <mergeCell ref="BQ111:BU112"/>
    <mergeCell ref="BB115:BF115"/>
    <mergeCell ref="BG115:BK115"/>
    <mergeCell ref="BL115:BP115"/>
    <mergeCell ref="BQ115:BU115"/>
    <mergeCell ref="BB116:BF116"/>
    <mergeCell ref="BG116:BK116"/>
    <mergeCell ref="BL116:BP116"/>
    <mergeCell ref="CS111:CS112"/>
    <mergeCell ref="BB114:BF114"/>
    <mergeCell ref="BG114:BK114"/>
    <mergeCell ref="BL114:BP114"/>
    <mergeCell ref="BQ114:BU114"/>
    <mergeCell ref="BQ134:BU134"/>
    <mergeCell ref="BG134:BK134"/>
    <mergeCell ref="BG121:BK121"/>
    <mergeCell ref="BQ135:BU135"/>
    <mergeCell ref="BX123:CB123"/>
    <mergeCell ref="AR135:AV135"/>
    <mergeCell ref="BL137:BP137"/>
    <mergeCell ref="BQ136:BU136"/>
    <mergeCell ref="BQ137:BU137"/>
    <mergeCell ref="BB130:BF130"/>
    <mergeCell ref="BG130:BK130"/>
    <mergeCell ref="BL130:BP130"/>
    <mergeCell ref="BQ130:BU130"/>
    <mergeCell ref="BB131:BF131"/>
    <mergeCell ref="BG131:BK131"/>
    <mergeCell ref="BL131:BP131"/>
    <mergeCell ref="BQ131:BU131"/>
    <mergeCell ref="BB132:BF132"/>
    <mergeCell ref="BG132:BK132"/>
    <mergeCell ref="BL132:BP132"/>
    <mergeCell ref="BQ132:BU132"/>
    <mergeCell ref="BB133:BF133"/>
    <mergeCell ref="BG133:BK133"/>
    <mergeCell ref="BL133:BP133"/>
    <mergeCell ref="AR136:AV136"/>
    <mergeCell ref="AR132:AV132"/>
    <mergeCell ref="BQ133:BU133"/>
    <mergeCell ref="CY124:CZ124"/>
    <mergeCell ref="CE124:CE125"/>
    <mergeCell ref="CF124:CF125"/>
    <mergeCell ref="CG124:CG125"/>
    <mergeCell ref="CK124:CK125"/>
    <mergeCell ref="CJ124:CJ125"/>
    <mergeCell ref="CY125:CZ125"/>
    <mergeCell ref="CD124:CD125"/>
    <mergeCell ref="X125:AB125"/>
    <mergeCell ref="AC125:AG125"/>
    <mergeCell ref="AH125:AL125"/>
    <mergeCell ref="BG124:BK125"/>
    <mergeCell ref="BX124:BX125"/>
    <mergeCell ref="BY124:BY125"/>
    <mergeCell ref="BZ124:BZ125"/>
    <mergeCell ref="CA124:CA125"/>
    <mergeCell ref="CH124:CH125"/>
    <mergeCell ref="CB124:CB125"/>
    <mergeCell ref="BL124:BP125"/>
    <mergeCell ref="BQ124:BU125"/>
    <mergeCell ref="CQ124:CQ125"/>
    <mergeCell ref="F108:K108"/>
    <mergeCell ref="P108:R108"/>
    <mergeCell ref="S108:W108"/>
    <mergeCell ref="X108:AB108"/>
    <mergeCell ref="AC108:AG108"/>
    <mergeCell ref="AH108:AL108"/>
    <mergeCell ref="AM108:AQ108"/>
    <mergeCell ref="AR108:AV108"/>
    <mergeCell ref="F105:K105"/>
    <mergeCell ref="S106:W106"/>
    <mergeCell ref="X106:AB106"/>
    <mergeCell ref="AC106:AG106"/>
    <mergeCell ref="AH106:AL106"/>
    <mergeCell ref="AM106:AQ106"/>
    <mergeCell ref="AR106:AV106"/>
    <mergeCell ref="AM107:AQ107"/>
    <mergeCell ref="AR107:AV107"/>
    <mergeCell ref="L105:O105"/>
    <mergeCell ref="P105:R105"/>
    <mergeCell ref="S105:W105"/>
    <mergeCell ref="X105:AB105"/>
    <mergeCell ref="AC105:AG105"/>
    <mergeCell ref="AH105:AL105"/>
    <mergeCell ref="L108:O108"/>
    <mergeCell ref="F104:K104"/>
    <mergeCell ref="L104:O104"/>
    <mergeCell ref="P104:R104"/>
    <mergeCell ref="S104:W104"/>
    <mergeCell ref="X104:AB104"/>
    <mergeCell ref="AC104:AG104"/>
    <mergeCell ref="AH104:AL104"/>
    <mergeCell ref="AM104:AQ104"/>
    <mergeCell ref="AR104:AV104"/>
    <mergeCell ref="BB104:BF104"/>
    <mergeCell ref="BG104:BK104"/>
    <mergeCell ref="BL104:BP104"/>
    <mergeCell ref="BQ104:BU104"/>
    <mergeCell ref="F102:K103"/>
    <mergeCell ref="L103:O103"/>
    <mergeCell ref="P103:R103"/>
    <mergeCell ref="S103:W103"/>
    <mergeCell ref="X103:AB103"/>
    <mergeCell ref="AC103:AG103"/>
    <mergeCell ref="AH103:AL103"/>
    <mergeCell ref="AM103:AQ103"/>
    <mergeCell ref="AR103:AV103"/>
    <mergeCell ref="BG103:BK103"/>
    <mergeCell ref="BL103:BP103"/>
    <mergeCell ref="BQ103:BU103"/>
    <mergeCell ref="CY101:CZ101"/>
    <mergeCell ref="L102:O102"/>
    <mergeCell ref="P102:R102"/>
    <mergeCell ref="S102:W102"/>
    <mergeCell ref="X102:AB102"/>
    <mergeCell ref="AC102:AG102"/>
    <mergeCell ref="AH102:AL102"/>
    <mergeCell ref="AM102:AQ102"/>
    <mergeCell ref="AR102:AV102"/>
    <mergeCell ref="BB102:BF102"/>
    <mergeCell ref="BG102:BK102"/>
    <mergeCell ref="BL102:BP102"/>
    <mergeCell ref="BQ102:BU102"/>
    <mergeCell ref="BX100:BX101"/>
    <mergeCell ref="BY100:BY101"/>
    <mergeCell ref="BZ100:BZ101"/>
    <mergeCell ref="BB100:BF101"/>
    <mergeCell ref="BG100:BK101"/>
    <mergeCell ref="BL100:BP101"/>
    <mergeCell ref="BQ100:BU101"/>
    <mergeCell ref="CG100:CG101"/>
    <mergeCell ref="CH100:CH101"/>
    <mergeCell ref="CE100:CE101"/>
    <mergeCell ref="CF100:CF101"/>
    <mergeCell ref="CS100:CS101"/>
    <mergeCell ref="CA100:CA101"/>
    <mergeCell ref="CB100:CB101"/>
    <mergeCell ref="BQ90:BU90"/>
    <mergeCell ref="S93:W93"/>
    <mergeCell ref="BB93:BF93"/>
    <mergeCell ref="L93:O93"/>
    <mergeCell ref="P93:R93"/>
    <mergeCell ref="X93:AB93"/>
    <mergeCell ref="AC93:AG93"/>
    <mergeCell ref="AH93:AL93"/>
    <mergeCell ref="AM93:AQ93"/>
    <mergeCell ref="AR93:AV93"/>
    <mergeCell ref="BG93:BK93"/>
    <mergeCell ref="BL93:BP93"/>
    <mergeCell ref="BQ93:BU93"/>
    <mergeCell ref="L92:O92"/>
    <mergeCell ref="P92:R92"/>
    <mergeCell ref="S92:W92"/>
    <mergeCell ref="X92:AB92"/>
    <mergeCell ref="AC92:AG92"/>
    <mergeCell ref="AH92:AL92"/>
    <mergeCell ref="BG91:BK91"/>
    <mergeCell ref="BL91:BP91"/>
    <mergeCell ref="BQ91:BU91"/>
    <mergeCell ref="BG92:BK92"/>
    <mergeCell ref="BL92:BP92"/>
    <mergeCell ref="BQ92:BU92"/>
    <mergeCell ref="L89:O89"/>
    <mergeCell ref="P89:R89"/>
    <mergeCell ref="S89:W89"/>
    <mergeCell ref="X89:AB89"/>
    <mergeCell ref="AC89:AG89"/>
    <mergeCell ref="AH89:AL89"/>
    <mergeCell ref="AM89:AQ89"/>
    <mergeCell ref="AR89:AV89"/>
    <mergeCell ref="BB89:BF89"/>
    <mergeCell ref="P91:R91"/>
    <mergeCell ref="X91:AB91"/>
    <mergeCell ref="AC91:AG91"/>
    <mergeCell ref="AH91:AL91"/>
    <mergeCell ref="AM91:AQ91"/>
    <mergeCell ref="AR91:AV91"/>
    <mergeCell ref="BG89:BK89"/>
    <mergeCell ref="BL89:BP89"/>
    <mergeCell ref="S90:W90"/>
    <mergeCell ref="X90:AB90"/>
    <mergeCell ref="AC90:AG90"/>
    <mergeCell ref="AH90:AL90"/>
    <mergeCell ref="AM90:AQ90"/>
    <mergeCell ref="AR90:AV90"/>
    <mergeCell ref="BB90:BF90"/>
    <mergeCell ref="S91:W91"/>
    <mergeCell ref="BB91:BF91"/>
    <mergeCell ref="BG90:BK90"/>
    <mergeCell ref="BL90:BP90"/>
    <mergeCell ref="BG87:BK87"/>
    <mergeCell ref="BL87:BP87"/>
    <mergeCell ref="BQ87:BU87"/>
    <mergeCell ref="L88:O88"/>
    <mergeCell ref="P88:R88"/>
    <mergeCell ref="S88:W88"/>
    <mergeCell ref="X88:AB88"/>
    <mergeCell ref="AC88:AG88"/>
    <mergeCell ref="AH88:AL88"/>
    <mergeCell ref="AM88:AQ88"/>
    <mergeCell ref="AR88:AV88"/>
    <mergeCell ref="BB88:BF88"/>
    <mergeCell ref="BG88:BK88"/>
    <mergeCell ref="BL88:BP88"/>
    <mergeCell ref="BQ88:BU88"/>
    <mergeCell ref="L87:O87"/>
    <mergeCell ref="P87:R87"/>
    <mergeCell ref="S87:W87"/>
    <mergeCell ref="X87:AB87"/>
    <mergeCell ref="AC87:AG87"/>
    <mergeCell ref="AH87:AL87"/>
    <mergeCell ref="AM87:AQ87"/>
    <mergeCell ref="AR87:AV87"/>
    <mergeCell ref="BB87:BF87"/>
    <mergeCell ref="L86:O86"/>
    <mergeCell ref="P86:R86"/>
    <mergeCell ref="S86:W86"/>
    <mergeCell ref="X86:AB86"/>
    <mergeCell ref="AC86:AG86"/>
    <mergeCell ref="AH86:AL86"/>
    <mergeCell ref="AM86:AQ86"/>
    <mergeCell ref="AR86:AV86"/>
    <mergeCell ref="BB86:BF86"/>
    <mergeCell ref="BG86:BK86"/>
    <mergeCell ref="BL86:BP86"/>
    <mergeCell ref="BQ86:BU86"/>
    <mergeCell ref="L85:O85"/>
    <mergeCell ref="P85:R85"/>
    <mergeCell ref="S85:W85"/>
    <mergeCell ref="X85:AB85"/>
    <mergeCell ref="AC85:AG85"/>
    <mergeCell ref="AH85:AL85"/>
    <mergeCell ref="AM85:AQ85"/>
    <mergeCell ref="AR85:AV85"/>
    <mergeCell ref="BB85:BF85"/>
    <mergeCell ref="AH84:AL84"/>
    <mergeCell ref="AM84:AQ84"/>
    <mergeCell ref="AR84:AV84"/>
    <mergeCell ref="BB84:BF84"/>
    <mergeCell ref="BG84:BK84"/>
    <mergeCell ref="BL84:BP84"/>
    <mergeCell ref="BQ84:BU84"/>
    <mergeCell ref="L83:O83"/>
    <mergeCell ref="P83:R83"/>
    <mergeCell ref="S83:W83"/>
    <mergeCell ref="X83:AB83"/>
    <mergeCell ref="AC83:AG83"/>
    <mergeCell ref="AH83:AL83"/>
    <mergeCell ref="AM83:AQ83"/>
    <mergeCell ref="AR83:AV83"/>
    <mergeCell ref="BB83:BF83"/>
    <mergeCell ref="BG85:BK85"/>
    <mergeCell ref="BL85:BP85"/>
    <mergeCell ref="BQ85:BU85"/>
    <mergeCell ref="BQ80:BU80"/>
    <mergeCell ref="AR74:AV75"/>
    <mergeCell ref="BB74:BF75"/>
    <mergeCell ref="BG74:BK75"/>
    <mergeCell ref="BL74:BP75"/>
    <mergeCell ref="BQ74:BU75"/>
    <mergeCell ref="BB76:BF76"/>
    <mergeCell ref="BG76:BK76"/>
    <mergeCell ref="BL76:BP76"/>
    <mergeCell ref="BQ76:BU76"/>
    <mergeCell ref="BB77:BF77"/>
    <mergeCell ref="BG77:BK77"/>
    <mergeCell ref="BL77:BP77"/>
    <mergeCell ref="BQ77:BU77"/>
    <mergeCell ref="AR78:AV78"/>
    <mergeCell ref="BB78:BF78"/>
    <mergeCell ref="BG78:BK78"/>
    <mergeCell ref="BL78:BP78"/>
    <mergeCell ref="BQ78:BU78"/>
    <mergeCell ref="AC68:AG68"/>
    <mergeCell ref="AH68:AL68"/>
    <mergeCell ref="AM68:AQ68"/>
    <mergeCell ref="AR68:AV68"/>
    <mergeCell ref="X74:AL74"/>
    <mergeCell ref="BB73:BU73"/>
    <mergeCell ref="AM66:AQ66"/>
    <mergeCell ref="BB65:BF65"/>
    <mergeCell ref="BB69:BF69"/>
    <mergeCell ref="BG69:BK69"/>
    <mergeCell ref="BL69:BP69"/>
    <mergeCell ref="BQ69:BU69"/>
    <mergeCell ref="BB70:BF70"/>
    <mergeCell ref="BG70:BK70"/>
    <mergeCell ref="BL70:BP70"/>
    <mergeCell ref="BQ70:BU70"/>
    <mergeCell ref="AR66:AV66"/>
    <mergeCell ref="BB68:BF68"/>
    <mergeCell ref="BB67:BF67"/>
    <mergeCell ref="BQ66:BU66"/>
    <mergeCell ref="X68:AB68"/>
    <mergeCell ref="AR67:AV67"/>
    <mergeCell ref="BG67:BK67"/>
    <mergeCell ref="BL67:BP67"/>
    <mergeCell ref="BQ67:BU67"/>
    <mergeCell ref="BG68:BK68"/>
    <mergeCell ref="BL68:BP68"/>
    <mergeCell ref="BQ68:BU68"/>
    <mergeCell ref="BG63:BK63"/>
    <mergeCell ref="BL63:BP63"/>
    <mergeCell ref="BQ63:BU63"/>
    <mergeCell ref="BX73:CB73"/>
    <mergeCell ref="CE74:CE75"/>
    <mergeCell ref="CF74:CF75"/>
    <mergeCell ref="AM64:AQ64"/>
    <mergeCell ref="AR64:AV64"/>
    <mergeCell ref="BB64:BF64"/>
    <mergeCell ref="BG64:BK64"/>
    <mergeCell ref="BL64:BP64"/>
    <mergeCell ref="BQ64:BU64"/>
    <mergeCell ref="CA74:CA75"/>
    <mergeCell ref="CB74:CB75"/>
    <mergeCell ref="BX74:BX75"/>
    <mergeCell ref="BY74:BY75"/>
    <mergeCell ref="BZ74:BZ75"/>
    <mergeCell ref="BG65:BK65"/>
    <mergeCell ref="BL65:BP65"/>
    <mergeCell ref="BQ65:BU65"/>
    <mergeCell ref="AR71:AV71"/>
    <mergeCell ref="BB71:BF71"/>
    <mergeCell ref="BG71:BK71"/>
    <mergeCell ref="L63:O63"/>
    <mergeCell ref="P63:R63"/>
    <mergeCell ref="S63:W63"/>
    <mergeCell ref="X63:AB63"/>
    <mergeCell ref="AC63:AG63"/>
    <mergeCell ref="AH63:AL63"/>
    <mergeCell ref="AM63:AQ63"/>
    <mergeCell ref="AR63:AV63"/>
    <mergeCell ref="BB63:BF63"/>
    <mergeCell ref="BB66:BF66"/>
    <mergeCell ref="BG66:BK66"/>
    <mergeCell ref="BL66:BP66"/>
    <mergeCell ref="BL61:BP61"/>
    <mergeCell ref="BQ61:BU61"/>
    <mergeCell ref="L62:O62"/>
    <mergeCell ref="P62:R62"/>
    <mergeCell ref="S62:W62"/>
    <mergeCell ref="X62:AB62"/>
    <mergeCell ref="AC62:AG62"/>
    <mergeCell ref="AH62:AL62"/>
    <mergeCell ref="AM62:AQ62"/>
    <mergeCell ref="AR62:AV62"/>
    <mergeCell ref="BB62:BF62"/>
    <mergeCell ref="BG62:BK62"/>
    <mergeCell ref="BL62:BP62"/>
    <mergeCell ref="BQ62:BU62"/>
    <mergeCell ref="L61:O61"/>
    <mergeCell ref="P61:R61"/>
    <mergeCell ref="S61:W61"/>
    <mergeCell ref="X61:AB61"/>
    <mergeCell ref="AC61:AG61"/>
    <mergeCell ref="AH61:AL61"/>
    <mergeCell ref="AM61:AQ61"/>
    <mergeCell ref="AR61:AV61"/>
    <mergeCell ref="BB61:BF61"/>
    <mergeCell ref="BG61:BK61"/>
    <mergeCell ref="BL59:BP59"/>
    <mergeCell ref="BQ59:BU59"/>
    <mergeCell ref="L59:O59"/>
    <mergeCell ref="P59:R59"/>
    <mergeCell ref="S59:W59"/>
    <mergeCell ref="X59:AB59"/>
    <mergeCell ref="AC59:AG59"/>
    <mergeCell ref="AH59:AL59"/>
    <mergeCell ref="AM59:AQ59"/>
    <mergeCell ref="AR59:AV59"/>
    <mergeCell ref="BB59:BF59"/>
    <mergeCell ref="L60:O60"/>
    <mergeCell ref="P60:R60"/>
    <mergeCell ref="S60:W60"/>
    <mergeCell ref="X60:AB60"/>
    <mergeCell ref="AC60:AG60"/>
    <mergeCell ref="AH60:AL60"/>
    <mergeCell ref="AM60:AQ60"/>
    <mergeCell ref="AR60:AV60"/>
    <mergeCell ref="BB60:BF60"/>
    <mergeCell ref="BG60:BK60"/>
    <mergeCell ref="AK21:AK22"/>
    <mergeCell ref="K11:AA12"/>
    <mergeCell ref="H25:Z26"/>
    <mergeCell ref="AB11:AJ12"/>
    <mergeCell ref="AL11:AZ12"/>
    <mergeCell ref="BG56:BK56"/>
    <mergeCell ref="BL56:BP56"/>
    <mergeCell ref="BQ56:BU56"/>
    <mergeCell ref="L55:O55"/>
    <mergeCell ref="P55:R55"/>
    <mergeCell ref="S55:W55"/>
    <mergeCell ref="X55:AB55"/>
    <mergeCell ref="AC55:AG55"/>
    <mergeCell ref="AH55:AL55"/>
    <mergeCell ref="AM55:AQ55"/>
    <mergeCell ref="AR55:AV55"/>
    <mergeCell ref="BB55:BF55"/>
    <mergeCell ref="BG55:BK55"/>
    <mergeCell ref="BL55:BP55"/>
    <mergeCell ref="L56:O56"/>
    <mergeCell ref="P56:R56"/>
    <mergeCell ref="S56:W56"/>
    <mergeCell ref="X56:AB56"/>
    <mergeCell ref="AC56:AG56"/>
    <mergeCell ref="AH56:AL56"/>
    <mergeCell ref="AM56:AQ56"/>
    <mergeCell ref="AR56:AV56"/>
    <mergeCell ref="BB56:BF56"/>
    <mergeCell ref="AE25:AE26"/>
    <mergeCell ref="AE27:AE28"/>
    <mergeCell ref="BO27:BP28"/>
    <mergeCell ref="F55:K57"/>
    <mergeCell ref="AK9:AK10"/>
    <mergeCell ref="AK11:AK12"/>
    <mergeCell ref="AK13:AK14"/>
    <mergeCell ref="AK15:AK16"/>
    <mergeCell ref="B32:P32"/>
    <mergeCell ref="Q32:AA32"/>
    <mergeCell ref="AB32:AN32"/>
    <mergeCell ref="AO32:AZ32"/>
    <mergeCell ref="AB15:AJ16"/>
    <mergeCell ref="AL15:AZ16"/>
    <mergeCell ref="B17:I18"/>
    <mergeCell ref="AB19:AJ20"/>
    <mergeCell ref="AL19:AZ20"/>
    <mergeCell ref="K17:AA18"/>
    <mergeCell ref="AB17:AI18"/>
    <mergeCell ref="AL21:AZ22"/>
    <mergeCell ref="B19:I20"/>
    <mergeCell ref="K19:AA20"/>
    <mergeCell ref="B15:I16"/>
    <mergeCell ref="K21:AA22"/>
    <mergeCell ref="AB21:AJ22"/>
    <mergeCell ref="B21:I22"/>
    <mergeCell ref="K15:AA16"/>
    <mergeCell ref="AL17:AZ18"/>
    <mergeCell ref="J11:J12"/>
    <mergeCell ref="J13:J14"/>
    <mergeCell ref="J15:J16"/>
    <mergeCell ref="J17:J18"/>
    <mergeCell ref="J19:J20"/>
    <mergeCell ref="H27:Z30"/>
    <mergeCell ref="AK17:AK18"/>
    <mergeCell ref="AK19:AK20"/>
    <mergeCell ref="DB51:DC51"/>
    <mergeCell ref="DB52:DC54"/>
    <mergeCell ref="DB73:DC75"/>
    <mergeCell ref="DB99:DC101"/>
    <mergeCell ref="DB110:DC112"/>
    <mergeCell ref="CY53:CZ53"/>
    <mergeCell ref="CV52:CZ52"/>
    <mergeCell ref="CV73:CZ73"/>
    <mergeCell ref="CV99:CZ99"/>
    <mergeCell ref="CY100:CZ100"/>
    <mergeCell ref="CY75:CZ75"/>
    <mergeCell ref="CY54:CZ54"/>
    <mergeCell ref="CY74:CZ74"/>
    <mergeCell ref="CV110:CZ110"/>
    <mergeCell ref="L7:N7"/>
    <mergeCell ref="AN7:AP7"/>
    <mergeCell ref="B8:AZ8"/>
    <mergeCell ref="B24:AA24"/>
    <mergeCell ref="AB24:AZ24"/>
    <mergeCell ref="AG29:AX29"/>
    <mergeCell ref="B31:AZ31"/>
    <mergeCell ref="B9:I10"/>
    <mergeCell ref="K9:AA10"/>
    <mergeCell ref="AB9:AJ10"/>
    <mergeCell ref="AL9:AZ10"/>
    <mergeCell ref="B13:I14"/>
    <mergeCell ref="K13:AA14"/>
    <mergeCell ref="AB13:AJ14"/>
    <mergeCell ref="AL13:AZ14"/>
    <mergeCell ref="B11:I12"/>
    <mergeCell ref="J9:J10"/>
    <mergeCell ref="J21:J22"/>
    <mergeCell ref="DB123:DC125"/>
    <mergeCell ref="DD52:DE54"/>
    <mergeCell ref="DD73:DE75"/>
    <mergeCell ref="DD99:DE101"/>
    <mergeCell ref="DD110:DE112"/>
    <mergeCell ref="DD123:DE125"/>
    <mergeCell ref="BG53:BK54"/>
    <mergeCell ref="BL53:BP54"/>
    <mergeCell ref="BQ53:BU54"/>
    <mergeCell ref="CR53:CR54"/>
    <mergeCell ref="BB52:BU52"/>
    <mergeCell ref="BX53:BX54"/>
    <mergeCell ref="BY53:BY54"/>
    <mergeCell ref="BZ53:BZ54"/>
    <mergeCell ref="CA53:CA54"/>
    <mergeCell ref="CB53:CB54"/>
    <mergeCell ref="CD52:CH52"/>
    <mergeCell ref="CH53:CH54"/>
    <mergeCell ref="BX52:CB52"/>
    <mergeCell ref="CJ52:CN52"/>
    <mergeCell ref="BQ55:BU55"/>
    <mergeCell ref="BG58:BK58"/>
    <mergeCell ref="BL58:BP58"/>
    <mergeCell ref="BQ58:BU58"/>
    <mergeCell ref="BB57:BF57"/>
    <mergeCell ref="BG57:BK57"/>
    <mergeCell ref="BL57:BP57"/>
    <mergeCell ref="BQ57:BU57"/>
    <mergeCell ref="BB58:BF58"/>
    <mergeCell ref="BL60:BP60"/>
    <mergeCell ref="BQ60:BU60"/>
    <mergeCell ref="BG59:BK59"/>
    <mergeCell ref="S53:W54"/>
    <mergeCell ref="AM53:AQ54"/>
    <mergeCell ref="AR53:AV54"/>
    <mergeCell ref="L53:R54"/>
    <mergeCell ref="X53:AL53"/>
    <mergeCell ref="X54:AB54"/>
    <mergeCell ref="AC54:AG54"/>
    <mergeCell ref="AH54:AL54"/>
    <mergeCell ref="B35:AZ35"/>
    <mergeCell ref="C46:AS46"/>
    <mergeCell ref="BB53:BF54"/>
    <mergeCell ref="C47:AS47"/>
    <mergeCell ref="C48:AS48"/>
    <mergeCell ref="AB40:AZ43"/>
    <mergeCell ref="AB38:AN38"/>
    <mergeCell ref="AB33:AN33"/>
    <mergeCell ref="AO33:AZ33"/>
    <mergeCell ref="B34:P34"/>
    <mergeCell ref="C45:AS45"/>
    <mergeCell ref="F53:K54"/>
    <mergeCell ref="Q33:AA33"/>
    <mergeCell ref="B33:P33"/>
    <mergeCell ref="L57:O57"/>
    <mergeCell ref="P57:R57"/>
    <mergeCell ref="S57:W57"/>
    <mergeCell ref="X57:AB57"/>
    <mergeCell ref="AC57:AG57"/>
    <mergeCell ref="AH57:AL57"/>
    <mergeCell ref="AM57:AQ57"/>
    <mergeCell ref="AR57:AV57"/>
    <mergeCell ref="L66:O66"/>
    <mergeCell ref="P66:R66"/>
    <mergeCell ref="L58:O58"/>
    <mergeCell ref="P58:R58"/>
    <mergeCell ref="S58:W58"/>
    <mergeCell ref="X58:AB58"/>
    <mergeCell ref="AC58:AG58"/>
    <mergeCell ref="AH58:AL58"/>
    <mergeCell ref="AM58:AQ58"/>
    <mergeCell ref="AR58:AV58"/>
    <mergeCell ref="L65:O65"/>
    <mergeCell ref="P65:R65"/>
    <mergeCell ref="S65:W65"/>
    <mergeCell ref="X65:AB65"/>
    <mergeCell ref="AC65:AG65"/>
    <mergeCell ref="AH65:AL65"/>
    <mergeCell ref="AM65:AQ65"/>
    <mergeCell ref="AR65:AV65"/>
    <mergeCell ref="L64:O64"/>
    <mergeCell ref="P64:R64"/>
    <mergeCell ref="S64:W64"/>
    <mergeCell ref="X64:AB64"/>
    <mergeCell ref="AC64:AG64"/>
    <mergeCell ref="AH64:AL64"/>
    <mergeCell ref="F61:K65"/>
    <mergeCell ref="F66:K68"/>
    <mergeCell ref="S66:W66"/>
    <mergeCell ref="X66:AB66"/>
    <mergeCell ref="AC66:AG66"/>
    <mergeCell ref="AH66:AL66"/>
    <mergeCell ref="F120:K121"/>
    <mergeCell ref="F107:K107"/>
    <mergeCell ref="L107:O107"/>
    <mergeCell ref="X107:AB107"/>
    <mergeCell ref="AC107:AG107"/>
    <mergeCell ref="AH107:AL107"/>
    <mergeCell ref="BB107:BF107"/>
    <mergeCell ref="BG107:BK107"/>
    <mergeCell ref="L79:O79"/>
    <mergeCell ref="P79:R79"/>
    <mergeCell ref="S79:W79"/>
    <mergeCell ref="X79:AB79"/>
    <mergeCell ref="AC79:AG79"/>
    <mergeCell ref="AH79:AL79"/>
    <mergeCell ref="AM79:AQ79"/>
    <mergeCell ref="AR79:AV79"/>
    <mergeCell ref="BB79:BF79"/>
    <mergeCell ref="F76:K79"/>
    <mergeCell ref="L76:O76"/>
    <mergeCell ref="P76:R76"/>
    <mergeCell ref="S76:W76"/>
    <mergeCell ref="X76:AB76"/>
    <mergeCell ref="AC76:AG76"/>
    <mergeCell ref="AH76:AL76"/>
    <mergeCell ref="AM76:AQ76"/>
    <mergeCell ref="AR76:AV76"/>
    <mergeCell ref="L120:O120"/>
    <mergeCell ref="P120:R120"/>
    <mergeCell ref="S120:W120"/>
    <mergeCell ref="X120:AB120"/>
    <mergeCell ref="AC120:AG120"/>
    <mergeCell ref="AH120:AL120"/>
    <mergeCell ref="AM120:AQ120"/>
    <mergeCell ref="AR120:AV120"/>
    <mergeCell ref="BB120:BF120"/>
    <mergeCell ref="BG120:BK120"/>
    <mergeCell ref="BL120:BP120"/>
    <mergeCell ref="BQ120:BU120"/>
    <mergeCell ref="L81:O81"/>
    <mergeCell ref="P81:R81"/>
    <mergeCell ref="S81:W81"/>
    <mergeCell ref="X81:AB81"/>
    <mergeCell ref="AC81:AG81"/>
    <mergeCell ref="AH81:AL81"/>
    <mergeCell ref="AM81:AQ81"/>
    <mergeCell ref="BG82:BK82"/>
    <mergeCell ref="BL82:BP82"/>
    <mergeCell ref="BQ82:BU82"/>
    <mergeCell ref="AR82:AV82"/>
    <mergeCell ref="BB82:BF82"/>
    <mergeCell ref="BG83:BK83"/>
    <mergeCell ref="BL83:BP83"/>
    <mergeCell ref="BQ83:BU83"/>
    <mergeCell ref="L84:O84"/>
    <mergeCell ref="P84:R84"/>
    <mergeCell ref="S84:W84"/>
    <mergeCell ref="X84:AB84"/>
    <mergeCell ref="AC84:AG84"/>
    <mergeCell ref="BQ81:BU81"/>
    <mergeCell ref="L82:O82"/>
    <mergeCell ref="AR69:AV69"/>
    <mergeCell ref="L70:O70"/>
    <mergeCell ref="P70:R70"/>
    <mergeCell ref="S70:W70"/>
    <mergeCell ref="X70:AB70"/>
    <mergeCell ref="AC70:AG70"/>
    <mergeCell ref="AH70:AL70"/>
    <mergeCell ref="AM70:AQ70"/>
    <mergeCell ref="AR70:AV70"/>
    <mergeCell ref="L71:O71"/>
    <mergeCell ref="P71:R71"/>
    <mergeCell ref="S71:W71"/>
    <mergeCell ref="X71:AB71"/>
    <mergeCell ref="AC71:AG71"/>
    <mergeCell ref="AH71:AL71"/>
    <mergeCell ref="AM71:AQ71"/>
    <mergeCell ref="BQ71:BU71"/>
    <mergeCell ref="L77:O77"/>
    <mergeCell ref="P77:R77"/>
    <mergeCell ref="S77:W77"/>
    <mergeCell ref="X77:AB77"/>
    <mergeCell ref="AC77:AG77"/>
    <mergeCell ref="AH77:AL77"/>
    <mergeCell ref="BG79:BK79"/>
    <mergeCell ref="BL79:BP79"/>
    <mergeCell ref="BQ79:BU79"/>
    <mergeCell ref="AR80:AV80"/>
    <mergeCell ref="BB80:BF80"/>
    <mergeCell ref="BG80:BK80"/>
    <mergeCell ref="BL80:BP80"/>
    <mergeCell ref="AM77:AQ77"/>
    <mergeCell ref="AR77:AV77"/>
    <mergeCell ref="L78:O78"/>
    <mergeCell ref="P78:R78"/>
    <mergeCell ref="S78:W78"/>
    <mergeCell ref="X78:AB78"/>
    <mergeCell ref="AC78:AG78"/>
    <mergeCell ref="AH78:AL78"/>
    <mergeCell ref="AM78:AQ78"/>
    <mergeCell ref="P82:R82"/>
    <mergeCell ref="S82:W82"/>
    <mergeCell ref="X82:AB82"/>
    <mergeCell ref="AC82:AG82"/>
    <mergeCell ref="AH82:AL82"/>
    <mergeCell ref="AM82:AQ82"/>
    <mergeCell ref="BL71:BP71"/>
    <mergeCell ref="AR81:AV81"/>
    <mergeCell ref="BB81:BF81"/>
    <mergeCell ref="BG81:BK81"/>
    <mergeCell ref="BL81:BP81"/>
    <mergeCell ref="AH94:AL94"/>
    <mergeCell ref="AM94:AQ94"/>
    <mergeCell ref="AR94:AV94"/>
    <mergeCell ref="BB94:BF94"/>
    <mergeCell ref="BG94:BK94"/>
    <mergeCell ref="BL94:BP94"/>
    <mergeCell ref="BQ94:BU94"/>
    <mergeCell ref="L95:O95"/>
    <mergeCell ref="P95:R95"/>
    <mergeCell ref="S95:W95"/>
    <mergeCell ref="X95:AB95"/>
    <mergeCell ref="AC95:AG95"/>
    <mergeCell ref="AH95:AL95"/>
    <mergeCell ref="AM95:AQ95"/>
    <mergeCell ref="AR95:AV95"/>
    <mergeCell ref="BB95:BF95"/>
    <mergeCell ref="BL107:BP107"/>
    <mergeCell ref="BQ107:BU107"/>
    <mergeCell ref="BB99:BU99"/>
    <mergeCell ref="BG95:BK95"/>
    <mergeCell ref="BL95:BP95"/>
    <mergeCell ref="BQ95:BU95"/>
    <mergeCell ref="BG96:BK96"/>
    <mergeCell ref="BL96:BP96"/>
    <mergeCell ref="BQ96:BU96"/>
    <mergeCell ref="BG97:BK97"/>
    <mergeCell ref="BL97:BP97"/>
    <mergeCell ref="BQ97:BU97"/>
    <mergeCell ref="F69:K71"/>
    <mergeCell ref="L69:O69"/>
    <mergeCell ref="P69:R69"/>
    <mergeCell ref="S69:W69"/>
    <mergeCell ref="X69:AB69"/>
    <mergeCell ref="AC69:AG69"/>
    <mergeCell ref="AH69:AL69"/>
    <mergeCell ref="AM69:AQ69"/>
    <mergeCell ref="L97:O97"/>
    <mergeCell ref="P97:R97"/>
    <mergeCell ref="S97:W97"/>
    <mergeCell ref="X97:AB97"/>
    <mergeCell ref="AC97:AG97"/>
    <mergeCell ref="AH97:AL97"/>
    <mergeCell ref="AM97:AQ97"/>
    <mergeCell ref="AR97:AV97"/>
    <mergeCell ref="BB97:BF97"/>
    <mergeCell ref="L96:O96"/>
    <mergeCell ref="P96:R96"/>
    <mergeCell ref="S96:W96"/>
    <mergeCell ref="X96:AB96"/>
    <mergeCell ref="AC96:AG96"/>
    <mergeCell ref="AH96:AL96"/>
    <mergeCell ref="AM96:AQ96"/>
    <mergeCell ref="AR96:AV96"/>
    <mergeCell ref="BB96:BF96"/>
    <mergeCell ref="F94:K97"/>
    <mergeCell ref="L94:O94"/>
    <mergeCell ref="P94:R94"/>
    <mergeCell ref="S94:W94"/>
    <mergeCell ref="X94:AB94"/>
    <mergeCell ref="AC94:AG94"/>
    <mergeCell ref="F117:K117"/>
    <mergeCell ref="L117:O117"/>
    <mergeCell ref="P117:R117"/>
    <mergeCell ref="S117:W117"/>
    <mergeCell ref="X117:AB117"/>
    <mergeCell ref="AC117:AG117"/>
    <mergeCell ref="AH117:AL117"/>
    <mergeCell ref="AM117:AQ117"/>
    <mergeCell ref="AR117:AV117"/>
    <mergeCell ref="F115:K116"/>
    <mergeCell ref="L115:O115"/>
    <mergeCell ref="P115:R115"/>
    <mergeCell ref="S115:W115"/>
    <mergeCell ref="X115:AB115"/>
    <mergeCell ref="AC115:AG115"/>
    <mergeCell ref="AH115:AL115"/>
    <mergeCell ref="AM115:AQ115"/>
    <mergeCell ref="AR115:AV115"/>
    <mergeCell ref="L116:O116"/>
    <mergeCell ref="P116:R116"/>
    <mergeCell ref="S116:W116"/>
    <mergeCell ref="X116:AB116"/>
    <mergeCell ref="AC116:AG116"/>
    <mergeCell ref="AH116:AL116"/>
    <mergeCell ref="AM116:AQ116"/>
    <mergeCell ref="AR116:AV116"/>
    <mergeCell ref="F114:K114"/>
    <mergeCell ref="L114:O114"/>
    <mergeCell ref="P114:R114"/>
    <mergeCell ref="S114:W114"/>
    <mergeCell ref="X114:AB114"/>
    <mergeCell ref="AC114:AG114"/>
    <mergeCell ref="AH114:AL114"/>
    <mergeCell ref="AM114:AQ114"/>
    <mergeCell ref="AR114:AV114"/>
    <mergeCell ref="F113:K113"/>
    <mergeCell ref="L113:O113"/>
    <mergeCell ref="P113:R113"/>
    <mergeCell ref="S113:W113"/>
    <mergeCell ref="X113:AB113"/>
    <mergeCell ref="AC113:AG113"/>
    <mergeCell ref="AH113:AL113"/>
    <mergeCell ref="AM113:AQ113"/>
    <mergeCell ref="AR113:AV113"/>
    <mergeCell ref="L133:O133"/>
    <mergeCell ref="P133:R133"/>
    <mergeCell ref="S133:W133"/>
    <mergeCell ref="X133:AB133"/>
    <mergeCell ref="AC133:AG133"/>
    <mergeCell ref="AH133:AL133"/>
    <mergeCell ref="AM133:AQ133"/>
    <mergeCell ref="AR133:AV133"/>
    <mergeCell ref="F130:K131"/>
    <mergeCell ref="L130:O130"/>
    <mergeCell ref="P130:R130"/>
    <mergeCell ref="S130:W130"/>
    <mergeCell ref="X130:AB130"/>
    <mergeCell ref="AC130:AG130"/>
    <mergeCell ref="AH130:AL130"/>
    <mergeCell ref="AM130:AQ130"/>
    <mergeCell ref="AR130:AV130"/>
    <mergeCell ref="L131:O131"/>
    <mergeCell ref="P131:R131"/>
    <mergeCell ref="S131:W131"/>
    <mergeCell ref="X131:AB131"/>
    <mergeCell ref="AC131:AG131"/>
    <mergeCell ref="AH131:AL131"/>
    <mergeCell ref="AM131:AQ131"/>
    <mergeCell ref="AR131:AV131"/>
    <mergeCell ref="F132:K133"/>
    <mergeCell ref="L132:O132"/>
    <mergeCell ref="P132:R132"/>
    <mergeCell ref="S132:W132"/>
    <mergeCell ref="X132:AB132"/>
    <mergeCell ref="AC132:AG132"/>
    <mergeCell ref="AH132:AL132"/>
    <mergeCell ref="X126:AB126"/>
    <mergeCell ref="AC126:AG126"/>
    <mergeCell ref="AH126:AL126"/>
    <mergeCell ref="AM126:AQ126"/>
    <mergeCell ref="AR126:AV126"/>
    <mergeCell ref="BB126:BF126"/>
    <mergeCell ref="BG126:BK126"/>
    <mergeCell ref="BL126:BP126"/>
    <mergeCell ref="BQ126:BU126"/>
    <mergeCell ref="L127:O127"/>
    <mergeCell ref="P127:R127"/>
    <mergeCell ref="S127:W127"/>
    <mergeCell ref="X127:AB127"/>
    <mergeCell ref="AC127:AG127"/>
    <mergeCell ref="AH127:AL127"/>
    <mergeCell ref="AM127:AQ127"/>
    <mergeCell ref="AR127:AV127"/>
    <mergeCell ref="BB127:BF127"/>
    <mergeCell ref="BG127:BK127"/>
    <mergeCell ref="AM132:AQ132"/>
    <mergeCell ref="BG129:BK129"/>
    <mergeCell ref="BL129:BP129"/>
    <mergeCell ref="BQ129:BU129"/>
    <mergeCell ref="BL127:BP127"/>
    <mergeCell ref="BQ127:BU127"/>
    <mergeCell ref="F128:K129"/>
    <mergeCell ref="L128:O128"/>
    <mergeCell ref="P128:R128"/>
    <mergeCell ref="S128:W128"/>
    <mergeCell ref="X128:AB128"/>
    <mergeCell ref="AC128:AG128"/>
    <mergeCell ref="AH128:AL128"/>
    <mergeCell ref="AM128:AQ128"/>
    <mergeCell ref="AR128:AV128"/>
    <mergeCell ref="BB128:BF128"/>
    <mergeCell ref="BG128:BK128"/>
    <mergeCell ref="BL128:BP128"/>
    <mergeCell ref="BQ128:BU128"/>
    <mergeCell ref="L129:O129"/>
    <mergeCell ref="P129:R129"/>
    <mergeCell ref="S129:W129"/>
    <mergeCell ref="X129:AB129"/>
    <mergeCell ref="AC129:AG129"/>
    <mergeCell ref="AH129:AL129"/>
    <mergeCell ref="AM129:AQ129"/>
    <mergeCell ref="AR129:AV129"/>
    <mergeCell ref="BB129:BF129"/>
    <mergeCell ref="F126:K127"/>
    <mergeCell ref="L126:O126"/>
    <mergeCell ref="P126:R126"/>
    <mergeCell ref="S126:W126"/>
  </mergeCells>
  <conditionalFormatting sqref="B140:T140 AK140:AZ140 B143:T143 AK143:AZ143 B146:T146 AK146:AZ147">
    <cfRule type="notContainsBlanks" dxfId="141" priority="465">
      <formula>LEN(TRIM(B140))&gt;0</formula>
    </cfRule>
  </conditionalFormatting>
  <conditionalFormatting sqref="B33:AZ34">
    <cfRule type="notContainsBlanks" dxfId="140" priority="301">
      <formula>LEN(TRIM(B33))&gt;0</formula>
    </cfRule>
  </conditionalFormatting>
  <conditionalFormatting sqref="L55:L60">
    <cfRule type="expression" dxfId="139" priority="246">
      <formula>$BQ$55="FAIL"</formula>
    </cfRule>
  </conditionalFormatting>
  <conditionalFormatting sqref="L7:N7 AN7:AP7 K9:AA22 AL9:AZ22 AG29:AX29 B37:AZ38 K41:L42 T41:U42 C45:AS48">
    <cfRule type="notContainsBlanks" dxfId="138" priority="466">
      <formula>LEN(TRIM(B7))&gt;0</formula>
    </cfRule>
  </conditionalFormatting>
  <conditionalFormatting sqref="L62:O65">
    <cfRule type="expression" dxfId="137" priority="242">
      <formula>$BQ$61="FAIL"</formula>
    </cfRule>
  </conditionalFormatting>
  <conditionalFormatting sqref="L70:O71">
    <cfRule type="expression" dxfId="136" priority="160">
      <formula>$BQ$66="FAIL"</formula>
    </cfRule>
  </conditionalFormatting>
  <conditionalFormatting sqref="L77:O83">
    <cfRule type="expression" dxfId="135" priority="200">
      <formula>$BQ$80="FAIL"</formula>
    </cfRule>
  </conditionalFormatting>
  <conditionalFormatting sqref="L85:O89">
    <cfRule type="expression" dxfId="134" priority="195">
      <formula>$BQ$84="FAIL"</formula>
    </cfRule>
  </conditionalFormatting>
  <conditionalFormatting sqref="L95:O97">
    <cfRule type="expression" dxfId="133" priority="148">
      <formula>$BQ$90="FAIL"</formula>
    </cfRule>
  </conditionalFormatting>
  <conditionalFormatting sqref="L113:O117">
    <cfRule type="expression" dxfId="132" priority="50">
      <formula>$BQ$118="FAIL"</formula>
    </cfRule>
  </conditionalFormatting>
  <conditionalFormatting sqref="L127:O133">
    <cfRule type="expression" dxfId="131" priority="38">
      <formula>$BQ$134="FAIL"</formula>
    </cfRule>
  </conditionalFormatting>
  <conditionalFormatting sqref="L61:R61 X61:AV61">
    <cfRule type="expression" dxfId="130" priority="451">
      <formula>$BQ$61="FAIL"</formula>
    </cfRule>
  </conditionalFormatting>
  <conditionalFormatting sqref="L66:R66">
    <cfRule type="expression" dxfId="129" priority="443">
      <formula>$BQ$66="FAIL"</formula>
    </cfRule>
  </conditionalFormatting>
  <conditionalFormatting sqref="L67:R67">
    <cfRule type="expression" dxfId="128" priority="442">
      <formula>$BQ$67="FAIL"</formula>
    </cfRule>
  </conditionalFormatting>
  <conditionalFormatting sqref="L68:R68">
    <cfRule type="expression" dxfId="127" priority="441">
      <formula>$BQ$68="FAIL"</formula>
    </cfRule>
  </conditionalFormatting>
  <conditionalFormatting sqref="L69:R69">
    <cfRule type="expression" dxfId="126" priority="164">
      <formula>$BQ$66="FAIL"</formula>
    </cfRule>
  </conditionalFormatting>
  <conditionalFormatting sqref="L91:R91 AM91:AV91">
    <cfRule type="expression" dxfId="125" priority="425">
      <formula>$BQ$91="FAIL"</formula>
    </cfRule>
  </conditionalFormatting>
  <conditionalFormatting sqref="L93:R93 AM93:AV93">
    <cfRule type="expression" dxfId="124" priority="423">
      <formula>$BQ$93="FAIL"</formula>
    </cfRule>
  </conditionalFormatting>
  <conditionalFormatting sqref="L102:R102 AM102:AV102">
    <cfRule type="expression" dxfId="123" priority="422">
      <formula>$BQ$102="FAIL"</formula>
    </cfRule>
  </conditionalFormatting>
  <conditionalFormatting sqref="L103:R103 AM103:AV103">
    <cfRule type="expression" dxfId="122" priority="421">
      <formula>$BQ$103="FAIL"</formula>
    </cfRule>
  </conditionalFormatting>
  <conditionalFormatting sqref="L104:R104 AM104:AV104">
    <cfRule type="expression" dxfId="121" priority="420">
      <formula>$BQ$104="FAIL"</formula>
    </cfRule>
  </conditionalFormatting>
  <conditionalFormatting sqref="L105:R105 AM105:AV105">
    <cfRule type="expression" dxfId="120" priority="419">
      <formula>$BQ$105="FAIL"</formula>
    </cfRule>
  </conditionalFormatting>
  <conditionalFormatting sqref="L106:R107">
    <cfRule type="expression" dxfId="119" priority="171">
      <formula>$BQ$106="FAIL"</formula>
    </cfRule>
  </conditionalFormatting>
  <conditionalFormatting sqref="L108:R108">
    <cfRule type="expression" dxfId="118" priority="416">
      <formula>$BQ$108="FAIL"</formula>
    </cfRule>
  </conditionalFormatting>
  <conditionalFormatting sqref="L118:R121">
    <cfRule type="expression" dxfId="117" priority="188">
      <formula>$BQ$118="FAIL"</formula>
    </cfRule>
  </conditionalFormatting>
  <conditionalFormatting sqref="L135:R137">
    <cfRule type="expression" dxfId="116" priority="185">
      <formula>$BQ$134="FAIL"</formula>
    </cfRule>
  </conditionalFormatting>
  <conditionalFormatting sqref="P77:R79 L76:W76 AM76:AV76">
    <cfRule type="expression" dxfId="115" priority="240">
      <formula>$BQ$80="FAIL"</formula>
    </cfRule>
  </conditionalFormatting>
  <conditionalFormatting sqref="L84:W84 AM84:AV84">
    <cfRule type="expression" dxfId="114" priority="436">
      <formula>$BQ$84="FAIL"</formula>
    </cfRule>
  </conditionalFormatting>
  <conditionalFormatting sqref="L90:W90 AM90:AV90">
    <cfRule type="expression" dxfId="113" priority="426">
      <formula>$BQ$90="FAIL"</formula>
    </cfRule>
  </conditionalFormatting>
  <conditionalFormatting sqref="L92:W92 AM92:AV92">
    <cfRule type="expression" dxfId="112" priority="424">
      <formula>$BQ$92="FAIL"</formula>
    </cfRule>
  </conditionalFormatting>
  <conditionalFormatting sqref="L94:W94 AM94:AV94">
    <cfRule type="expression" dxfId="111" priority="156">
      <formula>$BQ$90="FAIL"</formula>
    </cfRule>
  </conditionalFormatting>
  <conditionalFormatting sqref="P127:R129 L126:W126 AM126:AV126">
    <cfRule type="expression" dxfId="110" priority="84">
      <formula>$BQ$134="FAIL"</formula>
    </cfRule>
  </conditionalFormatting>
  <conditionalFormatting sqref="L134:W134 AM134:AV134">
    <cfRule type="expression" dxfId="109" priority="412">
      <formula>$BQ$134="FAIL"</formula>
    </cfRule>
  </conditionalFormatting>
  <conditionalFormatting sqref="P55 X55:AV55 X56:AL71">
    <cfRule type="expression" dxfId="108" priority="457">
      <formula>$BQ$55="FAIL"</formula>
    </cfRule>
  </conditionalFormatting>
  <conditionalFormatting sqref="P56:R56 X56:AV56">
    <cfRule type="expression" dxfId="107" priority="456">
      <formula>$BQ$56="FAIL"</formula>
    </cfRule>
  </conditionalFormatting>
  <conditionalFormatting sqref="P57:R57 X57:AV57">
    <cfRule type="expression" dxfId="106" priority="455">
      <formula>$BQ$57="FAIL"</formula>
    </cfRule>
  </conditionalFormatting>
  <conditionalFormatting sqref="P58:R58 X58:AV58">
    <cfRule type="expression" dxfId="105" priority="454">
      <formula>$BQ$58="FAIL"</formula>
    </cfRule>
  </conditionalFormatting>
  <conditionalFormatting sqref="P59:R59 X59:AV59">
    <cfRule type="expression" dxfId="104" priority="453">
      <formula>$BQ$59="FAIL"</formula>
    </cfRule>
  </conditionalFormatting>
  <conditionalFormatting sqref="P60:R60 X60:AV60">
    <cfRule type="expression" dxfId="103" priority="452">
      <formula>$BQ$60="FAIL"</formula>
    </cfRule>
  </conditionalFormatting>
  <conditionalFormatting sqref="P62:R62 X62:AV62">
    <cfRule type="expression" dxfId="102" priority="450">
      <formula>$BQ$62="FAIL"</formula>
    </cfRule>
  </conditionalFormatting>
  <conditionalFormatting sqref="P63:R63 X63:AV63">
    <cfRule type="expression" dxfId="101" priority="449">
      <formula>$BQ$63="FAIL"</formula>
    </cfRule>
  </conditionalFormatting>
  <conditionalFormatting sqref="P64:R64 X64:AV64">
    <cfRule type="expression" dxfId="100" priority="448">
      <formula>$BQ$64="FAIL"</formula>
    </cfRule>
  </conditionalFormatting>
  <conditionalFormatting sqref="P65:R65 X65:AV65">
    <cfRule type="expression" dxfId="99" priority="447">
      <formula>$BQ$65="FAIL"</formula>
    </cfRule>
  </conditionalFormatting>
  <conditionalFormatting sqref="P70:R70">
    <cfRule type="expression" dxfId="98" priority="163">
      <formula>$BQ$67="FAIL"</formula>
    </cfRule>
  </conditionalFormatting>
  <conditionalFormatting sqref="P71:R71">
    <cfRule type="expression" dxfId="97" priority="162">
      <formula>$BQ$68="FAIL"</formula>
    </cfRule>
  </conditionalFormatting>
  <conditionalFormatting sqref="P85:R85 AM85:AV85">
    <cfRule type="expression" dxfId="96" priority="435">
      <formula>$BQ$85="FAIL"</formula>
    </cfRule>
  </conditionalFormatting>
  <conditionalFormatting sqref="P87:R87 AM87:AV87">
    <cfRule type="expression" dxfId="95" priority="433">
      <formula>$BQ$87="FAIL"</formula>
    </cfRule>
  </conditionalFormatting>
  <conditionalFormatting sqref="P89:R89 AM89:AV89">
    <cfRule type="expression" dxfId="94" priority="431">
      <formula>$BQ$89="FAIL"</formula>
    </cfRule>
  </conditionalFormatting>
  <conditionalFormatting sqref="P95:R95 AM95:AV95">
    <cfRule type="expression" dxfId="93" priority="155">
      <formula>$BQ$91="FAIL"</formula>
    </cfRule>
  </conditionalFormatting>
  <conditionalFormatting sqref="P97:R97 AM97:AV97">
    <cfRule type="expression" dxfId="92" priority="153">
      <formula>$BQ$93="FAIL"</formula>
    </cfRule>
  </conditionalFormatting>
  <conditionalFormatting sqref="P113:R114">
    <cfRule type="expression" dxfId="91" priority="123">
      <formula>$BQ$121="FAIL"</formula>
    </cfRule>
  </conditionalFormatting>
  <conditionalFormatting sqref="P115:R115">
    <cfRule type="expression" dxfId="90" priority="146">
      <formula>$BQ$118="FAIL"</formula>
    </cfRule>
  </conditionalFormatting>
  <conditionalFormatting sqref="P116:R116">
    <cfRule type="expression" dxfId="89" priority="145">
      <formula>$BQ$119="FAIL"</formula>
    </cfRule>
  </conditionalFormatting>
  <conditionalFormatting sqref="P117:R117">
    <cfRule type="expression" dxfId="88" priority="139">
      <formula>$BQ$121="FAIL"</formula>
    </cfRule>
  </conditionalFormatting>
  <conditionalFormatting sqref="P132:R132">
    <cfRule type="expression" dxfId="87" priority="115">
      <formula>$BQ$136="FAIL"</formula>
    </cfRule>
  </conditionalFormatting>
  <conditionalFormatting sqref="P133:R133">
    <cfRule type="expression" dxfId="86" priority="114">
      <formula>$BQ$137="FAIL"</formula>
    </cfRule>
  </conditionalFormatting>
  <conditionalFormatting sqref="P80:W80 AM80:AV80">
    <cfRule type="expression" dxfId="85" priority="440">
      <formula>$BQ$80="FAIL"</formula>
    </cfRule>
  </conditionalFormatting>
  <conditionalFormatting sqref="P81:W81 AM81:AV81">
    <cfRule type="expression" dxfId="84" priority="181">
      <formula>$BQ$81="FAIL"</formula>
    </cfRule>
  </conditionalFormatting>
  <conditionalFormatting sqref="P82:W82 AM82:AV82">
    <cfRule type="expression" dxfId="83" priority="438">
      <formula>$BQ$82="FAIL"</formula>
    </cfRule>
  </conditionalFormatting>
  <conditionalFormatting sqref="P86:W86 AM86:AV86">
    <cfRule type="expression" dxfId="82" priority="434">
      <formula>$BQ$86="FAIL"</formula>
    </cfRule>
  </conditionalFormatting>
  <conditionalFormatting sqref="P88:W88 AM88:AV88">
    <cfRule type="expression" dxfId="81" priority="432">
      <formula>$BQ$88="FAIL"</formula>
    </cfRule>
  </conditionalFormatting>
  <conditionalFormatting sqref="P96:W96 AM96:AV96">
    <cfRule type="expression" dxfId="80" priority="154">
      <formula>$BQ$92="FAIL"</formula>
    </cfRule>
  </conditionalFormatting>
  <conditionalFormatting sqref="P130:W130 AM130:AV130">
    <cfRule type="expression" dxfId="79" priority="117">
      <formula>$BQ$134="FAIL"</formula>
    </cfRule>
  </conditionalFormatting>
  <conditionalFormatting sqref="P131:W131 AM131:AV131">
    <cfRule type="expression" dxfId="78" priority="43">
      <formula>$BQ$135="FAIL"</formula>
    </cfRule>
  </conditionalFormatting>
  <conditionalFormatting sqref="S79:W79">
    <cfRule type="expression" dxfId="77" priority="182">
      <formula>$BQ$81="FAIL"</formula>
    </cfRule>
  </conditionalFormatting>
  <conditionalFormatting sqref="S83:W83">
    <cfRule type="expression" dxfId="76" priority="180">
      <formula>$BQ$81="FAIL"</formula>
    </cfRule>
  </conditionalFormatting>
  <conditionalFormatting sqref="S85:W85">
    <cfRule type="expression" dxfId="75" priority="179">
      <formula>$BQ$81="FAIL"</formula>
    </cfRule>
  </conditionalFormatting>
  <conditionalFormatting sqref="S87:W87">
    <cfRule type="expression" dxfId="74" priority="178">
      <formula>$BQ$81="FAIL"</formula>
    </cfRule>
  </conditionalFormatting>
  <conditionalFormatting sqref="S89:W89">
    <cfRule type="expression" dxfId="73" priority="177">
      <formula>$BQ$81="FAIL"</formula>
    </cfRule>
  </conditionalFormatting>
  <conditionalFormatting sqref="S91:W91">
    <cfRule type="expression" dxfId="72" priority="176">
      <formula>$BQ$81="FAIL"</formula>
    </cfRule>
  </conditionalFormatting>
  <conditionalFormatting sqref="S93:W93">
    <cfRule type="expression" dxfId="71" priority="175">
      <formula>$BQ$81="FAIL"</formula>
    </cfRule>
  </conditionalFormatting>
  <conditionalFormatting sqref="S95:W95">
    <cfRule type="expression" dxfId="70" priority="152">
      <formula>$BQ$81="FAIL"</formula>
    </cfRule>
  </conditionalFormatting>
  <conditionalFormatting sqref="S97:W97">
    <cfRule type="expression" dxfId="69" priority="151">
      <formula>$BQ$81="FAIL"</formula>
    </cfRule>
  </conditionalFormatting>
  <conditionalFormatting sqref="S128:W128">
    <cfRule type="expression" dxfId="68" priority="56">
      <formula>$BQ$134="FAIL"</formula>
    </cfRule>
  </conditionalFormatting>
  <conditionalFormatting sqref="S129:W129">
    <cfRule type="expression" dxfId="67" priority="46">
      <formula>$BQ$135="FAIL"</formula>
    </cfRule>
  </conditionalFormatting>
  <conditionalFormatting sqref="S132:W132">
    <cfRule type="expression" dxfId="66" priority="89">
      <formula>$BQ$134="FAIL"</formula>
    </cfRule>
  </conditionalFormatting>
  <conditionalFormatting sqref="S133:W133">
    <cfRule type="expression" dxfId="65" priority="42">
      <formula>$BQ$135="FAIL"</formula>
    </cfRule>
  </conditionalFormatting>
  <conditionalFormatting sqref="S136:W136">
    <cfRule type="expression" dxfId="64" priority="184">
      <formula>$BQ$134="FAIL"</formula>
    </cfRule>
  </conditionalFormatting>
  <conditionalFormatting sqref="S137:W137">
    <cfRule type="expression" dxfId="63" priority="40">
      <formula>$BQ$135="FAIL"</formula>
    </cfRule>
  </conditionalFormatting>
  <conditionalFormatting sqref="S77:W77 AM77:AV77">
    <cfRule type="expression" dxfId="62" priority="239">
      <formula>$BQ$81="FAIL"</formula>
    </cfRule>
  </conditionalFormatting>
  <conditionalFormatting sqref="S78:W78 AM78:AV78">
    <cfRule type="expression" dxfId="61" priority="238">
      <formula>$BQ$82="FAIL"</formula>
    </cfRule>
  </conditionalFormatting>
  <conditionalFormatting sqref="S127:W127 AM127:AV127">
    <cfRule type="expression" dxfId="60" priority="83">
      <formula>$BQ$135="FAIL"</formula>
    </cfRule>
  </conditionalFormatting>
  <conditionalFormatting sqref="S135:W135 AM135:AV135">
    <cfRule type="expression" dxfId="59" priority="41">
      <formula>$BQ$135="FAIL"</formula>
    </cfRule>
  </conditionalFormatting>
  <conditionalFormatting sqref="X55:AL71">
    <cfRule type="notContainsBlanks" dxfId="58" priority="170">
      <formula>LEN(TRIM(X55))&gt;0</formula>
    </cfRule>
  </conditionalFormatting>
  <conditionalFormatting sqref="X66:AV66">
    <cfRule type="expression" dxfId="57" priority="446">
      <formula>$BQ$66="FAIL"</formula>
    </cfRule>
  </conditionalFormatting>
  <conditionalFormatting sqref="X67:AV67">
    <cfRule type="expression" dxfId="56" priority="445">
      <formula>$BQ$67="FAIL"</formula>
    </cfRule>
  </conditionalFormatting>
  <conditionalFormatting sqref="X68:AV68">
    <cfRule type="expression" dxfId="55" priority="444">
      <formula>$BQ$68="FAIL"</formula>
    </cfRule>
  </conditionalFormatting>
  <conditionalFormatting sqref="X69:AV69">
    <cfRule type="expression" dxfId="54" priority="167">
      <formula>$BQ$66="FAIL"</formula>
    </cfRule>
  </conditionalFormatting>
  <conditionalFormatting sqref="X70:AV70">
    <cfRule type="expression" dxfId="53" priority="166">
      <formula>$BQ$67="FAIL"</formula>
    </cfRule>
  </conditionalFormatting>
  <conditionalFormatting sqref="X71:AV71">
    <cfRule type="expression" dxfId="52" priority="165">
      <formula>$BQ$68="FAIL"</formula>
    </cfRule>
  </conditionalFormatting>
  <conditionalFormatting sqref="P83:R83 AM79:AV79 AM83:AV83">
    <cfRule type="expression" dxfId="51" priority="437">
      <formula>$BQ$83="FAIL"</formula>
    </cfRule>
  </conditionalFormatting>
  <conditionalFormatting sqref="AM106:AV107">
    <cfRule type="expression" dxfId="50" priority="418">
      <formula>$BQ$106="FAIL"</formula>
    </cfRule>
  </conditionalFormatting>
  <conditionalFormatting sqref="AM108:AV108">
    <cfRule type="expression" dxfId="49" priority="417">
      <formula>$BQ$108="FAIL"</formula>
    </cfRule>
  </conditionalFormatting>
  <conditionalFormatting sqref="AM113:AV113">
    <cfRule type="expression" dxfId="48" priority="134">
      <formula>$BQ$118="FAIL"</formula>
    </cfRule>
  </conditionalFormatting>
  <conditionalFormatting sqref="AM114:AV114">
    <cfRule type="expression" dxfId="47" priority="132">
      <formula>$BQ$121="FAIL"</formula>
    </cfRule>
  </conditionalFormatting>
  <conditionalFormatting sqref="AM115:AV115 AM118:AV118">
    <cfRule type="expression" dxfId="46" priority="415">
      <formula>$BQ$118="FAIL"</formula>
    </cfRule>
  </conditionalFormatting>
  <conditionalFormatting sqref="AM116:AV116 AM119:AV119">
    <cfRule type="expression" dxfId="45" priority="414">
      <formula>$BQ$119="FAIL"</formula>
    </cfRule>
  </conditionalFormatting>
  <conditionalFormatting sqref="AM120:AV121 AM117:AV117">
    <cfRule type="expression" dxfId="44" priority="413">
      <formula>$BQ$121="FAIL"</formula>
    </cfRule>
  </conditionalFormatting>
  <conditionalFormatting sqref="AM128:AV128">
    <cfRule type="expression" dxfId="43" priority="87">
      <formula>$BQ$136="FAIL"</formula>
    </cfRule>
  </conditionalFormatting>
  <conditionalFormatting sqref="AM129:AV129">
    <cfRule type="expression" dxfId="42" priority="86">
      <formula>$BQ$137="FAIL"</formula>
    </cfRule>
  </conditionalFormatting>
  <conditionalFormatting sqref="AM132:AV132 AM136:AV136">
    <cfRule type="expression" dxfId="41" priority="410">
      <formula>$BQ$136="FAIL"</formula>
    </cfRule>
  </conditionalFormatting>
  <conditionalFormatting sqref="AM133:AV133 AM137:AV137">
    <cfRule type="expression" dxfId="40" priority="409">
      <formula>$BQ$137="FAIL"</formula>
    </cfRule>
  </conditionalFormatting>
  <conditionalFormatting sqref="BQ56:BU71">
    <cfRule type="containsText" dxfId="39" priority="168" operator="containsText" text="PASS">
      <formula>NOT(ISERROR(SEARCH("PASS",BQ56)))</formula>
    </cfRule>
    <cfRule type="containsText" dxfId="38" priority="169" operator="containsText" text="FAIL">
      <formula>NOT(ISERROR(SEARCH("FAIL",BQ56)))</formula>
    </cfRule>
  </conditionalFormatting>
  <conditionalFormatting sqref="BQ76:BU97">
    <cfRule type="containsText" dxfId="37" priority="158" operator="containsText" text="FAIL">
      <formula>NOT(ISERROR(SEARCH("FAIL",BQ76)))</formula>
    </cfRule>
    <cfRule type="containsText" dxfId="36" priority="157" operator="containsText" text="PASS">
      <formula>NOT(ISERROR(SEARCH("PASS",BQ76)))</formula>
    </cfRule>
  </conditionalFormatting>
  <conditionalFormatting sqref="BQ102:BU108">
    <cfRule type="containsText" dxfId="35" priority="172" operator="containsText" text="PASS">
      <formula>NOT(ISERROR(SEARCH("PASS",BQ102)))</formula>
    </cfRule>
    <cfRule type="containsText" dxfId="34" priority="173" operator="containsText" text="FAIL">
      <formula>NOT(ISERROR(SEARCH("FAIL",BQ102)))</formula>
    </cfRule>
  </conditionalFormatting>
  <conditionalFormatting sqref="BQ113:BU121">
    <cfRule type="containsText" dxfId="33" priority="122" operator="containsText" text="FAIL">
      <formula>NOT(ISERROR(SEARCH("FAIL",BQ113)))</formula>
    </cfRule>
    <cfRule type="containsText" dxfId="32" priority="121" operator="containsText" text="PASS">
      <formula>NOT(ISERROR(SEARCH("PASS",BQ113)))</formula>
    </cfRule>
  </conditionalFormatting>
  <conditionalFormatting sqref="BQ126:BU137">
    <cfRule type="containsText" dxfId="31" priority="80" operator="containsText" text="FAIL">
      <formula>NOT(ISERROR(SEARCH("FAIL",BQ126)))</formula>
    </cfRule>
    <cfRule type="containsText" dxfId="30" priority="79" operator="containsText" text="PASS">
      <formula>NOT(ISERROR(SEARCH("PASS",BQ126)))</formula>
    </cfRule>
  </conditionalFormatting>
  <conditionalFormatting sqref="X57:AL57">
    <cfRule type="expression" dxfId="29" priority="17">
      <formula>$BQ$56="FAIL"</formula>
    </cfRule>
  </conditionalFormatting>
  <conditionalFormatting sqref="BQ55:BU55">
    <cfRule type="containsText" dxfId="28" priority="13" operator="containsText" text="PASS">
      <formula>NOT(ISERROR(SEARCH("PASS",BQ55)))</formula>
    </cfRule>
    <cfRule type="containsText" dxfId="27" priority="14" operator="containsText" text="FAIL">
      <formula>NOT(ISERROR(SEARCH("FAIL",BQ55)))</formula>
    </cfRule>
  </conditionalFormatting>
  <conditionalFormatting sqref="X76:AL97">
    <cfRule type="expression" dxfId="26" priority="12">
      <formula>$BQ$55="FAIL"</formula>
    </cfRule>
  </conditionalFormatting>
  <conditionalFormatting sqref="X76:AL97">
    <cfRule type="notContainsBlanks" dxfId="25" priority="11">
      <formula>LEN(TRIM(X76))&gt;0</formula>
    </cfRule>
  </conditionalFormatting>
  <conditionalFormatting sqref="X76:AL97">
    <cfRule type="expression" dxfId="24" priority="10">
      <formula>$BQ$68="FAIL"</formula>
    </cfRule>
  </conditionalFormatting>
  <conditionalFormatting sqref="X102:AL108">
    <cfRule type="expression" dxfId="23" priority="9">
      <formula>$BQ$55="FAIL"</formula>
    </cfRule>
  </conditionalFormatting>
  <conditionalFormatting sqref="X102:AL108">
    <cfRule type="notContainsBlanks" dxfId="22" priority="8">
      <formula>LEN(TRIM(X102))&gt;0</formula>
    </cfRule>
  </conditionalFormatting>
  <conditionalFormatting sqref="X102:AL108">
    <cfRule type="expression" dxfId="21" priority="7">
      <formula>$BQ$68="FAIL"</formula>
    </cfRule>
  </conditionalFormatting>
  <conditionalFormatting sqref="X113:AL121">
    <cfRule type="expression" dxfId="20" priority="6">
      <formula>$BQ$55="FAIL"</formula>
    </cfRule>
  </conditionalFormatting>
  <conditionalFormatting sqref="X113:AL121">
    <cfRule type="notContainsBlanks" dxfId="19" priority="5">
      <formula>LEN(TRIM(X113))&gt;0</formula>
    </cfRule>
  </conditionalFormatting>
  <conditionalFormatting sqref="X113:AL121">
    <cfRule type="expression" dxfId="18" priority="4">
      <formula>$BQ$68="FAIL"</formula>
    </cfRule>
  </conditionalFormatting>
  <conditionalFormatting sqref="X126:AL137">
    <cfRule type="expression" dxfId="17" priority="3">
      <formula>$BQ$55="FAIL"</formula>
    </cfRule>
  </conditionalFormatting>
  <conditionalFormatting sqref="X126:AL137">
    <cfRule type="notContainsBlanks" dxfId="16" priority="2">
      <formula>LEN(TRIM(X126))&gt;0</formula>
    </cfRule>
  </conditionalFormatting>
  <conditionalFormatting sqref="X126:AL137">
    <cfRule type="expression" dxfId="15" priority="1">
      <formula>$BQ$68="FAIL"</formula>
    </cfRule>
  </conditionalFormatting>
  <printOptions horizontalCentered="1"/>
  <pageMargins left="0" right="0" top="0" bottom="0.51181102362204722" header="0" footer="0"/>
  <pageSetup paperSize="9" scale="85" orientation="landscape" horizontalDpi="300" verticalDpi="300" r:id="rId1"/>
  <headerFooter alignWithMargins="0">
    <oddFooter>&amp;L&amp;"Arial Narrow,Regular"&amp;9Page &amp;P of &amp;N&amp;R&amp;"Arial Narrow,Regular"&amp;9 7F-04-02 Rev. 02
Effectivity Date: August 01, 2019</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Y75"/>
  <sheetViews>
    <sheetView topLeftCell="B1" zoomScale="85" zoomScaleNormal="85" workbookViewId="0">
      <selection activeCell="X10" sqref="X10:Y10"/>
    </sheetView>
  </sheetViews>
  <sheetFormatPr defaultRowHeight="15"/>
  <cols>
    <col min="1" max="1" width="9" customWidth="1"/>
    <col min="2" max="2" width="11.140625" customWidth="1"/>
    <col min="3" max="3" width="7" customWidth="1"/>
  </cols>
  <sheetData>
    <row r="2" spans="2:25">
      <c r="B2" s="456" t="s">
        <v>118</v>
      </c>
      <c r="C2" s="456"/>
      <c r="D2" s="456"/>
      <c r="E2" s="456"/>
      <c r="F2" s="456"/>
      <c r="G2" s="456"/>
      <c r="H2" s="456"/>
      <c r="I2" s="456"/>
      <c r="J2" s="456"/>
      <c r="K2" s="456"/>
      <c r="L2" s="456"/>
      <c r="M2" s="456"/>
      <c r="N2" s="456"/>
      <c r="O2" s="456"/>
      <c r="P2" s="456"/>
      <c r="Q2" s="456"/>
      <c r="R2" s="456"/>
      <c r="S2" s="456"/>
      <c r="T2" s="456"/>
      <c r="U2" s="456"/>
      <c r="V2" s="456"/>
      <c r="W2" s="456"/>
      <c r="X2" s="456"/>
      <c r="Y2" s="456"/>
    </row>
    <row r="3" spans="2:25">
      <c r="B3" s="457" t="s">
        <v>67</v>
      </c>
      <c r="C3" s="470"/>
      <c r="D3" s="470"/>
      <c r="E3" s="470"/>
      <c r="F3" s="470"/>
      <c r="G3" s="458"/>
      <c r="H3" s="457" t="s">
        <v>124</v>
      </c>
      <c r="I3" s="470"/>
      <c r="J3" s="470"/>
      <c r="K3" s="470"/>
      <c r="L3" s="470"/>
      <c r="M3" s="458"/>
      <c r="N3" s="457" t="s">
        <v>125</v>
      </c>
      <c r="O3" s="470"/>
      <c r="P3" s="470"/>
      <c r="Q3" s="470"/>
      <c r="R3" s="470"/>
      <c r="S3" s="470"/>
      <c r="T3" s="470"/>
      <c r="U3" s="470"/>
      <c r="V3" s="470"/>
      <c r="W3" s="458"/>
      <c r="X3" s="448" t="s">
        <v>119</v>
      </c>
      <c r="Y3" s="449"/>
    </row>
    <row r="4" spans="2:25" ht="15" customHeight="1">
      <c r="B4" s="461"/>
      <c r="C4" s="471"/>
      <c r="D4" s="471"/>
      <c r="E4" s="471"/>
      <c r="F4" s="471"/>
      <c r="G4" s="462"/>
      <c r="H4" s="461"/>
      <c r="I4" s="471"/>
      <c r="J4" s="471"/>
      <c r="K4" s="471"/>
      <c r="L4" s="471"/>
      <c r="M4" s="462"/>
      <c r="N4" s="461"/>
      <c r="O4" s="471"/>
      <c r="P4" s="471"/>
      <c r="Q4" s="471"/>
      <c r="R4" s="471"/>
      <c r="S4" s="471"/>
      <c r="T4" s="471"/>
      <c r="U4" s="471"/>
      <c r="V4" s="471"/>
      <c r="W4" s="462"/>
      <c r="X4" s="450"/>
      <c r="Y4" s="451"/>
    </row>
    <row r="5" spans="2:25">
      <c r="B5" s="463" t="str">
        <f>DataSheet!F52</f>
        <v>DC Voltage Test</v>
      </c>
      <c r="C5" s="463"/>
      <c r="D5" s="463"/>
      <c r="E5" s="463"/>
      <c r="F5" s="463"/>
      <c r="G5" s="463"/>
      <c r="H5" s="463"/>
      <c r="I5" s="463"/>
      <c r="J5" s="463"/>
      <c r="K5" s="463"/>
      <c r="L5" s="463"/>
      <c r="M5" s="463"/>
      <c r="N5" s="463"/>
      <c r="O5" s="463"/>
      <c r="P5" s="463"/>
      <c r="Q5" s="463"/>
      <c r="R5" s="463"/>
      <c r="S5" s="463"/>
      <c r="T5" s="463"/>
      <c r="U5" s="463"/>
      <c r="V5" s="463"/>
      <c r="W5" s="463"/>
      <c r="X5" s="450"/>
      <c r="Y5" s="451"/>
    </row>
    <row r="6" spans="2:25">
      <c r="B6" s="463"/>
      <c r="C6" s="463"/>
      <c r="D6" s="463"/>
      <c r="E6" s="463"/>
      <c r="F6" s="463"/>
      <c r="G6" s="463"/>
      <c r="H6" s="463"/>
      <c r="I6" s="463"/>
      <c r="J6" s="463"/>
      <c r="K6" s="463"/>
      <c r="L6" s="463"/>
      <c r="M6" s="463"/>
      <c r="N6" s="463"/>
      <c r="O6" s="463"/>
      <c r="P6" s="463"/>
      <c r="Q6" s="463"/>
      <c r="R6" s="463"/>
      <c r="S6" s="463"/>
      <c r="T6" s="463"/>
      <c r="U6" s="463"/>
      <c r="V6" s="463"/>
      <c r="W6" s="463"/>
      <c r="X6" s="450"/>
      <c r="Y6" s="451"/>
    </row>
    <row r="7" spans="2:25" ht="15" customHeight="1">
      <c r="B7" s="454" t="s">
        <v>73</v>
      </c>
      <c r="C7" s="454"/>
      <c r="D7" s="463" t="s">
        <v>75</v>
      </c>
      <c r="E7" s="463"/>
      <c r="F7" s="457" t="s">
        <v>114</v>
      </c>
      <c r="G7" s="458"/>
      <c r="H7" s="463" t="s">
        <v>76</v>
      </c>
      <c r="I7" s="463"/>
      <c r="J7" s="463" t="s">
        <v>77</v>
      </c>
      <c r="K7" s="463"/>
      <c r="L7" s="463" t="s">
        <v>78</v>
      </c>
      <c r="M7" s="463"/>
      <c r="N7" s="466" t="s">
        <v>122</v>
      </c>
      <c r="O7" s="463"/>
      <c r="P7" s="463" t="s">
        <v>76</v>
      </c>
      <c r="Q7" s="463"/>
      <c r="R7" s="463" t="s">
        <v>78</v>
      </c>
      <c r="S7" s="463"/>
      <c r="T7" s="466" t="s">
        <v>123</v>
      </c>
      <c r="U7" s="463"/>
      <c r="V7" s="463" t="s">
        <v>78</v>
      </c>
      <c r="W7" s="463"/>
      <c r="X7" s="450"/>
      <c r="Y7" s="451"/>
    </row>
    <row r="8" spans="2:25">
      <c r="B8" s="455"/>
      <c r="C8" s="455"/>
      <c r="D8" s="463"/>
      <c r="E8" s="463"/>
      <c r="F8" s="459"/>
      <c r="G8" s="460"/>
      <c r="H8" s="463"/>
      <c r="I8" s="463"/>
      <c r="J8" s="463"/>
      <c r="K8" s="463"/>
      <c r="L8" s="463"/>
      <c r="M8" s="463"/>
      <c r="N8" s="466"/>
      <c r="O8" s="463"/>
      <c r="P8" s="463"/>
      <c r="Q8" s="463"/>
      <c r="R8" s="463"/>
      <c r="S8" s="463"/>
      <c r="T8" s="466"/>
      <c r="U8" s="463"/>
      <c r="V8" s="463"/>
      <c r="W8" s="463"/>
      <c r="X8" s="450"/>
      <c r="Y8" s="451"/>
    </row>
    <row r="9" spans="2:25">
      <c r="B9" s="455"/>
      <c r="C9" s="455"/>
      <c r="D9" s="463"/>
      <c r="E9" s="463"/>
      <c r="F9" s="461"/>
      <c r="G9" s="462"/>
      <c r="H9" s="463"/>
      <c r="I9" s="463"/>
      <c r="J9" s="463"/>
      <c r="K9" s="463"/>
      <c r="L9" s="463"/>
      <c r="M9" s="463"/>
      <c r="N9" s="463"/>
      <c r="O9" s="463"/>
      <c r="P9" s="463"/>
      <c r="Q9" s="463"/>
      <c r="R9" s="463"/>
      <c r="S9" s="463"/>
      <c r="T9" s="463"/>
      <c r="U9" s="463"/>
      <c r="V9" s="463"/>
      <c r="W9" s="463"/>
      <c r="X9" s="452"/>
      <c r="Y9" s="453"/>
    </row>
    <row r="10" spans="2:25">
      <c r="B10" s="43">
        <f>DataSheet!AM55</f>
        <v>60</v>
      </c>
      <c r="C10" s="44" t="str">
        <f>DataSheet!P55</f>
        <v>mV</v>
      </c>
      <c r="D10" s="51">
        <f>ABS((B10*0.7%)+(3*DataSheet!CK55))</f>
        <v>0.72</v>
      </c>
      <c r="E10" s="35" t="str">
        <f>C10</f>
        <v>mV</v>
      </c>
      <c r="F10" s="38">
        <f>DataSheet!DD55</f>
        <v>5.7740161355276223E-2</v>
      </c>
      <c r="G10" s="35" t="str">
        <f>E10</f>
        <v>mV</v>
      </c>
      <c r="H10" s="39">
        <f>DataSheet!L55+D10</f>
        <v>60.72</v>
      </c>
      <c r="I10" s="35" t="str">
        <f>G10</f>
        <v>mV</v>
      </c>
      <c r="J10" s="39">
        <f>DataSheet!L55-D10</f>
        <v>59.28</v>
      </c>
      <c r="K10" s="35" t="str">
        <f>I10</f>
        <v>mV</v>
      </c>
      <c r="L10" s="473" t="str">
        <f>IF(AND(B10&lt;=H10,B10&gt;=J10),"PASSED","FAILED")</f>
        <v>PASSED</v>
      </c>
      <c r="M10" s="473"/>
      <c r="N10" s="39">
        <f>F10+B10</f>
        <v>60.057740161355277</v>
      </c>
      <c r="O10" s="40" t="str">
        <f>G10</f>
        <v>mV</v>
      </c>
      <c r="P10" s="39">
        <f>H10</f>
        <v>60.72</v>
      </c>
      <c r="Q10" s="35" t="str">
        <f>O10</f>
        <v>mV</v>
      </c>
      <c r="R10" s="467" t="str">
        <f>IF(AND(N10&lt;=H10,N10&gt;=J10),"PASSED","FAILED")</f>
        <v>PASSED</v>
      </c>
      <c r="S10" s="467"/>
      <c r="T10" s="39">
        <f>-F10+B10</f>
        <v>59.942259838644723</v>
      </c>
      <c r="U10" s="37" t="str">
        <f>O10</f>
        <v>mV</v>
      </c>
      <c r="V10" s="465" t="str">
        <f>IF(AND(T10&lt;=H10,T10&gt;=J10),"PASSED","FAILED")</f>
        <v>PASSED</v>
      </c>
      <c r="W10" s="465"/>
      <c r="X10" s="464" t="str">
        <f t="shared" ref="X10:X26" si="0">IF(AND(L10="PASSED",R10="PASSED",V10="PASSED"),"PASSED",IF(L10="FAILED","FAILED","UNDETERMINED"))</f>
        <v>PASSED</v>
      </c>
      <c r="Y10" s="464"/>
    </row>
    <row r="11" spans="2:25">
      <c r="B11" s="43">
        <f>DataSheet!AM56</f>
        <v>540</v>
      </c>
      <c r="C11" s="44" t="str">
        <f>DataSheet!P56</f>
        <v>mV</v>
      </c>
      <c r="D11" s="51">
        <f>ABS((B11*0.7%)+(3*DataSheet!CK56))</f>
        <v>4.08</v>
      </c>
      <c r="E11" s="35" t="str">
        <f t="shared" ref="E11:E26" si="1">C11</f>
        <v>mV</v>
      </c>
      <c r="F11" s="38">
        <f>DataSheet!DD56</f>
        <v>5.7773206015707089E-2</v>
      </c>
      <c r="G11" s="35" t="str">
        <f t="shared" ref="G11:G26" si="2">E11</f>
        <v>mV</v>
      </c>
      <c r="H11" s="39">
        <f>DataSheet!L56+D11</f>
        <v>544.08000000000004</v>
      </c>
      <c r="I11" s="35" t="str">
        <f t="shared" ref="I11:I26" si="3">G11</f>
        <v>mV</v>
      </c>
      <c r="J11" s="39">
        <f>DataSheet!L56-D11</f>
        <v>535.91999999999996</v>
      </c>
      <c r="K11" s="35" t="str">
        <f t="shared" ref="K11:K26" si="4">I11</f>
        <v>mV</v>
      </c>
      <c r="L11" s="473" t="str">
        <f t="shared" ref="L11:L26" si="5">IF(AND(B11&lt;=H11,B11&gt;=J11),"PASSED","FAILED")</f>
        <v>PASSED</v>
      </c>
      <c r="M11" s="473"/>
      <c r="N11" s="39">
        <f t="shared" ref="N11:N12" si="6">F11+B11</f>
        <v>540.05777320601567</v>
      </c>
      <c r="O11" s="40" t="str">
        <f t="shared" ref="O11:O26" si="7">G11</f>
        <v>mV</v>
      </c>
      <c r="P11" s="39">
        <f t="shared" ref="P11:P12" si="8">H11</f>
        <v>544.08000000000004</v>
      </c>
      <c r="Q11" s="35" t="str">
        <f t="shared" ref="Q11:Q26" si="9">O11</f>
        <v>mV</v>
      </c>
      <c r="R11" s="467" t="str">
        <f t="shared" ref="R11:R26" si="10">IF(AND(N11&lt;=H11,N11&gt;=J11),"PASSED","FAILED")</f>
        <v>PASSED</v>
      </c>
      <c r="S11" s="467"/>
      <c r="T11" s="39">
        <f t="shared" ref="T11:T12" si="11">-F11+B11</f>
        <v>539.94222679398433</v>
      </c>
      <c r="U11" s="37" t="str">
        <f t="shared" ref="U11:U26" si="12">O11</f>
        <v>mV</v>
      </c>
      <c r="V11" s="465" t="str">
        <f t="shared" ref="V11:V26" si="13">IF(AND(T11&lt;=H11,T11&gt;=J11),"PASSED","FAILED")</f>
        <v>PASSED</v>
      </c>
      <c r="W11" s="465"/>
      <c r="X11" s="464" t="str">
        <f t="shared" si="0"/>
        <v>PASSED</v>
      </c>
      <c r="Y11" s="464"/>
    </row>
    <row r="12" spans="2:25">
      <c r="B12" s="43">
        <f>DataSheet!AM57</f>
        <v>-540</v>
      </c>
      <c r="C12" s="44" t="str">
        <f>DataSheet!P57</f>
        <v>mV</v>
      </c>
      <c r="D12" s="51">
        <f>ABS((B12*0.7%)-(3*DataSheet!CK57))</f>
        <v>4.08</v>
      </c>
      <c r="E12" s="35" t="str">
        <f t="shared" si="1"/>
        <v>mV</v>
      </c>
      <c r="F12" s="38">
        <f>DataSheet!DD57</f>
        <v>5.7773206015707089E-2</v>
      </c>
      <c r="G12" s="35" t="str">
        <f t="shared" si="2"/>
        <v>mV</v>
      </c>
      <c r="H12" s="39">
        <f>DataSheet!L57+D12</f>
        <v>-535.91999999999996</v>
      </c>
      <c r="I12" s="35" t="str">
        <f t="shared" si="3"/>
        <v>mV</v>
      </c>
      <c r="J12" s="39">
        <f>DataSheet!L57-D12</f>
        <v>-544.08000000000004</v>
      </c>
      <c r="K12" s="35" t="str">
        <f t="shared" si="4"/>
        <v>mV</v>
      </c>
      <c r="L12" s="473" t="str">
        <f t="shared" si="5"/>
        <v>PASSED</v>
      </c>
      <c r="M12" s="473"/>
      <c r="N12" s="39">
        <f t="shared" si="6"/>
        <v>-539.94222679398433</v>
      </c>
      <c r="O12" s="40" t="str">
        <f t="shared" si="7"/>
        <v>mV</v>
      </c>
      <c r="P12" s="39">
        <f t="shared" si="8"/>
        <v>-535.91999999999996</v>
      </c>
      <c r="Q12" s="35" t="str">
        <f t="shared" si="9"/>
        <v>mV</v>
      </c>
      <c r="R12" s="467" t="str">
        <f t="shared" si="10"/>
        <v>PASSED</v>
      </c>
      <c r="S12" s="467"/>
      <c r="T12" s="39">
        <f t="shared" si="11"/>
        <v>-540.05777320601567</v>
      </c>
      <c r="U12" s="37" t="str">
        <f t="shared" si="12"/>
        <v>mV</v>
      </c>
      <c r="V12" s="465" t="str">
        <f t="shared" si="13"/>
        <v>PASSED</v>
      </c>
      <c r="W12" s="465"/>
      <c r="X12" s="464" t="str">
        <f t="shared" si="0"/>
        <v>PASSED</v>
      </c>
      <c r="Y12" s="464"/>
    </row>
    <row r="13" spans="2:25">
      <c r="B13" s="47">
        <f>DataSheet!AM58</f>
        <v>0.6</v>
      </c>
      <c r="C13" s="48" t="str">
        <f>DataSheet!P58</f>
        <v>V</v>
      </c>
      <c r="D13" s="34">
        <f>ABS((B13*0.7%)+(3*DataSheet!CK58))</f>
        <v>7.1999999999999998E-3</v>
      </c>
      <c r="E13" s="35" t="str">
        <f t="shared" si="1"/>
        <v>V</v>
      </c>
      <c r="F13" s="52">
        <f>DataSheet!DD58</f>
        <v>5.7735408834902469E-4</v>
      </c>
      <c r="G13" s="35" t="str">
        <f t="shared" si="2"/>
        <v>V</v>
      </c>
      <c r="H13" s="36">
        <f>DataSheet!L58+D13</f>
        <v>0.60720000000000007</v>
      </c>
      <c r="I13" s="37" t="str">
        <f t="shared" si="3"/>
        <v>V</v>
      </c>
      <c r="J13" s="36">
        <f>DataSheet!L58-D13</f>
        <v>0.5928000000000001</v>
      </c>
      <c r="K13" s="35" t="str">
        <f t="shared" si="4"/>
        <v>V</v>
      </c>
      <c r="L13" s="473" t="str">
        <f t="shared" si="5"/>
        <v>PASSED</v>
      </c>
      <c r="M13" s="473"/>
      <c r="N13" s="36">
        <f>F13+B13</f>
        <v>0.600577354088349</v>
      </c>
      <c r="O13" s="35" t="str">
        <f t="shared" si="7"/>
        <v>V</v>
      </c>
      <c r="P13" s="36">
        <f>H13</f>
        <v>0.60720000000000007</v>
      </c>
      <c r="Q13" s="37" t="str">
        <f t="shared" si="9"/>
        <v>V</v>
      </c>
      <c r="R13" s="465" t="str">
        <f t="shared" si="10"/>
        <v>PASSED</v>
      </c>
      <c r="S13" s="465"/>
      <c r="T13" s="36">
        <f>-F13+B13</f>
        <v>0.59942264591165095</v>
      </c>
      <c r="U13" s="37" t="str">
        <f t="shared" si="12"/>
        <v>V</v>
      </c>
      <c r="V13" s="465" t="str">
        <f t="shared" si="13"/>
        <v>PASSED</v>
      </c>
      <c r="W13" s="465"/>
      <c r="X13" s="464" t="str">
        <f t="shared" si="0"/>
        <v>PASSED</v>
      </c>
      <c r="Y13" s="464"/>
    </row>
    <row r="14" spans="2:25">
      <c r="B14" s="47">
        <f>DataSheet!AM59</f>
        <v>5.4000000000000012</v>
      </c>
      <c r="C14" s="48" t="str">
        <f>DataSheet!P59</f>
        <v>V</v>
      </c>
      <c r="D14" s="34">
        <f>ABS((B14*0.7%)+(3*DataSheet!CK59))</f>
        <v>4.080000000000001E-2</v>
      </c>
      <c r="E14" s="35" t="str">
        <f t="shared" si="1"/>
        <v>V</v>
      </c>
      <c r="F14" s="38">
        <f>DataSheet!DD59</f>
        <v>5.7763079326965709E-4</v>
      </c>
      <c r="G14" s="35" t="str">
        <f t="shared" si="2"/>
        <v>V</v>
      </c>
      <c r="H14" s="36">
        <f>DataSheet!L59+D14</f>
        <v>5.4408000000000003</v>
      </c>
      <c r="I14" s="37" t="str">
        <f t="shared" si="3"/>
        <v>V</v>
      </c>
      <c r="J14" s="36">
        <f>DataSheet!L59-D14</f>
        <v>5.3592000000000004</v>
      </c>
      <c r="K14" s="35" t="str">
        <f t="shared" si="4"/>
        <v>V</v>
      </c>
      <c r="L14" s="473" t="str">
        <f t="shared" si="5"/>
        <v>PASSED</v>
      </c>
      <c r="M14" s="473"/>
      <c r="N14" s="36">
        <f t="shared" ref="N14:N15" si="14">F14+B14</f>
        <v>5.4005776307932711</v>
      </c>
      <c r="O14" s="35" t="str">
        <f t="shared" si="7"/>
        <v>V</v>
      </c>
      <c r="P14" s="36">
        <f t="shared" ref="P14:P15" si="15">H14</f>
        <v>5.4408000000000003</v>
      </c>
      <c r="Q14" s="37" t="str">
        <f t="shared" si="9"/>
        <v>V</v>
      </c>
      <c r="R14" s="465" t="str">
        <f t="shared" si="10"/>
        <v>PASSED</v>
      </c>
      <c r="S14" s="465"/>
      <c r="T14" s="36">
        <f>-DataSheet!DD59+B14</f>
        <v>5.3994223692067314</v>
      </c>
      <c r="U14" s="37" t="str">
        <f t="shared" si="12"/>
        <v>V</v>
      </c>
      <c r="V14" s="465" t="str">
        <f t="shared" si="13"/>
        <v>PASSED</v>
      </c>
      <c r="W14" s="465"/>
      <c r="X14" s="464" t="str">
        <f t="shared" si="0"/>
        <v>PASSED</v>
      </c>
      <c r="Y14" s="464"/>
    </row>
    <row r="15" spans="2:25">
      <c r="B15" s="47">
        <f>DataSheet!AM60</f>
        <v>-5.4000000000000012</v>
      </c>
      <c r="C15" s="48" t="str">
        <f>DataSheet!P60</f>
        <v>V</v>
      </c>
      <c r="D15" s="34">
        <f>ABS((B15*0.7%)-(3*DataSheet!CK60))</f>
        <v>4.080000000000001E-2</v>
      </c>
      <c r="E15" s="35" t="str">
        <f t="shared" si="1"/>
        <v>V</v>
      </c>
      <c r="F15" s="38">
        <f>DataSheet!DD60</f>
        <v>5.7763079326965709E-4</v>
      </c>
      <c r="G15" s="35" t="str">
        <f t="shared" si="2"/>
        <v>V</v>
      </c>
      <c r="H15" s="36">
        <f>DataSheet!L60+D15</f>
        <v>-5.3592000000000004</v>
      </c>
      <c r="I15" s="37" t="str">
        <f t="shared" si="3"/>
        <v>V</v>
      </c>
      <c r="J15" s="36">
        <f>DataSheet!L60-D15</f>
        <v>-5.4408000000000003</v>
      </c>
      <c r="K15" s="35" t="str">
        <f t="shared" si="4"/>
        <v>V</v>
      </c>
      <c r="L15" s="473" t="str">
        <f t="shared" si="5"/>
        <v>PASSED</v>
      </c>
      <c r="M15" s="473"/>
      <c r="N15" s="36">
        <f t="shared" si="14"/>
        <v>-5.3994223692067314</v>
      </c>
      <c r="O15" s="35" t="str">
        <f t="shared" si="7"/>
        <v>V</v>
      </c>
      <c r="P15" s="36">
        <f t="shared" si="15"/>
        <v>-5.3592000000000004</v>
      </c>
      <c r="Q15" s="37" t="str">
        <f t="shared" si="9"/>
        <v>V</v>
      </c>
      <c r="R15" s="465" t="str">
        <f t="shared" si="10"/>
        <v>PASSED</v>
      </c>
      <c r="S15" s="465"/>
      <c r="T15" s="36">
        <f>-DataSheet!DD60+B15</f>
        <v>-5.4005776307932711</v>
      </c>
      <c r="U15" s="37" t="str">
        <f t="shared" si="12"/>
        <v>V</v>
      </c>
      <c r="V15" s="465" t="str">
        <f t="shared" si="13"/>
        <v>PASSED</v>
      </c>
      <c r="W15" s="465"/>
      <c r="X15" s="464" t="str">
        <f t="shared" si="0"/>
        <v>PASSED</v>
      </c>
      <c r="Y15" s="464"/>
    </row>
    <row r="16" spans="2:25">
      <c r="B16" s="45">
        <f>DataSheet!AM61</f>
        <v>6</v>
      </c>
      <c r="C16" s="46" t="str">
        <f>DataSheet!P61</f>
        <v>V</v>
      </c>
      <c r="D16" s="34">
        <f>ABS((B16*0.7%)+(3*DataSheet!CK61))</f>
        <v>7.1999999999999995E-2</v>
      </c>
      <c r="E16" s="35" t="str">
        <f t="shared" si="1"/>
        <v>V</v>
      </c>
      <c r="F16" s="38">
        <f>DataSheet!DD61</f>
        <v>5.7735307510511568E-3</v>
      </c>
      <c r="G16" s="35" t="str">
        <f t="shared" si="2"/>
        <v>V</v>
      </c>
      <c r="H16" s="34">
        <f>DataSheet!L61+D16</f>
        <v>6.0720000000000001</v>
      </c>
      <c r="I16" s="35" t="str">
        <f t="shared" si="3"/>
        <v>V</v>
      </c>
      <c r="J16" s="34">
        <f>DataSheet!L61-D16</f>
        <v>5.9279999999999999</v>
      </c>
      <c r="K16" s="35" t="str">
        <f t="shared" si="4"/>
        <v>V</v>
      </c>
      <c r="L16" s="473" t="str">
        <f t="shared" si="5"/>
        <v>PASSED</v>
      </c>
      <c r="M16" s="473"/>
      <c r="N16" s="34">
        <f>F16+B16</f>
        <v>6.0057735307510516</v>
      </c>
      <c r="O16" s="35" t="str">
        <f t="shared" si="7"/>
        <v>V</v>
      </c>
      <c r="P16" s="34">
        <f>H16</f>
        <v>6.0720000000000001</v>
      </c>
      <c r="Q16" s="35" t="str">
        <f t="shared" si="9"/>
        <v>V</v>
      </c>
      <c r="R16" s="465" t="str">
        <f t="shared" si="10"/>
        <v>PASSED</v>
      </c>
      <c r="S16" s="465"/>
      <c r="T16" s="34">
        <f>-F16+B16</f>
        <v>5.9942264692489484</v>
      </c>
      <c r="U16" s="37" t="str">
        <f t="shared" si="12"/>
        <v>V</v>
      </c>
      <c r="V16" s="465" t="str">
        <f t="shared" si="13"/>
        <v>PASSED</v>
      </c>
      <c r="W16" s="465"/>
      <c r="X16" s="464" t="str">
        <f t="shared" si="0"/>
        <v>PASSED</v>
      </c>
      <c r="Y16" s="464"/>
    </row>
    <row r="17" spans="2:25">
      <c r="B17" s="45">
        <f>DataSheet!AM62</f>
        <v>30</v>
      </c>
      <c r="C17" s="46" t="str">
        <f>DataSheet!P62</f>
        <v>V</v>
      </c>
      <c r="D17" s="34">
        <f>ABS((B17*0.7%)+(3*DataSheet!CK62))</f>
        <v>0.23999999999999996</v>
      </c>
      <c r="E17" s="35" t="str">
        <f t="shared" si="1"/>
        <v>V</v>
      </c>
      <c r="F17" s="38">
        <f>DataSheet!DD62</f>
        <v>5.774368652357878E-3</v>
      </c>
      <c r="G17" s="35" t="str">
        <f t="shared" si="2"/>
        <v>V</v>
      </c>
      <c r="H17" s="34">
        <f>DataSheet!L62+D17</f>
        <v>30.24</v>
      </c>
      <c r="I17" s="35" t="str">
        <f t="shared" si="3"/>
        <v>V</v>
      </c>
      <c r="J17" s="34">
        <f>DataSheet!L62-D17</f>
        <v>29.76</v>
      </c>
      <c r="K17" s="35" t="str">
        <f t="shared" si="4"/>
        <v>V</v>
      </c>
      <c r="L17" s="473" t="str">
        <f t="shared" si="5"/>
        <v>PASSED</v>
      </c>
      <c r="M17" s="473"/>
      <c r="N17" s="34">
        <f t="shared" ref="N17:N20" si="16">F17+B17</f>
        <v>30.005774368652357</v>
      </c>
      <c r="O17" s="35" t="str">
        <f t="shared" si="7"/>
        <v>V</v>
      </c>
      <c r="P17" s="34">
        <f t="shared" ref="P17:P20" si="17">H17</f>
        <v>30.24</v>
      </c>
      <c r="Q17" s="35" t="str">
        <f t="shared" si="9"/>
        <v>V</v>
      </c>
      <c r="R17" s="465" t="str">
        <f t="shared" si="10"/>
        <v>PASSED</v>
      </c>
      <c r="S17" s="465"/>
      <c r="T17" s="34">
        <f t="shared" ref="T17:T26" si="18">-F17+B17</f>
        <v>29.994225631347643</v>
      </c>
      <c r="U17" s="37" t="str">
        <f t="shared" si="12"/>
        <v>V</v>
      </c>
      <c r="V17" s="465" t="str">
        <f t="shared" si="13"/>
        <v>PASSED</v>
      </c>
      <c r="W17" s="465"/>
      <c r="X17" s="464" t="str">
        <f t="shared" si="0"/>
        <v>PASSED</v>
      </c>
      <c r="Y17" s="464"/>
    </row>
    <row r="18" spans="2:25">
      <c r="B18" s="45">
        <f>DataSheet!AM63</f>
        <v>54</v>
      </c>
      <c r="C18" s="46" t="str">
        <f>DataSheet!P63</f>
        <v>V</v>
      </c>
      <c r="D18" s="34">
        <f>ABS((B18*0.7%)+(3*DataSheet!CK63))</f>
        <v>0.40799999999999992</v>
      </c>
      <c r="E18" s="35" t="str">
        <f t="shared" si="1"/>
        <v>V</v>
      </c>
      <c r="F18" s="38">
        <f>DataSheet!DD63</f>
        <v>5.7818192062129839E-3</v>
      </c>
      <c r="G18" s="35" t="str">
        <f t="shared" si="2"/>
        <v>V</v>
      </c>
      <c r="H18" s="34">
        <f>DataSheet!L63+D18</f>
        <v>54.408000000000001</v>
      </c>
      <c r="I18" s="35" t="str">
        <f t="shared" si="3"/>
        <v>V</v>
      </c>
      <c r="J18" s="34">
        <f>DataSheet!L63-D18</f>
        <v>53.591999999999999</v>
      </c>
      <c r="K18" s="35" t="str">
        <f t="shared" si="4"/>
        <v>V</v>
      </c>
      <c r="L18" s="473" t="str">
        <f t="shared" si="5"/>
        <v>PASSED</v>
      </c>
      <c r="M18" s="473"/>
      <c r="N18" s="34">
        <f t="shared" si="16"/>
        <v>54.005781819206213</v>
      </c>
      <c r="O18" s="35" t="str">
        <f t="shared" si="7"/>
        <v>V</v>
      </c>
      <c r="P18" s="34">
        <f t="shared" si="17"/>
        <v>54.408000000000001</v>
      </c>
      <c r="Q18" s="35" t="str">
        <f t="shared" si="9"/>
        <v>V</v>
      </c>
      <c r="R18" s="465" t="str">
        <f t="shared" si="10"/>
        <v>PASSED</v>
      </c>
      <c r="S18" s="465"/>
      <c r="T18" s="34">
        <f t="shared" si="18"/>
        <v>53.994218180793787</v>
      </c>
      <c r="U18" s="37" t="str">
        <f t="shared" si="12"/>
        <v>V</v>
      </c>
      <c r="V18" s="465" t="str">
        <f t="shared" si="13"/>
        <v>PASSED</v>
      </c>
      <c r="W18" s="465"/>
      <c r="X18" s="464" t="str">
        <f t="shared" si="0"/>
        <v>PASSED</v>
      </c>
      <c r="Y18" s="464"/>
    </row>
    <row r="19" spans="2:25">
      <c r="B19" s="45">
        <f>DataSheet!AM64</f>
        <v>-6</v>
      </c>
      <c r="C19" s="46" t="str">
        <f>DataSheet!P64</f>
        <v>V</v>
      </c>
      <c r="D19" s="34">
        <f>ABS((B19*0.7%)-(3*DataSheet!CK64))</f>
        <v>7.1999999999999995E-2</v>
      </c>
      <c r="E19" s="35" t="str">
        <f t="shared" si="1"/>
        <v>V</v>
      </c>
      <c r="F19" s="38">
        <f>DataSheet!DD64</f>
        <v>5.7735307510511568E-3</v>
      </c>
      <c r="G19" s="35" t="str">
        <f t="shared" si="2"/>
        <v>V</v>
      </c>
      <c r="H19" s="34">
        <f>DataSheet!L64+D19</f>
        <v>-5.9279999999999999</v>
      </c>
      <c r="I19" s="35" t="str">
        <f t="shared" si="3"/>
        <v>V</v>
      </c>
      <c r="J19" s="34">
        <f>DataSheet!L64-D19</f>
        <v>-6.0720000000000001</v>
      </c>
      <c r="K19" s="35" t="str">
        <f t="shared" si="4"/>
        <v>V</v>
      </c>
      <c r="L19" s="473" t="str">
        <f t="shared" si="5"/>
        <v>PASSED</v>
      </c>
      <c r="M19" s="473"/>
      <c r="N19" s="34">
        <f t="shared" si="16"/>
        <v>-5.9942264692489484</v>
      </c>
      <c r="O19" s="35" t="str">
        <f t="shared" si="7"/>
        <v>V</v>
      </c>
      <c r="P19" s="34">
        <f t="shared" si="17"/>
        <v>-5.9279999999999999</v>
      </c>
      <c r="Q19" s="35" t="str">
        <f t="shared" si="9"/>
        <v>V</v>
      </c>
      <c r="R19" s="465" t="str">
        <f t="shared" si="10"/>
        <v>PASSED</v>
      </c>
      <c r="S19" s="465"/>
      <c r="T19" s="34">
        <f t="shared" si="18"/>
        <v>-6.0057735307510516</v>
      </c>
      <c r="U19" s="37" t="str">
        <f t="shared" si="12"/>
        <v>V</v>
      </c>
      <c r="V19" s="465" t="str">
        <f t="shared" si="13"/>
        <v>PASSED</v>
      </c>
      <c r="W19" s="465"/>
      <c r="X19" s="464" t="str">
        <f t="shared" si="0"/>
        <v>PASSED</v>
      </c>
      <c r="Y19" s="464"/>
    </row>
    <row r="20" spans="2:25">
      <c r="B20" s="45">
        <f>DataSheet!AM65</f>
        <v>-54</v>
      </c>
      <c r="C20" s="46" t="str">
        <f>DataSheet!P65</f>
        <v>V</v>
      </c>
      <c r="D20" s="34">
        <f>ABS((B20*0.7%)-(3*DataSheet!CK65))</f>
        <v>0.40799999999999992</v>
      </c>
      <c r="E20" s="35" t="str">
        <f t="shared" si="1"/>
        <v>V</v>
      </c>
      <c r="F20" s="38">
        <f>DataSheet!DD65</f>
        <v>5.7818192062129839E-3</v>
      </c>
      <c r="G20" s="35" t="str">
        <f t="shared" si="2"/>
        <v>V</v>
      </c>
      <c r="H20" s="34">
        <f>DataSheet!L65+D20</f>
        <v>-53.591999999999999</v>
      </c>
      <c r="I20" s="35" t="str">
        <f t="shared" si="3"/>
        <v>V</v>
      </c>
      <c r="J20" s="34">
        <f>DataSheet!L65-D20</f>
        <v>-54.408000000000001</v>
      </c>
      <c r="K20" s="35" t="str">
        <f t="shared" si="4"/>
        <v>V</v>
      </c>
      <c r="L20" s="473" t="str">
        <f t="shared" si="5"/>
        <v>PASSED</v>
      </c>
      <c r="M20" s="473"/>
      <c r="N20" s="34">
        <f t="shared" si="16"/>
        <v>-53.994218180793787</v>
      </c>
      <c r="O20" s="35" t="str">
        <f t="shared" si="7"/>
        <v>V</v>
      </c>
      <c r="P20" s="34">
        <f t="shared" si="17"/>
        <v>-53.591999999999999</v>
      </c>
      <c r="Q20" s="35" t="str">
        <f t="shared" si="9"/>
        <v>V</v>
      </c>
      <c r="R20" s="465" t="str">
        <f t="shared" si="10"/>
        <v>PASSED</v>
      </c>
      <c r="S20" s="465"/>
      <c r="T20" s="34">
        <f t="shared" si="18"/>
        <v>-54.005781819206213</v>
      </c>
      <c r="U20" s="37" t="str">
        <f t="shared" si="12"/>
        <v>V</v>
      </c>
      <c r="V20" s="465" t="str">
        <f t="shared" si="13"/>
        <v>PASSED</v>
      </c>
      <c r="W20" s="465"/>
      <c r="X20" s="464" t="str">
        <f t="shared" si="0"/>
        <v>PASSED</v>
      </c>
      <c r="Y20" s="464"/>
    </row>
    <row r="21" spans="2:25">
      <c r="B21" s="43" t="e">
        <f>DataSheet!#REF!</f>
        <v>#REF!</v>
      </c>
      <c r="C21" s="44" t="e">
        <f>DataSheet!#REF!</f>
        <v>#REF!</v>
      </c>
      <c r="D21" s="34" t="e">
        <f>ABS((DataSheet!#REF!*0.7%)+(3*DataSheet!#REF!))</f>
        <v>#REF!</v>
      </c>
      <c r="E21" s="35" t="e">
        <f t="shared" si="1"/>
        <v>#REF!</v>
      </c>
      <c r="F21" s="38" t="e">
        <f>DataSheet!#REF!</f>
        <v>#REF!</v>
      </c>
      <c r="G21" s="35" t="e">
        <f t="shared" si="2"/>
        <v>#REF!</v>
      </c>
      <c r="H21" s="39" t="e">
        <f>DataSheet!#REF!+D21</f>
        <v>#REF!</v>
      </c>
      <c r="I21" s="40" t="e">
        <f t="shared" si="3"/>
        <v>#REF!</v>
      </c>
      <c r="J21" s="39" t="e">
        <f>DataSheet!#REF!-D21</f>
        <v>#REF!</v>
      </c>
      <c r="K21" s="35" t="e">
        <f t="shared" si="4"/>
        <v>#REF!</v>
      </c>
      <c r="L21" s="473" t="e">
        <f t="shared" si="5"/>
        <v>#REF!</v>
      </c>
      <c r="M21" s="473"/>
      <c r="N21" s="39" t="e">
        <f>F21+B21</f>
        <v>#REF!</v>
      </c>
      <c r="O21" s="40" t="e">
        <f t="shared" si="7"/>
        <v>#REF!</v>
      </c>
      <c r="P21" s="39" t="e">
        <f>H21</f>
        <v>#REF!</v>
      </c>
      <c r="Q21" s="40" t="e">
        <f t="shared" si="9"/>
        <v>#REF!</v>
      </c>
      <c r="R21" s="467" t="e">
        <f t="shared" si="10"/>
        <v>#REF!</v>
      </c>
      <c r="S21" s="467"/>
      <c r="T21" s="39" t="e">
        <f t="shared" si="18"/>
        <v>#REF!</v>
      </c>
      <c r="U21" s="40" t="e">
        <f t="shared" si="12"/>
        <v>#REF!</v>
      </c>
      <c r="V21" s="465" t="e">
        <f t="shared" si="13"/>
        <v>#REF!</v>
      </c>
      <c r="W21" s="465"/>
      <c r="X21" s="464" t="e">
        <f t="shared" si="0"/>
        <v>#REF!</v>
      </c>
      <c r="Y21" s="464"/>
    </row>
    <row r="22" spans="2:25">
      <c r="B22" s="43" t="e">
        <f>DataSheet!#REF!</f>
        <v>#REF!</v>
      </c>
      <c r="C22" s="44" t="e">
        <f>DataSheet!#REF!</f>
        <v>#REF!</v>
      </c>
      <c r="D22" s="34" t="e">
        <f>ABS((DataSheet!#REF!*0.7%)+(3*DataSheet!#REF!))</f>
        <v>#REF!</v>
      </c>
      <c r="E22" s="35" t="e">
        <f t="shared" si="1"/>
        <v>#REF!</v>
      </c>
      <c r="F22" s="38" t="e">
        <f>DataSheet!#REF!</f>
        <v>#REF!</v>
      </c>
      <c r="G22" s="35" t="e">
        <f t="shared" si="2"/>
        <v>#REF!</v>
      </c>
      <c r="H22" s="39" t="e">
        <f>DataSheet!#REF!+D22</f>
        <v>#REF!</v>
      </c>
      <c r="I22" s="40" t="e">
        <f t="shared" si="3"/>
        <v>#REF!</v>
      </c>
      <c r="J22" s="39" t="e">
        <f>DataSheet!#REF!-D22</f>
        <v>#REF!</v>
      </c>
      <c r="K22" s="35" t="e">
        <f t="shared" si="4"/>
        <v>#REF!</v>
      </c>
      <c r="L22" s="473" t="e">
        <f t="shared" si="5"/>
        <v>#REF!</v>
      </c>
      <c r="M22" s="473"/>
      <c r="N22" s="39" t="e">
        <f t="shared" ref="N22:N23" si="19">F22+B22</f>
        <v>#REF!</v>
      </c>
      <c r="O22" s="40" t="e">
        <f t="shared" si="7"/>
        <v>#REF!</v>
      </c>
      <c r="P22" s="39" t="e">
        <f t="shared" ref="P22:P23" si="20">H22</f>
        <v>#REF!</v>
      </c>
      <c r="Q22" s="40" t="e">
        <f t="shared" si="9"/>
        <v>#REF!</v>
      </c>
      <c r="R22" s="467" t="e">
        <f t="shared" si="10"/>
        <v>#REF!</v>
      </c>
      <c r="S22" s="467"/>
      <c r="T22" s="39" t="e">
        <f t="shared" si="18"/>
        <v>#REF!</v>
      </c>
      <c r="U22" s="40" t="e">
        <f t="shared" si="12"/>
        <v>#REF!</v>
      </c>
      <c r="V22" s="465" t="e">
        <f t="shared" si="13"/>
        <v>#REF!</v>
      </c>
      <c r="W22" s="465"/>
      <c r="X22" s="464" t="e">
        <f t="shared" si="0"/>
        <v>#REF!</v>
      </c>
      <c r="Y22" s="464"/>
    </row>
    <row r="23" spans="2:25">
      <c r="B23" s="43" t="e">
        <f>DataSheet!#REF!</f>
        <v>#REF!</v>
      </c>
      <c r="C23" s="44" t="e">
        <f>DataSheet!#REF!</f>
        <v>#REF!</v>
      </c>
      <c r="D23" s="34" t="e">
        <f>ABS((DataSheet!#REF!*0.7%)-(3*DataSheet!#REF!))</f>
        <v>#REF!</v>
      </c>
      <c r="E23" s="35" t="e">
        <f t="shared" si="1"/>
        <v>#REF!</v>
      </c>
      <c r="F23" s="38" t="e">
        <f>DataSheet!#REF!</f>
        <v>#REF!</v>
      </c>
      <c r="G23" s="35" t="e">
        <f t="shared" si="2"/>
        <v>#REF!</v>
      </c>
      <c r="H23" s="39" t="e">
        <f>DataSheet!#REF!+D23</f>
        <v>#REF!</v>
      </c>
      <c r="I23" s="40" t="e">
        <f t="shared" si="3"/>
        <v>#REF!</v>
      </c>
      <c r="J23" s="39" t="e">
        <f>DataSheet!#REF!-D23</f>
        <v>#REF!</v>
      </c>
      <c r="K23" s="35" t="e">
        <f t="shared" si="4"/>
        <v>#REF!</v>
      </c>
      <c r="L23" s="473" t="e">
        <f t="shared" si="5"/>
        <v>#REF!</v>
      </c>
      <c r="M23" s="473"/>
      <c r="N23" s="39" t="e">
        <f t="shared" si="19"/>
        <v>#REF!</v>
      </c>
      <c r="O23" s="40" t="e">
        <f t="shared" si="7"/>
        <v>#REF!</v>
      </c>
      <c r="P23" s="39" t="e">
        <f t="shared" si="20"/>
        <v>#REF!</v>
      </c>
      <c r="Q23" s="40" t="e">
        <f t="shared" si="9"/>
        <v>#REF!</v>
      </c>
      <c r="R23" s="467" t="e">
        <f t="shared" si="10"/>
        <v>#REF!</v>
      </c>
      <c r="S23" s="467"/>
      <c r="T23" s="39" t="e">
        <f t="shared" si="18"/>
        <v>#REF!</v>
      </c>
      <c r="U23" s="40" t="e">
        <f t="shared" si="12"/>
        <v>#REF!</v>
      </c>
      <c r="V23" s="465" t="e">
        <f t="shared" si="13"/>
        <v>#REF!</v>
      </c>
      <c r="W23" s="465"/>
      <c r="X23" s="464" t="e">
        <f t="shared" si="0"/>
        <v>#REF!</v>
      </c>
      <c r="Y23" s="464"/>
    </row>
    <row r="24" spans="2:25">
      <c r="B24" s="49">
        <f>DataSheet!AM66</f>
        <v>60</v>
      </c>
      <c r="C24" s="50" t="str">
        <f>DataSheet!P66</f>
        <v>V</v>
      </c>
      <c r="D24" s="34">
        <f>ABS((DataSheet!AM66*0.7%)+(3*DataSheet!CK66))</f>
        <v>0.72</v>
      </c>
      <c r="E24" s="35" t="str">
        <f t="shared" si="1"/>
        <v>V</v>
      </c>
      <c r="F24" s="38">
        <f>DataSheet!DD66</f>
        <v>5.7735859163377257E-2</v>
      </c>
      <c r="G24" s="35" t="str">
        <f t="shared" si="2"/>
        <v>V</v>
      </c>
      <c r="H24" s="41">
        <f>DataSheet!L66+D24</f>
        <v>60.72</v>
      </c>
      <c r="I24" s="42" t="str">
        <f t="shared" si="3"/>
        <v>V</v>
      </c>
      <c r="J24" s="41">
        <f>DataSheet!L66-D24</f>
        <v>59.28</v>
      </c>
      <c r="K24" s="35" t="str">
        <f t="shared" si="4"/>
        <v>V</v>
      </c>
      <c r="L24" s="473" t="str">
        <f t="shared" si="5"/>
        <v>PASSED</v>
      </c>
      <c r="M24" s="473"/>
      <c r="N24" s="41">
        <f>F24+B24</f>
        <v>60.05773585916338</v>
      </c>
      <c r="O24" s="42" t="str">
        <f t="shared" si="7"/>
        <v>V</v>
      </c>
      <c r="P24" s="41">
        <f>H24</f>
        <v>60.72</v>
      </c>
      <c r="Q24" s="42" t="str">
        <f t="shared" si="9"/>
        <v>V</v>
      </c>
      <c r="R24" s="468" t="str">
        <f t="shared" si="10"/>
        <v>PASSED</v>
      </c>
      <c r="S24" s="468"/>
      <c r="T24" s="41">
        <f t="shared" si="18"/>
        <v>59.94226414083662</v>
      </c>
      <c r="U24" s="37" t="str">
        <f t="shared" si="12"/>
        <v>V</v>
      </c>
      <c r="V24" s="465" t="str">
        <f t="shared" si="13"/>
        <v>PASSED</v>
      </c>
      <c r="W24" s="465"/>
      <c r="X24" s="464" t="str">
        <f t="shared" si="0"/>
        <v>PASSED</v>
      </c>
      <c r="Y24" s="464"/>
    </row>
    <row r="25" spans="2:25">
      <c r="B25" s="49">
        <f>DataSheet!AM67</f>
        <v>540</v>
      </c>
      <c r="C25" s="50" t="str">
        <f>DataSheet!P67</f>
        <v>V</v>
      </c>
      <c r="D25" s="34">
        <f>ABS((DataSheet!AM67*0.7%)+(3*DataSheet!CK67))</f>
        <v>4.08</v>
      </c>
      <c r="E25" s="35" t="str">
        <f t="shared" si="1"/>
        <v>V</v>
      </c>
      <c r="F25" s="38">
        <f>DataSheet!DD67</f>
        <v>5.7829260183174865E-2</v>
      </c>
      <c r="G25" s="35" t="str">
        <f t="shared" si="2"/>
        <v>V</v>
      </c>
      <c r="H25" s="41">
        <f>DataSheet!L67+D25</f>
        <v>544.08000000000004</v>
      </c>
      <c r="I25" s="42" t="str">
        <f t="shared" si="3"/>
        <v>V</v>
      </c>
      <c r="J25" s="41">
        <f>DataSheet!L67-D25</f>
        <v>535.91999999999996</v>
      </c>
      <c r="K25" s="35" t="str">
        <f t="shared" si="4"/>
        <v>V</v>
      </c>
      <c r="L25" s="473" t="str">
        <f t="shared" si="5"/>
        <v>PASSED</v>
      </c>
      <c r="M25" s="473"/>
      <c r="N25" s="41">
        <f t="shared" ref="N25:N26" si="21">F25+B25</f>
        <v>540.05782926018321</v>
      </c>
      <c r="O25" s="42" t="str">
        <f t="shared" si="7"/>
        <v>V</v>
      </c>
      <c r="P25" s="41">
        <f t="shared" ref="P25:P26" si="22">H25</f>
        <v>544.08000000000004</v>
      </c>
      <c r="Q25" s="42" t="str">
        <f t="shared" si="9"/>
        <v>V</v>
      </c>
      <c r="R25" s="468" t="str">
        <f t="shared" si="10"/>
        <v>PASSED</v>
      </c>
      <c r="S25" s="468"/>
      <c r="T25" s="41">
        <f t="shared" si="18"/>
        <v>539.94217073981679</v>
      </c>
      <c r="U25" s="37" t="str">
        <f t="shared" si="12"/>
        <v>V</v>
      </c>
      <c r="V25" s="465" t="str">
        <f t="shared" si="13"/>
        <v>PASSED</v>
      </c>
      <c r="W25" s="465"/>
      <c r="X25" s="464" t="str">
        <f t="shared" si="0"/>
        <v>PASSED</v>
      </c>
      <c r="Y25" s="464"/>
    </row>
    <row r="26" spans="2:25">
      <c r="B26" s="49">
        <f>DataSheet!AM68</f>
        <v>-540</v>
      </c>
      <c r="C26" s="50" t="str">
        <f>DataSheet!P68</f>
        <v>V</v>
      </c>
      <c r="D26" s="34">
        <f>ABS((DataSheet!AM68*0.7%)-(3*DataSheet!CK68))</f>
        <v>4.08</v>
      </c>
      <c r="E26" s="35" t="str">
        <f t="shared" si="1"/>
        <v>V</v>
      </c>
      <c r="F26" s="38">
        <f>DataSheet!DD68</f>
        <v>5.7829260183174865E-2</v>
      </c>
      <c r="G26" s="35" t="str">
        <f t="shared" si="2"/>
        <v>V</v>
      </c>
      <c r="H26" s="41">
        <f>DataSheet!L68+D26</f>
        <v>-535.91999999999996</v>
      </c>
      <c r="I26" s="42" t="str">
        <f t="shared" si="3"/>
        <v>V</v>
      </c>
      <c r="J26" s="41">
        <f>DataSheet!L68-D26</f>
        <v>-544.08000000000004</v>
      </c>
      <c r="K26" s="35" t="str">
        <f t="shared" si="4"/>
        <v>V</v>
      </c>
      <c r="L26" s="473" t="str">
        <f t="shared" si="5"/>
        <v>PASSED</v>
      </c>
      <c r="M26" s="473"/>
      <c r="N26" s="41">
        <f t="shared" si="21"/>
        <v>-539.94217073981679</v>
      </c>
      <c r="O26" s="42" t="str">
        <f t="shared" si="7"/>
        <v>V</v>
      </c>
      <c r="P26" s="41">
        <f t="shared" si="22"/>
        <v>-535.91999999999996</v>
      </c>
      <c r="Q26" s="42" t="str">
        <f t="shared" si="9"/>
        <v>V</v>
      </c>
      <c r="R26" s="468" t="str">
        <f t="shared" si="10"/>
        <v>PASSED</v>
      </c>
      <c r="S26" s="468"/>
      <c r="T26" s="41">
        <f t="shared" si="18"/>
        <v>-540.05782926018321</v>
      </c>
      <c r="U26" s="37" t="str">
        <f t="shared" si="12"/>
        <v>V</v>
      </c>
      <c r="V26" s="465" t="str">
        <f t="shared" si="13"/>
        <v>PASSED</v>
      </c>
      <c r="W26" s="465"/>
      <c r="X26" s="464" t="str">
        <f t="shared" si="0"/>
        <v>PASSED</v>
      </c>
      <c r="Y26" s="464"/>
    </row>
    <row r="27" spans="2:25">
      <c r="B27" s="463" t="str">
        <f>DataSheet!F73</f>
        <v>AC Voltage Test</v>
      </c>
      <c r="C27" s="463"/>
      <c r="D27" s="463"/>
      <c r="E27" s="463"/>
      <c r="F27" s="463"/>
      <c r="G27" s="463"/>
      <c r="H27" s="463"/>
      <c r="I27" s="463"/>
      <c r="J27" s="463"/>
      <c r="K27" s="463"/>
      <c r="L27" s="463"/>
      <c r="M27" s="463"/>
      <c r="N27" s="463"/>
      <c r="O27" s="463"/>
      <c r="P27" s="463"/>
      <c r="Q27" s="463"/>
      <c r="R27" s="463"/>
      <c r="S27" s="463"/>
      <c r="T27" s="463"/>
      <c r="U27" s="463"/>
      <c r="V27" s="463"/>
      <c r="W27" s="463"/>
      <c r="X27" s="454" t="s">
        <v>119</v>
      </c>
      <c r="Y27" s="454"/>
    </row>
    <row r="28" spans="2:25">
      <c r="B28" s="463"/>
      <c r="C28" s="463"/>
      <c r="D28" s="463"/>
      <c r="E28" s="463"/>
      <c r="F28" s="463"/>
      <c r="G28" s="463"/>
      <c r="H28" s="463"/>
      <c r="I28" s="463"/>
      <c r="J28" s="463"/>
      <c r="K28" s="463"/>
      <c r="L28" s="463"/>
      <c r="M28" s="463"/>
      <c r="N28" s="463"/>
      <c r="O28" s="463"/>
      <c r="P28" s="463"/>
      <c r="Q28" s="463"/>
      <c r="R28" s="463"/>
      <c r="S28" s="463"/>
      <c r="T28" s="463"/>
      <c r="U28" s="463"/>
      <c r="V28" s="463"/>
      <c r="W28" s="463"/>
      <c r="X28" s="454"/>
      <c r="Y28" s="454"/>
    </row>
    <row r="29" spans="2:25">
      <c r="B29" s="454" t="s">
        <v>73</v>
      </c>
      <c r="C29" s="454"/>
      <c r="D29" s="463" t="s">
        <v>75</v>
      </c>
      <c r="E29" s="463"/>
      <c r="F29" s="457" t="s">
        <v>114</v>
      </c>
      <c r="G29" s="458"/>
      <c r="H29" s="463" t="s">
        <v>76</v>
      </c>
      <c r="I29" s="463"/>
      <c r="J29" s="463" t="s">
        <v>77</v>
      </c>
      <c r="K29" s="463"/>
      <c r="L29" s="463" t="s">
        <v>78</v>
      </c>
      <c r="M29" s="463"/>
      <c r="N29" s="466" t="s">
        <v>120</v>
      </c>
      <c r="O29" s="463"/>
      <c r="P29" s="463" t="s">
        <v>76</v>
      </c>
      <c r="Q29" s="463"/>
      <c r="R29" s="463" t="s">
        <v>78</v>
      </c>
      <c r="S29" s="463"/>
      <c r="T29" s="466" t="s">
        <v>121</v>
      </c>
      <c r="U29" s="463"/>
      <c r="V29" s="463" t="s">
        <v>78</v>
      </c>
      <c r="W29" s="463"/>
      <c r="X29" s="454"/>
      <c r="Y29" s="454"/>
    </row>
    <row r="30" spans="2:25">
      <c r="B30" s="454"/>
      <c r="C30" s="454"/>
      <c r="D30" s="463"/>
      <c r="E30" s="463"/>
      <c r="F30" s="461"/>
      <c r="G30" s="462"/>
      <c r="H30" s="463"/>
      <c r="I30" s="463"/>
      <c r="J30" s="463"/>
      <c r="K30" s="463"/>
      <c r="L30" s="463"/>
      <c r="M30" s="463"/>
      <c r="N30" s="463"/>
      <c r="O30" s="463"/>
      <c r="P30" s="463"/>
      <c r="Q30" s="463"/>
      <c r="R30" s="463"/>
      <c r="S30" s="463"/>
      <c r="T30" s="463"/>
      <c r="U30" s="463"/>
      <c r="V30" s="463"/>
      <c r="W30" s="463"/>
      <c r="X30" s="454"/>
      <c r="Y30" s="454"/>
    </row>
    <row r="31" spans="2:25">
      <c r="B31" s="47">
        <f>DataSheet!AM80</f>
        <v>0.6</v>
      </c>
      <c r="C31" s="48" t="str">
        <f>DataSheet!P80</f>
        <v>V</v>
      </c>
      <c r="D31" s="36">
        <f>ABS((DataSheet!AM80*1.6%)+(9*DataSheet!CK80))</f>
        <v>1.8599999999999998E-2</v>
      </c>
      <c r="E31" s="37" t="str">
        <f>C31</f>
        <v>V</v>
      </c>
      <c r="F31" s="38">
        <f>DataSheet!DD80</f>
        <v>1.0776981642989531E-3</v>
      </c>
      <c r="G31" s="35" t="str">
        <f t="shared" ref="G31" si="23">E31</f>
        <v>V</v>
      </c>
      <c r="H31" s="475">
        <f>DataSheet!L80+D31</f>
        <v>0.61860000000000004</v>
      </c>
      <c r="I31" s="475"/>
      <c r="J31" s="475">
        <f>DataSheet!L80-D31</f>
        <v>0.58140000000000014</v>
      </c>
      <c r="K31" s="475"/>
      <c r="L31" s="473" t="str">
        <f t="shared" ref="L31:L48" si="24">IF(AND(B31&lt;=H31,B31&gt;=J31),"PASSED","FAILED")</f>
        <v>PASSED</v>
      </c>
      <c r="M31" s="473"/>
      <c r="N31" s="36">
        <f>DataSheet!DD80+B31</f>
        <v>0.6010776981642989</v>
      </c>
      <c r="O31" s="35" t="str">
        <f t="shared" ref="O31:O48" si="25">G31</f>
        <v>V</v>
      </c>
      <c r="P31" s="36">
        <f>H31</f>
        <v>0.61860000000000004</v>
      </c>
      <c r="Q31" s="37" t="str">
        <f t="shared" ref="Q31:Q48" si="26">O31</f>
        <v>V</v>
      </c>
      <c r="R31" s="465" t="str">
        <f t="shared" ref="R31:R48" si="27">IF(AND(N31&lt;=H31,N31&gt;=J31),"PASSED","FAILED")</f>
        <v>PASSED</v>
      </c>
      <c r="S31" s="465"/>
      <c r="T31" s="36">
        <f>-DataSheet!DD80+B31</f>
        <v>0.59892230183570105</v>
      </c>
      <c r="U31" s="37" t="str">
        <f t="shared" ref="U31:U48" si="28">O31</f>
        <v>V</v>
      </c>
      <c r="V31" s="465" t="str">
        <f t="shared" ref="V31:V48" si="29">IF(AND(T31&lt;=H31,T31&gt;=J31),"PASSED","FAILED")</f>
        <v>PASSED</v>
      </c>
      <c r="W31" s="465"/>
      <c r="X31" s="464" t="str">
        <f t="shared" ref="X31:X48" si="30">IF(AND(L31="PASSED",R31="PASSED",V31="PASSED"),"PASSED",IF(L31="FAILED","FAILED","UNDETERMINED"))</f>
        <v>PASSED</v>
      </c>
      <c r="Y31" s="464"/>
    </row>
    <row r="32" spans="2:25">
      <c r="B32" s="47">
        <f>DataSheet!AM81</f>
        <v>0.6</v>
      </c>
      <c r="C32" s="48" t="str">
        <f>DataSheet!P81</f>
        <v>V</v>
      </c>
      <c r="D32" s="36">
        <f>ABS((DataSheet!AM81*1.6%)+(9*DataSheet!CK81))</f>
        <v>1.8599999999999998E-2</v>
      </c>
      <c r="E32" s="37" t="str">
        <f t="shared" ref="E32:E48" si="31">C32</f>
        <v>V</v>
      </c>
      <c r="F32" s="38">
        <f>DataSheet!DD81</f>
        <v>1.0776981642989531E-3</v>
      </c>
      <c r="G32" s="35" t="str">
        <f t="shared" ref="G32:G48" si="32">E32</f>
        <v>V</v>
      </c>
      <c r="H32" s="475">
        <f>DataSheet!L81+D32</f>
        <v>0.61860000000000004</v>
      </c>
      <c r="I32" s="475"/>
      <c r="J32" s="475">
        <f>DataSheet!L81-D32</f>
        <v>0.58140000000000014</v>
      </c>
      <c r="K32" s="475"/>
      <c r="L32" s="473" t="str">
        <f t="shared" si="24"/>
        <v>PASSED</v>
      </c>
      <c r="M32" s="473"/>
      <c r="N32" s="36">
        <f>DataSheet!DD81+B32</f>
        <v>0.6010776981642989</v>
      </c>
      <c r="O32" s="35" t="str">
        <f t="shared" si="25"/>
        <v>V</v>
      </c>
      <c r="P32" s="36">
        <f>H32</f>
        <v>0.61860000000000004</v>
      </c>
      <c r="Q32" s="37" t="str">
        <f t="shared" si="26"/>
        <v>V</v>
      </c>
      <c r="R32" s="465" t="str">
        <f t="shared" si="27"/>
        <v>PASSED</v>
      </c>
      <c r="S32" s="465"/>
      <c r="T32" s="36">
        <f>-DataSheet!DD81+B32</f>
        <v>0.59892230183570105</v>
      </c>
      <c r="U32" s="37" t="str">
        <f t="shared" si="28"/>
        <v>V</v>
      </c>
      <c r="V32" s="465" t="str">
        <f t="shared" si="29"/>
        <v>PASSED</v>
      </c>
      <c r="W32" s="465"/>
      <c r="X32" s="464" t="str">
        <f t="shared" si="30"/>
        <v>PASSED</v>
      </c>
      <c r="Y32" s="464"/>
    </row>
    <row r="33" spans="2:25">
      <c r="B33" s="47">
        <f>DataSheet!AM82</f>
        <v>5.4000000000000012</v>
      </c>
      <c r="C33" s="48" t="str">
        <f>DataSheet!P82</f>
        <v>V</v>
      </c>
      <c r="D33" s="36">
        <f>ABS((DataSheet!AM82*1.6%)+(9*DataSheet!CK82))</f>
        <v>9.5400000000000013E-2</v>
      </c>
      <c r="E33" s="37" t="str">
        <f t="shared" si="31"/>
        <v>V</v>
      </c>
      <c r="F33" s="38">
        <f>DataSheet!DD82</f>
        <v>7.3227954589305125E-3</v>
      </c>
      <c r="G33" s="35" t="str">
        <f t="shared" si="32"/>
        <v>V</v>
      </c>
      <c r="H33" s="475">
        <f>DataSheet!L82+D33</f>
        <v>5.4954000000000001</v>
      </c>
      <c r="I33" s="475"/>
      <c r="J33" s="475">
        <f>DataSheet!L82-D33</f>
        <v>5.3046000000000006</v>
      </c>
      <c r="K33" s="475"/>
      <c r="L33" s="473" t="str">
        <f t="shared" si="24"/>
        <v>PASSED</v>
      </c>
      <c r="M33" s="473"/>
      <c r="N33" s="36">
        <f>DataSheet!DD82+B33</f>
        <v>5.4073227954589314</v>
      </c>
      <c r="O33" s="35" t="str">
        <f t="shared" si="25"/>
        <v>V</v>
      </c>
      <c r="P33" s="36">
        <f>H33</f>
        <v>5.4954000000000001</v>
      </c>
      <c r="Q33" s="37" t="str">
        <f t="shared" si="26"/>
        <v>V</v>
      </c>
      <c r="R33" s="465" t="str">
        <f t="shared" si="27"/>
        <v>PASSED</v>
      </c>
      <c r="S33" s="465"/>
      <c r="T33" s="36">
        <f>-DataSheet!DD82+B33</f>
        <v>5.3926772045410711</v>
      </c>
      <c r="U33" s="37" t="str">
        <f t="shared" si="28"/>
        <v>V</v>
      </c>
      <c r="V33" s="465" t="str">
        <f t="shared" si="29"/>
        <v>PASSED</v>
      </c>
      <c r="W33" s="465"/>
      <c r="X33" s="464" t="str">
        <f t="shared" si="30"/>
        <v>PASSED</v>
      </c>
      <c r="Y33" s="464"/>
    </row>
    <row r="34" spans="2:25">
      <c r="B34" s="47">
        <f>DataSheet!AM83</f>
        <v>5.4000000000000012</v>
      </c>
      <c r="C34" s="48" t="str">
        <f>DataSheet!P83</f>
        <v>V</v>
      </c>
      <c r="D34" s="36">
        <f>ABS((DataSheet!AM83*1.6%)+(9*DataSheet!CK83))</f>
        <v>9.5400000000000013E-2</v>
      </c>
      <c r="E34" s="37" t="str">
        <f t="shared" si="31"/>
        <v>V</v>
      </c>
      <c r="F34" s="38">
        <f>DataSheet!DD83</f>
        <v>7.3227954589305125E-3</v>
      </c>
      <c r="G34" s="35" t="str">
        <f t="shared" si="32"/>
        <v>V</v>
      </c>
      <c r="H34" s="475">
        <f>DataSheet!L83+D34</f>
        <v>5.4954000000000001</v>
      </c>
      <c r="I34" s="475"/>
      <c r="J34" s="475">
        <f>DataSheet!L83-D34</f>
        <v>5.3046000000000006</v>
      </c>
      <c r="K34" s="475"/>
      <c r="L34" s="473" t="str">
        <f t="shared" si="24"/>
        <v>PASSED</v>
      </c>
      <c r="M34" s="473"/>
      <c r="N34" s="36">
        <f>DataSheet!DD83+B34</f>
        <v>5.4073227954589314</v>
      </c>
      <c r="O34" s="35" t="str">
        <f t="shared" si="25"/>
        <v>V</v>
      </c>
      <c r="P34" s="36">
        <f>H34</f>
        <v>5.4954000000000001</v>
      </c>
      <c r="Q34" s="37" t="str">
        <f t="shared" si="26"/>
        <v>V</v>
      </c>
      <c r="R34" s="465" t="str">
        <f t="shared" si="27"/>
        <v>PASSED</v>
      </c>
      <c r="S34" s="465"/>
      <c r="T34" s="36">
        <f>-DataSheet!DD83+B34</f>
        <v>5.3926772045410711</v>
      </c>
      <c r="U34" s="37" t="str">
        <f t="shared" si="28"/>
        <v>V</v>
      </c>
      <c r="V34" s="465" t="str">
        <f t="shared" si="29"/>
        <v>PASSED</v>
      </c>
      <c r="W34" s="465"/>
      <c r="X34" s="464" t="str">
        <f t="shared" si="30"/>
        <v>PASSED</v>
      </c>
      <c r="Y34" s="464"/>
    </row>
    <row r="35" spans="2:25">
      <c r="B35" s="45">
        <f>DataSheet!AM84</f>
        <v>6</v>
      </c>
      <c r="C35" s="48" t="str">
        <f>DataSheet!P84</f>
        <v>V</v>
      </c>
      <c r="D35" s="34">
        <f>ABS((DataSheet!AM84*1.6%)+(9*DataSheet!CK84))</f>
        <v>0.186</v>
      </c>
      <c r="E35" s="35" t="str">
        <f t="shared" si="31"/>
        <v>V</v>
      </c>
      <c r="F35" s="38">
        <f>DataSheet!DD84</f>
        <v>9.3071656981775792E-3</v>
      </c>
      <c r="G35" s="35" t="str">
        <f t="shared" si="32"/>
        <v>V</v>
      </c>
      <c r="H35" s="474">
        <f>DataSheet!L84+D35</f>
        <v>6.1859999999999999</v>
      </c>
      <c r="I35" s="474"/>
      <c r="J35" s="474">
        <f>DataSheet!L84-D35</f>
        <v>5.8140000000000001</v>
      </c>
      <c r="K35" s="474"/>
      <c r="L35" s="474" t="str">
        <f t="shared" si="24"/>
        <v>PASSED</v>
      </c>
      <c r="M35" s="474"/>
      <c r="N35" s="34">
        <f>DataSheet!DD84+B35</f>
        <v>6.0093071656981776</v>
      </c>
      <c r="O35" s="35" t="str">
        <f t="shared" si="25"/>
        <v>V</v>
      </c>
      <c r="P35" s="34">
        <f t="shared" ref="P35:P48" si="33">H35</f>
        <v>6.1859999999999999</v>
      </c>
      <c r="Q35" s="35" t="str">
        <f t="shared" si="26"/>
        <v>V</v>
      </c>
      <c r="R35" s="469" t="str">
        <f t="shared" si="27"/>
        <v>PASSED</v>
      </c>
      <c r="S35" s="469"/>
      <c r="T35" s="34">
        <f t="shared" ref="T35:T48" si="34">-F35+B35</f>
        <v>5.9906928343018224</v>
      </c>
      <c r="U35" s="37" t="str">
        <f t="shared" si="28"/>
        <v>V</v>
      </c>
      <c r="V35" s="465" t="str">
        <f t="shared" si="29"/>
        <v>PASSED</v>
      </c>
      <c r="W35" s="465"/>
      <c r="X35" s="464" t="str">
        <f t="shared" si="30"/>
        <v>PASSED</v>
      </c>
      <c r="Y35" s="464"/>
    </row>
    <row r="36" spans="2:25">
      <c r="B36" s="45">
        <f>DataSheet!AM85</f>
        <v>6</v>
      </c>
      <c r="C36" s="48" t="str">
        <f>DataSheet!P85</f>
        <v>V</v>
      </c>
      <c r="D36" s="34">
        <f>ABS((DataSheet!AM85*1.6%)+(9*DataSheet!CK85))</f>
        <v>0.186</v>
      </c>
      <c r="E36" s="35" t="str">
        <f t="shared" si="31"/>
        <v>V</v>
      </c>
      <c r="F36" s="38">
        <f>DataSheet!DD85</f>
        <v>9.3071656981775792E-3</v>
      </c>
      <c r="G36" s="35" t="str">
        <f t="shared" si="32"/>
        <v>V</v>
      </c>
      <c r="H36" s="474">
        <f>DataSheet!L85+D36</f>
        <v>6.1859999999999999</v>
      </c>
      <c r="I36" s="474"/>
      <c r="J36" s="474">
        <f>DataSheet!L85-D36</f>
        <v>5.8140000000000001</v>
      </c>
      <c r="K36" s="474"/>
      <c r="L36" s="474" t="str">
        <f t="shared" si="24"/>
        <v>PASSED</v>
      </c>
      <c r="M36" s="474"/>
      <c r="N36" s="34">
        <f>DataSheet!DD85+B36</f>
        <v>6.0093071656981776</v>
      </c>
      <c r="O36" s="35" t="str">
        <f t="shared" si="25"/>
        <v>V</v>
      </c>
      <c r="P36" s="34">
        <f t="shared" si="33"/>
        <v>6.1859999999999999</v>
      </c>
      <c r="Q36" s="35" t="str">
        <f t="shared" si="26"/>
        <v>V</v>
      </c>
      <c r="R36" s="469" t="str">
        <f t="shared" si="27"/>
        <v>PASSED</v>
      </c>
      <c r="S36" s="469"/>
      <c r="T36" s="34">
        <f t="shared" si="34"/>
        <v>5.9906928343018224</v>
      </c>
      <c r="U36" s="37" t="str">
        <f t="shared" si="28"/>
        <v>V</v>
      </c>
      <c r="V36" s="465" t="str">
        <f t="shared" si="29"/>
        <v>PASSED</v>
      </c>
      <c r="W36" s="465"/>
      <c r="X36" s="464" t="str">
        <f t="shared" si="30"/>
        <v>PASSED</v>
      </c>
      <c r="Y36" s="464"/>
    </row>
    <row r="37" spans="2:25">
      <c r="B37" s="45">
        <f>DataSheet!AM86</f>
        <v>30</v>
      </c>
      <c r="C37" s="46" t="str">
        <f>DataSheet!P86</f>
        <v>V</v>
      </c>
      <c r="D37" s="34">
        <f>ABS((DataSheet!AM86*1.6%)+(9*DataSheet!CK86))</f>
        <v>0.56999999999999995</v>
      </c>
      <c r="E37" s="35" t="str">
        <f t="shared" si="31"/>
        <v>V</v>
      </c>
      <c r="F37" s="38">
        <f>DataSheet!DD86</f>
        <v>9.3071656981775792E-3</v>
      </c>
      <c r="G37" s="35" t="str">
        <f t="shared" si="32"/>
        <v>V</v>
      </c>
      <c r="H37" s="474">
        <f>DataSheet!L86+D37</f>
        <v>30.57</v>
      </c>
      <c r="I37" s="474"/>
      <c r="J37" s="474">
        <f>DataSheet!L86-D37</f>
        <v>29.43</v>
      </c>
      <c r="K37" s="474"/>
      <c r="L37" s="474" t="str">
        <f t="shared" si="24"/>
        <v>PASSED</v>
      </c>
      <c r="M37" s="474"/>
      <c r="N37" s="34">
        <f>DataSheet!DD86+B37</f>
        <v>30.009307165698178</v>
      </c>
      <c r="O37" s="35" t="str">
        <f t="shared" si="25"/>
        <v>V</v>
      </c>
      <c r="P37" s="34">
        <f t="shared" si="33"/>
        <v>30.57</v>
      </c>
      <c r="Q37" s="35" t="str">
        <f t="shared" si="26"/>
        <v>V</v>
      </c>
      <c r="R37" s="469" t="str">
        <f t="shared" si="27"/>
        <v>PASSED</v>
      </c>
      <c r="S37" s="469"/>
      <c r="T37" s="34">
        <f t="shared" si="34"/>
        <v>29.990692834301822</v>
      </c>
      <c r="U37" s="37" t="str">
        <f t="shared" si="28"/>
        <v>V</v>
      </c>
      <c r="V37" s="465" t="str">
        <f t="shared" si="29"/>
        <v>PASSED</v>
      </c>
      <c r="W37" s="465"/>
      <c r="X37" s="464" t="str">
        <f t="shared" si="30"/>
        <v>PASSED</v>
      </c>
      <c r="Y37" s="464"/>
    </row>
    <row r="38" spans="2:25">
      <c r="B38" s="45">
        <f>DataSheet!AM87</f>
        <v>30</v>
      </c>
      <c r="C38" s="46" t="str">
        <f>DataSheet!P87</f>
        <v>V</v>
      </c>
      <c r="D38" s="34">
        <f>ABS((DataSheet!AM87*1.6%)+(9*DataSheet!CK87))</f>
        <v>0.56999999999999995</v>
      </c>
      <c r="E38" s="35" t="str">
        <f t="shared" si="31"/>
        <v>V</v>
      </c>
      <c r="F38" s="38">
        <f>DataSheet!DD87</f>
        <v>9.3071656981775792E-3</v>
      </c>
      <c r="G38" s="35" t="str">
        <f t="shared" si="32"/>
        <v>V</v>
      </c>
      <c r="H38" s="474">
        <f>DataSheet!L87+D38</f>
        <v>30.57</v>
      </c>
      <c r="I38" s="474"/>
      <c r="J38" s="474">
        <f>DataSheet!L87-D38</f>
        <v>29.43</v>
      </c>
      <c r="K38" s="474"/>
      <c r="L38" s="474" t="str">
        <f t="shared" si="24"/>
        <v>PASSED</v>
      </c>
      <c r="M38" s="474"/>
      <c r="N38" s="34">
        <f>DataSheet!DD87+B38</f>
        <v>30.009307165698178</v>
      </c>
      <c r="O38" s="35" t="str">
        <f t="shared" si="25"/>
        <v>V</v>
      </c>
      <c r="P38" s="34">
        <f t="shared" si="33"/>
        <v>30.57</v>
      </c>
      <c r="Q38" s="35" t="str">
        <f t="shared" si="26"/>
        <v>V</v>
      </c>
      <c r="R38" s="469" t="str">
        <f t="shared" si="27"/>
        <v>PASSED</v>
      </c>
      <c r="S38" s="469"/>
      <c r="T38" s="34">
        <f t="shared" si="34"/>
        <v>29.990692834301822</v>
      </c>
      <c r="U38" s="37" t="str">
        <f t="shared" si="28"/>
        <v>V</v>
      </c>
      <c r="V38" s="465" t="str">
        <f t="shared" si="29"/>
        <v>PASSED</v>
      </c>
      <c r="W38" s="465"/>
      <c r="X38" s="464" t="str">
        <f t="shared" si="30"/>
        <v>PASSED</v>
      </c>
      <c r="Y38" s="464"/>
    </row>
    <row r="39" spans="2:25">
      <c r="B39" s="45">
        <f>DataSheet!AM88</f>
        <v>54</v>
      </c>
      <c r="C39" s="46" t="str">
        <f>DataSheet!P88</f>
        <v>V</v>
      </c>
      <c r="D39" s="34">
        <f>ABS((DataSheet!AM88*1.6%)+(9*DataSheet!CK88))</f>
        <v>0.95399999999999996</v>
      </c>
      <c r="E39" s="35" t="str">
        <f t="shared" si="31"/>
        <v>V</v>
      </c>
      <c r="F39" s="38">
        <f>DataSheet!DD88</f>
        <v>7.123435500749152E-2</v>
      </c>
      <c r="G39" s="35" t="str">
        <f t="shared" si="32"/>
        <v>V</v>
      </c>
      <c r="H39" s="474">
        <f>DataSheet!L88+D39</f>
        <v>54.954000000000001</v>
      </c>
      <c r="I39" s="474"/>
      <c r="J39" s="474">
        <f>DataSheet!L88-D39</f>
        <v>53.045999999999999</v>
      </c>
      <c r="K39" s="474"/>
      <c r="L39" s="474" t="str">
        <f t="shared" si="24"/>
        <v>PASSED</v>
      </c>
      <c r="M39" s="474"/>
      <c r="N39" s="34">
        <f>DataSheet!DD88+B39</f>
        <v>54.071234355007491</v>
      </c>
      <c r="O39" s="35" t="str">
        <f t="shared" si="25"/>
        <v>V</v>
      </c>
      <c r="P39" s="34">
        <f t="shared" si="33"/>
        <v>54.954000000000001</v>
      </c>
      <c r="Q39" s="35" t="str">
        <f t="shared" si="26"/>
        <v>V</v>
      </c>
      <c r="R39" s="469" t="str">
        <f t="shared" si="27"/>
        <v>PASSED</v>
      </c>
      <c r="S39" s="469"/>
      <c r="T39" s="34">
        <f t="shared" si="34"/>
        <v>53.928765644992509</v>
      </c>
      <c r="U39" s="37" t="str">
        <f t="shared" si="28"/>
        <v>V</v>
      </c>
      <c r="V39" s="465" t="str">
        <f t="shared" si="29"/>
        <v>PASSED</v>
      </c>
      <c r="W39" s="465"/>
      <c r="X39" s="464" t="str">
        <f t="shared" si="30"/>
        <v>PASSED</v>
      </c>
      <c r="Y39" s="464"/>
    </row>
    <row r="40" spans="2:25">
      <c r="B40" s="45">
        <f>DataSheet!AM89</f>
        <v>54</v>
      </c>
      <c r="C40" s="46" t="str">
        <f>DataSheet!P89</f>
        <v>V</v>
      </c>
      <c r="D40" s="34">
        <f>ABS((DataSheet!AM89*1.6%)+(9*DataSheet!CK89))</f>
        <v>0.95399999999999996</v>
      </c>
      <c r="E40" s="35" t="str">
        <f t="shared" si="31"/>
        <v>V</v>
      </c>
      <c r="F40" s="38">
        <f>DataSheet!DD89</f>
        <v>7.123435500749152E-2</v>
      </c>
      <c r="G40" s="35" t="str">
        <f t="shared" si="32"/>
        <v>V</v>
      </c>
      <c r="H40" s="474">
        <f>DataSheet!L89+D40</f>
        <v>54.954000000000001</v>
      </c>
      <c r="I40" s="474"/>
      <c r="J40" s="474">
        <f>DataSheet!L89-D40</f>
        <v>53.045999999999999</v>
      </c>
      <c r="K40" s="474"/>
      <c r="L40" s="474" t="str">
        <f t="shared" si="24"/>
        <v>PASSED</v>
      </c>
      <c r="M40" s="474"/>
      <c r="N40" s="34">
        <f>DataSheet!DD89+B40</f>
        <v>54.071234355007491</v>
      </c>
      <c r="O40" s="35" t="str">
        <f t="shared" si="25"/>
        <v>V</v>
      </c>
      <c r="P40" s="34">
        <f t="shared" si="33"/>
        <v>54.954000000000001</v>
      </c>
      <c r="Q40" s="35" t="str">
        <f t="shared" si="26"/>
        <v>V</v>
      </c>
      <c r="R40" s="469" t="str">
        <f t="shared" si="27"/>
        <v>PASSED</v>
      </c>
      <c r="S40" s="469"/>
      <c r="T40" s="34">
        <f t="shared" si="34"/>
        <v>53.928765644992509</v>
      </c>
      <c r="U40" s="37" t="str">
        <f t="shared" si="28"/>
        <v>V</v>
      </c>
      <c r="V40" s="465" t="str">
        <f t="shared" si="29"/>
        <v>PASSED</v>
      </c>
      <c r="W40" s="465"/>
      <c r="X40" s="464" t="str">
        <f t="shared" si="30"/>
        <v>PASSED</v>
      </c>
      <c r="Y40" s="464"/>
    </row>
    <row r="41" spans="2:25">
      <c r="B41" s="43" t="e">
        <f>DataSheet!#REF!</f>
        <v>#REF!</v>
      </c>
      <c r="C41" s="44" t="e">
        <f>DataSheet!#REF!</f>
        <v>#REF!</v>
      </c>
      <c r="D41" s="39" t="e">
        <f>ABS((DataSheet!#REF!*1.6%)+(9*DataSheet!#REF!))</f>
        <v>#REF!</v>
      </c>
      <c r="E41" s="37" t="e">
        <f t="shared" si="31"/>
        <v>#REF!</v>
      </c>
      <c r="F41" s="38" t="e">
        <f>DataSheet!#REF!</f>
        <v>#REF!</v>
      </c>
      <c r="G41" s="35" t="e">
        <f t="shared" si="32"/>
        <v>#REF!</v>
      </c>
      <c r="H41" s="472" t="e">
        <f>DataSheet!#REF!+D41</f>
        <v>#REF!</v>
      </c>
      <c r="I41" s="472"/>
      <c r="J41" s="472" t="e">
        <f>DataSheet!#REF!-D41</f>
        <v>#REF!</v>
      </c>
      <c r="K41" s="472"/>
      <c r="L41" s="472" t="e">
        <f t="shared" si="24"/>
        <v>#REF!</v>
      </c>
      <c r="M41" s="472"/>
      <c r="N41" s="39" t="e">
        <f>DataSheet!#REF!+B41</f>
        <v>#REF!</v>
      </c>
      <c r="O41" s="40" t="e">
        <f t="shared" si="25"/>
        <v>#REF!</v>
      </c>
      <c r="P41" s="39" t="e">
        <f t="shared" si="33"/>
        <v>#REF!</v>
      </c>
      <c r="Q41" s="40" t="e">
        <f t="shared" si="26"/>
        <v>#REF!</v>
      </c>
      <c r="R41" s="467" t="e">
        <f t="shared" si="27"/>
        <v>#REF!</v>
      </c>
      <c r="S41" s="467"/>
      <c r="T41" s="39" t="e">
        <f t="shared" si="34"/>
        <v>#REF!</v>
      </c>
      <c r="U41" s="40" t="e">
        <f t="shared" si="28"/>
        <v>#REF!</v>
      </c>
      <c r="V41" s="465" t="e">
        <f t="shared" si="29"/>
        <v>#REF!</v>
      </c>
      <c r="W41" s="465"/>
      <c r="X41" s="464" t="e">
        <f t="shared" si="30"/>
        <v>#REF!</v>
      </c>
      <c r="Y41" s="464"/>
    </row>
    <row r="42" spans="2:25">
      <c r="B42" s="43" t="e">
        <f>DataSheet!#REF!</f>
        <v>#REF!</v>
      </c>
      <c r="C42" s="44" t="e">
        <f>DataSheet!#REF!</f>
        <v>#REF!</v>
      </c>
      <c r="D42" s="39" t="e">
        <f>ABS((DataSheet!#REF!*1.6%)+(9*DataSheet!#REF!))</f>
        <v>#REF!</v>
      </c>
      <c r="E42" s="37" t="e">
        <f t="shared" si="31"/>
        <v>#REF!</v>
      </c>
      <c r="F42" s="38" t="e">
        <f>DataSheet!#REF!</f>
        <v>#REF!</v>
      </c>
      <c r="G42" s="35" t="e">
        <f t="shared" si="32"/>
        <v>#REF!</v>
      </c>
      <c r="H42" s="472" t="e">
        <f>DataSheet!#REF!+D42</f>
        <v>#REF!</v>
      </c>
      <c r="I42" s="472"/>
      <c r="J42" s="472" t="e">
        <f>DataSheet!#REF!-D42</f>
        <v>#REF!</v>
      </c>
      <c r="K42" s="472"/>
      <c r="L42" s="472" t="e">
        <f t="shared" si="24"/>
        <v>#REF!</v>
      </c>
      <c r="M42" s="472"/>
      <c r="N42" s="39" t="e">
        <f>DataSheet!#REF!+B42</f>
        <v>#REF!</v>
      </c>
      <c r="O42" s="40" t="e">
        <f t="shared" si="25"/>
        <v>#REF!</v>
      </c>
      <c r="P42" s="39" t="e">
        <f t="shared" si="33"/>
        <v>#REF!</v>
      </c>
      <c r="Q42" s="40" t="e">
        <f t="shared" si="26"/>
        <v>#REF!</v>
      </c>
      <c r="R42" s="467" t="e">
        <f t="shared" si="27"/>
        <v>#REF!</v>
      </c>
      <c r="S42" s="467"/>
      <c r="T42" s="39" t="e">
        <f t="shared" si="34"/>
        <v>#REF!</v>
      </c>
      <c r="U42" s="40" t="e">
        <f t="shared" si="28"/>
        <v>#REF!</v>
      </c>
      <c r="V42" s="465" t="e">
        <f t="shared" si="29"/>
        <v>#REF!</v>
      </c>
      <c r="W42" s="465"/>
      <c r="X42" s="464" t="e">
        <f t="shared" si="30"/>
        <v>#REF!</v>
      </c>
      <c r="Y42" s="464"/>
    </row>
    <row r="43" spans="2:25">
      <c r="B43" s="43" t="e">
        <f>DataSheet!#REF!</f>
        <v>#REF!</v>
      </c>
      <c r="C43" s="44" t="e">
        <f>DataSheet!#REF!</f>
        <v>#REF!</v>
      </c>
      <c r="D43" s="39" t="e">
        <f>ABS((DataSheet!#REF!*1.6%)+(9*DataSheet!#REF!))</f>
        <v>#REF!</v>
      </c>
      <c r="E43" s="37" t="e">
        <f t="shared" si="31"/>
        <v>#REF!</v>
      </c>
      <c r="F43" s="38" t="e">
        <f>DataSheet!#REF!</f>
        <v>#REF!</v>
      </c>
      <c r="G43" s="35" t="e">
        <f t="shared" si="32"/>
        <v>#REF!</v>
      </c>
      <c r="H43" s="472" t="e">
        <f>DataSheet!#REF!+D43</f>
        <v>#REF!</v>
      </c>
      <c r="I43" s="472"/>
      <c r="J43" s="472" t="e">
        <f>DataSheet!#REF!-D43</f>
        <v>#REF!</v>
      </c>
      <c r="K43" s="472"/>
      <c r="L43" s="472" t="e">
        <f t="shared" si="24"/>
        <v>#REF!</v>
      </c>
      <c r="M43" s="472"/>
      <c r="N43" s="39" t="e">
        <f>DataSheet!#REF!+B43</f>
        <v>#REF!</v>
      </c>
      <c r="O43" s="40" t="e">
        <f t="shared" si="25"/>
        <v>#REF!</v>
      </c>
      <c r="P43" s="39" t="e">
        <f t="shared" si="33"/>
        <v>#REF!</v>
      </c>
      <c r="Q43" s="40" t="e">
        <f t="shared" si="26"/>
        <v>#REF!</v>
      </c>
      <c r="R43" s="467" t="e">
        <f t="shared" si="27"/>
        <v>#REF!</v>
      </c>
      <c r="S43" s="467"/>
      <c r="T43" s="39" t="e">
        <f t="shared" si="34"/>
        <v>#REF!</v>
      </c>
      <c r="U43" s="40" t="e">
        <f t="shared" si="28"/>
        <v>#REF!</v>
      </c>
      <c r="V43" s="465" t="e">
        <f t="shared" si="29"/>
        <v>#REF!</v>
      </c>
      <c r="W43" s="465"/>
      <c r="X43" s="464" t="e">
        <f t="shared" si="30"/>
        <v>#REF!</v>
      </c>
      <c r="Y43" s="464"/>
    </row>
    <row r="44" spans="2:25">
      <c r="B44" s="43" t="e">
        <f>DataSheet!#REF!</f>
        <v>#REF!</v>
      </c>
      <c r="C44" s="44" t="e">
        <f>DataSheet!#REF!</f>
        <v>#REF!</v>
      </c>
      <c r="D44" s="39" t="e">
        <f>ABS((DataSheet!#REF!*1.6%)+(9*DataSheet!#REF!))</f>
        <v>#REF!</v>
      </c>
      <c r="E44" s="37" t="e">
        <f t="shared" si="31"/>
        <v>#REF!</v>
      </c>
      <c r="F44" s="38" t="e">
        <f>DataSheet!#REF!</f>
        <v>#REF!</v>
      </c>
      <c r="G44" s="35" t="e">
        <f t="shared" si="32"/>
        <v>#REF!</v>
      </c>
      <c r="H44" s="472" t="e">
        <f>DataSheet!#REF!+D44</f>
        <v>#REF!</v>
      </c>
      <c r="I44" s="472"/>
      <c r="J44" s="472" t="e">
        <f>DataSheet!#REF!-D44</f>
        <v>#REF!</v>
      </c>
      <c r="K44" s="472"/>
      <c r="L44" s="472" t="e">
        <f t="shared" si="24"/>
        <v>#REF!</v>
      </c>
      <c r="M44" s="472"/>
      <c r="N44" s="39" t="e">
        <f>DataSheet!#REF!+B44</f>
        <v>#REF!</v>
      </c>
      <c r="O44" s="40" t="e">
        <f t="shared" si="25"/>
        <v>#REF!</v>
      </c>
      <c r="P44" s="39" t="e">
        <f t="shared" si="33"/>
        <v>#REF!</v>
      </c>
      <c r="Q44" s="40" t="e">
        <f t="shared" si="26"/>
        <v>#REF!</v>
      </c>
      <c r="R44" s="467" t="e">
        <f t="shared" si="27"/>
        <v>#REF!</v>
      </c>
      <c r="S44" s="467"/>
      <c r="T44" s="39" t="e">
        <f t="shared" si="34"/>
        <v>#REF!</v>
      </c>
      <c r="U44" s="40" t="e">
        <f t="shared" si="28"/>
        <v>#REF!</v>
      </c>
      <c r="V44" s="465" t="e">
        <f t="shared" si="29"/>
        <v>#REF!</v>
      </c>
      <c r="W44" s="465"/>
      <c r="X44" s="464" t="e">
        <f t="shared" si="30"/>
        <v>#REF!</v>
      </c>
      <c r="Y44" s="464"/>
    </row>
    <row r="45" spans="2:25">
      <c r="B45" s="49">
        <f>DataSheet!AM90</f>
        <v>60</v>
      </c>
      <c r="C45" s="50" t="str">
        <f>DataSheet!P90</f>
        <v>V</v>
      </c>
      <c r="D45" s="41">
        <f>ABS((DataSheet!AM90*1.6%)+(9*DataSheet!CK90))</f>
        <v>1.8599999999999999</v>
      </c>
      <c r="E45" s="37" t="str">
        <f t="shared" si="31"/>
        <v>V</v>
      </c>
      <c r="F45" s="38">
        <f>DataSheet!DD90</f>
        <v>9.1511383627029347E-2</v>
      </c>
      <c r="G45" s="35" t="str">
        <f t="shared" si="32"/>
        <v>V</v>
      </c>
      <c r="H45" s="476">
        <f>DataSheet!L90+D45</f>
        <v>61.86</v>
      </c>
      <c r="I45" s="476"/>
      <c r="J45" s="476">
        <f>DataSheet!L90-D45</f>
        <v>58.14</v>
      </c>
      <c r="K45" s="476"/>
      <c r="L45" s="476" t="str">
        <f t="shared" si="24"/>
        <v>PASSED</v>
      </c>
      <c r="M45" s="476"/>
      <c r="N45" s="41">
        <f>DataSheet!DD90+B45</f>
        <v>60.091511383627029</v>
      </c>
      <c r="O45" s="42" t="str">
        <f t="shared" si="25"/>
        <v>V</v>
      </c>
      <c r="P45" s="41">
        <f t="shared" si="33"/>
        <v>61.86</v>
      </c>
      <c r="Q45" s="42" t="str">
        <f t="shared" si="26"/>
        <v>V</v>
      </c>
      <c r="R45" s="468" t="str">
        <f t="shared" si="27"/>
        <v>PASSED</v>
      </c>
      <c r="S45" s="468"/>
      <c r="T45" s="41">
        <f t="shared" si="34"/>
        <v>59.908488616372971</v>
      </c>
      <c r="U45" s="42" t="str">
        <f t="shared" si="28"/>
        <v>V</v>
      </c>
      <c r="V45" s="465" t="str">
        <f t="shared" si="29"/>
        <v>PASSED</v>
      </c>
      <c r="W45" s="465"/>
      <c r="X45" s="464" t="str">
        <f t="shared" si="30"/>
        <v>PASSED</v>
      </c>
      <c r="Y45" s="464"/>
    </row>
    <row r="46" spans="2:25">
      <c r="B46" s="49">
        <f>DataSheet!AM91</f>
        <v>60</v>
      </c>
      <c r="C46" s="50" t="str">
        <f>DataSheet!P91</f>
        <v>V</v>
      </c>
      <c r="D46" s="41">
        <f>ABS((DataSheet!AM91*1.6%)+(9*DataSheet!CK91))</f>
        <v>1.8599999999999999</v>
      </c>
      <c r="E46" s="37" t="str">
        <f t="shared" si="31"/>
        <v>V</v>
      </c>
      <c r="F46" s="38">
        <f>DataSheet!DD91</f>
        <v>9.1511383627029347E-2</v>
      </c>
      <c r="G46" s="35" t="str">
        <f t="shared" si="32"/>
        <v>V</v>
      </c>
      <c r="H46" s="476">
        <f>DataSheet!L91+D46</f>
        <v>61.86</v>
      </c>
      <c r="I46" s="476"/>
      <c r="J46" s="476">
        <f>DataSheet!L91-D46</f>
        <v>58.14</v>
      </c>
      <c r="K46" s="476"/>
      <c r="L46" s="476" t="str">
        <f t="shared" si="24"/>
        <v>PASSED</v>
      </c>
      <c r="M46" s="476"/>
      <c r="N46" s="41">
        <f>DataSheet!DD91+B46</f>
        <v>60.091511383627029</v>
      </c>
      <c r="O46" s="42" t="str">
        <f t="shared" si="25"/>
        <v>V</v>
      </c>
      <c r="P46" s="41">
        <f t="shared" si="33"/>
        <v>61.86</v>
      </c>
      <c r="Q46" s="42" t="str">
        <f t="shared" si="26"/>
        <v>V</v>
      </c>
      <c r="R46" s="468" t="str">
        <f t="shared" si="27"/>
        <v>PASSED</v>
      </c>
      <c r="S46" s="468"/>
      <c r="T46" s="41">
        <f t="shared" si="34"/>
        <v>59.908488616372971</v>
      </c>
      <c r="U46" s="42" t="str">
        <f t="shared" si="28"/>
        <v>V</v>
      </c>
      <c r="V46" s="465" t="str">
        <f t="shared" si="29"/>
        <v>PASSED</v>
      </c>
      <c r="W46" s="465"/>
      <c r="X46" s="464" t="str">
        <f t="shared" si="30"/>
        <v>PASSED</v>
      </c>
      <c r="Y46" s="464"/>
    </row>
    <row r="47" spans="2:25">
      <c r="B47" s="49">
        <f>DataSheet!AM92</f>
        <v>540</v>
      </c>
      <c r="C47" s="50" t="str">
        <f>DataSheet!P92</f>
        <v>V</v>
      </c>
      <c r="D47" s="41">
        <f>ABS((DataSheet!AM92*1.6%)+(9*DataSheet!CK92))</f>
        <v>9.5400000000000009</v>
      </c>
      <c r="E47" s="37" t="str">
        <f t="shared" si="31"/>
        <v>V</v>
      </c>
      <c r="F47" s="38">
        <f>DataSheet!DD92</f>
        <v>9.1511383627029347E-2</v>
      </c>
      <c r="G47" s="35" t="str">
        <f t="shared" si="32"/>
        <v>V</v>
      </c>
      <c r="H47" s="476">
        <f>DataSheet!L92+D47</f>
        <v>549.54</v>
      </c>
      <c r="I47" s="476"/>
      <c r="J47" s="476">
        <f>DataSheet!L92-D47</f>
        <v>530.46</v>
      </c>
      <c r="K47" s="476"/>
      <c r="L47" s="476" t="str">
        <f t="shared" si="24"/>
        <v>PASSED</v>
      </c>
      <c r="M47" s="476"/>
      <c r="N47" s="41">
        <f>DataSheet!DD92+B47</f>
        <v>540.09151138362699</v>
      </c>
      <c r="O47" s="42" t="str">
        <f t="shared" si="25"/>
        <v>V</v>
      </c>
      <c r="P47" s="41">
        <f t="shared" si="33"/>
        <v>549.54</v>
      </c>
      <c r="Q47" s="42" t="str">
        <f t="shared" si="26"/>
        <v>V</v>
      </c>
      <c r="R47" s="468" t="str">
        <f t="shared" si="27"/>
        <v>PASSED</v>
      </c>
      <c r="S47" s="468"/>
      <c r="T47" s="41">
        <f t="shared" si="34"/>
        <v>539.90848861637301</v>
      </c>
      <c r="U47" s="42" t="str">
        <f t="shared" si="28"/>
        <v>V</v>
      </c>
      <c r="V47" s="465" t="str">
        <f t="shared" si="29"/>
        <v>PASSED</v>
      </c>
      <c r="W47" s="465"/>
      <c r="X47" s="464" t="str">
        <f t="shared" si="30"/>
        <v>PASSED</v>
      </c>
      <c r="Y47" s="464"/>
    </row>
    <row r="48" spans="2:25">
      <c r="B48" s="49">
        <f>DataSheet!AM93</f>
        <v>540</v>
      </c>
      <c r="C48" s="50" t="str">
        <f>DataSheet!P93</f>
        <v>V</v>
      </c>
      <c r="D48" s="41">
        <f>ABS((DataSheet!AM93*1.6%)+(9*DataSheet!CK93))</f>
        <v>9.5400000000000009</v>
      </c>
      <c r="E48" s="37" t="str">
        <f t="shared" si="31"/>
        <v>V</v>
      </c>
      <c r="F48" s="38">
        <f>DataSheet!DD93</f>
        <v>9.1511383627029347E-2</v>
      </c>
      <c r="G48" s="35" t="str">
        <f t="shared" si="32"/>
        <v>V</v>
      </c>
      <c r="H48" s="476">
        <f>DataSheet!L93+D48</f>
        <v>549.54</v>
      </c>
      <c r="I48" s="476"/>
      <c r="J48" s="476">
        <f>DataSheet!L93-D48</f>
        <v>530.46</v>
      </c>
      <c r="K48" s="476"/>
      <c r="L48" s="476" t="str">
        <f t="shared" si="24"/>
        <v>PASSED</v>
      </c>
      <c r="M48" s="476"/>
      <c r="N48" s="41">
        <f>DataSheet!DD93+B48</f>
        <v>540.09151138362699</v>
      </c>
      <c r="O48" s="42" t="str">
        <f t="shared" si="25"/>
        <v>V</v>
      </c>
      <c r="P48" s="41">
        <f t="shared" si="33"/>
        <v>549.54</v>
      </c>
      <c r="Q48" s="42" t="str">
        <f t="shared" si="26"/>
        <v>V</v>
      </c>
      <c r="R48" s="468" t="str">
        <f t="shared" si="27"/>
        <v>PASSED</v>
      </c>
      <c r="S48" s="468"/>
      <c r="T48" s="41">
        <f t="shared" si="34"/>
        <v>539.90848861637301</v>
      </c>
      <c r="U48" s="42" t="str">
        <f t="shared" si="28"/>
        <v>V</v>
      </c>
      <c r="V48" s="465" t="str">
        <f t="shared" si="29"/>
        <v>PASSED</v>
      </c>
      <c r="W48" s="465"/>
      <c r="X48" s="464" t="str">
        <f t="shared" si="30"/>
        <v>PASSED</v>
      </c>
      <c r="Y48" s="464"/>
    </row>
    <row r="49" spans="2:25">
      <c r="B49" s="463" t="str">
        <f>DataSheet!F99</f>
        <v>Resistance Test</v>
      </c>
      <c r="C49" s="463"/>
      <c r="D49" s="463"/>
      <c r="E49" s="463"/>
      <c r="F49" s="463"/>
      <c r="G49" s="463"/>
      <c r="H49" s="463"/>
      <c r="I49" s="463"/>
      <c r="J49" s="463"/>
      <c r="K49" s="463"/>
      <c r="L49" s="463"/>
      <c r="M49" s="463"/>
      <c r="N49" s="463"/>
      <c r="O49" s="463"/>
      <c r="P49" s="463"/>
      <c r="Q49" s="463"/>
      <c r="R49" s="463"/>
      <c r="S49" s="463"/>
      <c r="T49" s="463"/>
      <c r="U49" s="463"/>
      <c r="V49" s="463"/>
      <c r="W49" s="463"/>
      <c r="X49" s="454" t="s">
        <v>119</v>
      </c>
      <c r="Y49" s="454"/>
    </row>
    <row r="50" spans="2:25">
      <c r="B50" s="463"/>
      <c r="C50" s="463"/>
      <c r="D50" s="463"/>
      <c r="E50" s="463"/>
      <c r="F50" s="463"/>
      <c r="G50" s="463"/>
      <c r="H50" s="463"/>
      <c r="I50" s="463"/>
      <c r="J50" s="463"/>
      <c r="K50" s="463"/>
      <c r="L50" s="463"/>
      <c r="M50" s="463"/>
      <c r="N50" s="463"/>
      <c r="O50" s="463"/>
      <c r="P50" s="463"/>
      <c r="Q50" s="463"/>
      <c r="R50" s="463"/>
      <c r="S50" s="463"/>
      <c r="T50" s="463"/>
      <c r="U50" s="463"/>
      <c r="V50" s="463"/>
      <c r="W50" s="463"/>
      <c r="X50" s="454"/>
      <c r="Y50" s="454"/>
    </row>
    <row r="51" spans="2:25">
      <c r="B51" s="454" t="s">
        <v>73</v>
      </c>
      <c r="C51" s="454"/>
      <c r="D51" s="463" t="s">
        <v>75</v>
      </c>
      <c r="E51" s="463"/>
      <c r="F51" s="457" t="s">
        <v>114</v>
      </c>
      <c r="G51" s="458"/>
      <c r="H51" s="463" t="s">
        <v>76</v>
      </c>
      <c r="I51" s="463"/>
      <c r="J51" s="463" t="s">
        <v>77</v>
      </c>
      <c r="K51" s="463"/>
      <c r="L51" s="463" t="s">
        <v>78</v>
      </c>
      <c r="M51" s="463"/>
      <c r="N51" s="466" t="s">
        <v>120</v>
      </c>
      <c r="O51" s="463"/>
      <c r="P51" s="463" t="s">
        <v>76</v>
      </c>
      <c r="Q51" s="463"/>
      <c r="R51" s="463" t="s">
        <v>78</v>
      </c>
      <c r="S51" s="463"/>
      <c r="T51" s="466" t="s">
        <v>121</v>
      </c>
      <c r="U51" s="463"/>
      <c r="V51" s="463" t="s">
        <v>78</v>
      </c>
      <c r="W51" s="463"/>
      <c r="X51" s="454"/>
      <c r="Y51" s="454"/>
    </row>
    <row r="52" spans="2:25">
      <c r="B52" s="454"/>
      <c r="C52" s="454"/>
      <c r="D52" s="463"/>
      <c r="E52" s="463"/>
      <c r="F52" s="461"/>
      <c r="G52" s="462"/>
      <c r="H52" s="463"/>
      <c r="I52" s="463"/>
      <c r="J52" s="463"/>
      <c r="K52" s="463"/>
      <c r="L52" s="463"/>
      <c r="M52" s="463"/>
      <c r="N52" s="463"/>
      <c r="O52" s="463"/>
      <c r="P52" s="463"/>
      <c r="Q52" s="463"/>
      <c r="R52" s="463"/>
      <c r="S52" s="463"/>
      <c r="T52" s="463"/>
      <c r="U52" s="463"/>
      <c r="V52" s="463"/>
      <c r="W52" s="463"/>
      <c r="X52" s="454"/>
      <c r="Y52" s="454"/>
    </row>
    <row r="53" spans="2:25">
      <c r="B53" s="43">
        <f>DataSheet!AM102</f>
        <v>0</v>
      </c>
      <c r="C53" s="48" t="str">
        <f>DataSheet!P102</f>
        <v>Ω</v>
      </c>
      <c r="D53" s="39">
        <f>ABS((DataSheet!AM102*1.5%)+(5*DataSheet!CK102))</f>
        <v>0.5</v>
      </c>
      <c r="E53" s="37" t="str">
        <f t="shared" ref="E53:E59" si="35">C53</f>
        <v>Ω</v>
      </c>
      <c r="F53" s="38">
        <f>DataSheet!DD102</f>
        <v>5.7735078265585944E-2</v>
      </c>
      <c r="G53" s="35" t="str">
        <f>C53</f>
        <v>Ω</v>
      </c>
      <c r="H53" s="472">
        <f>DataSheet!L102+D53</f>
        <v>0.5</v>
      </c>
      <c r="I53" s="472"/>
      <c r="J53" s="472">
        <f>DataSheet!L102-D53</f>
        <v>-0.5</v>
      </c>
      <c r="K53" s="472"/>
      <c r="L53" s="473" t="str">
        <f t="shared" ref="L53:L59" si="36">IF(AND(B53&lt;=H53,B53&gt;=J53),"PASSED","FAILED")</f>
        <v>PASSED</v>
      </c>
      <c r="M53" s="473"/>
      <c r="N53" s="39">
        <f>DataSheet!DD102+B53</f>
        <v>5.7735078265585944E-2</v>
      </c>
      <c r="O53" s="35" t="str">
        <f t="shared" ref="O53:O59" si="37">G53</f>
        <v>Ω</v>
      </c>
      <c r="P53" s="39">
        <f t="shared" ref="P53:P54" si="38">H53</f>
        <v>0.5</v>
      </c>
      <c r="Q53" s="40" t="str">
        <f t="shared" ref="Q53:Q56" si="39">O53</f>
        <v>Ω</v>
      </c>
      <c r="R53" s="465" t="str">
        <f t="shared" ref="R53:R59" si="40">IF(AND(N53&lt;=H53,N53&gt;=J53),"PASSED","FAILED")</f>
        <v>PASSED</v>
      </c>
      <c r="S53" s="465"/>
      <c r="T53" s="39">
        <f t="shared" ref="T53:T54" si="41">-F53+B53</f>
        <v>-5.7735078265585944E-2</v>
      </c>
      <c r="U53" s="37" t="str">
        <f t="shared" ref="U53:U59" si="42">O53</f>
        <v>Ω</v>
      </c>
      <c r="V53" s="465" t="str">
        <f t="shared" ref="V53:V59" si="43">IF(AND(T53&lt;=H53,T53&gt;=J53),"PASSED","FAILED")</f>
        <v>PASSED</v>
      </c>
      <c r="W53" s="465"/>
      <c r="X53" s="464" t="str">
        <f t="shared" ref="X53:X59" si="44">IF(AND(L53="PASSED",R53="PASSED",V53="PASSED"),"PASSED",IF(L53="FAILED","FAILED","UNDETERMINED"))</f>
        <v>PASSED</v>
      </c>
      <c r="Y53" s="464"/>
    </row>
    <row r="54" spans="2:25">
      <c r="B54" s="43">
        <f>DataSheet!AM103</f>
        <v>540</v>
      </c>
      <c r="C54" s="48" t="str">
        <f>DataSheet!P103</f>
        <v>Ω</v>
      </c>
      <c r="D54" s="39">
        <f>ABS((DataSheet!AM103*1.5%)+(5*DataSheet!CK103))</f>
        <v>8.6</v>
      </c>
      <c r="E54" s="37" t="str">
        <f t="shared" si="35"/>
        <v>Ω</v>
      </c>
      <c r="F54" s="38">
        <f>DataSheet!DD103</f>
        <v>5.7812916665165179E-2</v>
      </c>
      <c r="G54" s="35" t="str">
        <f t="shared" ref="G54:G59" si="45">C54</f>
        <v>Ω</v>
      </c>
      <c r="H54" s="472">
        <f>DataSheet!L103+D54</f>
        <v>548.6</v>
      </c>
      <c r="I54" s="472"/>
      <c r="J54" s="472">
        <f>DataSheet!L103-D54</f>
        <v>531.4</v>
      </c>
      <c r="K54" s="472"/>
      <c r="L54" s="473" t="str">
        <f t="shared" si="36"/>
        <v>PASSED</v>
      </c>
      <c r="M54" s="473"/>
      <c r="N54" s="39">
        <f>DataSheet!DD103+B54</f>
        <v>540.05781291666517</v>
      </c>
      <c r="O54" s="35" t="str">
        <f t="shared" si="37"/>
        <v>Ω</v>
      </c>
      <c r="P54" s="39">
        <f t="shared" si="38"/>
        <v>548.6</v>
      </c>
      <c r="Q54" s="40" t="str">
        <f t="shared" si="39"/>
        <v>Ω</v>
      </c>
      <c r="R54" s="465" t="str">
        <f t="shared" si="40"/>
        <v>PASSED</v>
      </c>
      <c r="S54" s="465"/>
      <c r="T54" s="39">
        <f t="shared" si="41"/>
        <v>539.94218708333483</v>
      </c>
      <c r="U54" s="37" t="str">
        <f t="shared" si="42"/>
        <v>Ω</v>
      </c>
      <c r="V54" s="465" t="str">
        <f t="shared" si="43"/>
        <v>PASSED</v>
      </c>
      <c r="W54" s="465"/>
      <c r="X54" s="464" t="str">
        <f t="shared" si="44"/>
        <v>PASSED</v>
      </c>
      <c r="Y54" s="464"/>
    </row>
    <row r="55" spans="2:25">
      <c r="B55" s="47">
        <f>DataSheet!AM104</f>
        <v>5.4000000000000012</v>
      </c>
      <c r="C55" s="48" t="str">
        <f>DataSheet!P104</f>
        <v>kΩ</v>
      </c>
      <c r="D55" s="36">
        <f>ABS((DataSheet!AM104*1.5%)+(5*DataSheet!CK104))</f>
        <v>8.6000000000000021E-2</v>
      </c>
      <c r="E55" s="37" t="str">
        <f t="shared" si="35"/>
        <v>kΩ</v>
      </c>
      <c r="F55" s="38">
        <f>DataSheet!DD104</f>
        <v>5.799640793474484E-4</v>
      </c>
      <c r="G55" s="35" t="str">
        <f t="shared" si="45"/>
        <v>kΩ</v>
      </c>
      <c r="H55" s="475">
        <f>DataSheet!L104+D55</f>
        <v>5.4860000000000007</v>
      </c>
      <c r="I55" s="475"/>
      <c r="J55" s="475">
        <f>DataSheet!L104-D55</f>
        <v>5.3140000000000001</v>
      </c>
      <c r="K55" s="475"/>
      <c r="L55" s="473" t="str">
        <f t="shared" si="36"/>
        <v>PASSED</v>
      </c>
      <c r="M55" s="473"/>
      <c r="N55" s="36">
        <f>DataSheet!DD104+B55</f>
        <v>5.4005799640793484</v>
      </c>
      <c r="O55" s="35" t="str">
        <f t="shared" si="37"/>
        <v>kΩ</v>
      </c>
      <c r="P55" s="36">
        <f>H55</f>
        <v>5.4860000000000007</v>
      </c>
      <c r="Q55" s="37" t="str">
        <f t="shared" si="39"/>
        <v>kΩ</v>
      </c>
      <c r="R55" s="465" t="str">
        <f t="shared" si="40"/>
        <v>PASSED</v>
      </c>
      <c r="S55" s="465"/>
      <c r="T55" s="36">
        <f>-DataSheet!DD104+B55</f>
        <v>5.3994200359206541</v>
      </c>
      <c r="U55" s="37" t="str">
        <f t="shared" si="42"/>
        <v>kΩ</v>
      </c>
      <c r="V55" s="465" t="str">
        <f t="shared" si="43"/>
        <v>PASSED</v>
      </c>
      <c r="W55" s="465"/>
      <c r="X55" s="464" t="str">
        <f t="shared" si="44"/>
        <v>PASSED</v>
      </c>
      <c r="Y55" s="464"/>
    </row>
    <row r="56" spans="2:25">
      <c r="B56" s="45">
        <f>DataSheet!AM105</f>
        <v>54</v>
      </c>
      <c r="C56" s="48" t="str">
        <f>DataSheet!P105</f>
        <v>kΩ</v>
      </c>
      <c r="D56" s="34">
        <f>ABS((DataSheet!AM105*1.5%)+(5*DataSheet!CK105))</f>
        <v>0.86</v>
      </c>
      <c r="E56" s="37" t="str">
        <f t="shared" si="35"/>
        <v>kΩ</v>
      </c>
      <c r="F56" s="38">
        <f>DataSheet!DD105</f>
        <v>5.8300457402436674E-3</v>
      </c>
      <c r="G56" s="35" t="str">
        <f t="shared" si="45"/>
        <v>kΩ</v>
      </c>
      <c r="H56" s="474">
        <f>DataSheet!L105+D56</f>
        <v>54.86</v>
      </c>
      <c r="I56" s="474"/>
      <c r="J56" s="474">
        <f>DataSheet!L105-D56</f>
        <v>53.14</v>
      </c>
      <c r="K56" s="474"/>
      <c r="L56" s="473" t="str">
        <f t="shared" si="36"/>
        <v>PASSED</v>
      </c>
      <c r="M56" s="473"/>
      <c r="N56" s="34">
        <f>DataSheet!DD105+B56</f>
        <v>54.005830045740247</v>
      </c>
      <c r="O56" s="35" t="str">
        <f t="shared" si="37"/>
        <v>kΩ</v>
      </c>
      <c r="P56" s="34">
        <f t="shared" ref="P56:P57" si="46">H56</f>
        <v>54.86</v>
      </c>
      <c r="Q56" s="35" t="str">
        <f t="shared" si="39"/>
        <v>kΩ</v>
      </c>
      <c r="R56" s="465" t="str">
        <f t="shared" si="40"/>
        <v>PASSED</v>
      </c>
      <c r="S56" s="465"/>
      <c r="T56" s="34">
        <f t="shared" ref="T56:T59" si="47">-F56+B56</f>
        <v>53.994169954259753</v>
      </c>
      <c r="U56" s="37" t="str">
        <f t="shared" si="42"/>
        <v>kΩ</v>
      </c>
      <c r="V56" s="465" t="str">
        <f t="shared" si="43"/>
        <v>PASSED</v>
      </c>
      <c r="W56" s="465"/>
      <c r="X56" s="464" t="str">
        <f t="shared" si="44"/>
        <v>PASSED</v>
      </c>
      <c r="Y56" s="464"/>
    </row>
    <row r="57" spans="2:25">
      <c r="B57" s="43">
        <f>DataSheet!AM106</f>
        <v>540</v>
      </c>
      <c r="C57" s="48" t="str">
        <f>DataSheet!P106</f>
        <v>kΩ</v>
      </c>
      <c r="D57" s="39">
        <f>ABS((DataSheet!AM106*1.5%)+(5*DataSheet!CK106))</f>
        <v>8.6</v>
      </c>
      <c r="E57" s="37" t="str">
        <f t="shared" si="35"/>
        <v>kΩ</v>
      </c>
      <c r="F57" s="38">
        <f>DataSheet!DD106</f>
        <v>5.8111043127217515E-2</v>
      </c>
      <c r="G57" s="35" t="str">
        <f t="shared" si="45"/>
        <v>kΩ</v>
      </c>
      <c r="H57" s="472">
        <f>DataSheet!L106+D57</f>
        <v>548.6</v>
      </c>
      <c r="I57" s="472"/>
      <c r="J57" s="472">
        <f>DataSheet!L106-D57</f>
        <v>531.4</v>
      </c>
      <c r="K57" s="472"/>
      <c r="L57" s="473" t="str">
        <f t="shared" si="36"/>
        <v>PASSED</v>
      </c>
      <c r="M57" s="473"/>
      <c r="N57" s="39">
        <f>DataSheet!DD106+B57</f>
        <v>540.05811104312727</v>
      </c>
      <c r="O57" s="35" t="str">
        <f t="shared" si="37"/>
        <v>kΩ</v>
      </c>
      <c r="P57" s="39">
        <f t="shared" si="46"/>
        <v>548.6</v>
      </c>
      <c r="Q57" s="40" t="str">
        <f t="shared" ref="Q57:Q59" si="48">O57</f>
        <v>kΩ</v>
      </c>
      <c r="R57" s="465" t="str">
        <f t="shared" si="40"/>
        <v>PASSED</v>
      </c>
      <c r="S57" s="465"/>
      <c r="T57" s="39">
        <f t="shared" si="47"/>
        <v>539.94188895687273</v>
      </c>
      <c r="U57" s="37" t="str">
        <f t="shared" si="42"/>
        <v>kΩ</v>
      </c>
      <c r="V57" s="465" t="str">
        <f t="shared" si="43"/>
        <v>PASSED</v>
      </c>
      <c r="W57" s="465"/>
      <c r="X57" s="464" t="str">
        <f t="shared" si="44"/>
        <v>PASSED</v>
      </c>
      <c r="Y57" s="464"/>
    </row>
    <row r="58" spans="2:25">
      <c r="B58" s="47" t="e">
        <f>DataSheet!#REF!</f>
        <v>#REF!</v>
      </c>
      <c r="C58" s="48" t="e">
        <f>DataSheet!#REF!</f>
        <v>#REF!</v>
      </c>
      <c r="D58" s="36" t="e">
        <f>ABS((DataSheet!#REF!*1.5%)+(5*DataSheet!#REF!))</f>
        <v>#REF!</v>
      </c>
      <c r="E58" s="37" t="e">
        <f t="shared" si="35"/>
        <v>#REF!</v>
      </c>
      <c r="F58" s="38" t="e">
        <f>DataSheet!#REF!</f>
        <v>#REF!</v>
      </c>
      <c r="G58" s="35" t="e">
        <f t="shared" si="45"/>
        <v>#REF!</v>
      </c>
      <c r="H58" s="475" t="e">
        <f>DataSheet!#REF!+D58</f>
        <v>#REF!</v>
      </c>
      <c r="I58" s="475"/>
      <c r="J58" s="475" t="e">
        <f>DataSheet!#REF!-D58</f>
        <v>#REF!</v>
      </c>
      <c r="K58" s="475"/>
      <c r="L58" s="473" t="e">
        <f t="shared" si="36"/>
        <v>#REF!</v>
      </c>
      <c r="M58" s="473"/>
      <c r="N58" s="36" t="e">
        <f>DataSheet!#REF!+B58</f>
        <v>#REF!</v>
      </c>
      <c r="O58" s="35" t="e">
        <f t="shared" si="37"/>
        <v>#REF!</v>
      </c>
      <c r="P58" s="36" t="e">
        <f>H58</f>
        <v>#REF!</v>
      </c>
      <c r="Q58" s="37" t="e">
        <f t="shared" si="48"/>
        <v>#REF!</v>
      </c>
      <c r="R58" s="465" t="e">
        <f t="shared" si="40"/>
        <v>#REF!</v>
      </c>
      <c r="S58" s="465"/>
      <c r="T58" s="36" t="e">
        <f>-DataSheet!#REF!+B58</f>
        <v>#REF!</v>
      </c>
      <c r="U58" s="37" t="e">
        <f t="shared" si="42"/>
        <v>#REF!</v>
      </c>
      <c r="V58" s="465" t="e">
        <f t="shared" si="43"/>
        <v>#REF!</v>
      </c>
      <c r="W58" s="465"/>
      <c r="X58" s="464" t="e">
        <f t="shared" si="44"/>
        <v>#REF!</v>
      </c>
      <c r="Y58" s="464"/>
    </row>
    <row r="59" spans="2:25">
      <c r="B59" s="45">
        <f>DataSheet!AM108</f>
        <v>45</v>
      </c>
      <c r="C59" s="48" t="str">
        <f>DataSheet!P108</f>
        <v>MΩ</v>
      </c>
      <c r="D59" s="34">
        <f>ABS((DataSheet!AM108*1.5%)+(5*DataSheet!CK108))</f>
        <v>0.72499999999999998</v>
      </c>
      <c r="E59" s="37" t="str">
        <f t="shared" si="35"/>
        <v>MΩ</v>
      </c>
      <c r="F59" s="38">
        <f>DataSheet!DD108</f>
        <v>1.4999999999999999E-2</v>
      </c>
      <c r="G59" s="35" t="str">
        <f t="shared" si="45"/>
        <v>MΩ</v>
      </c>
      <c r="H59" s="474">
        <f>DataSheet!L108+D59</f>
        <v>45.725000000000001</v>
      </c>
      <c r="I59" s="474"/>
      <c r="J59" s="474">
        <f>DataSheet!L108-D59</f>
        <v>44.274999999999999</v>
      </c>
      <c r="K59" s="474"/>
      <c r="L59" s="473" t="str">
        <f t="shared" si="36"/>
        <v>PASSED</v>
      </c>
      <c r="M59" s="473"/>
      <c r="N59" s="34">
        <f>DataSheet!DD108+B59</f>
        <v>45.015000000000001</v>
      </c>
      <c r="O59" s="35" t="str">
        <f t="shared" si="37"/>
        <v>MΩ</v>
      </c>
      <c r="P59" s="34">
        <f t="shared" ref="P59" si="49">H59</f>
        <v>45.725000000000001</v>
      </c>
      <c r="Q59" s="35" t="str">
        <f t="shared" si="48"/>
        <v>MΩ</v>
      </c>
      <c r="R59" s="465" t="str">
        <f t="shared" si="40"/>
        <v>PASSED</v>
      </c>
      <c r="S59" s="465"/>
      <c r="T59" s="34">
        <f t="shared" si="47"/>
        <v>44.984999999999999</v>
      </c>
      <c r="U59" s="37" t="str">
        <f t="shared" si="42"/>
        <v>MΩ</v>
      </c>
      <c r="V59" s="465" t="str">
        <f t="shared" si="43"/>
        <v>PASSED</v>
      </c>
      <c r="W59" s="465"/>
      <c r="X59" s="464" t="str">
        <f t="shared" si="44"/>
        <v>PASSED</v>
      </c>
      <c r="Y59" s="464"/>
    </row>
    <row r="60" spans="2:25">
      <c r="B60" s="463" t="str">
        <f>DataSheet!F110</f>
        <v>DC Current Test</v>
      </c>
      <c r="C60" s="463"/>
      <c r="D60" s="463"/>
      <c r="E60" s="463"/>
      <c r="F60" s="463"/>
      <c r="G60" s="463"/>
      <c r="H60" s="463"/>
      <c r="I60" s="463"/>
      <c r="J60" s="463"/>
      <c r="K60" s="463"/>
      <c r="L60" s="463"/>
      <c r="M60" s="463"/>
      <c r="N60" s="463"/>
      <c r="O60" s="463"/>
      <c r="P60" s="463"/>
      <c r="Q60" s="463"/>
      <c r="R60" s="463"/>
      <c r="S60" s="463"/>
      <c r="T60" s="463"/>
      <c r="U60" s="463"/>
      <c r="V60" s="463"/>
      <c r="W60" s="463"/>
      <c r="X60" s="454" t="s">
        <v>119</v>
      </c>
      <c r="Y60" s="454"/>
    </row>
    <row r="61" spans="2:25">
      <c r="B61" s="463"/>
      <c r="C61" s="463"/>
      <c r="D61" s="463"/>
      <c r="E61" s="463"/>
      <c r="F61" s="463"/>
      <c r="G61" s="463"/>
      <c r="H61" s="463"/>
      <c r="I61" s="463"/>
      <c r="J61" s="463"/>
      <c r="K61" s="463"/>
      <c r="L61" s="463"/>
      <c r="M61" s="463"/>
      <c r="N61" s="463"/>
      <c r="O61" s="463"/>
      <c r="P61" s="463"/>
      <c r="Q61" s="463"/>
      <c r="R61" s="463"/>
      <c r="S61" s="463"/>
      <c r="T61" s="463"/>
      <c r="U61" s="463"/>
      <c r="V61" s="463"/>
      <c r="W61" s="463"/>
      <c r="X61" s="454"/>
      <c r="Y61" s="454"/>
    </row>
    <row r="62" spans="2:25">
      <c r="B62" s="454" t="s">
        <v>73</v>
      </c>
      <c r="C62" s="454"/>
      <c r="D62" s="463" t="s">
        <v>75</v>
      </c>
      <c r="E62" s="463"/>
      <c r="F62" s="457" t="s">
        <v>114</v>
      </c>
      <c r="G62" s="458"/>
      <c r="H62" s="463" t="s">
        <v>76</v>
      </c>
      <c r="I62" s="463"/>
      <c r="J62" s="463" t="s">
        <v>77</v>
      </c>
      <c r="K62" s="463"/>
      <c r="L62" s="463" t="s">
        <v>78</v>
      </c>
      <c r="M62" s="463"/>
      <c r="N62" s="466" t="s">
        <v>120</v>
      </c>
      <c r="O62" s="463"/>
      <c r="P62" s="463" t="s">
        <v>76</v>
      </c>
      <c r="Q62" s="463"/>
      <c r="R62" s="463" t="s">
        <v>78</v>
      </c>
      <c r="S62" s="463"/>
      <c r="T62" s="466" t="s">
        <v>121</v>
      </c>
      <c r="U62" s="463"/>
      <c r="V62" s="463" t="s">
        <v>78</v>
      </c>
      <c r="W62" s="463"/>
      <c r="X62" s="454"/>
      <c r="Y62" s="454"/>
    </row>
    <row r="63" spans="2:25">
      <c r="B63" s="454"/>
      <c r="C63" s="454"/>
      <c r="D63" s="463"/>
      <c r="E63" s="463"/>
      <c r="F63" s="461"/>
      <c r="G63" s="462"/>
      <c r="H63" s="463"/>
      <c r="I63" s="463"/>
      <c r="J63" s="463"/>
      <c r="K63" s="463"/>
      <c r="L63" s="463"/>
      <c r="M63" s="463"/>
      <c r="N63" s="463"/>
      <c r="O63" s="463"/>
      <c r="P63" s="463"/>
      <c r="Q63" s="463"/>
      <c r="R63" s="463"/>
      <c r="S63" s="463"/>
      <c r="T63" s="463"/>
      <c r="U63" s="463"/>
      <c r="V63" s="463"/>
      <c r="W63" s="463"/>
      <c r="X63" s="454"/>
      <c r="Y63" s="454"/>
    </row>
    <row r="64" spans="2:25">
      <c r="B64" s="45">
        <f>DataSheet!AM118</f>
        <v>3</v>
      </c>
      <c r="C64" s="48" t="str">
        <f>DataSheet!P118</f>
        <v>A</v>
      </c>
      <c r="D64" s="34">
        <f>ABS((DataSheet!AM118*2.2%)+(5*DataSheet!CK118))</f>
        <v>7.1000000000000008E-2</v>
      </c>
      <c r="E64" s="37" t="str">
        <f t="shared" ref="E64:E66" si="50">C64</f>
        <v>A</v>
      </c>
      <c r="F64" s="38">
        <f>DataSheet!DD118</f>
        <v>1.6000000000000001E-3</v>
      </c>
      <c r="G64" s="35" t="str">
        <f>C64</f>
        <v>A</v>
      </c>
      <c r="H64" s="474">
        <f>DataSheet!L118+D64</f>
        <v>3.0710000000000002</v>
      </c>
      <c r="I64" s="474"/>
      <c r="J64" s="474">
        <f>DataSheet!L118-D64</f>
        <v>2.9289999999999998</v>
      </c>
      <c r="K64" s="474"/>
      <c r="L64" s="473" t="str">
        <f t="shared" ref="L64:L66" si="51">IF(AND(B64&lt;=H64,B64&gt;=J64),"PASSED","FAILED")</f>
        <v>PASSED</v>
      </c>
      <c r="M64" s="473"/>
      <c r="N64" s="34">
        <f>DataSheet!DD118+B64</f>
        <v>3.0015999999999998</v>
      </c>
      <c r="O64" s="35" t="str">
        <f t="shared" ref="O64:O66" si="52">G64</f>
        <v>A</v>
      </c>
      <c r="P64" s="34">
        <f t="shared" ref="P64" si="53">H64</f>
        <v>3.0710000000000002</v>
      </c>
      <c r="Q64" s="35" t="str">
        <f t="shared" ref="Q64" si="54">O64</f>
        <v>A</v>
      </c>
      <c r="R64" s="469" t="str">
        <f t="shared" ref="R64:R66" si="55">IF(AND(N64&lt;=H64,N64&gt;=J64),"PASSED","FAILED")</f>
        <v>PASSED</v>
      </c>
      <c r="S64" s="469"/>
      <c r="T64" s="34">
        <f t="shared" ref="T64:T66" si="56">-F64+B64</f>
        <v>2.9984000000000002</v>
      </c>
      <c r="U64" s="37" t="str">
        <f t="shared" ref="U64:U66" si="57">O64</f>
        <v>A</v>
      </c>
      <c r="V64" s="465" t="str">
        <f t="shared" ref="V64:V66" si="58">IF(AND(T64&lt;=H64,T64&gt;=J64),"PASSED","FAILED")</f>
        <v>PASSED</v>
      </c>
      <c r="W64" s="465"/>
      <c r="X64" s="464" t="str">
        <f>IF(AND(L64="PASSED",R64="PASSED",V64="PASSED"),"PASSED",IF(L64="FAILED","FAILED","UNDETERMINED"))</f>
        <v>PASSED</v>
      </c>
      <c r="Y64" s="464"/>
    </row>
    <row r="65" spans="2:25">
      <c r="B65" s="45">
        <f>DataSheet!AM119</f>
        <v>5.4000000000000012</v>
      </c>
      <c r="C65" s="48" t="str">
        <f>DataSheet!P119</f>
        <v>A</v>
      </c>
      <c r="D65" s="34">
        <f>ABS((DataSheet!AM119*2.2%)-(5*DataSheet!CK119))</f>
        <v>0.11380000000000004</v>
      </c>
      <c r="E65" s="37" t="str">
        <f t="shared" si="50"/>
        <v>A</v>
      </c>
      <c r="F65" s="38">
        <f>DataSheet!DD119</f>
        <v>1.6000000000000001E-3</v>
      </c>
      <c r="G65" s="35" t="str">
        <f t="shared" ref="G65:G66" si="59">C65</f>
        <v>A</v>
      </c>
      <c r="H65" s="474">
        <f>DataSheet!L119+D65</f>
        <v>5.5138000000000007</v>
      </c>
      <c r="I65" s="474"/>
      <c r="J65" s="474">
        <f>DataSheet!L119-D65</f>
        <v>5.2862</v>
      </c>
      <c r="K65" s="474"/>
      <c r="L65" s="473" t="str">
        <f t="shared" si="51"/>
        <v>PASSED</v>
      </c>
      <c r="M65" s="473"/>
      <c r="N65" s="34">
        <f>DataSheet!DD119+B65</f>
        <v>5.4016000000000011</v>
      </c>
      <c r="O65" s="35" t="str">
        <f t="shared" si="52"/>
        <v>A</v>
      </c>
      <c r="P65" s="34">
        <f t="shared" ref="P65:P66" si="60">H65</f>
        <v>5.5138000000000007</v>
      </c>
      <c r="Q65" s="35" t="str">
        <f t="shared" ref="Q65:Q66" si="61">O65</f>
        <v>A</v>
      </c>
      <c r="R65" s="469" t="str">
        <f t="shared" si="55"/>
        <v>PASSED</v>
      </c>
      <c r="S65" s="469"/>
      <c r="T65" s="34">
        <f t="shared" si="56"/>
        <v>5.3984000000000014</v>
      </c>
      <c r="U65" s="37" t="str">
        <f t="shared" si="57"/>
        <v>A</v>
      </c>
      <c r="V65" s="465" t="str">
        <f t="shared" si="58"/>
        <v>PASSED</v>
      </c>
      <c r="W65" s="465"/>
      <c r="X65" s="464" t="str">
        <f>IF(AND(L65="PASSED",R65="PASSED",V65="PASSED"),"PASSED",IF(L65="FAILED","FAILED","UNDETERMINED"))</f>
        <v>PASSED</v>
      </c>
      <c r="Y65" s="464"/>
    </row>
    <row r="66" spans="2:25">
      <c r="B66" s="43">
        <f>DataSheet!AM121</f>
        <v>9</v>
      </c>
      <c r="C66" s="48" t="str">
        <f>DataSheet!P121</f>
        <v>A</v>
      </c>
      <c r="D66" s="39">
        <f>ABS((DataSheet!AM121*2.2%)+(5*DataSheet!CK121))</f>
        <v>0.248</v>
      </c>
      <c r="E66" s="37" t="str">
        <f t="shared" si="50"/>
        <v>A</v>
      </c>
      <c r="F66" s="38">
        <f>DataSheet!DD121</f>
        <v>5.9408192476571222E-3</v>
      </c>
      <c r="G66" s="35" t="str">
        <f t="shared" si="59"/>
        <v>A</v>
      </c>
      <c r="H66" s="472">
        <f>DataSheet!L121+D66</f>
        <v>9.2479999999999993</v>
      </c>
      <c r="I66" s="472"/>
      <c r="J66" s="472">
        <f>DataSheet!L121-D66</f>
        <v>8.7520000000000007</v>
      </c>
      <c r="K66" s="472"/>
      <c r="L66" s="473" t="str">
        <f t="shared" si="51"/>
        <v>PASSED</v>
      </c>
      <c r="M66" s="473"/>
      <c r="N66" s="39">
        <f>DataSheet!DD121+B66</f>
        <v>9.0059408192476571</v>
      </c>
      <c r="O66" s="40" t="str">
        <f t="shared" si="52"/>
        <v>A</v>
      </c>
      <c r="P66" s="39">
        <f t="shared" si="60"/>
        <v>9.2479999999999993</v>
      </c>
      <c r="Q66" s="40" t="str">
        <f t="shared" si="61"/>
        <v>A</v>
      </c>
      <c r="R66" s="467" t="str">
        <f t="shared" si="55"/>
        <v>PASSED</v>
      </c>
      <c r="S66" s="467"/>
      <c r="T66" s="39">
        <f t="shared" si="56"/>
        <v>8.9940591807523429</v>
      </c>
      <c r="U66" s="37" t="str">
        <f t="shared" si="57"/>
        <v>A</v>
      </c>
      <c r="V66" s="465" t="str">
        <f t="shared" si="58"/>
        <v>PASSED</v>
      </c>
      <c r="W66" s="465"/>
      <c r="X66" s="464" t="str">
        <f>IF(AND(L66="PASSED",R66="PASSED",V66="PASSED"),"PASSED",IF(L66="FAILED","FAILED","UNDETERMINED"))</f>
        <v>PASSED</v>
      </c>
      <c r="Y66" s="464"/>
    </row>
    <row r="67" spans="2:25">
      <c r="B67" s="463" t="str">
        <f>DataSheet!F123</f>
        <v>AC Current Test</v>
      </c>
      <c r="C67" s="463"/>
      <c r="D67" s="463"/>
      <c r="E67" s="463"/>
      <c r="F67" s="463"/>
      <c r="G67" s="463"/>
      <c r="H67" s="463"/>
      <c r="I67" s="463"/>
      <c r="J67" s="463"/>
      <c r="K67" s="463"/>
      <c r="L67" s="463"/>
      <c r="M67" s="463"/>
      <c r="N67" s="463"/>
      <c r="O67" s="463"/>
      <c r="P67" s="463"/>
      <c r="Q67" s="463"/>
      <c r="R67" s="463"/>
      <c r="S67" s="463"/>
      <c r="T67" s="463"/>
      <c r="U67" s="463"/>
      <c r="V67" s="463"/>
      <c r="W67" s="463"/>
      <c r="X67" s="454" t="s">
        <v>119</v>
      </c>
      <c r="Y67" s="454"/>
    </row>
    <row r="68" spans="2:25">
      <c r="B68" s="463"/>
      <c r="C68" s="463"/>
      <c r="D68" s="463"/>
      <c r="E68" s="463"/>
      <c r="F68" s="463"/>
      <c r="G68" s="463"/>
      <c r="H68" s="463"/>
      <c r="I68" s="463"/>
      <c r="J68" s="463"/>
      <c r="K68" s="463"/>
      <c r="L68" s="463"/>
      <c r="M68" s="463"/>
      <c r="N68" s="463"/>
      <c r="O68" s="463"/>
      <c r="P68" s="463"/>
      <c r="Q68" s="463"/>
      <c r="R68" s="463"/>
      <c r="S68" s="463"/>
      <c r="T68" s="463"/>
      <c r="U68" s="463"/>
      <c r="V68" s="463"/>
      <c r="W68" s="463"/>
      <c r="X68" s="454"/>
      <c r="Y68" s="454"/>
    </row>
    <row r="69" spans="2:25">
      <c r="B69" s="454" t="s">
        <v>73</v>
      </c>
      <c r="C69" s="454"/>
      <c r="D69" s="463" t="s">
        <v>75</v>
      </c>
      <c r="E69" s="463"/>
      <c r="F69" s="457" t="s">
        <v>114</v>
      </c>
      <c r="G69" s="458"/>
      <c r="H69" s="463" t="s">
        <v>76</v>
      </c>
      <c r="I69" s="463"/>
      <c r="J69" s="463" t="s">
        <v>77</v>
      </c>
      <c r="K69" s="463"/>
      <c r="L69" s="463" t="s">
        <v>78</v>
      </c>
      <c r="M69" s="463"/>
      <c r="N69" s="466" t="s">
        <v>120</v>
      </c>
      <c r="O69" s="463"/>
      <c r="P69" s="463" t="s">
        <v>76</v>
      </c>
      <c r="Q69" s="463"/>
      <c r="R69" s="463" t="s">
        <v>78</v>
      </c>
      <c r="S69" s="463"/>
      <c r="T69" s="466" t="s">
        <v>121</v>
      </c>
      <c r="U69" s="463"/>
      <c r="V69" s="463" t="s">
        <v>78</v>
      </c>
      <c r="W69" s="463"/>
      <c r="X69" s="454"/>
      <c r="Y69" s="454"/>
    </row>
    <row r="70" spans="2:25">
      <c r="B70" s="454"/>
      <c r="C70" s="454"/>
      <c r="D70" s="463"/>
      <c r="E70" s="463"/>
      <c r="F70" s="461"/>
      <c r="G70" s="462"/>
      <c r="H70" s="463"/>
      <c r="I70" s="463"/>
      <c r="J70" s="463"/>
      <c r="K70" s="463"/>
      <c r="L70" s="463"/>
      <c r="M70" s="463"/>
      <c r="N70" s="463"/>
      <c r="O70" s="463"/>
      <c r="P70" s="463"/>
      <c r="Q70" s="463"/>
      <c r="R70" s="463"/>
      <c r="S70" s="463"/>
      <c r="T70" s="463"/>
      <c r="U70" s="463"/>
      <c r="V70" s="463"/>
      <c r="W70" s="463"/>
      <c r="X70" s="454"/>
      <c r="Y70" s="454"/>
    </row>
    <row r="71" spans="2:25">
      <c r="B71" s="45">
        <f>DataSheet!AM134</f>
        <v>5.4000000000000012</v>
      </c>
      <c r="C71" s="46" t="str">
        <f>DataSheet!P134</f>
        <v>A</v>
      </c>
      <c r="D71" s="34">
        <f>ABS((DataSheet!AM134*2.8%)+(5*DataSheet!CK134))</f>
        <v>0.15620000000000003</v>
      </c>
      <c r="E71" s="37" t="str">
        <f t="shared" ref="E71:E74" si="62">C71</f>
        <v>A</v>
      </c>
      <c r="F71" s="38">
        <f>DataSheet!DD134</f>
        <v>1.0016652800877813E-2</v>
      </c>
      <c r="G71" s="35" t="str">
        <f>C71</f>
        <v>A</v>
      </c>
      <c r="H71" s="474">
        <f>DataSheet!L134+D71</f>
        <v>5.5562000000000005</v>
      </c>
      <c r="I71" s="474"/>
      <c r="J71" s="474">
        <f>DataSheet!L134-D71</f>
        <v>5.2438000000000002</v>
      </c>
      <c r="K71" s="474"/>
      <c r="L71" s="473" t="str">
        <f t="shared" ref="L71:L74" si="63">IF(AND(B71&lt;=H71,B71&gt;=J71),"PASSED","FAILED")</f>
        <v>PASSED</v>
      </c>
      <c r="M71" s="473"/>
      <c r="N71" s="34">
        <f>DataSheet!DD134+B71</f>
        <v>5.4100166528008788</v>
      </c>
      <c r="O71" s="35" t="str">
        <f t="shared" ref="O71:O74" si="64">G71</f>
        <v>A</v>
      </c>
      <c r="P71" s="34">
        <f t="shared" ref="P71" si="65">H71</f>
        <v>5.5562000000000005</v>
      </c>
      <c r="Q71" s="35" t="str">
        <f t="shared" ref="Q71" si="66">O71</f>
        <v>A</v>
      </c>
      <c r="R71" s="469" t="str">
        <f t="shared" ref="R71:R74" si="67">IF(AND(N71&lt;=H71,N71&gt;=J71),"PASSED","FAILED")</f>
        <v>PASSED</v>
      </c>
      <c r="S71" s="469"/>
      <c r="T71" s="34">
        <f t="shared" ref="T71:T74" si="68">-F71+B71</f>
        <v>5.3899833471991236</v>
      </c>
      <c r="U71" s="35" t="str">
        <f t="shared" ref="U71:U74" si="69">O71</f>
        <v>A</v>
      </c>
      <c r="V71" s="465" t="str">
        <f t="shared" ref="V71:V74" si="70">IF(AND(T71&lt;=H71,T71&gt;=J71),"PASSED","FAILED")</f>
        <v>PASSED</v>
      </c>
      <c r="W71" s="465"/>
      <c r="X71" s="464" t="str">
        <f>IF(AND(L71="PASSED",R71="PASSED",V71="PASSED"),"PASSED",IF(L71="FAILED","FAILED","UNDETERMINED"))</f>
        <v>PASSED</v>
      </c>
      <c r="Y71" s="464"/>
    </row>
    <row r="72" spans="2:25">
      <c r="B72" s="45">
        <f>DataSheet!AM135</f>
        <v>5.4000000000000012</v>
      </c>
      <c r="C72" s="46" t="str">
        <f>DataSheet!P135</f>
        <v>A</v>
      </c>
      <c r="D72" s="34">
        <f>ABS((DataSheet!AM135*2.8%)+(5*DataSheet!CK135))</f>
        <v>0.15620000000000003</v>
      </c>
      <c r="E72" s="37" t="str">
        <f t="shared" si="62"/>
        <v>A</v>
      </c>
      <c r="F72" s="38">
        <f>DataSheet!DD135</f>
        <v>1.1015141094572203E-2</v>
      </c>
      <c r="G72" s="35" t="str">
        <f t="shared" ref="G72:G74" si="71">C72</f>
        <v>A</v>
      </c>
      <c r="H72" s="474">
        <f>DataSheet!L135+D72</f>
        <v>5.5562000000000005</v>
      </c>
      <c r="I72" s="474"/>
      <c r="J72" s="474">
        <f>DataSheet!L135-D72</f>
        <v>5.2438000000000002</v>
      </c>
      <c r="K72" s="474"/>
      <c r="L72" s="473" t="str">
        <f t="shared" si="63"/>
        <v>PASSED</v>
      </c>
      <c r="M72" s="473"/>
      <c r="N72" s="34">
        <f>DataSheet!DD135+B72</f>
        <v>5.4110151410945733</v>
      </c>
      <c r="O72" s="35" t="str">
        <f t="shared" si="64"/>
        <v>A</v>
      </c>
      <c r="P72" s="34">
        <f t="shared" ref="P72:P73" si="72">H72</f>
        <v>5.5562000000000005</v>
      </c>
      <c r="Q72" s="35" t="str">
        <f t="shared" ref="Q72:Q73" si="73">O72</f>
        <v>A</v>
      </c>
      <c r="R72" s="469" t="str">
        <f t="shared" si="67"/>
        <v>PASSED</v>
      </c>
      <c r="S72" s="469"/>
      <c r="T72" s="34">
        <f t="shared" si="68"/>
        <v>5.3889848589054292</v>
      </c>
      <c r="U72" s="35" t="str">
        <f t="shared" si="69"/>
        <v>A</v>
      </c>
      <c r="V72" s="465" t="str">
        <f t="shared" si="70"/>
        <v>PASSED</v>
      </c>
      <c r="W72" s="465"/>
      <c r="X72" s="464" t="str">
        <f>IF(AND(L72="PASSED",R72="PASSED",V72="PASSED"),"PASSED",IF(L72="FAILED","FAILED","UNDETERMINED"))</f>
        <v>PASSED</v>
      </c>
      <c r="Y72" s="464"/>
    </row>
    <row r="73" spans="2:25">
      <c r="B73" s="43">
        <f>DataSheet!AM136</f>
        <v>9</v>
      </c>
      <c r="C73" s="44" t="str">
        <f>DataSheet!P136</f>
        <v>A</v>
      </c>
      <c r="D73" s="39">
        <f>ABS((DataSheet!AM136*2.8%)+(5*DataSheet!CK136))</f>
        <v>0.30199999999999999</v>
      </c>
      <c r="E73" s="37" t="str">
        <f t="shared" si="62"/>
        <v>A</v>
      </c>
      <c r="F73" s="38">
        <f>DataSheet!DD136</f>
        <v>1.1547005383792516E-2</v>
      </c>
      <c r="G73" s="35" t="str">
        <f t="shared" si="71"/>
        <v>A</v>
      </c>
      <c r="H73" s="472">
        <f>DataSheet!L136+D73</f>
        <v>9.3019999999999996</v>
      </c>
      <c r="I73" s="472"/>
      <c r="J73" s="472">
        <f>DataSheet!L136-D73</f>
        <v>8.6980000000000004</v>
      </c>
      <c r="K73" s="472"/>
      <c r="L73" s="473" t="str">
        <f t="shared" si="63"/>
        <v>PASSED</v>
      </c>
      <c r="M73" s="473"/>
      <c r="N73" s="39">
        <f>DataSheet!DD136+B73</f>
        <v>9.0115470053837932</v>
      </c>
      <c r="O73" s="40" t="str">
        <f t="shared" si="64"/>
        <v>A</v>
      </c>
      <c r="P73" s="39">
        <f t="shared" si="72"/>
        <v>9.3019999999999996</v>
      </c>
      <c r="Q73" s="40" t="str">
        <f t="shared" si="73"/>
        <v>A</v>
      </c>
      <c r="R73" s="467" t="str">
        <f t="shared" si="67"/>
        <v>PASSED</v>
      </c>
      <c r="S73" s="467"/>
      <c r="T73" s="39">
        <f t="shared" si="68"/>
        <v>8.9884529946162068</v>
      </c>
      <c r="U73" s="37" t="str">
        <f t="shared" si="69"/>
        <v>A</v>
      </c>
      <c r="V73" s="465" t="str">
        <f t="shared" si="70"/>
        <v>PASSED</v>
      </c>
      <c r="W73" s="465"/>
      <c r="X73" s="464" t="str">
        <f>IF(AND(L73="PASSED",R73="PASSED",V73="PASSED"),"PASSED",IF(L73="FAILED","FAILED","UNDETERMINED"))</f>
        <v>PASSED</v>
      </c>
      <c r="Y73" s="464"/>
    </row>
    <row r="74" spans="2:25">
      <c r="B74" s="43">
        <f>DataSheet!AM137</f>
        <v>9</v>
      </c>
      <c r="C74" s="44" t="str">
        <f>DataSheet!P137</f>
        <v>A</v>
      </c>
      <c r="D74" s="39">
        <f>ABS((DataSheet!AM137*2.8%)+(5*DataSheet!CK137))</f>
        <v>0.30199999999999999</v>
      </c>
      <c r="E74" s="37" t="str">
        <f t="shared" si="62"/>
        <v>A</v>
      </c>
      <c r="F74" s="38">
        <f>DataSheet!DD137</f>
        <v>1.2423096769056148E-2</v>
      </c>
      <c r="G74" s="35" t="str">
        <f t="shared" si="71"/>
        <v>A</v>
      </c>
      <c r="H74" s="472">
        <f>DataSheet!L137+D74</f>
        <v>9.3019999999999996</v>
      </c>
      <c r="I74" s="472"/>
      <c r="J74" s="472">
        <f>DataSheet!L137-D74</f>
        <v>8.6980000000000004</v>
      </c>
      <c r="K74" s="472"/>
      <c r="L74" s="473" t="str">
        <f t="shared" si="63"/>
        <v>PASSED</v>
      </c>
      <c r="M74" s="473"/>
      <c r="N74" s="39">
        <f>DataSheet!DD137+B74</f>
        <v>9.0124230967690568</v>
      </c>
      <c r="O74" s="40" t="str">
        <f t="shared" si="64"/>
        <v>A</v>
      </c>
      <c r="P74" s="39">
        <f t="shared" ref="P74" si="74">H74</f>
        <v>9.3019999999999996</v>
      </c>
      <c r="Q74" s="40" t="str">
        <f t="shared" ref="Q74" si="75">O74</f>
        <v>A</v>
      </c>
      <c r="R74" s="467" t="str">
        <f t="shared" si="67"/>
        <v>PASSED</v>
      </c>
      <c r="S74" s="467"/>
      <c r="T74" s="39">
        <f t="shared" si="68"/>
        <v>8.9875769032309432</v>
      </c>
      <c r="U74" s="37" t="str">
        <f t="shared" si="69"/>
        <v>A</v>
      </c>
      <c r="V74" s="465" t="str">
        <f t="shared" si="70"/>
        <v>PASSED</v>
      </c>
      <c r="W74" s="465"/>
      <c r="X74" s="464" t="str">
        <f>IF(AND(L74="PASSED",R74="PASSED",V74="PASSED"),"PASSED",IF(L74="FAILED","FAILED","UNDETERMINED"))</f>
        <v>PASSED</v>
      </c>
      <c r="Y74" s="464"/>
    </row>
    <row r="75" spans="2:25">
      <c r="D75" s="33"/>
      <c r="E75" s="33"/>
      <c r="F75" s="33"/>
      <c r="G75" s="33"/>
      <c r="H75" s="33"/>
      <c r="I75" s="33"/>
      <c r="J75" s="33"/>
      <c r="K75" s="33"/>
      <c r="L75" s="33"/>
      <c r="M75" s="33"/>
      <c r="N75" s="33"/>
      <c r="O75" s="33"/>
      <c r="P75" s="33"/>
      <c r="Q75" s="33"/>
      <c r="T75" s="33"/>
      <c r="U75" s="33"/>
    </row>
  </sheetData>
  <sheetProtection password="CAF0" sheet="1" objects="1" scenarios="1"/>
  <mergeCells count="329">
    <mergeCell ref="L15:M15"/>
    <mergeCell ref="L16:M16"/>
    <mergeCell ref="L13:M13"/>
    <mergeCell ref="L14:M14"/>
    <mergeCell ref="L11:M11"/>
    <mergeCell ref="L12:M12"/>
    <mergeCell ref="D7:E9"/>
    <mergeCell ref="H7:I9"/>
    <mergeCell ref="J7:K9"/>
    <mergeCell ref="L7:M9"/>
    <mergeCell ref="L10:M10"/>
    <mergeCell ref="L25:M25"/>
    <mergeCell ref="L26:M26"/>
    <mergeCell ref="L23:M23"/>
    <mergeCell ref="L24:M24"/>
    <mergeCell ref="L21:M21"/>
    <mergeCell ref="L22:M22"/>
    <mergeCell ref="L19:M19"/>
    <mergeCell ref="L20:M20"/>
    <mergeCell ref="L17:M17"/>
    <mergeCell ref="L18:M18"/>
    <mergeCell ref="H32:I32"/>
    <mergeCell ref="J32:K32"/>
    <mergeCell ref="L32:M32"/>
    <mergeCell ref="H33:I33"/>
    <mergeCell ref="J33:K33"/>
    <mergeCell ref="L33:M33"/>
    <mergeCell ref="D29:E30"/>
    <mergeCell ref="H29:I30"/>
    <mergeCell ref="J29:K30"/>
    <mergeCell ref="L29:M30"/>
    <mergeCell ref="H31:I31"/>
    <mergeCell ref="J31:K31"/>
    <mergeCell ref="L31:M31"/>
    <mergeCell ref="F29:G30"/>
    <mergeCell ref="H36:I36"/>
    <mergeCell ref="J36:K36"/>
    <mergeCell ref="L36:M36"/>
    <mergeCell ref="H37:I37"/>
    <mergeCell ref="J37:K37"/>
    <mergeCell ref="L37:M37"/>
    <mergeCell ref="H34:I34"/>
    <mergeCell ref="J34:K34"/>
    <mergeCell ref="L34:M34"/>
    <mergeCell ref="H35:I35"/>
    <mergeCell ref="J35:K35"/>
    <mergeCell ref="L35:M35"/>
    <mergeCell ref="H40:I40"/>
    <mergeCell ref="J40:K40"/>
    <mergeCell ref="L40:M40"/>
    <mergeCell ref="H41:I41"/>
    <mergeCell ref="J41:K41"/>
    <mergeCell ref="L41:M41"/>
    <mergeCell ref="H38:I38"/>
    <mergeCell ref="J38:K38"/>
    <mergeCell ref="L38:M38"/>
    <mergeCell ref="H39:I39"/>
    <mergeCell ref="J39:K39"/>
    <mergeCell ref="L39:M39"/>
    <mergeCell ref="H44:I44"/>
    <mergeCell ref="J44:K44"/>
    <mergeCell ref="L44:M44"/>
    <mergeCell ref="H45:I45"/>
    <mergeCell ref="J45:K45"/>
    <mergeCell ref="L45:M45"/>
    <mergeCell ref="H42:I42"/>
    <mergeCell ref="J42:K42"/>
    <mergeCell ref="L42:M42"/>
    <mergeCell ref="H43:I43"/>
    <mergeCell ref="J43:K43"/>
    <mergeCell ref="L43:M43"/>
    <mergeCell ref="H48:I48"/>
    <mergeCell ref="J48:K48"/>
    <mergeCell ref="L48:M48"/>
    <mergeCell ref="D51:E52"/>
    <mergeCell ref="H51:I52"/>
    <mergeCell ref="J51:K52"/>
    <mergeCell ref="L51:M52"/>
    <mergeCell ref="F51:G52"/>
    <mergeCell ref="H46:I46"/>
    <mergeCell ref="J46:K46"/>
    <mergeCell ref="L46:M46"/>
    <mergeCell ref="H47:I47"/>
    <mergeCell ref="J47:K47"/>
    <mergeCell ref="L47:M47"/>
    <mergeCell ref="H55:I55"/>
    <mergeCell ref="J55:K55"/>
    <mergeCell ref="L55:M55"/>
    <mergeCell ref="H56:I56"/>
    <mergeCell ref="J56:K56"/>
    <mergeCell ref="L56:M56"/>
    <mergeCell ref="H53:I53"/>
    <mergeCell ref="J53:K53"/>
    <mergeCell ref="L53:M53"/>
    <mergeCell ref="H54:I54"/>
    <mergeCell ref="J54:K54"/>
    <mergeCell ref="L54:M54"/>
    <mergeCell ref="D62:E63"/>
    <mergeCell ref="H62:I63"/>
    <mergeCell ref="J62:K63"/>
    <mergeCell ref="L62:M63"/>
    <mergeCell ref="B60:W61"/>
    <mergeCell ref="F62:G63"/>
    <mergeCell ref="H57:I57"/>
    <mergeCell ref="J57:K57"/>
    <mergeCell ref="L57:M57"/>
    <mergeCell ref="H58:I58"/>
    <mergeCell ref="J58:K58"/>
    <mergeCell ref="L58:M58"/>
    <mergeCell ref="R58:S58"/>
    <mergeCell ref="R59:S59"/>
    <mergeCell ref="H64:I64"/>
    <mergeCell ref="J64:K64"/>
    <mergeCell ref="L64:M64"/>
    <mergeCell ref="H65:I65"/>
    <mergeCell ref="J65:K65"/>
    <mergeCell ref="L65:M65"/>
    <mergeCell ref="H59:I59"/>
    <mergeCell ref="J59:K59"/>
    <mergeCell ref="L59:M59"/>
    <mergeCell ref="H66:I66"/>
    <mergeCell ref="J66:K66"/>
    <mergeCell ref="L66:M66"/>
    <mergeCell ref="D69:E70"/>
    <mergeCell ref="H69:I70"/>
    <mergeCell ref="J69:K70"/>
    <mergeCell ref="L69:M70"/>
    <mergeCell ref="B67:W68"/>
    <mergeCell ref="F69:G70"/>
    <mergeCell ref="H73:I73"/>
    <mergeCell ref="J73:K73"/>
    <mergeCell ref="L73:M73"/>
    <mergeCell ref="H74:I74"/>
    <mergeCell ref="J74:K74"/>
    <mergeCell ref="L74:M74"/>
    <mergeCell ref="H71:I71"/>
    <mergeCell ref="J71:K71"/>
    <mergeCell ref="L71:M71"/>
    <mergeCell ref="H72:I72"/>
    <mergeCell ref="J72:K72"/>
    <mergeCell ref="L72:M72"/>
    <mergeCell ref="R12:S12"/>
    <mergeCell ref="R13:S13"/>
    <mergeCell ref="R10:S10"/>
    <mergeCell ref="R11:S11"/>
    <mergeCell ref="N7:O9"/>
    <mergeCell ref="P7:Q9"/>
    <mergeCell ref="R7:S9"/>
    <mergeCell ref="B3:G4"/>
    <mergeCell ref="H3:M4"/>
    <mergeCell ref="N3:W4"/>
    <mergeCell ref="T7:U9"/>
    <mergeCell ref="V7:W9"/>
    <mergeCell ref="R22:S22"/>
    <mergeCell ref="R23:S23"/>
    <mergeCell ref="R20:S20"/>
    <mergeCell ref="R21:S21"/>
    <mergeCell ref="R18:S18"/>
    <mergeCell ref="R19:S19"/>
    <mergeCell ref="R16:S16"/>
    <mergeCell ref="R17:S17"/>
    <mergeCell ref="R14:S14"/>
    <mergeCell ref="R15:S15"/>
    <mergeCell ref="R34:S34"/>
    <mergeCell ref="R31:S31"/>
    <mergeCell ref="R32:S32"/>
    <mergeCell ref="R26:S26"/>
    <mergeCell ref="N29:O30"/>
    <mergeCell ref="P29:Q30"/>
    <mergeCell ref="R29:S30"/>
    <mergeCell ref="R24:S24"/>
    <mergeCell ref="R25:S25"/>
    <mergeCell ref="R72:S72"/>
    <mergeCell ref="R73:S73"/>
    <mergeCell ref="N69:O70"/>
    <mergeCell ref="P69:Q70"/>
    <mergeCell ref="R69:S70"/>
    <mergeCell ref="R71:S71"/>
    <mergeCell ref="R65:S65"/>
    <mergeCell ref="R66:S66"/>
    <mergeCell ref="N62:O63"/>
    <mergeCell ref="P62:Q63"/>
    <mergeCell ref="R62:S63"/>
    <mergeCell ref="R64:S64"/>
    <mergeCell ref="R56:S56"/>
    <mergeCell ref="R57:S57"/>
    <mergeCell ref="R54:S54"/>
    <mergeCell ref="R55:S55"/>
    <mergeCell ref="N51:O52"/>
    <mergeCell ref="P51:Q52"/>
    <mergeCell ref="R51:S52"/>
    <mergeCell ref="R53:S53"/>
    <mergeCell ref="V16:W16"/>
    <mergeCell ref="V17:W17"/>
    <mergeCell ref="V24:W24"/>
    <mergeCell ref="V25:W25"/>
    <mergeCell ref="V22:W22"/>
    <mergeCell ref="V23:W23"/>
    <mergeCell ref="V20:W20"/>
    <mergeCell ref="V21:W21"/>
    <mergeCell ref="V18:W18"/>
    <mergeCell ref="V19:W19"/>
    <mergeCell ref="V37:W37"/>
    <mergeCell ref="V38:W38"/>
    <mergeCell ref="V35:W35"/>
    <mergeCell ref="V36:W36"/>
    <mergeCell ref="V33:W33"/>
    <mergeCell ref="V34:W34"/>
    <mergeCell ref="V14:W14"/>
    <mergeCell ref="V15:W15"/>
    <mergeCell ref="V12:W12"/>
    <mergeCell ref="V13:W13"/>
    <mergeCell ref="V10:W10"/>
    <mergeCell ref="V11:W11"/>
    <mergeCell ref="R74:S74"/>
    <mergeCell ref="R47:S47"/>
    <mergeCell ref="R48:S48"/>
    <mergeCell ref="R45:S45"/>
    <mergeCell ref="R46:S46"/>
    <mergeCell ref="R43:S43"/>
    <mergeCell ref="R44:S44"/>
    <mergeCell ref="R41:S41"/>
    <mergeCell ref="R42:S42"/>
    <mergeCell ref="R39:S39"/>
    <mergeCell ref="R40:S40"/>
    <mergeCell ref="R37:S37"/>
    <mergeCell ref="R38:S38"/>
    <mergeCell ref="R35:S35"/>
    <mergeCell ref="R36:S36"/>
    <mergeCell ref="R33:S33"/>
    <mergeCell ref="T29:U30"/>
    <mergeCell ref="V29:W30"/>
    <mergeCell ref="V31:W31"/>
    <mergeCell ref="V32:W32"/>
    <mergeCell ref="V26:W26"/>
    <mergeCell ref="V48:W48"/>
    <mergeCell ref="V45:W45"/>
    <mergeCell ref="V46:W46"/>
    <mergeCell ref="V43:W43"/>
    <mergeCell ref="V44:W44"/>
    <mergeCell ref="V41:W41"/>
    <mergeCell ref="V42:W42"/>
    <mergeCell ref="V39:W39"/>
    <mergeCell ref="V40:W40"/>
    <mergeCell ref="V74:W74"/>
    <mergeCell ref="X10:Y10"/>
    <mergeCell ref="X59:Y59"/>
    <mergeCell ref="X11:Y11"/>
    <mergeCell ref="V72:W72"/>
    <mergeCell ref="V73:W73"/>
    <mergeCell ref="T69:U70"/>
    <mergeCell ref="V69:W70"/>
    <mergeCell ref="V71:W71"/>
    <mergeCell ref="V65:W65"/>
    <mergeCell ref="V66:W66"/>
    <mergeCell ref="T62:U63"/>
    <mergeCell ref="V62:W63"/>
    <mergeCell ref="V64:W64"/>
    <mergeCell ref="V58:W58"/>
    <mergeCell ref="V59:W59"/>
    <mergeCell ref="V56:W56"/>
    <mergeCell ref="V57:W57"/>
    <mergeCell ref="V54:W54"/>
    <mergeCell ref="V55:W55"/>
    <mergeCell ref="T51:U52"/>
    <mergeCell ref="V51:W52"/>
    <mergeCell ref="V53:W53"/>
    <mergeCell ref="V47:W47"/>
    <mergeCell ref="X18:Y18"/>
    <mergeCell ref="X19:Y19"/>
    <mergeCell ref="X20:Y20"/>
    <mergeCell ref="X21:Y21"/>
    <mergeCell ref="X22:Y22"/>
    <mergeCell ref="X23:Y23"/>
    <mergeCell ref="X12:Y12"/>
    <mergeCell ref="X13:Y13"/>
    <mergeCell ref="X14:Y14"/>
    <mergeCell ref="X15:Y15"/>
    <mergeCell ref="X16:Y16"/>
    <mergeCell ref="X17:Y17"/>
    <mergeCell ref="X38:Y38"/>
    <mergeCell ref="X39:Y39"/>
    <mergeCell ref="X24:Y24"/>
    <mergeCell ref="X25:Y25"/>
    <mergeCell ref="X26:Y26"/>
    <mergeCell ref="X31:Y31"/>
    <mergeCell ref="X32:Y32"/>
    <mergeCell ref="X33:Y33"/>
    <mergeCell ref="X27:Y30"/>
    <mergeCell ref="X73:Y73"/>
    <mergeCell ref="X74:Y74"/>
    <mergeCell ref="X67:Y70"/>
    <mergeCell ref="X60:Y63"/>
    <mergeCell ref="X49:Y52"/>
    <mergeCell ref="X64:Y64"/>
    <mergeCell ref="X71:Y71"/>
    <mergeCell ref="X65:Y65"/>
    <mergeCell ref="X66:Y66"/>
    <mergeCell ref="X72:Y72"/>
    <mergeCell ref="X54:Y54"/>
    <mergeCell ref="X55:Y55"/>
    <mergeCell ref="X56:Y56"/>
    <mergeCell ref="X57:Y57"/>
    <mergeCell ref="X58:Y58"/>
    <mergeCell ref="X53:Y53"/>
    <mergeCell ref="X3:Y9"/>
    <mergeCell ref="B7:C9"/>
    <mergeCell ref="B29:C30"/>
    <mergeCell ref="B51:C52"/>
    <mergeCell ref="B62:C63"/>
    <mergeCell ref="B69:C70"/>
    <mergeCell ref="B2:Y2"/>
    <mergeCell ref="F7:G9"/>
    <mergeCell ref="B5:W6"/>
    <mergeCell ref="B27:W28"/>
    <mergeCell ref="B49:W50"/>
    <mergeCell ref="X46:Y46"/>
    <mergeCell ref="X47:Y47"/>
    <mergeCell ref="X48:Y48"/>
    <mergeCell ref="X40:Y40"/>
    <mergeCell ref="X41:Y41"/>
    <mergeCell ref="X42:Y42"/>
    <mergeCell ref="X43:Y43"/>
    <mergeCell ref="X44:Y44"/>
    <mergeCell ref="X45:Y45"/>
    <mergeCell ref="X34:Y34"/>
    <mergeCell ref="X35:Y35"/>
    <mergeCell ref="X36:Y36"/>
    <mergeCell ref="X37:Y37"/>
  </mergeCells>
  <conditionalFormatting sqref="L10">
    <cfRule type="colorScale" priority="109">
      <colorScale>
        <cfvo type="min"/>
        <cfvo type="percentile" val="50"/>
        <cfvo type="max"/>
        <color rgb="FFF8696B"/>
        <color rgb="FFFFEB84"/>
        <color rgb="FF63BE7B"/>
      </colorScale>
    </cfRule>
  </conditionalFormatting>
  <conditionalFormatting sqref="L10:L26">
    <cfRule type="containsText" dxfId="14" priority="104" operator="containsText" text="FAILED">
      <formula>NOT(ISERROR(SEARCH("FAILED",L10)))</formula>
    </cfRule>
    <cfRule type="containsText" dxfId="13" priority="105" operator="containsText" text="PASSED">
      <formula>NOT(ISERROR(SEARCH("PASSED",L10)))</formula>
    </cfRule>
  </conditionalFormatting>
  <conditionalFormatting sqref="L11:L26">
    <cfRule type="colorScale" priority="106">
      <colorScale>
        <cfvo type="min"/>
        <cfvo type="percentile" val="50"/>
        <cfvo type="max"/>
        <color rgb="FFF8696B"/>
        <color rgb="FFFFEB84"/>
        <color rgb="FF63BE7B"/>
      </colorScale>
    </cfRule>
  </conditionalFormatting>
  <conditionalFormatting sqref="L31:L48">
    <cfRule type="containsText" dxfId="12" priority="101" operator="containsText" text="FAILED">
      <formula>NOT(ISERROR(SEARCH("FAILED",L31)))</formula>
    </cfRule>
    <cfRule type="containsText" dxfId="11" priority="102" operator="containsText" text="PASSED">
      <formula>NOT(ISERROR(SEARCH("PASSED",L31)))</formula>
    </cfRule>
    <cfRule type="colorScale" priority="103">
      <colorScale>
        <cfvo type="min"/>
        <cfvo type="percentile" val="50"/>
        <cfvo type="max"/>
        <color rgb="FFF8696B"/>
        <color rgb="FFFFEB84"/>
        <color rgb="FF63BE7B"/>
      </colorScale>
    </cfRule>
  </conditionalFormatting>
  <conditionalFormatting sqref="L53:L59">
    <cfRule type="containsText" dxfId="10" priority="98" operator="containsText" text="FAILED">
      <formula>NOT(ISERROR(SEARCH("FAILED",L53)))</formula>
    </cfRule>
    <cfRule type="containsText" dxfId="9" priority="99" operator="containsText" text="PASSED">
      <formula>NOT(ISERROR(SEARCH("PASSED",L53)))</formula>
    </cfRule>
    <cfRule type="colorScale" priority="100">
      <colorScale>
        <cfvo type="min"/>
        <cfvo type="percentile" val="50"/>
        <cfvo type="max"/>
        <color rgb="FFF8696B"/>
        <color rgb="FFFFEB84"/>
        <color rgb="FF63BE7B"/>
      </colorScale>
    </cfRule>
  </conditionalFormatting>
  <conditionalFormatting sqref="L64:L66">
    <cfRule type="containsText" dxfId="8" priority="95" operator="containsText" text="FAILED">
      <formula>NOT(ISERROR(SEARCH("FAILED",L64)))</formula>
    </cfRule>
    <cfRule type="containsText" dxfId="7" priority="96" operator="containsText" text="PASSED">
      <formula>NOT(ISERROR(SEARCH("PASSED",L64)))</formula>
    </cfRule>
    <cfRule type="colorScale" priority="97">
      <colorScale>
        <cfvo type="min"/>
        <cfvo type="percentile" val="50"/>
        <cfvo type="max"/>
        <color rgb="FFF8696B"/>
        <color rgb="FFFFEB84"/>
        <color rgb="FF63BE7B"/>
      </colorScale>
    </cfRule>
  </conditionalFormatting>
  <conditionalFormatting sqref="L71:L74">
    <cfRule type="containsText" dxfId="6" priority="92" operator="containsText" text="FAILED">
      <formula>NOT(ISERROR(SEARCH("FAILED",L71)))</formula>
    </cfRule>
    <cfRule type="containsText" dxfId="5" priority="93" operator="containsText" text="PASSED">
      <formula>NOT(ISERROR(SEARCH("PASSED",L71)))</formula>
    </cfRule>
    <cfRule type="colorScale" priority="94">
      <colorScale>
        <cfvo type="min"/>
        <cfvo type="percentile" val="50"/>
        <cfvo type="max"/>
        <color rgb="FFF8696B"/>
        <color rgb="FFFFEB84"/>
        <color rgb="FF63BE7B"/>
      </colorScale>
    </cfRule>
  </conditionalFormatting>
  <conditionalFormatting sqref="R10:S26 R31:S48 R53:S59 R64:S66 R71:S74">
    <cfRule type="containsText" dxfId="4" priority="90" operator="containsText" text="FAILED">
      <formula>NOT(ISERROR(SEARCH("FAILED",R10)))</formula>
    </cfRule>
    <cfRule type="containsText" dxfId="3" priority="91" operator="containsText" text="PASSED">
      <formula>NOT(ISERROR(SEARCH("PASSED",R10)))</formula>
    </cfRule>
  </conditionalFormatting>
  <conditionalFormatting sqref="V10:Y26 V31:Y48 V53:Y59 V64:Y66 V71:Y74">
    <cfRule type="containsText" dxfId="2" priority="32" operator="containsText" text="FAILED">
      <formula>NOT(ISERROR(SEARCH("FAILED",V10)))</formula>
    </cfRule>
    <cfRule type="containsText" dxfId="1" priority="33" operator="containsText" text="PASSED">
      <formula>NOT(ISERROR(SEARCH("PASSED",V10)))</formula>
    </cfRule>
  </conditionalFormatting>
  <conditionalFormatting sqref="X10:Y26 X31:Y48 X53:Y59 X64:Y66 X71:Y74">
    <cfRule type="containsText" dxfId="0" priority="31" operator="containsText" text="UNDETERMINED">
      <formula>NOT(ISERROR(SEARCH("UNDETERMINED",X10)))</formula>
    </cfRule>
  </conditionalFormatting>
  <pageMargins left="0.7" right="0.7" top="0.75" bottom="0.75" header="0.3" footer="0.3"/>
  <pageSetup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A104" sqref="A104"/>
    </sheetView>
  </sheetViews>
  <sheetFormatPr defaultColWidth="9.140625" defaultRowHeight="15"/>
  <cols>
    <col min="1" max="16384" width="9.140625" style="204"/>
  </cols>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Cal Certificate</vt:lpstr>
      <vt:lpstr>DataSheet</vt:lpstr>
      <vt:lpstr>PASSFAIL</vt:lpstr>
      <vt:lpstr>Specification</vt:lpstr>
      <vt:lpstr>'Cal Certificate'!Print_Area</vt:lpstr>
      <vt:lpstr>DataSheet!Print_Area</vt:lpstr>
      <vt:lpstr>'Cal Certificate'!Print_Titles</vt:lpstr>
      <vt:lpstr>DataSheet!Print_Titles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Cal-E1</dc:creator>
  <cp:lastModifiedBy>Danica Bea B. Neri</cp:lastModifiedBy>
  <cp:lastPrinted>2025-08-27T05:50:18Z</cp:lastPrinted>
  <dcterms:created xsi:type="dcterms:W3CDTF">2014-11-03T09:03:00Z</dcterms:created>
  <dcterms:modified xsi:type="dcterms:W3CDTF">2025-09-05T01:03:09Z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1033-10.2.0.5996</vt:lpwstr>
  </property>
  <property fmtid="{D5CDD505-2E9C-101B-9397-08002B2CF9AE}" pid="3" name="MSIP_Label_defa4170-0d19-0005-0004-bc88714345d2_Enabled">
    <vt:lpwstr>true</vt:lpwstr>
  </property>
  <property fmtid="{D5CDD505-2E9C-101B-9397-08002B2CF9AE}" pid="4" name="MSIP_Label_defa4170-0d19-0005-0004-bc88714345d2_SetDate">
    <vt:lpwstr>2024-08-14T02:27:11Z</vt:lpwstr>
  </property>
  <property fmtid="{D5CDD505-2E9C-101B-9397-08002B2CF9AE}" pid="5" name="MSIP_Label_defa4170-0d19-0005-0004-bc88714345d2_Method">
    <vt:lpwstr>Standard</vt:lpwstr>
  </property>
  <property fmtid="{D5CDD505-2E9C-101B-9397-08002B2CF9AE}" pid="6" name="MSIP_Label_defa4170-0d19-0005-0004-bc88714345d2_Name">
    <vt:lpwstr>defa4170-0d19-0005-0004-bc88714345d2</vt:lpwstr>
  </property>
  <property fmtid="{D5CDD505-2E9C-101B-9397-08002B2CF9AE}" pid="7" name="MSIP_Label_defa4170-0d19-0005-0004-bc88714345d2_SiteId">
    <vt:lpwstr>141973ea-b550-435a-9b01-5f6f577f630d</vt:lpwstr>
  </property>
  <property fmtid="{D5CDD505-2E9C-101B-9397-08002B2CF9AE}" pid="8" name="MSIP_Label_defa4170-0d19-0005-0004-bc88714345d2_ActionId">
    <vt:lpwstr>33d50624-c3c4-40ff-9188-716c806ea6df</vt:lpwstr>
  </property>
  <property fmtid="{D5CDD505-2E9C-101B-9397-08002B2CF9AE}" pid="9" name="MSIP_Label_defa4170-0d19-0005-0004-bc88714345d2_ContentBits">
    <vt:lpwstr>0</vt:lpwstr>
  </property>
</Properties>
</file>