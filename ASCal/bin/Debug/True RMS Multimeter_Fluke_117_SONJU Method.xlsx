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onju\Desktop\FOR CHECKING CAL CERT\DELIVERY FOR THIS WEEK\PRIORITY\MIRDC\"/>
    </mc:Choice>
  </mc:AlternateContent>
  <xr:revisionPtr revIDLastSave="0" documentId="8_{C114F60F-121F-4111-8D43-04F4ADD53DF5}" xr6:coauthVersionLast="47" xr6:coauthVersionMax="47" xr10:uidLastSave="{00000000-0000-0000-0000-000000000000}"/>
  <bookViews>
    <workbookView xWindow="-120" yWindow="-120" windowWidth="20730" windowHeight="11160" tabRatio="681" activeTab="1" xr2:uid="{00000000-000D-0000-FFFF-FFFF00000000}"/>
  </bookViews>
  <sheets>
    <sheet name="Cal Certificate" sheetId="5" r:id="rId1"/>
    <sheet name="DataSheet" sheetId="6" r:id="rId2"/>
    <sheet name="PASSFAIL" sheetId="7" state="hidden" r:id="rId3"/>
    <sheet name="Specification (2)" sheetId="9" r:id="rId4"/>
  </sheets>
  <definedNames>
    <definedName name="DRY" localSheetId="0">#REF!</definedName>
    <definedName name="DRY" localSheetId="3">#REF!</definedName>
    <definedName name="DRY">#REF!</definedName>
    <definedName name="dryx" localSheetId="3">#REF!</definedName>
    <definedName name="dryx">#REF!</definedName>
    <definedName name="_xlnm.Print_Area" localSheetId="0">'Cal Certificate'!$B$1:$AA$167</definedName>
    <definedName name="_xlnm.Print_Area" localSheetId="1">DataSheet!$B$2:$AZ$127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98" i="6" l="1"/>
  <c r="AM95" i="6"/>
  <c r="V7" i="5" l="1"/>
  <c r="E146" i="5" l="1"/>
  <c r="E122" i="5"/>
  <c r="E93" i="5"/>
  <c r="L100" i="6"/>
  <c r="I93" i="5" s="1"/>
  <c r="CZ100" i="6"/>
  <c r="DC100" i="6" s="1"/>
  <c r="DE100" i="6" s="1"/>
  <c r="CS100" i="6"/>
  <c r="CR100" i="6"/>
  <c r="CQ100" i="6"/>
  <c r="CM100" i="6"/>
  <c r="CN100" i="6" s="1"/>
  <c r="CL100" i="6"/>
  <c r="CG100" i="6"/>
  <c r="CH100" i="6" s="1"/>
  <c r="CB100" i="6"/>
  <c r="BZ100" i="6"/>
  <c r="CF100" i="6" s="1"/>
  <c r="AM100" i="6"/>
  <c r="M93" i="5" s="1"/>
  <c r="L117" i="6"/>
  <c r="L116" i="6"/>
  <c r="L115" i="6"/>
  <c r="L114" i="6"/>
  <c r="L109" i="6"/>
  <c r="L108" i="6"/>
  <c r="I146" i="5" s="1"/>
  <c r="CZ108" i="6"/>
  <c r="DC108" i="6" s="1"/>
  <c r="DE108" i="6" s="1"/>
  <c r="CS108" i="6"/>
  <c r="CR108" i="6"/>
  <c r="CQ108" i="6"/>
  <c r="CM108" i="6"/>
  <c r="CN108" i="6" s="1"/>
  <c r="CL108" i="6"/>
  <c r="CG108" i="6"/>
  <c r="CH108" i="6" s="1"/>
  <c r="CB108" i="6"/>
  <c r="BZ108" i="6"/>
  <c r="CF108" i="6" s="1"/>
  <c r="AM108" i="6"/>
  <c r="L107" i="6"/>
  <c r="L106" i="6"/>
  <c r="L101" i="6"/>
  <c r="L99" i="6"/>
  <c r="L98" i="6"/>
  <c r="L97" i="6"/>
  <c r="L96" i="6"/>
  <c r="L86" i="6"/>
  <c r="L85" i="6"/>
  <c r="L84" i="6"/>
  <c r="L83" i="6"/>
  <c r="L82" i="6"/>
  <c r="L81" i="6"/>
  <c r="L80" i="6"/>
  <c r="L79" i="6"/>
  <c r="L78" i="6"/>
  <c r="L77" i="6"/>
  <c r="L76" i="6"/>
  <c r="I125" i="5" s="1"/>
  <c r="L75" i="6"/>
  <c r="I124" i="5" s="1"/>
  <c r="L74" i="6"/>
  <c r="I123" i="5" s="1"/>
  <c r="L73" i="6"/>
  <c r="I122" i="5" s="1"/>
  <c r="CZ76" i="6"/>
  <c r="DC76" i="6" s="1"/>
  <c r="DE76" i="6" s="1"/>
  <c r="CS76" i="6"/>
  <c r="CR76" i="6"/>
  <c r="CQ76" i="6"/>
  <c r="CM76" i="6"/>
  <c r="CN76" i="6" s="1"/>
  <c r="CL76" i="6"/>
  <c r="CG76" i="6"/>
  <c r="CH76" i="6" s="1"/>
  <c r="CB76" i="6"/>
  <c r="BZ76" i="6"/>
  <c r="CF76" i="6" s="1"/>
  <c r="AM76" i="6"/>
  <c r="CZ75" i="6"/>
  <c r="DC75" i="6" s="1"/>
  <c r="DE75" i="6" s="1"/>
  <c r="CS75" i="6"/>
  <c r="CR75" i="6"/>
  <c r="CQ75" i="6"/>
  <c r="CM75" i="6"/>
  <c r="CN75" i="6" s="1"/>
  <c r="CL75" i="6"/>
  <c r="CG75" i="6"/>
  <c r="CH75" i="6" s="1"/>
  <c r="CB75" i="6"/>
  <c r="BZ75" i="6"/>
  <c r="CF75" i="6" s="1"/>
  <c r="AM75" i="6"/>
  <c r="CZ74" i="6"/>
  <c r="DC74" i="6" s="1"/>
  <c r="DE74" i="6" s="1"/>
  <c r="CS74" i="6"/>
  <c r="CR74" i="6"/>
  <c r="CQ74" i="6"/>
  <c r="CM74" i="6"/>
  <c r="CN74" i="6" s="1"/>
  <c r="CL74" i="6"/>
  <c r="CG74" i="6"/>
  <c r="CH74" i="6" s="1"/>
  <c r="CB74" i="6"/>
  <c r="BZ74" i="6"/>
  <c r="CF74" i="6" s="1"/>
  <c r="AM74" i="6"/>
  <c r="M123" i="5" s="1"/>
  <c r="CZ73" i="6"/>
  <c r="DC73" i="6" s="1"/>
  <c r="DE73" i="6" s="1"/>
  <c r="CS73" i="6"/>
  <c r="CR73" i="6"/>
  <c r="CQ73" i="6"/>
  <c r="CM73" i="6"/>
  <c r="CN73" i="6" s="1"/>
  <c r="CL73" i="6"/>
  <c r="CG73" i="6"/>
  <c r="CH73" i="6" s="1"/>
  <c r="CB73" i="6"/>
  <c r="BZ73" i="6"/>
  <c r="CF73" i="6" s="1"/>
  <c r="AM73" i="6"/>
  <c r="L65" i="6"/>
  <c r="L63" i="6"/>
  <c r="L62" i="6"/>
  <c r="L64" i="6"/>
  <c r="L61" i="6"/>
  <c r="L60" i="6"/>
  <c r="L59" i="6"/>
  <c r="L58" i="6"/>
  <c r="L57" i="6"/>
  <c r="L56" i="6"/>
  <c r="L55" i="6"/>
  <c r="CT74" i="6" l="1"/>
  <c r="CV74" i="6" s="1"/>
  <c r="CW74" i="6" s="1"/>
  <c r="CX74" i="6" s="1"/>
  <c r="CY74" i="6" s="1"/>
  <c r="CT76" i="6"/>
  <c r="CV76" i="6" s="1"/>
  <c r="CW76" i="6" s="1"/>
  <c r="CX76" i="6" s="1"/>
  <c r="CY76" i="6" s="1"/>
  <c r="CT108" i="6"/>
  <c r="CV108" i="6" s="1"/>
  <c r="CW108" i="6" s="1"/>
  <c r="CX108" i="6" s="1"/>
  <c r="CY108" i="6" s="1"/>
  <c r="DD108" i="6" s="1"/>
  <c r="U146" i="5" s="1"/>
  <c r="CT100" i="6"/>
  <c r="CV100" i="6" s="1"/>
  <c r="CW100" i="6" s="1"/>
  <c r="CX100" i="6" s="1"/>
  <c r="CY100" i="6" s="1"/>
  <c r="DD100" i="6" s="1"/>
  <c r="U93" i="5" s="1"/>
  <c r="CT75" i="6"/>
  <c r="CV75" i="6" s="1"/>
  <c r="CW75" i="6" s="1"/>
  <c r="CX75" i="6" s="1"/>
  <c r="CY75" i="6" s="1"/>
  <c r="BB108" i="6"/>
  <c r="BL108" i="6" s="1"/>
  <c r="M146" i="5"/>
  <c r="BB73" i="6"/>
  <c r="BG73" i="6" s="1"/>
  <c r="M122" i="5"/>
  <c r="BB75" i="6"/>
  <c r="BL75" i="6" s="1"/>
  <c r="M124" i="5"/>
  <c r="BB76" i="6"/>
  <c r="BL76" i="6" s="1"/>
  <c r="M125" i="5"/>
  <c r="BB100" i="6"/>
  <c r="BL100" i="6" s="1"/>
  <c r="BB74" i="6"/>
  <c r="BL74" i="6" s="1"/>
  <c r="AR100" i="6"/>
  <c r="Q93" i="5" s="1"/>
  <c r="AR108" i="6"/>
  <c r="Q146" i="5" s="1"/>
  <c r="CT73" i="6"/>
  <c r="CV73" i="6" s="1"/>
  <c r="CW73" i="6" s="1"/>
  <c r="CX73" i="6" s="1"/>
  <c r="CY73" i="6" s="1"/>
  <c r="AR73" i="6"/>
  <c r="Q122" i="5" s="1"/>
  <c r="AR75" i="6"/>
  <c r="Q124" i="5" s="1"/>
  <c r="AR74" i="6"/>
  <c r="Q123" i="5" s="1"/>
  <c r="AR76" i="6"/>
  <c r="Q125" i="5" s="1"/>
  <c r="DD73" i="6" l="1"/>
  <c r="U122" i="5" s="1"/>
  <c r="DD76" i="6"/>
  <c r="U125" i="5" s="1"/>
  <c r="DD75" i="6"/>
  <c r="U124" i="5" s="1"/>
  <c r="DD74" i="6"/>
  <c r="U123" i="5" s="1"/>
  <c r="BG74" i="6"/>
  <c r="BQ74" i="6" s="1"/>
  <c r="BL73" i="6"/>
  <c r="BQ73" i="6" s="1"/>
  <c r="BG76" i="6"/>
  <c r="BQ76" i="6" s="1"/>
  <c r="BG108" i="6"/>
  <c r="BQ108" i="6" s="1"/>
  <c r="BG75" i="6"/>
  <c r="BQ75" i="6" s="1"/>
  <c r="BG100" i="6"/>
  <c r="BQ100" i="6" s="1"/>
  <c r="O51" i="5" l="1"/>
  <c r="CG117" i="6" l="1"/>
  <c r="CG116" i="6"/>
  <c r="CG115" i="6"/>
  <c r="CG114" i="6"/>
  <c r="CG109" i="6"/>
  <c r="CG107" i="6"/>
  <c r="CG106" i="6"/>
  <c r="CG101" i="6"/>
  <c r="CG99" i="6"/>
  <c r="CG98" i="6"/>
  <c r="CG97" i="6"/>
  <c r="CG96" i="6"/>
  <c r="CG95" i="6"/>
  <c r="CG90" i="6"/>
  <c r="CG89" i="6"/>
  <c r="CG88" i="6"/>
  <c r="CG87" i="6"/>
  <c r="CG86" i="6"/>
  <c r="CG85" i="6"/>
  <c r="CG84" i="6"/>
  <c r="CG83" i="6"/>
  <c r="CG82" i="6"/>
  <c r="CG81" i="6"/>
  <c r="CG80" i="6"/>
  <c r="CG79" i="6"/>
  <c r="CG78" i="6"/>
  <c r="CG77" i="6"/>
  <c r="CG68" i="6"/>
  <c r="CG67" i="6"/>
  <c r="CG66" i="6"/>
  <c r="CG65" i="6"/>
  <c r="CG64" i="6"/>
  <c r="CG63" i="6"/>
  <c r="CG62" i="6"/>
  <c r="CG61" i="6"/>
  <c r="CG60" i="6"/>
  <c r="CG59" i="6"/>
  <c r="CG58" i="6"/>
  <c r="CG57" i="6"/>
  <c r="CG56" i="6"/>
  <c r="CS90" i="6"/>
  <c r="CR90" i="6"/>
  <c r="CQ90" i="6"/>
  <c r="CM90" i="6"/>
  <c r="CN90" i="6" s="1"/>
  <c r="CS89" i="6"/>
  <c r="CR89" i="6"/>
  <c r="CQ89" i="6"/>
  <c r="CM89" i="6"/>
  <c r="CN89" i="6" s="1"/>
  <c r="CS88" i="6"/>
  <c r="CR88" i="6"/>
  <c r="CQ88" i="6"/>
  <c r="CM88" i="6"/>
  <c r="CN88" i="6" s="1"/>
  <c r="CS87" i="6"/>
  <c r="CR87" i="6"/>
  <c r="CQ87" i="6"/>
  <c r="CM87" i="6"/>
  <c r="CN87" i="6" s="1"/>
  <c r="CS86" i="6"/>
  <c r="CR86" i="6"/>
  <c r="CQ86" i="6"/>
  <c r="CM86" i="6"/>
  <c r="CN86" i="6" s="1"/>
  <c r="CS85" i="6"/>
  <c r="CR85" i="6"/>
  <c r="CQ85" i="6"/>
  <c r="CT85" i="6" s="1"/>
  <c r="CM85" i="6"/>
  <c r="CN85" i="6" s="1"/>
  <c r="CS84" i="6"/>
  <c r="CR84" i="6"/>
  <c r="CQ84" i="6"/>
  <c r="CM84" i="6"/>
  <c r="CN84" i="6" s="1"/>
  <c r="CS83" i="6"/>
  <c r="CR83" i="6"/>
  <c r="CQ83" i="6"/>
  <c r="CT83" i="6" s="1"/>
  <c r="CM83" i="6"/>
  <c r="CN83" i="6" s="1"/>
  <c r="CS82" i="6"/>
  <c r="CR82" i="6"/>
  <c r="CQ82" i="6"/>
  <c r="CM82" i="6"/>
  <c r="CN82" i="6" s="1"/>
  <c r="CS81" i="6"/>
  <c r="CR81" i="6"/>
  <c r="CQ81" i="6"/>
  <c r="CT81" i="6" s="1"/>
  <c r="CM81" i="6"/>
  <c r="CN81" i="6" s="1"/>
  <c r="CS80" i="6"/>
  <c r="CR80" i="6"/>
  <c r="CQ80" i="6"/>
  <c r="CM80" i="6"/>
  <c r="CN80" i="6" s="1"/>
  <c r="CS79" i="6"/>
  <c r="CR79" i="6"/>
  <c r="CQ79" i="6"/>
  <c r="CT79" i="6" s="1"/>
  <c r="CM79" i="6"/>
  <c r="CN79" i="6" s="1"/>
  <c r="CS78" i="6"/>
  <c r="CR78" i="6"/>
  <c r="CQ78" i="6"/>
  <c r="CM78" i="6"/>
  <c r="CN78" i="6" s="1"/>
  <c r="CS117" i="6"/>
  <c r="CR117" i="6"/>
  <c r="CQ117" i="6"/>
  <c r="CT117" i="6" s="1"/>
  <c r="CM117" i="6"/>
  <c r="CN117" i="6" s="1"/>
  <c r="CS116" i="6"/>
  <c r="CR116" i="6"/>
  <c r="CQ116" i="6"/>
  <c r="CM116" i="6"/>
  <c r="CN116" i="6" s="1"/>
  <c r="CS115" i="6"/>
  <c r="CR115" i="6"/>
  <c r="CQ115" i="6"/>
  <c r="CT115" i="6" s="1"/>
  <c r="CM115" i="6"/>
  <c r="CN115" i="6" s="1"/>
  <c r="CS114" i="6"/>
  <c r="CR114" i="6"/>
  <c r="CQ114" i="6"/>
  <c r="CM114" i="6"/>
  <c r="CN114" i="6" s="1"/>
  <c r="CS109" i="6"/>
  <c r="CR109" i="6"/>
  <c r="CQ109" i="6"/>
  <c r="CM109" i="6"/>
  <c r="CN109" i="6" s="1"/>
  <c r="CS107" i="6"/>
  <c r="CR107" i="6"/>
  <c r="CQ107" i="6"/>
  <c r="CM107" i="6"/>
  <c r="CN107" i="6" s="1"/>
  <c r="CS106" i="6"/>
  <c r="CR106" i="6"/>
  <c r="CQ106" i="6"/>
  <c r="CM106" i="6"/>
  <c r="CN106" i="6" s="1"/>
  <c r="CS101" i="6"/>
  <c r="CR101" i="6"/>
  <c r="CQ101" i="6"/>
  <c r="CM101" i="6"/>
  <c r="CN101" i="6" s="1"/>
  <c r="CS99" i="6"/>
  <c r="CR99" i="6"/>
  <c r="CQ99" i="6"/>
  <c r="CT99" i="6" s="1"/>
  <c r="CM99" i="6"/>
  <c r="CN99" i="6" s="1"/>
  <c r="CS98" i="6"/>
  <c r="CR98" i="6"/>
  <c r="CQ98" i="6"/>
  <c r="CM98" i="6"/>
  <c r="CN98" i="6" s="1"/>
  <c r="CS97" i="6"/>
  <c r="CR97" i="6"/>
  <c r="CQ97" i="6"/>
  <c r="CT97" i="6" s="1"/>
  <c r="CM97" i="6"/>
  <c r="CN97" i="6" s="1"/>
  <c r="CS96" i="6"/>
  <c r="CR96" i="6"/>
  <c r="CQ96" i="6"/>
  <c r="CM96" i="6"/>
  <c r="CN96" i="6" s="1"/>
  <c r="CS95" i="6"/>
  <c r="CR95" i="6"/>
  <c r="CQ95" i="6"/>
  <c r="CM95" i="6"/>
  <c r="CN95" i="6" s="1"/>
  <c r="CS77" i="6"/>
  <c r="CR77" i="6"/>
  <c r="CQ77" i="6"/>
  <c r="CM77" i="6"/>
  <c r="CN77"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M57" i="6"/>
  <c r="CN57" i="6" s="1"/>
  <c r="CS56" i="6"/>
  <c r="CR56" i="6"/>
  <c r="CQ56" i="6"/>
  <c r="CM56" i="6"/>
  <c r="CN56" i="6" s="1"/>
  <c r="CS55" i="6"/>
  <c r="CM55" i="6"/>
  <c r="CN55" i="6" s="1"/>
  <c r="CT57" i="6" l="1"/>
  <c r="CT96" i="6"/>
  <c r="CT98" i="6"/>
  <c r="CT101" i="6"/>
  <c r="CT114" i="6"/>
  <c r="CT116" i="6"/>
  <c r="CT78" i="6"/>
  <c r="CT80" i="6"/>
  <c r="CT82" i="6"/>
  <c r="CT84" i="6"/>
  <c r="CT90" i="6"/>
  <c r="CT86" i="6"/>
  <c r="CT87" i="6"/>
  <c r="CT88" i="6"/>
  <c r="CT89" i="6"/>
  <c r="CT61" i="6"/>
  <c r="CT63" i="6"/>
  <c r="CT65" i="6"/>
  <c r="CT66" i="6"/>
  <c r="CT68" i="6"/>
  <c r="CT95" i="6"/>
  <c r="CT62" i="6"/>
  <c r="CT64" i="6"/>
  <c r="CT67" i="6"/>
  <c r="CT77" i="6"/>
  <c r="CT56" i="6"/>
  <c r="CT60" i="6"/>
  <c r="CT58" i="6"/>
  <c r="CT59" i="6"/>
  <c r="CT106" i="6"/>
  <c r="CT107" i="6"/>
  <c r="CT109" i="6"/>
  <c r="AM55" i="6" l="1"/>
  <c r="BB55" i="6" s="1"/>
  <c r="AM114" i="6" l="1"/>
  <c r="BB114" i="6" l="1"/>
  <c r="M152" i="5"/>
  <c r="AM56" i="6"/>
  <c r="BB56" i="6" s="1"/>
  <c r="AR56" i="6" l="1"/>
  <c r="CH116" i="6" l="1"/>
  <c r="CH115" i="6"/>
  <c r="CH114" i="6"/>
  <c r="CH109" i="6"/>
  <c r="CH107" i="6"/>
  <c r="CH101" i="6"/>
  <c r="CH99" i="6"/>
  <c r="CH98" i="6"/>
  <c r="CH97" i="6"/>
  <c r="CH96" i="6"/>
  <c r="CH95" i="6"/>
  <c r="CH89" i="6"/>
  <c r="CH87" i="6"/>
  <c r="CH85" i="6"/>
  <c r="CH83" i="6"/>
  <c r="CH82" i="6"/>
  <c r="CH81" i="6"/>
  <c r="CH80" i="6"/>
  <c r="CH77" i="6"/>
  <c r="CH68" i="6"/>
  <c r="CH67" i="6"/>
  <c r="CH65" i="6"/>
  <c r="CH64" i="6"/>
  <c r="CH63" i="6"/>
  <c r="CH62" i="6"/>
  <c r="CH60" i="6"/>
  <c r="CH58" i="6"/>
  <c r="CH57" i="6"/>
  <c r="CH56" i="6"/>
  <c r="CG55" i="6"/>
  <c r="CH55" i="6" s="1"/>
  <c r="CH59" i="6" l="1"/>
  <c r="CH78" i="6"/>
  <c r="CH84" i="6"/>
  <c r="CH88" i="6"/>
  <c r="CH61" i="6"/>
  <c r="CH66" i="6"/>
  <c r="CH79" i="6"/>
  <c r="CH86" i="6"/>
  <c r="CH90" i="6"/>
  <c r="CH106" i="6"/>
  <c r="CH117" i="6"/>
  <c r="P11" i="5"/>
  <c r="P10"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20" i="6" l="1"/>
  <c r="CZ117" i="6"/>
  <c r="DC117" i="6" s="1"/>
  <c r="DE117" i="6" s="1"/>
  <c r="CL117" i="6"/>
  <c r="CB117" i="6"/>
  <c r="BZ117" i="6"/>
  <c r="CF117" i="6" s="1"/>
  <c r="AM117" i="6"/>
  <c r="CZ116" i="6"/>
  <c r="DC116" i="6" s="1"/>
  <c r="DE116" i="6" s="1"/>
  <c r="CL116" i="6"/>
  <c r="BZ116" i="6"/>
  <c r="CF116" i="6" s="1"/>
  <c r="AM116" i="6"/>
  <c r="M154" i="5" s="1"/>
  <c r="CZ115" i="6"/>
  <c r="DC115" i="6" s="1"/>
  <c r="DE115" i="6" s="1"/>
  <c r="CL115" i="6"/>
  <c r="CB115" i="6"/>
  <c r="BZ115" i="6"/>
  <c r="CF115" i="6" s="1"/>
  <c r="AM115" i="6"/>
  <c r="CZ114" i="6"/>
  <c r="DC114" i="6" s="1"/>
  <c r="DE114" i="6" s="1"/>
  <c r="CL114" i="6"/>
  <c r="CB114" i="6"/>
  <c r="BZ114" i="6"/>
  <c r="CF114" i="6" s="1"/>
  <c r="CZ109" i="6"/>
  <c r="DC109" i="6" s="1"/>
  <c r="DE109" i="6" s="1"/>
  <c r="CL109" i="6"/>
  <c r="CB109" i="6"/>
  <c r="BZ109" i="6"/>
  <c r="CF109" i="6" s="1"/>
  <c r="AM109" i="6"/>
  <c r="CZ107" i="6"/>
  <c r="DC107" i="6" s="1"/>
  <c r="DE107" i="6" s="1"/>
  <c r="CL107" i="6"/>
  <c r="BZ107" i="6"/>
  <c r="CF107" i="6" s="1"/>
  <c r="AM107" i="6"/>
  <c r="M145" i="5" s="1"/>
  <c r="CZ106" i="6"/>
  <c r="DC106" i="6" s="1"/>
  <c r="DE106" i="6" s="1"/>
  <c r="CL106" i="6"/>
  <c r="CB106" i="6"/>
  <c r="BZ106" i="6"/>
  <c r="CF106" i="6" s="1"/>
  <c r="AM106" i="6"/>
  <c r="CZ101" i="6"/>
  <c r="DC101" i="6" s="1"/>
  <c r="DE101" i="6" s="1"/>
  <c r="CL101" i="6"/>
  <c r="BZ101" i="6"/>
  <c r="CF101" i="6" s="1"/>
  <c r="AM101" i="6"/>
  <c r="CZ99" i="6"/>
  <c r="DC99" i="6" s="1"/>
  <c r="DE99" i="6" s="1"/>
  <c r="CL99" i="6"/>
  <c r="BZ99" i="6"/>
  <c r="CF99" i="6" s="1"/>
  <c r="AM99" i="6"/>
  <c r="CZ98" i="6"/>
  <c r="DC98" i="6" s="1"/>
  <c r="DE98" i="6" s="1"/>
  <c r="CL98" i="6"/>
  <c r="CB98" i="6"/>
  <c r="BZ98" i="6"/>
  <c r="CF98" i="6" s="1"/>
  <c r="BB98" i="6"/>
  <c r="CZ97" i="6"/>
  <c r="DC97" i="6" s="1"/>
  <c r="DE97" i="6" s="1"/>
  <c r="CL97" i="6"/>
  <c r="BZ97" i="6"/>
  <c r="CF97" i="6" s="1"/>
  <c r="AM97" i="6"/>
  <c r="CZ96" i="6"/>
  <c r="DC96" i="6" s="1"/>
  <c r="DE96" i="6" s="1"/>
  <c r="CL96" i="6"/>
  <c r="CB96" i="6"/>
  <c r="BZ96" i="6"/>
  <c r="CF96" i="6" s="1"/>
  <c r="AM96" i="6"/>
  <c r="BB96" i="6" s="1"/>
  <c r="CZ95" i="6"/>
  <c r="DC95" i="6" s="1"/>
  <c r="DE95" i="6" s="1"/>
  <c r="CL95" i="6"/>
  <c r="BZ95" i="6"/>
  <c r="CF95" i="6" s="1"/>
  <c r="CZ90" i="6"/>
  <c r="DC90" i="6" s="1"/>
  <c r="DE90" i="6" s="1"/>
  <c r="CL90" i="6"/>
  <c r="CB90" i="6"/>
  <c r="BZ90" i="6"/>
  <c r="CF90" i="6" s="1"/>
  <c r="AM90" i="6"/>
  <c r="CZ89" i="6"/>
  <c r="DC89" i="6" s="1"/>
  <c r="DE89" i="6" s="1"/>
  <c r="CL89" i="6"/>
  <c r="BZ89" i="6"/>
  <c r="CF89" i="6" s="1"/>
  <c r="AM89" i="6"/>
  <c r="M138" i="5" s="1"/>
  <c r="CZ88" i="6"/>
  <c r="DC88" i="6" s="1"/>
  <c r="DE88" i="6" s="1"/>
  <c r="CL88" i="6"/>
  <c r="BZ88" i="6"/>
  <c r="CF88" i="6" s="1"/>
  <c r="AM88" i="6"/>
  <c r="M137" i="5" s="1"/>
  <c r="CZ87" i="6"/>
  <c r="DC87" i="6" s="1"/>
  <c r="DE87" i="6" s="1"/>
  <c r="CL87" i="6"/>
  <c r="BZ87" i="6"/>
  <c r="CF87" i="6" s="1"/>
  <c r="AM87" i="6"/>
  <c r="M136" i="5" s="1"/>
  <c r="CZ86" i="6"/>
  <c r="DC86" i="6" s="1"/>
  <c r="DE86" i="6" s="1"/>
  <c r="CL86" i="6"/>
  <c r="BZ86" i="6"/>
  <c r="CF86" i="6" s="1"/>
  <c r="AM86" i="6"/>
  <c r="CZ85" i="6"/>
  <c r="DC85" i="6" s="1"/>
  <c r="DE85" i="6" s="1"/>
  <c r="CL85" i="6"/>
  <c r="BZ85" i="6"/>
  <c r="CF85" i="6" s="1"/>
  <c r="AM85" i="6"/>
  <c r="CZ84" i="6"/>
  <c r="DC84" i="6" s="1"/>
  <c r="DE84" i="6" s="1"/>
  <c r="CL84" i="6"/>
  <c r="BZ84" i="6"/>
  <c r="CF84" i="6" s="1"/>
  <c r="AM84" i="6"/>
  <c r="CZ83" i="6"/>
  <c r="DC83" i="6" s="1"/>
  <c r="DE83" i="6" s="1"/>
  <c r="CL83" i="6"/>
  <c r="BZ83" i="6"/>
  <c r="CF83" i="6" s="1"/>
  <c r="AM83" i="6"/>
  <c r="CZ82" i="6"/>
  <c r="DC82" i="6" s="1"/>
  <c r="DE82" i="6" s="1"/>
  <c r="CL82" i="6"/>
  <c r="BZ82" i="6"/>
  <c r="CF82" i="6" s="1"/>
  <c r="AM82" i="6"/>
  <c r="CZ81" i="6"/>
  <c r="DC81" i="6" s="1"/>
  <c r="DE81" i="6" s="1"/>
  <c r="CL81" i="6"/>
  <c r="BZ81" i="6"/>
  <c r="CF81" i="6" s="1"/>
  <c r="AM81" i="6"/>
  <c r="CZ80" i="6"/>
  <c r="DC80" i="6" s="1"/>
  <c r="DE80" i="6" s="1"/>
  <c r="CL80" i="6"/>
  <c r="BZ80" i="6"/>
  <c r="CF80" i="6" s="1"/>
  <c r="AM80" i="6"/>
  <c r="CZ79" i="6"/>
  <c r="DC79" i="6" s="1"/>
  <c r="DE79" i="6" s="1"/>
  <c r="CL79" i="6"/>
  <c r="BZ79" i="6"/>
  <c r="CF79" i="6" s="1"/>
  <c r="AM79" i="6"/>
  <c r="CZ78" i="6"/>
  <c r="DC78" i="6" s="1"/>
  <c r="DE78" i="6" s="1"/>
  <c r="CL78" i="6"/>
  <c r="BZ78" i="6"/>
  <c r="CF78" i="6" s="1"/>
  <c r="AM78" i="6"/>
  <c r="CZ77" i="6"/>
  <c r="DC77" i="6" s="1"/>
  <c r="DE77" i="6" s="1"/>
  <c r="CL77" i="6"/>
  <c r="BZ77" i="6"/>
  <c r="CF77" i="6" s="1"/>
  <c r="AM77" i="6"/>
  <c r="CZ68" i="6"/>
  <c r="DC68" i="6" s="1"/>
  <c r="DE68" i="6" s="1"/>
  <c r="CL68" i="6"/>
  <c r="BZ68" i="6"/>
  <c r="CF68" i="6" s="1"/>
  <c r="AM68" i="6"/>
  <c r="M83" i="5" s="1"/>
  <c r="CZ67" i="6"/>
  <c r="DC67" i="6" s="1"/>
  <c r="DE67" i="6" s="1"/>
  <c r="CL67" i="6"/>
  <c r="BZ67" i="6"/>
  <c r="CF67" i="6" s="1"/>
  <c r="AM67" i="6"/>
  <c r="M82" i="5" s="1"/>
  <c r="CZ66" i="6"/>
  <c r="DC66" i="6" s="1"/>
  <c r="DE66" i="6" s="1"/>
  <c r="CL66" i="6"/>
  <c r="BZ66" i="6"/>
  <c r="CF66" i="6" s="1"/>
  <c r="AM66" i="6"/>
  <c r="M81" i="5" s="1"/>
  <c r="CZ65" i="6"/>
  <c r="DC65" i="6" s="1"/>
  <c r="DE65" i="6" s="1"/>
  <c r="CL65" i="6"/>
  <c r="BZ65" i="6"/>
  <c r="CF65" i="6" s="1"/>
  <c r="AM65" i="6"/>
  <c r="CZ64" i="6"/>
  <c r="DC64" i="6" s="1"/>
  <c r="DE64" i="6" s="1"/>
  <c r="CL64" i="6"/>
  <c r="BZ64" i="6"/>
  <c r="CF64" i="6" s="1"/>
  <c r="AM64" i="6"/>
  <c r="CZ63" i="6"/>
  <c r="DC63" i="6" s="1"/>
  <c r="DE63" i="6" s="1"/>
  <c r="CL63" i="6"/>
  <c r="BZ63" i="6"/>
  <c r="CF63" i="6" s="1"/>
  <c r="AM63" i="6"/>
  <c r="CZ62" i="6"/>
  <c r="DC62" i="6" s="1"/>
  <c r="DE62" i="6" s="1"/>
  <c r="CL62" i="6"/>
  <c r="BZ62" i="6"/>
  <c r="CF62" i="6" s="1"/>
  <c r="AM62" i="6"/>
  <c r="CZ61" i="6"/>
  <c r="DC61" i="6" s="1"/>
  <c r="DE61" i="6" s="1"/>
  <c r="CL61" i="6"/>
  <c r="BZ61" i="6"/>
  <c r="CF61" i="6" s="1"/>
  <c r="AM61" i="6"/>
  <c r="CZ60" i="6"/>
  <c r="DC60" i="6" s="1"/>
  <c r="DE60" i="6" s="1"/>
  <c r="CL60" i="6"/>
  <c r="BZ60" i="6"/>
  <c r="CF60" i="6" s="1"/>
  <c r="AM60" i="6"/>
  <c r="CZ59" i="6"/>
  <c r="DC59" i="6" s="1"/>
  <c r="DE59" i="6" s="1"/>
  <c r="CL59" i="6"/>
  <c r="BZ59" i="6"/>
  <c r="CF59" i="6" s="1"/>
  <c r="AM59" i="6"/>
  <c r="CZ58" i="6"/>
  <c r="DC58" i="6" s="1"/>
  <c r="DE58" i="6" s="1"/>
  <c r="CL58" i="6"/>
  <c r="BZ58" i="6"/>
  <c r="CF58" i="6" s="1"/>
  <c r="AM58" i="6"/>
  <c r="CZ57" i="6"/>
  <c r="DC57" i="6" s="1"/>
  <c r="DE57" i="6" s="1"/>
  <c r="CL57" i="6"/>
  <c r="BZ57" i="6"/>
  <c r="CF57" i="6" s="1"/>
  <c r="AM57" i="6"/>
  <c r="CZ56" i="6"/>
  <c r="DC56" i="6" s="1"/>
  <c r="DE56" i="6" s="1"/>
  <c r="CL56" i="6"/>
  <c r="CB56" i="6"/>
  <c r="BZ56" i="6"/>
  <c r="CF56" i="6" s="1"/>
  <c r="CZ55" i="6"/>
  <c r="DC55" i="6" s="1"/>
  <c r="DE55" i="6" s="1"/>
  <c r="CR55" i="6"/>
  <c r="CQ55" i="6"/>
  <c r="CT55" i="6" s="1"/>
  <c r="CL55" i="6"/>
  <c r="CB55" i="6"/>
  <c r="BZ55" i="6"/>
  <c r="CF55" i="6" s="1"/>
  <c r="C158" i="5"/>
  <c r="I155" i="5"/>
  <c r="I154" i="5"/>
  <c r="E154" i="5"/>
  <c r="I153" i="5"/>
  <c r="I152" i="5"/>
  <c r="E152" i="5"/>
  <c r="E149" i="5"/>
  <c r="I147" i="5"/>
  <c r="I145" i="5"/>
  <c r="I144" i="5"/>
  <c r="E144" i="5"/>
  <c r="E141" i="5"/>
  <c r="I94" i="5"/>
  <c r="E94" i="5"/>
  <c r="I92" i="5"/>
  <c r="E92" i="5"/>
  <c r="I91" i="5"/>
  <c r="E91" i="5"/>
  <c r="I90" i="5"/>
  <c r="E90" i="5"/>
  <c r="I89" i="5"/>
  <c r="I88" i="5"/>
  <c r="E88" i="5"/>
  <c r="E85"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C24" i="5"/>
  <c r="T19" i="5"/>
  <c r="H19" i="5"/>
  <c r="T18" i="5"/>
  <c r="H18" i="5"/>
  <c r="T17" i="5"/>
  <c r="H17" i="5"/>
  <c r="T16" i="5"/>
  <c r="H16" i="5"/>
  <c r="T15" i="5"/>
  <c r="H15" i="5"/>
  <c r="D11" i="5"/>
  <c r="D10" i="5"/>
  <c r="BB115" i="6" l="1"/>
  <c r="M153" i="5"/>
  <c r="BB117" i="6"/>
  <c r="BG117" i="6" s="1"/>
  <c r="M155" i="5"/>
  <c r="BB109" i="6"/>
  <c r="BG109" i="6" s="1"/>
  <c r="M147" i="5"/>
  <c r="BB106" i="6"/>
  <c r="BL106" i="6" s="1"/>
  <c r="M144" i="5"/>
  <c r="BB90" i="6"/>
  <c r="BL90" i="6" s="1"/>
  <c r="M139" i="5"/>
  <c r="CB116" i="6"/>
  <c r="BB116" i="6"/>
  <c r="CB107" i="6"/>
  <c r="CV107" i="6" s="1"/>
  <c r="BB107" i="6"/>
  <c r="CB95" i="6"/>
  <c r="CV95" i="6" s="1"/>
  <c r="CW95" i="6" s="1"/>
  <c r="BB95" i="6"/>
  <c r="BG95" i="6" s="1"/>
  <c r="CB59" i="6"/>
  <c r="BB59" i="6"/>
  <c r="BG59" i="6" s="1"/>
  <c r="CB60" i="6"/>
  <c r="CV60" i="6" s="1"/>
  <c r="CW60" i="6" s="1"/>
  <c r="BB60" i="6"/>
  <c r="CB61" i="6"/>
  <c r="BB61" i="6"/>
  <c r="CB62" i="6"/>
  <c r="CV62" i="6" s="1"/>
  <c r="CW62" i="6" s="1"/>
  <c r="BB62" i="6"/>
  <c r="BG62" i="6" s="1"/>
  <c r="CB63" i="6"/>
  <c r="BB63" i="6"/>
  <c r="CB64" i="6"/>
  <c r="CV64" i="6" s="1"/>
  <c r="CW64" i="6" s="1"/>
  <c r="BB64" i="6"/>
  <c r="CB65" i="6"/>
  <c r="BB65" i="6"/>
  <c r="CB66" i="6"/>
  <c r="CV66" i="6" s="1"/>
  <c r="CW66" i="6" s="1"/>
  <c r="BB66" i="6"/>
  <c r="BL66" i="6" s="1"/>
  <c r="CB67" i="6"/>
  <c r="BB67" i="6"/>
  <c r="BG67" i="6" s="1"/>
  <c r="CB68" i="6"/>
  <c r="BB68" i="6"/>
  <c r="CB58" i="6"/>
  <c r="BB58" i="6"/>
  <c r="BG58" i="6" s="1"/>
  <c r="CB57" i="6"/>
  <c r="CV57" i="6" s="1"/>
  <c r="CW57" i="6" s="1"/>
  <c r="BB57" i="6"/>
  <c r="CB78" i="6"/>
  <c r="BB78" i="6"/>
  <c r="BL78" i="6" s="1"/>
  <c r="CB80" i="6"/>
  <c r="CV80" i="6" s="1"/>
  <c r="CW80" i="6" s="1"/>
  <c r="BB80" i="6"/>
  <c r="BL80" i="6" s="1"/>
  <c r="CB82" i="6"/>
  <c r="BB82" i="6"/>
  <c r="BL82" i="6" s="1"/>
  <c r="CB85" i="6"/>
  <c r="BB85" i="6"/>
  <c r="CB87" i="6"/>
  <c r="BB87" i="6"/>
  <c r="BG87" i="6" s="1"/>
  <c r="CB88" i="6"/>
  <c r="BB88" i="6"/>
  <c r="BG88" i="6" s="1"/>
  <c r="CB89" i="6"/>
  <c r="BB89" i="6"/>
  <c r="CB77" i="6"/>
  <c r="CV77" i="6" s="1"/>
  <c r="CW77" i="6" s="1"/>
  <c r="BB77" i="6"/>
  <c r="CB79" i="6"/>
  <c r="CV79" i="6" s="1"/>
  <c r="CW79" i="6" s="1"/>
  <c r="BB79" i="6"/>
  <c r="BG79" i="6" s="1"/>
  <c r="CB81" i="6"/>
  <c r="CV81" i="6" s="1"/>
  <c r="CW81" i="6" s="1"/>
  <c r="BB81" i="6"/>
  <c r="CB83" i="6"/>
  <c r="BB83" i="6"/>
  <c r="BG83" i="6" s="1"/>
  <c r="CB86" i="6"/>
  <c r="CV86" i="6" s="1"/>
  <c r="BB86" i="6"/>
  <c r="BL86" i="6" s="1"/>
  <c r="CB97" i="6"/>
  <c r="BB97" i="6"/>
  <c r="CB84" i="6"/>
  <c r="CV84" i="6" s="1"/>
  <c r="CW84" i="6" s="1"/>
  <c r="BB84" i="6"/>
  <c r="BL84" i="6" s="1"/>
  <c r="CB99" i="6"/>
  <c r="BB99" i="6"/>
  <c r="BG99" i="6" s="1"/>
  <c r="CB101" i="6"/>
  <c r="CV101" i="6" s="1"/>
  <c r="CW101" i="6" s="1"/>
  <c r="BB101" i="6"/>
  <c r="CV55" i="6"/>
  <c r="CW55" i="6" s="1"/>
  <c r="CV117" i="6"/>
  <c r="CW117" i="6" s="1"/>
  <c r="CV116" i="6"/>
  <c r="CW116" i="6" s="1"/>
  <c r="CV115" i="6"/>
  <c r="CW115" i="6" s="1"/>
  <c r="CV114" i="6"/>
  <c r="CW114" i="6" s="1"/>
  <c r="CV109" i="6"/>
  <c r="CW109" i="6" s="1"/>
  <c r="CV106" i="6"/>
  <c r="CW106" i="6" s="1"/>
  <c r="CV97" i="6"/>
  <c r="CW97" i="6" s="1"/>
  <c r="CV96" i="6"/>
  <c r="CW96" i="6" s="1"/>
  <c r="CV99" i="6"/>
  <c r="CW99" i="6" s="1"/>
  <c r="CV98" i="6"/>
  <c r="CW98" i="6" s="1"/>
  <c r="CV82" i="6"/>
  <c r="CW82" i="6" s="1"/>
  <c r="CV90" i="6"/>
  <c r="CW90" i="6" s="1"/>
  <c r="CV78" i="6"/>
  <c r="CW78" i="6" s="1"/>
  <c r="CV83" i="6"/>
  <c r="CW83" i="6" s="1"/>
  <c r="CV85" i="6"/>
  <c r="CW85" i="6" s="1"/>
  <c r="CV89" i="6"/>
  <c r="CW89" i="6" s="1"/>
  <c r="CV56" i="6"/>
  <c r="CW56" i="6" s="1"/>
  <c r="CV58" i="6"/>
  <c r="CW58" i="6" s="1"/>
  <c r="CV59" i="6"/>
  <c r="CW59" i="6" s="1"/>
  <c r="CV61" i="6"/>
  <c r="CW61" i="6" s="1"/>
  <c r="CV67" i="6"/>
  <c r="CW67" i="6" s="1"/>
  <c r="CV68" i="6"/>
  <c r="CW68" i="6" s="1"/>
  <c r="CV88" i="6"/>
  <c r="CV87" i="6"/>
  <c r="CW87" i="6" s="1"/>
  <c r="CV65" i="6"/>
  <c r="CW65" i="6" s="1"/>
  <c r="CV63" i="6"/>
  <c r="CW63" i="6" s="1"/>
  <c r="BL96" i="6"/>
  <c r="BG98" i="6"/>
  <c r="BG114" i="6"/>
  <c r="BL55"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16" i="6"/>
  <c r="Q154" i="5" s="1"/>
  <c r="B73" i="7"/>
  <c r="D73" i="7"/>
  <c r="BG56" i="6"/>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3" i="6"/>
  <c r="Q132" i="5" s="1"/>
  <c r="B37" i="7"/>
  <c r="D37" i="7"/>
  <c r="M134" i="5"/>
  <c r="B39" i="7"/>
  <c r="D39" i="7"/>
  <c r="B41" i="7"/>
  <c r="D41" i="7"/>
  <c r="B43" i="7"/>
  <c r="D43" i="7"/>
  <c r="B45" i="7"/>
  <c r="D45" i="7"/>
  <c r="B47" i="7"/>
  <c r="D47" i="7"/>
  <c r="B53" i="7"/>
  <c r="D53" i="7"/>
  <c r="M90" i="5"/>
  <c r="B55" i="7"/>
  <c r="D55" i="7"/>
  <c r="B57" i="7"/>
  <c r="D57" i="7"/>
  <c r="M94" i="5"/>
  <c r="B59" i="7"/>
  <c r="D59" i="7"/>
  <c r="B65" i="7"/>
  <c r="D65" i="7"/>
  <c r="B66" i="7"/>
  <c r="D66" i="7"/>
  <c r="B72" i="7"/>
  <c r="D72" i="7"/>
  <c r="B74" i="7"/>
  <c r="D74" i="7"/>
  <c r="M71" i="5"/>
  <c r="M91" i="5"/>
  <c r="M129" i="5"/>
  <c r="M127" i="5"/>
  <c r="M77" i="5"/>
  <c r="AR79" i="6"/>
  <c r="Q128" i="5" s="1"/>
  <c r="M133" i="5"/>
  <c r="M131" i="5"/>
  <c r="M128" i="5"/>
  <c r="M79" i="5"/>
  <c r="M73" i="5"/>
  <c r="M88" i="5"/>
  <c r="M89" i="5"/>
  <c r="M80" i="5"/>
  <c r="M132" i="5"/>
  <c r="M70" i="5"/>
  <c r="M135" i="5"/>
  <c r="M92" i="5"/>
  <c r="AR106" i="6"/>
  <c r="Q144" i="5" s="1"/>
  <c r="AR95" i="6"/>
  <c r="Q88" i="5" s="1"/>
  <c r="AR98" i="6"/>
  <c r="Q91" i="5" s="1"/>
  <c r="M74" i="5"/>
  <c r="AR114" i="6"/>
  <c r="Q152" i="5" s="1"/>
  <c r="AR96" i="6"/>
  <c r="Q89" i="5" s="1"/>
  <c r="AR117" i="6"/>
  <c r="Q155" i="5" s="1"/>
  <c r="AR115" i="6"/>
  <c r="Q153" i="5" s="1"/>
  <c r="AR107" i="6"/>
  <c r="Q145" i="5" s="1"/>
  <c r="AR109" i="6"/>
  <c r="Q147" i="5" s="1"/>
  <c r="AR99" i="6"/>
  <c r="Q92" i="5" s="1"/>
  <c r="AR97" i="6"/>
  <c r="Q90" i="5" s="1"/>
  <c r="AR101" i="6"/>
  <c r="Q94" i="5" s="1"/>
  <c r="AR66" i="6"/>
  <c r="Q81" i="5" s="1"/>
  <c r="AR57" i="6"/>
  <c r="Q72" i="5" s="1"/>
  <c r="AR60" i="6"/>
  <c r="Q75" i="5" s="1"/>
  <c r="AR87" i="6"/>
  <c r="Q136" i="5" s="1"/>
  <c r="AR80" i="6"/>
  <c r="Q129" i="5" s="1"/>
  <c r="AR84" i="6"/>
  <c r="Q133" i="5" s="1"/>
  <c r="AR88" i="6"/>
  <c r="Q137" i="5" s="1"/>
  <c r="AR78" i="6"/>
  <c r="Q127" i="5" s="1"/>
  <c r="AR82" i="6"/>
  <c r="Q131" i="5" s="1"/>
  <c r="AR86" i="6"/>
  <c r="Q135" i="5" s="1"/>
  <c r="AR90" i="6"/>
  <c r="Q139" i="5" s="1"/>
  <c r="AR77" i="6"/>
  <c r="Q126" i="5" s="1"/>
  <c r="AR81" i="6"/>
  <c r="Q130" i="5" s="1"/>
  <c r="AR85" i="6"/>
  <c r="Q134" i="5" s="1"/>
  <c r="AR89" i="6"/>
  <c r="Q138" i="5" s="1"/>
  <c r="AR67" i="6"/>
  <c r="Q82" i="5" s="1"/>
  <c r="AR63" i="6"/>
  <c r="Q78" i="5" s="1"/>
  <c r="AR62" i="6"/>
  <c r="Q77" i="5" s="1"/>
  <c r="AR61" i="6"/>
  <c r="Q76" i="5" s="1"/>
  <c r="AR59" i="6"/>
  <c r="Q74" i="5" s="1"/>
  <c r="AR58" i="6"/>
  <c r="Q73" i="5" s="1"/>
  <c r="Q71" i="5"/>
  <c r="AR55" i="6"/>
  <c r="Q70" i="5" s="1"/>
  <c r="BG66" i="6" l="1"/>
  <c r="BQ66" i="6" s="1"/>
  <c r="CW107" i="6"/>
  <c r="CW88" i="6"/>
  <c r="CW86" i="6"/>
  <c r="BG86" i="6"/>
  <c r="BQ86" i="6" s="1"/>
  <c r="BG90" i="6"/>
  <c r="BL117" i="6"/>
  <c r="BG80" i="6"/>
  <c r="BQ80" i="6" s="1"/>
  <c r="BG78" i="6"/>
  <c r="BQ78" i="6" s="1"/>
  <c r="BL79" i="6"/>
  <c r="BG84" i="6"/>
  <c r="BG106" i="6"/>
  <c r="BQ106" i="6" s="1"/>
  <c r="BG96" i="6"/>
  <c r="BG107" i="6"/>
  <c r="BL107" i="6"/>
  <c r="BL60" i="6"/>
  <c r="BG60" i="6"/>
  <c r="BG68" i="6"/>
  <c r="BL68" i="6"/>
  <c r="BG65" i="6"/>
  <c r="BL65" i="6"/>
  <c r="BG57" i="6"/>
  <c r="BL57" i="6"/>
  <c r="BG64" i="6"/>
  <c r="BL64" i="6"/>
  <c r="BL67" i="6"/>
  <c r="BL95" i="6"/>
  <c r="BL99" i="6"/>
  <c r="BL88" i="6"/>
  <c r="BL56" i="6"/>
  <c r="BL62" i="6"/>
  <c r="BL59" i="6"/>
  <c r="BL87" i="6"/>
  <c r="BL114" i="6"/>
  <c r="BL109" i="6"/>
  <c r="BG55" i="6"/>
  <c r="BL58" i="6"/>
  <c r="BL98" i="6"/>
  <c r="BG82"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16" i="6"/>
  <c r="BG116" i="6"/>
  <c r="BG115" i="6"/>
  <c r="BL115" i="6"/>
  <c r="BG97" i="6"/>
  <c r="BL97" i="6"/>
  <c r="BG101" i="6"/>
  <c r="BL101" i="6"/>
  <c r="BL63" i="6"/>
  <c r="BG63" i="6"/>
  <c r="BL83" i="6"/>
  <c r="BG85" i="6"/>
  <c r="BL85" i="6"/>
  <c r="BG81" i="6"/>
  <c r="BL81" i="6"/>
  <c r="BG89" i="6"/>
  <c r="BL89" i="6"/>
  <c r="BG77" i="6"/>
  <c r="BL77" i="6"/>
  <c r="BL61" i="6"/>
  <c r="BG61" i="6"/>
  <c r="BQ90" i="6" l="1"/>
  <c r="BQ84" i="6"/>
  <c r="BQ117" i="6"/>
  <c r="CX83" i="6"/>
  <c r="CY83" i="6" s="1"/>
  <c r="CX68" i="6"/>
  <c r="CY68" i="6" s="1"/>
  <c r="BQ79" i="6"/>
  <c r="BQ96" i="6"/>
  <c r="BQ109" i="6"/>
  <c r="BQ107" i="6"/>
  <c r="BQ98" i="6"/>
  <c r="BQ99" i="6"/>
  <c r="BQ95" i="6"/>
  <c r="BQ89" i="6"/>
  <c r="BQ82" i="6"/>
  <c r="BQ77" i="6"/>
  <c r="BQ81" i="6"/>
  <c r="BQ87" i="6"/>
  <c r="BQ83" i="6"/>
  <c r="BQ88" i="6"/>
  <c r="BQ85" i="6"/>
  <c r="BQ58" i="6"/>
  <c r="BQ62" i="6"/>
  <c r="BQ64" i="6"/>
  <c r="BQ57" i="6"/>
  <c r="BQ68" i="6"/>
  <c r="BQ56" i="6"/>
  <c r="BQ67" i="6"/>
  <c r="BQ60" i="6"/>
  <c r="BQ59" i="6"/>
  <c r="BQ65" i="6"/>
  <c r="BQ114" i="6"/>
  <c r="BQ55" i="6"/>
  <c r="BQ116" i="6"/>
  <c r="BQ115" i="6"/>
  <c r="BQ101" i="6"/>
  <c r="BQ97" i="6"/>
  <c r="BQ61" i="6"/>
  <c r="L48" i="7"/>
  <c r="BQ63" i="6"/>
  <c r="CX66" i="6"/>
  <c r="CY66" i="6" s="1"/>
  <c r="CX84" i="6"/>
  <c r="CY84" i="6" s="1"/>
  <c r="CX60" i="6"/>
  <c r="CY60" i="6" s="1"/>
  <c r="DD60" i="6" s="1"/>
  <c r="CX89" i="6"/>
  <c r="CY89" i="6" s="1"/>
  <c r="CX88" i="6"/>
  <c r="CY88" i="6" s="1"/>
  <c r="CX106" i="6"/>
  <c r="CY106" i="6" s="1"/>
  <c r="DD106" i="6" s="1"/>
  <c r="CX82" i="6"/>
  <c r="CY82" i="6" s="1"/>
  <c r="CX115" i="6"/>
  <c r="CY115" i="6" s="1"/>
  <c r="DD115" i="6" s="1"/>
  <c r="U153" i="5" s="1"/>
  <c r="CX99" i="6"/>
  <c r="CY99" i="6" s="1"/>
  <c r="L32" i="7"/>
  <c r="L65" i="7"/>
  <c r="L55" i="7"/>
  <c r="L35" i="7"/>
  <c r="L43" i="7"/>
  <c r="L24" i="7"/>
  <c r="L40" i="7"/>
  <c r="CX107" i="6"/>
  <c r="CY107" i="6" s="1"/>
  <c r="DD107" i="6" s="1"/>
  <c r="CX109" i="6"/>
  <c r="CY109" i="6" s="1"/>
  <c r="DD109" i="6" s="1"/>
  <c r="U147" i="5" s="1"/>
  <c r="L64" i="7"/>
  <c r="CX97" i="6"/>
  <c r="CY97" i="6" s="1"/>
  <c r="CX95" i="6"/>
  <c r="CY95" i="6" s="1"/>
  <c r="DD95" i="6" s="1"/>
  <c r="CX86" i="6"/>
  <c r="CY86" i="6" s="1"/>
  <c r="CX90" i="6"/>
  <c r="CY90" i="6" s="1"/>
  <c r="CX85" i="6"/>
  <c r="CY85" i="6" s="1"/>
  <c r="CX78" i="6"/>
  <c r="CY78" i="6" s="1"/>
  <c r="CX81" i="6"/>
  <c r="CY81" i="6" s="1"/>
  <c r="CX87" i="6"/>
  <c r="CY87" i="6" s="1"/>
  <c r="CX61" i="6"/>
  <c r="CY61" i="6" s="1"/>
  <c r="DD61" i="6" s="1"/>
  <c r="CX58" i="6"/>
  <c r="CY58" i="6" s="1"/>
  <c r="DD58" i="6" s="1"/>
  <c r="CX55" i="6"/>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16" i="6"/>
  <c r="CY116" i="6" s="1"/>
  <c r="DD116" i="6" s="1"/>
  <c r="U154" i="5" s="1"/>
  <c r="CX59" i="6"/>
  <c r="CY59" i="6" s="1"/>
  <c r="DD59" i="6" s="1"/>
  <c r="CX96" i="6"/>
  <c r="CY96" i="6" s="1"/>
  <c r="DD96" i="6" s="1"/>
  <c r="CX67" i="6"/>
  <c r="CY67" i="6" s="1"/>
  <c r="CX114" i="6"/>
  <c r="CY114" i="6" s="1"/>
  <c r="DD114" i="6" s="1"/>
  <c r="U152" i="5" s="1"/>
  <c r="CX98" i="6"/>
  <c r="CY98" i="6" s="1"/>
  <c r="DD98" i="6" s="1"/>
  <c r="CX79" i="6"/>
  <c r="CY79" i="6" s="1"/>
  <c r="CX80" i="6"/>
  <c r="CY80" i="6" s="1"/>
  <c r="CX117" i="6"/>
  <c r="CY117" i="6" s="1"/>
  <c r="DD117" i="6" s="1"/>
  <c r="U155" i="5" s="1"/>
  <c r="CX101" i="6"/>
  <c r="CX57" i="6"/>
  <c r="CY57" i="6" s="1"/>
  <c r="CX77" i="6"/>
  <c r="CY77" i="6" s="1"/>
  <c r="CX56" i="6"/>
  <c r="CY56" i="6" s="1"/>
  <c r="DD97" i="6" l="1"/>
  <c r="U90" i="5" s="1"/>
  <c r="DD99" i="6"/>
  <c r="N57" i="7" s="1"/>
  <c r="R57" i="7" s="1"/>
  <c r="DD78" i="6"/>
  <c r="U127" i="5" s="1"/>
  <c r="DD88" i="6"/>
  <c r="N46" i="7" s="1"/>
  <c r="R46" i="7" s="1"/>
  <c r="DD83" i="6"/>
  <c r="U132" i="5" s="1"/>
  <c r="DD85" i="6"/>
  <c r="U134" i="5" s="1"/>
  <c r="DD89" i="6"/>
  <c r="U138" i="5" s="1"/>
  <c r="DD87" i="6"/>
  <c r="U136" i="5" s="1"/>
  <c r="DD90" i="6"/>
  <c r="U139" i="5" s="1"/>
  <c r="DD82" i="6"/>
  <c r="F36" i="7" s="1"/>
  <c r="T36" i="7" s="1"/>
  <c r="V36" i="7" s="1"/>
  <c r="DD79" i="6"/>
  <c r="U128" i="5" s="1"/>
  <c r="DD77" i="6"/>
  <c r="N31" i="7" s="1"/>
  <c r="R31" i="7" s="1"/>
  <c r="DD80" i="6"/>
  <c r="U129" i="5" s="1"/>
  <c r="DD81" i="6"/>
  <c r="F35" i="7" s="1"/>
  <c r="T35" i="7" s="1"/>
  <c r="V35" i="7" s="1"/>
  <c r="DD86" i="6"/>
  <c r="U135" i="5" s="1"/>
  <c r="DD84" i="6"/>
  <c r="U133" i="5" s="1"/>
  <c r="DD57" i="6"/>
  <c r="U72" i="5" s="1"/>
  <c r="DD66" i="6"/>
  <c r="F24" i="7" s="1"/>
  <c r="DD56" i="6"/>
  <c r="U71" i="5" s="1"/>
  <c r="DD67" i="6"/>
  <c r="F25" i="7" s="1"/>
  <c r="DD68" i="6"/>
  <c r="U83" i="5" s="1"/>
  <c r="U144" i="5"/>
  <c r="U145" i="5"/>
  <c r="T58" i="7"/>
  <c r="V58" i="7" s="1"/>
  <c r="F42" i="7"/>
  <c r="T42" i="7" s="1"/>
  <c r="V42" i="7" s="1"/>
  <c r="N42" i="7"/>
  <c r="R42" i="7" s="1"/>
  <c r="F18" i="7"/>
  <c r="U78" i="5"/>
  <c r="F23" i="7"/>
  <c r="F21" i="7"/>
  <c r="F54" i="7"/>
  <c r="T54" i="7" s="1"/>
  <c r="V54" i="7" s="1"/>
  <c r="N54" i="7"/>
  <c r="R54" i="7" s="1"/>
  <c r="U89"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53" i="7"/>
  <c r="T53" i="7" s="1"/>
  <c r="V53" i="7" s="1"/>
  <c r="N53" i="7"/>
  <c r="R53" i="7" s="1"/>
  <c r="U88" i="5"/>
  <c r="F17" i="7"/>
  <c r="U77" i="5"/>
  <c r="F16" i="7"/>
  <c r="U76" i="5"/>
  <c r="F19" i="7"/>
  <c r="U79" i="5"/>
  <c r="N56" i="7"/>
  <c r="R56" i="7" s="1"/>
  <c r="F56" i="7"/>
  <c r="T56" i="7" s="1"/>
  <c r="V56" i="7" s="1"/>
  <c r="U91" i="5"/>
  <c r="P10" i="7"/>
  <c r="L10" i="7"/>
  <c r="P20" i="7"/>
  <c r="L20" i="7"/>
  <c r="CY101" i="6"/>
  <c r="CY55" i="6"/>
  <c r="DD55" i="6" s="1"/>
  <c r="F48" i="7" l="1"/>
  <c r="T48" i="7" s="1"/>
  <c r="V48" i="7" s="1"/>
  <c r="F32" i="7"/>
  <c r="F12" i="7"/>
  <c r="F55" i="7"/>
  <c r="T55" i="7"/>
  <c r="V55" i="7" s="1"/>
  <c r="N48" i="7"/>
  <c r="R48" i="7" s="1"/>
  <c r="F34" i="7"/>
  <c r="N34" i="7"/>
  <c r="R34" i="7" s="1"/>
  <c r="F37" i="7"/>
  <c r="T37" i="7" s="1"/>
  <c r="V37" i="7" s="1"/>
  <c r="N37" i="7"/>
  <c r="R37" i="7" s="1"/>
  <c r="T34" i="7"/>
  <c r="V34" i="7" s="1"/>
  <c r="F47" i="7"/>
  <c r="T47" i="7" s="1"/>
  <c r="V47" i="7" s="1"/>
  <c r="N47" i="7"/>
  <c r="R47" i="7" s="1"/>
  <c r="F11" i="7"/>
  <c r="T11" i="7" s="1"/>
  <c r="V11" i="7" s="1"/>
  <c r="N38" i="7"/>
  <c r="R38" i="7" s="1"/>
  <c r="T33" i="7"/>
  <c r="V33" i="7" s="1"/>
  <c r="F26" i="7"/>
  <c r="N26" i="7" s="1"/>
  <c r="R26" i="7" s="1"/>
  <c r="N55" i="7"/>
  <c r="R55" i="7" s="1"/>
  <c r="F57" i="7"/>
  <c r="T57" i="7" s="1"/>
  <c r="V57" i="7" s="1"/>
  <c r="X57" i="7" s="1"/>
  <c r="N40" i="7"/>
  <c r="R40" i="7" s="1"/>
  <c r="F33" i="7"/>
  <c r="F46" i="7"/>
  <c r="T46" i="7" s="1"/>
  <c r="V46" i="7" s="1"/>
  <c r="X46" i="7" s="1"/>
  <c r="N45" i="7"/>
  <c r="R45" i="7" s="1"/>
  <c r="F40" i="7"/>
  <c r="T40" i="7" s="1"/>
  <c r="V40" i="7" s="1"/>
  <c r="F39" i="7"/>
  <c r="T39" i="7" s="1"/>
  <c r="V39" i="7" s="1"/>
  <c r="N32" i="7"/>
  <c r="R32" i="7" s="1"/>
  <c r="T32" i="7"/>
  <c r="V32" i="7" s="1"/>
  <c r="N33" i="7"/>
  <c r="R33" i="7" s="1"/>
  <c r="X33" i="7" s="1"/>
  <c r="U92" i="5"/>
  <c r="DD101" i="6"/>
  <c r="U94" i="5" s="1"/>
  <c r="F38" i="7"/>
  <c r="T38" i="7" s="1"/>
  <c r="V38" i="7" s="1"/>
  <c r="N39" i="7"/>
  <c r="R39" i="7" s="1"/>
  <c r="F45" i="7"/>
  <c r="T45" i="7" s="1"/>
  <c r="V45" i="7" s="1"/>
  <c r="N35" i="7"/>
  <c r="R35" i="7" s="1"/>
  <c r="X35" i="7" s="1"/>
  <c r="T31" i="7"/>
  <c r="V31" i="7" s="1"/>
  <c r="X31" i="7" s="1"/>
  <c r="U130" i="5"/>
  <c r="U126" i="5"/>
  <c r="U131" i="5"/>
  <c r="U137" i="5"/>
  <c r="N36" i="7"/>
  <c r="R36" i="7" s="1"/>
  <c r="X36" i="7" s="1"/>
  <c r="F31" i="7"/>
  <c r="U82" i="5"/>
  <c r="U81" i="5"/>
  <c r="X14" i="7"/>
  <c r="N16" i="7"/>
  <c r="R16" i="7" s="1"/>
  <c r="T16" i="7"/>
  <c r="V16" i="7" s="1"/>
  <c r="N25" i="7"/>
  <c r="R25" i="7" s="1"/>
  <c r="T25" i="7"/>
  <c r="V25" i="7" s="1"/>
  <c r="N18" i="7"/>
  <c r="R18" i="7" s="1"/>
  <c r="T18" i="7"/>
  <c r="V18" i="7" s="1"/>
  <c r="N17" i="7"/>
  <c r="R17" i="7" s="1"/>
  <c r="T17" i="7"/>
  <c r="V17" i="7" s="1"/>
  <c r="N22" i="7"/>
  <c r="R22" i="7" s="1"/>
  <c r="T22" i="7"/>
  <c r="V22" i="7" s="1"/>
  <c r="N21" i="7"/>
  <c r="R21" i="7" s="1"/>
  <c r="T21" i="7"/>
  <c r="V21" i="7" s="1"/>
  <c r="N19" i="7"/>
  <c r="R19" i="7" s="1"/>
  <c r="T19" i="7"/>
  <c r="V19" i="7" s="1"/>
  <c r="N20" i="7"/>
  <c r="R20" i="7" s="1"/>
  <c r="T20" i="7"/>
  <c r="V20" i="7" s="1"/>
  <c r="N24" i="7"/>
  <c r="R24" i="7" s="1"/>
  <c r="T24" i="7"/>
  <c r="V24" i="7" s="1"/>
  <c r="N12" i="7"/>
  <c r="R12" i="7" s="1"/>
  <c r="T12" i="7"/>
  <c r="V12" i="7" s="1"/>
  <c r="N23" i="7"/>
  <c r="R23" i="7" s="1"/>
  <c r="T23" i="7"/>
  <c r="V23" i="7" s="1"/>
  <c r="X42"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58" i="7"/>
  <c r="X44" i="7"/>
  <c r="X47" i="7" l="1"/>
  <c r="X48" i="7"/>
  <c r="X37" i="7"/>
  <c r="X34" i="7"/>
  <c r="X55" i="7"/>
  <c r="N11" i="7"/>
  <c r="R11" i="7" s="1"/>
  <c r="X11" i="7" s="1"/>
  <c r="X38" i="7"/>
  <c r="X32" i="7"/>
  <c r="X39" i="7"/>
  <c r="X40" i="7"/>
  <c r="T26" i="7"/>
  <c r="V26" i="7" s="1"/>
  <c r="X26" i="7" s="1"/>
  <c r="N59" i="7"/>
  <c r="R59" i="7" s="1"/>
  <c r="F59" i="7"/>
  <c r="T59" i="7" s="1"/>
  <c r="V59" i="7" s="1"/>
  <c r="X45" i="7"/>
  <c r="X22" i="7"/>
  <c r="X16" i="7"/>
  <c r="X12" i="7"/>
  <c r="X20" i="7"/>
  <c r="X17" i="7"/>
  <c r="X25" i="7"/>
  <c r="X18" i="7"/>
  <c r="X19" i="7"/>
  <c r="X24"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<sst xmlns="http://schemas.openxmlformats.org/spreadsheetml/2006/main" count="771" uniqueCount="162">
  <si>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</si>
  <si>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</si>
  <si>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</si>
  <si>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</si>
  <si>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</si>
  <si>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</si>
  <si>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</si>
  <si>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</si>
  <si>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</si>
  <si>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</si>
  <si>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</si>
  <si>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</si>
  <si>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</si>
  <si>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</si>
  <si>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</si>
  <si>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</si>
  <si>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</si>
  <si>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</si>
  <si>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</si>
  <si>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</si>
  <si>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</si>
  <si>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</si>
  <si>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</si>
  <si>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</si>
  <si>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</si>
  <si>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</si>
  <si>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</si>
  <si>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</si>
  <si>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</si>
  <si>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</si>
  <si>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</si>
  <si>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</si>
  <si>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</si>
  <si>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</si>
  <si>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</si>
  <si>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</si>
  <si>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</si>
  <si>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</si>
  <si>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</si>
  <si>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</si>
  <si>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</si>
  <si>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</si>
  <si>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</si>
  <si>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</si>
  <si>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</si>
  <si>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</si>
  <si>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</si>
  <si>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</si>
  <si>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</si>
  <si>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</si>
  <si>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x</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</si>
  <si>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</si>
  <si>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</si>
  <si>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</si>
  <si>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</si>
  <si>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</si>
  <si>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</si>
  <si>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</si>
  <si>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</si>
  <si>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</si>
  <si>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</si>
  <si>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</si>
  <si>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</si>
  <si>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</si>
  <si>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</si>
  <si>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</si>
  <si>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</si>
  <si>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</si>
  <si>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</si>
  <si>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</si>
  <si>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</si>
  <si>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</si>
  <si>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</si>
  <si>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</si>
  <si>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</si>
  <si>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</si>
  <si>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</si>
  <si>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</si>
  <si>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</si>
  <si>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</si>
  <si>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</si>
  <si>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</si>
  <si>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</si>
  <si>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</si>
  <si>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</si>
  <si>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</si>
  <si>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</si>
  <si>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</si>
  <si>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</si>
  <si>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</si>
  <si>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</si>
  <si>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</si>
  <si>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</si>
  <si>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</si>
  <si>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</si>
  <si>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</si>
  <si>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</si>
  <si>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</si>
  <si>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</si>
  <si>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</si>
  <si>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</si>
  <si>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</si>
  <si>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40 MΩ</t>
  </si>
  <si>
    <t>DC Current Test</t>
  </si>
  <si>
    <t>AC Current Test</t>
  </si>
  <si>
    <t>Calibrated By</t>
  </si>
  <si>
    <t>Calibration Officer's Name</t>
  </si>
  <si>
    <t>Signature</t>
  </si>
  <si>
    <t>Date</t>
  </si>
  <si>
    <t>Checked By</t>
  </si>
  <si>
    <t>Encoded By</t>
  </si>
  <si>
    <t>%rh</t>
  </si>
  <si>
    <t>Uncertainty:</t>
  </si>
  <si>
    <t xml:space="preserve">  </t>
  </si>
  <si>
    <t>none</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</si>
  <si>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</si>
  <si>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</si>
  <si>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</si>
  <si>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</si>
  <si>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</si>
  <si>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</si>
  <si>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</si>
  <si>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</si>
  <si>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</si>
  <si>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</si>
  <si>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</si>
  <si>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</si>
  <si>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</si>
  <si>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</si>
  <si>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see specification sheet</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</si>
  <si>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</si>
  <si>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</si>
  <si>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</si>
  <si>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</si>
  <si>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</si>
  <si>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t>Electrical Calibration Area</t>
  </si>
  <si>
    <r>
      <rPr>
        <vertAlign val="superscript"/>
        <sz val="10"/>
        <rFont val="Arial Narrow"/>
        <family val="2"/>
      </rPr>
      <t>o</t>
    </r>
    <r>
      <rPr>
        <sz val="10"/>
        <rFont val="Arial Narrow"/>
        <family val="2"/>
      </rPr>
      <t>C</t>
    </r>
  </si>
  <si>
    <t>Received Date:</t>
  </si>
  <si>
    <t>600 mV</t>
  </si>
  <si>
    <t>6 V</t>
  </si>
  <si>
    <t>60 V</t>
  </si>
  <si>
    <t>600 Ω</t>
  </si>
  <si>
    <t>6 kΩ</t>
  </si>
  <si>
    <t>60 kΩ</t>
  </si>
  <si>
    <t>600 kΩ</t>
  </si>
  <si>
    <t>6 A</t>
  </si>
  <si>
    <t>10 A</t>
  </si>
  <si>
    <t>500 Hz</t>
  </si>
  <si>
    <t>1 kHz</t>
  </si>
  <si>
    <t>6 MΩ</t>
  </si>
  <si>
    <t>Fluke</t>
  </si>
  <si>
    <t>True RMS Multimeter</t>
  </si>
  <si>
    <t>A</t>
  </si>
  <si>
    <t>Jennefer S. Ilas</t>
  </si>
  <si>
    <t>Approved Signatory</t>
  </si>
  <si>
    <t>Interim Manager (Electrical)</t>
  </si>
  <si>
    <t>Multiproduct Calibrator</t>
  </si>
  <si>
    <t>25-2852-03JSC Rev.00</t>
  </si>
  <si>
    <t>The instrument was calibrated using reference standard/s traceable to SI Units as maintained by NPL (United Kingdom), NIST (US) and NML-ITDI (Philippines) through SONJU Engineering Services (Philippines)</t>
  </si>
  <si>
    <t>4. A positve error is to subtracted to the UUT indication and negative error added to give true value.</t>
  </si>
  <si>
    <t>5. As per customer request the  next calibration due date is on:</t>
  </si>
  <si>
    <r>
      <t xml:space="preserve">3. </t>
    </r>
    <r>
      <rPr>
        <b/>
        <sz val="10.5"/>
        <color theme="1"/>
        <rFont val="Arial Narrow"/>
        <family val="2"/>
      </rPr>
      <t>Preliminary Inspection</t>
    </r>
    <r>
      <rPr>
        <sz val="10.5"/>
        <color theme="1"/>
        <rFont val="Arial Narrow"/>
        <family val="2"/>
      </rPr>
      <t>: Satisfactory.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</si>
</sst>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5">
    <font>
      <sz val="11"/>
      <color theme="1"/>
      <name val="Calibri"/>
      <charset val="134"/>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97">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medium">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s>
  <cellStyleXfs count="5">
    <xf numFmtId="0" fontId="0" fillId="0" borderId="0"/>
    <xf numFmtId="0" fontId="8" fillId="0" borderId="0"/>
    <xf numFmtId="0" fontId="8" fillId="0" borderId="0"/>
    <xf numFmtId="0" fontId="12" fillId="4" borderId="0" applyNumberFormat="0" applyBorder="0" applyAlignment="0" applyProtection="0"/>
    <xf numFmtId="0" fontId="1" fillId="0" borderId="0"/>
  </cellStyleXfs>
  <cellXfs count="452">
    <xf numFmtId="0" fontId="0" fillId="0" borderId="0" xfId="0"/>
    <xf numFmtId="1" fontId="6" fillId="0" borderId="8" xfId="1" applyNumberFormat="1" applyFont="1" applyBorder="1" applyAlignment="1">
      <alignment horizontal="center" vertical="center"/>
    </xf>
    <xf numFmtId="0" fontId="5" fillId="0" borderId="0" xfId="0" applyFont="1" applyAlignment="1">
      <alignment horizontal="center" vertical="center"/>
    </xf>
    <xf numFmtId="0" fontId="5" fillId="0" borderId="0" xfId="1" applyFont="1" applyAlignment="1">
      <alignment horizontal="center" vertical="center"/>
    </xf>
    <xf numFmtId="170" fontId="6" fillId="0" borderId="0" xfId="1" applyNumberFormat="1" applyFont="1" applyAlignment="1">
      <alignment horizontal="center" vertical="center"/>
    </xf>
    <xf numFmtId="171" fontId="6" fillId="0" borderId="8" xfId="1" applyNumberFormat="1" applyFont="1" applyBorder="1" applyAlignment="1">
      <alignment horizontal="center" vertical="center"/>
    </xf>
    <xf numFmtId="169" fontId="6" fillId="0" borderId="8" xfId="1" applyNumberFormat="1" applyFont="1" applyBorder="1" applyAlignment="1">
      <alignment horizontal="center" vertical="center"/>
    </xf>
    <xf numFmtId="0" fontId="6" fillId="0" borderId="0" xfId="0" applyFont="1"/>
    <xf numFmtId="0" fontId="6" fillId="0" borderId="0" xfId="1" applyFont="1" applyAlignment="1">
      <alignment vertical="center"/>
    </xf>
    <xf numFmtId="0" fontId="7" fillId="0" borderId="0" xfId="1" applyFont="1" applyAlignment="1">
      <alignment horizontal="center" vertical="center"/>
    </xf>
    <xf numFmtId="1" fontId="7" fillId="0" borderId="0" xfId="1" applyNumberFormat="1" applyFont="1" applyAlignment="1">
      <alignment horizontal="center" vertical="center"/>
    </xf>
    <xf numFmtId="170" fontId="7" fillId="0" borderId="0" xfId="1" applyNumberFormat="1" applyFont="1" applyAlignment="1">
      <alignment horizontal="center" vertical="center"/>
    </xf>
    <xf numFmtId="171" fontId="7" fillId="0" borderId="0" xfId="1" applyNumberFormat="1" applyFont="1" applyAlignment="1">
      <alignment horizontal="center" vertical="center"/>
    </xf>
    <xf numFmtId="166" fontId="7" fillId="0" borderId="0" xfId="1" applyNumberFormat="1" applyFont="1" applyAlignment="1">
      <alignment horizontal="center" vertical="center"/>
    </xf>
    <xf numFmtId="169" fontId="7" fillId="0" borderId="0" xfId="1" applyNumberFormat="1" applyFont="1" applyAlignment="1">
      <alignment horizontal="center" vertical="center"/>
    </xf>
    <xf numFmtId="0" fontId="7" fillId="0" borderId="0" xfId="1" applyFont="1" applyAlignment="1">
      <alignment vertical="center"/>
    </xf>
    <xf numFmtId="164" fontId="7" fillId="0" borderId="0" xfId="1" applyNumberFormat="1" applyFont="1" applyAlignment="1">
      <alignment horizontal="center" vertical="center"/>
    </xf>
    <xf numFmtId="2" fontId="7" fillId="0" borderId="0" xfId="1" applyNumberFormat="1" applyFont="1" applyAlignment="1">
      <alignment horizontal="right" vertical="center"/>
    </xf>
    <xf numFmtId="1" fontId="7" fillId="0" borderId="0" xfId="1" applyNumberFormat="1" applyFont="1" applyAlignment="1">
      <alignment horizontal="left" vertical="center"/>
    </xf>
    <xf numFmtId="0" fontId="9" fillId="0" borderId="0" xfId="0" applyFont="1" applyAlignment="1">
      <alignment vertical="center"/>
    </xf>
    <xf numFmtId="0" fontId="10" fillId="0" borderId="0" xfId="0" applyFont="1"/>
    <xf numFmtId="0" fontId="9" fillId="0" borderId="0" xfId="0" applyFont="1"/>
    <xf numFmtId="0" fontId="10" fillId="0" borderId="0" xfId="0" applyFont="1" applyAlignment="1">
      <alignment horizontal="center" vertical="center"/>
    </xf>
    <xf numFmtId="0" fontId="10" fillId="3" borderId="0" xfId="0" applyFont="1" applyFill="1"/>
    <xf numFmtId="0" fontId="10" fillId="0" borderId="0" xfId="0" applyFont="1" applyAlignment="1">
      <alignment vertical="top"/>
    </xf>
    <xf numFmtId="0" fontId="10" fillId="0" borderId="0" xfId="0" applyFont="1" applyAlignment="1">
      <alignment vertical="top" wrapText="1"/>
    </xf>
    <xf numFmtId="0" fontId="10" fillId="0" borderId="0" xfId="0" applyFont="1" applyAlignment="1">
      <alignment vertical="center"/>
    </xf>
    <xf numFmtId="0" fontId="9" fillId="0" borderId="0" xfId="0" applyFont="1" applyAlignment="1">
      <alignment horizontal="left"/>
    </xf>
    <xf numFmtId="0" fontId="10" fillId="0" borderId="0" xfId="0" applyFont="1" applyAlignment="1">
      <alignment horizontal="center" vertical="center" wrapText="1"/>
    </xf>
    <xf numFmtId="0" fontId="9" fillId="0" borderId="0" xfId="0" applyFont="1" applyAlignment="1">
      <alignment horizontal="left" vertical="top"/>
    </xf>
    <xf numFmtId="0" fontId="10" fillId="0" borderId="0" xfId="0" applyFont="1" applyAlignment="1">
      <alignment horizontal="left" vertical="top" wrapText="1"/>
    </xf>
    <xf numFmtId="0" fontId="2" fillId="5" borderId="0" xfId="0" applyFont="1" applyFill="1"/>
    <xf numFmtId="2" fontId="3" fillId="5" borderId="32" xfId="0" applyNumberFormat="1" applyFont="1" applyFill="1" applyBorder="1" applyAlignment="1">
      <alignment vertical="center"/>
    </xf>
    <xf numFmtId="2" fontId="3" fillId="5" borderId="33" xfId="0" applyNumberFormat="1" applyFont="1" applyFill="1" applyBorder="1" applyAlignment="1">
      <alignment vertical="center"/>
    </xf>
    <xf numFmtId="166" fontId="3" fillId="5" borderId="32" xfId="0" applyNumberFormat="1" applyFont="1" applyFill="1" applyBorder="1" applyAlignment="1">
      <alignment vertical="center"/>
    </xf>
    <xf numFmtId="166" fontId="3" fillId="5" borderId="33" xfId="0" applyNumberFormat="1" applyFont="1" applyFill="1" applyBorder="1" applyAlignment="1">
      <alignment vertical="center"/>
    </xf>
    <xf numFmtId="2" fontId="3" fillId="5" borderId="32" xfId="0" applyNumberFormat="1" applyFont="1" applyFill="1" applyBorder="1" applyAlignment="1">
      <alignment horizontal="right"/>
    </xf>
    <xf numFmtId="164" fontId="3" fillId="5" borderId="32" xfId="0" applyNumberFormat="1" applyFont="1" applyFill="1" applyBorder="1" applyAlignment="1">
      <alignment vertical="center"/>
    </xf>
    <xf numFmtId="164" fontId="3" fillId="5" borderId="33" xfId="0" applyNumberFormat="1" applyFont="1" applyFill="1" applyBorder="1" applyAlignment="1">
      <alignment vertical="center"/>
    </xf>
    <xf numFmtId="1" fontId="3" fillId="5" borderId="32" xfId="0" applyNumberFormat="1" applyFont="1" applyFill="1" applyBorder="1" applyAlignment="1">
      <alignment vertical="center"/>
    </xf>
    <xf numFmtId="1" fontId="3" fillId="5" borderId="33" xfId="0" applyNumberFormat="1" applyFont="1" applyFill="1" applyBorder="1" applyAlignment="1">
      <alignment vertical="center"/>
    </xf>
    <xf numFmtId="164" fontId="0" fillId="0" borderId="32" xfId="0" applyNumberFormat="1" applyBorder="1"/>
    <xf numFmtId="164" fontId="3" fillId="0" borderId="33" xfId="0" applyNumberFormat="1" applyFont="1" applyBorder="1"/>
    <xf numFmtId="2" fontId="0" fillId="0" borderId="32" xfId="0" applyNumberFormat="1" applyBorder="1"/>
    <xf numFmtId="2" fontId="3" fillId="0" borderId="33" xfId="0" applyNumberFormat="1" applyFont="1" applyBorder="1"/>
    <xf numFmtId="166" fontId="0" fillId="0" borderId="32" xfId="0" applyNumberFormat="1" applyBorder="1"/>
    <xf numFmtId="166" fontId="3" fillId="0" borderId="33" xfId="0" applyNumberFormat="1" applyFont="1" applyBorder="1"/>
    <xf numFmtId="1" fontId="0" fillId="0" borderId="32" xfId="0" applyNumberFormat="1" applyBorder="1"/>
    <xf numFmtId="1" fontId="3" fillId="0" borderId="33" xfId="0" applyNumberFormat="1" applyFont="1" applyBorder="1"/>
    <xf numFmtId="164" fontId="3" fillId="5" borderId="7" xfId="0" applyNumberFormat="1" applyFont="1" applyFill="1" applyBorder="1" applyAlignment="1">
      <alignment vertical="center"/>
    </xf>
    <xf numFmtId="171" fontId="3" fillId="5" borderId="32" xfId="0" applyNumberFormat="1" applyFont="1" applyFill="1" applyBorder="1" applyAlignment="1">
      <alignment horizontal="right"/>
    </xf>
    <xf numFmtId="0" fontId="10" fillId="3" borderId="0" xfId="0" applyFont="1" applyFill="1" applyProtection="1">
      <protection locked="0"/>
    </xf>
    <xf numFmtId="0" fontId="10" fillId="0" borderId="0" xfId="0" applyFont="1" applyProtection="1">
      <protection locked="0"/>
    </xf>
    <xf numFmtId="0" fontId="3" fillId="0" borderId="0" xfId="0" applyFont="1" applyAlignment="1">
      <alignment vertical="top" wrapText="1"/>
    </xf>
    <xf numFmtId="0" fontId="10" fillId="3" borderId="0" xfId="0" applyFont="1" applyFill="1" applyAlignment="1">
      <alignment vertical="center"/>
    </xf>
    <xf numFmtId="0" fontId="10" fillId="3" borderId="0" xfId="0" applyFont="1" applyFill="1" applyAlignment="1" applyProtection="1">
      <alignment vertical="center"/>
      <protection locked="0"/>
    </xf>
    <xf numFmtId="0" fontId="10" fillId="0" borderId="0" xfId="0" applyFont="1" applyAlignment="1" applyProtection="1">
      <alignment vertical="center"/>
      <protection locked="0"/>
    </xf>
    <xf numFmtId="0" fontId="10" fillId="0" borderId="0" xfId="0" applyFont="1" applyAlignment="1">
      <alignment vertical="center" wrapText="1"/>
    </xf>
    <xf numFmtId="0" fontId="13" fillId="3" borderId="0" xfId="0" applyFont="1" applyFill="1"/>
    <xf numFmtId="0" fontId="13" fillId="0" borderId="0" xfId="0" applyFont="1"/>
    <xf numFmtId="0" fontId="14" fillId="0" borderId="0" xfId="0" applyFont="1"/>
    <xf numFmtId="0" fontId="15" fillId="0" borderId="0" xfId="0" applyFont="1"/>
    <xf numFmtId="0" fontId="9" fillId="0" borderId="0" xfId="0" applyFont="1" applyAlignment="1">
      <alignment horizontal="left" vertical="center"/>
    </xf>
    <xf numFmtId="167" fontId="9" fillId="0" borderId="0" xfId="0" applyNumberFormat="1" applyFont="1" applyAlignment="1">
      <alignment horizontal="left" vertical="center"/>
    </xf>
    <xf numFmtId="0" fontId="10" fillId="0" borderId="0" xfId="0" applyFont="1" applyAlignment="1">
      <alignment horizontal="left" vertical="top"/>
    </xf>
    <xf numFmtId="0" fontId="10" fillId="0" borderId="0" xfId="0" applyFont="1" applyAlignment="1" applyProtection="1">
      <alignment vertical="top" wrapText="1"/>
      <protection locked="0"/>
    </xf>
    <xf numFmtId="0" fontId="9" fillId="0" borderId="0" xfId="0" applyFont="1" applyAlignment="1" applyProtection="1">
      <alignment vertical="top"/>
      <protection locked="0"/>
    </xf>
    <xf numFmtId="2" fontId="10" fillId="0" borderId="0" xfId="0" applyNumberFormat="1" applyFont="1" applyAlignment="1">
      <alignment horizontal="center" vertical="center"/>
    </xf>
    <xf numFmtId="0" fontId="6" fillId="0" borderId="76" xfId="1" applyFont="1" applyBorder="1" applyAlignment="1">
      <alignment horizontal="center" vertical="center"/>
    </xf>
    <xf numFmtId="1" fontId="6" fillId="0" borderId="77" xfId="1" applyNumberFormat="1" applyFont="1" applyBorder="1" applyAlignment="1">
      <alignment horizontal="center" vertical="center"/>
    </xf>
    <xf numFmtId="0" fontId="6" fillId="0" borderId="79" xfId="1" applyFont="1" applyBorder="1" applyAlignment="1">
      <alignment horizontal="center" vertical="center"/>
    </xf>
    <xf numFmtId="0" fontId="6" fillId="0" borderId="81" xfId="1" applyFont="1" applyBorder="1" applyAlignment="1">
      <alignment horizontal="center" vertical="center"/>
    </xf>
    <xf numFmtId="1" fontId="6" fillId="0" borderId="82" xfId="1" applyNumberFormat="1" applyFont="1" applyBorder="1" applyAlignment="1">
      <alignment horizontal="center" vertical="center"/>
    </xf>
    <xf numFmtId="0" fontId="6" fillId="0" borderId="84" xfId="1" applyFont="1" applyBorder="1" applyAlignment="1">
      <alignment horizontal="center" vertical="center"/>
    </xf>
    <xf numFmtId="1" fontId="6" fillId="0" borderId="72" xfId="1" applyNumberFormat="1" applyFont="1" applyBorder="1" applyAlignment="1">
      <alignment horizontal="center" vertical="center"/>
    </xf>
    <xf numFmtId="170" fontId="6" fillId="0" borderId="86" xfId="1" applyNumberFormat="1" applyFont="1" applyBorder="1" applyAlignment="1">
      <alignment horizontal="center" vertical="center"/>
    </xf>
    <xf numFmtId="170" fontId="6" fillId="0" borderId="87" xfId="1" applyNumberFormat="1" applyFont="1" applyBorder="1" applyAlignment="1">
      <alignment horizontal="center" vertical="center"/>
    </xf>
    <xf numFmtId="170" fontId="6" fillId="0" borderId="88" xfId="1" applyNumberFormat="1" applyFont="1" applyBorder="1" applyAlignment="1">
      <alignment horizontal="center" vertical="center"/>
    </xf>
    <xf numFmtId="166" fontId="6" fillId="0" borderId="78" xfId="1" applyNumberFormat="1" applyFont="1" applyBorder="1" applyAlignment="1">
      <alignment horizontal="center" vertical="center"/>
    </xf>
    <xf numFmtId="166" fontId="6" fillId="0" borderId="80" xfId="1" applyNumberFormat="1" applyFont="1" applyBorder="1" applyAlignment="1">
      <alignment horizontal="center" vertical="center"/>
    </xf>
    <xf numFmtId="166" fontId="6" fillId="0" borderId="83" xfId="1" applyNumberFormat="1" applyFont="1" applyBorder="1" applyAlignment="1">
      <alignment horizontal="center" vertical="center"/>
    </xf>
    <xf numFmtId="169" fontId="6" fillId="0" borderId="77" xfId="1" applyNumberFormat="1" applyFont="1" applyBorder="1" applyAlignment="1">
      <alignment horizontal="center" vertical="center"/>
    </xf>
    <xf numFmtId="169" fontId="6" fillId="0" borderId="82" xfId="1" applyNumberFormat="1" applyFont="1" applyBorder="1" applyAlignment="1">
      <alignment horizontal="center" vertical="center"/>
    </xf>
    <xf numFmtId="169" fontId="6" fillId="0" borderId="86" xfId="1" applyNumberFormat="1" applyFont="1" applyBorder="1" applyAlignment="1">
      <alignment horizontal="center" vertical="center"/>
    </xf>
    <xf numFmtId="169" fontId="6" fillId="0" borderId="87" xfId="1" applyNumberFormat="1" applyFont="1" applyBorder="1" applyAlignment="1">
      <alignment horizontal="center" vertical="center"/>
    </xf>
    <xf numFmtId="169" fontId="6" fillId="0" borderId="88" xfId="1" applyNumberFormat="1" applyFont="1" applyBorder="1" applyAlignment="1">
      <alignment horizontal="center" vertical="center"/>
    </xf>
    <xf numFmtId="171" fontId="6" fillId="0" borderId="77" xfId="1" applyNumberFormat="1" applyFont="1" applyBorder="1" applyAlignment="1">
      <alignment horizontal="center" vertical="center"/>
    </xf>
    <xf numFmtId="171" fontId="6" fillId="0" borderId="82" xfId="1" applyNumberFormat="1" applyFont="1" applyBorder="1" applyAlignment="1">
      <alignment horizontal="center" vertical="center"/>
    </xf>
    <xf numFmtId="171" fontId="6" fillId="0" borderId="91" xfId="1" applyNumberFormat="1" applyFont="1" applyBorder="1" applyAlignment="1">
      <alignment horizontal="center" vertical="center"/>
    </xf>
    <xf numFmtId="1" fontId="6" fillId="0" borderId="91" xfId="1" applyNumberFormat="1" applyFont="1" applyBorder="1" applyAlignment="1">
      <alignment horizontal="center" vertical="center"/>
    </xf>
    <xf numFmtId="170" fontId="6" fillId="0" borderId="76" xfId="1" applyNumberFormat="1" applyFont="1" applyBorder="1" applyAlignment="1">
      <alignment horizontal="center" vertical="center"/>
    </xf>
    <xf numFmtId="164" fontId="6" fillId="0" borderId="78" xfId="1" applyNumberFormat="1" applyFont="1" applyBorder="1" applyAlignment="1">
      <alignment horizontal="center" vertical="center"/>
    </xf>
    <xf numFmtId="170" fontId="6" fillId="0" borderId="79" xfId="1" applyNumberFormat="1" applyFont="1" applyBorder="1" applyAlignment="1">
      <alignment horizontal="center" vertical="center"/>
    </xf>
    <xf numFmtId="164" fontId="6" fillId="0" borderId="80" xfId="1" applyNumberFormat="1" applyFont="1" applyBorder="1" applyAlignment="1">
      <alignment horizontal="center" vertical="center"/>
    </xf>
    <xf numFmtId="170" fontId="6" fillId="0" borderId="81" xfId="1" applyNumberFormat="1" applyFont="1" applyBorder="1" applyAlignment="1">
      <alignment horizontal="center" vertical="center"/>
    </xf>
    <xf numFmtId="164" fontId="6" fillId="0" borderId="83" xfId="1" applyNumberFormat="1" applyFont="1" applyBorder="1" applyAlignment="1">
      <alignment horizontal="center" vertical="center"/>
    </xf>
    <xf numFmtId="170" fontId="6" fillId="0" borderId="84" xfId="1" applyNumberFormat="1" applyFont="1" applyBorder="1" applyAlignment="1">
      <alignment horizontal="center" vertical="center"/>
    </xf>
    <xf numFmtId="171" fontId="6" fillId="0" borderId="72" xfId="1" applyNumberFormat="1" applyFont="1" applyBorder="1" applyAlignment="1">
      <alignment horizontal="center" vertical="center"/>
    </xf>
    <xf numFmtId="164" fontId="6" fillId="0" borderId="85" xfId="1" applyNumberFormat="1" applyFont="1" applyBorder="1" applyAlignment="1">
      <alignment horizontal="center" vertical="center"/>
    </xf>
    <xf numFmtId="165" fontId="5" fillId="0" borderId="77" xfId="1" applyNumberFormat="1" applyFont="1" applyBorder="1" applyAlignment="1">
      <alignment horizontal="center" vertical="center"/>
    </xf>
    <xf numFmtId="165" fontId="5" fillId="0" borderId="82" xfId="1" applyNumberFormat="1" applyFont="1" applyBorder="1" applyAlignment="1">
      <alignment horizontal="center" vertical="center"/>
    </xf>
    <xf numFmtId="166" fontId="6" fillId="0" borderId="76" xfId="1" applyNumberFormat="1" applyFont="1" applyBorder="1" applyAlignment="1">
      <alignment horizontal="right" vertical="center"/>
    </xf>
    <xf numFmtId="1" fontId="6" fillId="0" borderId="78" xfId="1" applyNumberFormat="1" applyFont="1" applyBorder="1" applyAlignment="1">
      <alignment horizontal="left" vertical="center"/>
    </xf>
    <xf numFmtId="166" fontId="6" fillId="0" borderId="79" xfId="1" applyNumberFormat="1" applyFont="1" applyBorder="1" applyAlignment="1">
      <alignment horizontal="right" vertical="center"/>
    </xf>
    <xf numFmtId="1" fontId="6" fillId="0" borderId="80" xfId="1" applyNumberFormat="1" applyFont="1" applyBorder="1" applyAlignment="1">
      <alignment horizontal="left" vertical="center"/>
    </xf>
    <xf numFmtId="166" fontId="6" fillId="0" borderId="81" xfId="1" applyNumberFormat="1" applyFont="1" applyBorder="1" applyAlignment="1">
      <alignment horizontal="right" vertical="center"/>
    </xf>
    <xf numFmtId="1" fontId="6" fillId="0" borderId="83" xfId="1" applyNumberFormat="1" applyFont="1" applyBorder="1" applyAlignment="1">
      <alignment horizontal="left" vertical="center"/>
    </xf>
    <xf numFmtId="164" fontId="6" fillId="0" borderId="16" xfId="1" applyNumberFormat="1" applyFont="1" applyBorder="1" applyAlignment="1">
      <alignment horizontal="center" vertical="center"/>
    </xf>
    <xf numFmtId="168" fontId="6" fillId="0" borderId="79" xfId="1" applyNumberFormat="1" applyFont="1" applyBorder="1" applyAlignment="1">
      <alignment horizontal="right" vertical="center"/>
    </xf>
    <xf numFmtId="169" fontId="6" fillId="0" borderId="79" xfId="1" applyNumberFormat="1" applyFont="1" applyBorder="1" applyAlignment="1">
      <alignment horizontal="right" vertical="center"/>
    </xf>
    <xf numFmtId="2" fontId="6" fillId="0" borderId="79" xfId="1" applyNumberFormat="1" applyFont="1" applyBorder="1" applyAlignment="1">
      <alignment horizontal="right" vertical="center"/>
    </xf>
    <xf numFmtId="2" fontId="6" fillId="0" borderId="81" xfId="1" applyNumberFormat="1" applyFont="1" applyBorder="1" applyAlignment="1">
      <alignment horizontal="right" vertical="center"/>
    </xf>
    <xf numFmtId="164" fontId="6" fillId="0" borderId="89" xfId="1" applyNumberFormat="1" applyFont="1" applyBorder="1" applyAlignment="1">
      <alignment horizontal="center" vertical="center"/>
    </xf>
    <xf numFmtId="164" fontId="6" fillId="0" borderId="90" xfId="1" applyNumberFormat="1" applyFont="1" applyBorder="1" applyAlignment="1">
      <alignment horizontal="center" vertical="center"/>
    </xf>
    <xf numFmtId="168" fontId="6" fillId="0" borderId="81" xfId="1" applyNumberFormat="1" applyFont="1" applyBorder="1" applyAlignment="1">
      <alignment horizontal="right" vertical="center"/>
    </xf>
    <xf numFmtId="168" fontId="6" fillId="0" borderId="76" xfId="1" applyNumberFormat="1" applyFont="1" applyBorder="1" applyAlignment="1">
      <alignment horizontal="right" vertical="center"/>
    </xf>
    <xf numFmtId="169" fontId="6" fillId="0" borderId="76" xfId="1" applyNumberFormat="1" applyFont="1" applyBorder="1" applyAlignment="1">
      <alignment horizontal="right" vertical="center"/>
    </xf>
    <xf numFmtId="0" fontId="3" fillId="0" borderId="0" xfId="0" applyFont="1" applyAlignment="1">
      <alignment horizontal="center" vertical="center"/>
    </xf>
    <xf numFmtId="0" fontId="5" fillId="0" borderId="76" xfId="1" applyFont="1" applyBorder="1" applyAlignment="1">
      <alignment horizontal="center" vertical="center"/>
    </xf>
    <xf numFmtId="0" fontId="5" fillId="0" borderId="81" xfId="1" applyFont="1" applyBorder="1" applyAlignment="1">
      <alignment horizontal="center" vertical="center"/>
    </xf>
    <xf numFmtId="0" fontId="5" fillId="0" borderId="89" xfId="1" applyFont="1" applyBorder="1" applyAlignment="1">
      <alignment horizontal="center" vertical="center"/>
    </xf>
    <xf numFmtId="0" fontId="5" fillId="0" borderId="90" xfId="1" applyFont="1" applyBorder="1" applyAlignment="1">
      <alignment horizontal="center" vertical="center"/>
    </xf>
    <xf numFmtId="0" fontId="16" fillId="2" borderId="0" xfId="0" applyFont="1" applyFill="1"/>
    <xf numFmtId="0" fontId="16" fillId="5" borderId="41" xfId="0" applyFont="1" applyFill="1" applyBorder="1"/>
    <xf numFmtId="0" fontId="16" fillId="5" borderId="42" xfId="0" applyFont="1" applyFill="1" applyBorder="1"/>
    <xf numFmtId="0" fontId="16" fillId="5" borderId="43" xfId="0" applyFont="1" applyFill="1" applyBorder="1"/>
    <xf numFmtId="0" fontId="16" fillId="0" borderId="0" xfId="0" applyFont="1"/>
    <xf numFmtId="0" fontId="16" fillId="5" borderId="44" xfId="0" applyFont="1" applyFill="1" applyBorder="1"/>
    <xf numFmtId="0" fontId="16" fillId="5" borderId="0" xfId="0" applyFont="1" applyFill="1"/>
    <xf numFmtId="0" fontId="16" fillId="5" borderId="45" xfId="0" applyFont="1" applyFill="1" applyBorder="1"/>
    <xf numFmtId="0" fontId="17" fillId="5" borderId="0" xfId="0" applyFont="1" applyFill="1"/>
    <xf numFmtId="0" fontId="18" fillId="5" borderId="44" xfId="0" applyFont="1" applyFill="1" applyBorder="1"/>
    <xf numFmtId="0" fontId="16" fillId="5" borderId="46" xfId="0" applyFont="1" applyFill="1" applyBorder="1"/>
    <xf numFmtId="0" fontId="16" fillId="5" borderId="1" xfId="0" applyFont="1" applyFill="1" applyBorder="1"/>
    <xf numFmtId="0" fontId="16" fillId="5" borderId="47" xfId="0" applyFont="1" applyFill="1" applyBorder="1"/>
    <xf numFmtId="0" fontId="19" fillId="2" borderId="0" xfId="0" applyFont="1" applyFill="1"/>
    <xf numFmtId="0" fontId="6" fillId="5" borderId="44" xfId="0" applyFont="1" applyFill="1" applyBorder="1"/>
    <xf numFmtId="0" fontId="6" fillId="5" borderId="0" xfId="0" applyFont="1" applyFill="1"/>
    <xf numFmtId="0" fontId="6" fillId="5" borderId="0" xfId="0" applyFont="1" applyFill="1" applyAlignment="1">
      <alignment vertical="center"/>
    </xf>
    <xf numFmtId="0" fontId="6" fillId="5" borderId="2" xfId="0" applyFont="1" applyFill="1" applyBorder="1" applyAlignment="1">
      <alignment vertical="center"/>
    </xf>
    <xf numFmtId="0" fontId="6" fillId="5" borderId="45" xfId="0" applyFont="1" applyFill="1" applyBorder="1"/>
    <xf numFmtId="0" fontId="7" fillId="2" borderId="0" xfId="0" applyFont="1" applyFill="1"/>
    <xf numFmtId="0" fontId="19" fillId="0" borderId="0" xfId="0" applyFont="1"/>
    <xf numFmtId="0" fontId="6" fillId="5" borderId="44" xfId="0" applyFont="1" applyFill="1" applyBorder="1" applyAlignment="1">
      <alignment horizontal="left"/>
    </xf>
    <xf numFmtId="0" fontId="6" fillId="5" borderId="0" xfId="0" applyFont="1" applyFill="1" applyAlignment="1">
      <alignment horizontal="left"/>
    </xf>
    <xf numFmtId="0" fontId="6" fillId="5" borderId="0" xfId="0" applyFont="1" applyFill="1" applyAlignment="1">
      <alignment horizontal="center"/>
    </xf>
    <xf numFmtId="0" fontId="6" fillId="5" borderId="45" xfId="0" applyFont="1" applyFill="1" applyBorder="1" applyAlignment="1">
      <alignment horizontal="left"/>
    </xf>
    <xf numFmtId="0" fontId="6" fillId="5" borderId="66" xfId="0" applyFont="1" applyFill="1" applyBorder="1"/>
    <xf numFmtId="0" fontId="6" fillId="5" borderId="67" xfId="0" applyFont="1" applyFill="1" applyBorder="1"/>
    <xf numFmtId="0" fontId="6" fillId="5" borderId="68" xfId="0" applyFont="1" applyFill="1" applyBorder="1"/>
    <xf numFmtId="0" fontId="6" fillId="5" borderId="69" xfId="0" applyFont="1" applyFill="1" applyBorder="1"/>
    <xf numFmtId="0" fontId="6" fillId="5" borderId="70" xfId="0" applyFont="1" applyFill="1" applyBorder="1"/>
    <xf numFmtId="0" fontId="6" fillId="5" borderId="71" xfId="0" applyFont="1" applyFill="1" applyBorder="1"/>
    <xf numFmtId="0" fontId="20" fillId="5" borderId="0" xfId="0" applyFont="1" applyFill="1"/>
    <xf numFmtId="0" fontId="6" fillId="5" borderId="0" xfId="0" applyFont="1" applyFill="1" applyAlignment="1">
      <alignment horizontal="right"/>
    </xf>
    <xf numFmtId="20" fontId="6" fillId="5" borderId="0" xfId="0" applyNumberFormat="1" applyFont="1" applyFill="1" applyAlignment="1">
      <alignment vertical="center"/>
    </xf>
    <xf numFmtId="20" fontId="6" fillId="5" borderId="0" xfId="0" applyNumberFormat="1" applyFont="1" applyFill="1" applyAlignment="1">
      <alignment vertical="center" wrapText="1"/>
    </xf>
    <xf numFmtId="0" fontId="6" fillId="5" borderId="0" xfId="0" applyFont="1" applyFill="1" applyAlignment="1">
      <alignment vertical="center" wrapText="1"/>
    </xf>
    <xf numFmtId="0" fontId="6" fillId="5" borderId="23" xfId="0" applyFont="1" applyFill="1" applyBorder="1"/>
    <xf numFmtId="0" fontId="5" fillId="6" borderId="63" xfId="0" applyFont="1" applyFill="1" applyBorder="1"/>
    <xf numFmtId="0" fontId="5" fillId="6" borderId="64" xfId="0" applyFont="1" applyFill="1" applyBorder="1"/>
    <xf numFmtId="0" fontId="5" fillId="6" borderId="65" xfId="0" applyFont="1" applyFill="1" applyBorder="1"/>
    <xf numFmtId="0" fontId="6" fillId="5" borderId="0" xfId="0" applyFont="1" applyFill="1" applyAlignment="1">
      <alignment vertical="top"/>
    </xf>
    <xf numFmtId="0" fontId="5" fillId="5" borderId="0" xfId="0" applyFont="1" applyFill="1"/>
    <xf numFmtId="0" fontId="6" fillId="5" borderId="2" xfId="0" applyFont="1" applyFill="1" applyBorder="1"/>
    <xf numFmtId="0" fontId="19" fillId="5" borderId="44" xfId="0" applyFont="1" applyFill="1" applyBorder="1" applyAlignment="1">
      <alignment vertical="center"/>
    </xf>
    <xf numFmtId="0" fontId="19" fillId="5" borderId="0" xfId="0" applyFont="1" applyFill="1" applyAlignment="1">
      <alignment vertical="center"/>
    </xf>
    <xf numFmtId="0" fontId="19" fillId="5" borderId="45" xfId="0" applyFont="1" applyFill="1" applyBorder="1" applyAlignment="1">
      <alignment vertical="center"/>
    </xf>
    <xf numFmtId="0" fontId="6" fillId="2" borderId="0" xfId="0" applyFont="1" applyFill="1"/>
    <xf numFmtId="0" fontId="6" fillId="5" borderId="44" xfId="0" applyFont="1" applyFill="1" applyBorder="1" applyAlignment="1">
      <alignment vertical="center"/>
    </xf>
    <xf numFmtId="0" fontId="5" fillId="5" borderId="0" xfId="0" applyFont="1" applyFill="1" applyAlignment="1">
      <alignment vertical="center"/>
    </xf>
    <xf numFmtId="0" fontId="6" fillId="5" borderId="45" xfId="0" applyFont="1" applyFill="1" applyBorder="1" applyAlignment="1">
      <alignment vertical="center"/>
    </xf>
    <xf numFmtId="0" fontId="6" fillId="2" borderId="0" xfId="0" applyFont="1" applyFill="1" applyAlignment="1">
      <alignment vertical="center"/>
    </xf>
    <xf numFmtId="0" fontId="6" fillId="0" borderId="0" xfId="0" applyFont="1" applyAlignment="1">
      <alignment vertical="center"/>
    </xf>
    <xf numFmtId="0" fontId="6" fillId="0" borderId="85" xfId="1" applyFont="1" applyBorder="1" applyAlignment="1">
      <alignment horizontal="center" vertical="center"/>
    </xf>
    <xf numFmtId="0" fontId="6" fillId="0" borderId="77" xfId="1" applyFont="1" applyBorder="1" applyAlignment="1">
      <alignment horizontal="center" vertical="center"/>
    </xf>
    <xf numFmtId="0" fontId="19" fillId="0" borderId="7" xfId="0" applyFont="1" applyBorder="1"/>
    <xf numFmtId="1" fontId="19" fillId="0" borderId="33" xfId="0" applyNumberFormat="1" applyFont="1" applyBorder="1"/>
    <xf numFmtId="168" fontId="6" fillId="0" borderId="8" xfId="1" applyNumberFormat="1" applyFont="1" applyBorder="1" applyAlignment="1">
      <alignment horizontal="center" vertical="center"/>
    </xf>
    <xf numFmtId="0" fontId="6" fillId="0" borderId="80" xfId="1" applyFont="1" applyBorder="1" applyAlignment="1">
      <alignment horizontal="center" vertical="center"/>
    </xf>
    <xf numFmtId="0" fontId="6" fillId="0" borderId="8" xfId="1" applyFont="1" applyBorder="1" applyAlignment="1">
      <alignment horizontal="center" vertical="center"/>
    </xf>
    <xf numFmtId="168" fontId="6" fillId="0" borderId="82" xfId="1" applyNumberFormat="1" applyFont="1" applyBorder="1" applyAlignment="1">
      <alignment horizontal="center" vertical="center"/>
    </xf>
    <xf numFmtId="0" fontId="6" fillId="0" borderId="83" xfId="1" applyFont="1" applyBorder="1" applyAlignment="1">
      <alignment horizontal="center" vertical="center"/>
    </xf>
    <xf numFmtId="0" fontId="6" fillId="0" borderId="82" xfId="1" applyFont="1" applyBorder="1" applyAlignment="1">
      <alignment horizontal="center" vertical="center"/>
    </xf>
    <xf numFmtId="0" fontId="7" fillId="5" borderId="0" xfId="0" applyFont="1" applyFill="1" applyAlignment="1">
      <alignment horizontal="center" vertical="center"/>
    </xf>
    <xf numFmtId="0" fontId="7" fillId="5" borderId="0" xfId="0" applyFont="1" applyFill="1" applyAlignment="1">
      <alignment horizontal="right" vertical="center"/>
    </xf>
    <xf numFmtId="0" fontId="7" fillId="5" borderId="0" xfId="0" applyFont="1" applyFill="1" applyAlignment="1">
      <alignment horizontal="left" vertical="center"/>
    </xf>
    <xf numFmtId="0" fontId="7" fillId="5" borderId="0" xfId="0" applyFont="1" applyFill="1" applyAlignment="1">
      <alignment horizontal="center"/>
    </xf>
    <xf numFmtId="1" fontId="7" fillId="5" borderId="0" xfId="0" applyNumberFormat="1" applyFont="1" applyFill="1" applyAlignment="1">
      <alignment horizontal="center"/>
    </xf>
    <xf numFmtId="1" fontId="7" fillId="2" borderId="0" xfId="0" applyNumberFormat="1" applyFont="1" applyFill="1" applyAlignment="1">
      <alignment horizontal="center"/>
    </xf>
    <xf numFmtId="169" fontId="7" fillId="2" borderId="0" xfId="0" applyNumberFormat="1" applyFont="1" applyFill="1" applyAlignment="1">
      <alignment horizontal="center"/>
    </xf>
    <xf numFmtId="0" fontId="6" fillId="0" borderId="78" xfId="1" applyFont="1" applyBorder="1" applyAlignment="1">
      <alignment horizontal="center" vertical="center"/>
    </xf>
    <xf numFmtId="166" fontId="6" fillId="0" borderId="8" xfId="1" applyNumberFormat="1" applyFont="1" applyBorder="1" applyAlignment="1">
      <alignment horizontal="center" vertical="center"/>
    </xf>
    <xf numFmtId="0" fontId="7" fillId="5" borderId="51" xfId="0" applyFont="1" applyFill="1" applyBorder="1" applyAlignment="1">
      <alignment horizontal="left"/>
    </xf>
    <xf numFmtId="0" fontId="7" fillId="5" borderId="2" xfId="0" applyFont="1" applyFill="1" applyBorder="1" applyAlignment="1">
      <alignment horizontal="center"/>
    </xf>
    <xf numFmtId="0" fontId="7" fillId="5" borderId="2" xfId="0" applyFont="1" applyFill="1" applyBorder="1"/>
    <xf numFmtId="0" fontId="7" fillId="5" borderId="48" xfId="0" applyFont="1" applyFill="1" applyBorder="1" applyAlignment="1">
      <alignment horizontal="center"/>
    </xf>
    <xf numFmtId="0" fontId="7" fillId="5" borderId="44" xfId="0" applyFont="1" applyFill="1" applyBorder="1" applyAlignment="1">
      <alignment horizontal="left"/>
    </xf>
    <xf numFmtId="0" fontId="7" fillId="5" borderId="0" xfId="0" applyFont="1" applyFill="1"/>
    <xf numFmtId="0" fontId="7" fillId="5" borderId="45" xfId="0" applyFont="1" applyFill="1" applyBorder="1" applyAlignment="1">
      <alignment horizontal="center"/>
    </xf>
    <xf numFmtId="0" fontId="23" fillId="2" borderId="0" xfId="0" applyFont="1" applyFill="1"/>
    <xf numFmtId="0" fontId="23" fillId="0" borderId="0" xfId="0" applyFont="1"/>
    <xf numFmtId="169" fontId="6" fillId="0" borderId="72" xfId="1" applyNumberFormat="1" applyFont="1" applyBorder="1" applyAlignment="1">
      <alignment horizontal="center" vertical="center"/>
    </xf>
    <xf numFmtId="165" fontId="6" fillId="0" borderId="8" xfId="1" applyNumberFormat="1" applyFont="1" applyBorder="1" applyAlignment="1">
      <alignment horizontal="center" vertical="center"/>
    </xf>
    <xf numFmtId="165" fontId="19" fillId="0" borderId="7" xfId="0" applyNumberFormat="1" applyFont="1" applyBorder="1"/>
    <xf numFmtId="0" fontId="1" fillId="0" borderId="0" xfId="4"/>
    <xf numFmtId="168" fontId="6" fillId="0" borderId="77" xfId="1" applyNumberFormat="1" applyFont="1" applyBorder="1" applyAlignment="1">
      <alignment horizontal="center" vertical="center"/>
    </xf>
    <xf numFmtId="171" fontId="19" fillId="0" borderId="7" xfId="0" applyNumberFormat="1" applyFont="1" applyBorder="1"/>
    <xf numFmtId="0" fontId="6" fillId="0" borderId="94" xfId="1" applyFont="1" applyBorder="1" applyAlignment="1">
      <alignment horizontal="center" vertical="center"/>
    </xf>
    <xf numFmtId="1" fontId="6" fillId="0" borderId="93" xfId="1" applyNumberFormat="1" applyFont="1" applyBorder="1" applyAlignment="1">
      <alignment horizontal="center" vertical="center"/>
    </xf>
    <xf numFmtId="0" fontId="6" fillId="0" borderId="95" xfId="1" applyFont="1" applyBorder="1" applyAlignment="1">
      <alignment horizontal="center" vertical="center"/>
    </xf>
    <xf numFmtId="170" fontId="6" fillId="0" borderId="96" xfId="1" applyNumberFormat="1" applyFont="1" applyBorder="1" applyAlignment="1">
      <alignment horizontal="center" vertical="center"/>
    </xf>
    <xf numFmtId="2" fontId="6" fillId="0" borderId="93" xfId="1" applyNumberFormat="1" applyFont="1" applyBorder="1" applyAlignment="1">
      <alignment horizontal="center" vertical="center"/>
    </xf>
    <xf numFmtId="171" fontId="6" fillId="0" borderId="93" xfId="1" applyNumberFormat="1" applyFont="1" applyBorder="1" applyAlignment="1">
      <alignment horizontal="center" vertical="center"/>
    </xf>
    <xf numFmtId="166" fontId="6" fillId="0" borderId="95" xfId="1" applyNumberFormat="1" applyFont="1" applyBorder="1" applyAlignment="1">
      <alignment horizontal="center" vertical="center"/>
    </xf>
    <xf numFmtId="0" fontId="6" fillId="0" borderId="93" xfId="1" applyFont="1" applyBorder="1" applyAlignment="1">
      <alignment horizontal="center" vertical="center"/>
    </xf>
    <xf numFmtId="169" fontId="6" fillId="0" borderId="93" xfId="1" applyNumberFormat="1" applyFont="1" applyBorder="1" applyAlignment="1">
      <alignment horizontal="center" vertical="center"/>
    </xf>
    <xf numFmtId="169" fontId="6" fillId="0" borderId="96" xfId="1" applyNumberFormat="1" applyFont="1" applyBorder="1" applyAlignment="1">
      <alignment horizontal="center" vertical="center"/>
    </xf>
    <xf numFmtId="170" fontId="6" fillId="0" borderId="94" xfId="1" applyNumberFormat="1" applyFont="1" applyBorder="1" applyAlignment="1">
      <alignment horizontal="center" vertical="center"/>
    </xf>
    <xf numFmtId="164" fontId="6" fillId="0" borderId="95" xfId="1" applyNumberFormat="1" applyFont="1" applyBorder="1" applyAlignment="1">
      <alignment horizontal="center" vertical="center"/>
    </xf>
    <xf numFmtId="166" fontId="6" fillId="0" borderId="94" xfId="1" applyNumberFormat="1" applyFont="1" applyBorder="1" applyAlignment="1">
      <alignment horizontal="right" vertical="center"/>
    </xf>
    <xf numFmtId="1" fontId="6" fillId="0" borderId="95" xfId="1" applyNumberFormat="1" applyFont="1" applyBorder="1" applyAlignment="1">
      <alignment horizontal="left" vertical="center"/>
    </xf>
    <xf numFmtId="169" fontId="6" fillId="0" borderId="94" xfId="1" applyNumberFormat="1" applyFont="1" applyBorder="1" applyAlignment="1">
      <alignment horizontal="right" vertical="center"/>
    </xf>
    <xf numFmtId="166" fontId="19" fillId="0" borderId="32" xfId="0" applyNumberFormat="1" applyFont="1" applyBorder="1" applyAlignment="1">
      <alignment horizontal="right"/>
    </xf>
    <xf numFmtId="2" fontId="6" fillId="0" borderId="8" xfId="1" applyNumberFormat="1" applyFont="1" applyBorder="1" applyAlignment="1">
      <alignment horizontal="center" vertical="center"/>
    </xf>
    <xf numFmtId="169" fontId="6" fillId="0" borderId="91" xfId="1" applyNumberFormat="1" applyFont="1" applyBorder="1" applyAlignment="1">
      <alignment horizontal="center" vertical="center"/>
    </xf>
    <xf numFmtId="2" fontId="10" fillId="0" borderId="34" xfId="0" applyNumberFormat="1" applyFont="1" applyBorder="1" applyAlignment="1">
      <alignment horizontal="center" vertical="center"/>
    </xf>
    <xf numFmtId="2" fontId="10" fillId="0" borderId="4" xfId="0" applyNumberFormat="1" applyFont="1" applyBorder="1" applyAlignment="1">
      <alignment horizontal="center" vertical="center"/>
    </xf>
    <xf numFmtId="2" fontId="10" fillId="0" borderId="36" xfId="0" applyNumberFormat="1" applyFont="1" applyBorder="1" applyAlignment="1">
      <alignment horizontal="center" vertical="center"/>
    </xf>
    <xf numFmtId="2" fontId="10" fillId="0" borderId="35" xfId="0" applyNumberFormat="1" applyFont="1" applyBorder="1" applyAlignment="1">
      <alignment horizontal="center" vertical="center"/>
    </xf>
    <xf numFmtId="2" fontId="10" fillId="0" borderId="3" xfId="0" applyNumberFormat="1" applyFont="1" applyBorder="1" applyAlignment="1">
      <alignment horizontal="center" vertical="center"/>
    </xf>
    <xf numFmtId="2" fontId="10" fillId="0" borderId="37" xfId="0" applyNumberFormat="1" applyFont="1" applyBorder="1" applyAlignment="1">
      <alignment horizontal="center" vertical="center"/>
    </xf>
    <xf numFmtId="2" fontId="10" fillId="0" borderId="31" xfId="0" applyNumberFormat="1" applyFont="1" applyBorder="1" applyAlignment="1">
      <alignment horizontal="center" vertical="center"/>
    </xf>
    <xf numFmtId="0" fontId="10" fillId="0" borderId="31" xfId="0" applyFont="1" applyBorder="1" applyAlignment="1">
      <alignment horizontal="center" vertical="center"/>
    </xf>
    <xf numFmtId="0" fontId="9" fillId="0" borderId="31" xfId="0" applyFont="1" applyBorder="1" applyAlignment="1">
      <alignment horizontal="center" vertical="center"/>
    </xf>
    <xf numFmtId="0" fontId="9" fillId="0" borderId="31" xfId="0" applyFont="1" applyBorder="1" applyAlignment="1">
      <alignment horizontal="center" vertical="center" wrapText="1"/>
    </xf>
    <xf numFmtId="0" fontId="11" fillId="0" borderId="0" xfId="0" applyFont="1" applyAlignment="1">
      <alignment horizontal="left"/>
    </xf>
    <xf numFmtId="0" fontId="10" fillId="0" borderId="0" xfId="0" applyFont="1" applyAlignment="1">
      <alignment horizontal="left" vertical="center" wrapText="1"/>
    </xf>
    <xf numFmtId="0" fontId="10" fillId="0" borderId="0" xfId="0" applyFont="1" applyAlignment="1">
      <alignment horizontal="left" vertical="center"/>
    </xf>
    <xf numFmtId="0" fontId="10" fillId="0" borderId="0" xfId="0" applyFont="1" applyAlignment="1">
      <alignment horizontal="left" vertical="top" wrapText="1"/>
    </xf>
    <xf numFmtId="0" fontId="10" fillId="0" borderId="0" xfId="0" applyFont="1" applyAlignment="1" applyProtection="1">
      <alignment horizontal="left" vertical="top" wrapText="1"/>
      <protection locked="0"/>
    </xf>
    <xf numFmtId="2" fontId="15" fillId="0" borderId="31" xfId="0" applyNumberFormat="1" applyFont="1" applyBorder="1" applyAlignment="1">
      <alignment horizontal="center" vertical="center"/>
    </xf>
    <xf numFmtId="169" fontId="15" fillId="0" borderId="31" xfId="0" applyNumberFormat="1" applyFont="1" applyBorder="1" applyAlignment="1">
      <alignment horizontal="center" vertical="center"/>
    </xf>
    <xf numFmtId="0" fontId="14" fillId="0" borderId="31" xfId="0" applyFont="1" applyBorder="1" applyAlignment="1">
      <alignment horizontal="center" vertical="center" wrapText="1"/>
    </xf>
    <xf numFmtId="0" fontId="14" fillId="0" borderId="31" xfId="0" applyFont="1" applyBorder="1" applyAlignment="1">
      <alignment horizontal="center" vertical="center"/>
    </xf>
    <xf numFmtId="0" fontId="9" fillId="0" borderId="0" xfId="0" applyFont="1" applyAlignment="1">
      <alignment horizontal="center"/>
    </xf>
    <xf numFmtId="0" fontId="3" fillId="0" borderId="0" xfId="0" applyFont="1" applyAlignment="1">
      <alignment horizontal="center" vertical="center"/>
    </xf>
    <xf numFmtId="167" fontId="9" fillId="0" borderId="0" xfId="0" applyNumberFormat="1" applyFont="1" applyAlignment="1">
      <alignment horizontal="left" vertical="center"/>
    </xf>
    <xf numFmtId="0" fontId="9" fillId="0" borderId="0" xfId="0" applyFont="1" applyAlignment="1">
      <alignment horizontal="center" vertical="center"/>
    </xf>
    <xf numFmtId="167" fontId="10" fillId="0" borderId="0" xfId="0" applyNumberFormat="1" applyFont="1" applyAlignment="1" applyProtection="1">
      <alignment horizontal="left" vertical="center"/>
      <protection locked="0"/>
    </xf>
    <xf numFmtId="1" fontId="10" fillId="0" borderId="31" xfId="0" applyNumberFormat="1" applyFont="1" applyBorder="1" applyAlignment="1">
      <alignment horizontal="center" vertical="center"/>
    </xf>
    <xf numFmtId="167" fontId="10" fillId="0" borderId="31" xfId="0" applyNumberFormat="1" applyFont="1" applyBorder="1" applyAlignment="1">
      <alignment horizontal="center" vertical="center"/>
    </xf>
    <xf numFmtId="0" fontId="3" fillId="0" borderId="0" xfId="0" applyFont="1" applyAlignment="1">
      <alignment horizontal="right" vertical="center"/>
    </xf>
    <xf numFmtId="0" fontId="3" fillId="0" borderId="0" xfId="0" applyFont="1" applyAlignment="1">
      <alignment horizontal="left" vertical="center" wrapText="1"/>
    </xf>
    <xf numFmtId="0" fontId="9" fillId="0" borderId="0" xfId="0" applyFont="1" applyAlignment="1">
      <alignment horizontal="left" vertical="center"/>
    </xf>
    <xf numFmtId="1" fontId="10" fillId="0" borderId="0" xfId="0" applyNumberFormat="1" applyFont="1" applyAlignment="1">
      <alignment horizontal="left" vertical="center"/>
    </xf>
    <xf numFmtId="172" fontId="10" fillId="0" borderId="0" xfId="0" applyNumberFormat="1" applyFont="1" applyAlignment="1">
      <alignment horizontal="left" vertical="center"/>
    </xf>
    <xf numFmtId="0" fontId="3" fillId="0" borderId="0" xfId="0" applyFont="1" applyAlignment="1">
      <alignment horizontal="left" vertical="top" wrapText="1"/>
    </xf>
    <xf numFmtId="167" fontId="10" fillId="0" borderId="0" xfId="0" applyNumberFormat="1" applyFont="1" applyAlignment="1">
      <alignment horizontal="left" vertical="center"/>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0" fontId="5" fillId="0" borderId="73" xfId="0" applyFont="1" applyBorder="1" applyAlignment="1">
      <alignment horizontal="center" vertical="center"/>
    </xf>
    <xf numFmtId="0" fontId="5" fillId="0" borderId="74" xfId="0" applyFont="1" applyBorder="1" applyAlignment="1">
      <alignment horizontal="center" vertical="center"/>
    </xf>
    <xf numFmtId="0" fontId="5" fillId="0" borderId="75" xfId="0" applyFont="1" applyBorder="1" applyAlignment="1">
      <alignment horizontal="center" vertical="center"/>
    </xf>
    <xf numFmtId="0" fontId="5" fillId="0" borderId="77" xfId="1" applyFont="1" applyBorder="1" applyAlignment="1">
      <alignment horizontal="center" vertical="center"/>
    </xf>
    <xf numFmtId="0" fontId="5" fillId="0" borderId="82" xfId="1" applyFont="1" applyBorder="1" applyAlignment="1">
      <alignment horizontal="center" vertical="center"/>
    </xf>
    <xf numFmtId="0" fontId="5" fillId="0" borderId="86" xfId="1" applyFont="1" applyBorder="1" applyAlignment="1">
      <alignment horizontal="center" vertical="center"/>
    </xf>
    <xf numFmtId="0" fontId="5" fillId="0" borderId="88" xfId="1" applyFont="1" applyBorder="1" applyAlignment="1">
      <alignment horizontal="center" vertical="center"/>
    </xf>
    <xf numFmtId="0" fontId="5" fillId="0" borderId="76" xfId="1" applyFont="1" applyBorder="1" applyAlignment="1">
      <alignment horizontal="center" vertical="center"/>
    </xf>
    <xf numFmtId="0" fontId="5" fillId="0" borderId="81" xfId="1" applyFont="1" applyBorder="1" applyAlignment="1">
      <alignment horizontal="center" vertical="center"/>
    </xf>
    <xf numFmtId="0" fontId="5" fillId="0" borderId="89" xfId="1" applyFont="1" applyBorder="1" applyAlignment="1">
      <alignment horizontal="center" vertical="center"/>
    </xf>
    <xf numFmtId="0" fontId="5" fillId="0" borderId="90" xfId="1" applyFont="1" applyBorder="1" applyAlignment="1">
      <alignment horizontal="center" vertical="center"/>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0" xfId="0" applyFont="1" applyFill="1" applyAlignment="1">
      <alignment horizontal="center" vertical="center"/>
    </xf>
    <xf numFmtId="0" fontId="6" fillId="5" borderId="18"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16" xfId="0" quotePrefix="1" applyFont="1" applyFill="1" applyBorder="1" applyAlignment="1">
      <alignment horizontal="center" vertical="center"/>
    </xf>
    <xf numFmtId="0" fontId="6" fillId="5" borderId="17"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16" xfId="0" applyFont="1" applyFill="1" applyBorder="1" applyAlignment="1">
      <alignment horizontal="center" vertical="center"/>
    </xf>
    <xf numFmtId="0" fontId="5" fillId="5" borderId="8" xfId="0" applyFont="1" applyFill="1" applyBorder="1" applyAlignment="1">
      <alignment horizontal="center" vertical="center"/>
    </xf>
    <xf numFmtId="166" fontId="6" fillId="5" borderId="8" xfId="0" quotePrefix="1" applyNumberFormat="1" applyFont="1" applyFill="1" applyBorder="1" applyAlignment="1">
      <alignment horizontal="center" vertical="center"/>
    </xf>
    <xf numFmtId="166" fontId="6" fillId="5" borderId="8" xfId="0" applyNumberFormat="1" applyFont="1" applyFill="1" applyBorder="1" applyAlignment="1">
      <alignment horizontal="center" vertical="center"/>
    </xf>
    <xf numFmtId="2" fontId="6" fillId="5" borderId="8" xfId="0" applyNumberFormat="1" applyFont="1" applyFill="1" applyBorder="1" applyAlignment="1">
      <alignment horizontal="center" vertical="center"/>
    </xf>
    <xf numFmtId="0" fontId="6" fillId="5" borderId="16" xfId="0" applyFont="1" applyFill="1" applyBorder="1" applyAlignment="1">
      <alignment horizontal="right" vertical="center"/>
    </xf>
    <xf numFmtId="0" fontId="6" fillId="5" borderId="17" xfId="0" applyFont="1" applyFill="1" applyBorder="1" applyAlignment="1">
      <alignment horizontal="right" vertical="center"/>
    </xf>
    <xf numFmtId="0" fontId="6" fillId="5" borderId="17" xfId="0" applyFont="1" applyFill="1" applyBorder="1" applyAlignment="1">
      <alignment horizontal="left" vertical="center"/>
    </xf>
    <xf numFmtId="0" fontId="6" fillId="5" borderId="22" xfId="0" applyFont="1" applyFill="1" applyBorder="1" applyAlignment="1">
      <alignment horizontal="left" vertical="center"/>
    </xf>
    <xf numFmtId="0" fontId="6" fillId="5" borderId="8" xfId="0" applyFont="1" applyFill="1" applyBorder="1" applyAlignment="1">
      <alignment horizontal="center" vertical="center"/>
    </xf>
    <xf numFmtId="164" fontId="6" fillId="5" borderId="16" xfId="0" applyNumberFormat="1" applyFont="1" applyFill="1" applyBorder="1" applyAlignment="1">
      <alignment horizontal="center" vertical="center"/>
    </xf>
    <xf numFmtId="164" fontId="6" fillId="5" borderId="17" xfId="0" applyNumberFormat="1" applyFont="1" applyFill="1" applyBorder="1" applyAlignment="1">
      <alignment horizontal="center" vertical="center"/>
    </xf>
    <xf numFmtId="164" fontId="6" fillId="5" borderId="22" xfId="0" applyNumberFormat="1" applyFont="1" applyFill="1" applyBorder="1" applyAlignment="1">
      <alignment horizontal="center" vertical="center"/>
    </xf>
    <xf numFmtId="164" fontId="6" fillId="5" borderId="8" xfId="0" applyNumberFormat="1" applyFont="1" applyFill="1" applyBorder="1" applyAlignment="1">
      <alignment horizontal="center" vertical="center"/>
    </xf>
    <xf numFmtId="0" fontId="19" fillId="2" borderId="0" xfId="0" applyFont="1" applyFill="1" applyAlignment="1">
      <alignment horizontal="center"/>
    </xf>
    <xf numFmtId="0" fontId="6" fillId="5" borderId="44" xfId="0" applyFont="1" applyFill="1" applyBorder="1" applyAlignment="1">
      <alignment horizontal="left"/>
    </xf>
    <xf numFmtId="0" fontId="6" fillId="5" borderId="0" xfId="0" applyFont="1" applyFill="1" applyAlignment="1">
      <alignment horizontal="left"/>
    </xf>
    <xf numFmtId="0" fontId="6" fillId="5" borderId="45" xfId="0" applyFont="1" applyFill="1" applyBorder="1" applyAlignment="1">
      <alignment horizontal="left"/>
    </xf>
    <xf numFmtId="0" fontId="5" fillId="6" borderId="63" xfId="0" applyFont="1" applyFill="1" applyBorder="1" applyAlignment="1">
      <alignment horizontal="center"/>
    </xf>
    <xf numFmtId="0" fontId="5" fillId="6" borderId="64" xfId="0" applyFont="1" applyFill="1" applyBorder="1" applyAlignment="1">
      <alignment horizontal="center"/>
    </xf>
    <xf numFmtId="0" fontId="5" fillId="6" borderId="65" xfId="0" applyFont="1" applyFill="1" applyBorder="1" applyAlignment="1">
      <alignment horizontal="center"/>
    </xf>
    <xf numFmtId="0" fontId="5" fillId="6" borderId="60" xfId="0" applyFont="1" applyFill="1" applyBorder="1" applyAlignment="1">
      <alignment horizontal="left"/>
    </xf>
    <xf numFmtId="0" fontId="5" fillId="6" borderId="61" xfId="0" applyFont="1" applyFill="1" applyBorder="1" applyAlignment="1">
      <alignment horizontal="left"/>
    </xf>
    <xf numFmtId="0" fontId="5" fillId="6" borderId="62" xfId="0" applyFont="1" applyFill="1" applyBorder="1" applyAlignment="1">
      <alignment horizontal="left"/>
    </xf>
    <xf numFmtId="164" fontId="6" fillId="5" borderId="3" xfId="0" applyNumberFormat="1" applyFont="1" applyFill="1" applyBorder="1" applyAlignment="1">
      <alignment horizontal="center" vertical="center"/>
    </xf>
    <xf numFmtId="0" fontId="5" fillId="5" borderId="44" xfId="0" applyFont="1" applyFill="1" applyBorder="1" applyAlignment="1">
      <alignment horizontal="center"/>
    </xf>
    <xf numFmtId="0" fontId="5" fillId="5" borderId="0" xfId="0" applyFont="1" applyFill="1" applyAlignment="1">
      <alignment horizontal="center"/>
    </xf>
    <xf numFmtId="0" fontId="5" fillId="5" borderId="24" xfId="0" applyFont="1" applyFill="1" applyBorder="1" applyAlignment="1">
      <alignment horizontal="center"/>
    </xf>
    <xf numFmtId="0" fontId="5" fillId="5" borderId="23" xfId="0" applyFont="1" applyFill="1" applyBorder="1" applyAlignment="1">
      <alignment horizontal="center"/>
    </xf>
    <xf numFmtId="0" fontId="5" fillId="5" borderId="45" xfId="0" applyFont="1" applyFill="1" applyBorder="1" applyAlignment="1">
      <alignment horizontal="center"/>
    </xf>
    <xf numFmtId="0" fontId="6" fillId="5" borderId="51" xfId="0" quotePrefix="1" applyFont="1" applyFill="1" applyBorder="1" applyAlignment="1">
      <alignment horizontal="center"/>
    </xf>
    <xf numFmtId="0" fontId="6" fillId="5" borderId="2" xfId="0" applyFont="1" applyFill="1" applyBorder="1" applyAlignment="1">
      <alignment horizontal="center"/>
    </xf>
    <xf numFmtId="0" fontId="6" fillId="5" borderId="20" xfId="0" quotePrefix="1" applyFont="1" applyFill="1" applyBorder="1" applyAlignment="1">
      <alignment horizontal="center"/>
    </xf>
    <xf numFmtId="0" fontId="6" fillId="5" borderId="26" xfId="0" applyFont="1" applyFill="1" applyBorder="1" applyAlignment="1">
      <alignment horizontal="center"/>
    </xf>
    <xf numFmtId="0" fontId="6" fillId="5" borderId="2" xfId="0" quotePrefix="1" applyFont="1" applyFill="1" applyBorder="1" applyAlignment="1">
      <alignment horizontal="center"/>
    </xf>
    <xf numFmtId="0" fontId="6" fillId="5" borderId="48" xfId="0" applyFont="1" applyFill="1" applyBorder="1" applyAlignment="1">
      <alignment horizontal="center"/>
    </xf>
    <xf numFmtId="0" fontId="6" fillId="5" borderId="51" xfId="0" applyFont="1" applyFill="1" applyBorder="1" applyAlignment="1">
      <alignment horizontal="center"/>
    </xf>
    <xf numFmtId="0" fontId="6" fillId="5" borderId="20" xfId="0" applyFont="1" applyFill="1" applyBorder="1" applyAlignment="1">
      <alignment horizontal="center"/>
    </xf>
    <xf numFmtId="164" fontId="6" fillId="5" borderId="7" xfId="0" applyNumberFormat="1" applyFont="1" applyFill="1" applyBorder="1" applyAlignment="1">
      <alignment horizontal="center" vertical="center"/>
    </xf>
    <xf numFmtId="0" fontId="7" fillId="5" borderId="52" xfId="0" applyFont="1" applyFill="1" applyBorder="1" applyAlignment="1">
      <alignment horizontal="center"/>
    </xf>
    <xf numFmtId="0" fontId="7" fillId="5" borderId="5" xfId="0" applyFont="1" applyFill="1" applyBorder="1" applyAlignment="1">
      <alignment horizontal="center"/>
    </xf>
    <xf numFmtId="0" fontId="7" fillId="5" borderId="14" xfId="0" applyFont="1" applyFill="1" applyBorder="1" applyAlignment="1">
      <alignment horizontal="center"/>
    </xf>
    <xf numFmtId="169" fontId="6" fillId="5" borderId="8" xfId="0" applyNumberFormat="1" applyFont="1" applyFill="1" applyBorder="1" applyAlignment="1">
      <alignment horizontal="center" vertical="center"/>
    </xf>
    <xf numFmtId="166" fontId="6" fillId="5" borderId="16" xfId="0" applyNumberFormat="1" applyFont="1" applyFill="1" applyBorder="1" applyAlignment="1">
      <alignment horizontal="center" vertical="center"/>
    </xf>
    <xf numFmtId="166" fontId="6" fillId="5" borderId="17" xfId="0" applyNumberFormat="1" applyFont="1" applyFill="1" applyBorder="1" applyAlignment="1">
      <alignment horizontal="center" vertical="center"/>
    </xf>
    <xf numFmtId="166" fontId="6" fillId="5" borderId="22" xfId="0" applyNumberFormat="1" applyFont="1" applyFill="1" applyBorder="1" applyAlignment="1">
      <alignment horizontal="center" vertical="center"/>
    </xf>
    <xf numFmtId="0" fontId="6" fillId="0" borderId="8" xfId="0" applyFont="1" applyBorder="1" applyAlignment="1">
      <alignment horizontal="center" vertical="center"/>
    </xf>
    <xf numFmtId="0" fontId="5" fillId="5" borderId="13" xfId="0" applyFont="1" applyFill="1" applyBorder="1" applyAlignment="1">
      <alignment horizontal="center"/>
    </xf>
    <xf numFmtId="2" fontId="6" fillId="5" borderId="16" xfId="0" applyNumberFormat="1" applyFont="1" applyFill="1" applyBorder="1" applyAlignment="1">
      <alignment horizontal="center" vertical="center"/>
    </xf>
    <xf numFmtId="2" fontId="6" fillId="5" borderId="17" xfId="0" applyNumberFormat="1" applyFont="1" applyFill="1" applyBorder="1" applyAlignment="1">
      <alignment horizontal="center" vertical="center"/>
    </xf>
    <xf numFmtId="2" fontId="6" fillId="5" borderId="22" xfId="0" applyNumberFormat="1" applyFont="1" applyFill="1" applyBorder="1" applyAlignment="1">
      <alignment horizontal="center" vertical="center"/>
    </xf>
    <xf numFmtId="2" fontId="6" fillId="5" borderId="8" xfId="0" quotePrefix="1" applyNumberFormat="1" applyFont="1" applyFill="1" applyBorder="1" applyAlignment="1">
      <alignment horizontal="center" vertical="center"/>
    </xf>
    <xf numFmtId="0" fontId="24" fillId="5" borderId="44" xfId="0" applyFont="1" applyFill="1" applyBorder="1" applyAlignment="1">
      <alignment horizontal="center"/>
    </xf>
    <xf numFmtId="0" fontId="24" fillId="5" borderId="0" xfId="0" applyFont="1" applyFill="1" applyAlignment="1">
      <alignment horizontal="center"/>
    </xf>
    <xf numFmtId="0" fontId="24" fillId="5" borderId="23" xfId="0" applyFont="1" applyFill="1" applyBorder="1" applyAlignment="1">
      <alignment horizontal="center"/>
    </xf>
    <xf numFmtId="0" fontId="7" fillId="5" borderId="0" xfId="0" applyFont="1" applyFill="1" applyAlignment="1">
      <alignment horizontal="center"/>
    </xf>
    <xf numFmtId="0" fontId="7" fillId="5" borderId="27" xfId="0" applyFont="1" applyFill="1" applyBorder="1" applyAlignment="1">
      <alignment horizontal="center"/>
    </xf>
    <xf numFmtId="0" fontId="7" fillId="5" borderId="44" xfId="0" applyFont="1" applyFill="1" applyBorder="1" applyAlignment="1">
      <alignment horizontal="center"/>
    </xf>
    <xf numFmtId="0" fontId="7" fillId="5" borderId="23" xfId="0" applyFont="1" applyFill="1" applyBorder="1" applyAlignment="1">
      <alignment horizontal="center"/>
    </xf>
    <xf numFmtId="167" fontId="7" fillId="5" borderId="28" xfId="0" applyNumberFormat="1" applyFont="1" applyFill="1" applyBorder="1" applyAlignment="1">
      <alignment horizontal="center"/>
    </xf>
    <xf numFmtId="0" fontId="7" fillId="5" borderId="45" xfId="0" applyFont="1" applyFill="1" applyBorder="1" applyAlignment="1">
      <alignment horizontal="center"/>
    </xf>
    <xf numFmtId="167" fontId="7" fillId="5" borderId="28" xfId="0" applyNumberFormat="1" applyFont="1" applyFill="1" applyBorder="1" applyAlignment="1">
      <alignment horizontal="center" wrapText="1"/>
    </xf>
    <xf numFmtId="0" fontId="7" fillId="5" borderId="0" xfId="0" applyFont="1" applyFill="1" applyAlignment="1">
      <alignment horizontal="center" wrapText="1"/>
    </xf>
    <xf numFmtId="0" fontId="7" fillId="5" borderId="45" xfId="0" applyFont="1" applyFill="1" applyBorder="1" applyAlignment="1">
      <alignment horizontal="center" wrapText="1"/>
    </xf>
    <xf numFmtId="0" fontId="7" fillId="5" borderId="54" xfId="0" applyFont="1" applyFill="1" applyBorder="1" applyAlignment="1">
      <alignment horizontal="center"/>
    </xf>
    <xf numFmtId="0" fontId="7" fillId="5" borderId="55" xfId="0" applyFont="1" applyFill="1" applyBorder="1" applyAlignment="1">
      <alignment horizontal="center"/>
    </xf>
    <xf numFmtId="0" fontId="7" fillId="5" borderId="56" xfId="0" applyFont="1" applyFill="1" applyBorder="1" applyAlignment="1">
      <alignment horizontal="center"/>
    </xf>
    <xf numFmtId="0" fontId="7" fillId="5" borderId="57" xfId="0" applyFont="1" applyFill="1" applyBorder="1" applyAlignment="1">
      <alignment horizontal="center"/>
    </xf>
    <xf numFmtId="0" fontId="7" fillId="5" borderId="58" xfId="0" applyFont="1" applyFill="1" applyBorder="1" applyAlignment="1">
      <alignment horizontal="center"/>
    </xf>
    <xf numFmtId="0" fontId="7" fillId="5" borderId="59" xfId="0" applyFont="1" applyFill="1" applyBorder="1" applyAlignment="1">
      <alignment horizontal="center"/>
    </xf>
    <xf numFmtId="0" fontId="7" fillId="5" borderId="46" xfId="0" applyFont="1" applyFill="1" applyBorder="1" applyAlignment="1">
      <alignment horizontal="center"/>
    </xf>
    <xf numFmtId="0" fontId="7" fillId="5" borderId="1" xfId="0" applyFont="1" applyFill="1" applyBorder="1" applyAlignment="1">
      <alignment horizontal="center"/>
    </xf>
    <xf numFmtId="0" fontId="7" fillId="5" borderId="25" xfId="0" applyFont="1" applyFill="1" applyBorder="1" applyAlignment="1">
      <alignment horizontal="center"/>
    </xf>
    <xf numFmtId="0" fontId="7" fillId="5" borderId="29" xfId="0" applyFont="1" applyFill="1" applyBorder="1" applyAlignment="1">
      <alignment horizontal="center"/>
    </xf>
    <xf numFmtId="0" fontId="7" fillId="5" borderId="30" xfId="0" applyFont="1" applyFill="1" applyBorder="1" applyAlignment="1">
      <alignment horizontal="center"/>
    </xf>
    <xf numFmtId="0" fontId="7" fillId="5" borderId="47" xfId="0" applyFont="1" applyFill="1" applyBorder="1" applyAlignment="1">
      <alignment horizontal="center"/>
    </xf>
    <xf numFmtId="0" fontId="5" fillId="0" borderId="78" xfId="1" applyFont="1" applyBorder="1" applyAlignment="1">
      <alignment horizontal="center" vertical="center"/>
    </xf>
    <xf numFmtId="0" fontId="5" fillId="0" borderId="83" xfId="1" applyFont="1" applyBorder="1" applyAlignment="1">
      <alignment horizontal="center" vertical="center"/>
    </xf>
    <xf numFmtId="0" fontId="5" fillId="0" borderId="93" xfId="1" applyFont="1" applyBorder="1" applyAlignment="1">
      <alignment horizontal="center" vertical="center"/>
    </xf>
    <xf numFmtId="1" fontId="6" fillId="5" borderId="8" xfId="0" applyNumberFormat="1" applyFont="1" applyFill="1" applyBorder="1" applyAlignment="1">
      <alignment horizontal="center" vertical="center"/>
    </xf>
    <xf numFmtId="167" fontId="6" fillId="5" borderId="2" xfId="0" applyNumberFormat="1" applyFont="1" applyFill="1" applyBorder="1" applyAlignment="1">
      <alignment horizontal="left"/>
    </xf>
    <xf numFmtId="167" fontId="6" fillId="5" borderId="48" xfId="0" applyNumberFormat="1" applyFont="1" applyFill="1" applyBorder="1" applyAlignment="1">
      <alignment horizontal="left"/>
    </xf>
    <xf numFmtId="167" fontId="6" fillId="5" borderId="3" xfId="0" applyNumberFormat="1" applyFont="1" applyFill="1" applyBorder="1" applyAlignment="1">
      <alignment horizontal="left"/>
    </xf>
    <xf numFmtId="167" fontId="6" fillId="5" borderId="49" xfId="0" applyNumberFormat="1" applyFont="1" applyFill="1" applyBorder="1" applyAlignment="1">
      <alignment horizontal="left"/>
    </xf>
    <xf numFmtId="0" fontId="6" fillId="5" borderId="0" xfId="0" applyFont="1" applyFill="1" applyAlignment="1">
      <alignment horizontal="center"/>
    </xf>
    <xf numFmtId="0" fontId="7" fillId="5" borderId="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92" xfId="0" applyFont="1" applyFill="1" applyBorder="1" applyAlignment="1">
      <alignment horizontal="center" vertical="center" wrapText="1"/>
    </xf>
    <xf numFmtId="0" fontId="6" fillId="5" borderId="4" xfId="0" applyFont="1" applyFill="1" applyBorder="1" applyAlignment="1">
      <alignment horizontal="left"/>
    </xf>
    <xf numFmtId="0" fontId="6" fillId="5" borderId="3" xfId="0" applyFont="1" applyFill="1" applyBorder="1" applyAlignment="1">
      <alignment horizontal="left"/>
    </xf>
    <xf numFmtId="0" fontId="5" fillId="5" borderId="42" xfId="0" applyFont="1" applyFill="1" applyBorder="1" applyAlignment="1">
      <alignment horizontal="center"/>
    </xf>
    <xf numFmtId="0" fontId="5" fillId="5" borderId="3" xfId="0" applyFont="1" applyFill="1" applyBorder="1" applyAlignment="1">
      <alignment horizontal="center"/>
    </xf>
    <xf numFmtId="0" fontId="6" fillId="5" borderId="50" xfId="0" applyFont="1" applyFill="1" applyBorder="1" applyAlignment="1">
      <alignment horizontal="left"/>
    </xf>
    <xf numFmtId="0" fontId="6" fillId="5" borderId="49" xfId="0" applyFont="1" applyFill="1" applyBorder="1" applyAlignment="1">
      <alignment horizontal="left"/>
    </xf>
    <xf numFmtId="0" fontId="6" fillId="5" borderId="4" xfId="0" quotePrefix="1" applyFont="1" applyFill="1" applyBorder="1" applyAlignment="1">
      <alignment horizontal="left"/>
    </xf>
    <xf numFmtId="0" fontId="6" fillId="5" borderId="2" xfId="0" applyFont="1" applyFill="1" applyBorder="1" applyAlignment="1">
      <alignment horizontal="center" vertical="center"/>
    </xf>
    <xf numFmtId="0" fontId="6" fillId="5" borderId="2" xfId="0" applyFont="1" applyFill="1" applyBorder="1" applyAlignment="1">
      <alignment horizontal="left" vertical="center"/>
    </xf>
    <xf numFmtId="0" fontId="5" fillId="6" borderId="63" xfId="0" applyFont="1" applyFill="1" applyBorder="1" applyAlignment="1">
      <alignment horizontal="left"/>
    </xf>
    <xf numFmtId="0" fontId="5" fillId="6" borderId="64" xfId="0" applyFont="1" applyFill="1" applyBorder="1" applyAlignment="1">
      <alignment horizontal="left"/>
    </xf>
    <xf numFmtId="0" fontId="5" fillId="6" borderId="65" xfId="0" applyFont="1" applyFill="1" applyBorder="1" applyAlignment="1">
      <alignment horizontal="left"/>
    </xf>
    <xf numFmtId="0" fontId="5" fillId="5" borderId="0" xfId="0" applyFont="1" applyFill="1" applyAlignment="1">
      <alignment horizontal="left"/>
    </xf>
    <xf numFmtId="0" fontId="5" fillId="5" borderId="3" xfId="0" applyFont="1" applyFill="1" applyBorder="1" applyAlignment="1">
      <alignment horizontal="left"/>
    </xf>
    <xf numFmtId="167" fontId="6" fillId="5" borderId="0" xfId="0" applyNumberFormat="1" applyFont="1" applyFill="1" applyAlignment="1">
      <alignment horizontal="left"/>
    </xf>
    <xf numFmtId="167" fontId="6" fillId="5" borderId="45" xfId="0" applyNumberFormat="1" applyFont="1" applyFill="1" applyBorder="1" applyAlignment="1">
      <alignment horizontal="left"/>
    </xf>
    <xf numFmtId="0" fontId="22" fillId="0" borderId="35" xfId="0" applyFont="1" applyBorder="1" applyAlignment="1">
      <alignment horizontal="left"/>
    </xf>
    <xf numFmtId="0" fontId="22" fillId="0" borderId="3" xfId="0" applyFont="1" applyBorder="1" applyAlignment="1">
      <alignment horizontal="left"/>
    </xf>
    <xf numFmtId="0" fontId="22" fillId="0" borderId="33" xfId="0" applyFont="1" applyBorder="1" applyAlignment="1">
      <alignment horizontal="center" vertical="center" wrapText="1"/>
    </xf>
    <xf numFmtId="0" fontId="22" fillId="0" borderId="32"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22" fillId="0" borderId="31" xfId="0" applyFont="1" applyBorder="1" applyAlignment="1">
      <alignment horizontal="center" vertical="center" wrapText="1"/>
    </xf>
    <xf numFmtId="0" fontId="7" fillId="5" borderId="20" xfId="0" applyFont="1" applyFill="1" applyBorder="1" applyAlignment="1">
      <alignment horizontal="center"/>
    </xf>
    <xf numFmtId="0" fontId="7" fillId="5" borderId="2" xfId="0" applyFont="1" applyFill="1" applyBorder="1" applyAlignment="1">
      <alignment horizontal="center"/>
    </xf>
    <xf numFmtId="0" fontId="7" fillId="5" borderId="26" xfId="0" applyFont="1" applyFill="1" applyBorder="1" applyAlignment="1">
      <alignment horizontal="center"/>
    </xf>
    <xf numFmtId="15" fontId="7" fillId="5" borderId="2" xfId="0" applyNumberFormat="1" applyFont="1" applyFill="1" applyBorder="1" applyAlignment="1">
      <alignment horizontal="center"/>
    </xf>
    <xf numFmtId="0" fontId="7" fillId="5" borderId="48" xfId="0" applyFont="1" applyFill="1" applyBorder="1" applyAlignment="1">
      <alignment horizontal="center"/>
    </xf>
    <xf numFmtId="0" fontId="6" fillId="5" borderId="6" xfId="0" applyFont="1" applyFill="1" applyBorder="1" applyAlignment="1">
      <alignment horizontal="center"/>
    </xf>
    <xf numFmtId="0" fontId="6" fillId="5" borderId="24"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45" xfId="0" applyFont="1" applyFill="1" applyBorder="1" applyAlignment="1">
      <alignment horizontal="center" vertical="center" wrapText="1"/>
    </xf>
    <xf numFmtId="1" fontId="7" fillId="5" borderId="21" xfId="0" applyNumberFormat="1" applyFont="1" applyFill="1" applyBorder="1" applyAlignment="1">
      <alignment horizontal="center"/>
    </xf>
    <xf numFmtId="1" fontId="7" fillId="5" borderId="5" xfId="0" applyNumberFormat="1" applyFont="1" applyFill="1" applyBorder="1" applyAlignment="1">
      <alignment horizontal="center"/>
    </xf>
    <xf numFmtId="1" fontId="7" fillId="5" borderId="14" xfId="0" applyNumberFormat="1" applyFont="1" applyFill="1" applyBorder="1" applyAlignment="1">
      <alignment horizontal="center"/>
    </xf>
    <xf numFmtId="167" fontId="7" fillId="5" borderId="21" xfId="0" applyNumberFormat="1" applyFont="1" applyFill="1" applyBorder="1" applyAlignment="1">
      <alignment horizontal="center"/>
    </xf>
    <xf numFmtId="167" fontId="7" fillId="5" borderId="5" xfId="0" applyNumberFormat="1" applyFont="1" applyFill="1" applyBorder="1" applyAlignment="1">
      <alignment horizontal="center"/>
    </xf>
    <xf numFmtId="167" fontId="7" fillId="5" borderId="53" xfId="0" applyNumberFormat="1" applyFont="1" applyFill="1" applyBorder="1" applyAlignment="1">
      <alignment horizontal="center"/>
    </xf>
    <xf numFmtId="0" fontId="7" fillId="5" borderId="51" xfId="0" applyFont="1" applyFill="1" applyBorder="1" applyAlignment="1">
      <alignment horizontal="center"/>
    </xf>
    <xf numFmtId="0" fontId="7" fillId="5" borderId="21" xfId="0" applyFont="1" applyFill="1" applyBorder="1" applyAlignment="1">
      <alignment horizontal="center"/>
    </xf>
    <xf numFmtId="0" fontId="6" fillId="5" borderId="9" xfId="0" quotePrefix="1" applyFont="1" applyFill="1" applyBorder="1" applyAlignment="1">
      <alignment horizontal="center" vertical="center"/>
    </xf>
    <xf numFmtId="0" fontId="6" fillId="5" borderId="10" xfId="0" quotePrefix="1" applyFont="1" applyFill="1" applyBorder="1" applyAlignment="1">
      <alignment horizontal="center" vertical="center"/>
    </xf>
    <xf numFmtId="0" fontId="6" fillId="5" borderId="15" xfId="0" quotePrefix="1" applyFont="1" applyFill="1" applyBorder="1" applyAlignment="1">
      <alignment horizontal="center" vertical="center"/>
    </xf>
    <xf numFmtId="0" fontId="6" fillId="5" borderId="12" xfId="0" quotePrefix="1" applyFont="1" applyFill="1" applyBorder="1" applyAlignment="1">
      <alignment horizontal="center" vertical="center"/>
    </xf>
    <xf numFmtId="0" fontId="6" fillId="5" borderId="13" xfId="0" quotePrefix="1" applyFont="1" applyFill="1" applyBorder="1" applyAlignment="1">
      <alignment horizontal="center" vertical="center"/>
    </xf>
    <xf numFmtId="0" fontId="6" fillId="5" borderId="19" xfId="0" quotePrefix="1" applyFont="1" applyFill="1" applyBorder="1" applyAlignment="1">
      <alignment horizontal="center" vertical="center"/>
    </xf>
    <xf numFmtId="169" fontId="3" fillId="5" borderId="31" xfId="0" applyNumberFormat="1" applyFont="1" applyFill="1" applyBorder="1" applyAlignment="1">
      <alignment horizontal="center" vertical="center"/>
    </xf>
    <xf numFmtId="0" fontId="4" fillId="5" borderId="31" xfId="0" applyFont="1" applyFill="1" applyBorder="1" applyAlignment="1">
      <alignment horizontal="center" vertical="center"/>
    </xf>
    <xf numFmtId="166" fontId="3" fillId="5" borderId="31" xfId="0" applyNumberFormat="1" applyFont="1" applyFill="1" applyBorder="1" applyAlignment="1">
      <alignment horizontal="center" vertical="center"/>
    </xf>
    <xf numFmtId="0" fontId="4" fillId="5" borderId="34" xfId="0" applyFont="1" applyFill="1" applyBorder="1" applyAlignment="1">
      <alignment horizontal="center" vertical="center"/>
    </xf>
    <xf numFmtId="0" fontId="4" fillId="5" borderId="36" xfId="0" applyFont="1" applyFill="1" applyBorder="1" applyAlignment="1">
      <alignment horizontal="center" vertical="center"/>
    </xf>
    <xf numFmtId="0" fontId="4" fillId="5" borderId="35" xfId="0" applyFont="1" applyFill="1" applyBorder="1" applyAlignment="1">
      <alignment horizontal="center" vertical="center"/>
    </xf>
    <xf numFmtId="0" fontId="4" fillId="5" borderId="37" xfId="0" applyFont="1" applyFill="1" applyBorder="1" applyAlignment="1">
      <alignment horizontal="center" vertical="center"/>
    </xf>
    <xf numFmtId="2" fontId="3" fillId="5" borderId="31" xfId="0" applyNumberFormat="1" applyFont="1" applyFill="1" applyBorder="1" applyAlignment="1">
      <alignment horizontal="center" vertical="center"/>
    </xf>
    <xf numFmtId="164" fontId="3" fillId="5" borderId="31" xfId="0" applyNumberFormat="1" applyFont="1" applyFill="1" applyBorder="1" applyAlignment="1">
      <alignment horizontal="center" vertical="center"/>
    </xf>
    <xf numFmtId="1" fontId="3" fillId="5" borderId="31" xfId="0" applyNumberFormat="1" applyFont="1" applyFill="1" applyBorder="1" applyAlignment="1">
      <alignment horizontal="center" vertical="center"/>
    </xf>
    <xf numFmtId="169" fontId="6" fillId="4" borderId="31" xfId="3" applyNumberFormat="1" applyFont="1" applyBorder="1" applyAlignment="1">
      <alignment horizontal="center" vertical="center"/>
    </xf>
    <xf numFmtId="164" fontId="6" fillId="4" borderId="31" xfId="3" applyNumberFormat="1" applyFont="1" applyBorder="1" applyAlignment="1">
      <alignment horizontal="center" vertical="center"/>
    </xf>
    <xf numFmtId="0" fontId="4" fillId="5" borderId="31" xfId="0" applyFont="1" applyFill="1" applyBorder="1" applyAlignment="1">
      <alignment horizontal="center" vertical="center" wrapText="1"/>
    </xf>
    <xf numFmtId="0" fontId="4" fillId="5" borderId="4" xfId="0" applyFont="1" applyFill="1" applyBorder="1" applyAlignment="1">
      <alignment horizontal="center" vertical="center"/>
    </xf>
    <xf numFmtId="0" fontId="4" fillId="5" borderId="3" xfId="0" applyFont="1" applyFill="1" applyBorder="1" applyAlignment="1">
      <alignment horizontal="center" vertical="center"/>
    </xf>
    <xf numFmtId="1" fontId="6" fillId="4" borderId="31" xfId="3" applyNumberFormat="1" applyFont="1" applyBorder="1" applyAlignment="1">
      <alignment horizontal="center" vertical="center"/>
    </xf>
    <xf numFmtId="2" fontId="6" fillId="4" borderId="31" xfId="3" applyNumberFormat="1" applyFont="1" applyBorder="1" applyAlignment="1">
      <alignment horizontal="center" vertical="center"/>
    </xf>
    <xf numFmtId="0" fontId="3" fillId="0" borderId="31" xfId="0" applyFont="1" applyBorder="1" applyAlignment="1">
      <alignment horizontal="center"/>
    </xf>
    <xf numFmtId="0" fontId="4" fillId="0" borderId="31" xfId="0" applyFont="1" applyBorder="1" applyAlignment="1">
      <alignment horizontal="center" vertical="center"/>
    </xf>
    <xf numFmtId="0" fontId="4" fillId="0" borderId="34"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40" xfId="0" applyFont="1" applyBorder="1" applyAlignment="1">
      <alignment horizontal="center" vertical="center"/>
    </xf>
    <xf numFmtId="0" fontId="4" fillId="0" borderId="31" xfId="0" applyFont="1" applyBorder="1" applyAlignment="1">
      <alignment horizontal="center"/>
    </xf>
    <xf numFmtId="0" fontId="4" fillId="5" borderId="38" xfId="0" applyFont="1" applyFill="1" applyBorder="1" applyAlignment="1">
      <alignment horizontal="center" vertical="center"/>
    </xf>
    <xf numFmtId="0" fontId="4" fillId="5" borderId="39" xfId="0" applyFont="1" applyFill="1" applyBorder="1" applyAlignment="1">
      <alignment horizontal="center" vertical="center"/>
    </xf>
  </cellXfs>
  <cellStyles count="5">
    <cellStyle name="Bad" xfId="3" builtinId="27"/>
    <cellStyle name="Normal" xfId="0" builtinId="0"/>
    <cellStyle name="Normal 2" xfId="1" xr:uid="{00000000-0005-0000-0000-000002000000}"/>
    <cellStyle name="Normal 3" xfId="2" xr:uid="{00000000-0005-0000-0000-000003000000}"/>
    <cellStyle name="Normal 4" xfId="4" xr:uid="{00000000-0005-0000-0000-000004000000}"/>
  </cellStyles>
  <dxfs count="135">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ill>
        <patternFill>
          <bgColor theme="0"/>
        </patternFill>
      </fill>
    </dxf>
    <dxf>
      <font>
        <b/>
        <i/>
        <color rgb="FFFF0000"/>
      </font>
    </dxf>
    <dxf>
      <font>
        <b/>
        <i/>
        <color rgb="FFFF0000"/>
      </font>
    </dxf>
    <dxf>
      <font>
        <b/>
        <i/>
        <color rgb="FFFF0000"/>
      </font>
    </dxf>
    <dxf>
      <fill>
        <patternFill>
          <bgColor theme="0"/>
        </patternFill>
      </fill>
    </dxf>
    <dxf>
      <fill>
        <patternFill>
          <bgColor theme="0"/>
        </patternFill>
      </fill>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317" cy="975267"/>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069507"/>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itchFamily="34" charset="0"/>
              <a:ea typeface="+mn-ea"/>
              <a:cs typeface="+mn-cs"/>
            </a:rPr>
            <a:t>Block 1 Lot 49, Jubilation Commercial Strip, </a:t>
          </a:r>
        </a:p>
        <a:p>
          <a:r>
            <a:rPr lang="en-US" sz="1000">
              <a:solidFill>
                <a:schemeClr val="tx1"/>
              </a:solidFill>
              <a:effectLst/>
              <a:latin typeface="Arial Narrow" pitchFamily="34" charset="0"/>
              <a:ea typeface="+mn-ea"/>
              <a:cs typeface="+mn-cs"/>
            </a:rPr>
            <a:t>Brgy. Zapote, Biñan City, Laguna 4024 Phils.</a:t>
          </a:r>
        </a:p>
        <a:p>
          <a:r>
            <a:rPr lang="en-US" sz="1000">
              <a:solidFill>
                <a:schemeClr val="tx1"/>
              </a:solidFill>
              <a:effectLst/>
              <a:latin typeface="Arial Narrow" pitchFamily="34" charset="0"/>
              <a:ea typeface="+mn-ea"/>
              <a:cs typeface="+mn-cs"/>
            </a:rPr>
            <a:t>Contact Nos.: (049) 591-0807;</a:t>
          </a:r>
        </a:p>
        <a:p>
          <a:r>
            <a:rPr lang="en-US" sz="1000">
              <a:solidFill>
                <a:schemeClr val="tx1"/>
              </a:solidFill>
              <a:effectLst/>
              <a:latin typeface="Arial Narrow" pitchFamily="34" charset="0"/>
              <a:ea typeface="+mn-ea"/>
              <a:cs typeface="+mn-cs"/>
            </a:rPr>
            <a:t>                 09171700815 / 09171700231</a:t>
          </a:r>
        </a:p>
        <a:p>
          <a:r>
            <a:rPr lang="en-US" sz="1000">
              <a:solidFill>
                <a:schemeClr val="tx1"/>
              </a:solidFill>
              <a:effectLst/>
              <a:latin typeface="Arial Narrow" pitchFamily="34" charset="0"/>
              <a:ea typeface="+mn-ea"/>
              <a:cs typeface="+mn-cs"/>
            </a:rPr>
            <a:t>Email: admin@sonju.ph</a:t>
          </a:r>
        </a:p>
        <a:p>
          <a:r>
            <a:rPr lang="en-US" sz="1000">
              <a:solidFill>
                <a:schemeClr val="tx1"/>
              </a:solidFill>
              <a:effectLst/>
              <a:latin typeface="Arial Narrow" pitchFamily="34" charset="0"/>
              <a:ea typeface="+mn-ea"/>
              <a:cs typeface="+mn-cs"/>
            </a:rPr>
            <a:t>Website: www.sonjuengineering.com</a:t>
          </a: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317" cy="975267"/>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19975507"/>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itchFamily="34" charset="0"/>
              <a:ea typeface="+mn-ea"/>
              <a:cs typeface="+mn-cs"/>
            </a:rPr>
            <a:t>Block 1 Lot 49, Jubilation Commercial Strip, </a:t>
          </a:r>
        </a:p>
        <a:p>
          <a:r>
            <a:rPr lang="en-US" sz="1000">
              <a:solidFill>
                <a:schemeClr val="tx1"/>
              </a:solidFill>
              <a:effectLst/>
              <a:latin typeface="Arial Narrow" pitchFamily="34" charset="0"/>
              <a:ea typeface="+mn-ea"/>
              <a:cs typeface="+mn-cs"/>
            </a:rPr>
            <a:t>Brgy. Zapote, Biñan City, Laguna 4024 Phils.</a:t>
          </a:r>
        </a:p>
        <a:p>
          <a:r>
            <a:rPr lang="en-US" sz="1000">
              <a:solidFill>
                <a:schemeClr val="tx1"/>
              </a:solidFill>
              <a:effectLst/>
              <a:latin typeface="Arial Narrow" pitchFamily="34" charset="0"/>
              <a:ea typeface="+mn-ea"/>
              <a:cs typeface="+mn-cs"/>
            </a:rPr>
            <a:t>Contact Nos.: (049) 591-0807;</a:t>
          </a:r>
        </a:p>
        <a:p>
          <a:r>
            <a:rPr lang="en-US" sz="1000">
              <a:solidFill>
                <a:schemeClr val="tx1"/>
              </a:solidFill>
              <a:effectLst/>
              <a:latin typeface="Arial Narrow" pitchFamily="34" charset="0"/>
              <a:ea typeface="+mn-ea"/>
              <a:cs typeface="+mn-cs"/>
            </a:rPr>
            <a:t>                 09171700815 / 09171700231</a:t>
          </a:r>
        </a:p>
        <a:p>
          <a:r>
            <a:rPr lang="en-US" sz="1000">
              <a:solidFill>
                <a:schemeClr val="tx1"/>
              </a:solidFill>
              <a:effectLst/>
              <a:latin typeface="Arial Narrow" pitchFamily="34" charset="0"/>
              <a:ea typeface="+mn-ea"/>
              <a:cs typeface="+mn-cs"/>
            </a:rPr>
            <a:t>Email: admin@sonju.ph</a:t>
          </a:r>
        </a:p>
        <a:p>
          <a:r>
            <a:rPr lang="en-US" sz="1000">
              <a:solidFill>
                <a:schemeClr val="tx1"/>
              </a:solidFill>
              <a:effectLst/>
              <a:latin typeface="Arial Narrow" pitchFamily="34" charset="0"/>
              <a:ea typeface="+mn-ea"/>
              <a:cs typeface="+mn-cs"/>
            </a:rPr>
            <a:t>Website: www.sonjuengineering.com</a:t>
          </a: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317" cy="975267"/>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29881507"/>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itchFamily="34" charset="0"/>
              <a:ea typeface="+mn-ea"/>
              <a:cs typeface="+mn-cs"/>
            </a:rPr>
            <a:t>Block 1 Lot 49, Jubilation Commercial Strip, </a:t>
          </a:r>
        </a:p>
        <a:p>
          <a:r>
            <a:rPr lang="en-US" sz="1000">
              <a:solidFill>
                <a:schemeClr val="tx1"/>
              </a:solidFill>
              <a:effectLst/>
              <a:latin typeface="Arial Narrow" pitchFamily="34" charset="0"/>
              <a:ea typeface="+mn-ea"/>
              <a:cs typeface="+mn-cs"/>
            </a:rPr>
            <a:t>Brgy. Zapote, Biñan City, Laguna 4024 Phils.</a:t>
          </a:r>
        </a:p>
        <a:p>
          <a:r>
            <a:rPr lang="en-US" sz="1000">
              <a:solidFill>
                <a:schemeClr val="tx1"/>
              </a:solidFill>
              <a:effectLst/>
              <a:latin typeface="Arial Narrow" pitchFamily="34" charset="0"/>
              <a:ea typeface="+mn-ea"/>
              <a:cs typeface="+mn-cs"/>
            </a:rPr>
            <a:t>Contact Nos.: (049) 591-0807;</a:t>
          </a:r>
        </a:p>
        <a:p>
          <a:r>
            <a:rPr lang="en-US" sz="1000">
              <a:solidFill>
                <a:schemeClr val="tx1"/>
              </a:solidFill>
              <a:effectLst/>
              <a:latin typeface="Arial Narrow" pitchFamily="34" charset="0"/>
              <a:ea typeface="+mn-ea"/>
              <a:cs typeface="+mn-cs"/>
            </a:rPr>
            <a:t>                 09171700815 / 09171700231</a:t>
          </a:r>
        </a:p>
        <a:p>
          <a:r>
            <a:rPr lang="en-US" sz="1000">
              <a:solidFill>
                <a:schemeClr val="tx1"/>
              </a:solidFill>
              <a:effectLst/>
              <a:latin typeface="Arial Narrow" pitchFamily="34" charset="0"/>
              <a:ea typeface="+mn-ea"/>
              <a:cs typeface="+mn-cs"/>
            </a:rPr>
            <a:t>Email: admin@sonju.ph</a:t>
          </a:r>
        </a:p>
        <a:p>
          <a:r>
            <a:rPr lang="en-US" sz="1000">
              <a:solidFill>
                <a:schemeClr val="tx1"/>
              </a:solidFill>
              <a:effectLst/>
              <a:latin typeface="Arial Narrow" pitchFamily="34" charset="0"/>
              <a:ea typeface="+mn-ea"/>
              <a:cs typeface="+mn-cs"/>
            </a:rPr>
            <a:t>Website: www.sonjuengineering.com</a:t>
          </a:r>
        </a:p>
      </xdr:txBody>
    </xdr:sp>
    <xdr:clientData/>
  </xdr:oneCellAnchor>
  <xdr:twoCellAnchor editAs="oneCell">
    <xdr:from>
      <xdr:col>3</xdr:col>
      <xdr:colOff>19050</xdr:colOff>
      <xdr:row>0</xdr:row>
      <xdr:rowOff>85725</xdr:rowOff>
    </xdr:from>
    <xdr:to>
      <xdr:col>9</xdr:col>
      <xdr:colOff>219075</xdr:colOff>
      <xdr:row>4</xdr:row>
      <xdr:rowOff>114299</xdr:rowOff>
    </xdr:to>
    <xdr:pic>
      <xdr:nvPicPr>
        <xdr:cNvPr id="17" name="Picture 16" descr="A logo with a maze&#10;&#10;AI-generated content may be incorrect.">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0" y="85725"/>
          <a:ext cx="1743075" cy="704849"/>
        </a:xfrm>
        <a:prstGeom prst="rect">
          <a:avLst/>
        </a:prstGeom>
      </xdr:spPr>
    </xdr:pic>
    <xdr:clientData/>
  </xdr:twoCellAnchor>
  <xdr:twoCellAnchor editAs="oneCell">
    <xdr:from>
      <xdr:col>17</xdr:col>
      <xdr:colOff>38100</xdr:colOff>
      <xdr:row>0</xdr:row>
      <xdr:rowOff>31750</xdr:rowOff>
    </xdr:from>
    <xdr:to>
      <xdr:col>26</xdr:col>
      <xdr:colOff>47625</xdr:colOff>
      <xdr:row>5</xdr:row>
      <xdr:rowOff>44450</xdr:rowOff>
    </xdr:to>
    <xdr:pic>
      <xdr:nvPicPr>
        <xdr:cNvPr id="19" name="Picture 18" descr="A black and white logo&#10;&#10;AI-generated content may be incorrect.">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43450" y="31750"/>
          <a:ext cx="24098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905625" y="6137910"/>
          <a:ext cx="15240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53957</xdr:rowOff>
    </xdr:from>
    <xdr:to>
      <xdr:col>31</xdr:col>
      <xdr:colOff>14269</xdr:colOff>
      <xdr:row>27</xdr:row>
      <xdr:rowOff>92057</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539615" y="2981325"/>
          <a:ext cx="15113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24</xdr:row>
      <xdr:rowOff>50495</xdr:rowOff>
    </xdr:from>
    <xdr:to>
      <xdr:col>31</xdr:col>
      <xdr:colOff>16868</xdr:colOff>
      <xdr:row>25</xdr:row>
      <xdr:rowOff>88595</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545965" y="2787650"/>
          <a:ext cx="14732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38</xdr:col>
      <xdr:colOff>9525</xdr:colOff>
      <xdr:row>1</xdr:row>
      <xdr:rowOff>104774</xdr:rowOff>
    </xdr:from>
    <xdr:to>
      <xdr:col>50</xdr:col>
      <xdr:colOff>104775</xdr:colOff>
      <xdr:row>5</xdr:row>
      <xdr:rowOff>9524</xdr:rowOff>
    </xdr:to>
    <xdr:pic>
      <xdr:nvPicPr>
        <xdr:cNvPr id="8" name="Picture 7" descr="A logo with a maze&#10;&#10;AI-generated content may be incorrect.">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50" y="104774"/>
          <a:ext cx="1695450" cy="714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351082</xdr:colOff>
      <xdr:row>0</xdr:row>
      <xdr:rowOff>12416</xdr:rowOff>
    </xdr:from>
    <xdr:to>
      <xdr:col>13</xdr:col>
      <xdr:colOff>166955</xdr:colOff>
      <xdr:row>34</xdr:row>
      <xdr:rowOff>137163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1082" y="12416"/>
          <a:ext cx="7740673" cy="6601747"/>
        </a:xfrm>
        <a:prstGeom prst="rect">
          <a:avLst/>
        </a:prstGeom>
      </xdr:spPr>
    </xdr:pic>
    <xdr:clientData/>
  </xdr:twoCellAnchor>
  <xdr:twoCellAnchor editAs="oneCell">
    <xdr:from>
      <xdr:col>0</xdr:col>
      <xdr:colOff>488156</xdr:colOff>
      <xdr:row>34</xdr:row>
      <xdr:rowOff>142875</xdr:rowOff>
    </xdr:from>
    <xdr:to>
      <xdr:col>12</xdr:col>
      <xdr:colOff>595313</xdr:colOff>
      <xdr:row>50</xdr:row>
      <xdr:rowOff>48819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8156" y="6619875"/>
          <a:ext cx="7422357" cy="2953944"/>
        </a:xfrm>
        <a:prstGeom prst="rect">
          <a:avLst/>
        </a:prstGeom>
      </xdr:spPr>
    </xdr:pic>
    <xdr:clientData/>
  </xdr:twoCellAnchor>
  <xdr:twoCellAnchor editAs="oneCell">
    <xdr:from>
      <xdr:col>0</xdr:col>
      <xdr:colOff>519094</xdr:colOff>
      <xdr:row>50</xdr:row>
      <xdr:rowOff>42843</xdr:rowOff>
    </xdr:from>
    <xdr:to>
      <xdr:col>12</xdr:col>
      <xdr:colOff>588742</xdr:colOff>
      <xdr:row>57</xdr:row>
      <xdr:rowOff>119613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9094" y="9567843"/>
          <a:ext cx="7384848" cy="14102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24"/>
  <sheetViews>
    <sheetView showGridLines="0" view="pageBreakPreview" zoomScaleNormal="120" zoomScaleSheetLayoutView="100" workbookViewId="0">
      <selection activeCell="P3" sqref="P2:P3"/>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36" t="s">
        <v>0</v>
      </c>
      <c r="D5" s="236"/>
      <c r="E5" s="236"/>
      <c r="F5" s="236"/>
      <c r="G5" s="236"/>
      <c r="H5" s="236"/>
      <c r="I5" s="236"/>
      <c r="J5" s="236"/>
      <c r="K5" s="236"/>
      <c r="L5" s="236"/>
      <c r="M5" s="236"/>
      <c r="N5" s="236"/>
      <c r="O5" s="236"/>
      <c r="P5" s="236"/>
      <c r="Q5" s="236"/>
      <c r="R5" s="236"/>
      <c r="S5" s="236"/>
      <c r="T5" s="236"/>
      <c r="U5" s="236"/>
      <c r="V5" s="236"/>
      <c r="W5" s="236"/>
      <c r="X5" s="236"/>
      <c r="Y5" s="236"/>
      <c r="Z5" s="236"/>
    </row>
    <row r="6" spans="3:26" ht="12.75" customHeight="1">
      <c r="C6" s="236"/>
      <c r="D6" s="236"/>
      <c r="E6" s="236"/>
      <c r="F6" s="236"/>
      <c r="G6" s="236"/>
      <c r="H6" s="236"/>
      <c r="I6" s="236"/>
      <c r="J6" s="236"/>
      <c r="K6" s="236"/>
      <c r="L6" s="236"/>
      <c r="M6" s="236"/>
      <c r="N6" s="236"/>
      <c r="O6" s="236"/>
      <c r="P6" s="236"/>
      <c r="Q6" s="236"/>
      <c r="R6" s="236"/>
      <c r="S6" s="236"/>
      <c r="T6" s="236"/>
      <c r="U6" s="236"/>
      <c r="V6" s="236"/>
      <c r="W6" s="236"/>
      <c r="X6" s="236"/>
      <c r="Y6" s="236"/>
      <c r="Z6" s="236"/>
    </row>
    <row r="7" spans="3:26" ht="12.75" customHeight="1">
      <c r="R7" s="252" t="s">
        <v>1</v>
      </c>
      <c r="S7" s="252"/>
      <c r="T7" s="252"/>
      <c r="U7" s="252"/>
      <c r="V7" s="253" t="str">
        <f>CONCATENATE("25-",DataSheet!L7,DataSheet!N7,DataSheet!O7,DataSheet!AN7," ","Rev.00")</f>
        <v>25- Rev.00</v>
      </c>
      <c r="W7" s="253"/>
      <c r="X7" s="253"/>
      <c r="Y7" s="253"/>
      <c r="Z7" s="253"/>
    </row>
    <row r="9" spans="3:26" ht="15" customHeight="1">
      <c r="C9" s="21" t="s">
        <v>2</v>
      </c>
      <c r="O9" s="21" t="s">
        <v>3</v>
      </c>
    </row>
    <row r="10" spans="3:26" ht="15" customHeight="1">
      <c r="D10" s="19">
        <f>DataSheet!H25</f>
        <v>0</v>
      </c>
      <c r="E10" s="19"/>
      <c r="F10" s="19"/>
      <c r="G10" s="19"/>
      <c r="H10" s="19"/>
      <c r="I10" s="19"/>
      <c r="J10" s="19"/>
      <c r="K10" s="19"/>
      <c r="L10" s="19"/>
      <c r="M10" s="19"/>
      <c r="N10" s="19"/>
      <c r="P10" s="254" t="str">
        <f>IF(DataSheet!AE25="x","SONJU ENGINEERING SERVICES",D10)</f>
        <v>SONJU ENGINEERING SERVICES</v>
      </c>
      <c r="Q10" s="254"/>
      <c r="R10" s="254"/>
      <c r="S10" s="254"/>
      <c r="T10" s="254"/>
      <c r="U10" s="254"/>
      <c r="V10" s="254"/>
      <c r="W10" s="254"/>
      <c r="X10" s="254"/>
      <c r="Y10" s="254"/>
      <c r="Z10" s="19"/>
    </row>
    <row r="11" spans="3:26" ht="12.95" customHeight="1">
      <c r="C11" s="21"/>
      <c r="D11" s="257">
        <f>DataSheet!H27</f>
        <v>0</v>
      </c>
      <c r="E11" s="257"/>
      <c r="F11" s="257"/>
      <c r="G11" s="257"/>
      <c r="H11" s="257"/>
      <c r="I11" s="257"/>
      <c r="J11" s="257"/>
      <c r="K11" s="257"/>
      <c r="L11" s="257"/>
      <c r="M11" s="257"/>
      <c r="N11" s="25"/>
      <c r="O11" s="25"/>
      <c r="P11" s="257" t="str">
        <f>IF(DataSheet!AE25="x",DataSheet!AG29,DataSheet!AG29)</f>
        <v>Electrical Calibration Area</v>
      </c>
      <c r="Q11" s="257"/>
      <c r="R11" s="257"/>
      <c r="S11" s="257"/>
      <c r="T11" s="257"/>
      <c r="U11" s="257"/>
      <c r="V11" s="257"/>
      <c r="W11" s="257"/>
      <c r="X11" s="257"/>
      <c r="Y11" s="257"/>
      <c r="Z11" s="25"/>
    </row>
    <row r="12" spans="3:26" ht="12.95" customHeight="1">
      <c r="D12" s="257"/>
      <c r="E12" s="257"/>
      <c r="F12" s="257"/>
      <c r="G12" s="257"/>
      <c r="H12" s="257"/>
      <c r="I12" s="257"/>
      <c r="J12" s="257"/>
      <c r="K12" s="257"/>
      <c r="L12" s="257"/>
      <c r="M12" s="257"/>
      <c r="N12" s="25"/>
      <c r="O12" s="24"/>
      <c r="P12" s="257"/>
      <c r="Q12" s="257"/>
      <c r="R12" s="257"/>
      <c r="S12" s="257"/>
      <c r="T12" s="257"/>
      <c r="U12" s="257"/>
      <c r="V12" s="257"/>
      <c r="W12" s="257"/>
      <c r="X12" s="257"/>
      <c r="Y12" s="257"/>
      <c r="Z12" s="25"/>
    </row>
    <row r="13" spans="3:26" ht="12.95" customHeight="1">
      <c r="D13" s="257"/>
      <c r="E13" s="257"/>
      <c r="F13" s="257"/>
      <c r="G13" s="257"/>
      <c r="H13" s="257"/>
      <c r="I13" s="257"/>
      <c r="J13" s="257"/>
      <c r="K13" s="257"/>
      <c r="L13" s="257"/>
      <c r="M13" s="257"/>
      <c r="N13" s="25"/>
      <c r="O13" s="24"/>
      <c r="P13" s="53"/>
      <c r="Q13" s="53"/>
      <c r="R13" s="53"/>
      <c r="S13" s="53"/>
      <c r="T13" s="53"/>
      <c r="U13" s="53"/>
      <c r="V13" s="53"/>
      <c r="W13" s="53"/>
      <c r="X13" s="53"/>
      <c r="Y13" s="53"/>
      <c r="Z13" s="30"/>
    </row>
    <row r="14" spans="3:26" ht="12.95" customHeight="1"/>
    <row r="15" spans="3:26" ht="15" customHeight="1">
      <c r="C15" s="21" t="s">
        <v>4</v>
      </c>
      <c r="H15" s="238" t="str">
        <f>DataSheet!K11</f>
        <v>Fluke</v>
      </c>
      <c r="I15" s="238"/>
      <c r="J15" s="238"/>
      <c r="K15" s="238"/>
      <c r="L15" s="238"/>
      <c r="M15" s="238"/>
      <c r="N15" s="26"/>
      <c r="O15" s="21" t="s">
        <v>5</v>
      </c>
      <c r="T15" s="20" t="str">
        <f>DataSheet!K9</f>
        <v>True RMS Multimeter</v>
      </c>
    </row>
    <row r="16" spans="3:26" ht="15" customHeight="1">
      <c r="C16" s="21" t="s">
        <v>6</v>
      </c>
      <c r="H16" s="238">
        <f>DataSheet!K13</f>
        <v>117</v>
      </c>
      <c r="I16" s="238"/>
      <c r="J16" s="238"/>
      <c r="K16" s="238"/>
      <c r="L16" s="238"/>
      <c r="M16" s="238"/>
      <c r="N16" s="26"/>
      <c r="O16" s="21" t="s">
        <v>7</v>
      </c>
      <c r="T16" s="238" t="str">
        <f>DataSheet!AL13</f>
        <v>none</v>
      </c>
      <c r="U16" s="238"/>
      <c r="V16" s="238"/>
      <c r="W16" s="238"/>
      <c r="X16" s="238"/>
      <c r="Y16" s="238"/>
      <c r="Z16" s="238"/>
    </row>
    <row r="17" spans="1:26" ht="15" customHeight="1">
      <c r="C17" s="27" t="s">
        <v>8</v>
      </c>
      <c r="H17" s="255">
        <f>DataSheet!K15</f>
        <v>0</v>
      </c>
      <c r="I17" s="238"/>
      <c r="J17" s="238"/>
      <c r="K17" s="238"/>
      <c r="L17" s="238"/>
      <c r="M17" s="238"/>
      <c r="N17" s="26"/>
      <c r="O17" s="21" t="s">
        <v>9</v>
      </c>
      <c r="T17" s="238" t="str">
        <f>DataSheet!AL17</f>
        <v>none</v>
      </c>
      <c r="U17" s="238"/>
      <c r="V17" s="238"/>
      <c r="W17" s="238"/>
      <c r="X17" s="238"/>
      <c r="Y17" s="238"/>
      <c r="Z17" s="238"/>
    </row>
    <row r="18" spans="1:26" ht="15" customHeight="1">
      <c r="C18" s="21" t="s">
        <v>10</v>
      </c>
      <c r="H18" s="256">
        <f>DataSheet!AL11</f>
        <v>0</v>
      </c>
      <c r="I18" s="256"/>
      <c r="J18" s="256"/>
      <c r="K18" s="256"/>
      <c r="L18" s="256"/>
      <c r="M18" s="256"/>
      <c r="N18" s="26"/>
      <c r="O18" s="21" t="s">
        <v>11</v>
      </c>
      <c r="T18" s="238">
        <f>DataSheet!L7</f>
        <v>0</v>
      </c>
      <c r="U18" s="238"/>
      <c r="V18" s="238"/>
      <c r="W18" s="238"/>
      <c r="X18" s="238"/>
      <c r="Y18" s="238"/>
      <c r="Z18" s="238"/>
    </row>
    <row r="19" spans="1:26" ht="15" customHeight="1">
      <c r="C19" s="21" t="s">
        <v>137</v>
      </c>
      <c r="H19" s="258">
        <f>DataSheet!AL9</f>
        <v>0</v>
      </c>
      <c r="I19" s="258"/>
      <c r="J19" s="258"/>
      <c r="K19" s="258"/>
      <c r="L19" s="258"/>
      <c r="M19" s="258"/>
      <c r="N19" s="258"/>
      <c r="O19" s="21" t="s">
        <v>12</v>
      </c>
      <c r="T19" s="238" t="str">
        <f>DataSheet!AL15</f>
        <v>none</v>
      </c>
      <c r="U19" s="238"/>
      <c r="V19" s="238"/>
      <c r="W19" s="238"/>
      <c r="X19" s="238"/>
      <c r="Y19" s="238"/>
      <c r="Z19" s="238"/>
    </row>
    <row r="20" spans="1:26" ht="15" customHeight="1">
      <c r="C20" s="21" t="s">
        <v>13</v>
      </c>
      <c r="H20" s="238" t="str">
        <f>IF(DataSheet!AE25="x","23 °C ± 5 °C",CONCATENATE(ROUND(AVERAGE(DataSheet!K41:L42),1)," ","°C"))</f>
        <v>23 °C ± 5 °C</v>
      </c>
      <c r="I20" s="238"/>
      <c r="J20" s="238"/>
      <c r="K20" s="238"/>
      <c r="L20" s="238"/>
      <c r="M20" s="238"/>
      <c r="N20" s="26"/>
      <c r="O20" s="21" t="s">
        <v>14</v>
      </c>
      <c r="T20" s="238" t="str">
        <f>IF(DataSheet!AE25="x","55 %rh ± 15 %rh",CONCATENATE(ROUND(AVERAGE(DataSheet!T41:U42),1)," ","%rh"))</f>
        <v>55 %rh ± 15 %rh</v>
      </c>
      <c r="U20" s="238"/>
      <c r="V20" s="238"/>
      <c r="W20" s="238"/>
      <c r="X20" s="238"/>
      <c r="Y20" s="238"/>
      <c r="Z20" s="238"/>
    </row>
    <row r="21" spans="1:26" ht="12.95" customHeight="1"/>
    <row r="22" spans="1:26" ht="12.95" customHeight="1"/>
    <row r="23" spans="1:26" s="26" customFormat="1" ht="15" customHeight="1">
      <c r="A23" s="54"/>
      <c r="C23" s="62" t="s">
        <v>15</v>
      </c>
    </row>
    <row r="24" spans="1:26" ht="15" customHeight="1">
      <c r="C24" s="64" t="str">
        <f>DataSheet!AB40</f>
        <v>As per SONJU Engineering Services Work Instruction 7W-02-54 Digital Multimeter Calibration Procedure.</v>
      </c>
      <c r="D24" s="30"/>
      <c r="E24" s="30"/>
      <c r="F24" s="30"/>
      <c r="G24" s="30"/>
      <c r="H24" s="30"/>
      <c r="I24" s="30"/>
      <c r="J24" s="30"/>
      <c r="K24" s="30"/>
      <c r="L24" s="30"/>
      <c r="M24" s="30"/>
      <c r="N24" s="30"/>
      <c r="O24" s="30"/>
      <c r="P24" s="30"/>
      <c r="Q24" s="30"/>
      <c r="R24" s="30"/>
      <c r="S24" s="30"/>
      <c r="T24" s="30"/>
      <c r="U24" s="30"/>
    </row>
    <row r="25" spans="1:26" ht="9.9499999999999993" customHeight="1">
      <c r="C25" s="30"/>
      <c r="D25" s="30"/>
      <c r="E25" s="30"/>
      <c r="F25" s="30"/>
      <c r="G25" s="30"/>
      <c r="H25" s="30"/>
      <c r="I25" s="30"/>
      <c r="J25" s="30"/>
      <c r="K25" s="30"/>
      <c r="L25" s="30"/>
      <c r="M25" s="30"/>
      <c r="N25" s="30"/>
      <c r="O25" s="30"/>
      <c r="P25" s="30"/>
      <c r="Q25" s="30"/>
      <c r="R25" s="30"/>
      <c r="S25" s="30"/>
      <c r="T25" s="30"/>
      <c r="U25" s="30"/>
    </row>
    <row r="26" spans="1:26" ht="15" customHeight="1">
      <c r="C26" s="239" t="s">
        <v>16</v>
      </c>
      <c r="D26" s="239"/>
      <c r="E26" s="239"/>
      <c r="F26" s="239"/>
      <c r="G26" s="239"/>
      <c r="H26" s="239"/>
      <c r="I26" s="239"/>
      <c r="J26" s="239"/>
      <c r="K26" s="239"/>
      <c r="L26" s="239"/>
      <c r="M26" s="239"/>
      <c r="N26" s="239"/>
      <c r="O26" s="239"/>
      <c r="P26" s="239"/>
      <c r="Q26" s="239"/>
      <c r="R26" s="239"/>
      <c r="S26" s="239"/>
      <c r="T26" s="239"/>
      <c r="U26" s="239"/>
      <c r="V26" s="239"/>
      <c r="W26" s="239"/>
      <c r="X26" s="239"/>
      <c r="Y26" s="239"/>
      <c r="Z26" s="239"/>
    </row>
    <row r="27" spans="1:26" ht="15" customHeight="1">
      <c r="C27" s="239"/>
      <c r="D27" s="239"/>
      <c r="E27" s="239"/>
      <c r="F27" s="239"/>
      <c r="G27" s="239"/>
      <c r="H27" s="239"/>
      <c r="I27" s="239"/>
      <c r="J27" s="239"/>
      <c r="K27" s="239"/>
      <c r="L27" s="239"/>
      <c r="M27" s="239"/>
      <c r="N27" s="239"/>
      <c r="O27" s="239"/>
      <c r="P27" s="239"/>
      <c r="Q27" s="239"/>
      <c r="R27" s="239"/>
      <c r="S27" s="239"/>
      <c r="T27" s="239"/>
      <c r="U27" s="239"/>
      <c r="V27" s="239"/>
      <c r="W27" s="239"/>
      <c r="X27" s="239"/>
      <c r="Y27" s="239"/>
      <c r="Z27" s="239"/>
    </row>
    <row r="28" spans="1:26" ht="9.9499999999999993" customHeight="1"/>
    <row r="29" spans="1:26" s="26" customFormat="1" ht="15" customHeight="1">
      <c r="A29" s="54"/>
      <c r="C29" s="19" t="s">
        <v>112</v>
      </c>
    </row>
    <row r="30" spans="1:26" ht="15" customHeight="1">
      <c r="C30" s="239" t="s">
        <v>130</v>
      </c>
      <c r="D30" s="239"/>
      <c r="E30" s="239"/>
      <c r="F30" s="239"/>
      <c r="G30" s="239"/>
      <c r="H30" s="239"/>
      <c r="I30" s="239"/>
      <c r="J30" s="239"/>
      <c r="K30" s="239"/>
      <c r="L30" s="239"/>
      <c r="M30" s="239"/>
      <c r="N30" s="239"/>
      <c r="O30" s="239"/>
      <c r="P30" s="239"/>
      <c r="Q30" s="239"/>
      <c r="R30" s="239"/>
      <c r="S30" s="239"/>
      <c r="T30" s="239"/>
      <c r="U30" s="239"/>
      <c r="V30" s="239"/>
      <c r="W30" s="239"/>
      <c r="X30" s="239"/>
      <c r="Y30" s="239"/>
      <c r="Z30" s="239"/>
    </row>
    <row r="31" spans="1:26" ht="15" customHeight="1">
      <c r="C31" s="239"/>
      <c r="D31" s="239"/>
      <c r="E31" s="239"/>
      <c r="F31" s="239"/>
      <c r="G31" s="239"/>
      <c r="H31" s="239"/>
      <c r="I31" s="239"/>
      <c r="J31" s="239"/>
      <c r="K31" s="239"/>
      <c r="L31" s="239"/>
      <c r="M31" s="239"/>
      <c r="N31" s="239"/>
      <c r="O31" s="239"/>
      <c r="P31" s="239"/>
      <c r="Q31" s="239"/>
      <c r="R31" s="239"/>
      <c r="S31" s="239"/>
      <c r="T31" s="239"/>
      <c r="U31" s="239"/>
      <c r="V31" s="239"/>
      <c r="W31" s="239"/>
      <c r="X31" s="239"/>
      <c r="Y31" s="239"/>
      <c r="Z31" s="239"/>
    </row>
    <row r="32" spans="1:26" ht="15" customHeight="1">
      <c r="C32" s="239"/>
      <c r="D32" s="239"/>
      <c r="E32" s="239"/>
      <c r="F32" s="239"/>
      <c r="G32" s="239"/>
      <c r="H32" s="239"/>
      <c r="I32" s="239"/>
      <c r="J32" s="239"/>
      <c r="K32" s="239"/>
      <c r="L32" s="239"/>
      <c r="M32" s="239"/>
      <c r="N32" s="239"/>
      <c r="O32" s="239"/>
      <c r="P32" s="239"/>
      <c r="Q32" s="239"/>
      <c r="R32" s="239"/>
      <c r="S32" s="239"/>
      <c r="T32" s="239"/>
      <c r="U32" s="239"/>
      <c r="V32" s="239"/>
      <c r="W32" s="239"/>
      <c r="X32" s="239"/>
      <c r="Y32" s="239"/>
      <c r="Z32" s="239"/>
    </row>
    <row r="33" spans="1:27" ht="9.9499999999999993" customHeight="1"/>
    <row r="34" spans="1:27" s="56" customFormat="1" ht="15" customHeight="1">
      <c r="A34" s="55"/>
      <c r="C34" s="66" t="s">
        <v>131</v>
      </c>
      <c r="D34" s="65"/>
      <c r="E34" s="65"/>
      <c r="F34" s="65"/>
      <c r="G34" s="65"/>
      <c r="H34" s="65"/>
      <c r="I34" s="65"/>
      <c r="J34" s="65"/>
      <c r="K34" s="65"/>
      <c r="L34" s="65"/>
      <c r="M34" s="65"/>
      <c r="N34" s="65"/>
      <c r="O34" s="65"/>
      <c r="P34" s="65"/>
      <c r="Q34" s="65"/>
      <c r="R34" s="65"/>
      <c r="S34" s="65"/>
      <c r="T34" s="65"/>
      <c r="U34" s="65"/>
      <c r="V34" s="65"/>
      <c r="W34" s="65"/>
      <c r="X34" s="65"/>
      <c r="Y34" s="65"/>
      <c r="Z34" s="65"/>
    </row>
    <row r="35" spans="1:27" s="52" customFormat="1" ht="15" customHeight="1">
      <c r="A35" s="51"/>
      <c r="C35" s="240" t="s">
        <v>158</v>
      </c>
      <c r="D35" s="240"/>
      <c r="E35" s="240"/>
      <c r="F35" s="240"/>
      <c r="G35" s="240"/>
      <c r="H35" s="240"/>
      <c r="I35" s="240"/>
      <c r="J35" s="240"/>
      <c r="K35" s="240"/>
      <c r="L35" s="240"/>
      <c r="M35" s="240"/>
      <c r="N35" s="240"/>
      <c r="O35" s="240"/>
      <c r="P35" s="240"/>
      <c r="Q35" s="240"/>
      <c r="R35" s="240"/>
      <c r="S35" s="240"/>
      <c r="T35" s="240"/>
      <c r="U35" s="240"/>
      <c r="V35" s="240"/>
      <c r="W35" s="240"/>
      <c r="X35" s="240"/>
      <c r="Y35" s="240"/>
      <c r="Z35" s="240"/>
    </row>
    <row r="36" spans="1:27" s="52" customFormat="1" ht="15" customHeight="1">
      <c r="A36" s="51"/>
      <c r="C36" s="240"/>
      <c r="D36" s="240"/>
      <c r="E36" s="240"/>
      <c r="F36" s="240"/>
      <c r="G36" s="240"/>
      <c r="H36" s="240"/>
      <c r="I36" s="240"/>
      <c r="J36" s="240"/>
      <c r="K36" s="240"/>
      <c r="L36" s="240"/>
      <c r="M36" s="240"/>
      <c r="N36" s="240"/>
      <c r="O36" s="240"/>
      <c r="P36" s="240"/>
      <c r="Q36" s="240"/>
      <c r="R36" s="240"/>
      <c r="S36" s="240"/>
      <c r="T36" s="240"/>
      <c r="U36" s="240"/>
      <c r="V36" s="240"/>
      <c r="W36" s="240"/>
      <c r="X36" s="240"/>
      <c r="Y36" s="240"/>
      <c r="Z36" s="240"/>
    </row>
    <row r="37" spans="1:27" ht="9.9499999999999993" customHeight="1"/>
    <row r="38" spans="1:27" s="26" customFormat="1" ht="15" customHeight="1">
      <c r="A38" s="54"/>
      <c r="C38" s="19" t="s">
        <v>17</v>
      </c>
    </row>
    <row r="39" spans="1:27" ht="9.9499999999999993" customHeight="1"/>
    <row r="40" spans="1:27" s="26" customFormat="1" ht="15" customHeight="1">
      <c r="A40" s="54"/>
      <c r="D40" s="234" t="s">
        <v>18</v>
      </c>
      <c r="E40" s="234"/>
      <c r="F40" s="234"/>
      <c r="G40" s="234"/>
      <c r="H40" s="234"/>
      <c r="I40" s="234"/>
      <c r="J40" s="234" t="s">
        <v>19</v>
      </c>
      <c r="K40" s="234"/>
      <c r="L40" s="234"/>
      <c r="M40" s="234"/>
      <c r="N40" s="234"/>
      <c r="O40" s="234"/>
      <c r="P40" s="234" t="s">
        <v>20</v>
      </c>
      <c r="Q40" s="234"/>
      <c r="R40" s="234"/>
      <c r="S40" s="234"/>
      <c r="T40" s="234"/>
      <c r="U40" s="234"/>
      <c r="V40" s="234" t="s">
        <v>21</v>
      </c>
      <c r="W40" s="234"/>
      <c r="X40" s="234"/>
      <c r="Y40" s="234"/>
      <c r="Z40" s="234"/>
    </row>
    <row r="41" spans="1:27" s="26" customFormat="1" ht="15" customHeight="1">
      <c r="A41" s="54"/>
      <c r="D41" s="234"/>
      <c r="E41" s="234"/>
      <c r="F41" s="234"/>
      <c r="G41" s="234"/>
      <c r="H41" s="234"/>
      <c r="I41" s="234"/>
      <c r="J41" s="234"/>
      <c r="K41" s="234"/>
      <c r="L41" s="234"/>
      <c r="M41" s="234"/>
      <c r="N41" s="234"/>
      <c r="O41" s="234"/>
      <c r="P41" s="234"/>
      <c r="Q41" s="234"/>
      <c r="R41" s="234"/>
      <c r="S41" s="234"/>
      <c r="T41" s="234"/>
      <c r="U41" s="234"/>
      <c r="V41" s="234"/>
      <c r="W41" s="234"/>
      <c r="X41" s="234"/>
      <c r="Y41" s="234"/>
      <c r="Z41" s="234"/>
    </row>
    <row r="42" spans="1:27" s="26" customFormat="1" ht="15" customHeight="1">
      <c r="A42" s="54"/>
      <c r="D42" s="233" t="str">
        <f>DataSheet!B33</f>
        <v>Multiproduct Calibrator</v>
      </c>
      <c r="E42" s="233"/>
      <c r="F42" s="233"/>
      <c r="G42" s="233"/>
      <c r="H42" s="233"/>
      <c r="I42" s="233"/>
      <c r="J42" s="233">
        <f>DataSheet!Q33</f>
        <v>28039</v>
      </c>
      <c r="K42" s="233"/>
      <c r="L42" s="233"/>
      <c r="M42" s="233"/>
      <c r="N42" s="233"/>
      <c r="O42" s="233"/>
      <c r="P42" s="250" t="str">
        <f>DataSheet!AB33</f>
        <v>25-2852-03JSC Rev.00</v>
      </c>
      <c r="Q42" s="250"/>
      <c r="R42" s="250"/>
      <c r="S42" s="250"/>
      <c r="T42" s="250"/>
      <c r="U42" s="250"/>
      <c r="V42" s="251">
        <f>DataSheet!AO33</f>
        <v>46211</v>
      </c>
      <c r="W42" s="251"/>
      <c r="X42" s="251"/>
      <c r="Y42" s="251"/>
      <c r="Z42" s="251"/>
    </row>
    <row r="43" spans="1:27" ht="9.9499999999999993" customHeight="1"/>
    <row r="44" spans="1:27" s="26" customFormat="1" ht="15" customHeight="1">
      <c r="A44" s="54"/>
      <c r="C44" s="19" t="s">
        <v>22</v>
      </c>
    </row>
    <row r="45" spans="1:27" s="26" customFormat="1" ht="15" customHeight="1">
      <c r="A45" s="54"/>
      <c r="C45" s="237" t="s">
        <v>117</v>
      </c>
      <c r="D45" s="237"/>
      <c r="E45" s="237"/>
      <c r="F45" s="237"/>
      <c r="G45" s="237"/>
      <c r="H45" s="237"/>
      <c r="I45" s="237"/>
      <c r="J45" s="237"/>
      <c r="K45" s="237"/>
      <c r="L45" s="237"/>
      <c r="M45" s="237"/>
      <c r="N45" s="237"/>
      <c r="O45" s="237"/>
      <c r="P45" s="237"/>
      <c r="Q45" s="237"/>
      <c r="R45" s="237"/>
      <c r="S45" s="237"/>
      <c r="T45" s="237"/>
      <c r="U45" s="237"/>
      <c r="V45" s="237"/>
      <c r="W45" s="237"/>
      <c r="X45" s="237"/>
      <c r="Y45" s="237"/>
      <c r="Z45" s="237"/>
      <c r="AA45" s="57"/>
    </row>
    <row r="46" spans="1:27" s="26" customFormat="1" ht="15" customHeight="1">
      <c r="A46" s="54"/>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57"/>
    </row>
    <row r="47" spans="1:27" s="26" customFormat="1" ht="15" customHeight="1">
      <c r="A47" s="54"/>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57"/>
    </row>
    <row r="48" spans="1:27" s="26" customFormat="1" ht="15" customHeight="1">
      <c r="A48" s="54"/>
      <c r="C48" s="26" t="s">
        <v>23</v>
      </c>
    </row>
    <row r="49" spans="1:23" s="56" customFormat="1" ht="15" customHeight="1">
      <c r="A49" s="55"/>
      <c r="C49" s="56" t="s">
        <v>161</v>
      </c>
    </row>
    <row r="50" spans="1:23" s="26" customFormat="1" ht="15" customHeight="1">
      <c r="A50" s="54"/>
      <c r="C50" s="26" t="s">
        <v>159</v>
      </c>
    </row>
    <row r="51" spans="1:23" s="26" customFormat="1" ht="15" customHeight="1">
      <c r="A51" s="54"/>
      <c r="C51" s="26" t="s">
        <v>160</v>
      </c>
      <c r="O51" s="247">
        <f>EDATE(DataSheet!AL11,12)</f>
        <v>366</v>
      </c>
      <c r="P51" s="247"/>
      <c r="Q51" s="247"/>
    </row>
    <row r="52" spans="1:23" s="26" customFormat="1" ht="15" customHeight="1">
      <c r="A52" s="54"/>
      <c r="O52" s="63"/>
      <c r="P52" s="63"/>
      <c r="Q52" s="63"/>
    </row>
    <row r="53" spans="1:23" s="26" customFormat="1" ht="14.45" customHeight="1">
      <c r="A53" s="54"/>
      <c r="N53" s="63"/>
    </row>
    <row r="54" spans="1:23" ht="15" customHeight="1">
      <c r="E54" s="248">
        <f>DataSheet!B120</f>
        <v>0</v>
      </c>
      <c r="F54" s="248"/>
      <c r="G54" s="248"/>
      <c r="H54" s="248"/>
      <c r="I54" s="248"/>
      <c r="J54" s="248"/>
      <c r="K54" s="248"/>
      <c r="S54" s="248" t="s">
        <v>153</v>
      </c>
      <c r="T54" s="248"/>
      <c r="U54" s="248"/>
      <c r="V54" s="248"/>
      <c r="W54" s="248"/>
    </row>
    <row r="55" spans="1:23" ht="15" customHeight="1">
      <c r="E55" s="246" t="s">
        <v>24</v>
      </c>
      <c r="F55" s="246"/>
      <c r="G55" s="246"/>
      <c r="H55" s="246"/>
      <c r="I55" s="246"/>
      <c r="J55" s="246"/>
      <c r="K55" s="246"/>
      <c r="S55" s="246" t="s">
        <v>154</v>
      </c>
      <c r="T55" s="246"/>
      <c r="U55" s="246"/>
      <c r="V55" s="246"/>
      <c r="W55" s="246"/>
    </row>
    <row r="56" spans="1:23" ht="15" customHeight="1"/>
    <row r="57" spans="1:23" ht="15" customHeight="1">
      <c r="D57" s="29" t="s">
        <v>25</v>
      </c>
      <c r="G57" s="249"/>
      <c r="H57" s="249"/>
      <c r="I57" s="249"/>
      <c r="J57" s="249"/>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34" t="s">
        <v>27</v>
      </c>
      <c r="F68" s="234"/>
      <c r="G68" s="234"/>
      <c r="H68" s="234"/>
      <c r="I68" s="234" t="s">
        <v>28</v>
      </c>
      <c r="J68" s="234"/>
      <c r="K68" s="234"/>
      <c r="L68" s="234"/>
      <c r="M68" s="235" t="s">
        <v>74</v>
      </c>
      <c r="N68" s="234"/>
      <c r="O68" s="234"/>
      <c r="P68" s="234"/>
      <c r="Q68" s="234" t="s">
        <v>29</v>
      </c>
      <c r="R68" s="234"/>
      <c r="S68" s="234"/>
      <c r="T68" s="234"/>
      <c r="U68" s="235" t="s">
        <v>116</v>
      </c>
      <c r="V68" s="234"/>
      <c r="W68" s="234"/>
      <c r="X68" s="234"/>
    </row>
    <row r="69" spans="3:24" ht="15" customHeight="1">
      <c r="C69" s="19"/>
      <c r="E69" s="234"/>
      <c r="F69" s="234"/>
      <c r="G69" s="234"/>
      <c r="H69" s="234"/>
      <c r="I69" s="234"/>
      <c r="J69" s="234"/>
      <c r="K69" s="234"/>
      <c r="L69" s="234"/>
      <c r="M69" s="234"/>
      <c r="N69" s="234"/>
      <c r="O69" s="234"/>
      <c r="P69" s="234"/>
      <c r="Q69" s="234"/>
      <c r="R69" s="234"/>
      <c r="S69" s="234"/>
      <c r="T69" s="234"/>
      <c r="U69" s="234"/>
      <c r="V69" s="234"/>
      <c r="W69" s="234"/>
      <c r="X69" s="234"/>
    </row>
    <row r="70" spans="3:24" ht="15" customHeight="1">
      <c r="C70" s="19"/>
      <c r="E70" s="233" t="str">
        <f>DataSheet!F55</f>
        <v>600 mV</v>
      </c>
      <c r="F70" s="233"/>
      <c r="G70" s="233"/>
      <c r="H70" s="233"/>
      <c r="I70" s="233" t="str">
        <f>CONCATENATE(DataSheet!L55," ",DataSheet!P55)</f>
        <v>60 mV</v>
      </c>
      <c r="J70" s="233"/>
      <c r="K70" s="233"/>
      <c r="L70" s="233"/>
      <c r="M70" s="233" t="e">
        <f>CONCATENATE(TEXT(DataSheet!AM55,"0.0")," ",DataSheet!P55)</f>
        <v>#DIV/0!</v>
      </c>
      <c r="N70" s="233"/>
      <c r="O70" s="233"/>
      <c r="P70" s="233"/>
      <c r="Q70" s="233" t="e">
        <f>CONCATENATE(TEXT(DataSheet!AR55,"0.0")," ",DataSheet!P55)</f>
        <v>#DIV/0!</v>
      </c>
      <c r="R70" s="233"/>
      <c r="S70" s="233"/>
      <c r="T70" s="233"/>
      <c r="U70" s="233" t="e">
        <f>CONCATENATE(," ",TEXT(DataSheet!DD55,"0.000")," ",DataSheet!CZ55)</f>
        <v>#DIV/0!</v>
      </c>
      <c r="V70" s="233"/>
      <c r="W70" s="233"/>
      <c r="X70" s="233"/>
    </row>
    <row r="71" spans="3:24" ht="15" customHeight="1">
      <c r="C71" s="19"/>
      <c r="E71" s="233"/>
      <c r="F71" s="233"/>
      <c r="G71" s="233"/>
      <c r="H71" s="233"/>
      <c r="I71" s="233" t="str">
        <f>CONCATENATE(DataSheet!L56," ",DataSheet!P56)</f>
        <v>540 mV</v>
      </c>
      <c r="J71" s="233"/>
      <c r="K71" s="233"/>
      <c r="L71" s="233"/>
      <c r="M71" s="233" t="e">
        <f>CONCATENATE(TEXT(DataSheet!AM56,"0.0")," ",DataSheet!P56)</f>
        <v>#DIV/0!</v>
      </c>
      <c r="N71" s="233"/>
      <c r="O71" s="233"/>
      <c r="P71" s="233"/>
      <c r="Q71" s="233" t="e">
        <f>CONCATENATE(TEXT(DataSheet!AR56,"0.0")," ",DataSheet!P56)</f>
        <v>#DIV/0!</v>
      </c>
      <c r="R71" s="233"/>
      <c r="S71" s="233"/>
      <c r="T71" s="233"/>
      <c r="U71" s="233" t="e">
        <f>CONCATENATE(," ",TEXT(DataSheet!DD56,"0.000")," ",DataSheet!CZ56)</f>
        <v>#DIV/0!</v>
      </c>
      <c r="V71" s="233"/>
      <c r="W71" s="233"/>
      <c r="X71" s="233"/>
    </row>
    <row r="72" spans="3:24" ht="15" customHeight="1">
      <c r="C72" s="19"/>
      <c r="E72" s="233"/>
      <c r="F72" s="233"/>
      <c r="G72" s="233"/>
      <c r="H72" s="233"/>
      <c r="I72" s="233" t="str">
        <f>CONCATENATE(DataSheet!L57," ",DataSheet!P57)</f>
        <v>-540 mV</v>
      </c>
      <c r="J72" s="233"/>
      <c r="K72" s="233"/>
      <c r="L72" s="233"/>
      <c r="M72" s="233" t="e">
        <f>CONCATENATE(TEXT(DataSheet!AM57,"0.0")," ",DataSheet!P57)</f>
        <v>#DIV/0!</v>
      </c>
      <c r="N72" s="233"/>
      <c r="O72" s="233"/>
      <c r="P72" s="233"/>
      <c r="Q72" s="233" t="e">
        <f>CONCATENATE(TEXT(DataSheet!AR57,"0.0")," ",DataSheet!P57)</f>
        <v>#DIV/0!</v>
      </c>
      <c r="R72" s="233"/>
      <c r="S72" s="233"/>
      <c r="T72" s="233"/>
      <c r="U72" s="233" t="e">
        <f>CONCATENATE(," ",TEXT(DataSheet!DD57,"0.000")," ",DataSheet!CZ57)</f>
        <v>#DIV/0!</v>
      </c>
      <c r="V72" s="233"/>
      <c r="W72" s="233"/>
      <c r="X72" s="233"/>
    </row>
    <row r="73" spans="3:24" ht="15" customHeight="1">
      <c r="C73" s="19"/>
      <c r="E73" s="233" t="str">
        <f>DataSheet!F58</f>
        <v>6 V</v>
      </c>
      <c r="F73" s="233"/>
      <c r="G73" s="233"/>
      <c r="H73" s="233"/>
      <c r="I73" s="233" t="str">
        <f>CONCATENATE(DataSheet!L58," ",DataSheet!P58)</f>
        <v>0.6 V</v>
      </c>
      <c r="J73" s="233"/>
      <c r="K73" s="233"/>
      <c r="L73" s="233"/>
      <c r="M73" s="233" t="e">
        <f>CONCATENATE(TEXT(DataSheet!AM58,"0.000")," ",DataSheet!P58)</f>
        <v>#DIV/0!</v>
      </c>
      <c r="N73" s="233"/>
      <c r="O73" s="233"/>
      <c r="P73" s="233"/>
      <c r="Q73" s="233" t="e">
        <f>CONCATENATE(TEXT(DataSheet!AR58,"0.000")," ",DataSheet!P58)</f>
        <v>#DIV/0!</v>
      </c>
      <c r="R73" s="233"/>
      <c r="S73" s="233"/>
      <c r="T73" s="233"/>
      <c r="U73" s="233" t="e">
        <f>CONCATENATE(" ",TEXT(DataSheet!DD58,"0.000 00")," ",DataSheet!CZ58)</f>
        <v>#DIV/0!</v>
      </c>
      <c r="V73" s="233"/>
      <c r="W73" s="233"/>
      <c r="X73" s="233"/>
    </row>
    <row r="74" spans="3:24" ht="15" customHeight="1">
      <c r="C74" s="19"/>
      <c r="E74" s="233"/>
      <c r="F74" s="233"/>
      <c r="G74" s="233"/>
      <c r="H74" s="233"/>
      <c r="I74" s="233" t="str">
        <f>CONCATENATE(DataSheet!L59," ",DataSheet!P59)</f>
        <v>5.4 V</v>
      </c>
      <c r="J74" s="233"/>
      <c r="K74" s="233"/>
      <c r="L74" s="233"/>
      <c r="M74" s="233" t="e">
        <f>CONCATENATE(TEXT(DataSheet!AM59,"0.000")," ",DataSheet!P59)</f>
        <v>#DIV/0!</v>
      </c>
      <c r="N74" s="233"/>
      <c r="O74" s="233"/>
      <c r="P74" s="233"/>
      <c r="Q74" s="233" t="e">
        <f>CONCATENATE(TEXT(DataSheet!AR59,"0.000")," ",DataSheet!P59)</f>
        <v>#DIV/0!</v>
      </c>
      <c r="R74" s="233"/>
      <c r="S74" s="233"/>
      <c r="T74" s="233"/>
      <c r="U74" s="233" t="e">
        <f>CONCATENATE(" ",TEXT(DataSheet!DD59,"0.000 00")," ",DataSheet!CZ59)</f>
        <v>#DIV/0!</v>
      </c>
      <c r="V74" s="233"/>
      <c r="W74" s="233"/>
      <c r="X74" s="233"/>
    </row>
    <row r="75" spans="3:24" ht="15" customHeight="1">
      <c r="C75" s="19"/>
      <c r="E75" s="233"/>
      <c r="F75" s="233"/>
      <c r="G75" s="233"/>
      <c r="H75" s="233"/>
      <c r="I75" s="233" t="str">
        <f>CONCATENATE(DataSheet!L60," ",DataSheet!P60)</f>
        <v>-5.4 V</v>
      </c>
      <c r="J75" s="233"/>
      <c r="K75" s="233"/>
      <c r="L75" s="233"/>
      <c r="M75" s="233" t="e">
        <f>CONCATENATE(TEXT(DataSheet!AM60,"0.000")," ",DataSheet!P60)</f>
        <v>#DIV/0!</v>
      </c>
      <c r="N75" s="233"/>
      <c r="O75" s="233"/>
      <c r="P75" s="233"/>
      <c r="Q75" s="233" t="e">
        <f>CONCATENATE(TEXT(DataSheet!AR60,"0.000")," ",DataSheet!P60)</f>
        <v>#DIV/0!</v>
      </c>
      <c r="R75" s="233"/>
      <c r="S75" s="233"/>
      <c r="T75" s="233"/>
      <c r="U75" s="233" t="e">
        <f>CONCATENATE(" ",TEXT(DataSheet!DD60,"0.000 00")," ",DataSheet!CZ60)</f>
        <v>#DIV/0!</v>
      </c>
      <c r="V75" s="233"/>
      <c r="W75" s="233"/>
      <c r="X75" s="233"/>
    </row>
    <row r="76" spans="3:24" ht="15" customHeight="1">
      <c r="C76" s="19"/>
      <c r="E76" s="233" t="str">
        <f>DataSheet!F61</f>
        <v>60 V</v>
      </c>
      <c r="F76" s="233"/>
      <c r="G76" s="233"/>
      <c r="H76" s="233"/>
      <c r="I76" s="233" t="str">
        <f>CONCATENATE(DataSheet!L61," ",DataSheet!P61)</f>
        <v>6 V</v>
      </c>
      <c r="J76" s="233"/>
      <c r="K76" s="233"/>
      <c r="L76" s="233"/>
      <c r="M76" s="233" t="e">
        <f>CONCATENATE(TEXT(DataSheet!AM61,"0.00")," ",DataSheet!P61)</f>
        <v>#DIV/0!</v>
      </c>
      <c r="N76" s="233"/>
      <c r="O76" s="233"/>
      <c r="P76" s="233"/>
      <c r="Q76" s="233" t="e">
        <f>CONCATENATE(TEXT(DataSheet!AR61,"0.00")," ",DataSheet!P61)</f>
        <v>#DIV/0!</v>
      </c>
      <c r="R76" s="233"/>
      <c r="S76" s="233"/>
      <c r="T76" s="233"/>
      <c r="U76" s="233" t="e">
        <f>CONCATENATE(" ",TEXT(DataSheet!DD61,"0.000 0")," ",DataSheet!CZ61)</f>
        <v>#DIV/0!</v>
      </c>
      <c r="V76" s="233"/>
      <c r="W76" s="233"/>
      <c r="X76" s="233"/>
    </row>
    <row r="77" spans="3:24" ht="15" customHeight="1">
      <c r="C77" s="19"/>
      <c r="E77" s="233"/>
      <c r="F77" s="233"/>
      <c r="G77" s="233"/>
      <c r="H77" s="233"/>
      <c r="I77" s="233" t="str">
        <f>CONCATENATE(DataSheet!L62," ",DataSheet!P62)</f>
        <v>30 V</v>
      </c>
      <c r="J77" s="233"/>
      <c r="K77" s="233"/>
      <c r="L77" s="233"/>
      <c r="M77" s="233" t="e">
        <f>CONCATENATE(TEXT(DataSheet!AM62,"0.00")," ",DataSheet!P62)</f>
        <v>#DIV/0!</v>
      </c>
      <c r="N77" s="233"/>
      <c r="O77" s="233"/>
      <c r="P77" s="233"/>
      <c r="Q77" s="233" t="e">
        <f>CONCATENATE(TEXT(DataSheet!AR62,"0.00")," ",DataSheet!P62)</f>
        <v>#DIV/0!</v>
      </c>
      <c r="R77" s="233"/>
      <c r="S77" s="233"/>
      <c r="T77" s="233"/>
      <c r="U77" s="233" t="e">
        <f>CONCATENATE(" ",TEXT(DataSheet!DD62,"0.000 0")," ",DataSheet!CZ62)</f>
        <v>#DIV/0!</v>
      </c>
      <c r="V77" s="233"/>
      <c r="W77" s="233"/>
      <c r="X77" s="233"/>
    </row>
    <row r="78" spans="3:24" ht="15" customHeight="1">
      <c r="C78" s="19"/>
      <c r="E78" s="233"/>
      <c r="F78" s="233"/>
      <c r="G78" s="233"/>
      <c r="H78" s="233"/>
      <c r="I78" s="233" t="str">
        <f>CONCATENATE(DataSheet!L63," ",DataSheet!P63)</f>
        <v>54 V</v>
      </c>
      <c r="J78" s="233"/>
      <c r="K78" s="233"/>
      <c r="L78" s="233"/>
      <c r="M78" s="233" t="e">
        <f>CONCATENATE(TEXT(DataSheet!AM63,"0.00")," ",DataSheet!P63)</f>
        <v>#DIV/0!</v>
      </c>
      <c r="N78" s="233"/>
      <c r="O78" s="233"/>
      <c r="P78" s="233"/>
      <c r="Q78" s="233" t="e">
        <f>CONCATENATE(TEXT(DataSheet!AR63,"0.00")," ",DataSheet!P63)</f>
        <v>#DIV/0!</v>
      </c>
      <c r="R78" s="233"/>
      <c r="S78" s="233"/>
      <c r="T78" s="233"/>
      <c r="U78" s="233" t="e">
        <f>CONCATENATE(" ",TEXT(DataSheet!DD63,"0.000 0")," ",DataSheet!CZ63)</f>
        <v>#DIV/0!</v>
      </c>
      <c r="V78" s="233"/>
      <c r="W78" s="233"/>
      <c r="X78" s="233"/>
    </row>
    <row r="79" spans="3:24" ht="15" customHeight="1">
      <c r="C79" s="19"/>
      <c r="E79" s="233"/>
      <c r="F79" s="233"/>
      <c r="G79" s="233"/>
      <c r="H79" s="233"/>
      <c r="I79" s="233" t="str">
        <f>CONCATENATE(DataSheet!L64," ",DataSheet!P64)</f>
        <v>-6 V</v>
      </c>
      <c r="J79" s="233"/>
      <c r="K79" s="233"/>
      <c r="L79" s="233"/>
      <c r="M79" s="233" t="e">
        <f>CONCATENATE(TEXT(DataSheet!AM64,"0.00")," ",DataSheet!P64)</f>
        <v>#DIV/0!</v>
      </c>
      <c r="N79" s="233"/>
      <c r="O79" s="233"/>
      <c r="P79" s="233"/>
      <c r="Q79" s="233" t="e">
        <f>CONCATENATE(TEXT(DataSheet!AR64,"0.00")," ",DataSheet!P64)</f>
        <v>#DIV/0!</v>
      </c>
      <c r="R79" s="233"/>
      <c r="S79" s="233"/>
      <c r="T79" s="233"/>
      <c r="U79" s="233" t="e">
        <f>CONCATENATE(" ",TEXT(DataSheet!DD64,"0.000 0")," ",DataSheet!CZ64)</f>
        <v>#DIV/0!</v>
      </c>
      <c r="V79" s="233"/>
      <c r="W79" s="233"/>
      <c r="X79" s="233"/>
    </row>
    <row r="80" spans="3:24" ht="15" customHeight="1">
      <c r="C80" s="19"/>
      <c r="E80" s="233"/>
      <c r="F80" s="233"/>
      <c r="G80" s="233"/>
      <c r="H80" s="233"/>
      <c r="I80" s="233" t="str">
        <f>CONCATENATE(DataSheet!L65," ",DataSheet!P65)</f>
        <v>-54 V</v>
      </c>
      <c r="J80" s="233"/>
      <c r="K80" s="233"/>
      <c r="L80" s="233"/>
      <c r="M80" s="233" t="e">
        <f>CONCATENATE(TEXT(DataSheet!AM65,"0.00")," ",DataSheet!P65)</f>
        <v>#DIV/0!</v>
      </c>
      <c r="N80" s="233"/>
      <c r="O80" s="233"/>
      <c r="P80" s="233"/>
      <c r="Q80" s="233" t="e">
        <f>CONCATENATE(TEXT(DataSheet!AR65,"0.00")," ",DataSheet!P65)</f>
        <v>#DIV/0!</v>
      </c>
      <c r="R80" s="233"/>
      <c r="S80" s="233"/>
      <c r="T80" s="233"/>
      <c r="U80" s="233" t="e">
        <f>CONCATENATE(" ",TEXT(DataSheet!DD65,"0.000 0")," ",DataSheet!CZ65)</f>
        <v>#DIV/0!</v>
      </c>
      <c r="V80" s="233"/>
      <c r="W80" s="233"/>
      <c r="X80" s="233"/>
    </row>
    <row r="81" spans="3:24" ht="15" customHeight="1">
      <c r="C81" s="19"/>
      <c r="E81" s="233" t="str">
        <f>DataSheet!F66</f>
        <v>600 V</v>
      </c>
      <c r="F81" s="233"/>
      <c r="G81" s="233"/>
      <c r="H81" s="233"/>
      <c r="I81" s="233" t="str">
        <f>CONCATENATE(DataSheet!L66," ",DataSheet!P66)</f>
        <v>60 V</v>
      </c>
      <c r="J81" s="233"/>
      <c r="K81" s="233"/>
      <c r="L81" s="233"/>
      <c r="M81" s="233" t="e">
        <f>CONCATENATE(TEXT(DataSheet!AM66,"0.0")," ",DataSheet!P66)</f>
        <v>#DIV/0!</v>
      </c>
      <c r="N81" s="233"/>
      <c r="O81" s="233"/>
      <c r="P81" s="233"/>
      <c r="Q81" s="233" t="e">
        <f>CONCATENATE(TEXT(DataSheet!AR66,"0.0")," ",DataSheet!P66)</f>
        <v>#DIV/0!</v>
      </c>
      <c r="R81" s="233"/>
      <c r="S81" s="233"/>
      <c r="T81" s="233"/>
      <c r="U81" s="233" t="e">
        <f>CONCATENATE(" ",TEXT(DataSheet!DD66,"0.000")," ",DataSheet!CZ66)</f>
        <v>#DIV/0!</v>
      </c>
      <c r="V81" s="233"/>
      <c r="W81" s="233"/>
      <c r="X81" s="233"/>
    </row>
    <row r="82" spans="3:24" ht="15" customHeight="1">
      <c r="C82" s="19"/>
      <c r="E82" s="233"/>
      <c r="F82" s="233"/>
      <c r="G82" s="233"/>
      <c r="H82" s="233"/>
      <c r="I82" s="233" t="str">
        <f>CONCATENATE(DataSheet!L67," ",DataSheet!P67)</f>
        <v>540 V</v>
      </c>
      <c r="J82" s="233"/>
      <c r="K82" s="233"/>
      <c r="L82" s="233"/>
      <c r="M82" s="233" t="e">
        <f>CONCATENATE(TEXT(DataSheet!AM67,"0.0")," ",DataSheet!P67)</f>
        <v>#DIV/0!</v>
      </c>
      <c r="N82" s="233"/>
      <c r="O82" s="233"/>
      <c r="P82" s="233"/>
      <c r="Q82" s="233" t="e">
        <f>CONCATENATE(TEXT(DataSheet!AR67,"0.0")," ",DataSheet!P67)</f>
        <v>#DIV/0!</v>
      </c>
      <c r="R82" s="233"/>
      <c r="S82" s="233"/>
      <c r="T82" s="233"/>
      <c r="U82" s="233" t="e">
        <f>CONCATENATE(" ",TEXT(DataSheet!DD67,"0.000")," ",DataSheet!CZ67)</f>
        <v>#DIV/0!</v>
      </c>
      <c r="V82" s="233"/>
      <c r="W82" s="233"/>
      <c r="X82" s="233"/>
    </row>
    <row r="83" spans="3:24" ht="15" customHeight="1">
      <c r="C83" s="19"/>
      <c r="E83" s="233"/>
      <c r="F83" s="233"/>
      <c r="G83" s="233"/>
      <c r="H83" s="233"/>
      <c r="I83" s="233" t="str">
        <f>CONCATENATE(DataSheet!L68," ",DataSheet!P68)</f>
        <v>-540 V</v>
      </c>
      <c r="J83" s="233"/>
      <c r="K83" s="233"/>
      <c r="L83" s="233"/>
      <c r="M83" s="233" t="e">
        <f>CONCATENATE(TEXT(DataSheet!AM68,"0.0")," ",DataSheet!P68)</f>
        <v>#DIV/0!</v>
      </c>
      <c r="N83" s="233"/>
      <c r="O83" s="233"/>
      <c r="P83" s="233"/>
      <c r="Q83" s="233" t="e">
        <f>CONCATENATE(TEXT(DataSheet!AR68,"0.0")," ",DataSheet!P68)</f>
        <v>#DIV/0!</v>
      </c>
      <c r="R83" s="233"/>
      <c r="S83" s="233"/>
      <c r="T83" s="233"/>
      <c r="U83" s="233" t="e">
        <f>CONCATENATE(" ",TEXT(DataSheet!DD68,"0.000")," ",DataSheet!CZ68)</f>
        <v>#DIV/0!</v>
      </c>
      <c r="V83" s="233"/>
      <c r="W83" s="233"/>
      <c r="X83" s="233"/>
    </row>
    <row r="84" spans="3:24" ht="15" customHeight="1">
      <c r="C84" s="19"/>
      <c r="G84" s="21"/>
    </row>
    <row r="85" spans="3:24" ht="15" customHeight="1">
      <c r="E85" s="21" t="str">
        <f>DataSheet!F92</f>
        <v>Resistance Test</v>
      </c>
      <c r="I85" s="21"/>
    </row>
    <row r="86" spans="3:24" ht="15" customHeight="1">
      <c r="E86" s="234" t="s">
        <v>27</v>
      </c>
      <c r="F86" s="234"/>
      <c r="G86" s="234"/>
      <c r="H86" s="234"/>
      <c r="I86" s="234" t="s">
        <v>28</v>
      </c>
      <c r="J86" s="234"/>
      <c r="K86" s="234"/>
      <c r="L86" s="234"/>
      <c r="M86" s="235" t="s">
        <v>74</v>
      </c>
      <c r="N86" s="234"/>
      <c r="O86" s="234"/>
      <c r="P86" s="234"/>
      <c r="Q86" s="234" t="s">
        <v>29</v>
      </c>
      <c r="R86" s="234"/>
      <c r="S86" s="234"/>
      <c r="T86" s="234"/>
      <c r="U86" s="235" t="s">
        <v>116</v>
      </c>
      <c r="V86" s="234"/>
      <c r="W86" s="234"/>
      <c r="X86" s="234"/>
    </row>
    <row r="87" spans="3:24" ht="15" customHeight="1">
      <c r="E87" s="234"/>
      <c r="F87" s="234"/>
      <c r="G87" s="234"/>
      <c r="H87" s="234"/>
      <c r="I87" s="234"/>
      <c r="J87" s="234"/>
      <c r="K87" s="234"/>
      <c r="L87" s="234"/>
      <c r="M87" s="234"/>
      <c r="N87" s="234"/>
      <c r="O87" s="234"/>
      <c r="P87" s="234"/>
      <c r="Q87" s="234"/>
      <c r="R87" s="234"/>
      <c r="S87" s="234"/>
      <c r="T87" s="234"/>
      <c r="U87" s="234"/>
      <c r="V87" s="234"/>
      <c r="W87" s="234"/>
      <c r="X87" s="234"/>
    </row>
    <row r="88" spans="3:24" ht="15" customHeight="1">
      <c r="E88" s="226" t="str">
        <f>DataSheet!F95</f>
        <v>600 Ω</v>
      </c>
      <c r="F88" s="227"/>
      <c r="G88" s="227"/>
      <c r="H88" s="228"/>
      <c r="I88" s="232" t="str">
        <f>CONCATENATE(DataSheet!L95," ",DataSheet!P95)</f>
        <v>0 Ω</v>
      </c>
      <c r="J88" s="232"/>
      <c r="K88" s="232"/>
      <c r="L88" s="232"/>
      <c r="M88" s="232" t="e">
        <f>CONCATENATE(TEXT(DataSheet!AM95,"0.0")," ",DataSheet!P95)</f>
        <v>#DIV/0!</v>
      </c>
      <c r="N88" s="232"/>
      <c r="O88" s="232"/>
      <c r="P88" s="232"/>
      <c r="Q88" s="232" t="e">
        <f>CONCATENATE(TEXT(DataSheet!AR95,"0.0")," ",DataSheet!P95)</f>
        <v>#DIV/0!</v>
      </c>
      <c r="R88" s="232"/>
      <c r="S88" s="232"/>
      <c r="T88" s="232"/>
      <c r="U88" s="232" t="e">
        <f>CONCATENATE(" ",TEXT(DataSheet!DD95,"0.000")," ",DataSheet!CZ95)</f>
        <v>#DIV/0!</v>
      </c>
      <c r="V88" s="232"/>
      <c r="W88" s="232"/>
      <c r="X88" s="232"/>
    </row>
    <row r="89" spans="3:24" ht="15" customHeight="1">
      <c r="E89" s="229"/>
      <c r="F89" s="230"/>
      <c r="G89" s="230"/>
      <c r="H89" s="231"/>
      <c r="I89" s="232" t="str">
        <f>CONCATENATE(DataSheet!L96," ",DataSheet!P96)</f>
        <v>540 Ω</v>
      </c>
      <c r="J89" s="232"/>
      <c r="K89" s="232"/>
      <c r="L89" s="232"/>
      <c r="M89" s="232" t="e">
        <f>CONCATENATE(TEXT(DataSheet!AM96,"0.0")," ",DataSheet!P96)</f>
        <v>#DIV/0!</v>
      </c>
      <c r="N89" s="232"/>
      <c r="O89" s="232"/>
      <c r="P89" s="232"/>
      <c r="Q89" s="232" t="e">
        <f>CONCATENATE(TEXT(DataSheet!AR96,"0.0")," ",DataSheet!P96)</f>
        <v>#DIV/0!</v>
      </c>
      <c r="R89" s="232"/>
      <c r="S89" s="232"/>
      <c r="T89" s="232"/>
      <c r="U89" s="232" t="e">
        <f>CONCATENATE(" ",TEXT(DataSheet!DD96,"0.000")," ",DataSheet!CZ96)</f>
        <v>#DIV/0!</v>
      </c>
      <c r="V89" s="232"/>
      <c r="W89" s="232"/>
      <c r="X89" s="232"/>
    </row>
    <row r="90" spans="3:24" ht="15" customHeight="1">
      <c r="E90" s="232" t="str">
        <f>DataSheet!F97</f>
        <v>6 kΩ</v>
      </c>
      <c r="F90" s="232"/>
      <c r="G90" s="232"/>
      <c r="H90" s="232"/>
      <c r="I90" s="232" t="str">
        <f>CONCATENATE(DataSheet!L97," ",DataSheet!P97)</f>
        <v>5.4 kΩ</v>
      </c>
      <c r="J90" s="232"/>
      <c r="K90" s="232"/>
      <c r="L90" s="232"/>
      <c r="M90" s="232" t="e">
        <f>CONCATENATE(TEXT(DataSheet!AM97,"0.000")," ",DataSheet!P97)</f>
        <v>#DIV/0!</v>
      </c>
      <c r="N90" s="232"/>
      <c r="O90" s="232"/>
      <c r="P90" s="232"/>
      <c r="Q90" s="232" t="e">
        <f>CONCATENATE(TEXT(DataSheet!AR97,"0.000")," ",DataSheet!P97)</f>
        <v>#DIV/0!</v>
      </c>
      <c r="R90" s="232"/>
      <c r="S90" s="232"/>
      <c r="T90" s="232"/>
      <c r="U90" s="232" t="e">
        <f>CONCATENATE(" ",TEXT(DataSheet!DD97,"0.000 00")," ",DataSheet!CZ97)</f>
        <v>#DIV/0!</v>
      </c>
      <c r="V90" s="232"/>
      <c r="W90" s="232"/>
      <c r="X90" s="232"/>
    </row>
    <row r="91" spans="3:24" ht="15" customHeight="1">
      <c r="E91" s="232" t="str">
        <f>DataSheet!F98</f>
        <v>60 kΩ</v>
      </c>
      <c r="F91" s="232"/>
      <c r="G91" s="232"/>
      <c r="H91" s="232"/>
      <c r="I91" s="232" t="str">
        <f>CONCATENATE(DataSheet!L98," ",DataSheet!P98)</f>
        <v>54 kΩ</v>
      </c>
      <c r="J91" s="232"/>
      <c r="K91" s="232"/>
      <c r="L91" s="232"/>
      <c r="M91" s="232" t="e">
        <f>CONCATENATE(TEXT(DataSheet!AM98,"0.00")," ",DataSheet!P98)</f>
        <v>#DIV/0!</v>
      </c>
      <c r="N91" s="232"/>
      <c r="O91" s="232"/>
      <c r="P91" s="232"/>
      <c r="Q91" s="232" t="e">
        <f>CONCATENATE(TEXT(DataSheet!AR98,"0.00")," ",DataSheet!P98)</f>
        <v>#DIV/0!</v>
      </c>
      <c r="R91" s="232"/>
      <c r="S91" s="232"/>
      <c r="T91" s="232"/>
      <c r="U91" s="232" t="e">
        <f>CONCATENATE(" ",TEXT(DataSheet!DD98,"0.000 0")," ",DataSheet!CZ98)</f>
        <v>#DIV/0!</v>
      </c>
      <c r="V91" s="232"/>
      <c r="W91" s="232"/>
      <c r="X91" s="232"/>
    </row>
    <row r="92" spans="3:24" ht="15" customHeight="1">
      <c r="E92" s="232" t="str">
        <f>DataSheet!F99</f>
        <v>600 kΩ</v>
      </c>
      <c r="F92" s="232"/>
      <c r="G92" s="232"/>
      <c r="H92" s="232"/>
      <c r="I92" s="232" t="str">
        <f>CONCATENATE(DataSheet!L99," ",DataSheet!P99)</f>
        <v>540 kΩ</v>
      </c>
      <c r="J92" s="232"/>
      <c r="K92" s="232"/>
      <c r="L92" s="232"/>
      <c r="M92" s="232" t="e">
        <f>CONCATENATE(TEXT(DataSheet!AM99,"0.0")," ",DataSheet!P99)</f>
        <v>#DIV/0!</v>
      </c>
      <c r="N92" s="232"/>
      <c r="O92" s="232"/>
      <c r="P92" s="232"/>
      <c r="Q92" s="232" t="e">
        <f>CONCATENATE(TEXT(DataSheet!AR99,"0.0")," ",DataSheet!P99)</f>
        <v>#DIV/0!</v>
      </c>
      <c r="R92" s="232"/>
      <c r="S92" s="232"/>
      <c r="T92" s="232"/>
      <c r="U92" s="232" t="e">
        <f>CONCATENATE(" ",TEXT(DataSheet!DD99,"0.000")," ",DataSheet!CZ99)</f>
        <v>#DIV/0!</v>
      </c>
      <c r="V92" s="232"/>
      <c r="W92" s="232"/>
      <c r="X92" s="232"/>
    </row>
    <row r="93" spans="3:24" ht="15" customHeight="1">
      <c r="E93" s="232" t="str">
        <f>DataSheet!F100</f>
        <v>6 MΩ</v>
      </c>
      <c r="F93" s="232"/>
      <c r="G93" s="232"/>
      <c r="H93" s="232"/>
      <c r="I93" s="232" t="str">
        <f>CONCATENATE(DataSheet!L100," ",DataSheet!P100)</f>
        <v>5.4 MΩ</v>
      </c>
      <c r="J93" s="232"/>
      <c r="K93" s="232"/>
      <c r="L93" s="232"/>
      <c r="M93" s="232" t="e">
        <f>CONCATENATE(TEXT(DataSheet!AM100,"0.000")," ",DataSheet!P100)</f>
        <v>#DIV/0!</v>
      </c>
      <c r="N93" s="232"/>
      <c r="O93" s="232"/>
      <c r="P93" s="232"/>
      <c r="Q93" s="232" t="e">
        <f>CONCATENATE(TEXT(DataSheet!AR100,"0.000")," ",DataSheet!P100)</f>
        <v>#DIV/0!</v>
      </c>
      <c r="R93" s="232"/>
      <c r="S93" s="232"/>
      <c r="T93" s="232"/>
      <c r="U93" s="232" t="e">
        <f>CONCATENATE(" ",TEXT(DataSheet!DD100,"0.000 00")," ",DataSheet!CZ100)</f>
        <v>#DIV/0!</v>
      </c>
      <c r="V93" s="232"/>
      <c r="W93" s="232"/>
      <c r="X93" s="232"/>
    </row>
    <row r="94" spans="3:24" ht="15" customHeight="1">
      <c r="E94" s="232" t="str">
        <f>DataSheet!F101</f>
        <v>40 MΩ</v>
      </c>
      <c r="F94" s="232"/>
      <c r="G94" s="232"/>
      <c r="H94" s="232"/>
      <c r="I94" s="232" t="str">
        <f>CONCATENATE(DataSheet!L101," ",DataSheet!P101)</f>
        <v>36 MΩ</v>
      </c>
      <c r="J94" s="232"/>
      <c r="K94" s="232"/>
      <c r="L94" s="232"/>
      <c r="M94" s="232" t="e">
        <f>CONCATENATE(TEXT(DataSheet!AM101,"0.00")," ",DataSheet!P101)</f>
        <v>#DIV/0!</v>
      </c>
      <c r="N94" s="232"/>
      <c r="O94" s="232"/>
      <c r="P94" s="232"/>
      <c r="Q94" s="232" t="e">
        <f>CONCATENATE(TEXT(DataSheet!AR101,"0.00")," ",DataSheet!P101)</f>
        <v>#DIV/0!</v>
      </c>
      <c r="R94" s="232"/>
      <c r="S94" s="232"/>
      <c r="T94" s="232"/>
      <c r="U94" s="232" t="e">
        <f>CONCATENATE(" ",TEXT(DataSheet!DD101,"0.000")," ",DataSheet!CZ101)</f>
        <v>#DIV/0!</v>
      </c>
      <c r="V94" s="232"/>
      <c r="W94" s="232"/>
      <c r="X94" s="232"/>
    </row>
    <row r="95" spans="3:24" ht="15" customHeight="1">
      <c r="E95" s="67"/>
      <c r="F95" s="67"/>
      <c r="G95" s="67"/>
      <c r="H95" s="67"/>
      <c r="I95" s="67"/>
      <c r="J95" s="67"/>
      <c r="K95" s="67"/>
      <c r="L95" s="67"/>
      <c r="M95" s="67"/>
      <c r="N95" s="67"/>
      <c r="O95" s="67"/>
      <c r="P95" s="67"/>
      <c r="Q95" s="67"/>
      <c r="R95" s="67"/>
      <c r="S95" s="67"/>
      <c r="T95" s="67"/>
      <c r="U95" s="67"/>
      <c r="V95" s="67"/>
      <c r="W95" s="67"/>
      <c r="X95" s="67"/>
    </row>
    <row r="96" spans="3:24" ht="15" customHeight="1">
      <c r="E96" s="67"/>
      <c r="F96" s="67"/>
      <c r="G96" s="67"/>
      <c r="H96" s="67"/>
      <c r="I96" s="67"/>
      <c r="J96" s="67"/>
      <c r="K96" s="67"/>
      <c r="L96" s="67"/>
      <c r="M96" s="67"/>
      <c r="N96" s="67"/>
      <c r="O96" s="67"/>
      <c r="P96" s="67"/>
      <c r="Q96" s="67"/>
      <c r="R96" s="67"/>
      <c r="S96" s="67"/>
      <c r="T96" s="67"/>
      <c r="U96" s="67"/>
      <c r="V96" s="67"/>
      <c r="W96" s="67"/>
      <c r="X96" s="67"/>
    </row>
    <row r="97" spans="3:26" ht="15" customHeight="1">
      <c r="E97" s="67"/>
      <c r="F97" s="67"/>
      <c r="G97" s="67"/>
      <c r="H97" s="67"/>
      <c r="I97" s="67"/>
      <c r="J97" s="67"/>
      <c r="K97" s="67"/>
      <c r="L97" s="67"/>
      <c r="M97" s="67"/>
      <c r="N97" s="67"/>
      <c r="O97" s="67"/>
      <c r="P97" s="67"/>
      <c r="Q97" s="67"/>
      <c r="R97" s="67"/>
      <c r="S97" s="67"/>
      <c r="T97" s="67"/>
      <c r="U97" s="67"/>
      <c r="V97" s="67"/>
      <c r="W97" s="67"/>
      <c r="X97" s="67"/>
    </row>
    <row r="98" spans="3:26" ht="15" customHeight="1">
      <c r="E98" s="67"/>
      <c r="F98" s="67"/>
      <c r="G98" s="67"/>
      <c r="H98" s="67"/>
      <c r="I98" s="67"/>
      <c r="J98" s="67"/>
      <c r="K98" s="67"/>
      <c r="L98" s="67"/>
      <c r="M98" s="67"/>
      <c r="N98" s="67"/>
      <c r="O98" s="67"/>
      <c r="P98" s="67"/>
      <c r="Q98" s="67"/>
      <c r="R98" s="67"/>
      <c r="S98" s="67"/>
      <c r="T98" s="67"/>
      <c r="U98" s="67"/>
      <c r="V98" s="67"/>
      <c r="W98" s="67"/>
      <c r="X98" s="67"/>
    </row>
    <row r="99" spans="3:26" ht="15" customHeight="1">
      <c r="E99" s="67"/>
      <c r="F99" s="67"/>
      <c r="G99" s="67"/>
      <c r="H99" s="67"/>
      <c r="I99" s="67"/>
      <c r="J99" s="67"/>
      <c r="K99" s="67"/>
      <c r="L99" s="67"/>
      <c r="M99" s="67"/>
      <c r="N99" s="67"/>
      <c r="O99" s="67"/>
      <c r="P99" s="67"/>
      <c r="Q99" s="67"/>
      <c r="R99" s="67"/>
      <c r="S99" s="67"/>
      <c r="T99" s="67"/>
      <c r="U99" s="67"/>
      <c r="V99" s="67"/>
      <c r="W99" s="67"/>
      <c r="X99" s="67"/>
    </row>
    <row r="100" spans="3:26" ht="15" customHeight="1">
      <c r="E100" s="67"/>
      <c r="F100" s="67"/>
      <c r="G100" s="67"/>
      <c r="H100" s="67"/>
      <c r="I100" s="67"/>
      <c r="J100" s="67"/>
      <c r="K100" s="67"/>
      <c r="L100" s="67"/>
      <c r="M100" s="67"/>
      <c r="N100" s="67"/>
      <c r="O100" s="67"/>
      <c r="P100" s="67"/>
      <c r="Q100" s="67"/>
      <c r="R100" s="67"/>
      <c r="S100" s="67"/>
      <c r="T100" s="67"/>
      <c r="U100" s="67"/>
      <c r="V100" s="67"/>
      <c r="W100" s="67"/>
      <c r="X100" s="67"/>
    </row>
    <row r="101" spans="3:26" ht="15" customHeight="1">
      <c r="E101" s="67"/>
      <c r="F101" s="67"/>
      <c r="G101" s="67"/>
      <c r="H101" s="67"/>
      <c r="I101" s="67"/>
      <c r="J101" s="67"/>
      <c r="K101" s="67"/>
      <c r="L101" s="67"/>
      <c r="M101" s="67"/>
      <c r="N101" s="67"/>
      <c r="O101" s="67"/>
      <c r="P101" s="67"/>
      <c r="Q101" s="67"/>
      <c r="R101" s="67"/>
      <c r="S101" s="67"/>
      <c r="T101" s="67"/>
      <c r="U101" s="67"/>
      <c r="V101" s="67"/>
      <c r="W101" s="67"/>
      <c r="X101" s="67"/>
    </row>
    <row r="102" spans="3:26" ht="15" customHeight="1">
      <c r="E102" s="67"/>
      <c r="F102" s="67"/>
      <c r="G102" s="67"/>
      <c r="H102" s="67"/>
      <c r="I102" s="67"/>
      <c r="J102" s="67"/>
      <c r="K102" s="67"/>
      <c r="L102" s="67"/>
      <c r="M102" s="67"/>
      <c r="N102" s="67"/>
      <c r="O102" s="67"/>
      <c r="P102" s="67"/>
      <c r="Q102" s="67"/>
      <c r="R102" s="67"/>
      <c r="S102" s="67"/>
      <c r="T102" s="67"/>
      <c r="U102" s="67"/>
      <c r="V102" s="67"/>
      <c r="W102" s="67"/>
      <c r="X102" s="67"/>
    </row>
    <row r="103" spans="3:26" ht="15" customHeight="1">
      <c r="E103" s="67"/>
      <c r="F103" s="67"/>
      <c r="G103" s="67"/>
      <c r="H103" s="67"/>
      <c r="I103" s="67"/>
      <c r="J103" s="67"/>
      <c r="K103" s="67"/>
      <c r="L103" s="67"/>
      <c r="M103" s="67"/>
      <c r="N103" s="67"/>
      <c r="O103" s="67"/>
      <c r="P103" s="67"/>
      <c r="Q103" s="67"/>
      <c r="R103" s="67"/>
      <c r="S103" s="67"/>
      <c r="T103" s="67"/>
      <c r="U103" s="67"/>
      <c r="V103" s="67"/>
      <c r="W103" s="67"/>
      <c r="X103" s="67"/>
    </row>
    <row r="104" spans="3:26" ht="15" customHeight="1"/>
    <row r="105" spans="3:26" ht="15" customHeight="1"/>
    <row r="106" spans="3:26" ht="15" customHeight="1">
      <c r="C106" s="245">
        <f>DataSheet!B120</f>
        <v>0</v>
      </c>
      <c r="D106" s="245"/>
      <c r="E106" s="245"/>
      <c r="F106" s="245"/>
      <c r="G106" s="245"/>
      <c r="H106" s="245"/>
      <c r="I106" s="245"/>
      <c r="J106" s="245"/>
      <c r="K106" s="245"/>
      <c r="L106" s="245"/>
      <c r="M106" s="245"/>
      <c r="N106" s="245"/>
      <c r="O106" s="245"/>
      <c r="P106" s="245"/>
      <c r="Q106" s="245"/>
      <c r="R106" s="245"/>
      <c r="S106" s="245"/>
      <c r="T106" s="245"/>
      <c r="U106" s="245"/>
      <c r="V106" s="245"/>
      <c r="W106" s="245"/>
      <c r="X106" s="245"/>
      <c r="Y106" s="245"/>
      <c r="Z106" s="245"/>
    </row>
    <row r="107" spans="3:26" ht="15" customHeight="1">
      <c r="C107" s="246" t="s">
        <v>24</v>
      </c>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6"/>
    </row>
    <row r="108" spans="3:26" ht="15" customHeight="1">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DataSheet!F70</f>
        <v>AC Voltage Test</v>
      </c>
      <c r="G119" s="21"/>
    </row>
    <row r="120" spans="3:24" ht="15" customHeight="1">
      <c r="C120" s="19"/>
      <c r="E120" s="234" t="s">
        <v>27</v>
      </c>
      <c r="F120" s="234"/>
      <c r="G120" s="234"/>
      <c r="H120" s="234"/>
      <c r="I120" s="234" t="s">
        <v>28</v>
      </c>
      <c r="J120" s="234"/>
      <c r="K120" s="234"/>
      <c r="L120" s="234"/>
      <c r="M120" s="235" t="s">
        <v>74</v>
      </c>
      <c r="N120" s="234"/>
      <c r="O120" s="234"/>
      <c r="P120" s="234"/>
      <c r="Q120" s="234" t="s">
        <v>29</v>
      </c>
      <c r="R120" s="234"/>
      <c r="S120" s="234"/>
      <c r="T120" s="234"/>
      <c r="U120" s="235" t="s">
        <v>116</v>
      </c>
      <c r="V120" s="234"/>
      <c r="W120" s="234"/>
      <c r="X120" s="234"/>
    </row>
    <row r="121" spans="3:24" ht="15" customHeight="1">
      <c r="C121" s="19"/>
      <c r="E121" s="234"/>
      <c r="F121" s="234"/>
      <c r="G121" s="234"/>
      <c r="H121" s="234"/>
      <c r="I121" s="234"/>
      <c r="J121" s="234"/>
      <c r="K121" s="234"/>
      <c r="L121" s="234"/>
      <c r="M121" s="234"/>
      <c r="N121" s="234"/>
      <c r="O121" s="234"/>
      <c r="P121" s="234"/>
      <c r="Q121" s="234"/>
      <c r="R121" s="234"/>
      <c r="S121" s="234"/>
      <c r="T121" s="234"/>
      <c r="U121" s="234"/>
      <c r="V121" s="234"/>
      <c r="W121" s="234"/>
      <c r="X121" s="234"/>
    </row>
    <row r="122" spans="3:24" ht="15" customHeight="1">
      <c r="C122" s="19"/>
      <c r="E122" s="233" t="str">
        <f>DataSheet!F73</f>
        <v>600 mV</v>
      </c>
      <c r="F122" s="233"/>
      <c r="G122" s="233"/>
      <c r="H122" s="233"/>
      <c r="I122" s="233" t="str">
        <f>CONCATENATE(DataSheet!L73," ",DataSheet!P73," / ",DataSheet!S73)</f>
        <v>60 mV / 50 Hz</v>
      </c>
      <c r="J122" s="233"/>
      <c r="K122" s="233"/>
      <c r="L122" s="233"/>
      <c r="M122" s="233" t="e">
        <f>CONCATENATE(TEXT(DataSheet!AM73,"0.0")," ",DataSheet!P73)</f>
        <v>#DIV/0!</v>
      </c>
      <c r="N122" s="233"/>
      <c r="O122" s="233"/>
      <c r="P122" s="233"/>
      <c r="Q122" s="233" t="e">
        <f>CONCATENATE(TEXT(DataSheet!AR73,"0.0")," ",DataSheet!P73)</f>
        <v>#DIV/0!</v>
      </c>
      <c r="R122" s="233"/>
      <c r="S122" s="233"/>
      <c r="T122" s="233"/>
      <c r="U122" s="233" t="e">
        <f>CONCATENATE(" ",TEXT(DataSheet!DD73,"0.000")," ",DataSheet!CZ73)</f>
        <v>#DIV/0!</v>
      </c>
      <c r="V122" s="233"/>
      <c r="W122" s="233"/>
      <c r="X122" s="233"/>
    </row>
    <row r="123" spans="3:24" ht="15" customHeight="1">
      <c r="C123" s="19"/>
      <c r="E123" s="233"/>
      <c r="F123" s="233"/>
      <c r="G123" s="233"/>
      <c r="H123" s="233"/>
      <c r="I123" s="233" t="str">
        <f>CONCATENATE(DataSheet!L74," ",DataSheet!P74," / ",DataSheet!S74)</f>
        <v>60 mV / 1 kHz</v>
      </c>
      <c r="J123" s="233"/>
      <c r="K123" s="233"/>
      <c r="L123" s="233"/>
      <c r="M123" s="233" t="e">
        <f>CONCATENATE(TEXT(DataSheet!AM74,"0.0")," ",DataSheet!P74)</f>
        <v>#DIV/0!</v>
      </c>
      <c r="N123" s="233"/>
      <c r="O123" s="233"/>
      <c r="P123" s="233"/>
      <c r="Q123" s="233" t="e">
        <f>CONCATENATE(TEXT(DataSheet!AR74,"0.0")," ",DataSheet!P74)</f>
        <v>#DIV/0!</v>
      </c>
      <c r="R123" s="233"/>
      <c r="S123" s="233"/>
      <c r="T123" s="233"/>
      <c r="U123" s="233" t="e">
        <f>CONCATENATE(" ",TEXT(DataSheet!DD74,"0.000")," ",DataSheet!CZ74)</f>
        <v>#DIV/0!</v>
      </c>
      <c r="V123" s="233"/>
      <c r="W123" s="233"/>
      <c r="X123" s="233"/>
    </row>
    <row r="124" spans="3:24" ht="15" customHeight="1">
      <c r="C124" s="19"/>
      <c r="E124" s="233"/>
      <c r="F124" s="233"/>
      <c r="G124" s="233"/>
      <c r="H124" s="233"/>
      <c r="I124" s="233" t="str">
        <f>CONCATENATE(DataSheet!L75," ",DataSheet!P75," / ",DataSheet!S75)</f>
        <v>540 mV / 50 Hz</v>
      </c>
      <c r="J124" s="233"/>
      <c r="K124" s="233"/>
      <c r="L124" s="233"/>
      <c r="M124" s="233" t="e">
        <f>CONCATENATE(TEXT(DataSheet!AM75,"0.0")," ",DataSheet!P75)</f>
        <v>#DIV/0!</v>
      </c>
      <c r="N124" s="233"/>
      <c r="O124" s="233"/>
      <c r="P124" s="233"/>
      <c r="Q124" s="233" t="e">
        <f>CONCATENATE(TEXT(DataSheet!AR75,"0.0")," ",DataSheet!P75)</f>
        <v>#DIV/0!</v>
      </c>
      <c r="R124" s="233"/>
      <c r="S124" s="233"/>
      <c r="T124" s="233"/>
      <c r="U124" s="233" t="e">
        <f>CONCATENATE(" ",TEXT(DataSheet!DD75,"0.00")," ",DataSheet!CZ75)</f>
        <v>#DIV/0!</v>
      </c>
      <c r="V124" s="233"/>
      <c r="W124" s="233"/>
      <c r="X124" s="233"/>
    </row>
    <row r="125" spans="3:24" ht="15" customHeight="1">
      <c r="C125" s="19"/>
      <c r="E125" s="233"/>
      <c r="F125" s="233"/>
      <c r="G125" s="233"/>
      <c r="H125" s="233"/>
      <c r="I125" s="233" t="str">
        <f>CONCATENATE(DataSheet!L76," ",DataSheet!P76," / ",DataSheet!S76)</f>
        <v>540 mV / 1 kHz</v>
      </c>
      <c r="J125" s="233"/>
      <c r="K125" s="233"/>
      <c r="L125" s="233"/>
      <c r="M125" s="233" t="e">
        <f>CONCATENATE(TEXT(DataSheet!AM76,"0.0")," ",DataSheet!P76)</f>
        <v>#DIV/0!</v>
      </c>
      <c r="N125" s="233"/>
      <c r="O125" s="233"/>
      <c r="P125" s="233"/>
      <c r="Q125" s="233" t="e">
        <f>CONCATENATE(TEXT(DataSheet!AR76,"0.0")," ",DataSheet!P76)</f>
        <v>#DIV/0!</v>
      </c>
      <c r="R125" s="233"/>
      <c r="S125" s="233"/>
      <c r="T125" s="233"/>
      <c r="U125" s="233" t="e">
        <f>CONCATENATE(" ",TEXT(DataSheet!DD76,"0.00")," ",DataSheet!CZ76)</f>
        <v>#DIV/0!</v>
      </c>
      <c r="V125" s="233"/>
      <c r="W125" s="233"/>
      <c r="X125" s="233"/>
    </row>
    <row r="126" spans="3:24" ht="15" customHeight="1">
      <c r="C126" s="19"/>
      <c r="E126" s="233" t="str">
        <f>DataSheet!F77</f>
        <v>6 V</v>
      </c>
      <c r="F126" s="233"/>
      <c r="G126" s="233"/>
      <c r="H126" s="233"/>
      <c r="I126" s="233" t="str">
        <f>CONCATENATE(DataSheet!L77," ",DataSheet!P77," / ",DataSheet!S77)</f>
        <v>0.6 V / 50 Hz</v>
      </c>
      <c r="J126" s="233"/>
      <c r="K126" s="233"/>
      <c r="L126" s="233"/>
      <c r="M126" s="233" t="e">
        <f>CONCATENATE(TEXT(DataSheet!AM77,"0.000")," ",DataSheet!P77)</f>
        <v>#DIV/0!</v>
      </c>
      <c r="N126" s="233"/>
      <c r="O126" s="233"/>
      <c r="P126" s="233"/>
      <c r="Q126" s="233" t="e">
        <f>CONCATENATE(TEXT(DataSheet!AR77,"0.000")," ",DataSheet!P77)</f>
        <v>#DIV/0!</v>
      </c>
      <c r="R126" s="233"/>
      <c r="S126" s="233"/>
      <c r="T126" s="233"/>
      <c r="U126" s="233" t="e">
        <f>CONCATENATE(" ",TEXT(DataSheet!DD77,"0.000 0")," ",DataSheet!CZ77)</f>
        <v>#DIV/0!</v>
      </c>
      <c r="V126" s="233"/>
      <c r="W126" s="233"/>
      <c r="X126" s="233"/>
    </row>
    <row r="127" spans="3:24" ht="15" customHeight="1">
      <c r="C127" s="19"/>
      <c r="E127" s="233"/>
      <c r="F127" s="233"/>
      <c r="G127" s="233"/>
      <c r="H127" s="233"/>
      <c r="I127" s="233" t="str">
        <f>CONCATENATE(DataSheet!L78," ",DataSheet!P78," / ",DataSheet!S78)</f>
        <v>0.6 V / 1 kHz</v>
      </c>
      <c r="J127" s="233"/>
      <c r="K127" s="233"/>
      <c r="L127" s="233"/>
      <c r="M127" s="233" t="e">
        <f>CONCATENATE(TEXT(DataSheet!AM78,"0.000")," ",DataSheet!P78)</f>
        <v>#DIV/0!</v>
      </c>
      <c r="N127" s="233"/>
      <c r="O127" s="233"/>
      <c r="P127" s="233"/>
      <c r="Q127" s="233" t="e">
        <f>CONCATENATE(TEXT(DataSheet!AR78,"0.000")," ",DataSheet!P78)</f>
        <v>#DIV/0!</v>
      </c>
      <c r="R127" s="233"/>
      <c r="S127" s="233"/>
      <c r="T127" s="233"/>
      <c r="U127" s="233" t="e">
        <f>CONCATENATE(" ",TEXT(DataSheet!DD78,"0.000 0")," ",DataSheet!CZ78)</f>
        <v>#DIV/0!</v>
      </c>
      <c r="V127" s="233"/>
      <c r="W127" s="233"/>
      <c r="X127" s="233"/>
    </row>
    <row r="128" spans="3:24" ht="15" customHeight="1">
      <c r="C128" s="19"/>
      <c r="E128" s="233"/>
      <c r="F128" s="233"/>
      <c r="G128" s="233"/>
      <c r="H128" s="233"/>
      <c r="I128" s="233" t="str">
        <f>CONCATENATE(DataSheet!L79," ",DataSheet!P79," / ",DataSheet!S79)</f>
        <v>5.4 V / 50 Hz</v>
      </c>
      <c r="J128" s="233"/>
      <c r="K128" s="233"/>
      <c r="L128" s="233"/>
      <c r="M128" s="233" t="e">
        <f>CONCATENATE(TEXT(DataSheet!AM79,"0.000")," ",DataSheet!P79)</f>
        <v>#DIV/0!</v>
      </c>
      <c r="N128" s="233"/>
      <c r="O128" s="233"/>
      <c r="P128" s="233"/>
      <c r="Q128" s="233" t="e">
        <f>CONCATENATE(TEXT(DataSheet!AR79,"0.000")," ",DataSheet!P79)</f>
        <v>#DIV/0!</v>
      </c>
      <c r="R128" s="233"/>
      <c r="S128" s="233"/>
      <c r="T128" s="233"/>
      <c r="U128" s="233" t="e">
        <f>CONCATENATE(" ",TEXT(DataSheet!DD79,"0.000 0")," ",DataSheet!CZ79)</f>
        <v>#DIV/0!</v>
      </c>
      <c r="V128" s="233"/>
      <c r="W128" s="233"/>
      <c r="X128" s="233"/>
    </row>
    <row r="129" spans="1:26" ht="15" customHeight="1">
      <c r="C129" s="19"/>
      <c r="E129" s="233"/>
      <c r="F129" s="233"/>
      <c r="G129" s="233"/>
      <c r="H129" s="233"/>
      <c r="I129" s="233" t="str">
        <f>CONCATENATE(DataSheet!L80," ",DataSheet!P80," / ",DataSheet!S80)</f>
        <v>5.4 V / 1 kHz</v>
      </c>
      <c r="J129" s="233"/>
      <c r="K129" s="233"/>
      <c r="L129" s="233"/>
      <c r="M129" s="233" t="e">
        <f>CONCATENATE(TEXT(DataSheet!AM80,"0.000")," ",DataSheet!P80)</f>
        <v>#DIV/0!</v>
      </c>
      <c r="N129" s="233"/>
      <c r="O129" s="233"/>
      <c r="P129" s="233"/>
      <c r="Q129" s="233" t="e">
        <f>CONCATENATE(TEXT(DataSheet!AR80,"0.000")," ",DataSheet!P80)</f>
        <v>#DIV/0!</v>
      </c>
      <c r="R129" s="233"/>
      <c r="S129" s="233"/>
      <c r="T129" s="233"/>
      <c r="U129" s="233" t="e">
        <f>CONCATENATE(" ",TEXT(DataSheet!DD80,"0.000 0")," ",DataSheet!CZ80)</f>
        <v>#DIV/0!</v>
      </c>
      <c r="V129" s="233"/>
      <c r="W129" s="233"/>
      <c r="X129" s="233"/>
    </row>
    <row r="130" spans="1:26" ht="15" customHeight="1">
      <c r="C130" s="19"/>
      <c r="E130" s="233" t="str">
        <f>DataSheet!F81</f>
        <v>60 V</v>
      </c>
      <c r="F130" s="233"/>
      <c r="G130" s="233"/>
      <c r="H130" s="233"/>
      <c r="I130" s="233" t="str">
        <f>CONCATENATE(DataSheet!L81," ",DataSheet!P81," / ",DataSheet!S81)</f>
        <v>6 V / 50 Hz</v>
      </c>
      <c r="J130" s="233"/>
      <c r="K130" s="233"/>
      <c r="L130" s="233"/>
      <c r="M130" s="233" t="e">
        <f>CONCATENATE(TEXT(DataSheet!AM81,"0.00")," ",DataSheet!P81)</f>
        <v>#DIV/0!</v>
      </c>
      <c r="N130" s="233"/>
      <c r="O130" s="233"/>
      <c r="P130" s="233"/>
      <c r="Q130" s="233" t="e">
        <f>CONCATENATE(TEXT(DataSheet!AR81,"0.00")," ",DataSheet!P81)</f>
        <v>#DIV/0!</v>
      </c>
      <c r="R130" s="233"/>
      <c r="S130" s="233"/>
      <c r="T130" s="233"/>
      <c r="U130" s="233" t="e">
        <f>CONCATENATE(" ",TEXT(DataSheet!DD81,"0.000 0")," ",DataSheet!CZ81)</f>
        <v>#DIV/0!</v>
      </c>
      <c r="V130" s="233"/>
      <c r="W130" s="233"/>
      <c r="X130" s="233"/>
    </row>
    <row r="131" spans="1:26" ht="15" customHeight="1">
      <c r="C131" s="19"/>
      <c r="E131" s="233"/>
      <c r="F131" s="233"/>
      <c r="G131" s="233"/>
      <c r="H131" s="233"/>
      <c r="I131" s="233" t="str">
        <f>CONCATENATE(DataSheet!L82," ",DataSheet!P82," / ",DataSheet!S82)</f>
        <v>6 V / 1 kHz</v>
      </c>
      <c r="J131" s="233"/>
      <c r="K131" s="233"/>
      <c r="L131" s="233"/>
      <c r="M131" s="233" t="e">
        <f>CONCATENATE(TEXT(DataSheet!AM82,"0.00")," ",DataSheet!P82)</f>
        <v>#DIV/0!</v>
      </c>
      <c r="N131" s="233"/>
      <c r="O131" s="233"/>
      <c r="P131" s="233"/>
      <c r="Q131" s="233" t="e">
        <f>CONCATENATE(TEXT(DataSheet!AR82,"0.00")," ",DataSheet!P82)</f>
        <v>#DIV/0!</v>
      </c>
      <c r="R131" s="233"/>
      <c r="S131" s="233"/>
      <c r="T131" s="233"/>
      <c r="U131" s="233" t="e">
        <f>CONCATENATE(" ",TEXT(DataSheet!DD82,"0.000 0")," ",DataSheet!CZ82)</f>
        <v>#DIV/0!</v>
      </c>
      <c r="V131" s="233"/>
      <c r="W131" s="233"/>
      <c r="X131" s="233"/>
    </row>
    <row r="132" spans="1:26" ht="15" customHeight="1">
      <c r="C132" s="19"/>
      <c r="E132" s="233"/>
      <c r="F132" s="233"/>
      <c r="G132" s="233"/>
      <c r="H132" s="233"/>
      <c r="I132" s="233" t="str">
        <f>CONCATENATE(DataSheet!L83," ",DataSheet!P83," / ",DataSheet!S83)</f>
        <v>30 V / 50 Hz</v>
      </c>
      <c r="J132" s="233"/>
      <c r="K132" s="233"/>
      <c r="L132" s="233"/>
      <c r="M132" s="233" t="e">
        <f>CONCATENATE(TEXT(DataSheet!AM83,"0.00")," ",DataSheet!P83)</f>
        <v>#DIV/0!</v>
      </c>
      <c r="N132" s="233"/>
      <c r="O132" s="233"/>
      <c r="P132" s="233"/>
      <c r="Q132" s="233" t="e">
        <f>CONCATENATE(TEXT(DataSheet!AR83,"0.00")," ",DataSheet!P83)</f>
        <v>#DIV/0!</v>
      </c>
      <c r="R132" s="233"/>
      <c r="S132" s="233"/>
      <c r="T132" s="233"/>
      <c r="U132" s="233" t="e">
        <f>CONCATENATE(" ",TEXT(DataSheet!DD83,"0.000 0")," ",DataSheet!CZ83)</f>
        <v>#DIV/0!</v>
      </c>
      <c r="V132" s="233"/>
      <c r="W132" s="233"/>
      <c r="X132" s="233"/>
    </row>
    <row r="133" spans="1:26" ht="15" customHeight="1">
      <c r="C133" s="19"/>
      <c r="E133" s="233"/>
      <c r="F133" s="233"/>
      <c r="G133" s="233"/>
      <c r="H133" s="233"/>
      <c r="I133" s="233" t="str">
        <f>CONCATENATE(DataSheet!L84," ",DataSheet!P84," / ",DataSheet!S84)</f>
        <v>30 V / 1 kHz</v>
      </c>
      <c r="J133" s="233"/>
      <c r="K133" s="233"/>
      <c r="L133" s="233"/>
      <c r="M133" s="233" t="e">
        <f>CONCATENATE(TEXT(DataSheet!AM84,"0.00")," ",DataSheet!P84)</f>
        <v>#DIV/0!</v>
      </c>
      <c r="N133" s="233"/>
      <c r="O133" s="233"/>
      <c r="P133" s="233"/>
      <c r="Q133" s="233" t="e">
        <f>CONCATENATE(TEXT(DataSheet!AR84,"0.00")," ",DataSheet!P84)</f>
        <v>#DIV/0!</v>
      </c>
      <c r="R133" s="233"/>
      <c r="S133" s="233"/>
      <c r="T133" s="233"/>
      <c r="U133" s="233" t="e">
        <f>CONCATENATE(" ",TEXT(DataSheet!DD84,"0.000 0")," ",DataSheet!CZ84)</f>
        <v>#DIV/0!</v>
      </c>
      <c r="V133" s="233"/>
      <c r="W133" s="233"/>
      <c r="X133" s="233"/>
    </row>
    <row r="134" spans="1:26" ht="15" customHeight="1">
      <c r="C134" s="19"/>
      <c r="E134" s="233"/>
      <c r="F134" s="233"/>
      <c r="G134" s="233"/>
      <c r="H134" s="233"/>
      <c r="I134" s="233" t="str">
        <f>CONCATENATE(DataSheet!L85," ",DataSheet!P85," / ",DataSheet!S85)</f>
        <v>54 V / 50 Hz</v>
      </c>
      <c r="J134" s="233"/>
      <c r="K134" s="233"/>
      <c r="L134" s="233"/>
      <c r="M134" s="233" t="e">
        <f>CONCATENATE(TEXT(DataSheet!AM85,"0.00")," ",DataSheet!P85)</f>
        <v>#DIV/0!</v>
      </c>
      <c r="N134" s="233"/>
      <c r="O134" s="233"/>
      <c r="P134" s="233"/>
      <c r="Q134" s="233" t="e">
        <f>CONCATENATE(TEXT(DataSheet!AR85,"0.00")," ",DataSheet!P85)</f>
        <v>#DIV/0!</v>
      </c>
      <c r="R134" s="233"/>
      <c r="S134" s="233"/>
      <c r="T134" s="233"/>
      <c r="U134" s="233" t="e">
        <f>CONCATENATE(" ",TEXT(DataSheet!DD85,"0.000 0")," ",DataSheet!CZ85)</f>
        <v>#DIV/0!</v>
      </c>
      <c r="V134" s="233"/>
      <c r="W134" s="233"/>
      <c r="X134" s="233"/>
    </row>
    <row r="135" spans="1:26" ht="15" customHeight="1">
      <c r="C135" s="19"/>
      <c r="E135" s="233"/>
      <c r="F135" s="233"/>
      <c r="G135" s="233"/>
      <c r="H135" s="233"/>
      <c r="I135" s="233" t="str">
        <f>CONCATENATE(DataSheet!L86," ",DataSheet!P86," / ",DataSheet!S86)</f>
        <v>54 V / 1 kHz</v>
      </c>
      <c r="J135" s="233"/>
      <c r="K135" s="233"/>
      <c r="L135" s="233"/>
      <c r="M135" s="233" t="e">
        <f>CONCATENATE(TEXT(DataSheet!AM86,"0.00")," ",DataSheet!P86)</f>
        <v>#DIV/0!</v>
      </c>
      <c r="N135" s="233"/>
      <c r="O135" s="233"/>
      <c r="P135" s="233"/>
      <c r="Q135" s="233" t="e">
        <f>CONCATENATE(TEXT(DataSheet!AR86,"0.00")," ",DataSheet!P86)</f>
        <v>#DIV/0!</v>
      </c>
      <c r="R135" s="233"/>
      <c r="S135" s="233"/>
      <c r="T135" s="233"/>
      <c r="U135" s="233" t="e">
        <f>CONCATENATE(" ",TEXT(DataSheet!DD86,"0.000 0")," ",DataSheet!CZ86)</f>
        <v>#DIV/0!</v>
      </c>
      <c r="V135" s="233"/>
      <c r="W135" s="233"/>
      <c r="X135" s="233"/>
    </row>
    <row r="136" spans="1:26" ht="15" customHeight="1">
      <c r="C136" s="19"/>
      <c r="E136" s="233" t="str">
        <f>DataSheet!F87</f>
        <v>600 V</v>
      </c>
      <c r="F136" s="233"/>
      <c r="G136" s="233"/>
      <c r="H136" s="233"/>
      <c r="I136" s="233" t="str">
        <f>CONCATENATE(DataSheet!L87," ",DataSheet!P87," / ",DataSheet!S87)</f>
        <v>60 V / 50 Hz</v>
      </c>
      <c r="J136" s="233"/>
      <c r="K136" s="233"/>
      <c r="L136" s="233"/>
      <c r="M136" s="233" t="e">
        <f>CONCATENATE(TEXT(DataSheet!AM87,"0.0")," ",DataSheet!P87)</f>
        <v>#DIV/0!</v>
      </c>
      <c r="N136" s="233"/>
      <c r="O136" s="233"/>
      <c r="P136" s="233"/>
      <c r="Q136" s="233" t="e">
        <f>CONCATENATE(TEXT(DataSheet!AR87,"0.0")," ",DataSheet!P87)</f>
        <v>#DIV/0!</v>
      </c>
      <c r="R136" s="233"/>
      <c r="S136" s="233"/>
      <c r="T136" s="233"/>
      <c r="U136" s="233" t="e">
        <f>CONCATENATE(" ",TEXT(DataSheet!DD87,"0.000")," ",DataSheet!CZ87)</f>
        <v>#DIV/0!</v>
      </c>
      <c r="V136" s="233"/>
      <c r="W136" s="233"/>
      <c r="X136" s="233"/>
    </row>
    <row r="137" spans="1:26" ht="15" customHeight="1">
      <c r="C137" s="19"/>
      <c r="E137" s="233"/>
      <c r="F137" s="233"/>
      <c r="G137" s="233"/>
      <c r="H137" s="233"/>
      <c r="I137" s="233" t="str">
        <f>CONCATENATE(DataSheet!L88," ",DataSheet!P88," / ",DataSheet!S88)</f>
        <v>60 V / 1 kHz</v>
      </c>
      <c r="J137" s="233"/>
      <c r="K137" s="233"/>
      <c r="L137" s="233"/>
      <c r="M137" s="233" t="e">
        <f>CONCATENATE(TEXT(DataSheet!AM88,"0.0")," ",DataSheet!P88)</f>
        <v>#DIV/0!</v>
      </c>
      <c r="N137" s="233"/>
      <c r="O137" s="233"/>
      <c r="P137" s="233"/>
      <c r="Q137" s="233" t="e">
        <f>CONCATENATE(TEXT(DataSheet!AR88,"0.0")," ",DataSheet!P88)</f>
        <v>#DIV/0!</v>
      </c>
      <c r="R137" s="233"/>
      <c r="S137" s="233"/>
      <c r="T137" s="233"/>
      <c r="U137" s="233" t="e">
        <f>CONCATENATE(" ",TEXT(DataSheet!DD88,"0.000")," ",DataSheet!CZ88)</f>
        <v>#DIV/0!</v>
      </c>
      <c r="V137" s="233"/>
      <c r="W137" s="233"/>
      <c r="X137" s="233"/>
    </row>
    <row r="138" spans="1:26" ht="15" customHeight="1">
      <c r="C138" s="28"/>
      <c r="D138" s="28"/>
      <c r="E138" s="233"/>
      <c r="F138" s="233"/>
      <c r="G138" s="233"/>
      <c r="H138" s="233"/>
      <c r="I138" s="233" t="str">
        <f>CONCATENATE(DataSheet!L89," ",DataSheet!P89," / ",DataSheet!S89)</f>
        <v>540 V / 50 Hz</v>
      </c>
      <c r="J138" s="233"/>
      <c r="K138" s="233"/>
      <c r="L138" s="233"/>
      <c r="M138" s="233" t="e">
        <f>CONCATENATE(TEXT(DataSheet!AM89,"0.0")," ",DataSheet!P89)</f>
        <v>#DIV/0!</v>
      </c>
      <c r="N138" s="233"/>
      <c r="O138" s="233"/>
      <c r="P138" s="233"/>
      <c r="Q138" s="233" t="e">
        <f>CONCATENATE(TEXT(DataSheet!AR89,"0.0")," ",DataSheet!P89)</f>
        <v>#DIV/0!</v>
      </c>
      <c r="R138" s="233"/>
      <c r="S138" s="233"/>
      <c r="T138" s="233"/>
      <c r="U138" s="233" t="e">
        <f>CONCATENATE(" ",TEXT(DataSheet!DD89,"0.000")," ",DataSheet!CZ89)</f>
        <v>#DIV/0!</v>
      </c>
      <c r="V138" s="233"/>
      <c r="W138" s="233"/>
      <c r="X138" s="233"/>
      <c r="Y138" s="28"/>
      <c r="Z138" s="28"/>
    </row>
    <row r="139" spans="1:26" ht="15" customHeight="1">
      <c r="C139" s="28"/>
      <c r="D139" s="28"/>
      <c r="E139" s="233"/>
      <c r="F139" s="233"/>
      <c r="G139" s="233"/>
      <c r="H139" s="233"/>
      <c r="I139" s="233" t="str">
        <f>CONCATENATE(DataSheet!L90," ",DataSheet!P90," / ",DataSheet!S90)</f>
        <v>540 V / 1 kHz</v>
      </c>
      <c r="J139" s="233"/>
      <c r="K139" s="233"/>
      <c r="L139" s="233"/>
      <c r="M139" s="233" t="e">
        <f>CONCATENATE(TEXT(DataSheet!AM90,"0.0")," ",DataSheet!P90)</f>
        <v>#DIV/0!</v>
      </c>
      <c r="N139" s="233"/>
      <c r="O139" s="233"/>
      <c r="P139" s="233"/>
      <c r="Q139" s="233" t="e">
        <f>CONCATENATE(TEXT(DataSheet!AR90,"0.0")," ",DataSheet!P90)</f>
        <v>#DIV/0!</v>
      </c>
      <c r="R139" s="233"/>
      <c r="S139" s="233"/>
      <c r="T139" s="233"/>
      <c r="U139" s="233" t="e">
        <f>CONCATENATE(" ",TEXT(DataSheet!DD90,"0.000")," ",DataSheet!CZ90)</f>
        <v>#DIV/0!</v>
      </c>
      <c r="V139" s="233"/>
      <c r="W139" s="233"/>
      <c r="X139" s="233"/>
    </row>
    <row r="140" spans="1:26" ht="15" customHeight="1"/>
    <row r="141" spans="1:26" s="59" customFormat="1" ht="15" customHeight="1">
      <c r="A141" s="58"/>
      <c r="E141" s="60" t="str">
        <f>DataSheet!F103</f>
        <v>DC Current Test</v>
      </c>
      <c r="F141" s="61"/>
      <c r="G141" s="61"/>
      <c r="H141" s="61"/>
      <c r="I141" s="60"/>
      <c r="J141" s="61"/>
      <c r="K141" s="61"/>
      <c r="L141" s="61"/>
      <c r="M141" s="61"/>
      <c r="N141" s="61"/>
      <c r="O141" s="61"/>
      <c r="P141" s="61"/>
      <c r="Q141" s="61"/>
      <c r="R141" s="61"/>
      <c r="S141" s="61"/>
      <c r="T141" s="61"/>
      <c r="U141" s="61"/>
      <c r="V141" s="61"/>
      <c r="W141" s="61"/>
      <c r="X141" s="61"/>
    </row>
    <row r="142" spans="1:26" s="59" customFormat="1" ht="15" customHeight="1">
      <c r="A142" s="58"/>
      <c r="E142" s="244" t="s">
        <v>27</v>
      </c>
      <c r="F142" s="244"/>
      <c r="G142" s="244"/>
      <c r="H142" s="244"/>
      <c r="I142" s="244" t="s">
        <v>28</v>
      </c>
      <c r="J142" s="244"/>
      <c r="K142" s="244"/>
      <c r="L142" s="244"/>
      <c r="M142" s="243" t="s">
        <v>74</v>
      </c>
      <c r="N142" s="244"/>
      <c r="O142" s="244"/>
      <c r="P142" s="244"/>
      <c r="Q142" s="244" t="s">
        <v>29</v>
      </c>
      <c r="R142" s="244"/>
      <c r="S142" s="244"/>
      <c r="T142" s="244"/>
      <c r="U142" s="243" t="s">
        <v>116</v>
      </c>
      <c r="V142" s="244"/>
      <c r="W142" s="244"/>
      <c r="X142" s="244"/>
    </row>
    <row r="143" spans="1:26" s="59" customFormat="1" ht="15" customHeight="1">
      <c r="A143" s="58"/>
      <c r="E143" s="244"/>
      <c r="F143" s="244"/>
      <c r="G143" s="244"/>
      <c r="H143" s="244"/>
      <c r="I143" s="244"/>
      <c r="J143" s="244"/>
      <c r="K143" s="244"/>
      <c r="L143" s="244"/>
      <c r="M143" s="244"/>
      <c r="N143" s="244"/>
      <c r="O143" s="244"/>
      <c r="P143" s="244"/>
      <c r="Q143" s="244"/>
      <c r="R143" s="244"/>
      <c r="S143" s="244"/>
      <c r="T143" s="244"/>
      <c r="U143" s="244"/>
      <c r="V143" s="244"/>
      <c r="W143" s="244"/>
      <c r="X143" s="244"/>
    </row>
    <row r="144" spans="1:26" s="59" customFormat="1" ht="15" customHeight="1">
      <c r="A144" s="58"/>
      <c r="E144" s="241" t="str">
        <f>DataSheet!F106</f>
        <v>6 A</v>
      </c>
      <c r="F144" s="241"/>
      <c r="G144" s="241"/>
      <c r="H144" s="241"/>
      <c r="I144" s="241" t="str">
        <f>CONCATENATE(DataSheet!L106," ",DataSheet!P106)</f>
        <v>3 A</v>
      </c>
      <c r="J144" s="241"/>
      <c r="K144" s="241"/>
      <c r="L144" s="241"/>
      <c r="M144" s="241" t="e">
        <f>CONCATENATE(TEXT(DataSheet!AM106,"0.000")," ",DataSheet!P106)</f>
        <v>#DIV/0!</v>
      </c>
      <c r="N144" s="241"/>
      <c r="O144" s="241"/>
      <c r="P144" s="241"/>
      <c r="Q144" s="241" t="e">
        <f>CONCATENATE(TEXT(DataSheet!AR106,"0.000")," ",DataSheet!P106)</f>
        <v>#DIV/0!</v>
      </c>
      <c r="R144" s="241"/>
      <c r="S144" s="241"/>
      <c r="T144" s="241"/>
      <c r="U144" s="241" t="e">
        <f>CONCATENATE(" ",TEXT(DataSheet!DD106,"0.000 0 ")," ",DataSheet!CZ106)</f>
        <v>#DIV/0!</v>
      </c>
      <c r="V144" s="241"/>
      <c r="W144" s="241"/>
      <c r="X144" s="241"/>
    </row>
    <row r="145" spans="1:26" s="59" customFormat="1" ht="15" customHeight="1">
      <c r="A145" s="58"/>
      <c r="E145" s="241"/>
      <c r="F145" s="241"/>
      <c r="G145" s="241"/>
      <c r="H145" s="241"/>
      <c r="I145" s="241" t="str">
        <f>CONCATENATE(DataSheet!L107," ",DataSheet!P107)</f>
        <v>5.4 A</v>
      </c>
      <c r="J145" s="241"/>
      <c r="K145" s="241"/>
      <c r="L145" s="241"/>
      <c r="M145" s="241" t="e">
        <f>CONCATENATE(TEXT(DataSheet!AM107,"0.000")," ",DataSheet!P107)</f>
        <v>#DIV/0!</v>
      </c>
      <c r="N145" s="241"/>
      <c r="O145" s="241"/>
      <c r="P145" s="241"/>
      <c r="Q145" s="241" t="e">
        <f>CONCATENATE(TEXT(DataSheet!AR107,"0.000")," ",DataSheet!P107)</f>
        <v>#DIV/0!</v>
      </c>
      <c r="R145" s="241"/>
      <c r="S145" s="241"/>
      <c r="T145" s="241"/>
      <c r="U145" s="241" t="e">
        <f>CONCATENATE(" ",TEXT(DataSheet!DD107,"0.000 0 ")," ",DataSheet!CZ107)</f>
        <v>#DIV/0!</v>
      </c>
      <c r="V145" s="241"/>
      <c r="W145" s="241"/>
      <c r="X145" s="241"/>
    </row>
    <row r="146" spans="1:26" s="59" customFormat="1" ht="15" customHeight="1">
      <c r="A146" s="58"/>
      <c r="E146" s="259" t="str">
        <f>DataSheet!F108</f>
        <v>10 A</v>
      </c>
      <c r="F146" s="260"/>
      <c r="G146" s="260"/>
      <c r="H146" s="261"/>
      <c r="I146" s="241" t="str">
        <f>CONCATENATE(DataSheet!L108," ",DataSheet!P108)</f>
        <v>5 A</v>
      </c>
      <c r="J146" s="241"/>
      <c r="K146" s="241"/>
      <c r="L146" s="241"/>
      <c r="M146" s="241" t="e">
        <f>CONCATENATE(TEXT(DataSheet!AM108,"0.00")," ",DataSheet!P108)</f>
        <v>#DIV/0!</v>
      </c>
      <c r="N146" s="241"/>
      <c r="O146" s="241"/>
      <c r="P146" s="241"/>
      <c r="Q146" s="241" t="e">
        <f>CONCATENATE(TEXT(DataSheet!AR108,"0.00")," ",DataSheet!P108)</f>
        <v>#DIV/0!</v>
      </c>
      <c r="R146" s="241"/>
      <c r="S146" s="241"/>
      <c r="T146" s="241"/>
      <c r="U146" s="241" t="e">
        <f>CONCATENATE(" ",TEXT(DataSheet!DD108,"0.000 0 ")," ",DataSheet!CZ108)</f>
        <v>#DIV/0!</v>
      </c>
      <c r="V146" s="241"/>
      <c r="W146" s="241"/>
      <c r="X146" s="241"/>
    </row>
    <row r="147" spans="1:26" s="59" customFormat="1" ht="15" customHeight="1">
      <c r="A147" s="58"/>
      <c r="E147" s="262"/>
      <c r="F147" s="263"/>
      <c r="G147" s="263"/>
      <c r="H147" s="264"/>
      <c r="I147" s="241" t="str">
        <f>CONCATENATE(DataSheet!L109," ",DataSheet!P109)</f>
        <v>9 A</v>
      </c>
      <c r="J147" s="241"/>
      <c r="K147" s="241"/>
      <c r="L147" s="241"/>
      <c r="M147" s="241" t="e">
        <f>CONCATENATE(TEXT(DataSheet!AM109,"0.00")," ",DataSheet!P109)</f>
        <v>#DIV/0!</v>
      </c>
      <c r="N147" s="241"/>
      <c r="O147" s="241"/>
      <c r="P147" s="241"/>
      <c r="Q147" s="241" t="e">
        <f>CONCATENATE(TEXT(DataSheet!AR109,"0.00")," ",DataSheet!P109)</f>
        <v>#DIV/0!</v>
      </c>
      <c r="R147" s="241"/>
      <c r="S147" s="241"/>
      <c r="T147" s="241"/>
      <c r="U147" s="241" t="e">
        <f>CONCATENATE(" ",TEXT(DataSheet!DD109,"0.000 0 ")," ",DataSheet!CZ109)</f>
        <v>#DIV/0!</v>
      </c>
      <c r="V147" s="241"/>
      <c r="W147" s="241"/>
      <c r="X147" s="241"/>
    </row>
    <row r="148" spans="1:26" ht="15" customHeight="1">
      <c r="C148" s="28"/>
      <c r="D148" s="28"/>
      <c r="E148" s="22"/>
      <c r="F148" s="22"/>
      <c r="G148" s="22"/>
      <c r="H148" s="22"/>
      <c r="I148" s="22"/>
      <c r="J148" s="22"/>
      <c r="K148" s="22"/>
      <c r="L148" s="22"/>
      <c r="M148" s="22"/>
      <c r="N148" s="22"/>
      <c r="O148" s="22"/>
      <c r="P148" s="22"/>
      <c r="Q148" s="22"/>
      <c r="R148" s="22"/>
      <c r="S148" s="22"/>
      <c r="T148" s="22"/>
      <c r="U148" s="22"/>
      <c r="V148" s="22"/>
      <c r="W148" s="22"/>
      <c r="X148" s="22"/>
    </row>
    <row r="149" spans="1:26" ht="15" customHeight="1">
      <c r="D149" s="59"/>
      <c r="E149" s="60" t="str">
        <f>DataSheet!F111</f>
        <v>AC Current Test</v>
      </c>
      <c r="F149" s="61"/>
      <c r="G149" s="61"/>
      <c r="H149" s="61"/>
      <c r="I149" s="60"/>
      <c r="J149" s="61"/>
      <c r="K149" s="61"/>
      <c r="L149" s="61"/>
      <c r="M149" s="61"/>
      <c r="N149" s="61"/>
      <c r="O149" s="61"/>
      <c r="P149" s="61"/>
      <c r="Q149" s="61"/>
      <c r="R149" s="61"/>
      <c r="S149" s="61"/>
      <c r="T149" s="61"/>
      <c r="U149" s="61"/>
      <c r="V149" s="61"/>
      <c r="W149" s="61"/>
      <c r="X149" s="61"/>
    </row>
    <row r="150" spans="1:26" ht="15" customHeight="1">
      <c r="D150" s="59"/>
      <c r="E150" s="244" t="s">
        <v>27</v>
      </c>
      <c r="F150" s="244"/>
      <c r="G150" s="244"/>
      <c r="H150" s="244"/>
      <c r="I150" s="244" t="s">
        <v>28</v>
      </c>
      <c r="J150" s="244"/>
      <c r="K150" s="244"/>
      <c r="L150" s="244"/>
      <c r="M150" s="243" t="s">
        <v>74</v>
      </c>
      <c r="N150" s="244"/>
      <c r="O150" s="244"/>
      <c r="P150" s="244"/>
      <c r="Q150" s="244" t="s">
        <v>29</v>
      </c>
      <c r="R150" s="244"/>
      <c r="S150" s="244"/>
      <c r="T150" s="244"/>
      <c r="U150" s="243" t="s">
        <v>116</v>
      </c>
      <c r="V150" s="244"/>
      <c r="W150" s="244"/>
      <c r="X150" s="244"/>
    </row>
    <row r="151" spans="1:26" ht="15" customHeight="1">
      <c r="D151" s="59"/>
      <c r="E151" s="244"/>
      <c r="F151" s="244"/>
      <c r="G151" s="244"/>
      <c r="H151" s="244"/>
      <c r="I151" s="244"/>
      <c r="J151" s="244"/>
      <c r="K151" s="244"/>
      <c r="L151" s="244"/>
      <c r="M151" s="244"/>
      <c r="N151" s="244"/>
      <c r="O151" s="244"/>
      <c r="P151" s="244"/>
      <c r="Q151" s="244"/>
      <c r="R151" s="244"/>
      <c r="S151" s="244"/>
      <c r="T151" s="244"/>
      <c r="U151" s="244"/>
      <c r="V151" s="244"/>
      <c r="W151" s="244"/>
      <c r="X151" s="244"/>
    </row>
    <row r="152" spans="1:26" ht="15" customHeight="1">
      <c r="D152" s="59"/>
      <c r="E152" s="241" t="str">
        <f>DataSheet!F114</f>
        <v>6 A</v>
      </c>
      <c r="F152" s="241"/>
      <c r="G152" s="241"/>
      <c r="H152" s="241"/>
      <c r="I152" s="241" t="str">
        <f>CONCATENATE(DataSheet!L114," ",DataSheet!P114," / ",DataSheet!S114)</f>
        <v>5.4 A / 50 Hz</v>
      </c>
      <c r="J152" s="241"/>
      <c r="K152" s="241"/>
      <c r="L152" s="241"/>
      <c r="M152" s="242" t="e">
        <f>CONCATENATE(TEXT(DataSheet!AM114,"0.000")," ",DataSheet!P114)</f>
        <v>#DIV/0!</v>
      </c>
      <c r="N152" s="242"/>
      <c r="O152" s="242"/>
      <c r="P152" s="242"/>
      <c r="Q152" s="242" t="e">
        <f>CONCATENATE(TEXT(DataSheet!AR114,"0.000")," ",DataSheet!P114)</f>
        <v>#DIV/0!</v>
      </c>
      <c r="R152" s="242"/>
      <c r="S152" s="242"/>
      <c r="T152" s="242"/>
      <c r="U152" s="241" t="e">
        <f>CONCATENATE(" ",TEXT(DataSheet!DD114,"0.000 0")," ",DataSheet!CZ114)</f>
        <v>#DIV/0!</v>
      </c>
      <c r="V152" s="241"/>
      <c r="W152" s="241"/>
      <c r="X152" s="241"/>
    </row>
    <row r="153" spans="1:26" ht="15" customHeight="1">
      <c r="D153" s="59"/>
      <c r="E153" s="241"/>
      <c r="F153" s="241"/>
      <c r="G153" s="241"/>
      <c r="H153" s="241"/>
      <c r="I153" s="241" t="str">
        <f>CONCATENATE(DataSheet!L115," ",DataSheet!P115," / ",DataSheet!S115)</f>
        <v>5.4 A / 500 Hz</v>
      </c>
      <c r="J153" s="241"/>
      <c r="K153" s="241"/>
      <c r="L153" s="241"/>
      <c r="M153" s="242" t="e">
        <f>CONCATENATE(TEXT(DataSheet!AM115,"0.000")," ",DataSheet!P115)</f>
        <v>#DIV/0!</v>
      </c>
      <c r="N153" s="242"/>
      <c r="O153" s="242"/>
      <c r="P153" s="242"/>
      <c r="Q153" s="242" t="e">
        <f>CONCATENATE(TEXT(DataSheet!AR115,"0.000")," ",DataSheet!P115)</f>
        <v>#DIV/0!</v>
      </c>
      <c r="R153" s="242"/>
      <c r="S153" s="242"/>
      <c r="T153" s="242"/>
      <c r="U153" s="241" t="e">
        <f>CONCATENATE(" ",TEXT(DataSheet!DD115,"0.000 0")," ",DataSheet!CZ115)</f>
        <v>#DIV/0!</v>
      </c>
      <c r="V153" s="241"/>
      <c r="W153" s="241"/>
      <c r="X153" s="241"/>
    </row>
    <row r="154" spans="1:26" ht="15" customHeight="1">
      <c r="D154" s="59"/>
      <c r="E154" s="241" t="str">
        <f>DataSheet!F116</f>
        <v>10 A</v>
      </c>
      <c r="F154" s="241"/>
      <c r="G154" s="241"/>
      <c r="H154" s="241"/>
      <c r="I154" s="241" t="str">
        <f>CONCATENATE(DataSheet!L116," ",DataSheet!P116," / ",DataSheet!S116)</f>
        <v>9 A / 50 Hz</v>
      </c>
      <c r="J154" s="241"/>
      <c r="K154" s="241"/>
      <c r="L154" s="241"/>
      <c r="M154" s="241" t="e">
        <f>CONCATENATE(TEXT(DataSheet!AM116,"0.00")," ",DataSheet!P116)</f>
        <v>#DIV/0!</v>
      </c>
      <c r="N154" s="241"/>
      <c r="O154" s="241"/>
      <c r="P154" s="241"/>
      <c r="Q154" s="241" t="e">
        <f>CONCATENATE(TEXT(DataSheet!AR116,"0.00")," ",DataSheet!P116)</f>
        <v>#DIV/0!</v>
      </c>
      <c r="R154" s="241"/>
      <c r="S154" s="241"/>
      <c r="T154" s="241"/>
      <c r="U154" s="241" t="e">
        <f>CONCATENATE(" ",TEXT(DataSheet!DD116,"0.000 0")," ",DataSheet!CZ116)</f>
        <v>#DIV/0!</v>
      </c>
      <c r="V154" s="241"/>
      <c r="W154" s="241"/>
      <c r="X154" s="241"/>
    </row>
    <row r="155" spans="1:26" ht="15" customHeight="1">
      <c r="D155" s="59"/>
      <c r="E155" s="241"/>
      <c r="F155" s="241"/>
      <c r="G155" s="241"/>
      <c r="H155" s="241"/>
      <c r="I155" s="241" t="str">
        <f>CONCATENATE(DataSheet!L117," ",DataSheet!P117," / ",DataSheet!S117)</f>
        <v>9 A / 500 Hz</v>
      </c>
      <c r="J155" s="241"/>
      <c r="K155" s="241"/>
      <c r="L155" s="241"/>
      <c r="M155" s="241" t="e">
        <f>CONCATENATE(TEXT(DataSheet!AM117,"0.00")," ",DataSheet!P117)</f>
        <v>#DIV/0!</v>
      </c>
      <c r="N155" s="241"/>
      <c r="O155" s="241"/>
      <c r="P155" s="241"/>
      <c r="Q155" s="241" t="e">
        <f>CONCATENATE(TEXT(DataSheet!AR117,"0.00")," ",DataSheet!P117)</f>
        <v>#DIV/0!</v>
      </c>
      <c r="R155" s="241"/>
      <c r="S155" s="241"/>
      <c r="T155" s="241"/>
      <c r="U155" s="241" t="e">
        <f>CONCATENATE(" ",TEXT(DataSheet!DD117,"0.000 0")," ",DataSheet!CZ117)</f>
        <v>#DIV/0!</v>
      </c>
      <c r="V155" s="241"/>
      <c r="W155" s="241"/>
      <c r="X155" s="241"/>
    </row>
    <row r="156" spans="1:26" ht="15" customHeight="1"/>
    <row r="157" spans="1:26" ht="15" customHeight="1"/>
    <row r="158" spans="1:26" ht="15" customHeight="1">
      <c r="C158" s="245">
        <f>DataSheet!B120</f>
        <v>0</v>
      </c>
      <c r="D158" s="245"/>
      <c r="E158" s="245"/>
      <c r="F158" s="245"/>
      <c r="G158" s="245"/>
      <c r="H158" s="245"/>
      <c r="I158" s="245"/>
      <c r="J158" s="245"/>
      <c r="K158" s="245"/>
      <c r="L158" s="245"/>
      <c r="M158" s="245"/>
      <c r="N158" s="245"/>
      <c r="O158" s="245"/>
      <c r="P158" s="245"/>
      <c r="Q158" s="245"/>
      <c r="R158" s="245"/>
      <c r="S158" s="245"/>
      <c r="T158" s="245"/>
      <c r="U158" s="245"/>
      <c r="V158" s="245"/>
      <c r="W158" s="245"/>
      <c r="X158" s="245"/>
      <c r="Y158" s="245"/>
      <c r="Z158" s="245"/>
    </row>
    <row r="159" spans="1:26" ht="15" customHeight="1">
      <c r="C159" s="246" t="s">
        <v>24</v>
      </c>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row>
    <row r="160" spans="1:26" ht="15" customHeight="1">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spans="3:3" ht="15" customHeight="1">
      <c r="C161" s="20" t="s">
        <v>113</v>
      </c>
    </row>
    <row r="162" spans="3:3" ht="15" customHeight="1"/>
    <row r="163" spans="3:3" ht="15" customHeight="1"/>
    <row r="164" spans="3:3" ht="15" customHeight="1"/>
    <row r="165" spans="3:3" ht="15" customHeight="1"/>
    <row r="166" spans="3:3" ht="15" customHeight="1"/>
    <row r="167" spans="3:3" ht="15" customHeight="1"/>
    <row r="170" spans="3:3" ht="12.75" customHeight="1"/>
    <row r="172" spans="3:3" ht="15" customHeight="1"/>
    <row r="177" ht="12.75" customHeight="1"/>
    <row r="179" ht="12.95" customHeight="1"/>
    <row r="180" ht="12.95" customHeight="1"/>
    <row r="181" ht="12.95" customHeight="1"/>
    <row r="182" ht="12.95" customHeight="1"/>
    <row r="183" ht="15" customHeight="1"/>
    <row r="184" ht="15" customHeight="1"/>
    <row r="188" ht="12.95" customHeight="1"/>
    <row r="189" ht="12.95" customHeight="1"/>
    <row r="190" ht="12.95" customHeight="1"/>
    <row r="191" ht="15" customHeight="1"/>
    <row r="192" ht="15" customHeight="1"/>
    <row r="193" ht="15" customHeight="1"/>
    <row r="197" ht="12.95" customHeight="1"/>
    <row r="198" ht="12.95" customHeight="1"/>
    <row r="199" ht="15" customHeight="1"/>
    <row r="200" ht="15" customHeight="1"/>
    <row r="222" ht="15" customHeight="1"/>
    <row r="223" ht="15" customHeight="1"/>
    <row r="224" ht="15" customHeight="1"/>
  </sheetData>
  <mergeCells count="270">
    <mergeCell ref="I146:L146"/>
    <mergeCell ref="M146:P146"/>
    <mergeCell ref="Q146:T146"/>
    <mergeCell ref="U146:X146"/>
    <mergeCell ref="E146:H147"/>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V40:Z41"/>
    <mergeCell ref="P40:U41"/>
    <mergeCell ref="J40:O41"/>
    <mergeCell ref="D40:I41"/>
    <mergeCell ref="D42:I42"/>
    <mergeCell ref="J42:O42"/>
    <mergeCell ref="P42:U42"/>
    <mergeCell ref="V42:Z42"/>
    <mergeCell ref="R7:U7"/>
    <mergeCell ref="V7:Z7"/>
    <mergeCell ref="P10:Y10"/>
    <mergeCell ref="H15:M15"/>
    <mergeCell ref="H16:M16"/>
    <mergeCell ref="T16:Z16"/>
    <mergeCell ref="H17:M17"/>
    <mergeCell ref="T17:Z17"/>
    <mergeCell ref="H18:M18"/>
    <mergeCell ref="P11:Y12"/>
    <mergeCell ref="T18:Z18"/>
    <mergeCell ref="D11:M13"/>
    <mergeCell ref="C30:Z32"/>
    <mergeCell ref="H19:N19"/>
    <mergeCell ref="T19:Z19"/>
    <mergeCell ref="H20:M20"/>
    <mergeCell ref="O51:Q51"/>
    <mergeCell ref="S54:W54"/>
    <mergeCell ref="E55:K55"/>
    <mergeCell ref="S55:W55"/>
    <mergeCell ref="G57:J57"/>
    <mergeCell ref="I70:L70"/>
    <mergeCell ref="M70:P70"/>
    <mergeCell ref="Q70:T70"/>
    <mergeCell ref="U70:X70"/>
    <mergeCell ref="E54:K54"/>
    <mergeCell ref="I71:L71"/>
    <mergeCell ref="M71:P71"/>
    <mergeCell ref="Q71:T71"/>
    <mergeCell ref="U71:X71"/>
    <mergeCell ref="I72:L72"/>
    <mergeCell ref="M72:P72"/>
    <mergeCell ref="Q72:T72"/>
    <mergeCell ref="U72:X72"/>
    <mergeCell ref="I73:L73"/>
    <mergeCell ref="M73:P73"/>
    <mergeCell ref="Q73:T73"/>
    <mergeCell ref="U73:X73"/>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Q126:T126"/>
    <mergeCell ref="U126:X126"/>
    <mergeCell ref="I127:L127"/>
    <mergeCell ref="M127:P127"/>
    <mergeCell ref="Q127:T127"/>
    <mergeCell ref="U127:X127"/>
    <mergeCell ref="I81:L81"/>
    <mergeCell ref="M81:P81"/>
    <mergeCell ref="Q81:T81"/>
    <mergeCell ref="U81:X81"/>
    <mergeCell ref="I82:L82"/>
    <mergeCell ref="M82:P82"/>
    <mergeCell ref="Q82:T82"/>
    <mergeCell ref="U82:X82"/>
    <mergeCell ref="I88:L88"/>
    <mergeCell ref="M88:P88"/>
    <mergeCell ref="Q88:T88"/>
    <mergeCell ref="U88:X88"/>
    <mergeCell ref="I90:L90"/>
    <mergeCell ref="M90:P90"/>
    <mergeCell ref="Q90:T90"/>
    <mergeCell ref="U90:X90"/>
    <mergeCell ref="I133:L133"/>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Q145:T145"/>
    <mergeCell ref="U145:X145"/>
    <mergeCell ref="I147:L147"/>
    <mergeCell ref="M147:P147"/>
    <mergeCell ref="Q147:T147"/>
    <mergeCell ref="U147:X147"/>
    <mergeCell ref="E93:H93"/>
    <mergeCell ref="I93:L93"/>
    <mergeCell ref="M93:P93"/>
    <mergeCell ref="Q93:T93"/>
    <mergeCell ref="U93:X93"/>
    <mergeCell ref="E94:H94"/>
    <mergeCell ref="I94:L94"/>
    <mergeCell ref="M94:P94"/>
    <mergeCell ref="Q94:T94"/>
    <mergeCell ref="U94:X94"/>
    <mergeCell ref="I144:L144"/>
    <mergeCell ref="M144:P144"/>
    <mergeCell ref="Q144:T144"/>
    <mergeCell ref="U144:X144"/>
    <mergeCell ref="I145:L145"/>
    <mergeCell ref="M145:P145"/>
    <mergeCell ref="E144:H145"/>
    <mergeCell ref="E142:H143"/>
    <mergeCell ref="I142:L143"/>
    <mergeCell ref="M142:P143"/>
    <mergeCell ref="Q142:T143"/>
    <mergeCell ref="U142:X143"/>
    <mergeCell ref="E91:H91"/>
    <mergeCell ref="I91:L91"/>
    <mergeCell ref="M91:P91"/>
    <mergeCell ref="Q91:T91"/>
    <mergeCell ref="U91:X91"/>
    <mergeCell ref="E92:H92"/>
    <mergeCell ref="I92:L92"/>
    <mergeCell ref="M92:P92"/>
    <mergeCell ref="Q92:T92"/>
    <mergeCell ref="U92:X92"/>
    <mergeCell ref="I136:L136"/>
    <mergeCell ref="M136:P136"/>
    <mergeCell ref="Q136:T136"/>
    <mergeCell ref="U136:X136"/>
    <mergeCell ref="I137:L137"/>
    <mergeCell ref="M137:P137"/>
    <mergeCell ref="Q137:T137"/>
    <mergeCell ref="E120:H121"/>
    <mergeCell ref="I120:L121"/>
    <mergeCell ref="M120:P121"/>
    <mergeCell ref="M150:P151"/>
    <mergeCell ref="Q150:T151"/>
    <mergeCell ref="U150:X151"/>
    <mergeCell ref="E154:H155"/>
    <mergeCell ref="E152:H153"/>
    <mergeCell ref="C158:Z158"/>
    <mergeCell ref="C159:Z159"/>
    <mergeCell ref="E126:H129"/>
    <mergeCell ref="E130:H135"/>
    <mergeCell ref="E136:H139"/>
    <mergeCell ref="E150:H151"/>
    <mergeCell ref="I150:L151"/>
    <mergeCell ref="I152:L152"/>
    <mergeCell ref="M152:P152"/>
    <mergeCell ref="Q152:T152"/>
    <mergeCell ref="U152:X152"/>
    <mergeCell ref="I131:L131"/>
    <mergeCell ref="M131:P131"/>
    <mergeCell ref="Q131:T131"/>
    <mergeCell ref="U131:X131"/>
    <mergeCell ref="I132:L132"/>
    <mergeCell ref="I155:L155"/>
    <mergeCell ref="M155:P155"/>
    <mergeCell ref="Q155:T155"/>
    <mergeCell ref="U155:X155"/>
    <mergeCell ref="I153:L153"/>
    <mergeCell ref="M153:P153"/>
    <mergeCell ref="Q153:T153"/>
    <mergeCell ref="U153:X153"/>
    <mergeCell ref="I154:L154"/>
    <mergeCell ref="M154:P154"/>
    <mergeCell ref="Q154:T154"/>
    <mergeCell ref="U154:X154"/>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E88:H89"/>
    <mergeCell ref="I89:L89"/>
    <mergeCell ref="M89:P89"/>
    <mergeCell ref="Q89:T89"/>
    <mergeCell ref="U89:X89"/>
    <mergeCell ref="E90:H90"/>
    <mergeCell ref="E81:H83"/>
    <mergeCell ref="I83:L83"/>
    <mergeCell ref="M83:P83"/>
    <mergeCell ref="Q83:T83"/>
    <mergeCell ref="U83:X83"/>
    <mergeCell ref="E86:H87"/>
    <mergeCell ref="I86:L87"/>
    <mergeCell ref="M86:P87"/>
    <mergeCell ref="Q86:T87"/>
    <mergeCell ref="U86:X87"/>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E167"/>
  <sheetViews>
    <sheetView tabSelected="1" topLeftCell="A2" zoomScaleNormal="100" workbookViewId="0">
      <selection activeCell="B124" sqref="B124:T124"/>
    </sheetView>
  </sheetViews>
  <sheetFormatPr defaultColWidth="9.140625" defaultRowHeight="0" customHeight="1" zeroHeight="1"/>
  <cols>
    <col min="1" max="1" width="5.5703125" style="122" customWidth="1"/>
    <col min="2" max="52" width="2" style="126" customWidth="1"/>
    <col min="53" max="53" width="1.85546875" style="122" customWidth="1"/>
    <col min="54" max="74" width="2" style="122" customWidth="1"/>
    <col min="75" max="75" width="2" style="126" customWidth="1"/>
    <col min="76" max="80" width="10.7109375" style="126" customWidth="1"/>
    <col min="81" max="81" width="2" style="126" customWidth="1"/>
    <col min="82" max="86" width="10.7109375" style="126" customWidth="1"/>
    <col min="87" max="87" width="2" style="126" customWidth="1"/>
    <col min="88" max="92" width="10.7109375" style="126" customWidth="1"/>
    <col min="93" max="93" width="2" style="126" customWidth="1"/>
    <col min="94" max="98" width="10.7109375" style="126" customWidth="1"/>
    <col min="99" max="99" width="2" style="126" customWidth="1"/>
    <col min="100" max="102" width="20.7109375" style="126" customWidth="1"/>
    <col min="103" max="103" width="15.7109375" style="126" customWidth="1"/>
    <col min="104" max="104" width="5.7109375" style="126" customWidth="1"/>
    <col min="105" max="105" width="2" style="126" customWidth="1"/>
    <col min="106" max="109" width="10.7109375" style="126" customWidth="1"/>
    <col min="110" max="16384" width="9.140625" style="126"/>
  </cols>
  <sheetData>
    <row r="2" spans="1:74" ht="15">
      <c r="B2" s="123"/>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5"/>
    </row>
    <row r="3" spans="1:74" ht="15">
      <c r="B3" s="127"/>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8"/>
      <c r="AW3" s="128"/>
      <c r="AX3" s="128"/>
      <c r="AY3" s="128"/>
      <c r="AZ3" s="129"/>
    </row>
    <row r="4" spans="1:74" ht="15">
      <c r="B4" s="127"/>
      <c r="C4" s="128"/>
      <c r="D4" s="128"/>
      <c r="E4" s="128"/>
      <c r="F4" s="128"/>
      <c r="G4" s="128"/>
      <c r="H4" s="128"/>
      <c r="I4" s="128"/>
      <c r="J4" s="128"/>
      <c r="K4" s="128"/>
      <c r="L4" s="128"/>
      <c r="M4" s="128"/>
      <c r="N4" s="128"/>
      <c r="O4" s="128"/>
      <c r="P4" s="128"/>
      <c r="Q4" s="128"/>
      <c r="R4" s="128"/>
      <c r="S4" s="128"/>
      <c r="T4" s="128"/>
      <c r="U4" s="128"/>
      <c r="V4" s="128"/>
      <c r="W4" s="128"/>
      <c r="X4" s="128"/>
      <c r="Y4" s="128"/>
      <c r="Z4" s="130"/>
      <c r="AA4" s="130"/>
      <c r="AB4" s="130"/>
      <c r="AC4" s="130"/>
      <c r="AD4" s="130"/>
      <c r="AE4" s="130"/>
      <c r="AF4" s="130"/>
      <c r="AG4" s="128"/>
      <c r="AH4" s="128"/>
      <c r="AI4" s="128"/>
      <c r="AJ4" s="128"/>
      <c r="AK4" s="128"/>
      <c r="AL4" s="128"/>
      <c r="AM4" s="128"/>
      <c r="AN4" s="128"/>
      <c r="AO4" s="128"/>
      <c r="AP4" s="128"/>
      <c r="AQ4" s="128"/>
      <c r="AR4" s="128"/>
      <c r="AS4" s="128"/>
      <c r="AT4" s="128"/>
      <c r="AU4" s="128"/>
      <c r="AV4" s="128"/>
      <c r="AW4" s="128"/>
      <c r="AX4" s="128"/>
      <c r="AY4" s="128"/>
      <c r="AZ4" s="129"/>
    </row>
    <row r="5" spans="1:74" ht="18.75">
      <c r="B5" s="131" t="s">
        <v>30</v>
      </c>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9"/>
    </row>
    <row r="6" spans="1:74" ht="6" customHeight="1">
      <c r="B6" s="132"/>
      <c r="C6" s="133"/>
      <c r="D6" s="133"/>
      <c r="E6" s="133"/>
      <c r="F6" s="133" t="s">
        <v>115</v>
      </c>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4"/>
    </row>
    <row r="7" spans="1:74" s="142" customFormat="1" ht="17.25" customHeight="1" thickBot="1">
      <c r="A7" s="135"/>
      <c r="B7" s="136"/>
      <c r="C7" s="137"/>
      <c r="D7" s="137"/>
      <c r="E7" s="137"/>
      <c r="F7" s="138" t="s">
        <v>11</v>
      </c>
      <c r="G7" s="138"/>
      <c r="H7" s="138"/>
      <c r="I7" s="138"/>
      <c r="J7" s="138"/>
      <c r="K7" s="138"/>
      <c r="L7" s="383"/>
      <c r="M7" s="383"/>
      <c r="N7" s="383"/>
      <c r="O7" s="139"/>
      <c r="P7" s="139"/>
      <c r="Q7" s="137"/>
      <c r="R7" s="137"/>
      <c r="S7" s="137"/>
      <c r="T7" s="137"/>
      <c r="U7" s="137"/>
      <c r="V7" s="137"/>
      <c r="W7" s="137"/>
      <c r="X7" s="137"/>
      <c r="Y7" s="137"/>
      <c r="Z7" s="137"/>
      <c r="AA7" s="137"/>
      <c r="AB7" s="137"/>
      <c r="AC7" s="137"/>
      <c r="AD7" s="137"/>
      <c r="AE7" s="137"/>
      <c r="AF7" s="137"/>
      <c r="AG7" s="137"/>
      <c r="AH7" s="137"/>
      <c r="AI7" s="138" t="s">
        <v>31</v>
      </c>
      <c r="AJ7" s="138"/>
      <c r="AK7" s="138"/>
      <c r="AL7" s="138"/>
      <c r="AM7" s="138"/>
      <c r="AN7" s="384"/>
      <c r="AO7" s="384"/>
      <c r="AP7" s="384"/>
      <c r="AQ7" s="139"/>
      <c r="AR7" s="137"/>
      <c r="AS7" s="137"/>
      <c r="AT7" s="137"/>
      <c r="AU7" s="137"/>
      <c r="AV7" s="137"/>
      <c r="AW7" s="137"/>
      <c r="AX7" s="137"/>
      <c r="AY7" s="137"/>
      <c r="AZ7" s="140"/>
      <c r="BA7" s="141"/>
      <c r="BB7" s="141"/>
      <c r="BC7" s="141"/>
      <c r="BD7" s="141"/>
      <c r="BE7" s="141"/>
      <c r="BF7" s="141"/>
      <c r="BG7" s="135"/>
      <c r="BH7" s="135"/>
      <c r="BI7" s="135"/>
      <c r="BJ7" s="135"/>
      <c r="BK7" s="135"/>
      <c r="BL7" s="135"/>
      <c r="BM7" s="135"/>
      <c r="BN7" s="135"/>
      <c r="BO7" s="135"/>
      <c r="BP7" s="135"/>
      <c r="BQ7" s="135"/>
      <c r="BR7" s="135"/>
      <c r="BS7" s="135"/>
      <c r="BT7" s="135"/>
      <c r="BU7" s="135"/>
      <c r="BV7" s="135"/>
    </row>
    <row r="8" spans="1:74" s="142" customFormat="1" ht="15" customHeight="1" thickBot="1">
      <c r="A8" s="135"/>
      <c r="B8" s="385" t="s">
        <v>32</v>
      </c>
      <c r="C8" s="386"/>
      <c r="D8" s="386"/>
      <c r="E8" s="386"/>
      <c r="F8" s="386"/>
      <c r="G8" s="386"/>
      <c r="H8" s="386"/>
      <c r="I8" s="386"/>
      <c r="J8" s="386"/>
      <c r="K8" s="386"/>
      <c r="L8" s="386"/>
      <c r="M8" s="386"/>
      <c r="N8" s="386"/>
      <c r="O8" s="386"/>
      <c r="P8" s="386"/>
      <c r="Q8" s="386"/>
      <c r="R8" s="386"/>
      <c r="S8" s="386"/>
      <c r="T8" s="386"/>
      <c r="U8" s="386"/>
      <c r="V8" s="386"/>
      <c r="W8" s="386"/>
      <c r="X8" s="386"/>
      <c r="Y8" s="386"/>
      <c r="Z8" s="386"/>
      <c r="AA8" s="386"/>
      <c r="AB8" s="386"/>
      <c r="AC8" s="386"/>
      <c r="AD8" s="386"/>
      <c r="AE8" s="386"/>
      <c r="AF8" s="386"/>
      <c r="AG8" s="386"/>
      <c r="AH8" s="386"/>
      <c r="AI8" s="386"/>
      <c r="AJ8" s="386"/>
      <c r="AK8" s="386"/>
      <c r="AL8" s="386"/>
      <c r="AM8" s="386"/>
      <c r="AN8" s="386"/>
      <c r="AO8" s="386"/>
      <c r="AP8" s="386"/>
      <c r="AQ8" s="386"/>
      <c r="AR8" s="386"/>
      <c r="AS8" s="386"/>
      <c r="AT8" s="386"/>
      <c r="AU8" s="386"/>
      <c r="AV8" s="386"/>
      <c r="AW8" s="386"/>
      <c r="AX8" s="386"/>
      <c r="AY8" s="386"/>
      <c r="AZ8" s="387"/>
      <c r="BA8" s="135"/>
      <c r="BB8" s="135"/>
      <c r="BC8" s="135"/>
      <c r="BD8" s="135"/>
      <c r="BE8" s="135"/>
      <c r="BF8" s="135"/>
      <c r="BG8" s="135"/>
      <c r="BH8" s="135"/>
      <c r="BI8" s="135"/>
      <c r="BJ8" s="135"/>
      <c r="BK8" s="135"/>
      <c r="BL8" s="135"/>
      <c r="BM8" s="135"/>
      <c r="BN8" s="135"/>
      <c r="BO8" s="135"/>
      <c r="BP8" s="135"/>
      <c r="BQ8" s="135"/>
      <c r="BR8" s="135"/>
      <c r="BS8" s="135"/>
      <c r="BT8" s="135"/>
      <c r="BU8" s="135"/>
      <c r="BV8" s="135"/>
    </row>
    <row r="9" spans="1:74" s="142" customFormat="1" ht="8.1" customHeight="1">
      <c r="A9" s="135"/>
      <c r="B9" s="303" t="s">
        <v>18</v>
      </c>
      <c r="C9" s="304"/>
      <c r="D9" s="304"/>
      <c r="E9" s="304"/>
      <c r="F9" s="304"/>
      <c r="G9" s="304"/>
      <c r="H9" s="304"/>
      <c r="I9" s="304"/>
      <c r="J9" s="372" t="s">
        <v>33</v>
      </c>
      <c r="K9" s="388" t="s">
        <v>151</v>
      </c>
      <c r="L9" s="388"/>
      <c r="M9" s="388"/>
      <c r="N9" s="388"/>
      <c r="O9" s="388"/>
      <c r="P9" s="388"/>
      <c r="Q9" s="388"/>
      <c r="R9" s="388"/>
      <c r="S9" s="388"/>
      <c r="T9" s="388"/>
      <c r="U9" s="388"/>
      <c r="V9" s="388"/>
      <c r="W9" s="388"/>
      <c r="X9" s="388"/>
      <c r="Y9" s="388"/>
      <c r="Z9" s="388"/>
      <c r="AA9" s="388"/>
      <c r="AB9" s="304" t="s">
        <v>34</v>
      </c>
      <c r="AC9" s="304"/>
      <c r="AD9" s="304"/>
      <c r="AE9" s="304"/>
      <c r="AF9" s="304"/>
      <c r="AG9" s="304"/>
      <c r="AH9" s="304"/>
      <c r="AI9" s="304"/>
      <c r="AJ9" s="304"/>
      <c r="AK9" s="372" t="s">
        <v>33</v>
      </c>
      <c r="AL9" s="390"/>
      <c r="AM9" s="390"/>
      <c r="AN9" s="390"/>
      <c r="AO9" s="390"/>
      <c r="AP9" s="390"/>
      <c r="AQ9" s="390"/>
      <c r="AR9" s="390"/>
      <c r="AS9" s="390"/>
      <c r="AT9" s="390"/>
      <c r="AU9" s="390"/>
      <c r="AV9" s="390"/>
      <c r="AW9" s="390"/>
      <c r="AX9" s="390"/>
      <c r="AY9" s="390"/>
      <c r="AZ9" s="391"/>
      <c r="BA9" s="135"/>
      <c r="BB9" s="135"/>
      <c r="BC9" s="135"/>
      <c r="BD9" s="135"/>
      <c r="BE9" s="135"/>
      <c r="BF9" s="135"/>
      <c r="BG9" s="135"/>
      <c r="BH9" s="135"/>
      <c r="BI9" s="135"/>
      <c r="BJ9" s="135"/>
      <c r="BK9" s="135"/>
      <c r="BL9" s="135"/>
      <c r="BM9" s="135"/>
      <c r="BN9" s="135"/>
      <c r="BO9" s="135"/>
      <c r="BP9" s="135"/>
      <c r="BQ9" s="135"/>
      <c r="BR9" s="135"/>
      <c r="BS9" s="135"/>
      <c r="BT9" s="135"/>
      <c r="BU9" s="135"/>
      <c r="BV9" s="135"/>
    </row>
    <row r="10" spans="1:74" s="142" customFormat="1" ht="8.1" customHeight="1">
      <c r="A10" s="135"/>
      <c r="B10" s="303"/>
      <c r="C10" s="304"/>
      <c r="D10" s="304"/>
      <c r="E10" s="304"/>
      <c r="F10" s="304"/>
      <c r="G10" s="304"/>
      <c r="H10" s="304"/>
      <c r="I10" s="304"/>
      <c r="J10" s="372"/>
      <c r="K10" s="389"/>
      <c r="L10" s="389"/>
      <c r="M10" s="389"/>
      <c r="N10" s="389"/>
      <c r="O10" s="389"/>
      <c r="P10" s="389"/>
      <c r="Q10" s="389"/>
      <c r="R10" s="389"/>
      <c r="S10" s="389"/>
      <c r="T10" s="389"/>
      <c r="U10" s="389"/>
      <c r="V10" s="389"/>
      <c r="W10" s="389"/>
      <c r="X10" s="389"/>
      <c r="Y10" s="389"/>
      <c r="Z10" s="389"/>
      <c r="AA10" s="389"/>
      <c r="AB10" s="304"/>
      <c r="AC10" s="304"/>
      <c r="AD10" s="304"/>
      <c r="AE10" s="304"/>
      <c r="AF10" s="304"/>
      <c r="AG10" s="304"/>
      <c r="AH10" s="304"/>
      <c r="AI10" s="304"/>
      <c r="AJ10" s="304"/>
      <c r="AK10" s="372"/>
      <c r="AL10" s="370"/>
      <c r="AM10" s="370"/>
      <c r="AN10" s="370"/>
      <c r="AO10" s="370"/>
      <c r="AP10" s="370"/>
      <c r="AQ10" s="370"/>
      <c r="AR10" s="370"/>
      <c r="AS10" s="370"/>
      <c r="AT10" s="370"/>
      <c r="AU10" s="370"/>
      <c r="AV10" s="370"/>
      <c r="AW10" s="370"/>
      <c r="AX10" s="370"/>
      <c r="AY10" s="370"/>
      <c r="AZ10" s="371"/>
      <c r="BA10" s="135"/>
      <c r="BB10" s="135"/>
      <c r="BC10" s="135"/>
      <c r="BD10" s="135"/>
      <c r="BE10" s="135"/>
      <c r="BF10" s="135"/>
      <c r="BG10" s="135"/>
      <c r="BH10" s="135"/>
      <c r="BI10" s="135"/>
      <c r="BJ10" s="135"/>
      <c r="BK10" s="135"/>
      <c r="BL10" s="135"/>
      <c r="BM10" s="135"/>
      <c r="BN10" s="135"/>
      <c r="BO10" s="135"/>
      <c r="BP10" s="135"/>
      <c r="BQ10" s="135"/>
      <c r="BR10" s="135"/>
      <c r="BS10" s="135"/>
      <c r="BT10" s="135"/>
      <c r="BU10" s="135"/>
      <c r="BV10" s="135"/>
    </row>
    <row r="11" spans="1:74" s="142" customFormat="1" ht="8.1" customHeight="1">
      <c r="A11" s="135"/>
      <c r="B11" s="303" t="s">
        <v>35</v>
      </c>
      <c r="C11" s="304"/>
      <c r="D11" s="304"/>
      <c r="E11" s="304"/>
      <c r="F11" s="304"/>
      <c r="G11" s="304"/>
      <c r="H11" s="304"/>
      <c r="I11" s="304"/>
      <c r="J11" s="372" t="s">
        <v>33</v>
      </c>
      <c r="K11" s="376" t="s">
        <v>150</v>
      </c>
      <c r="L11" s="376"/>
      <c r="M11" s="376"/>
      <c r="N11" s="376"/>
      <c r="O11" s="376"/>
      <c r="P11" s="376"/>
      <c r="Q11" s="376"/>
      <c r="R11" s="376"/>
      <c r="S11" s="376"/>
      <c r="T11" s="376"/>
      <c r="U11" s="376"/>
      <c r="V11" s="376"/>
      <c r="W11" s="376"/>
      <c r="X11" s="376"/>
      <c r="Y11" s="376"/>
      <c r="Z11" s="376"/>
      <c r="AA11" s="376"/>
      <c r="AB11" s="304" t="s">
        <v>36</v>
      </c>
      <c r="AC11" s="304"/>
      <c r="AD11" s="304"/>
      <c r="AE11" s="304"/>
      <c r="AF11" s="304"/>
      <c r="AG11" s="304"/>
      <c r="AH11" s="304"/>
      <c r="AI11" s="304"/>
      <c r="AJ11" s="304"/>
      <c r="AK11" s="372" t="s">
        <v>33</v>
      </c>
      <c r="AL11" s="368"/>
      <c r="AM11" s="368"/>
      <c r="AN11" s="368"/>
      <c r="AO11" s="368"/>
      <c r="AP11" s="368"/>
      <c r="AQ11" s="368"/>
      <c r="AR11" s="368"/>
      <c r="AS11" s="368"/>
      <c r="AT11" s="368"/>
      <c r="AU11" s="368"/>
      <c r="AV11" s="368"/>
      <c r="AW11" s="368"/>
      <c r="AX11" s="368"/>
      <c r="AY11" s="368"/>
      <c r="AZ11" s="369"/>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row>
    <row r="12" spans="1:74" s="142" customFormat="1" ht="8.1" customHeight="1">
      <c r="A12" s="135"/>
      <c r="B12" s="303"/>
      <c r="C12" s="304"/>
      <c r="D12" s="304"/>
      <c r="E12" s="304"/>
      <c r="F12" s="304"/>
      <c r="G12" s="304"/>
      <c r="H12" s="304"/>
      <c r="I12" s="304"/>
      <c r="J12" s="372"/>
      <c r="K12" s="377"/>
      <c r="L12" s="377"/>
      <c r="M12" s="377"/>
      <c r="N12" s="377"/>
      <c r="O12" s="377"/>
      <c r="P12" s="377"/>
      <c r="Q12" s="377"/>
      <c r="R12" s="377"/>
      <c r="S12" s="377"/>
      <c r="T12" s="377"/>
      <c r="U12" s="377"/>
      <c r="V12" s="377"/>
      <c r="W12" s="377"/>
      <c r="X12" s="377"/>
      <c r="Y12" s="377"/>
      <c r="Z12" s="377"/>
      <c r="AA12" s="377"/>
      <c r="AB12" s="304"/>
      <c r="AC12" s="304"/>
      <c r="AD12" s="304"/>
      <c r="AE12" s="304"/>
      <c r="AF12" s="304"/>
      <c r="AG12" s="304"/>
      <c r="AH12" s="304"/>
      <c r="AI12" s="304"/>
      <c r="AJ12" s="304"/>
      <c r="AK12" s="372"/>
      <c r="AL12" s="370"/>
      <c r="AM12" s="370"/>
      <c r="AN12" s="370"/>
      <c r="AO12" s="370"/>
      <c r="AP12" s="370"/>
      <c r="AQ12" s="370"/>
      <c r="AR12" s="370"/>
      <c r="AS12" s="370"/>
      <c r="AT12" s="370"/>
      <c r="AU12" s="370"/>
      <c r="AV12" s="370"/>
      <c r="AW12" s="370"/>
      <c r="AX12" s="370"/>
      <c r="AY12" s="370"/>
      <c r="AZ12" s="371"/>
      <c r="BA12" s="135"/>
      <c r="BB12" s="135"/>
      <c r="BC12" s="135"/>
      <c r="BD12" s="135"/>
      <c r="BE12" s="135"/>
      <c r="BF12" s="135"/>
      <c r="BG12" s="135"/>
      <c r="BH12" s="135"/>
      <c r="BI12" s="135"/>
      <c r="BJ12" s="135"/>
      <c r="BK12" s="135"/>
      <c r="BL12" s="135"/>
      <c r="BM12" s="135"/>
      <c r="BN12" s="135"/>
      <c r="BO12" s="135"/>
      <c r="BP12" s="135"/>
      <c r="BQ12" s="135"/>
      <c r="BR12" s="135"/>
      <c r="BS12" s="135"/>
      <c r="BT12" s="135"/>
      <c r="BU12" s="135"/>
      <c r="BV12" s="135"/>
    </row>
    <row r="13" spans="1:74" s="142" customFormat="1" ht="8.1" customHeight="1">
      <c r="A13" s="135"/>
      <c r="B13" s="303" t="s">
        <v>37</v>
      </c>
      <c r="C13" s="304"/>
      <c r="D13" s="304"/>
      <c r="E13" s="304"/>
      <c r="F13" s="304"/>
      <c r="G13" s="304"/>
      <c r="H13" s="304"/>
      <c r="I13" s="304"/>
      <c r="J13" s="372" t="s">
        <v>33</v>
      </c>
      <c r="K13" s="376">
        <v>117</v>
      </c>
      <c r="L13" s="376"/>
      <c r="M13" s="376"/>
      <c r="N13" s="376"/>
      <c r="O13" s="376"/>
      <c r="P13" s="376"/>
      <c r="Q13" s="376"/>
      <c r="R13" s="376"/>
      <c r="S13" s="376"/>
      <c r="T13" s="376"/>
      <c r="U13" s="376"/>
      <c r="V13" s="376"/>
      <c r="W13" s="376"/>
      <c r="X13" s="376"/>
      <c r="Y13" s="376"/>
      <c r="Z13" s="376"/>
      <c r="AA13" s="376"/>
      <c r="AB13" s="304" t="s">
        <v>38</v>
      </c>
      <c r="AC13" s="304"/>
      <c r="AD13" s="304"/>
      <c r="AE13" s="304"/>
      <c r="AF13" s="304"/>
      <c r="AG13" s="304"/>
      <c r="AH13" s="304"/>
      <c r="AI13" s="304"/>
      <c r="AJ13" s="304"/>
      <c r="AK13" s="372" t="s">
        <v>33</v>
      </c>
      <c r="AL13" s="376" t="s">
        <v>114</v>
      </c>
      <c r="AM13" s="376"/>
      <c r="AN13" s="376"/>
      <c r="AO13" s="376"/>
      <c r="AP13" s="376"/>
      <c r="AQ13" s="376"/>
      <c r="AR13" s="376"/>
      <c r="AS13" s="376"/>
      <c r="AT13" s="376"/>
      <c r="AU13" s="376"/>
      <c r="AV13" s="376"/>
      <c r="AW13" s="376"/>
      <c r="AX13" s="376"/>
      <c r="AY13" s="376"/>
      <c r="AZ13" s="380"/>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row>
    <row r="14" spans="1:74" s="142" customFormat="1" ht="8.1" customHeight="1">
      <c r="A14" s="135"/>
      <c r="B14" s="303"/>
      <c r="C14" s="304"/>
      <c r="D14" s="304"/>
      <c r="E14" s="304"/>
      <c r="F14" s="304"/>
      <c r="G14" s="304"/>
      <c r="H14" s="304"/>
      <c r="I14" s="304"/>
      <c r="J14" s="372"/>
      <c r="K14" s="377"/>
      <c r="L14" s="377"/>
      <c r="M14" s="377"/>
      <c r="N14" s="377"/>
      <c r="O14" s="377"/>
      <c r="P14" s="377"/>
      <c r="Q14" s="377"/>
      <c r="R14" s="377"/>
      <c r="S14" s="377"/>
      <c r="T14" s="377"/>
      <c r="U14" s="377"/>
      <c r="V14" s="377"/>
      <c r="W14" s="377"/>
      <c r="X14" s="377"/>
      <c r="Y14" s="377"/>
      <c r="Z14" s="377"/>
      <c r="AA14" s="377"/>
      <c r="AB14" s="304"/>
      <c r="AC14" s="304"/>
      <c r="AD14" s="304"/>
      <c r="AE14" s="304"/>
      <c r="AF14" s="304"/>
      <c r="AG14" s="304"/>
      <c r="AH14" s="304"/>
      <c r="AI14" s="304"/>
      <c r="AJ14" s="304"/>
      <c r="AK14" s="372"/>
      <c r="AL14" s="377"/>
      <c r="AM14" s="377"/>
      <c r="AN14" s="377"/>
      <c r="AO14" s="377"/>
      <c r="AP14" s="377"/>
      <c r="AQ14" s="377"/>
      <c r="AR14" s="377"/>
      <c r="AS14" s="377"/>
      <c r="AT14" s="377"/>
      <c r="AU14" s="377"/>
      <c r="AV14" s="377"/>
      <c r="AW14" s="377"/>
      <c r="AX14" s="377"/>
      <c r="AY14" s="377"/>
      <c r="AZ14" s="381"/>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row>
    <row r="15" spans="1:74" s="142" customFormat="1" ht="8.1" customHeight="1">
      <c r="A15" s="135"/>
      <c r="B15" s="303" t="s">
        <v>39</v>
      </c>
      <c r="C15" s="304"/>
      <c r="D15" s="304"/>
      <c r="E15" s="304"/>
      <c r="F15" s="304"/>
      <c r="G15" s="304"/>
      <c r="H15" s="304"/>
      <c r="I15" s="304"/>
      <c r="J15" s="372" t="s">
        <v>33</v>
      </c>
      <c r="K15" s="382"/>
      <c r="L15" s="376"/>
      <c r="M15" s="376"/>
      <c r="N15" s="376"/>
      <c r="O15" s="376"/>
      <c r="P15" s="376"/>
      <c r="Q15" s="376"/>
      <c r="R15" s="376"/>
      <c r="S15" s="376"/>
      <c r="T15" s="376"/>
      <c r="U15" s="376"/>
      <c r="V15" s="376"/>
      <c r="W15" s="376"/>
      <c r="X15" s="376"/>
      <c r="Y15" s="376"/>
      <c r="Z15" s="376"/>
      <c r="AA15" s="376"/>
      <c r="AB15" s="304" t="s">
        <v>40</v>
      </c>
      <c r="AC15" s="304"/>
      <c r="AD15" s="304"/>
      <c r="AE15" s="304"/>
      <c r="AF15" s="304"/>
      <c r="AG15" s="304"/>
      <c r="AH15" s="304"/>
      <c r="AI15" s="304"/>
      <c r="AJ15" s="304"/>
      <c r="AK15" s="372" t="s">
        <v>33</v>
      </c>
      <c r="AL15" s="376" t="s">
        <v>114</v>
      </c>
      <c r="AM15" s="376"/>
      <c r="AN15" s="376"/>
      <c r="AO15" s="376"/>
      <c r="AP15" s="376"/>
      <c r="AQ15" s="376"/>
      <c r="AR15" s="376"/>
      <c r="AS15" s="376"/>
      <c r="AT15" s="376"/>
      <c r="AU15" s="376"/>
      <c r="AV15" s="376"/>
      <c r="AW15" s="376"/>
      <c r="AX15" s="376"/>
      <c r="AY15" s="376"/>
      <c r="AZ15" s="380"/>
      <c r="BA15" s="135"/>
      <c r="BB15" s="135"/>
      <c r="BC15" s="135"/>
      <c r="BD15" s="135"/>
      <c r="BE15" s="135"/>
      <c r="BF15" s="135"/>
      <c r="BG15" s="135"/>
      <c r="BH15" s="135"/>
      <c r="BI15" s="135"/>
      <c r="BJ15" s="135"/>
      <c r="BK15" s="135"/>
      <c r="BL15" s="135"/>
      <c r="BM15" s="135"/>
      <c r="BN15" s="135"/>
      <c r="BO15" s="135"/>
      <c r="BP15" s="135"/>
      <c r="BQ15" s="135"/>
      <c r="BR15" s="135"/>
      <c r="BS15" s="135"/>
      <c r="BT15" s="135"/>
      <c r="BU15" s="135"/>
      <c r="BV15" s="135"/>
    </row>
    <row r="16" spans="1:74" s="142" customFormat="1" ht="8.1" customHeight="1">
      <c r="A16" s="135"/>
      <c r="B16" s="303"/>
      <c r="C16" s="304"/>
      <c r="D16" s="304"/>
      <c r="E16" s="304"/>
      <c r="F16" s="304"/>
      <c r="G16" s="304"/>
      <c r="H16" s="304"/>
      <c r="I16" s="304"/>
      <c r="J16" s="372"/>
      <c r="K16" s="377"/>
      <c r="L16" s="377"/>
      <c r="M16" s="377"/>
      <c r="N16" s="377"/>
      <c r="O16" s="377"/>
      <c r="P16" s="377"/>
      <c r="Q16" s="377"/>
      <c r="R16" s="377"/>
      <c r="S16" s="377"/>
      <c r="T16" s="377"/>
      <c r="U16" s="377"/>
      <c r="V16" s="377"/>
      <c r="W16" s="377"/>
      <c r="X16" s="377"/>
      <c r="Y16" s="377"/>
      <c r="Z16" s="377"/>
      <c r="AA16" s="377"/>
      <c r="AB16" s="304"/>
      <c r="AC16" s="304"/>
      <c r="AD16" s="304"/>
      <c r="AE16" s="304"/>
      <c r="AF16" s="304"/>
      <c r="AG16" s="304"/>
      <c r="AH16" s="304"/>
      <c r="AI16" s="304"/>
      <c r="AJ16" s="304"/>
      <c r="AK16" s="372"/>
      <c r="AL16" s="377"/>
      <c r="AM16" s="377"/>
      <c r="AN16" s="377"/>
      <c r="AO16" s="377"/>
      <c r="AP16" s="377"/>
      <c r="AQ16" s="377"/>
      <c r="AR16" s="377"/>
      <c r="AS16" s="377"/>
      <c r="AT16" s="377"/>
      <c r="AU16" s="377"/>
      <c r="AV16" s="377"/>
      <c r="AW16" s="377"/>
      <c r="AX16" s="377"/>
      <c r="AY16" s="377"/>
      <c r="AZ16" s="381"/>
      <c r="BA16" s="135"/>
      <c r="BB16" s="135"/>
      <c r="BC16" s="135"/>
      <c r="BD16" s="135"/>
      <c r="BE16" s="135"/>
      <c r="BF16" s="135"/>
      <c r="BG16" s="135"/>
      <c r="BH16" s="135"/>
      <c r="BI16" s="135"/>
      <c r="BJ16" s="135"/>
      <c r="BK16" s="135"/>
      <c r="BL16" s="135"/>
      <c r="BM16" s="135"/>
      <c r="BN16" s="135"/>
      <c r="BO16" s="135"/>
      <c r="BP16" s="135"/>
      <c r="BQ16" s="135"/>
      <c r="BR16" s="135"/>
      <c r="BS16" s="135"/>
      <c r="BT16" s="135"/>
      <c r="BU16" s="135"/>
      <c r="BV16" s="135"/>
    </row>
    <row r="17" spans="1:74" s="142" customFormat="1" ht="8.1" customHeight="1">
      <c r="A17" s="135"/>
      <c r="B17" s="303" t="s">
        <v>27</v>
      </c>
      <c r="C17" s="304"/>
      <c r="D17" s="304"/>
      <c r="E17" s="304"/>
      <c r="F17" s="304"/>
      <c r="G17" s="304"/>
      <c r="H17" s="304"/>
      <c r="I17" s="304"/>
      <c r="J17" s="372" t="s">
        <v>33</v>
      </c>
      <c r="K17" s="376" t="s">
        <v>129</v>
      </c>
      <c r="L17" s="376"/>
      <c r="M17" s="376"/>
      <c r="N17" s="376"/>
      <c r="O17" s="376"/>
      <c r="P17" s="376"/>
      <c r="Q17" s="376"/>
      <c r="R17" s="376"/>
      <c r="S17" s="376"/>
      <c r="T17" s="376"/>
      <c r="U17" s="376"/>
      <c r="V17" s="376"/>
      <c r="W17" s="376"/>
      <c r="X17" s="376"/>
      <c r="Y17" s="376"/>
      <c r="Z17" s="376"/>
      <c r="AA17" s="376"/>
      <c r="AB17" s="304" t="s">
        <v>41</v>
      </c>
      <c r="AC17" s="304"/>
      <c r="AD17" s="304"/>
      <c r="AE17" s="304"/>
      <c r="AF17" s="304"/>
      <c r="AG17" s="304"/>
      <c r="AH17" s="304"/>
      <c r="AI17" s="304"/>
      <c r="AJ17" s="137"/>
      <c r="AK17" s="372" t="s">
        <v>33</v>
      </c>
      <c r="AL17" s="376" t="s">
        <v>114</v>
      </c>
      <c r="AM17" s="376"/>
      <c r="AN17" s="376"/>
      <c r="AO17" s="376"/>
      <c r="AP17" s="376"/>
      <c r="AQ17" s="376"/>
      <c r="AR17" s="376"/>
      <c r="AS17" s="376"/>
      <c r="AT17" s="376"/>
      <c r="AU17" s="376"/>
      <c r="AV17" s="376"/>
      <c r="AW17" s="376"/>
      <c r="AX17" s="376"/>
      <c r="AY17" s="376"/>
      <c r="AZ17" s="380"/>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row>
    <row r="18" spans="1:74" s="142" customFormat="1" ht="8.1" customHeight="1">
      <c r="A18" s="135"/>
      <c r="B18" s="303"/>
      <c r="C18" s="304"/>
      <c r="D18" s="304"/>
      <c r="E18" s="304"/>
      <c r="F18" s="304"/>
      <c r="G18" s="304"/>
      <c r="H18" s="304"/>
      <c r="I18" s="304"/>
      <c r="J18" s="372"/>
      <c r="K18" s="377"/>
      <c r="L18" s="377"/>
      <c r="M18" s="377"/>
      <c r="N18" s="377"/>
      <c r="O18" s="377"/>
      <c r="P18" s="377"/>
      <c r="Q18" s="377"/>
      <c r="R18" s="377"/>
      <c r="S18" s="377"/>
      <c r="T18" s="377"/>
      <c r="U18" s="377"/>
      <c r="V18" s="377"/>
      <c r="W18" s="377"/>
      <c r="X18" s="377"/>
      <c r="Y18" s="377"/>
      <c r="Z18" s="377"/>
      <c r="AA18" s="377"/>
      <c r="AB18" s="304"/>
      <c r="AC18" s="304"/>
      <c r="AD18" s="304"/>
      <c r="AE18" s="304"/>
      <c r="AF18" s="304"/>
      <c r="AG18" s="304"/>
      <c r="AH18" s="304"/>
      <c r="AI18" s="304"/>
      <c r="AJ18" s="137"/>
      <c r="AK18" s="372"/>
      <c r="AL18" s="377"/>
      <c r="AM18" s="377"/>
      <c r="AN18" s="377"/>
      <c r="AO18" s="377"/>
      <c r="AP18" s="377"/>
      <c r="AQ18" s="377"/>
      <c r="AR18" s="377"/>
      <c r="AS18" s="377"/>
      <c r="AT18" s="377"/>
      <c r="AU18" s="377"/>
      <c r="AV18" s="377"/>
      <c r="AW18" s="377"/>
      <c r="AX18" s="377"/>
      <c r="AY18" s="377"/>
      <c r="AZ18" s="381"/>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row>
    <row r="19" spans="1:74" s="142" customFormat="1" ht="8.1" customHeight="1">
      <c r="A19" s="135"/>
      <c r="B19" s="303" t="s">
        <v>42</v>
      </c>
      <c r="C19" s="304"/>
      <c r="D19" s="304"/>
      <c r="E19" s="304"/>
      <c r="F19" s="304"/>
      <c r="G19" s="304"/>
      <c r="H19" s="304"/>
      <c r="I19" s="304"/>
      <c r="J19" s="372" t="s">
        <v>33</v>
      </c>
      <c r="K19" s="376" t="s">
        <v>129</v>
      </c>
      <c r="L19" s="376"/>
      <c r="M19" s="376"/>
      <c r="N19" s="376"/>
      <c r="O19" s="376"/>
      <c r="P19" s="376"/>
      <c r="Q19" s="376"/>
      <c r="R19" s="376"/>
      <c r="S19" s="376"/>
      <c r="T19" s="376"/>
      <c r="U19" s="376"/>
      <c r="V19" s="376"/>
      <c r="W19" s="376"/>
      <c r="X19" s="376"/>
      <c r="Y19" s="376"/>
      <c r="Z19" s="376"/>
      <c r="AA19" s="376"/>
      <c r="AB19" s="304" t="s">
        <v>43</v>
      </c>
      <c r="AC19" s="304"/>
      <c r="AD19" s="304"/>
      <c r="AE19" s="304"/>
      <c r="AF19" s="304"/>
      <c r="AG19" s="304"/>
      <c r="AH19" s="304"/>
      <c r="AI19" s="304"/>
      <c r="AJ19" s="304"/>
      <c r="AK19" s="372" t="s">
        <v>33</v>
      </c>
      <c r="AL19" s="376" t="s">
        <v>129</v>
      </c>
      <c r="AM19" s="376"/>
      <c r="AN19" s="376"/>
      <c r="AO19" s="376"/>
      <c r="AP19" s="376"/>
      <c r="AQ19" s="376"/>
      <c r="AR19" s="376"/>
      <c r="AS19" s="376"/>
      <c r="AT19" s="376"/>
      <c r="AU19" s="376"/>
      <c r="AV19" s="376"/>
      <c r="AW19" s="376"/>
      <c r="AX19" s="376"/>
      <c r="AY19" s="376"/>
      <c r="AZ19" s="380"/>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row>
    <row r="20" spans="1:74" s="142" customFormat="1" ht="8.1" customHeight="1">
      <c r="A20" s="135"/>
      <c r="B20" s="303"/>
      <c r="C20" s="304"/>
      <c r="D20" s="304"/>
      <c r="E20" s="304"/>
      <c r="F20" s="304"/>
      <c r="G20" s="304"/>
      <c r="H20" s="304"/>
      <c r="I20" s="304"/>
      <c r="J20" s="372"/>
      <c r="K20" s="377"/>
      <c r="L20" s="377"/>
      <c r="M20" s="377"/>
      <c r="N20" s="377"/>
      <c r="O20" s="377"/>
      <c r="P20" s="377"/>
      <c r="Q20" s="377"/>
      <c r="R20" s="377"/>
      <c r="S20" s="377"/>
      <c r="T20" s="377"/>
      <c r="U20" s="377"/>
      <c r="V20" s="377"/>
      <c r="W20" s="377"/>
      <c r="X20" s="377"/>
      <c r="Y20" s="377"/>
      <c r="Z20" s="377"/>
      <c r="AA20" s="377"/>
      <c r="AB20" s="304"/>
      <c r="AC20" s="304"/>
      <c r="AD20" s="304"/>
      <c r="AE20" s="304"/>
      <c r="AF20" s="304"/>
      <c r="AG20" s="304"/>
      <c r="AH20" s="304"/>
      <c r="AI20" s="304"/>
      <c r="AJ20" s="304"/>
      <c r="AK20" s="372"/>
      <c r="AL20" s="377"/>
      <c r="AM20" s="377"/>
      <c r="AN20" s="377"/>
      <c r="AO20" s="377"/>
      <c r="AP20" s="377"/>
      <c r="AQ20" s="377"/>
      <c r="AR20" s="377"/>
      <c r="AS20" s="377"/>
      <c r="AT20" s="377"/>
      <c r="AU20" s="377"/>
      <c r="AV20" s="377"/>
      <c r="AW20" s="377"/>
      <c r="AX20" s="377"/>
      <c r="AY20" s="377"/>
      <c r="AZ20" s="381"/>
      <c r="BA20" s="135"/>
      <c r="BB20" s="135"/>
      <c r="BC20" s="135"/>
      <c r="BD20" s="135"/>
      <c r="BE20" s="135"/>
      <c r="BF20" s="135"/>
      <c r="BG20" s="135"/>
      <c r="BH20" s="135"/>
      <c r="BI20" s="135"/>
      <c r="BJ20" s="135"/>
      <c r="BK20" s="135"/>
      <c r="BL20" s="135"/>
      <c r="BM20" s="135"/>
      <c r="BN20" s="135"/>
      <c r="BO20" s="135"/>
      <c r="BP20" s="135"/>
      <c r="BQ20" s="135"/>
      <c r="BR20" s="135"/>
      <c r="BS20" s="135"/>
      <c r="BT20" s="135"/>
      <c r="BU20" s="135"/>
      <c r="BV20" s="135"/>
    </row>
    <row r="21" spans="1:74" s="142" customFormat="1" ht="8.1" customHeight="1">
      <c r="A21" s="135"/>
      <c r="B21" s="303" t="s">
        <v>44</v>
      </c>
      <c r="C21" s="304"/>
      <c r="D21" s="304"/>
      <c r="E21" s="304"/>
      <c r="F21" s="304"/>
      <c r="G21" s="304"/>
      <c r="H21" s="304"/>
      <c r="I21" s="304"/>
      <c r="J21" s="372" t="s">
        <v>33</v>
      </c>
      <c r="K21" s="376" t="s">
        <v>114</v>
      </c>
      <c r="L21" s="376"/>
      <c r="M21" s="376"/>
      <c r="N21" s="376"/>
      <c r="O21" s="376"/>
      <c r="P21" s="376"/>
      <c r="Q21" s="376"/>
      <c r="R21" s="376"/>
      <c r="S21" s="376"/>
      <c r="T21" s="376"/>
      <c r="U21" s="376"/>
      <c r="V21" s="376"/>
      <c r="W21" s="376"/>
      <c r="X21" s="376"/>
      <c r="Y21" s="376"/>
      <c r="Z21" s="376"/>
      <c r="AA21" s="376"/>
      <c r="AB21" s="304" t="s">
        <v>46</v>
      </c>
      <c r="AC21" s="304"/>
      <c r="AD21" s="304"/>
      <c r="AE21" s="304"/>
      <c r="AF21" s="304"/>
      <c r="AG21" s="304"/>
      <c r="AH21" s="304"/>
      <c r="AI21" s="304"/>
      <c r="AJ21" s="304"/>
      <c r="AK21" s="372" t="s">
        <v>33</v>
      </c>
      <c r="AL21" s="376" t="s">
        <v>114</v>
      </c>
      <c r="AM21" s="376"/>
      <c r="AN21" s="376"/>
      <c r="AO21" s="376"/>
      <c r="AP21" s="376"/>
      <c r="AQ21" s="376"/>
      <c r="AR21" s="376"/>
      <c r="AS21" s="376"/>
      <c r="AT21" s="376"/>
      <c r="AU21" s="376"/>
      <c r="AV21" s="376"/>
      <c r="AW21" s="376"/>
      <c r="AX21" s="376"/>
      <c r="AY21" s="376"/>
      <c r="AZ21" s="380"/>
      <c r="BA21" s="135"/>
      <c r="BB21" s="135"/>
      <c r="BC21" s="135"/>
      <c r="BD21" s="135"/>
      <c r="BE21" s="135"/>
      <c r="BF21" s="135"/>
      <c r="BG21" s="135"/>
      <c r="BH21" s="135"/>
      <c r="BI21" s="135"/>
      <c r="BJ21" s="135"/>
      <c r="BK21" s="135"/>
      <c r="BL21" s="135"/>
      <c r="BM21" s="135"/>
      <c r="BN21" s="135"/>
      <c r="BO21" s="135"/>
      <c r="BP21" s="135"/>
      <c r="BQ21" s="135"/>
      <c r="BR21" s="135"/>
      <c r="BS21" s="135"/>
      <c r="BT21" s="135"/>
      <c r="BU21" s="135"/>
      <c r="BV21" s="135"/>
    </row>
    <row r="22" spans="1:74" s="142" customFormat="1" ht="7.5" customHeight="1">
      <c r="A22" s="135"/>
      <c r="B22" s="303"/>
      <c r="C22" s="304"/>
      <c r="D22" s="304"/>
      <c r="E22" s="304"/>
      <c r="F22" s="304"/>
      <c r="G22" s="304"/>
      <c r="H22" s="304"/>
      <c r="I22" s="304"/>
      <c r="J22" s="372"/>
      <c r="K22" s="377"/>
      <c r="L22" s="377"/>
      <c r="M22" s="377"/>
      <c r="N22" s="377"/>
      <c r="O22" s="377"/>
      <c r="P22" s="377"/>
      <c r="Q22" s="377"/>
      <c r="R22" s="377"/>
      <c r="S22" s="377"/>
      <c r="T22" s="377"/>
      <c r="U22" s="377"/>
      <c r="V22" s="377"/>
      <c r="W22" s="377"/>
      <c r="X22" s="377"/>
      <c r="Y22" s="377"/>
      <c r="Z22" s="377"/>
      <c r="AA22" s="377"/>
      <c r="AB22" s="304"/>
      <c r="AC22" s="304"/>
      <c r="AD22" s="304"/>
      <c r="AE22" s="304"/>
      <c r="AF22" s="304"/>
      <c r="AG22" s="304"/>
      <c r="AH22" s="304"/>
      <c r="AI22" s="304"/>
      <c r="AJ22" s="304"/>
      <c r="AK22" s="372"/>
      <c r="AL22" s="377"/>
      <c r="AM22" s="377"/>
      <c r="AN22" s="377"/>
      <c r="AO22" s="377"/>
      <c r="AP22" s="377"/>
      <c r="AQ22" s="377"/>
      <c r="AR22" s="377"/>
      <c r="AS22" s="377"/>
      <c r="AT22" s="377"/>
      <c r="AU22" s="377"/>
      <c r="AV22" s="377"/>
      <c r="AW22" s="377"/>
      <c r="AX22" s="377"/>
      <c r="AY22" s="377"/>
      <c r="AZ22" s="381"/>
      <c r="BA22" s="135"/>
      <c r="BB22" s="135"/>
      <c r="BC22" s="135"/>
      <c r="BD22" s="135"/>
      <c r="BE22" s="135"/>
      <c r="BF22" s="135"/>
      <c r="BG22" s="135"/>
      <c r="BH22" s="135"/>
      <c r="BI22" s="135"/>
      <c r="BJ22" s="135"/>
      <c r="BK22" s="135"/>
      <c r="BL22" s="135"/>
      <c r="BM22" s="135"/>
      <c r="BN22" s="135"/>
      <c r="BO22" s="135"/>
      <c r="BP22" s="135"/>
      <c r="BQ22" s="135"/>
      <c r="BR22" s="135"/>
      <c r="BS22" s="135"/>
      <c r="BT22" s="135"/>
      <c r="BU22" s="135"/>
      <c r="BV22" s="135"/>
    </row>
    <row r="23" spans="1:74" s="142" customFormat="1" ht="3" customHeight="1" thickBot="1">
      <c r="A23" s="135"/>
      <c r="B23" s="143"/>
      <c r="C23" s="144"/>
      <c r="D23" s="144"/>
      <c r="E23" s="144"/>
      <c r="F23" s="144"/>
      <c r="G23" s="144"/>
      <c r="H23" s="144"/>
      <c r="I23" s="144"/>
      <c r="J23" s="145"/>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5"/>
      <c r="AL23" s="144"/>
      <c r="AM23" s="144"/>
      <c r="AN23" s="144"/>
      <c r="AO23" s="144"/>
      <c r="AP23" s="144"/>
      <c r="AQ23" s="144"/>
      <c r="AR23" s="144"/>
      <c r="AS23" s="144"/>
      <c r="AT23" s="144"/>
      <c r="AU23" s="144"/>
      <c r="AV23" s="144"/>
      <c r="AW23" s="144"/>
      <c r="AX23" s="144"/>
      <c r="AY23" s="144"/>
      <c r="AZ23" s="146"/>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row>
    <row r="24" spans="1:74" s="142" customFormat="1" ht="13.5" thickBot="1">
      <c r="A24" s="135"/>
      <c r="B24" s="309" t="s">
        <v>47</v>
      </c>
      <c r="C24" s="310"/>
      <c r="D24" s="310"/>
      <c r="E24" s="310"/>
      <c r="F24" s="310"/>
      <c r="G24" s="310"/>
      <c r="H24" s="310"/>
      <c r="I24" s="310"/>
      <c r="J24" s="310"/>
      <c r="K24" s="310"/>
      <c r="L24" s="310"/>
      <c r="M24" s="310"/>
      <c r="N24" s="310"/>
      <c r="O24" s="310"/>
      <c r="P24" s="310"/>
      <c r="Q24" s="310"/>
      <c r="R24" s="310"/>
      <c r="S24" s="310"/>
      <c r="T24" s="310"/>
      <c r="U24" s="310"/>
      <c r="V24" s="310"/>
      <c r="W24" s="310"/>
      <c r="X24" s="310"/>
      <c r="Y24" s="310"/>
      <c r="Z24" s="310"/>
      <c r="AA24" s="310"/>
      <c r="AB24" s="310" t="s">
        <v>48</v>
      </c>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1"/>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row>
    <row r="25" spans="1:74" s="142" customFormat="1" ht="7.5" customHeight="1">
      <c r="A25" s="135"/>
      <c r="B25" s="303" t="s">
        <v>49</v>
      </c>
      <c r="C25" s="304"/>
      <c r="D25" s="304"/>
      <c r="E25" s="304"/>
      <c r="F25" s="304"/>
      <c r="G25" s="372" t="s">
        <v>33</v>
      </c>
      <c r="H25" s="378"/>
      <c r="I25" s="378"/>
      <c r="J25" s="378"/>
      <c r="K25" s="378"/>
      <c r="L25" s="378"/>
      <c r="M25" s="378"/>
      <c r="N25" s="378"/>
      <c r="O25" s="378"/>
      <c r="P25" s="378"/>
      <c r="Q25" s="378"/>
      <c r="R25" s="378"/>
      <c r="S25" s="378"/>
      <c r="T25" s="378"/>
      <c r="U25" s="378"/>
      <c r="V25" s="378"/>
      <c r="W25" s="378"/>
      <c r="X25" s="378"/>
      <c r="Y25" s="378"/>
      <c r="Z25" s="378"/>
      <c r="AA25" s="147"/>
      <c r="AB25" s="148"/>
      <c r="AC25" s="137"/>
      <c r="AD25" s="137"/>
      <c r="AE25" s="314" t="s">
        <v>50</v>
      </c>
      <c r="AF25" s="137"/>
      <c r="AG25" s="304" t="s">
        <v>51</v>
      </c>
      <c r="AH25" s="304"/>
      <c r="AI25" s="304"/>
      <c r="AJ25" s="304"/>
      <c r="AK25" s="304"/>
      <c r="AL25" s="304"/>
      <c r="AM25" s="304"/>
      <c r="AN25" s="304"/>
      <c r="AO25" s="304"/>
      <c r="AP25" s="304"/>
      <c r="AQ25" s="304"/>
      <c r="AR25" s="304"/>
      <c r="AS25" s="304"/>
      <c r="AT25" s="304"/>
      <c r="AU25" s="304"/>
      <c r="AV25" s="304"/>
      <c r="AW25" s="304"/>
      <c r="AX25" s="304"/>
      <c r="AY25" s="304"/>
      <c r="AZ25" s="30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row>
    <row r="26" spans="1:74" s="142" customFormat="1" ht="7.5" customHeight="1">
      <c r="A26" s="135"/>
      <c r="B26" s="303"/>
      <c r="C26" s="304"/>
      <c r="D26" s="304"/>
      <c r="E26" s="304"/>
      <c r="F26" s="304"/>
      <c r="G26" s="372"/>
      <c r="H26" s="379"/>
      <c r="I26" s="379"/>
      <c r="J26" s="379"/>
      <c r="K26" s="379"/>
      <c r="L26" s="379"/>
      <c r="M26" s="379"/>
      <c r="N26" s="379"/>
      <c r="O26" s="379"/>
      <c r="P26" s="379"/>
      <c r="Q26" s="379"/>
      <c r="R26" s="379"/>
      <c r="S26" s="379"/>
      <c r="T26" s="379"/>
      <c r="U26" s="379"/>
      <c r="V26" s="379"/>
      <c r="W26" s="379"/>
      <c r="X26" s="379"/>
      <c r="Y26" s="379"/>
      <c r="Z26" s="379"/>
      <c r="AA26" s="149"/>
      <c r="AB26" s="150"/>
      <c r="AC26" s="137"/>
      <c r="AD26" s="137"/>
      <c r="AE26" s="314"/>
      <c r="AF26" s="137"/>
      <c r="AG26" s="304"/>
      <c r="AH26" s="304"/>
      <c r="AI26" s="304"/>
      <c r="AJ26" s="304"/>
      <c r="AK26" s="304"/>
      <c r="AL26" s="304"/>
      <c r="AM26" s="304"/>
      <c r="AN26" s="304"/>
      <c r="AO26" s="304"/>
      <c r="AP26" s="304"/>
      <c r="AQ26" s="304"/>
      <c r="AR26" s="304"/>
      <c r="AS26" s="304"/>
      <c r="AT26" s="304"/>
      <c r="AU26" s="304"/>
      <c r="AV26" s="304"/>
      <c r="AW26" s="304"/>
      <c r="AX26" s="304"/>
      <c r="AY26" s="304"/>
      <c r="AZ26" s="30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row>
    <row r="27" spans="1:74" s="142" customFormat="1" ht="7.5" customHeight="1">
      <c r="A27" s="135"/>
      <c r="B27" s="303" t="s">
        <v>52</v>
      </c>
      <c r="C27" s="304"/>
      <c r="D27" s="304"/>
      <c r="E27" s="304"/>
      <c r="F27" s="304"/>
      <c r="G27" s="372" t="s">
        <v>33</v>
      </c>
      <c r="H27" s="373"/>
      <c r="I27" s="373"/>
      <c r="J27" s="373"/>
      <c r="K27" s="373"/>
      <c r="L27" s="373"/>
      <c r="M27" s="373"/>
      <c r="N27" s="373"/>
      <c r="O27" s="373"/>
      <c r="P27" s="373"/>
      <c r="Q27" s="373"/>
      <c r="R27" s="373"/>
      <c r="S27" s="373"/>
      <c r="T27" s="373"/>
      <c r="U27" s="373"/>
      <c r="V27" s="373"/>
      <c r="W27" s="373"/>
      <c r="X27" s="373"/>
      <c r="Y27" s="373"/>
      <c r="Z27" s="373"/>
      <c r="AA27" s="149"/>
      <c r="AB27" s="150"/>
      <c r="AC27" s="137"/>
      <c r="AD27" s="137"/>
      <c r="AE27" s="314"/>
      <c r="AF27" s="137"/>
      <c r="AG27" s="304" t="s">
        <v>53</v>
      </c>
      <c r="AH27" s="304"/>
      <c r="AI27" s="304"/>
      <c r="AJ27" s="304"/>
      <c r="AK27" s="304"/>
      <c r="AL27" s="304"/>
      <c r="AM27" s="304"/>
      <c r="AN27" s="304"/>
      <c r="AO27" s="304"/>
      <c r="AP27" s="304"/>
      <c r="AQ27" s="304"/>
      <c r="AR27" s="304"/>
      <c r="AS27" s="304"/>
      <c r="AT27" s="304"/>
      <c r="AU27" s="304"/>
      <c r="AV27" s="304"/>
      <c r="AW27" s="304"/>
      <c r="AX27" s="304"/>
      <c r="AY27" s="304"/>
      <c r="AZ27" s="305"/>
      <c r="BA27" s="135"/>
      <c r="BB27" s="135"/>
      <c r="BC27" s="135"/>
      <c r="BD27" s="135"/>
      <c r="BE27" s="135"/>
      <c r="BF27" s="135"/>
      <c r="BG27" s="135"/>
      <c r="BH27" s="135"/>
      <c r="BI27" s="135"/>
      <c r="BJ27" s="135"/>
      <c r="BK27" s="135"/>
      <c r="BL27" s="135"/>
      <c r="BM27" s="135"/>
      <c r="BN27" s="135"/>
      <c r="BO27" s="302"/>
      <c r="BP27" s="302"/>
      <c r="BQ27" s="135"/>
      <c r="BR27" s="135"/>
      <c r="BS27" s="135"/>
      <c r="BT27" s="135"/>
      <c r="BU27" s="135"/>
      <c r="BV27" s="135"/>
    </row>
    <row r="28" spans="1:74" s="142" customFormat="1" ht="7.5" customHeight="1">
      <c r="A28" s="135"/>
      <c r="B28" s="303"/>
      <c r="C28" s="304"/>
      <c r="D28" s="304"/>
      <c r="E28" s="304"/>
      <c r="F28" s="304"/>
      <c r="G28" s="372"/>
      <c r="H28" s="374"/>
      <c r="I28" s="374"/>
      <c r="J28" s="374"/>
      <c r="K28" s="374"/>
      <c r="L28" s="374"/>
      <c r="M28" s="374"/>
      <c r="N28" s="374"/>
      <c r="O28" s="374"/>
      <c r="P28" s="374"/>
      <c r="Q28" s="374"/>
      <c r="R28" s="374"/>
      <c r="S28" s="374"/>
      <c r="T28" s="374"/>
      <c r="U28" s="374"/>
      <c r="V28" s="374"/>
      <c r="W28" s="374"/>
      <c r="X28" s="374"/>
      <c r="Y28" s="374"/>
      <c r="Z28" s="374"/>
      <c r="AA28" s="149"/>
      <c r="AB28" s="150"/>
      <c r="AC28" s="137"/>
      <c r="AD28" s="137"/>
      <c r="AE28" s="314"/>
      <c r="AF28" s="137"/>
      <c r="AG28" s="304"/>
      <c r="AH28" s="304"/>
      <c r="AI28" s="304"/>
      <c r="AJ28" s="304"/>
      <c r="AK28" s="304"/>
      <c r="AL28" s="304"/>
      <c r="AM28" s="304"/>
      <c r="AN28" s="304"/>
      <c r="AO28" s="304"/>
      <c r="AP28" s="304"/>
      <c r="AQ28" s="304"/>
      <c r="AR28" s="304"/>
      <c r="AS28" s="304"/>
      <c r="AT28" s="304"/>
      <c r="AU28" s="304"/>
      <c r="AV28" s="304"/>
      <c r="AW28" s="304"/>
      <c r="AX28" s="304"/>
      <c r="AY28" s="304"/>
      <c r="AZ28" s="305"/>
      <c r="BA28" s="135"/>
      <c r="BB28" s="135"/>
      <c r="BC28" s="135"/>
      <c r="BD28" s="135"/>
      <c r="BE28" s="135"/>
      <c r="BF28" s="135"/>
      <c r="BG28" s="135"/>
      <c r="BH28" s="135"/>
      <c r="BI28" s="135"/>
      <c r="BJ28" s="135"/>
      <c r="BK28" s="135"/>
      <c r="BL28" s="135"/>
      <c r="BM28" s="135"/>
      <c r="BN28" s="135"/>
      <c r="BO28" s="302"/>
      <c r="BP28" s="302"/>
      <c r="BQ28" s="135"/>
      <c r="BR28" s="135"/>
      <c r="BS28" s="135"/>
      <c r="BT28" s="135"/>
      <c r="BU28" s="135"/>
      <c r="BV28" s="135"/>
    </row>
    <row r="29" spans="1:74" s="142" customFormat="1" ht="13.5" customHeight="1">
      <c r="A29" s="135"/>
      <c r="B29" s="136"/>
      <c r="C29" s="137"/>
      <c r="D29" s="137"/>
      <c r="E29" s="137"/>
      <c r="F29" s="137"/>
      <c r="G29" s="137"/>
      <c r="H29" s="374"/>
      <c r="I29" s="374"/>
      <c r="J29" s="374"/>
      <c r="K29" s="374"/>
      <c r="L29" s="374"/>
      <c r="M29" s="374"/>
      <c r="N29" s="374"/>
      <c r="O29" s="374"/>
      <c r="P29" s="374"/>
      <c r="Q29" s="374"/>
      <c r="R29" s="374"/>
      <c r="S29" s="374"/>
      <c r="T29" s="374"/>
      <c r="U29" s="374"/>
      <c r="V29" s="374"/>
      <c r="W29" s="374"/>
      <c r="X29" s="374"/>
      <c r="Y29" s="374"/>
      <c r="Z29" s="374"/>
      <c r="AA29" s="149"/>
      <c r="AB29" s="150"/>
      <c r="AC29" s="137"/>
      <c r="AD29" s="137"/>
      <c r="AE29" s="137"/>
      <c r="AF29" s="137"/>
      <c r="AG29" s="377" t="s">
        <v>135</v>
      </c>
      <c r="AH29" s="377"/>
      <c r="AI29" s="377"/>
      <c r="AJ29" s="377"/>
      <c r="AK29" s="377"/>
      <c r="AL29" s="377"/>
      <c r="AM29" s="377"/>
      <c r="AN29" s="377"/>
      <c r="AO29" s="377"/>
      <c r="AP29" s="377"/>
      <c r="AQ29" s="377"/>
      <c r="AR29" s="377"/>
      <c r="AS29" s="377"/>
      <c r="AT29" s="377"/>
      <c r="AU29" s="377"/>
      <c r="AV29" s="377"/>
      <c r="AW29" s="377"/>
      <c r="AX29" s="377"/>
      <c r="AY29" s="137"/>
      <c r="AZ29" s="140"/>
      <c r="BA29" s="135"/>
      <c r="BB29" s="135"/>
      <c r="BC29" s="135"/>
      <c r="BD29" s="135"/>
      <c r="BE29" s="135"/>
      <c r="BF29" s="135"/>
      <c r="BG29" s="135"/>
      <c r="BH29" s="135"/>
      <c r="BI29" s="135"/>
      <c r="BJ29" s="135"/>
      <c r="BK29" s="135"/>
      <c r="BL29" s="135"/>
      <c r="BM29" s="135"/>
      <c r="BN29" s="135"/>
      <c r="BO29" s="135"/>
      <c r="BP29" s="135"/>
      <c r="BQ29" s="135"/>
      <c r="BR29" s="135"/>
      <c r="BS29" s="135"/>
      <c r="BT29" s="135"/>
      <c r="BU29" s="135"/>
      <c r="BV29" s="135"/>
    </row>
    <row r="30" spans="1:74" s="142" customFormat="1" ht="2.25" customHeight="1" thickBot="1">
      <c r="A30" s="135"/>
      <c r="B30" s="136"/>
      <c r="C30" s="137"/>
      <c r="D30" s="137"/>
      <c r="E30" s="137"/>
      <c r="F30" s="137"/>
      <c r="G30" s="137"/>
      <c r="H30" s="375"/>
      <c r="I30" s="375"/>
      <c r="J30" s="375"/>
      <c r="K30" s="375"/>
      <c r="L30" s="375"/>
      <c r="M30" s="375"/>
      <c r="N30" s="375"/>
      <c r="O30" s="375"/>
      <c r="P30" s="375"/>
      <c r="Q30" s="375"/>
      <c r="R30" s="375"/>
      <c r="S30" s="375"/>
      <c r="T30" s="375"/>
      <c r="U30" s="375"/>
      <c r="V30" s="375"/>
      <c r="W30" s="375"/>
      <c r="X30" s="375"/>
      <c r="Y30" s="375"/>
      <c r="Z30" s="375"/>
      <c r="AA30" s="151"/>
      <c r="AB30" s="152"/>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40"/>
      <c r="BA30" s="135"/>
      <c r="BB30" s="135"/>
      <c r="BC30" s="135"/>
      <c r="BD30" s="135"/>
      <c r="BE30" s="135"/>
      <c r="BF30" s="135"/>
      <c r="BG30" s="135"/>
      <c r="BH30" s="135"/>
      <c r="BI30" s="135"/>
      <c r="BJ30" s="135"/>
      <c r="BK30" s="135"/>
      <c r="BL30" s="135"/>
      <c r="BM30" s="135"/>
      <c r="BN30" s="135"/>
      <c r="BO30" s="135"/>
      <c r="BP30" s="135"/>
      <c r="BQ30" s="135"/>
      <c r="BR30" s="135"/>
      <c r="BS30" s="135"/>
      <c r="BT30" s="135"/>
      <c r="BU30" s="135"/>
      <c r="BV30" s="135"/>
    </row>
    <row r="31" spans="1:74" s="142" customFormat="1" ht="13.5" thickBot="1">
      <c r="A31" s="135"/>
      <c r="B31" s="309" t="s">
        <v>54</v>
      </c>
      <c r="C31" s="310"/>
      <c r="D31" s="310"/>
      <c r="E31" s="310"/>
      <c r="F31" s="310"/>
      <c r="G31" s="310"/>
      <c r="H31" s="310"/>
      <c r="I31" s="310"/>
      <c r="J31" s="310"/>
      <c r="K31" s="310"/>
      <c r="L31" s="310"/>
      <c r="M31" s="310"/>
      <c r="N31" s="310"/>
      <c r="O31" s="310"/>
      <c r="P31" s="310"/>
      <c r="Q31" s="310"/>
      <c r="R31" s="310"/>
      <c r="S31" s="310"/>
      <c r="T31" s="310"/>
      <c r="U31" s="310"/>
      <c r="V31" s="310"/>
      <c r="W31" s="310"/>
      <c r="X31" s="310"/>
      <c r="Y31" s="310"/>
      <c r="Z31" s="310"/>
      <c r="AA31" s="310"/>
      <c r="AB31" s="310"/>
      <c r="AC31" s="310"/>
      <c r="AD31" s="310"/>
      <c r="AE31" s="310"/>
      <c r="AF31" s="310"/>
      <c r="AG31" s="310"/>
      <c r="AH31" s="310"/>
      <c r="AI31" s="310"/>
      <c r="AJ31" s="310"/>
      <c r="AK31" s="310"/>
      <c r="AL31" s="310"/>
      <c r="AM31" s="310"/>
      <c r="AN31" s="310"/>
      <c r="AO31" s="310"/>
      <c r="AP31" s="310"/>
      <c r="AQ31" s="310"/>
      <c r="AR31" s="310"/>
      <c r="AS31" s="310"/>
      <c r="AT31" s="310"/>
      <c r="AU31" s="310"/>
      <c r="AV31" s="310"/>
      <c r="AW31" s="310"/>
      <c r="AX31" s="310"/>
      <c r="AY31" s="310"/>
      <c r="AZ31" s="311"/>
      <c r="BA31" s="135"/>
      <c r="BB31" s="135"/>
      <c r="BC31" s="135"/>
      <c r="BD31" s="135"/>
      <c r="BE31" s="135"/>
      <c r="BF31" s="135"/>
      <c r="BG31" s="135"/>
      <c r="BH31" s="135"/>
      <c r="BI31" s="135"/>
      <c r="BJ31" s="135"/>
      <c r="BK31" s="135"/>
      <c r="BL31" s="135"/>
      <c r="BM31" s="135"/>
      <c r="BN31" s="135"/>
      <c r="BO31" s="135"/>
      <c r="BP31" s="135"/>
      <c r="BQ31" s="135"/>
      <c r="BR31" s="135"/>
      <c r="BS31" s="135"/>
      <c r="BT31" s="135"/>
      <c r="BU31" s="135"/>
      <c r="BV31" s="135"/>
    </row>
    <row r="32" spans="1:74" s="142" customFormat="1" ht="12.75">
      <c r="A32" s="135"/>
      <c r="B32" s="313" t="s">
        <v>18</v>
      </c>
      <c r="C32" s="314"/>
      <c r="D32" s="314"/>
      <c r="E32" s="314"/>
      <c r="F32" s="314"/>
      <c r="G32" s="314"/>
      <c r="H32" s="314"/>
      <c r="I32" s="314"/>
      <c r="J32" s="314"/>
      <c r="K32" s="314"/>
      <c r="L32" s="314"/>
      <c r="M32" s="314"/>
      <c r="N32" s="314"/>
      <c r="O32" s="314"/>
      <c r="P32" s="314"/>
      <c r="Q32" s="315" t="s">
        <v>19</v>
      </c>
      <c r="R32" s="314"/>
      <c r="S32" s="314"/>
      <c r="T32" s="314"/>
      <c r="U32" s="314"/>
      <c r="V32" s="314"/>
      <c r="W32" s="314"/>
      <c r="X32" s="314"/>
      <c r="Y32" s="314"/>
      <c r="Z32" s="314"/>
      <c r="AA32" s="316"/>
      <c r="AB32" s="314" t="s">
        <v>20</v>
      </c>
      <c r="AC32" s="314"/>
      <c r="AD32" s="314"/>
      <c r="AE32" s="314"/>
      <c r="AF32" s="314"/>
      <c r="AG32" s="314"/>
      <c r="AH32" s="314"/>
      <c r="AI32" s="314"/>
      <c r="AJ32" s="314"/>
      <c r="AK32" s="314"/>
      <c r="AL32" s="314"/>
      <c r="AM32" s="314"/>
      <c r="AN32" s="316"/>
      <c r="AO32" s="314" t="s">
        <v>21</v>
      </c>
      <c r="AP32" s="314"/>
      <c r="AQ32" s="314"/>
      <c r="AR32" s="314"/>
      <c r="AS32" s="314"/>
      <c r="AT32" s="314"/>
      <c r="AU32" s="314"/>
      <c r="AV32" s="314"/>
      <c r="AW32" s="314"/>
      <c r="AX32" s="314"/>
      <c r="AY32" s="314"/>
      <c r="AZ32" s="317"/>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row>
    <row r="33" spans="1:74" s="142" customFormat="1" ht="13.5">
      <c r="A33" s="135"/>
      <c r="B33" s="327" t="s">
        <v>156</v>
      </c>
      <c r="C33" s="328"/>
      <c r="D33" s="328"/>
      <c r="E33" s="328"/>
      <c r="F33" s="328"/>
      <c r="G33" s="328"/>
      <c r="H33" s="328"/>
      <c r="I33" s="328"/>
      <c r="J33" s="328"/>
      <c r="K33" s="328"/>
      <c r="L33" s="328"/>
      <c r="M33" s="328"/>
      <c r="N33" s="328"/>
      <c r="O33" s="328"/>
      <c r="P33" s="329"/>
      <c r="Q33" s="416">
        <v>28039</v>
      </c>
      <c r="R33" s="328"/>
      <c r="S33" s="328"/>
      <c r="T33" s="328"/>
      <c r="U33" s="328"/>
      <c r="V33" s="328"/>
      <c r="W33" s="328"/>
      <c r="X33" s="328"/>
      <c r="Y33" s="328"/>
      <c r="Z33" s="328"/>
      <c r="AA33" s="329"/>
      <c r="AB33" s="409" t="s">
        <v>157</v>
      </c>
      <c r="AC33" s="410"/>
      <c r="AD33" s="410"/>
      <c r="AE33" s="410"/>
      <c r="AF33" s="410"/>
      <c r="AG33" s="410"/>
      <c r="AH33" s="410"/>
      <c r="AI33" s="410"/>
      <c r="AJ33" s="410"/>
      <c r="AK33" s="410"/>
      <c r="AL33" s="410"/>
      <c r="AM33" s="410"/>
      <c r="AN33" s="411"/>
      <c r="AO33" s="412">
        <v>46211</v>
      </c>
      <c r="AP33" s="413"/>
      <c r="AQ33" s="413"/>
      <c r="AR33" s="413"/>
      <c r="AS33" s="413"/>
      <c r="AT33" s="413"/>
      <c r="AU33" s="413"/>
      <c r="AV33" s="413"/>
      <c r="AW33" s="413"/>
      <c r="AX33" s="413"/>
      <c r="AY33" s="413"/>
      <c r="AZ33" s="414"/>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row>
    <row r="34" spans="1:74" s="142" customFormat="1" ht="14.25" thickBot="1">
      <c r="A34" s="135"/>
      <c r="B34" s="415"/>
      <c r="C34" s="401"/>
      <c r="D34" s="401"/>
      <c r="E34" s="401"/>
      <c r="F34" s="401"/>
      <c r="G34" s="401"/>
      <c r="H34" s="401"/>
      <c r="I34" s="401"/>
      <c r="J34" s="401"/>
      <c r="K34" s="401"/>
      <c r="L34" s="401"/>
      <c r="M34" s="401"/>
      <c r="N34" s="401"/>
      <c r="O34" s="401"/>
      <c r="P34" s="401"/>
      <c r="Q34" s="400"/>
      <c r="R34" s="401"/>
      <c r="S34" s="401"/>
      <c r="T34" s="401"/>
      <c r="U34" s="401"/>
      <c r="V34" s="401"/>
      <c r="W34" s="401"/>
      <c r="X34" s="401"/>
      <c r="Y34" s="401"/>
      <c r="Z34" s="401"/>
      <c r="AA34" s="402"/>
      <c r="AB34" s="401"/>
      <c r="AC34" s="401"/>
      <c r="AD34" s="401"/>
      <c r="AE34" s="401"/>
      <c r="AF34" s="401"/>
      <c r="AG34" s="401"/>
      <c r="AH34" s="401"/>
      <c r="AI34" s="401"/>
      <c r="AJ34" s="401"/>
      <c r="AK34" s="401"/>
      <c r="AL34" s="401"/>
      <c r="AM34" s="401"/>
      <c r="AN34" s="402"/>
      <c r="AO34" s="403"/>
      <c r="AP34" s="401"/>
      <c r="AQ34" s="401"/>
      <c r="AR34" s="401"/>
      <c r="AS34" s="401"/>
      <c r="AT34" s="401"/>
      <c r="AU34" s="401"/>
      <c r="AV34" s="401"/>
      <c r="AW34" s="401"/>
      <c r="AX34" s="401"/>
      <c r="AY34" s="401"/>
      <c r="AZ34" s="404"/>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row>
    <row r="35" spans="1:74" s="142" customFormat="1" ht="13.5" thickBot="1">
      <c r="A35" s="135"/>
      <c r="B35" s="385" t="s">
        <v>55</v>
      </c>
      <c r="C35" s="386"/>
      <c r="D35" s="386"/>
      <c r="E35" s="386"/>
      <c r="F35" s="386"/>
      <c r="G35" s="386"/>
      <c r="H35" s="386"/>
      <c r="I35" s="386"/>
      <c r="J35" s="386"/>
      <c r="K35" s="386"/>
      <c r="L35" s="386"/>
      <c r="M35" s="386"/>
      <c r="N35" s="386"/>
      <c r="O35" s="386"/>
      <c r="P35" s="386"/>
      <c r="Q35" s="386"/>
      <c r="R35" s="386"/>
      <c r="S35" s="386"/>
      <c r="T35" s="386"/>
      <c r="U35" s="386"/>
      <c r="V35" s="386"/>
      <c r="W35" s="386"/>
      <c r="X35" s="386"/>
      <c r="Y35" s="386"/>
      <c r="Z35" s="386"/>
      <c r="AA35" s="386"/>
      <c r="AB35" s="386"/>
      <c r="AC35" s="386"/>
      <c r="AD35" s="386"/>
      <c r="AE35" s="386"/>
      <c r="AF35" s="386"/>
      <c r="AG35" s="386"/>
      <c r="AH35" s="386"/>
      <c r="AI35" s="386"/>
      <c r="AJ35" s="386"/>
      <c r="AK35" s="386"/>
      <c r="AL35" s="386"/>
      <c r="AM35" s="386"/>
      <c r="AN35" s="386"/>
      <c r="AO35" s="386"/>
      <c r="AP35" s="386"/>
      <c r="AQ35" s="386"/>
      <c r="AR35" s="386"/>
      <c r="AS35" s="386"/>
      <c r="AT35" s="386"/>
      <c r="AU35" s="386"/>
      <c r="AV35" s="386"/>
      <c r="AW35" s="386"/>
      <c r="AX35" s="386"/>
      <c r="AY35" s="386"/>
      <c r="AZ35" s="387"/>
      <c r="BA35" s="135"/>
      <c r="BB35" s="135"/>
      <c r="BC35" s="135"/>
      <c r="BD35" s="135"/>
      <c r="BE35" s="135"/>
      <c r="BF35" s="135"/>
      <c r="BG35" s="135"/>
      <c r="BH35" s="135"/>
      <c r="BI35" s="135"/>
      <c r="BJ35" s="135"/>
      <c r="BK35" s="135"/>
      <c r="BL35" s="135"/>
      <c r="BM35" s="135"/>
      <c r="BN35" s="135"/>
      <c r="BO35" s="135"/>
      <c r="BP35" s="135"/>
      <c r="BQ35" s="135"/>
      <c r="BR35" s="135"/>
      <c r="BS35" s="135"/>
      <c r="BT35" s="135"/>
      <c r="BU35" s="135"/>
      <c r="BV35" s="135"/>
    </row>
    <row r="36" spans="1:74" s="142" customFormat="1" ht="12.75">
      <c r="A36" s="135"/>
      <c r="B36" s="313" t="s">
        <v>18</v>
      </c>
      <c r="C36" s="314"/>
      <c r="D36" s="314"/>
      <c r="E36" s="314"/>
      <c r="F36" s="314"/>
      <c r="G36" s="314"/>
      <c r="H36" s="314"/>
      <c r="I36" s="314"/>
      <c r="J36" s="314"/>
      <c r="K36" s="314"/>
      <c r="L36" s="314"/>
      <c r="M36" s="314"/>
      <c r="N36" s="314"/>
      <c r="O36" s="314"/>
      <c r="P36" s="314"/>
      <c r="Q36" s="315" t="s">
        <v>19</v>
      </c>
      <c r="R36" s="314"/>
      <c r="S36" s="314"/>
      <c r="T36" s="314"/>
      <c r="U36" s="314"/>
      <c r="V36" s="314"/>
      <c r="W36" s="314"/>
      <c r="X36" s="314"/>
      <c r="Y36" s="314"/>
      <c r="Z36" s="314"/>
      <c r="AA36" s="316"/>
      <c r="AB36" s="314" t="s">
        <v>56</v>
      </c>
      <c r="AC36" s="314"/>
      <c r="AD36" s="314"/>
      <c r="AE36" s="314"/>
      <c r="AF36" s="314"/>
      <c r="AG36" s="314"/>
      <c r="AH36" s="314"/>
      <c r="AI36" s="314"/>
      <c r="AJ36" s="314"/>
      <c r="AK36" s="314"/>
      <c r="AL36" s="314"/>
      <c r="AM36" s="314"/>
      <c r="AN36" s="316"/>
      <c r="AO36" s="314" t="s">
        <v>37</v>
      </c>
      <c r="AP36" s="314"/>
      <c r="AQ36" s="314"/>
      <c r="AR36" s="314"/>
      <c r="AS36" s="314"/>
      <c r="AT36" s="314"/>
      <c r="AU36" s="314"/>
      <c r="AV36" s="314"/>
      <c r="AW36" s="314"/>
      <c r="AX36" s="314"/>
      <c r="AY36" s="314"/>
      <c r="AZ36" s="317"/>
      <c r="BA36" s="135"/>
      <c r="BB36" s="135"/>
      <c r="BC36" s="135"/>
      <c r="BD36" s="135"/>
      <c r="BE36" s="135"/>
      <c r="BF36" s="135"/>
      <c r="BG36" s="135"/>
      <c r="BH36" s="135"/>
      <c r="BI36" s="135"/>
      <c r="BJ36" s="135"/>
      <c r="BK36" s="135"/>
      <c r="BL36" s="135"/>
      <c r="BM36" s="135"/>
      <c r="BN36" s="135"/>
      <c r="BO36" s="135"/>
      <c r="BP36" s="135"/>
      <c r="BQ36" s="135"/>
      <c r="BR36" s="135"/>
      <c r="BS36" s="135"/>
      <c r="BT36" s="135"/>
      <c r="BU36" s="135"/>
      <c r="BV36" s="135"/>
    </row>
    <row r="37" spans="1:74" s="142" customFormat="1" ht="12.75">
      <c r="A37" s="135"/>
      <c r="B37" s="318" t="s">
        <v>57</v>
      </c>
      <c r="C37" s="319"/>
      <c r="D37" s="319"/>
      <c r="E37" s="319"/>
      <c r="F37" s="319"/>
      <c r="G37" s="319"/>
      <c r="H37" s="319"/>
      <c r="I37" s="319"/>
      <c r="J37" s="319"/>
      <c r="K37" s="319"/>
      <c r="L37" s="319"/>
      <c r="M37" s="319"/>
      <c r="N37" s="319"/>
      <c r="O37" s="319"/>
      <c r="P37" s="319"/>
      <c r="Q37" s="320" t="s">
        <v>57</v>
      </c>
      <c r="R37" s="319"/>
      <c r="S37" s="319"/>
      <c r="T37" s="319"/>
      <c r="U37" s="319"/>
      <c r="V37" s="319"/>
      <c r="W37" s="319"/>
      <c r="X37" s="319"/>
      <c r="Y37" s="319"/>
      <c r="Z37" s="319"/>
      <c r="AA37" s="321"/>
      <c r="AB37" s="322" t="s">
        <v>57</v>
      </c>
      <c r="AC37" s="319"/>
      <c r="AD37" s="319"/>
      <c r="AE37" s="319"/>
      <c r="AF37" s="319"/>
      <c r="AG37" s="319"/>
      <c r="AH37" s="319"/>
      <c r="AI37" s="319"/>
      <c r="AJ37" s="319"/>
      <c r="AK37" s="319"/>
      <c r="AL37" s="319"/>
      <c r="AM37" s="319"/>
      <c r="AN37" s="321"/>
      <c r="AO37" s="322" t="s">
        <v>57</v>
      </c>
      <c r="AP37" s="319"/>
      <c r="AQ37" s="319"/>
      <c r="AR37" s="319"/>
      <c r="AS37" s="319"/>
      <c r="AT37" s="319"/>
      <c r="AU37" s="319"/>
      <c r="AV37" s="319"/>
      <c r="AW37" s="319"/>
      <c r="AX37" s="319"/>
      <c r="AY37" s="319"/>
      <c r="AZ37" s="323"/>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row>
    <row r="38" spans="1:74" s="142" customFormat="1" ht="13.5" thickBot="1">
      <c r="A38" s="135"/>
      <c r="B38" s="324"/>
      <c r="C38" s="319"/>
      <c r="D38" s="319"/>
      <c r="E38" s="319"/>
      <c r="F38" s="319"/>
      <c r="G38" s="319"/>
      <c r="H38" s="319"/>
      <c r="I38" s="319"/>
      <c r="J38" s="319"/>
      <c r="K38" s="319"/>
      <c r="L38" s="319"/>
      <c r="M38" s="319"/>
      <c r="N38" s="319"/>
      <c r="O38" s="319"/>
      <c r="P38" s="319"/>
      <c r="Q38" s="325"/>
      <c r="R38" s="319"/>
      <c r="S38" s="319"/>
      <c r="T38" s="319"/>
      <c r="U38" s="319"/>
      <c r="V38" s="319"/>
      <c r="W38" s="319"/>
      <c r="X38" s="319"/>
      <c r="Y38" s="319"/>
      <c r="Z38" s="319"/>
      <c r="AA38" s="321"/>
      <c r="AB38" s="319"/>
      <c r="AC38" s="319"/>
      <c r="AD38" s="319"/>
      <c r="AE38" s="319"/>
      <c r="AF38" s="319"/>
      <c r="AG38" s="319"/>
      <c r="AH38" s="319"/>
      <c r="AI38" s="319"/>
      <c r="AJ38" s="319"/>
      <c r="AK38" s="319"/>
      <c r="AL38" s="319"/>
      <c r="AM38" s="319"/>
      <c r="AN38" s="321"/>
      <c r="AO38" s="319"/>
      <c r="AP38" s="319"/>
      <c r="AQ38" s="319"/>
      <c r="AR38" s="319"/>
      <c r="AS38" s="319"/>
      <c r="AT38" s="319"/>
      <c r="AU38" s="319"/>
      <c r="AV38" s="319"/>
      <c r="AW38" s="319"/>
      <c r="AX38" s="319"/>
      <c r="AY38" s="319"/>
      <c r="AZ38" s="323"/>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row>
    <row r="39" spans="1:74" s="142" customFormat="1" ht="15" customHeight="1" thickBot="1">
      <c r="A39" s="135"/>
      <c r="B39" s="309" t="s">
        <v>58</v>
      </c>
      <c r="C39" s="310"/>
      <c r="D39" s="310"/>
      <c r="E39" s="310"/>
      <c r="F39" s="310"/>
      <c r="G39" s="310"/>
      <c r="H39" s="310"/>
      <c r="I39" s="310"/>
      <c r="J39" s="310"/>
      <c r="K39" s="310"/>
      <c r="L39" s="310"/>
      <c r="M39" s="310"/>
      <c r="N39" s="310"/>
      <c r="O39" s="310"/>
      <c r="P39" s="310"/>
      <c r="Q39" s="310"/>
      <c r="R39" s="310"/>
      <c r="S39" s="310"/>
      <c r="T39" s="310"/>
      <c r="U39" s="310"/>
      <c r="V39" s="310"/>
      <c r="W39" s="310"/>
      <c r="X39" s="310"/>
      <c r="Y39" s="310"/>
      <c r="Z39" s="310"/>
      <c r="AA39" s="310"/>
      <c r="AB39" s="310" t="s">
        <v>59</v>
      </c>
      <c r="AC39" s="310"/>
      <c r="AD39" s="310"/>
      <c r="AE39" s="310"/>
      <c r="AF39" s="310"/>
      <c r="AG39" s="310"/>
      <c r="AH39" s="310"/>
      <c r="AI39" s="310"/>
      <c r="AJ39" s="310"/>
      <c r="AK39" s="310"/>
      <c r="AL39" s="310"/>
      <c r="AM39" s="310"/>
      <c r="AN39" s="310"/>
      <c r="AO39" s="310"/>
      <c r="AP39" s="310"/>
      <c r="AQ39" s="310"/>
      <c r="AR39" s="310"/>
      <c r="AS39" s="310"/>
      <c r="AT39" s="310"/>
      <c r="AU39" s="310"/>
      <c r="AV39" s="310"/>
      <c r="AW39" s="310"/>
      <c r="AX39" s="310"/>
      <c r="AY39" s="310"/>
      <c r="AZ39" s="311"/>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row>
    <row r="40" spans="1:74" s="142" customFormat="1" ht="13.5" customHeight="1">
      <c r="A40" s="135"/>
      <c r="B40" s="136"/>
      <c r="C40" s="153"/>
      <c r="D40" s="153"/>
      <c r="E40" s="153"/>
      <c r="F40" s="153"/>
      <c r="G40" s="153"/>
      <c r="H40" s="137"/>
      <c r="I40" s="144" t="s">
        <v>60</v>
      </c>
      <c r="J40" s="137"/>
      <c r="K40" s="153"/>
      <c r="L40" s="137"/>
      <c r="M40" s="137"/>
      <c r="N40" s="153"/>
      <c r="O40" s="153"/>
      <c r="P40" s="137"/>
      <c r="Q40" s="137" t="s">
        <v>61</v>
      </c>
      <c r="R40" s="137"/>
      <c r="S40" s="137"/>
      <c r="T40" s="137"/>
      <c r="U40" s="137"/>
      <c r="V40" s="153"/>
      <c r="W40" s="137"/>
      <c r="X40" s="137"/>
      <c r="Y40" s="153"/>
      <c r="Z40" s="137"/>
      <c r="AA40" s="137"/>
      <c r="AB40" s="406" t="s">
        <v>118</v>
      </c>
      <c r="AC40" s="407"/>
      <c r="AD40" s="407"/>
      <c r="AE40" s="407"/>
      <c r="AF40" s="407"/>
      <c r="AG40" s="407"/>
      <c r="AH40" s="407"/>
      <c r="AI40" s="407"/>
      <c r="AJ40" s="407"/>
      <c r="AK40" s="407"/>
      <c r="AL40" s="407"/>
      <c r="AM40" s="407"/>
      <c r="AN40" s="407"/>
      <c r="AO40" s="407"/>
      <c r="AP40" s="407"/>
      <c r="AQ40" s="407"/>
      <c r="AR40" s="407"/>
      <c r="AS40" s="407"/>
      <c r="AT40" s="407"/>
      <c r="AU40" s="407"/>
      <c r="AV40" s="407"/>
      <c r="AW40" s="407"/>
      <c r="AX40" s="407"/>
      <c r="AY40" s="407"/>
      <c r="AZ40" s="408"/>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row>
    <row r="41" spans="1:74" s="142" customFormat="1" ht="15">
      <c r="A41" s="135"/>
      <c r="B41" s="136"/>
      <c r="C41" s="153"/>
      <c r="D41" s="153"/>
      <c r="E41" s="153"/>
      <c r="F41" s="153"/>
      <c r="G41" s="153"/>
      <c r="H41" s="153"/>
      <c r="I41" s="137"/>
      <c r="J41" s="154" t="s">
        <v>62</v>
      </c>
      <c r="K41" s="312"/>
      <c r="L41" s="312"/>
      <c r="M41" s="137" t="s">
        <v>136</v>
      </c>
      <c r="N41" s="153"/>
      <c r="O41" s="153"/>
      <c r="P41" s="137"/>
      <c r="Q41" s="153"/>
      <c r="R41" s="153"/>
      <c r="S41" s="154" t="s">
        <v>62</v>
      </c>
      <c r="T41" s="312"/>
      <c r="U41" s="312"/>
      <c r="V41" s="137" t="s">
        <v>111</v>
      </c>
      <c r="W41" s="155"/>
      <c r="X41" s="138"/>
      <c r="Y41" s="137"/>
      <c r="Z41" s="137"/>
      <c r="AA41" s="137"/>
      <c r="AB41" s="406"/>
      <c r="AC41" s="407"/>
      <c r="AD41" s="407"/>
      <c r="AE41" s="407"/>
      <c r="AF41" s="407"/>
      <c r="AG41" s="407"/>
      <c r="AH41" s="407"/>
      <c r="AI41" s="407"/>
      <c r="AJ41" s="407"/>
      <c r="AK41" s="407"/>
      <c r="AL41" s="407"/>
      <c r="AM41" s="407"/>
      <c r="AN41" s="407"/>
      <c r="AO41" s="407"/>
      <c r="AP41" s="407"/>
      <c r="AQ41" s="407"/>
      <c r="AR41" s="407"/>
      <c r="AS41" s="407"/>
      <c r="AT41" s="407"/>
      <c r="AU41" s="407"/>
      <c r="AV41" s="407"/>
      <c r="AW41" s="407"/>
      <c r="AX41" s="407"/>
      <c r="AY41" s="407"/>
      <c r="AZ41" s="408"/>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row>
    <row r="42" spans="1:74" s="142" customFormat="1" ht="15.75" customHeight="1">
      <c r="A42" s="135"/>
      <c r="B42" s="136"/>
      <c r="C42" s="153"/>
      <c r="D42" s="153"/>
      <c r="E42" s="153"/>
      <c r="F42" s="153"/>
      <c r="G42" s="153"/>
      <c r="H42" s="153"/>
      <c r="I42" s="137"/>
      <c r="J42" s="154" t="s">
        <v>63</v>
      </c>
      <c r="K42" s="326"/>
      <c r="L42" s="326"/>
      <c r="M42" s="137" t="s">
        <v>136</v>
      </c>
      <c r="N42" s="153"/>
      <c r="O42" s="153"/>
      <c r="P42" s="137"/>
      <c r="Q42" s="153"/>
      <c r="R42" s="153"/>
      <c r="S42" s="154" t="s">
        <v>63</v>
      </c>
      <c r="T42" s="326"/>
      <c r="U42" s="326"/>
      <c r="V42" s="137" t="s">
        <v>111</v>
      </c>
      <c r="W42" s="156"/>
      <c r="X42" s="157"/>
      <c r="Y42" s="137"/>
      <c r="Z42" s="137"/>
      <c r="AA42" s="137"/>
      <c r="AB42" s="406"/>
      <c r="AC42" s="407"/>
      <c r="AD42" s="407"/>
      <c r="AE42" s="407"/>
      <c r="AF42" s="407"/>
      <c r="AG42" s="407"/>
      <c r="AH42" s="407"/>
      <c r="AI42" s="407"/>
      <c r="AJ42" s="407"/>
      <c r="AK42" s="407"/>
      <c r="AL42" s="407"/>
      <c r="AM42" s="407"/>
      <c r="AN42" s="407"/>
      <c r="AO42" s="407"/>
      <c r="AP42" s="407"/>
      <c r="AQ42" s="407"/>
      <c r="AR42" s="407"/>
      <c r="AS42" s="407"/>
      <c r="AT42" s="407"/>
      <c r="AU42" s="407"/>
      <c r="AV42" s="407"/>
      <c r="AW42" s="407"/>
      <c r="AX42" s="407"/>
      <c r="AY42" s="407"/>
      <c r="AZ42" s="408"/>
      <c r="BA42" s="135"/>
      <c r="BB42" s="135"/>
      <c r="BC42" s="135"/>
      <c r="BD42" s="135"/>
      <c r="BE42" s="135"/>
      <c r="BF42" s="135"/>
      <c r="BG42" s="135"/>
      <c r="BH42" s="135"/>
      <c r="BI42" s="135"/>
      <c r="BJ42" s="135"/>
      <c r="BK42" s="135"/>
      <c r="BL42" s="135"/>
      <c r="BM42" s="135"/>
      <c r="BN42" s="135"/>
      <c r="BO42" s="135"/>
      <c r="BP42" s="135"/>
      <c r="BQ42" s="135"/>
      <c r="BR42" s="135"/>
      <c r="BS42" s="135"/>
      <c r="BT42" s="135"/>
      <c r="BU42" s="135"/>
      <c r="BV42" s="135"/>
    </row>
    <row r="43" spans="1:74" s="142" customFormat="1" ht="3.75" customHeight="1" thickBot="1">
      <c r="A43" s="135"/>
      <c r="B43" s="136"/>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c r="AA43" s="158"/>
      <c r="AB43" s="406"/>
      <c r="AC43" s="407"/>
      <c r="AD43" s="407"/>
      <c r="AE43" s="407"/>
      <c r="AF43" s="407"/>
      <c r="AG43" s="407"/>
      <c r="AH43" s="407"/>
      <c r="AI43" s="407"/>
      <c r="AJ43" s="407"/>
      <c r="AK43" s="407"/>
      <c r="AL43" s="407"/>
      <c r="AM43" s="407"/>
      <c r="AN43" s="407"/>
      <c r="AO43" s="407"/>
      <c r="AP43" s="407"/>
      <c r="AQ43" s="407"/>
      <c r="AR43" s="407"/>
      <c r="AS43" s="407"/>
      <c r="AT43" s="407"/>
      <c r="AU43" s="407"/>
      <c r="AV43" s="407"/>
      <c r="AW43" s="407"/>
      <c r="AX43" s="407"/>
      <c r="AY43" s="407"/>
      <c r="AZ43" s="408"/>
      <c r="BA43" s="135"/>
      <c r="BB43" s="135"/>
      <c r="BC43" s="135"/>
      <c r="BD43" s="135"/>
      <c r="BE43" s="135"/>
      <c r="BF43" s="135"/>
      <c r="BG43" s="135"/>
      <c r="BH43" s="135"/>
      <c r="BI43" s="135"/>
      <c r="BJ43" s="135"/>
      <c r="BK43" s="135"/>
      <c r="BL43" s="135"/>
      <c r="BM43" s="135"/>
      <c r="BN43" s="135"/>
      <c r="BO43" s="135"/>
      <c r="BP43" s="135"/>
      <c r="BQ43" s="135"/>
      <c r="BR43" s="135"/>
      <c r="BS43" s="135"/>
      <c r="BT43" s="135"/>
      <c r="BU43" s="135"/>
      <c r="BV43" s="135"/>
    </row>
    <row r="44" spans="1:74" s="142" customFormat="1" ht="15" customHeight="1" thickBot="1">
      <c r="A44" s="135"/>
      <c r="B44" s="159" t="s">
        <v>64</v>
      </c>
      <c r="C44" s="160"/>
      <c r="D44" s="160"/>
      <c r="E44" s="160"/>
      <c r="F44" s="160"/>
      <c r="G44" s="160"/>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0"/>
      <c r="AW44" s="160"/>
      <c r="AX44" s="160"/>
      <c r="AY44" s="160"/>
      <c r="AZ44" s="161"/>
      <c r="BA44" s="135"/>
      <c r="BB44" s="135"/>
      <c r="BC44" s="135"/>
      <c r="BD44" s="135"/>
      <c r="BE44" s="135"/>
      <c r="BF44" s="135"/>
      <c r="BG44" s="135"/>
      <c r="BH44" s="135"/>
      <c r="BI44" s="135"/>
      <c r="BJ44" s="135"/>
      <c r="BK44" s="135"/>
      <c r="BL44" s="135"/>
      <c r="BM44" s="135"/>
      <c r="BN44" s="135"/>
      <c r="BO44" s="135"/>
      <c r="BP44" s="135"/>
      <c r="BQ44" s="135"/>
      <c r="BR44" s="135"/>
      <c r="BS44" s="135"/>
      <c r="BT44" s="135"/>
      <c r="BU44" s="135"/>
      <c r="BV44" s="135"/>
    </row>
    <row r="45" spans="1:74" s="142" customFormat="1" ht="15" customHeight="1">
      <c r="A45" s="135"/>
      <c r="B45" s="136"/>
      <c r="C45" s="405" t="s">
        <v>57</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405"/>
      <c r="AF45" s="405"/>
      <c r="AG45" s="405"/>
      <c r="AH45" s="405"/>
      <c r="AI45" s="405"/>
      <c r="AJ45" s="405"/>
      <c r="AK45" s="405"/>
      <c r="AL45" s="405"/>
      <c r="AM45" s="405"/>
      <c r="AN45" s="405"/>
      <c r="AO45" s="405"/>
      <c r="AP45" s="405"/>
      <c r="AQ45" s="405"/>
      <c r="AR45" s="405"/>
      <c r="AS45" s="405"/>
      <c r="AT45" s="137"/>
      <c r="AU45" s="137" t="s">
        <v>65</v>
      </c>
      <c r="AV45" s="137"/>
      <c r="AW45" s="137"/>
      <c r="AX45" s="137"/>
      <c r="AY45" s="137"/>
      <c r="AZ45" s="140"/>
      <c r="BA45" s="135"/>
      <c r="BB45" s="135"/>
      <c r="BC45" s="135"/>
      <c r="BD45" s="135"/>
      <c r="BE45" s="135"/>
      <c r="BF45" s="135"/>
      <c r="BG45" s="135"/>
      <c r="BH45" s="135"/>
      <c r="BI45" s="135"/>
      <c r="BJ45" s="135"/>
      <c r="BK45" s="135"/>
      <c r="BL45" s="135"/>
      <c r="BM45" s="135"/>
      <c r="BN45" s="135"/>
      <c r="BO45" s="135"/>
      <c r="BP45" s="135"/>
      <c r="BQ45" s="135"/>
      <c r="BR45" s="135"/>
      <c r="BS45" s="135"/>
      <c r="BT45" s="135"/>
      <c r="BU45" s="135"/>
      <c r="BV45" s="135"/>
    </row>
    <row r="46" spans="1:74" s="142" customFormat="1" ht="15" customHeight="1">
      <c r="A46" s="135"/>
      <c r="B46" s="136"/>
      <c r="C46" s="405" t="s">
        <v>57</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405"/>
      <c r="AF46" s="405"/>
      <c r="AG46" s="405"/>
      <c r="AH46" s="405"/>
      <c r="AI46" s="405"/>
      <c r="AJ46" s="405"/>
      <c r="AK46" s="405"/>
      <c r="AL46" s="405"/>
      <c r="AM46" s="405"/>
      <c r="AN46" s="405"/>
      <c r="AO46" s="405"/>
      <c r="AP46" s="405"/>
      <c r="AQ46" s="405"/>
      <c r="AR46" s="405"/>
      <c r="AS46" s="405"/>
      <c r="AT46" s="137"/>
      <c r="AU46" s="162" t="s">
        <v>66</v>
      </c>
      <c r="AV46" s="137"/>
      <c r="AW46" s="137"/>
      <c r="AX46" s="137"/>
      <c r="AY46" s="137"/>
      <c r="AZ46" s="140"/>
      <c r="BA46" s="135"/>
      <c r="BB46" s="135"/>
      <c r="BC46" s="135"/>
      <c r="BD46" s="135"/>
      <c r="BE46" s="135"/>
      <c r="BF46" s="135"/>
      <c r="BG46" s="135"/>
      <c r="BH46" s="135"/>
      <c r="BI46" s="135"/>
      <c r="BJ46" s="135"/>
      <c r="BK46" s="135"/>
      <c r="BL46" s="135"/>
      <c r="BM46" s="135"/>
      <c r="BN46" s="135"/>
      <c r="BO46" s="135"/>
      <c r="BP46" s="135"/>
      <c r="BQ46" s="135"/>
      <c r="BR46" s="135"/>
      <c r="BS46" s="135"/>
      <c r="BT46" s="135"/>
      <c r="BU46" s="135"/>
      <c r="BV46" s="135"/>
    </row>
    <row r="47" spans="1:74" s="142" customFormat="1" ht="12.75">
      <c r="A47" s="135"/>
      <c r="B47" s="136"/>
      <c r="C47" s="405" t="s">
        <v>57</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405"/>
      <c r="AF47" s="405"/>
      <c r="AG47" s="405"/>
      <c r="AH47" s="405"/>
      <c r="AI47" s="405"/>
      <c r="AJ47" s="405"/>
      <c r="AK47" s="405"/>
      <c r="AL47" s="405"/>
      <c r="AM47" s="405"/>
      <c r="AN47" s="405"/>
      <c r="AO47" s="405"/>
      <c r="AP47" s="405"/>
      <c r="AQ47" s="405"/>
      <c r="AR47" s="405"/>
      <c r="AS47" s="405"/>
      <c r="AT47" s="137"/>
      <c r="AU47" s="137"/>
      <c r="AV47" s="163"/>
      <c r="AW47" s="163"/>
      <c r="AX47" s="137" t="s">
        <v>45</v>
      </c>
      <c r="AY47" s="137"/>
      <c r="AZ47" s="140"/>
      <c r="BA47" s="135"/>
      <c r="BB47" s="135"/>
      <c r="BC47" s="135"/>
      <c r="BD47" s="135"/>
      <c r="BE47" s="135"/>
      <c r="BF47" s="135"/>
      <c r="BG47" s="135"/>
      <c r="BH47" s="135"/>
      <c r="BI47" s="135"/>
      <c r="BJ47" s="135"/>
      <c r="BK47" s="135"/>
      <c r="BL47" s="135"/>
      <c r="BM47" s="135"/>
      <c r="BN47" s="135"/>
      <c r="BO47" s="135"/>
      <c r="BP47" s="135"/>
      <c r="BQ47" s="135"/>
      <c r="BR47" s="135"/>
      <c r="BS47" s="135"/>
      <c r="BT47" s="135"/>
      <c r="BU47" s="135"/>
      <c r="BV47" s="135"/>
    </row>
    <row r="48" spans="1:74" s="142" customFormat="1" ht="15" customHeight="1">
      <c r="A48" s="135"/>
      <c r="B48" s="136"/>
      <c r="C48" s="405" t="s">
        <v>57</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405"/>
      <c r="AF48" s="405"/>
      <c r="AG48" s="405"/>
      <c r="AH48" s="405"/>
      <c r="AI48" s="405"/>
      <c r="AJ48" s="405"/>
      <c r="AK48" s="405"/>
      <c r="AL48" s="405"/>
      <c r="AM48" s="405"/>
      <c r="AN48" s="405"/>
      <c r="AO48" s="405"/>
      <c r="AP48" s="405"/>
      <c r="AQ48" s="405"/>
      <c r="AR48" s="405"/>
      <c r="AS48" s="405"/>
      <c r="AT48" s="137"/>
      <c r="AU48" s="137"/>
      <c r="AV48" s="137"/>
      <c r="AW48" s="163" t="s">
        <v>50</v>
      </c>
      <c r="AX48" s="137" t="s">
        <v>67</v>
      </c>
      <c r="AY48" s="137"/>
      <c r="AZ48" s="140"/>
      <c r="BA48" s="135"/>
      <c r="BB48" s="135"/>
      <c r="BC48" s="135"/>
      <c r="BD48" s="135"/>
      <c r="BE48" s="135"/>
      <c r="BF48" s="135"/>
      <c r="BG48" s="135"/>
      <c r="BH48" s="135"/>
      <c r="BI48" s="135"/>
      <c r="BJ48" s="135"/>
      <c r="BK48" s="135"/>
      <c r="BL48" s="135"/>
      <c r="BM48" s="135"/>
      <c r="BN48" s="135"/>
      <c r="BO48" s="135"/>
      <c r="BP48" s="135"/>
      <c r="BQ48" s="135"/>
      <c r="BR48" s="135"/>
      <c r="BS48" s="135"/>
      <c r="BT48" s="135"/>
      <c r="BU48" s="135"/>
      <c r="BV48" s="135"/>
    </row>
    <row r="49" spans="1:109" s="142" customFormat="1" ht="3.75" customHeight="1" thickBot="1">
      <c r="A49" s="135"/>
      <c r="B49" s="136"/>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c r="AA49" s="164"/>
      <c r="AB49" s="164"/>
      <c r="AC49" s="164"/>
      <c r="AD49" s="164"/>
      <c r="AE49" s="164"/>
      <c r="AF49" s="164"/>
      <c r="AG49" s="164"/>
      <c r="AH49" s="164"/>
      <c r="AI49" s="164"/>
      <c r="AJ49" s="164"/>
      <c r="AK49" s="164"/>
      <c r="AL49" s="164"/>
      <c r="AM49" s="164"/>
      <c r="AN49" s="164"/>
      <c r="AO49" s="164"/>
      <c r="AP49" s="164"/>
      <c r="AQ49" s="164"/>
      <c r="AR49" s="164"/>
      <c r="AS49" s="164"/>
      <c r="AT49" s="137"/>
      <c r="AU49" s="137"/>
      <c r="AV49" s="137"/>
      <c r="AW49" s="137"/>
      <c r="AX49" s="137"/>
      <c r="AY49" s="137"/>
      <c r="AZ49" s="140"/>
      <c r="BA49" s="135"/>
      <c r="BB49" s="135"/>
      <c r="BC49" s="135"/>
      <c r="BD49" s="135"/>
      <c r="BE49" s="135"/>
      <c r="BF49" s="135"/>
      <c r="BG49" s="135"/>
      <c r="BH49" s="135"/>
      <c r="BI49" s="135"/>
      <c r="BJ49" s="135"/>
      <c r="BK49" s="135"/>
      <c r="BL49" s="135"/>
      <c r="BM49" s="135"/>
      <c r="BN49" s="135"/>
      <c r="BO49" s="135"/>
      <c r="BP49" s="135"/>
      <c r="BQ49" s="135"/>
      <c r="BR49" s="135"/>
      <c r="BS49" s="135"/>
      <c r="BT49" s="135"/>
      <c r="BU49" s="135"/>
      <c r="BV49" s="135"/>
    </row>
    <row r="50" spans="1:109" s="142" customFormat="1" ht="13.5" thickBot="1">
      <c r="A50" s="135"/>
      <c r="B50" s="306" t="s">
        <v>68</v>
      </c>
      <c r="C50" s="307"/>
      <c r="D50" s="307"/>
      <c r="E50" s="307"/>
      <c r="F50" s="307"/>
      <c r="G50" s="307"/>
      <c r="H50" s="307"/>
      <c r="I50" s="307"/>
      <c r="J50" s="307"/>
      <c r="K50" s="307"/>
      <c r="L50" s="307"/>
      <c r="M50" s="307"/>
      <c r="N50" s="307"/>
      <c r="O50" s="307"/>
      <c r="P50" s="307"/>
      <c r="Q50" s="307"/>
      <c r="R50" s="307"/>
      <c r="S50" s="307"/>
      <c r="T50" s="307"/>
      <c r="U50" s="307"/>
      <c r="V50" s="307"/>
      <c r="W50" s="307"/>
      <c r="X50" s="307"/>
      <c r="Y50" s="307"/>
      <c r="Z50" s="307"/>
      <c r="AA50" s="307"/>
      <c r="AB50" s="307"/>
      <c r="AC50" s="307"/>
      <c r="AD50" s="307"/>
      <c r="AE50" s="307"/>
      <c r="AF50" s="307"/>
      <c r="AG50" s="307"/>
      <c r="AH50" s="307"/>
      <c r="AI50" s="307"/>
      <c r="AJ50" s="307"/>
      <c r="AK50" s="307"/>
      <c r="AL50" s="307"/>
      <c r="AM50" s="307"/>
      <c r="AN50" s="307"/>
      <c r="AO50" s="307"/>
      <c r="AP50" s="307"/>
      <c r="AQ50" s="307"/>
      <c r="AR50" s="307"/>
      <c r="AS50" s="307"/>
      <c r="AT50" s="307"/>
      <c r="AU50" s="307"/>
      <c r="AV50" s="307"/>
      <c r="AW50" s="307"/>
      <c r="AX50" s="307"/>
      <c r="AY50" s="307"/>
      <c r="AZ50" s="308"/>
      <c r="BA50" s="135"/>
      <c r="BB50" s="135"/>
      <c r="BC50" s="135"/>
      <c r="BD50" s="135"/>
      <c r="BE50" s="135"/>
      <c r="BF50" s="135"/>
      <c r="BG50" s="135"/>
      <c r="BH50" s="135"/>
      <c r="BI50" s="135"/>
      <c r="BJ50" s="135"/>
      <c r="BK50" s="135"/>
      <c r="BL50" s="135"/>
      <c r="BM50" s="135"/>
      <c r="BN50" s="135"/>
      <c r="BO50" s="135"/>
      <c r="BP50" s="135"/>
      <c r="BQ50" s="135"/>
      <c r="BR50" s="135"/>
      <c r="BS50" s="135"/>
      <c r="BT50" s="135"/>
      <c r="BU50" s="135"/>
      <c r="BV50" s="135"/>
    </row>
    <row r="51" spans="1:109" s="142" customFormat="1" ht="12.75" thickBot="1">
      <c r="A51" s="135"/>
      <c r="B51" s="165"/>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c r="AP51" s="166"/>
      <c r="AQ51" s="166"/>
      <c r="AR51" s="166"/>
      <c r="AS51" s="166"/>
      <c r="AT51" s="166"/>
      <c r="AU51" s="166"/>
      <c r="AV51" s="166"/>
      <c r="AW51" s="166"/>
      <c r="AX51" s="166"/>
      <c r="AY51" s="166"/>
      <c r="AZ51" s="167"/>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DB51" s="392"/>
      <c r="DC51" s="393"/>
    </row>
    <row r="52" spans="1:109" s="7" customFormat="1" ht="12.75" customHeight="1" thickBot="1">
      <c r="A52" s="168"/>
      <c r="B52" s="169"/>
      <c r="C52" s="138"/>
      <c r="D52" s="137"/>
      <c r="E52" s="138"/>
      <c r="F52" s="170" t="s">
        <v>69</v>
      </c>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71"/>
      <c r="BA52" s="168"/>
      <c r="BB52" s="335" t="s">
        <v>127</v>
      </c>
      <c r="BC52" s="335"/>
      <c r="BD52" s="335"/>
      <c r="BE52" s="335"/>
      <c r="BF52" s="335"/>
      <c r="BG52" s="335"/>
      <c r="BH52" s="335"/>
      <c r="BI52" s="335"/>
      <c r="BJ52" s="335"/>
      <c r="BK52" s="335"/>
      <c r="BL52" s="335"/>
      <c r="BM52" s="335"/>
      <c r="BN52" s="335"/>
      <c r="BO52" s="335"/>
      <c r="BP52" s="335"/>
      <c r="BQ52" s="335"/>
      <c r="BR52" s="335"/>
      <c r="BS52" s="335"/>
      <c r="BT52" s="335"/>
      <c r="BU52" s="335"/>
      <c r="BV52" s="168"/>
      <c r="BX52" s="265" t="s">
        <v>70</v>
      </c>
      <c r="BY52" s="266"/>
      <c r="BZ52" s="266"/>
      <c r="CA52" s="266"/>
      <c r="CB52" s="267"/>
      <c r="CC52" s="2"/>
      <c r="CD52" s="265" t="s">
        <v>70</v>
      </c>
      <c r="CE52" s="266"/>
      <c r="CF52" s="266"/>
      <c r="CG52" s="266"/>
      <c r="CH52" s="267"/>
      <c r="CI52" s="2"/>
      <c r="CJ52" s="265" t="s">
        <v>133</v>
      </c>
      <c r="CK52" s="266"/>
      <c r="CL52" s="266"/>
      <c r="CM52" s="266"/>
      <c r="CN52" s="267"/>
      <c r="CO52" s="2"/>
      <c r="CP52" s="265" t="s">
        <v>133</v>
      </c>
      <c r="CQ52" s="266"/>
      <c r="CR52" s="266"/>
      <c r="CS52" s="266"/>
      <c r="CT52" s="267"/>
      <c r="CV52" s="265" t="s">
        <v>72</v>
      </c>
      <c r="CW52" s="266"/>
      <c r="CX52" s="266"/>
      <c r="CY52" s="266"/>
      <c r="CZ52" s="267"/>
      <c r="DB52" s="394" t="s">
        <v>119</v>
      </c>
      <c r="DC52" s="395"/>
      <c r="DD52" s="399" t="s">
        <v>120</v>
      </c>
      <c r="DE52" s="399"/>
    </row>
    <row r="53" spans="1:109" s="173" customFormat="1" ht="18" customHeight="1">
      <c r="A53" s="172"/>
      <c r="B53" s="169"/>
      <c r="C53" s="138"/>
      <c r="D53" s="138"/>
      <c r="E53" s="138"/>
      <c r="F53" s="289" t="s">
        <v>27</v>
      </c>
      <c r="G53" s="289"/>
      <c r="H53" s="289"/>
      <c r="I53" s="289"/>
      <c r="J53" s="289"/>
      <c r="K53" s="289"/>
      <c r="L53" s="289" t="s">
        <v>28</v>
      </c>
      <c r="M53" s="289"/>
      <c r="N53" s="289"/>
      <c r="O53" s="289"/>
      <c r="P53" s="289"/>
      <c r="Q53" s="289"/>
      <c r="R53" s="289"/>
      <c r="S53" s="289" t="s">
        <v>73</v>
      </c>
      <c r="T53" s="289"/>
      <c r="U53" s="289"/>
      <c r="V53" s="289"/>
      <c r="W53" s="289"/>
      <c r="X53" s="289" t="s">
        <v>74</v>
      </c>
      <c r="Y53" s="289"/>
      <c r="Z53" s="289"/>
      <c r="AA53" s="289"/>
      <c r="AB53" s="289"/>
      <c r="AC53" s="289"/>
      <c r="AD53" s="289"/>
      <c r="AE53" s="289"/>
      <c r="AF53" s="289"/>
      <c r="AG53" s="289"/>
      <c r="AH53" s="289"/>
      <c r="AI53" s="289"/>
      <c r="AJ53" s="289"/>
      <c r="AK53" s="289"/>
      <c r="AL53" s="289"/>
      <c r="AM53" s="289" t="s">
        <v>75</v>
      </c>
      <c r="AN53" s="289"/>
      <c r="AO53" s="289"/>
      <c r="AP53" s="289"/>
      <c r="AQ53" s="289"/>
      <c r="AR53" s="289" t="s">
        <v>29</v>
      </c>
      <c r="AS53" s="289"/>
      <c r="AT53" s="289"/>
      <c r="AU53" s="289"/>
      <c r="AV53" s="289"/>
      <c r="AW53" s="138"/>
      <c r="AX53" s="138"/>
      <c r="AY53" s="138"/>
      <c r="AZ53" s="171"/>
      <c r="BA53" s="172"/>
      <c r="BB53" s="289" t="s">
        <v>76</v>
      </c>
      <c r="BC53" s="289"/>
      <c r="BD53" s="289"/>
      <c r="BE53" s="289"/>
      <c r="BF53" s="289"/>
      <c r="BG53" s="289" t="s">
        <v>77</v>
      </c>
      <c r="BH53" s="289"/>
      <c r="BI53" s="289"/>
      <c r="BJ53" s="289"/>
      <c r="BK53" s="289"/>
      <c r="BL53" s="289" t="s">
        <v>78</v>
      </c>
      <c r="BM53" s="289"/>
      <c r="BN53" s="289"/>
      <c r="BO53" s="289"/>
      <c r="BP53" s="289"/>
      <c r="BQ53" s="289" t="s">
        <v>79</v>
      </c>
      <c r="BR53" s="289"/>
      <c r="BS53" s="289"/>
      <c r="BT53" s="289"/>
      <c r="BU53" s="289"/>
      <c r="BV53" s="172"/>
      <c r="BX53" s="272" t="s">
        <v>80</v>
      </c>
      <c r="BY53" s="268" t="s">
        <v>116</v>
      </c>
      <c r="BZ53" s="268" t="s">
        <v>81</v>
      </c>
      <c r="CA53" s="274" t="s">
        <v>82</v>
      </c>
      <c r="CB53" s="270" t="s">
        <v>83</v>
      </c>
      <c r="CC53" s="3"/>
      <c r="CD53" s="272" t="s">
        <v>80</v>
      </c>
      <c r="CE53" s="268" t="s">
        <v>116</v>
      </c>
      <c r="CF53" s="268" t="s">
        <v>81</v>
      </c>
      <c r="CG53" s="274" t="s">
        <v>82</v>
      </c>
      <c r="CH53" s="270" t="s">
        <v>83</v>
      </c>
      <c r="CI53" s="3"/>
      <c r="CJ53" s="272" t="s">
        <v>80</v>
      </c>
      <c r="CK53" s="268" t="s">
        <v>116</v>
      </c>
      <c r="CL53" s="268" t="s">
        <v>81</v>
      </c>
      <c r="CM53" s="274" t="s">
        <v>82</v>
      </c>
      <c r="CN53" s="270" t="s">
        <v>83</v>
      </c>
      <c r="CO53" s="3"/>
      <c r="CP53" s="272" t="s">
        <v>80</v>
      </c>
      <c r="CQ53" s="268" t="s">
        <v>116</v>
      </c>
      <c r="CR53" s="268" t="s">
        <v>81</v>
      </c>
      <c r="CS53" s="274" t="s">
        <v>82</v>
      </c>
      <c r="CT53" s="270" t="s">
        <v>83</v>
      </c>
      <c r="CU53" s="8"/>
      <c r="CV53" s="118" t="s">
        <v>84</v>
      </c>
      <c r="CW53" s="99" t="s">
        <v>85</v>
      </c>
      <c r="CX53" s="120" t="s">
        <v>86</v>
      </c>
      <c r="CY53" s="272" t="s">
        <v>87</v>
      </c>
      <c r="CZ53" s="364"/>
      <c r="DA53" s="8"/>
      <c r="DB53" s="394"/>
      <c r="DC53" s="395"/>
      <c r="DD53" s="399"/>
      <c r="DE53" s="399"/>
    </row>
    <row r="54" spans="1:109" s="173" customFormat="1" ht="18" customHeight="1" thickBot="1">
      <c r="A54" s="172"/>
      <c r="B54" s="169"/>
      <c r="C54" s="138"/>
      <c r="D54" s="138"/>
      <c r="E54" s="138"/>
      <c r="F54" s="289"/>
      <c r="G54" s="289"/>
      <c r="H54" s="289"/>
      <c r="I54" s="289"/>
      <c r="J54" s="289"/>
      <c r="K54" s="289"/>
      <c r="L54" s="289"/>
      <c r="M54" s="289"/>
      <c r="N54" s="289"/>
      <c r="O54" s="289"/>
      <c r="P54" s="289"/>
      <c r="Q54" s="289"/>
      <c r="R54" s="289"/>
      <c r="S54" s="289"/>
      <c r="T54" s="289"/>
      <c r="U54" s="289"/>
      <c r="V54" s="289"/>
      <c r="W54" s="289"/>
      <c r="X54" s="289">
        <v>1</v>
      </c>
      <c r="Y54" s="289"/>
      <c r="Z54" s="289"/>
      <c r="AA54" s="289"/>
      <c r="AB54" s="289"/>
      <c r="AC54" s="289">
        <v>2</v>
      </c>
      <c r="AD54" s="289"/>
      <c r="AE54" s="289"/>
      <c r="AF54" s="289"/>
      <c r="AG54" s="289"/>
      <c r="AH54" s="289">
        <v>3</v>
      </c>
      <c r="AI54" s="289"/>
      <c r="AJ54" s="289"/>
      <c r="AK54" s="289"/>
      <c r="AL54" s="289"/>
      <c r="AM54" s="289"/>
      <c r="AN54" s="289"/>
      <c r="AO54" s="289"/>
      <c r="AP54" s="289"/>
      <c r="AQ54" s="289"/>
      <c r="AR54" s="289"/>
      <c r="AS54" s="289"/>
      <c r="AT54" s="289"/>
      <c r="AU54" s="289"/>
      <c r="AV54" s="289"/>
      <c r="AW54" s="138"/>
      <c r="AX54" s="138"/>
      <c r="AY54" s="138"/>
      <c r="AZ54" s="171"/>
      <c r="BA54" s="172"/>
      <c r="BB54" s="289"/>
      <c r="BC54" s="289"/>
      <c r="BD54" s="289"/>
      <c r="BE54" s="289"/>
      <c r="BF54" s="289"/>
      <c r="BG54" s="289"/>
      <c r="BH54" s="289"/>
      <c r="BI54" s="289"/>
      <c r="BJ54" s="289"/>
      <c r="BK54" s="289"/>
      <c r="BL54" s="289"/>
      <c r="BM54" s="289"/>
      <c r="BN54" s="289"/>
      <c r="BO54" s="289"/>
      <c r="BP54" s="289"/>
      <c r="BQ54" s="289"/>
      <c r="BR54" s="289"/>
      <c r="BS54" s="289"/>
      <c r="BT54" s="289"/>
      <c r="BU54" s="289"/>
      <c r="BV54" s="172"/>
      <c r="BX54" s="273"/>
      <c r="BY54" s="269"/>
      <c r="BZ54" s="269"/>
      <c r="CA54" s="275"/>
      <c r="CB54" s="271"/>
      <c r="CC54" s="3"/>
      <c r="CD54" s="273"/>
      <c r="CE54" s="269"/>
      <c r="CF54" s="269"/>
      <c r="CG54" s="275"/>
      <c r="CH54" s="271"/>
      <c r="CI54" s="3"/>
      <c r="CJ54" s="273"/>
      <c r="CK54" s="269"/>
      <c r="CL54" s="269"/>
      <c r="CM54" s="275"/>
      <c r="CN54" s="271"/>
      <c r="CO54" s="3"/>
      <c r="CP54" s="273"/>
      <c r="CQ54" s="269"/>
      <c r="CR54" s="269"/>
      <c r="CS54" s="275"/>
      <c r="CT54" s="271"/>
      <c r="CU54" s="8"/>
      <c r="CV54" s="119" t="s">
        <v>88</v>
      </c>
      <c r="CW54" s="100" t="s">
        <v>89</v>
      </c>
      <c r="CX54" s="121" t="s">
        <v>90</v>
      </c>
      <c r="CY54" s="273" t="s">
        <v>91</v>
      </c>
      <c r="CZ54" s="365"/>
      <c r="DA54" s="8"/>
      <c r="DB54" s="394"/>
      <c r="DC54" s="395"/>
      <c r="DD54" s="399"/>
      <c r="DE54" s="399"/>
    </row>
    <row r="55" spans="1:109" s="173" customFormat="1" ht="18" customHeight="1">
      <c r="A55" s="172"/>
      <c r="B55" s="169"/>
      <c r="C55" s="138"/>
      <c r="D55" s="138"/>
      <c r="E55" s="138"/>
      <c r="F55" s="276" t="s">
        <v>138</v>
      </c>
      <c r="G55" s="277"/>
      <c r="H55" s="277"/>
      <c r="I55" s="277"/>
      <c r="J55" s="277"/>
      <c r="K55" s="278"/>
      <c r="L55" s="293">
        <f>600*10%</f>
        <v>60</v>
      </c>
      <c r="M55" s="294"/>
      <c r="N55" s="294"/>
      <c r="O55" s="294"/>
      <c r="P55" s="295" t="s">
        <v>92</v>
      </c>
      <c r="Q55" s="295"/>
      <c r="R55" s="296"/>
      <c r="S55" s="297" t="s">
        <v>57</v>
      </c>
      <c r="T55" s="297"/>
      <c r="U55" s="297"/>
      <c r="V55" s="297"/>
      <c r="W55" s="297"/>
      <c r="X55" s="301"/>
      <c r="Y55" s="301"/>
      <c r="Z55" s="301"/>
      <c r="AA55" s="301"/>
      <c r="AB55" s="301"/>
      <c r="AC55" s="301"/>
      <c r="AD55" s="301"/>
      <c r="AE55" s="301"/>
      <c r="AF55" s="301"/>
      <c r="AG55" s="301"/>
      <c r="AH55" s="301"/>
      <c r="AI55" s="301"/>
      <c r="AJ55" s="301"/>
      <c r="AK55" s="301"/>
      <c r="AL55" s="301"/>
      <c r="AM55" s="301" t="e">
        <f t="shared" ref="AM55:AM68" si="0">AVERAGE(X55:AL55)</f>
        <v>#DIV/0!</v>
      </c>
      <c r="AN55" s="301"/>
      <c r="AO55" s="301"/>
      <c r="AP55" s="301"/>
      <c r="AQ55" s="301"/>
      <c r="AR55" s="301" t="e">
        <f t="shared" ref="AR55:AR68" si="1">AM55-L55</f>
        <v>#DIV/0!</v>
      </c>
      <c r="AS55" s="301"/>
      <c r="AT55" s="301"/>
      <c r="AU55" s="301"/>
      <c r="AV55" s="301"/>
      <c r="AW55" s="138"/>
      <c r="AX55" s="138"/>
      <c r="AY55" s="138"/>
      <c r="AZ55" s="171"/>
      <c r="BA55" s="172"/>
      <c r="BB55" s="292" t="e">
        <f>ABS(AM55*0.5%)+(2*CK55)</f>
        <v>#DIV/0!</v>
      </c>
      <c r="BC55" s="292"/>
      <c r="BD55" s="292"/>
      <c r="BE55" s="292"/>
      <c r="BF55" s="292"/>
      <c r="BG55" s="292" t="e">
        <f t="shared" ref="BG55:BG68" si="2">L55+BB55</f>
        <v>#DIV/0!</v>
      </c>
      <c r="BH55" s="292"/>
      <c r="BI55" s="292"/>
      <c r="BJ55" s="292"/>
      <c r="BK55" s="292"/>
      <c r="BL55" s="292" t="e">
        <f t="shared" ref="BL55:BL68" si="3">L55-BB55</f>
        <v>#DIV/0!</v>
      </c>
      <c r="BM55" s="292"/>
      <c r="BN55" s="292"/>
      <c r="BO55" s="292"/>
      <c r="BP55" s="292"/>
      <c r="BQ55" s="330" t="e">
        <f t="shared" ref="BQ55:BQ68" si="4">IF(AND(AM55&lt;=BG55,AM55&gt;=BL55),"PASS","FAIL")</f>
        <v>#DIV/0!</v>
      </c>
      <c r="BR55" s="330"/>
      <c r="BS55" s="330"/>
      <c r="BT55" s="330"/>
      <c r="BU55" s="330"/>
      <c r="BV55" s="172"/>
      <c r="BX55" s="73" t="s">
        <v>132</v>
      </c>
      <c r="BY55" s="202">
        <v>2.5999999999999999E-3</v>
      </c>
      <c r="BZ55" s="74" t="str">
        <f t="shared" ref="BZ55:BZ68" si="5">P55</f>
        <v>mV</v>
      </c>
      <c r="CA55" s="174">
        <v>2</v>
      </c>
      <c r="CB55" s="75">
        <f t="shared" ref="CB55:CB57" si="6">BY55/CA55</f>
        <v>1.2999999999999999E-3</v>
      </c>
      <c r="CC55" s="4"/>
      <c r="CD55" s="68" t="s">
        <v>134</v>
      </c>
      <c r="CE55" s="88">
        <v>0</v>
      </c>
      <c r="CF55" s="89" t="str">
        <f>BZ55</f>
        <v>mV</v>
      </c>
      <c r="CG55" s="78">
        <f t="shared" ref="CG55:CG90" si="7">SQRT(3)</f>
        <v>1.7320508075688772</v>
      </c>
      <c r="CH55" s="75">
        <f t="shared" ref="CH55:CH68" si="8">CE55/CG55</f>
        <v>0</v>
      </c>
      <c r="CI55" s="4"/>
      <c r="CJ55" s="68" t="s">
        <v>93</v>
      </c>
      <c r="CK55" s="175">
        <v>0.1</v>
      </c>
      <c r="CL55" s="69" t="str">
        <f t="shared" ref="CL55:CL68" si="9">P55</f>
        <v>mV</v>
      </c>
      <c r="CM55" s="78">
        <f>SQRT(12)</f>
        <v>3.4641016151377544</v>
      </c>
      <c r="CN55" s="75">
        <f>CK55/CM55</f>
        <v>2.8867513459481291E-2</v>
      </c>
      <c r="CO55" s="4"/>
      <c r="CP55" s="68" t="s">
        <v>71</v>
      </c>
      <c r="CQ55" s="81" t="e">
        <f t="shared" ref="CQ55:CQ68" si="10">STDEV(X55:AL55)</f>
        <v>#DIV/0!</v>
      </c>
      <c r="CR55" s="69" t="str">
        <f t="shared" ref="CR55:CR68" si="11">P55</f>
        <v>mV</v>
      </c>
      <c r="CS55" s="78">
        <f>SQRT(3)</f>
        <v>1.7320508075688772</v>
      </c>
      <c r="CT55" s="83" t="e">
        <f>CQ55/CS55</f>
        <v>#DIV/0!</v>
      </c>
      <c r="CU55" s="8"/>
      <c r="CV55" s="90" t="e">
        <f>SQRT(SUMSQ(CT55,CN55,CH55,CB55))</f>
        <v>#DIV/0!</v>
      </c>
      <c r="CW55" s="86" t="e">
        <f>(CV55^4)/(((CT55^4)/2)+((CN55^4)/200)+((CH55^4)/200)+((CB55^4)/200))</f>
        <v>#DIV/0!</v>
      </c>
      <c r="CX55" s="91" t="e">
        <f t="shared" ref="CX55:CX57" si="12">ROUND(TINV(0.05,CW55),0)</f>
        <v>#DIV/0!</v>
      </c>
      <c r="CY55" s="101" t="e">
        <f>(CV55*CX55)</f>
        <v>#DIV/0!</v>
      </c>
      <c r="CZ55" s="102" t="str">
        <f t="shared" ref="CZ55:CZ68" si="13">P55</f>
        <v>mV</v>
      </c>
      <c r="DA55" s="8"/>
      <c r="DB55" s="176">
        <v>1.6000000000000001E-3</v>
      </c>
      <c r="DC55" s="177" t="str">
        <f>CZ55</f>
        <v>mV</v>
      </c>
      <c r="DD55" s="223" t="e">
        <f t="shared" ref="DD55:DD68" si="14">MAX(CY55,DB55)</f>
        <v>#DIV/0!</v>
      </c>
      <c r="DE55" s="177" t="str">
        <f>DC55</f>
        <v>mV</v>
      </c>
    </row>
    <row r="56" spans="1:109" s="173" customFormat="1" ht="18" customHeight="1">
      <c r="A56" s="172"/>
      <c r="B56" s="169"/>
      <c r="C56" s="138"/>
      <c r="D56" s="138"/>
      <c r="E56" s="138"/>
      <c r="F56" s="279"/>
      <c r="G56" s="280"/>
      <c r="H56" s="280"/>
      <c r="I56" s="280"/>
      <c r="J56" s="280"/>
      <c r="K56" s="281"/>
      <c r="L56" s="293">
        <f>600*90%</f>
        <v>540</v>
      </c>
      <c r="M56" s="294"/>
      <c r="N56" s="294"/>
      <c r="O56" s="294"/>
      <c r="P56" s="295" t="s">
        <v>92</v>
      </c>
      <c r="Q56" s="295"/>
      <c r="R56" s="296"/>
      <c r="S56" s="297" t="s">
        <v>57</v>
      </c>
      <c r="T56" s="297"/>
      <c r="U56" s="297"/>
      <c r="V56" s="297"/>
      <c r="W56" s="297"/>
      <c r="X56" s="301"/>
      <c r="Y56" s="301"/>
      <c r="Z56" s="301"/>
      <c r="AA56" s="301"/>
      <c r="AB56" s="301"/>
      <c r="AC56" s="301"/>
      <c r="AD56" s="301"/>
      <c r="AE56" s="301"/>
      <c r="AF56" s="301"/>
      <c r="AG56" s="301"/>
      <c r="AH56" s="301"/>
      <c r="AI56" s="301"/>
      <c r="AJ56" s="301"/>
      <c r="AK56" s="301"/>
      <c r="AL56" s="301"/>
      <c r="AM56" s="298" t="e">
        <f t="shared" si="0"/>
        <v>#DIV/0!</v>
      </c>
      <c r="AN56" s="299"/>
      <c r="AO56" s="299"/>
      <c r="AP56" s="299"/>
      <c r="AQ56" s="300"/>
      <c r="AR56" s="298" t="e">
        <f t="shared" si="1"/>
        <v>#DIV/0!</v>
      </c>
      <c r="AS56" s="299"/>
      <c r="AT56" s="299"/>
      <c r="AU56" s="299"/>
      <c r="AV56" s="300"/>
      <c r="AW56" s="138"/>
      <c r="AX56" s="138"/>
      <c r="AY56" s="138"/>
      <c r="AZ56" s="171"/>
      <c r="BA56" s="172"/>
      <c r="BB56" s="292" t="e">
        <f t="shared" ref="BB56:BB68" si="15">ABS(AM56*0.5%)+(2*CK56)</f>
        <v>#DIV/0!</v>
      </c>
      <c r="BC56" s="292"/>
      <c r="BD56" s="292"/>
      <c r="BE56" s="292"/>
      <c r="BF56" s="292"/>
      <c r="BG56" s="301" t="e">
        <f t="shared" si="2"/>
        <v>#DIV/0!</v>
      </c>
      <c r="BH56" s="301"/>
      <c r="BI56" s="301"/>
      <c r="BJ56" s="301"/>
      <c r="BK56" s="301"/>
      <c r="BL56" s="301" t="e">
        <f t="shared" si="3"/>
        <v>#DIV/0!</v>
      </c>
      <c r="BM56" s="301"/>
      <c r="BN56" s="301"/>
      <c r="BO56" s="301"/>
      <c r="BP56" s="301"/>
      <c r="BQ56" s="330" t="e">
        <f t="shared" si="4"/>
        <v>#DIV/0!</v>
      </c>
      <c r="BR56" s="330"/>
      <c r="BS56" s="330"/>
      <c r="BT56" s="330"/>
      <c r="BU56" s="330"/>
      <c r="BV56" s="172"/>
      <c r="BX56" s="70" t="s">
        <v>132</v>
      </c>
      <c r="BY56" s="178">
        <v>2.5999999999999999E-3</v>
      </c>
      <c r="BZ56" s="1" t="str">
        <f t="shared" si="5"/>
        <v>mV</v>
      </c>
      <c r="CA56" s="179">
        <v>2</v>
      </c>
      <c r="CB56" s="76">
        <f t="shared" si="6"/>
        <v>1.2999999999999999E-3</v>
      </c>
      <c r="CC56" s="4"/>
      <c r="CD56" s="70" t="s">
        <v>134</v>
      </c>
      <c r="CE56" s="5">
        <v>0</v>
      </c>
      <c r="CF56" s="1" t="str">
        <f t="shared" ref="CF56:CF68" si="16">BZ56</f>
        <v>mV</v>
      </c>
      <c r="CG56" s="79">
        <f t="shared" si="7"/>
        <v>1.7320508075688772</v>
      </c>
      <c r="CH56" s="76">
        <f t="shared" si="8"/>
        <v>0</v>
      </c>
      <c r="CI56" s="4"/>
      <c r="CJ56" s="70" t="s">
        <v>93</v>
      </c>
      <c r="CK56" s="180">
        <v>0.1</v>
      </c>
      <c r="CL56" s="1" t="str">
        <f t="shared" si="9"/>
        <v>mV</v>
      </c>
      <c r="CM56" s="79">
        <f t="shared" ref="CM56:CM68" si="17">SQRT(12)</f>
        <v>3.4641016151377544</v>
      </c>
      <c r="CN56" s="76">
        <f t="shared" ref="CN56:CN68" si="18">CK56/CM56</f>
        <v>2.8867513459481291E-2</v>
      </c>
      <c r="CO56" s="4"/>
      <c r="CP56" s="70" t="s">
        <v>71</v>
      </c>
      <c r="CQ56" s="6" t="e">
        <f t="shared" si="10"/>
        <v>#DIV/0!</v>
      </c>
      <c r="CR56" s="1" t="str">
        <f t="shared" si="11"/>
        <v>mV</v>
      </c>
      <c r="CS56" s="79">
        <f t="shared" ref="CS56:CS68" si="19">SQRT(3)</f>
        <v>1.7320508075688772</v>
      </c>
      <c r="CT56" s="84" t="e">
        <f t="shared" ref="CT56:CT68" si="20">CQ56/CS56</f>
        <v>#DIV/0!</v>
      </c>
      <c r="CU56" s="8"/>
      <c r="CV56" s="92" t="e">
        <f t="shared" ref="CV56:CV68" si="21">SQRT(SUMSQ(CT56,CN56,CH56,CB56))</f>
        <v>#DIV/0!</v>
      </c>
      <c r="CW56" s="5" t="e">
        <f t="shared" ref="CW56:CW68" si="22">(CV56^4)/(((CT56^4)/2)+((CN56^4)/200)+((CH56^4)/200)+((CB56^4)/200))</f>
        <v>#DIV/0!</v>
      </c>
      <c r="CX56" s="93" t="e">
        <f t="shared" si="12"/>
        <v>#DIV/0!</v>
      </c>
      <c r="CY56" s="103" t="e">
        <f t="shared" ref="CY56:CY58" si="23">(CV56*CX56)</f>
        <v>#DIV/0!</v>
      </c>
      <c r="CZ56" s="104" t="str">
        <f t="shared" si="13"/>
        <v>mV</v>
      </c>
      <c r="DA56" s="8"/>
      <c r="DB56" s="176">
        <v>1.8E-3</v>
      </c>
      <c r="DC56" s="177" t="str">
        <f t="shared" ref="DC56:DC68" si="24">CZ56</f>
        <v>mV</v>
      </c>
      <c r="DD56" s="223" t="e">
        <f t="shared" si="14"/>
        <v>#DIV/0!</v>
      </c>
      <c r="DE56" s="177" t="str">
        <f t="shared" ref="DE56:DE68" si="25">DC56</f>
        <v>mV</v>
      </c>
    </row>
    <row r="57" spans="1:109" s="173" customFormat="1" ht="18" customHeight="1">
      <c r="A57" s="172"/>
      <c r="B57" s="169"/>
      <c r="C57" s="138"/>
      <c r="D57" s="138"/>
      <c r="E57" s="138"/>
      <c r="F57" s="282"/>
      <c r="G57" s="283"/>
      <c r="H57" s="283"/>
      <c r="I57" s="283"/>
      <c r="J57" s="283"/>
      <c r="K57" s="284"/>
      <c r="L57" s="293">
        <f>600*-90%</f>
        <v>-540</v>
      </c>
      <c r="M57" s="294"/>
      <c r="N57" s="294"/>
      <c r="O57" s="294"/>
      <c r="P57" s="295" t="s">
        <v>92</v>
      </c>
      <c r="Q57" s="295"/>
      <c r="R57" s="296"/>
      <c r="S57" s="297" t="s">
        <v>57</v>
      </c>
      <c r="T57" s="297"/>
      <c r="U57" s="297"/>
      <c r="V57" s="297"/>
      <c r="W57" s="297"/>
      <c r="X57" s="301"/>
      <c r="Y57" s="301"/>
      <c r="Z57" s="301"/>
      <c r="AA57" s="301"/>
      <c r="AB57" s="301"/>
      <c r="AC57" s="301"/>
      <c r="AD57" s="301"/>
      <c r="AE57" s="301"/>
      <c r="AF57" s="301"/>
      <c r="AG57" s="301"/>
      <c r="AH57" s="301"/>
      <c r="AI57" s="301"/>
      <c r="AJ57" s="301"/>
      <c r="AK57" s="301"/>
      <c r="AL57" s="301"/>
      <c r="AM57" s="301" t="e">
        <f t="shared" si="0"/>
        <v>#DIV/0!</v>
      </c>
      <c r="AN57" s="301"/>
      <c r="AO57" s="301"/>
      <c r="AP57" s="301"/>
      <c r="AQ57" s="301"/>
      <c r="AR57" s="301" t="e">
        <f t="shared" si="1"/>
        <v>#DIV/0!</v>
      </c>
      <c r="AS57" s="301"/>
      <c r="AT57" s="301"/>
      <c r="AU57" s="301"/>
      <c r="AV57" s="301"/>
      <c r="AW57" s="138"/>
      <c r="AX57" s="138"/>
      <c r="AY57" s="138"/>
      <c r="AZ57" s="171"/>
      <c r="BA57" s="172"/>
      <c r="BB57" s="292" t="e">
        <f t="shared" si="15"/>
        <v>#DIV/0!</v>
      </c>
      <c r="BC57" s="292"/>
      <c r="BD57" s="292"/>
      <c r="BE57" s="292"/>
      <c r="BF57" s="292"/>
      <c r="BG57" s="301" t="e">
        <f t="shared" si="2"/>
        <v>#DIV/0!</v>
      </c>
      <c r="BH57" s="301"/>
      <c r="BI57" s="301"/>
      <c r="BJ57" s="301"/>
      <c r="BK57" s="301"/>
      <c r="BL57" s="301" t="e">
        <f t="shared" si="3"/>
        <v>#DIV/0!</v>
      </c>
      <c r="BM57" s="301"/>
      <c r="BN57" s="301"/>
      <c r="BO57" s="301"/>
      <c r="BP57" s="301"/>
      <c r="BQ57" s="330" t="e">
        <f t="shared" si="4"/>
        <v>#DIV/0!</v>
      </c>
      <c r="BR57" s="330"/>
      <c r="BS57" s="330"/>
      <c r="BT57" s="330"/>
      <c r="BU57" s="330"/>
      <c r="BV57" s="172"/>
      <c r="BX57" s="70" t="s">
        <v>132</v>
      </c>
      <c r="BY57" s="178">
        <v>2.5999999999999999E-3</v>
      </c>
      <c r="BZ57" s="1" t="str">
        <f t="shared" si="5"/>
        <v>mV</v>
      </c>
      <c r="CA57" s="179">
        <v>2</v>
      </c>
      <c r="CB57" s="76">
        <f t="shared" si="6"/>
        <v>1.2999999999999999E-3</v>
      </c>
      <c r="CC57" s="4"/>
      <c r="CD57" s="70" t="s">
        <v>134</v>
      </c>
      <c r="CE57" s="5">
        <v>0</v>
      </c>
      <c r="CF57" s="1" t="str">
        <f>BZ57</f>
        <v>mV</v>
      </c>
      <c r="CG57" s="79">
        <f t="shared" si="7"/>
        <v>1.7320508075688772</v>
      </c>
      <c r="CH57" s="76">
        <f>CE57/CG57</f>
        <v>0</v>
      </c>
      <c r="CI57" s="4"/>
      <c r="CJ57" s="70" t="s">
        <v>93</v>
      </c>
      <c r="CK57" s="180">
        <v>0.1</v>
      </c>
      <c r="CL57" s="1" t="str">
        <f t="shared" si="9"/>
        <v>mV</v>
      </c>
      <c r="CM57" s="79">
        <f t="shared" si="17"/>
        <v>3.4641016151377544</v>
      </c>
      <c r="CN57" s="76">
        <f t="shared" si="18"/>
        <v>2.8867513459481291E-2</v>
      </c>
      <c r="CO57" s="4"/>
      <c r="CP57" s="70" t="s">
        <v>71</v>
      </c>
      <c r="CQ57" s="6" t="e">
        <f t="shared" si="10"/>
        <v>#DIV/0!</v>
      </c>
      <c r="CR57" s="1" t="str">
        <f t="shared" si="11"/>
        <v>mV</v>
      </c>
      <c r="CS57" s="79">
        <f t="shared" si="19"/>
        <v>1.7320508075688772</v>
      </c>
      <c r="CT57" s="84" t="e">
        <f t="shared" si="20"/>
        <v>#DIV/0!</v>
      </c>
      <c r="CU57" s="8"/>
      <c r="CV57" s="92" t="e">
        <f t="shared" si="21"/>
        <v>#DIV/0!</v>
      </c>
      <c r="CW57" s="5" t="e">
        <f t="shared" si="22"/>
        <v>#DIV/0!</v>
      </c>
      <c r="CX57" s="93" t="e">
        <f t="shared" si="12"/>
        <v>#DIV/0!</v>
      </c>
      <c r="CY57" s="103" t="e">
        <f t="shared" si="23"/>
        <v>#DIV/0!</v>
      </c>
      <c r="CZ57" s="104" t="str">
        <f t="shared" si="13"/>
        <v>mV</v>
      </c>
      <c r="DA57" s="8"/>
      <c r="DB57" s="176">
        <v>1.8E-3</v>
      </c>
      <c r="DC57" s="177" t="str">
        <f t="shared" si="24"/>
        <v>mV</v>
      </c>
      <c r="DD57" s="223" t="e">
        <f t="shared" si="14"/>
        <v>#DIV/0!</v>
      </c>
      <c r="DE57" s="177" t="str">
        <f t="shared" si="25"/>
        <v>mV</v>
      </c>
    </row>
    <row r="58" spans="1:109" s="173" customFormat="1" ht="18" customHeight="1">
      <c r="A58" s="172"/>
      <c r="B58" s="169"/>
      <c r="C58" s="138"/>
      <c r="D58" s="138"/>
      <c r="E58" s="138"/>
      <c r="F58" s="276" t="s">
        <v>139</v>
      </c>
      <c r="G58" s="277"/>
      <c r="H58" s="277"/>
      <c r="I58" s="277"/>
      <c r="J58" s="277"/>
      <c r="K58" s="278"/>
      <c r="L58" s="293">
        <f>6*10%</f>
        <v>0.60000000000000009</v>
      </c>
      <c r="M58" s="294"/>
      <c r="N58" s="294"/>
      <c r="O58" s="294"/>
      <c r="P58" s="295" t="s">
        <v>94</v>
      </c>
      <c r="Q58" s="295"/>
      <c r="R58" s="296"/>
      <c r="S58" s="297" t="s">
        <v>57</v>
      </c>
      <c r="T58" s="297"/>
      <c r="U58" s="297"/>
      <c r="V58" s="297"/>
      <c r="W58" s="297"/>
      <c r="X58" s="331"/>
      <c r="Y58" s="332"/>
      <c r="Z58" s="332"/>
      <c r="AA58" s="332"/>
      <c r="AB58" s="333"/>
      <c r="AC58" s="331"/>
      <c r="AD58" s="332"/>
      <c r="AE58" s="332"/>
      <c r="AF58" s="332"/>
      <c r="AG58" s="333"/>
      <c r="AH58" s="331"/>
      <c r="AI58" s="332"/>
      <c r="AJ58" s="332"/>
      <c r="AK58" s="332"/>
      <c r="AL58" s="333"/>
      <c r="AM58" s="291" t="e">
        <f t="shared" si="0"/>
        <v>#DIV/0!</v>
      </c>
      <c r="AN58" s="291"/>
      <c r="AO58" s="291"/>
      <c r="AP58" s="291"/>
      <c r="AQ58" s="291"/>
      <c r="AR58" s="291" t="e">
        <f t="shared" si="1"/>
        <v>#DIV/0!</v>
      </c>
      <c r="AS58" s="291"/>
      <c r="AT58" s="291"/>
      <c r="AU58" s="291"/>
      <c r="AV58" s="291"/>
      <c r="AW58" s="138"/>
      <c r="AX58" s="138"/>
      <c r="AY58" s="138"/>
      <c r="AZ58" s="171"/>
      <c r="BA58" s="172"/>
      <c r="BB58" s="292" t="e">
        <f t="shared" si="15"/>
        <v>#DIV/0!</v>
      </c>
      <c r="BC58" s="292"/>
      <c r="BD58" s="292"/>
      <c r="BE58" s="292"/>
      <c r="BF58" s="292"/>
      <c r="BG58" s="291" t="e">
        <f t="shared" si="2"/>
        <v>#DIV/0!</v>
      </c>
      <c r="BH58" s="291"/>
      <c r="BI58" s="291"/>
      <c r="BJ58" s="291"/>
      <c r="BK58" s="291"/>
      <c r="BL58" s="291" t="e">
        <f t="shared" si="3"/>
        <v>#DIV/0!</v>
      </c>
      <c r="BM58" s="291"/>
      <c r="BN58" s="291"/>
      <c r="BO58" s="291"/>
      <c r="BP58" s="291"/>
      <c r="BQ58" s="330" t="e">
        <f t="shared" si="4"/>
        <v>#DIV/0!</v>
      </c>
      <c r="BR58" s="330"/>
      <c r="BS58" s="330"/>
      <c r="BT58" s="330"/>
      <c r="BU58" s="330"/>
      <c r="BV58" s="172"/>
      <c r="BX58" s="70" t="s">
        <v>132</v>
      </c>
      <c r="BY58" s="203">
        <v>3.1000000000000001E-5</v>
      </c>
      <c r="BZ58" s="1" t="str">
        <f t="shared" si="5"/>
        <v>V</v>
      </c>
      <c r="CA58" s="179">
        <v>2</v>
      </c>
      <c r="CB58" s="76">
        <f t="shared" ref="CB58:CB60" si="26">BY58/CA58</f>
        <v>1.5500000000000001E-5</v>
      </c>
      <c r="CC58" s="4"/>
      <c r="CD58" s="70" t="s">
        <v>134</v>
      </c>
      <c r="CE58" s="5">
        <v>0</v>
      </c>
      <c r="CF58" s="1" t="str">
        <f t="shared" si="16"/>
        <v>V</v>
      </c>
      <c r="CG58" s="79">
        <f t="shared" si="7"/>
        <v>1.7320508075688772</v>
      </c>
      <c r="CH58" s="76">
        <f t="shared" si="8"/>
        <v>0</v>
      </c>
      <c r="CI58" s="4"/>
      <c r="CJ58" s="70" t="s">
        <v>93</v>
      </c>
      <c r="CK58" s="180">
        <v>1E-3</v>
      </c>
      <c r="CL58" s="1" t="str">
        <f t="shared" si="9"/>
        <v>V</v>
      </c>
      <c r="CM58" s="79">
        <f t="shared" si="17"/>
        <v>3.4641016151377544</v>
      </c>
      <c r="CN58" s="76">
        <f t="shared" si="18"/>
        <v>2.886751345948129E-4</v>
      </c>
      <c r="CO58" s="4"/>
      <c r="CP58" s="70" t="s">
        <v>71</v>
      </c>
      <c r="CQ58" s="6" t="e">
        <f t="shared" si="10"/>
        <v>#DIV/0!</v>
      </c>
      <c r="CR58" s="1" t="str">
        <f t="shared" si="11"/>
        <v>V</v>
      </c>
      <c r="CS58" s="79">
        <f t="shared" si="19"/>
        <v>1.7320508075688772</v>
      </c>
      <c r="CT58" s="84" t="e">
        <f t="shared" si="20"/>
        <v>#DIV/0!</v>
      </c>
      <c r="CU58" s="8"/>
      <c r="CV58" s="92" t="e">
        <f t="shared" si="21"/>
        <v>#DIV/0!</v>
      </c>
      <c r="CW58" s="5" t="e">
        <f t="shared" si="22"/>
        <v>#DIV/0!</v>
      </c>
      <c r="CX58" s="93" t="e">
        <f t="shared" ref="CX58:CX60" si="27">ROUND(TINV(0.05,CW58),0)</f>
        <v>#DIV/0!</v>
      </c>
      <c r="CY58" s="108" t="e">
        <f t="shared" si="23"/>
        <v>#DIV/0!</v>
      </c>
      <c r="CZ58" s="104" t="str">
        <f t="shared" si="13"/>
        <v>V</v>
      </c>
      <c r="DA58" s="8"/>
      <c r="DB58" s="204">
        <v>1.7999999999999999E-6</v>
      </c>
      <c r="DC58" s="177" t="str">
        <f>CZ58</f>
        <v>V</v>
      </c>
      <c r="DD58" s="223" t="e">
        <f t="shared" si="14"/>
        <v>#DIV/0!</v>
      </c>
      <c r="DE58" s="177" t="str">
        <f t="shared" si="25"/>
        <v>V</v>
      </c>
    </row>
    <row r="59" spans="1:109" s="173" customFormat="1" ht="18" customHeight="1">
      <c r="A59" s="172"/>
      <c r="B59" s="169"/>
      <c r="C59" s="138"/>
      <c r="D59" s="138"/>
      <c r="E59" s="138"/>
      <c r="F59" s="279"/>
      <c r="G59" s="280"/>
      <c r="H59" s="280"/>
      <c r="I59" s="280"/>
      <c r="J59" s="280"/>
      <c r="K59" s="281"/>
      <c r="L59" s="293">
        <f>6*90%</f>
        <v>5.4</v>
      </c>
      <c r="M59" s="294"/>
      <c r="N59" s="294"/>
      <c r="O59" s="294"/>
      <c r="P59" s="295" t="s">
        <v>94</v>
      </c>
      <c r="Q59" s="295"/>
      <c r="R59" s="296"/>
      <c r="S59" s="297" t="s">
        <v>57</v>
      </c>
      <c r="T59" s="297"/>
      <c r="U59" s="297"/>
      <c r="V59" s="297"/>
      <c r="W59" s="297"/>
      <c r="X59" s="291"/>
      <c r="Y59" s="291"/>
      <c r="Z59" s="291"/>
      <c r="AA59" s="291"/>
      <c r="AB59" s="291"/>
      <c r="AC59" s="291"/>
      <c r="AD59" s="291"/>
      <c r="AE59" s="291"/>
      <c r="AF59" s="291"/>
      <c r="AG59" s="291"/>
      <c r="AH59" s="291"/>
      <c r="AI59" s="291"/>
      <c r="AJ59" s="291"/>
      <c r="AK59" s="291"/>
      <c r="AL59" s="291"/>
      <c r="AM59" s="291" t="e">
        <f t="shared" si="0"/>
        <v>#DIV/0!</v>
      </c>
      <c r="AN59" s="291"/>
      <c r="AO59" s="291"/>
      <c r="AP59" s="291"/>
      <c r="AQ59" s="291"/>
      <c r="AR59" s="291" t="e">
        <f t="shared" si="1"/>
        <v>#DIV/0!</v>
      </c>
      <c r="AS59" s="291"/>
      <c r="AT59" s="291"/>
      <c r="AU59" s="291"/>
      <c r="AV59" s="291"/>
      <c r="AW59" s="138"/>
      <c r="AX59" s="138"/>
      <c r="AY59" s="138"/>
      <c r="AZ59" s="171"/>
      <c r="BA59" s="172"/>
      <c r="BB59" s="292" t="e">
        <f t="shared" si="15"/>
        <v>#DIV/0!</v>
      </c>
      <c r="BC59" s="292"/>
      <c r="BD59" s="292"/>
      <c r="BE59" s="292"/>
      <c r="BF59" s="292"/>
      <c r="BG59" s="291" t="e">
        <f t="shared" si="2"/>
        <v>#DIV/0!</v>
      </c>
      <c r="BH59" s="291"/>
      <c r="BI59" s="291"/>
      <c r="BJ59" s="291"/>
      <c r="BK59" s="291"/>
      <c r="BL59" s="291" t="e">
        <f t="shared" si="3"/>
        <v>#DIV/0!</v>
      </c>
      <c r="BM59" s="291"/>
      <c r="BN59" s="291"/>
      <c r="BO59" s="291"/>
      <c r="BP59" s="291"/>
      <c r="BQ59" s="330" t="e">
        <f t="shared" si="4"/>
        <v>#DIV/0!</v>
      </c>
      <c r="BR59" s="330"/>
      <c r="BS59" s="330"/>
      <c r="BT59" s="330"/>
      <c r="BU59" s="330"/>
      <c r="BV59" s="172"/>
      <c r="BX59" s="70" t="s">
        <v>132</v>
      </c>
      <c r="BY59" s="5">
        <v>3.1E-4</v>
      </c>
      <c r="BZ59" s="1" t="str">
        <f t="shared" si="5"/>
        <v>V</v>
      </c>
      <c r="CA59" s="179">
        <v>2</v>
      </c>
      <c r="CB59" s="76">
        <f t="shared" si="26"/>
        <v>1.55E-4</v>
      </c>
      <c r="CC59" s="4"/>
      <c r="CD59" s="70" t="s">
        <v>134</v>
      </c>
      <c r="CE59" s="5">
        <v>0</v>
      </c>
      <c r="CF59" s="1" t="str">
        <f t="shared" si="16"/>
        <v>V</v>
      </c>
      <c r="CG59" s="79">
        <f t="shared" si="7"/>
        <v>1.7320508075688772</v>
      </c>
      <c r="CH59" s="76">
        <f t="shared" si="8"/>
        <v>0</v>
      </c>
      <c r="CI59" s="4"/>
      <c r="CJ59" s="70" t="s">
        <v>93</v>
      </c>
      <c r="CK59" s="180">
        <v>1E-3</v>
      </c>
      <c r="CL59" s="1" t="str">
        <f t="shared" si="9"/>
        <v>V</v>
      </c>
      <c r="CM59" s="79">
        <f t="shared" si="17"/>
        <v>3.4641016151377544</v>
      </c>
      <c r="CN59" s="76">
        <f t="shared" si="18"/>
        <v>2.886751345948129E-4</v>
      </c>
      <c r="CO59" s="4"/>
      <c r="CP59" s="70" t="s">
        <v>71</v>
      </c>
      <c r="CQ59" s="6" t="e">
        <f t="shared" si="10"/>
        <v>#DIV/0!</v>
      </c>
      <c r="CR59" s="1" t="str">
        <f t="shared" si="11"/>
        <v>V</v>
      </c>
      <c r="CS59" s="79">
        <f t="shared" si="19"/>
        <v>1.7320508075688772</v>
      </c>
      <c r="CT59" s="84" t="e">
        <f t="shared" si="20"/>
        <v>#DIV/0!</v>
      </c>
      <c r="CU59" s="8"/>
      <c r="CV59" s="92" t="e">
        <f t="shared" si="21"/>
        <v>#DIV/0!</v>
      </c>
      <c r="CW59" s="5" t="e">
        <f t="shared" si="22"/>
        <v>#DIV/0!</v>
      </c>
      <c r="CX59" s="93" t="e">
        <f t="shared" si="27"/>
        <v>#DIV/0!</v>
      </c>
      <c r="CY59" s="109" t="e">
        <f t="shared" ref="CY59:CY61" si="28">(CV59*CX59)</f>
        <v>#DIV/0!</v>
      </c>
      <c r="CZ59" s="104" t="str">
        <f t="shared" si="13"/>
        <v>V</v>
      </c>
      <c r="DA59" s="8"/>
      <c r="DB59" s="207">
        <v>1.0000000000000001E-5</v>
      </c>
      <c r="DC59" s="177" t="str">
        <f t="shared" si="24"/>
        <v>V</v>
      </c>
      <c r="DD59" s="223" t="e">
        <f t="shared" si="14"/>
        <v>#DIV/0!</v>
      </c>
      <c r="DE59" s="177" t="str">
        <f t="shared" si="25"/>
        <v>V</v>
      </c>
    </row>
    <row r="60" spans="1:109" s="173" customFormat="1" ht="18" customHeight="1">
      <c r="A60" s="172"/>
      <c r="B60" s="169"/>
      <c r="C60" s="138"/>
      <c r="D60" s="138"/>
      <c r="E60" s="138"/>
      <c r="F60" s="282"/>
      <c r="G60" s="283"/>
      <c r="H60" s="283"/>
      <c r="I60" s="283"/>
      <c r="J60" s="283"/>
      <c r="K60" s="284"/>
      <c r="L60" s="293">
        <f>6*-90%</f>
        <v>-5.4</v>
      </c>
      <c r="M60" s="294"/>
      <c r="N60" s="294"/>
      <c r="O60" s="294"/>
      <c r="P60" s="295" t="s">
        <v>94</v>
      </c>
      <c r="Q60" s="295"/>
      <c r="R60" s="296"/>
      <c r="S60" s="297" t="s">
        <v>57</v>
      </c>
      <c r="T60" s="297"/>
      <c r="U60" s="297"/>
      <c r="V60" s="297"/>
      <c r="W60" s="297"/>
      <c r="X60" s="291"/>
      <c r="Y60" s="291"/>
      <c r="Z60" s="291"/>
      <c r="AA60" s="291"/>
      <c r="AB60" s="291"/>
      <c r="AC60" s="291"/>
      <c r="AD60" s="291"/>
      <c r="AE60" s="291"/>
      <c r="AF60" s="291"/>
      <c r="AG60" s="291"/>
      <c r="AH60" s="291"/>
      <c r="AI60" s="291"/>
      <c r="AJ60" s="291"/>
      <c r="AK60" s="291"/>
      <c r="AL60" s="291"/>
      <c r="AM60" s="291" t="e">
        <f t="shared" si="0"/>
        <v>#DIV/0!</v>
      </c>
      <c r="AN60" s="291"/>
      <c r="AO60" s="291"/>
      <c r="AP60" s="291"/>
      <c r="AQ60" s="291"/>
      <c r="AR60" s="291" t="e">
        <f t="shared" si="1"/>
        <v>#DIV/0!</v>
      </c>
      <c r="AS60" s="291"/>
      <c r="AT60" s="291"/>
      <c r="AU60" s="291"/>
      <c r="AV60" s="291"/>
      <c r="AW60" s="138"/>
      <c r="AX60" s="138"/>
      <c r="AY60" s="138"/>
      <c r="AZ60" s="171"/>
      <c r="BA60" s="172"/>
      <c r="BB60" s="292" t="e">
        <f t="shared" si="15"/>
        <v>#DIV/0!</v>
      </c>
      <c r="BC60" s="292"/>
      <c r="BD60" s="292"/>
      <c r="BE60" s="292"/>
      <c r="BF60" s="292"/>
      <c r="BG60" s="291" t="e">
        <f t="shared" si="2"/>
        <v>#DIV/0!</v>
      </c>
      <c r="BH60" s="291"/>
      <c r="BI60" s="291"/>
      <c r="BJ60" s="291"/>
      <c r="BK60" s="291"/>
      <c r="BL60" s="291" t="e">
        <f t="shared" si="3"/>
        <v>#DIV/0!</v>
      </c>
      <c r="BM60" s="291"/>
      <c r="BN60" s="291"/>
      <c r="BO60" s="291"/>
      <c r="BP60" s="291"/>
      <c r="BQ60" s="330" t="e">
        <f t="shared" si="4"/>
        <v>#DIV/0!</v>
      </c>
      <c r="BR60" s="330"/>
      <c r="BS60" s="330"/>
      <c r="BT60" s="330"/>
      <c r="BU60" s="330"/>
      <c r="BV60" s="172"/>
      <c r="BX60" s="70" t="s">
        <v>132</v>
      </c>
      <c r="BY60" s="5">
        <v>3.1E-4</v>
      </c>
      <c r="BZ60" s="1" t="str">
        <f t="shared" si="5"/>
        <v>V</v>
      </c>
      <c r="CA60" s="179">
        <v>2</v>
      </c>
      <c r="CB60" s="76">
        <f t="shared" si="26"/>
        <v>1.55E-4</v>
      </c>
      <c r="CC60" s="4"/>
      <c r="CD60" s="70" t="s">
        <v>134</v>
      </c>
      <c r="CE60" s="5">
        <v>0</v>
      </c>
      <c r="CF60" s="1" t="str">
        <f t="shared" si="16"/>
        <v>V</v>
      </c>
      <c r="CG60" s="79">
        <f t="shared" si="7"/>
        <v>1.7320508075688772</v>
      </c>
      <c r="CH60" s="76">
        <f t="shared" si="8"/>
        <v>0</v>
      </c>
      <c r="CI60" s="4"/>
      <c r="CJ60" s="70" t="s">
        <v>93</v>
      </c>
      <c r="CK60" s="180">
        <v>1E-3</v>
      </c>
      <c r="CL60" s="1" t="str">
        <f t="shared" si="9"/>
        <v>V</v>
      </c>
      <c r="CM60" s="79">
        <f t="shared" si="17"/>
        <v>3.4641016151377544</v>
      </c>
      <c r="CN60" s="76">
        <f t="shared" si="18"/>
        <v>2.886751345948129E-4</v>
      </c>
      <c r="CO60" s="4"/>
      <c r="CP60" s="70" t="s">
        <v>71</v>
      </c>
      <c r="CQ60" s="6" t="e">
        <f t="shared" si="10"/>
        <v>#DIV/0!</v>
      </c>
      <c r="CR60" s="1" t="str">
        <f t="shared" si="11"/>
        <v>V</v>
      </c>
      <c r="CS60" s="79">
        <f t="shared" si="19"/>
        <v>1.7320508075688772</v>
      </c>
      <c r="CT60" s="84" t="e">
        <f t="shared" si="20"/>
        <v>#DIV/0!</v>
      </c>
      <c r="CU60" s="8"/>
      <c r="CV60" s="92" t="e">
        <f t="shared" si="21"/>
        <v>#DIV/0!</v>
      </c>
      <c r="CW60" s="5" t="e">
        <f t="shared" si="22"/>
        <v>#DIV/0!</v>
      </c>
      <c r="CX60" s="93" t="e">
        <f t="shared" si="27"/>
        <v>#DIV/0!</v>
      </c>
      <c r="CY60" s="109" t="e">
        <f t="shared" si="28"/>
        <v>#DIV/0!</v>
      </c>
      <c r="CZ60" s="104" t="str">
        <f t="shared" si="13"/>
        <v>V</v>
      </c>
      <c r="DA60" s="8"/>
      <c r="DB60" s="207">
        <v>1.0000000000000001E-5</v>
      </c>
      <c r="DC60" s="177" t="str">
        <f t="shared" si="24"/>
        <v>V</v>
      </c>
      <c r="DD60" s="223" t="e">
        <f t="shared" si="14"/>
        <v>#DIV/0!</v>
      </c>
      <c r="DE60" s="177" t="str">
        <f t="shared" si="25"/>
        <v>V</v>
      </c>
    </row>
    <row r="61" spans="1:109" s="173" customFormat="1" ht="18" customHeight="1">
      <c r="A61" s="172"/>
      <c r="B61" s="169"/>
      <c r="C61" s="138"/>
      <c r="D61" s="138"/>
      <c r="E61" s="138"/>
      <c r="F61" s="276" t="s">
        <v>140</v>
      </c>
      <c r="G61" s="277"/>
      <c r="H61" s="277"/>
      <c r="I61" s="277"/>
      <c r="J61" s="277"/>
      <c r="K61" s="278"/>
      <c r="L61" s="293">
        <f>60*10%</f>
        <v>6</v>
      </c>
      <c r="M61" s="294"/>
      <c r="N61" s="294"/>
      <c r="O61" s="294"/>
      <c r="P61" s="295" t="s">
        <v>94</v>
      </c>
      <c r="Q61" s="295"/>
      <c r="R61" s="296"/>
      <c r="S61" s="297" t="s">
        <v>57</v>
      </c>
      <c r="T61" s="297"/>
      <c r="U61" s="297"/>
      <c r="V61" s="297"/>
      <c r="W61" s="297"/>
      <c r="X61" s="292"/>
      <c r="Y61" s="292"/>
      <c r="Z61" s="292"/>
      <c r="AA61" s="292"/>
      <c r="AB61" s="292"/>
      <c r="AC61" s="292"/>
      <c r="AD61" s="292"/>
      <c r="AE61" s="292"/>
      <c r="AF61" s="292"/>
      <c r="AG61" s="292"/>
      <c r="AH61" s="292"/>
      <c r="AI61" s="292"/>
      <c r="AJ61" s="292"/>
      <c r="AK61" s="292"/>
      <c r="AL61" s="292"/>
      <c r="AM61" s="292" t="e">
        <f t="shared" si="0"/>
        <v>#DIV/0!</v>
      </c>
      <c r="AN61" s="292"/>
      <c r="AO61" s="292"/>
      <c r="AP61" s="292"/>
      <c r="AQ61" s="292"/>
      <c r="AR61" s="292" t="e">
        <f t="shared" si="1"/>
        <v>#DIV/0!</v>
      </c>
      <c r="AS61" s="292"/>
      <c r="AT61" s="292"/>
      <c r="AU61" s="292"/>
      <c r="AV61" s="292"/>
      <c r="AW61" s="138"/>
      <c r="AX61" s="138"/>
      <c r="AY61" s="138"/>
      <c r="AZ61" s="171"/>
      <c r="BA61" s="172"/>
      <c r="BB61" s="292" t="e">
        <f t="shared" si="15"/>
        <v>#DIV/0!</v>
      </c>
      <c r="BC61" s="292"/>
      <c r="BD61" s="292"/>
      <c r="BE61" s="292"/>
      <c r="BF61" s="292"/>
      <c r="BG61" s="292" t="e">
        <f t="shared" si="2"/>
        <v>#DIV/0!</v>
      </c>
      <c r="BH61" s="292"/>
      <c r="BI61" s="292"/>
      <c r="BJ61" s="292"/>
      <c r="BK61" s="292"/>
      <c r="BL61" s="292" t="e">
        <f t="shared" si="3"/>
        <v>#DIV/0!</v>
      </c>
      <c r="BM61" s="292"/>
      <c r="BN61" s="292"/>
      <c r="BO61" s="292"/>
      <c r="BP61" s="292"/>
      <c r="BQ61" s="330" t="e">
        <f t="shared" si="4"/>
        <v>#DIV/0!</v>
      </c>
      <c r="BR61" s="330"/>
      <c r="BS61" s="330"/>
      <c r="BT61" s="330"/>
      <c r="BU61" s="330"/>
      <c r="BV61" s="172"/>
      <c r="BX61" s="70" t="s">
        <v>132</v>
      </c>
      <c r="BY61" s="5">
        <v>3.1E-4</v>
      </c>
      <c r="BZ61" s="1" t="str">
        <f t="shared" si="5"/>
        <v>V</v>
      </c>
      <c r="CA61" s="179">
        <v>2</v>
      </c>
      <c r="CB61" s="76">
        <f t="shared" ref="CB61:CB68" si="29">BY61/CA61</f>
        <v>1.55E-4</v>
      </c>
      <c r="CC61" s="4"/>
      <c r="CD61" s="70" t="s">
        <v>134</v>
      </c>
      <c r="CE61" s="5">
        <v>0</v>
      </c>
      <c r="CF61" s="1" t="str">
        <f t="shared" si="16"/>
        <v>V</v>
      </c>
      <c r="CG61" s="79">
        <f t="shared" si="7"/>
        <v>1.7320508075688772</v>
      </c>
      <c r="CH61" s="76">
        <f t="shared" si="8"/>
        <v>0</v>
      </c>
      <c r="CI61" s="4"/>
      <c r="CJ61" s="70" t="s">
        <v>93</v>
      </c>
      <c r="CK61" s="180">
        <v>0.01</v>
      </c>
      <c r="CL61" s="1" t="str">
        <f t="shared" si="9"/>
        <v>V</v>
      </c>
      <c r="CM61" s="79">
        <f t="shared" si="17"/>
        <v>3.4641016151377544</v>
      </c>
      <c r="CN61" s="76">
        <f t="shared" si="18"/>
        <v>2.886751345948129E-3</v>
      </c>
      <c r="CO61" s="4"/>
      <c r="CP61" s="70" t="s">
        <v>71</v>
      </c>
      <c r="CQ61" s="6" t="e">
        <f t="shared" si="10"/>
        <v>#DIV/0!</v>
      </c>
      <c r="CR61" s="1" t="str">
        <f t="shared" si="11"/>
        <v>V</v>
      </c>
      <c r="CS61" s="79">
        <f t="shared" si="19"/>
        <v>1.7320508075688772</v>
      </c>
      <c r="CT61" s="84" t="e">
        <f t="shared" si="20"/>
        <v>#DIV/0!</v>
      </c>
      <c r="CU61" s="8"/>
      <c r="CV61" s="92" t="e">
        <f t="shared" si="21"/>
        <v>#DIV/0!</v>
      </c>
      <c r="CW61" s="5" t="e">
        <f t="shared" si="22"/>
        <v>#DIV/0!</v>
      </c>
      <c r="CX61" s="93" t="e">
        <f t="shared" ref="CX61:CX68" si="30">ROUND(TINV(0.05,CW61),0)</f>
        <v>#DIV/0!</v>
      </c>
      <c r="CY61" s="108" t="e">
        <f t="shared" si="28"/>
        <v>#DIV/0!</v>
      </c>
      <c r="CZ61" s="104" t="str">
        <f t="shared" si="13"/>
        <v>V</v>
      </c>
      <c r="DA61" s="8"/>
      <c r="DB61" s="207">
        <v>1.0000000000000001E-5</v>
      </c>
      <c r="DC61" s="177" t="str">
        <f t="shared" si="24"/>
        <v>V</v>
      </c>
      <c r="DD61" s="223" t="e">
        <f t="shared" si="14"/>
        <v>#DIV/0!</v>
      </c>
      <c r="DE61" s="177" t="str">
        <f t="shared" si="25"/>
        <v>V</v>
      </c>
    </row>
    <row r="62" spans="1:109" s="173" customFormat="1" ht="18" customHeight="1">
      <c r="A62" s="172"/>
      <c r="B62" s="169"/>
      <c r="C62" s="138"/>
      <c r="D62" s="138"/>
      <c r="E62" s="138"/>
      <c r="F62" s="279"/>
      <c r="G62" s="280"/>
      <c r="H62" s="280"/>
      <c r="I62" s="280"/>
      <c r="J62" s="280"/>
      <c r="K62" s="281"/>
      <c r="L62" s="293">
        <f>60*50%</f>
        <v>30</v>
      </c>
      <c r="M62" s="294"/>
      <c r="N62" s="294"/>
      <c r="O62" s="294"/>
      <c r="P62" s="295" t="s">
        <v>94</v>
      </c>
      <c r="Q62" s="295"/>
      <c r="R62" s="296"/>
      <c r="S62" s="297" t="s">
        <v>57</v>
      </c>
      <c r="T62" s="297"/>
      <c r="U62" s="297"/>
      <c r="V62" s="297"/>
      <c r="W62" s="297"/>
      <c r="X62" s="292"/>
      <c r="Y62" s="292"/>
      <c r="Z62" s="292"/>
      <c r="AA62" s="292"/>
      <c r="AB62" s="292"/>
      <c r="AC62" s="292"/>
      <c r="AD62" s="292"/>
      <c r="AE62" s="292"/>
      <c r="AF62" s="292"/>
      <c r="AG62" s="292"/>
      <c r="AH62" s="292"/>
      <c r="AI62" s="292"/>
      <c r="AJ62" s="292"/>
      <c r="AK62" s="292"/>
      <c r="AL62" s="292"/>
      <c r="AM62" s="292" t="e">
        <f t="shared" si="0"/>
        <v>#DIV/0!</v>
      </c>
      <c r="AN62" s="292"/>
      <c r="AO62" s="292"/>
      <c r="AP62" s="292"/>
      <c r="AQ62" s="292"/>
      <c r="AR62" s="292" t="e">
        <f t="shared" si="1"/>
        <v>#DIV/0!</v>
      </c>
      <c r="AS62" s="292"/>
      <c r="AT62" s="292"/>
      <c r="AU62" s="292"/>
      <c r="AV62" s="292"/>
      <c r="AW62" s="138"/>
      <c r="AX62" s="138"/>
      <c r="AY62" s="138"/>
      <c r="AZ62" s="171"/>
      <c r="BA62" s="172"/>
      <c r="BB62" s="292" t="e">
        <f t="shared" si="15"/>
        <v>#DIV/0!</v>
      </c>
      <c r="BC62" s="292"/>
      <c r="BD62" s="292"/>
      <c r="BE62" s="292"/>
      <c r="BF62" s="292"/>
      <c r="BG62" s="292" t="e">
        <f t="shared" si="2"/>
        <v>#DIV/0!</v>
      </c>
      <c r="BH62" s="292"/>
      <c r="BI62" s="292"/>
      <c r="BJ62" s="292"/>
      <c r="BK62" s="292"/>
      <c r="BL62" s="292" t="e">
        <f t="shared" si="3"/>
        <v>#DIV/0!</v>
      </c>
      <c r="BM62" s="292"/>
      <c r="BN62" s="292"/>
      <c r="BO62" s="292"/>
      <c r="BP62" s="292"/>
      <c r="BQ62" s="330" t="e">
        <f t="shared" si="4"/>
        <v>#DIV/0!</v>
      </c>
      <c r="BR62" s="330"/>
      <c r="BS62" s="330"/>
      <c r="BT62" s="330"/>
      <c r="BU62" s="330"/>
      <c r="BV62" s="172"/>
      <c r="BX62" s="70" t="s">
        <v>132</v>
      </c>
      <c r="BY62" s="5">
        <v>3.1E-4</v>
      </c>
      <c r="BZ62" s="1" t="str">
        <f t="shared" si="5"/>
        <v>V</v>
      </c>
      <c r="CA62" s="179">
        <v>2</v>
      </c>
      <c r="CB62" s="76">
        <f t="shared" ref="CB62:CB63" si="31">BY62/CA62</f>
        <v>1.55E-4</v>
      </c>
      <c r="CC62" s="4"/>
      <c r="CD62" s="70" t="s">
        <v>134</v>
      </c>
      <c r="CE62" s="5">
        <v>0</v>
      </c>
      <c r="CF62" s="1" t="str">
        <f t="shared" si="16"/>
        <v>V</v>
      </c>
      <c r="CG62" s="79">
        <f t="shared" si="7"/>
        <v>1.7320508075688772</v>
      </c>
      <c r="CH62" s="76">
        <f t="shared" si="8"/>
        <v>0</v>
      </c>
      <c r="CI62" s="4"/>
      <c r="CJ62" s="70" t="s">
        <v>93</v>
      </c>
      <c r="CK62" s="180">
        <v>0.01</v>
      </c>
      <c r="CL62" s="1" t="str">
        <f t="shared" si="9"/>
        <v>V</v>
      </c>
      <c r="CM62" s="79">
        <f t="shared" si="17"/>
        <v>3.4641016151377544</v>
      </c>
      <c r="CN62" s="76">
        <f t="shared" si="18"/>
        <v>2.886751345948129E-3</v>
      </c>
      <c r="CO62" s="4"/>
      <c r="CP62" s="70" t="s">
        <v>71</v>
      </c>
      <c r="CQ62" s="6" t="e">
        <f t="shared" si="10"/>
        <v>#DIV/0!</v>
      </c>
      <c r="CR62" s="1" t="str">
        <f t="shared" si="11"/>
        <v>V</v>
      </c>
      <c r="CS62" s="79">
        <f t="shared" si="19"/>
        <v>1.7320508075688772</v>
      </c>
      <c r="CT62" s="84" t="e">
        <f t="shared" si="20"/>
        <v>#DIV/0!</v>
      </c>
      <c r="CU62" s="8"/>
      <c r="CV62" s="92" t="e">
        <f t="shared" si="21"/>
        <v>#DIV/0!</v>
      </c>
      <c r="CW62" s="5" t="e">
        <f t="shared" si="22"/>
        <v>#DIV/0!</v>
      </c>
      <c r="CX62" s="93" t="e">
        <f t="shared" ref="CX62:CX63" si="32">ROUND(TINV(0.05,CW62),0)</f>
        <v>#DIV/0!</v>
      </c>
      <c r="CY62" s="108" t="e">
        <f t="shared" ref="CY62:CY63" si="33">(CV62*CX62)</f>
        <v>#DIV/0!</v>
      </c>
      <c r="CZ62" s="104" t="str">
        <f t="shared" si="13"/>
        <v>V</v>
      </c>
      <c r="DA62" s="8"/>
      <c r="DB62" s="207">
        <v>1.0000000000000001E-5</v>
      </c>
      <c r="DC62" s="177" t="str">
        <f t="shared" si="24"/>
        <v>V</v>
      </c>
      <c r="DD62" s="223" t="e">
        <f t="shared" si="14"/>
        <v>#DIV/0!</v>
      </c>
      <c r="DE62" s="177" t="str">
        <f t="shared" si="25"/>
        <v>V</v>
      </c>
    </row>
    <row r="63" spans="1:109" s="173" customFormat="1" ht="18" customHeight="1">
      <c r="A63" s="172"/>
      <c r="B63" s="169"/>
      <c r="C63" s="138"/>
      <c r="D63" s="138"/>
      <c r="E63" s="138"/>
      <c r="F63" s="279"/>
      <c r="G63" s="280"/>
      <c r="H63" s="280"/>
      <c r="I63" s="280"/>
      <c r="J63" s="280"/>
      <c r="K63" s="281"/>
      <c r="L63" s="293">
        <f>60*90%</f>
        <v>54</v>
      </c>
      <c r="M63" s="294"/>
      <c r="N63" s="294"/>
      <c r="O63" s="294"/>
      <c r="P63" s="295" t="s">
        <v>94</v>
      </c>
      <c r="Q63" s="295"/>
      <c r="R63" s="296"/>
      <c r="S63" s="297" t="s">
        <v>57</v>
      </c>
      <c r="T63" s="297"/>
      <c r="U63" s="297"/>
      <c r="V63" s="297"/>
      <c r="W63" s="297"/>
      <c r="X63" s="292"/>
      <c r="Y63" s="292"/>
      <c r="Z63" s="292"/>
      <c r="AA63" s="292"/>
      <c r="AB63" s="292"/>
      <c r="AC63" s="292"/>
      <c r="AD63" s="292"/>
      <c r="AE63" s="292"/>
      <c r="AF63" s="292"/>
      <c r="AG63" s="292"/>
      <c r="AH63" s="292"/>
      <c r="AI63" s="292"/>
      <c r="AJ63" s="292"/>
      <c r="AK63" s="292"/>
      <c r="AL63" s="292"/>
      <c r="AM63" s="292" t="e">
        <f t="shared" si="0"/>
        <v>#DIV/0!</v>
      </c>
      <c r="AN63" s="292"/>
      <c r="AO63" s="292"/>
      <c r="AP63" s="292"/>
      <c r="AQ63" s="292"/>
      <c r="AR63" s="292" t="e">
        <f t="shared" si="1"/>
        <v>#DIV/0!</v>
      </c>
      <c r="AS63" s="292"/>
      <c r="AT63" s="292"/>
      <c r="AU63" s="292"/>
      <c r="AV63" s="292"/>
      <c r="AW63" s="138"/>
      <c r="AX63" s="138"/>
      <c r="AY63" s="138"/>
      <c r="AZ63" s="171"/>
      <c r="BA63" s="172"/>
      <c r="BB63" s="292" t="e">
        <f t="shared" si="15"/>
        <v>#DIV/0!</v>
      </c>
      <c r="BC63" s="292"/>
      <c r="BD63" s="292"/>
      <c r="BE63" s="292"/>
      <c r="BF63" s="292"/>
      <c r="BG63" s="292" t="e">
        <f t="shared" si="2"/>
        <v>#DIV/0!</v>
      </c>
      <c r="BH63" s="292"/>
      <c r="BI63" s="292"/>
      <c r="BJ63" s="292"/>
      <c r="BK63" s="292"/>
      <c r="BL63" s="292" t="e">
        <f t="shared" si="3"/>
        <v>#DIV/0!</v>
      </c>
      <c r="BM63" s="292"/>
      <c r="BN63" s="292"/>
      <c r="BO63" s="292"/>
      <c r="BP63" s="292"/>
      <c r="BQ63" s="330" t="e">
        <f t="shared" si="4"/>
        <v>#DIV/0!</v>
      </c>
      <c r="BR63" s="330"/>
      <c r="BS63" s="330"/>
      <c r="BT63" s="330"/>
      <c r="BU63" s="330"/>
      <c r="BV63" s="172"/>
      <c r="BX63" s="70" t="s">
        <v>132</v>
      </c>
      <c r="BY63" s="6">
        <v>3.0999999999999999E-3</v>
      </c>
      <c r="BZ63" s="1" t="str">
        <f t="shared" si="5"/>
        <v>V</v>
      </c>
      <c r="CA63" s="179">
        <v>2</v>
      </c>
      <c r="CB63" s="76">
        <f t="shared" si="31"/>
        <v>1.5499999999999999E-3</v>
      </c>
      <c r="CC63" s="4"/>
      <c r="CD63" s="70" t="s">
        <v>134</v>
      </c>
      <c r="CE63" s="5">
        <v>0</v>
      </c>
      <c r="CF63" s="1" t="str">
        <f t="shared" si="16"/>
        <v>V</v>
      </c>
      <c r="CG63" s="79">
        <f t="shared" si="7"/>
        <v>1.7320508075688772</v>
      </c>
      <c r="CH63" s="76">
        <f t="shared" si="8"/>
        <v>0</v>
      </c>
      <c r="CI63" s="4"/>
      <c r="CJ63" s="70" t="s">
        <v>93</v>
      </c>
      <c r="CK63" s="180">
        <v>0.01</v>
      </c>
      <c r="CL63" s="1" t="str">
        <f t="shared" si="9"/>
        <v>V</v>
      </c>
      <c r="CM63" s="79">
        <f t="shared" si="17"/>
        <v>3.4641016151377544</v>
      </c>
      <c r="CN63" s="76">
        <f t="shared" si="18"/>
        <v>2.886751345948129E-3</v>
      </c>
      <c r="CO63" s="4"/>
      <c r="CP63" s="70" t="s">
        <v>71</v>
      </c>
      <c r="CQ63" s="6" t="e">
        <f t="shared" si="10"/>
        <v>#DIV/0!</v>
      </c>
      <c r="CR63" s="1" t="str">
        <f t="shared" si="11"/>
        <v>V</v>
      </c>
      <c r="CS63" s="79">
        <f t="shared" si="19"/>
        <v>1.7320508075688772</v>
      </c>
      <c r="CT63" s="84" t="e">
        <f t="shared" si="20"/>
        <v>#DIV/0!</v>
      </c>
      <c r="CU63" s="8"/>
      <c r="CV63" s="92" t="e">
        <f t="shared" si="21"/>
        <v>#DIV/0!</v>
      </c>
      <c r="CW63" s="5" t="e">
        <f t="shared" si="22"/>
        <v>#DIV/0!</v>
      </c>
      <c r="CX63" s="93" t="e">
        <f t="shared" si="32"/>
        <v>#DIV/0!</v>
      </c>
      <c r="CY63" s="108" t="e">
        <f t="shared" si="33"/>
        <v>#DIV/0!</v>
      </c>
      <c r="CZ63" s="104" t="str">
        <f t="shared" si="13"/>
        <v>V</v>
      </c>
      <c r="DA63" s="8"/>
      <c r="DB63" s="176">
        <v>1.8000000000000001E-4</v>
      </c>
      <c r="DC63" s="177" t="str">
        <f t="shared" si="24"/>
        <v>V</v>
      </c>
      <c r="DD63" s="223" t="e">
        <f t="shared" si="14"/>
        <v>#DIV/0!</v>
      </c>
      <c r="DE63" s="177" t="str">
        <f t="shared" si="25"/>
        <v>V</v>
      </c>
    </row>
    <row r="64" spans="1:109" s="173" customFormat="1" ht="18" customHeight="1">
      <c r="A64" s="172"/>
      <c r="B64" s="169"/>
      <c r="C64" s="138"/>
      <c r="D64" s="138"/>
      <c r="E64" s="138"/>
      <c r="F64" s="279"/>
      <c r="G64" s="280"/>
      <c r="H64" s="280"/>
      <c r="I64" s="280"/>
      <c r="J64" s="280"/>
      <c r="K64" s="281"/>
      <c r="L64" s="293">
        <f>60*-10%</f>
        <v>-6</v>
      </c>
      <c r="M64" s="294"/>
      <c r="N64" s="294"/>
      <c r="O64" s="294"/>
      <c r="P64" s="295" t="s">
        <v>94</v>
      </c>
      <c r="Q64" s="295"/>
      <c r="R64" s="296"/>
      <c r="S64" s="297" t="s">
        <v>57</v>
      </c>
      <c r="T64" s="297"/>
      <c r="U64" s="297"/>
      <c r="V64" s="297"/>
      <c r="W64" s="297"/>
      <c r="X64" s="292"/>
      <c r="Y64" s="292"/>
      <c r="Z64" s="292"/>
      <c r="AA64" s="292"/>
      <c r="AB64" s="292"/>
      <c r="AC64" s="292"/>
      <c r="AD64" s="292"/>
      <c r="AE64" s="292"/>
      <c r="AF64" s="292"/>
      <c r="AG64" s="292"/>
      <c r="AH64" s="292"/>
      <c r="AI64" s="292"/>
      <c r="AJ64" s="292"/>
      <c r="AK64" s="292"/>
      <c r="AL64" s="292"/>
      <c r="AM64" s="292" t="e">
        <f t="shared" si="0"/>
        <v>#DIV/0!</v>
      </c>
      <c r="AN64" s="292"/>
      <c r="AO64" s="292"/>
      <c r="AP64" s="292"/>
      <c r="AQ64" s="292"/>
      <c r="AR64" s="292" t="e">
        <f t="shared" si="1"/>
        <v>#DIV/0!</v>
      </c>
      <c r="AS64" s="292"/>
      <c r="AT64" s="292"/>
      <c r="AU64" s="292"/>
      <c r="AV64" s="292"/>
      <c r="AW64" s="138"/>
      <c r="AX64" s="138"/>
      <c r="AY64" s="138"/>
      <c r="AZ64" s="171"/>
      <c r="BA64" s="172"/>
      <c r="BB64" s="292" t="e">
        <f t="shared" si="15"/>
        <v>#DIV/0!</v>
      </c>
      <c r="BC64" s="292"/>
      <c r="BD64" s="292"/>
      <c r="BE64" s="292"/>
      <c r="BF64" s="292"/>
      <c r="BG64" s="301" t="e">
        <f t="shared" si="2"/>
        <v>#DIV/0!</v>
      </c>
      <c r="BH64" s="301"/>
      <c r="BI64" s="301"/>
      <c r="BJ64" s="301"/>
      <c r="BK64" s="301"/>
      <c r="BL64" s="301" t="e">
        <f t="shared" si="3"/>
        <v>#DIV/0!</v>
      </c>
      <c r="BM64" s="301"/>
      <c r="BN64" s="301"/>
      <c r="BO64" s="301"/>
      <c r="BP64" s="301"/>
      <c r="BQ64" s="330" t="e">
        <f t="shared" si="4"/>
        <v>#DIV/0!</v>
      </c>
      <c r="BR64" s="330"/>
      <c r="BS64" s="330"/>
      <c r="BT64" s="330"/>
      <c r="BU64" s="330"/>
      <c r="BV64" s="172"/>
      <c r="BX64" s="70" t="s">
        <v>132</v>
      </c>
      <c r="BY64" s="6">
        <v>3.1E-4</v>
      </c>
      <c r="BZ64" s="1" t="str">
        <f t="shared" si="5"/>
        <v>V</v>
      </c>
      <c r="CA64" s="179">
        <v>2</v>
      </c>
      <c r="CB64" s="76">
        <f t="shared" si="29"/>
        <v>1.55E-4</v>
      </c>
      <c r="CC64" s="4"/>
      <c r="CD64" s="70" t="s">
        <v>134</v>
      </c>
      <c r="CE64" s="5">
        <v>0</v>
      </c>
      <c r="CF64" s="1" t="str">
        <f t="shared" si="16"/>
        <v>V</v>
      </c>
      <c r="CG64" s="79">
        <f t="shared" si="7"/>
        <v>1.7320508075688772</v>
      </c>
      <c r="CH64" s="76">
        <f t="shared" si="8"/>
        <v>0</v>
      </c>
      <c r="CI64" s="4"/>
      <c r="CJ64" s="70" t="s">
        <v>93</v>
      </c>
      <c r="CK64" s="180">
        <v>0.01</v>
      </c>
      <c r="CL64" s="1" t="str">
        <f t="shared" si="9"/>
        <v>V</v>
      </c>
      <c r="CM64" s="79">
        <f t="shared" si="17"/>
        <v>3.4641016151377544</v>
      </c>
      <c r="CN64" s="76">
        <f t="shared" si="18"/>
        <v>2.886751345948129E-3</v>
      </c>
      <c r="CO64" s="4"/>
      <c r="CP64" s="70" t="s">
        <v>71</v>
      </c>
      <c r="CQ64" s="6" t="e">
        <f t="shared" si="10"/>
        <v>#DIV/0!</v>
      </c>
      <c r="CR64" s="1" t="str">
        <f t="shared" si="11"/>
        <v>V</v>
      </c>
      <c r="CS64" s="79">
        <f t="shared" si="19"/>
        <v>1.7320508075688772</v>
      </c>
      <c r="CT64" s="84" t="e">
        <f t="shared" si="20"/>
        <v>#DIV/0!</v>
      </c>
      <c r="CU64" s="8"/>
      <c r="CV64" s="92" t="e">
        <f t="shared" si="21"/>
        <v>#DIV/0!</v>
      </c>
      <c r="CW64" s="5" t="e">
        <f t="shared" si="22"/>
        <v>#DIV/0!</v>
      </c>
      <c r="CX64" s="93" t="e">
        <f t="shared" si="30"/>
        <v>#DIV/0!</v>
      </c>
      <c r="CY64" s="108" t="e">
        <f t="shared" ref="CY64:CY65" si="34">(CV64*CX64)</f>
        <v>#DIV/0!</v>
      </c>
      <c r="CZ64" s="104" t="str">
        <f t="shared" si="13"/>
        <v>V</v>
      </c>
      <c r="DA64" s="8"/>
      <c r="DB64" s="207">
        <v>1.0000000000000001E-5</v>
      </c>
      <c r="DC64" s="177" t="str">
        <f t="shared" si="24"/>
        <v>V</v>
      </c>
      <c r="DD64" s="223" t="e">
        <f t="shared" si="14"/>
        <v>#DIV/0!</v>
      </c>
      <c r="DE64" s="177" t="str">
        <f t="shared" si="25"/>
        <v>V</v>
      </c>
    </row>
    <row r="65" spans="1:109" s="173" customFormat="1" ht="18" customHeight="1">
      <c r="A65" s="172"/>
      <c r="B65" s="169"/>
      <c r="C65" s="138"/>
      <c r="D65" s="138"/>
      <c r="E65" s="138"/>
      <c r="F65" s="282"/>
      <c r="G65" s="283"/>
      <c r="H65" s="283"/>
      <c r="I65" s="283"/>
      <c r="J65" s="283"/>
      <c r="K65" s="284"/>
      <c r="L65" s="293">
        <f>60*-90%</f>
        <v>-54</v>
      </c>
      <c r="M65" s="294"/>
      <c r="N65" s="294"/>
      <c r="O65" s="294"/>
      <c r="P65" s="295" t="s">
        <v>94</v>
      </c>
      <c r="Q65" s="295"/>
      <c r="R65" s="296"/>
      <c r="S65" s="297" t="s">
        <v>57</v>
      </c>
      <c r="T65" s="297"/>
      <c r="U65" s="297"/>
      <c r="V65" s="297"/>
      <c r="W65" s="297"/>
      <c r="X65" s="292"/>
      <c r="Y65" s="292"/>
      <c r="Z65" s="292"/>
      <c r="AA65" s="292"/>
      <c r="AB65" s="292"/>
      <c r="AC65" s="292"/>
      <c r="AD65" s="292"/>
      <c r="AE65" s="292"/>
      <c r="AF65" s="292"/>
      <c r="AG65" s="292"/>
      <c r="AH65" s="292"/>
      <c r="AI65" s="292"/>
      <c r="AJ65" s="292"/>
      <c r="AK65" s="292"/>
      <c r="AL65" s="292"/>
      <c r="AM65" s="292" t="e">
        <f t="shared" si="0"/>
        <v>#DIV/0!</v>
      </c>
      <c r="AN65" s="292"/>
      <c r="AO65" s="292"/>
      <c r="AP65" s="292"/>
      <c r="AQ65" s="292"/>
      <c r="AR65" s="292" t="e">
        <f t="shared" si="1"/>
        <v>#DIV/0!</v>
      </c>
      <c r="AS65" s="292"/>
      <c r="AT65" s="292"/>
      <c r="AU65" s="292"/>
      <c r="AV65" s="292"/>
      <c r="AW65" s="138"/>
      <c r="AX65" s="138"/>
      <c r="AY65" s="138"/>
      <c r="AZ65" s="171"/>
      <c r="BA65" s="172"/>
      <c r="BB65" s="292" t="e">
        <f t="shared" si="15"/>
        <v>#DIV/0!</v>
      </c>
      <c r="BC65" s="292"/>
      <c r="BD65" s="292"/>
      <c r="BE65" s="292"/>
      <c r="BF65" s="292"/>
      <c r="BG65" s="301" t="e">
        <f t="shared" si="2"/>
        <v>#DIV/0!</v>
      </c>
      <c r="BH65" s="301"/>
      <c r="BI65" s="301"/>
      <c r="BJ65" s="301"/>
      <c r="BK65" s="301"/>
      <c r="BL65" s="301" t="e">
        <f t="shared" si="3"/>
        <v>#DIV/0!</v>
      </c>
      <c r="BM65" s="301"/>
      <c r="BN65" s="301"/>
      <c r="BO65" s="301"/>
      <c r="BP65" s="301"/>
      <c r="BQ65" s="330" t="e">
        <f t="shared" si="4"/>
        <v>#DIV/0!</v>
      </c>
      <c r="BR65" s="330"/>
      <c r="BS65" s="330"/>
      <c r="BT65" s="330"/>
      <c r="BU65" s="330"/>
      <c r="BV65" s="172"/>
      <c r="BX65" s="70" t="s">
        <v>132</v>
      </c>
      <c r="BY65" s="6">
        <v>3.0999999999999999E-3</v>
      </c>
      <c r="BZ65" s="1" t="str">
        <f t="shared" si="5"/>
        <v>V</v>
      </c>
      <c r="CA65" s="179">
        <v>2</v>
      </c>
      <c r="CB65" s="76">
        <f t="shared" si="29"/>
        <v>1.5499999999999999E-3</v>
      </c>
      <c r="CC65" s="4"/>
      <c r="CD65" s="70" t="s">
        <v>134</v>
      </c>
      <c r="CE65" s="5">
        <v>0</v>
      </c>
      <c r="CF65" s="1" t="str">
        <f t="shared" si="16"/>
        <v>V</v>
      </c>
      <c r="CG65" s="79">
        <f t="shared" si="7"/>
        <v>1.7320508075688772</v>
      </c>
      <c r="CH65" s="76">
        <f t="shared" si="8"/>
        <v>0</v>
      </c>
      <c r="CI65" s="4"/>
      <c r="CJ65" s="70" t="s">
        <v>93</v>
      </c>
      <c r="CK65" s="180">
        <v>0.01</v>
      </c>
      <c r="CL65" s="1" t="str">
        <f t="shared" si="9"/>
        <v>V</v>
      </c>
      <c r="CM65" s="79">
        <f t="shared" si="17"/>
        <v>3.4641016151377544</v>
      </c>
      <c r="CN65" s="76">
        <f t="shared" si="18"/>
        <v>2.886751345948129E-3</v>
      </c>
      <c r="CO65" s="4"/>
      <c r="CP65" s="70" t="s">
        <v>71</v>
      </c>
      <c r="CQ65" s="6" t="e">
        <f t="shared" si="10"/>
        <v>#DIV/0!</v>
      </c>
      <c r="CR65" s="1" t="str">
        <f t="shared" si="11"/>
        <v>V</v>
      </c>
      <c r="CS65" s="79">
        <f t="shared" si="19"/>
        <v>1.7320508075688772</v>
      </c>
      <c r="CT65" s="84" t="e">
        <f t="shared" si="20"/>
        <v>#DIV/0!</v>
      </c>
      <c r="CU65" s="8"/>
      <c r="CV65" s="92" t="e">
        <f t="shared" si="21"/>
        <v>#DIV/0!</v>
      </c>
      <c r="CW65" s="5" t="e">
        <f t="shared" si="22"/>
        <v>#DIV/0!</v>
      </c>
      <c r="CX65" s="93" t="e">
        <f t="shared" si="30"/>
        <v>#DIV/0!</v>
      </c>
      <c r="CY65" s="108" t="e">
        <f t="shared" si="34"/>
        <v>#DIV/0!</v>
      </c>
      <c r="CZ65" s="104" t="str">
        <f t="shared" si="13"/>
        <v>V</v>
      </c>
      <c r="DA65" s="8"/>
      <c r="DB65" s="176">
        <v>1.8000000000000001E-4</v>
      </c>
      <c r="DC65" s="177" t="str">
        <f t="shared" si="24"/>
        <v>V</v>
      </c>
      <c r="DD65" s="223" t="e">
        <f t="shared" si="14"/>
        <v>#DIV/0!</v>
      </c>
      <c r="DE65" s="177" t="str">
        <f t="shared" si="25"/>
        <v>V</v>
      </c>
    </row>
    <row r="66" spans="1:109" s="173" customFormat="1" ht="18" customHeight="1">
      <c r="A66" s="172"/>
      <c r="B66" s="169"/>
      <c r="C66" s="138"/>
      <c r="D66" s="138"/>
      <c r="E66" s="138"/>
      <c r="F66" s="276" t="s">
        <v>95</v>
      </c>
      <c r="G66" s="277"/>
      <c r="H66" s="277"/>
      <c r="I66" s="277"/>
      <c r="J66" s="277"/>
      <c r="K66" s="278"/>
      <c r="L66" s="293">
        <v>60</v>
      </c>
      <c r="M66" s="294"/>
      <c r="N66" s="294"/>
      <c r="O66" s="294"/>
      <c r="P66" s="295" t="s">
        <v>94</v>
      </c>
      <c r="Q66" s="295"/>
      <c r="R66" s="296"/>
      <c r="S66" s="297" t="s">
        <v>57</v>
      </c>
      <c r="T66" s="297"/>
      <c r="U66" s="297"/>
      <c r="V66" s="297"/>
      <c r="W66" s="297"/>
      <c r="X66" s="301"/>
      <c r="Y66" s="301"/>
      <c r="Z66" s="301"/>
      <c r="AA66" s="301"/>
      <c r="AB66" s="301"/>
      <c r="AC66" s="301"/>
      <c r="AD66" s="301"/>
      <c r="AE66" s="301"/>
      <c r="AF66" s="301"/>
      <c r="AG66" s="301"/>
      <c r="AH66" s="301"/>
      <c r="AI66" s="301"/>
      <c r="AJ66" s="301"/>
      <c r="AK66" s="301"/>
      <c r="AL66" s="301"/>
      <c r="AM66" s="301" t="e">
        <f t="shared" si="0"/>
        <v>#DIV/0!</v>
      </c>
      <c r="AN66" s="301"/>
      <c r="AO66" s="301"/>
      <c r="AP66" s="301"/>
      <c r="AQ66" s="301"/>
      <c r="AR66" s="301" t="e">
        <f t="shared" si="1"/>
        <v>#DIV/0!</v>
      </c>
      <c r="AS66" s="301"/>
      <c r="AT66" s="301"/>
      <c r="AU66" s="301"/>
      <c r="AV66" s="301"/>
      <c r="AW66" s="138"/>
      <c r="AX66" s="138"/>
      <c r="AY66" s="138"/>
      <c r="AZ66" s="171"/>
      <c r="BA66" s="172"/>
      <c r="BB66" s="292" t="e">
        <f t="shared" si="15"/>
        <v>#DIV/0!</v>
      </c>
      <c r="BC66" s="292"/>
      <c r="BD66" s="292"/>
      <c r="BE66" s="292"/>
      <c r="BF66" s="292"/>
      <c r="BG66" s="367" t="e">
        <f t="shared" si="2"/>
        <v>#DIV/0!</v>
      </c>
      <c r="BH66" s="367"/>
      <c r="BI66" s="367"/>
      <c r="BJ66" s="367"/>
      <c r="BK66" s="367"/>
      <c r="BL66" s="367" t="e">
        <f t="shared" si="3"/>
        <v>#DIV/0!</v>
      </c>
      <c r="BM66" s="367"/>
      <c r="BN66" s="367"/>
      <c r="BO66" s="367"/>
      <c r="BP66" s="367"/>
      <c r="BQ66" s="330" t="e">
        <f t="shared" si="4"/>
        <v>#DIV/0!</v>
      </c>
      <c r="BR66" s="330"/>
      <c r="BS66" s="330"/>
      <c r="BT66" s="330"/>
      <c r="BU66" s="330"/>
      <c r="BV66" s="172"/>
      <c r="BX66" s="70" t="s">
        <v>132</v>
      </c>
      <c r="BY66" s="6">
        <v>3.0999999999999999E-3</v>
      </c>
      <c r="BZ66" s="1" t="str">
        <f t="shared" si="5"/>
        <v>V</v>
      </c>
      <c r="CA66" s="179">
        <v>2</v>
      </c>
      <c r="CB66" s="76">
        <f t="shared" si="29"/>
        <v>1.5499999999999999E-3</v>
      </c>
      <c r="CC66" s="4"/>
      <c r="CD66" s="70" t="s">
        <v>134</v>
      </c>
      <c r="CE66" s="5">
        <v>0</v>
      </c>
      <c r="CF66" s="1" t="str">
        <f t="shared" si="16"/>
        <v>V</v>
      </c>
      <c r="CG66" s="79">
        <f t="shared" si="7"/>
        <v>1.7320508075688772</v>
      </c>
      <c r="CH66" s="76">
        <f t="shared" si="8"/>
        <v>0</v>
      </c>
      <c r="CI66" s="4"/>
      <c r="CJ66" s="70" t="s">
        <v>93</v>
      </c>
      <c r="CK66" s="180">
        <v>0.1</v>
      </c>
      <c r="CL66" s="1" t="str">
        <f t="shared" si="9"/>
        <v>V</v>
      </c>
      <c r="CM66" s="79">
        <f t="shared" si="17"/>
        <v>3.4641016151377544</v>
      </c>
      <c r="CN66" s="76">
        <f t="shared" si="18"/>
        <v>2.8867513459481291E-2</v>
      </c>
      <c r="CO66" s="4"/>
      <c r="CP66" s="70" t="s">
        <v>71</v>
      </c>
      <c r="CQ66" s="6" t="e">
        <f t="shared" si="10"/>
        <v>#DIV/0!</v>
      </c>
      <c r="CR66" s="1" t="str">
        <f t="shared" si="11"/>
        <v>V</v>
      </c>
      <c r="CS66" s="79">
        <f t="shared" si="19"/>
        <v>1.7320508075688772</v>
      </c>
      <c r="CT66" s="84" t="e">
        <f t="shared" si="20"/>
        <v>#DIV/0!</v>
      </c>
      <c r="CU66" s="8"/>
      <c r="CV66" s="92" t="e">
        <f t="shared" si="21"/>
        <v>#DIV/0!</v>
      </c>
      <c r="CW66" s="5" t="e">
        <f t="shared" si="22"/>
        <v>#DIV/0!</v>
      </c>
      <c r="CX66" s="93" t="e">
        <f t="shared" si="30"/>
        <v>#DIV/0!</v>
      </c>
      <c r="CY66" s="110" t="e">
        <f t="shared" ref="CY66" si="35">(CV66*CX66)</f>
        <v>#DIV/0!</v>
      </c>
      <c r="CZ66" s="104" t="str">
        <f t="shared" si="13"/>
        <v>V</v>
      </c>
      <c r="DA66" s="8"/>
      <c r="DB66" s="176">
        <v>1.8000000000000001E-4</v>
      </c>
      <c r="DC66" s="177" t="str">
        <f t="shared" si="24"/>
        <v>V</v>
      </c>
      <c r="DD66" s="223" t="e">
        <f t="shared" si="14"/>
        <v>#DIV/0!</v>
      </c>
      <c r="DE66" s="177" t="str">
        <f t="shared" si="25"/>
        <v>V</v>
      </c>
    </row>
    <row r="67" spans="1:109" s="173" customFormat="1" ht="18" customHeight="1">
      <c r="A67" s="172"/>
      <c r="B67" s="169"/>
      <c r="C67" s="138"/>
      <c r="D67" s="138"/>
      <c r="E67" s="138"/>
      <c r="F67" s="279"/>
      <c r="G67" s="280"/>
      <c r="H67" s="280"/>
      <c r="I67" s="280"/>
      <c r="J67" s="280"/>
      <c r="K67" s="281"/>
      <c r="L67" s="293">
        <v>540</v>
      </c>
      <c r="M67" s="294"/>
      <c r="N67" s="294"/>
      <c r="O67" s="294"/>
      <c r="P67" s="295" t="s">
        <v>94</v>
      </c>
      <c r="Q67" s="295"/>
      <c r="R67" s="296"/>
      <c r="S67" s="297" t="s">
        <v>57</v>
      </c>
      <c r="T67" s="297"/>
      <c r="U67" s="297"/>
      <c r="V67" s="297"/>
      <c r="W67" s="297"/>
      <c r="X67" s="298"/>
      <c r="Y67" s="299"/>
      <c r="Z67" s="299"/>
      <c r="AA67" s="299"/>
      <c r="AB67" s="300"/>
      <c r="AC67" s="298"/>
      <c r="AD67" s="299"/>
      <c r="AE67" s="299"/>
      <c r="AF67" s="299"/>
      <c r="AG67" s="300"/>
      <c r="AH67" s="298"/>
      <c r="AI67" s="299"/>
      <c r="AJ67" s="299"/>
      <c r="AK67" s="299"/>
      <c r="AL67" s="300"/>
      <c r="AM67" s="301" t="e">
        <f t="shared" si="0"/>
        <v>#DIV/0!</v>
      </c>
      <c r="AN67" s="301"/>
      <c r="AO67" s="301"/>
      <c r="AP67" s="301"/>
      <c r="AQ67" s="301"/>
      <c r="AR67" s="301" t="e">
        <f t="shared" si="1"/>
        <v>#DIV/0!</v>
      </c>
      <c r="AS67" s="301"/>
      <c r="AT67" s="301"/>
      <c r="AU67" s="301"/>
      <c r="AV67" s="301"/>
      <c r="AW67" s="138"/>
      <c r="AX67" s="138"/>
      <c r="AY67" s="138"/>
      <c r="AZ67" s="171"/>
      <c r="BA67" s="172"/>
      <c r="BB67" s="292" t="e">
        <f t="shared" si="15"/>
        <v>#DIV/0!</v>
      </c>
      <c r="BC67" s="292"/>
      <c r="BD67" s="292"/>
      <c r="BE67" s="292"/>
      <c r="BF67" s="292"/>
      <c r="BG67" s="367" t="e">
        <f t="shared" si="2"/>
        <v>#DIV/0!</v>
      </c>
      <c r="BH67" s="367"/>
      <c r="BI67" s="367"/>
      <c r="BJ67" s="367"/>
      <c r="BK67" s="367"/>
      <c r="BL67" s="367" t="e">
        <f t="shared" si="3"/>
        <v>#DIV/0!</v>
      </c>
      <c r="BM67" s="367"/>
      <c r="BN67" s="367"/>
      <c r="BO67" s="367"/>
      <c r="BP67" s="367"/>
      <c r="BQ67" s="330" t="e">
        <f t="shared" si="4"/>
        <v>#DIV/0!</v>
      </c>
      <c r="BR67" s="330"/>
      <c r="BS67" s="330"/>
      <c r="BT67" s="330"/>
      <c r="BU67" s="330"/>
      <c r="BV67" s="172"/>
      <c r="BX67" s="70" t="s">
        <v>132</v>
      </c>
      <c r="BY67" s="178">
        <v>6.4999999999999997E-3</v>
      </c>
      <c r="BZ67" s="1" t="str">
        <f t="shared" si="5"/>
        <v>V</v>
      </c>
      <c r="CA67" s="179">
        <v>2</v>
      </c>
      <c r="CB67" s="76">
        <f t="shared" si="29"/>
        <v>3.2499999999999999E-3</v>
      </c>
      <c r="CC67" s="4"/>
      <c r="CD67" s="70" t="s">
        <v>134</v>
      </c>
      <c r="CE67" s="5">
        <v>0</v>
      </c>
      <c r="CF67" s="1" t="str">
        <f t="shared" si="16"/>
        <v>V</v>
      </c>
      <c r="CG67" s="79">
        <f t="shared" si="7"/>
        <v>1.7320508075688772</v>
      </c>
      <c r="CH67" s="76">
        <f t="shared" si="8"/>
        <v>0</v>
      </c>
      <c r="CI67" s="4"/>
      <c r="CJ67" s="70" t="s">
        <v>93</v>
      </c>
      <c r="CK67" s="180">
        <v>0.1</v>
      </c>
      <c r="CL67" s="1" t="str">
        <f t="shared" si="9"/>
        <v>V</v>
      </c>
      <c r="CM67" s="79">
        <f t="shared" si="17"/>
        <v>3.4641016151377544</v>
      </c>
      <c r="CN67" s="76">
        <f t="shared" si="18"/>
        <v>2.8867513459481291E-2</v>
      </c>
      <c r="CO67" s="4"/>
      <c r="CP67" s="70" t="s">
        <v>71</v>
      </c>
      <c r="CQ67" s="6" t="e">
        <f t="shared" si="10"/>
        <v>#DIV/0!</v>
      </c>
      <c r="CR67" s="1" t="str">
        <f t="shared" si="11"/>
        <v>V</v>
      </c>
      <c r="CS67" s="79">
        <f t="shared" si="19"/>
        <v>1.7320508075688772</v>
      </c>
      <c r="CT67" s="84" t="e">
        <f t="shared" si="20"/>
        <v>#DIV/0!</v>
      </c>
      <c r="CU67" s="8"/>
      <c r="CV67" s="92" t="e">
        <f t="shared" si="21"/>
        <v>#DIV/0!</v>
      </c>
      <c r="CW67" s="5" t="e">
        <f t="shared" si="22"/>
        <v>#DIV/0!</v>
      </c>
      <c r="CX67" s="93" t="e">
        <f t="shared" si="30"/>
        <v>#DIV/0!</v>
      </c>
      <c r="CY67" s="110" t="e">
        <f t="shared" ref="CY67:CY68" si="36">(CV67*CX67)</f>
        <v>#DIV/0!</v>
      </c>
      <c r="CZ67" s="104" t="str">
        <f t="shared" si="13"/>
        <v>V</v>
      </c>
      <c r="DA67" s="8"/>
      <c r="DB67" s="176">
        <v>1.4E-3</v>
      </c>
      <c r="DC67" s="177" t="str">
        <f t="shared" si="24"/>
        <v>V</v>
      </c>
      <c r="DD67" s="223" t="e">
        <f t="shared" si="14"/>
        <v>#DIV/0!</v>
      </c>
      <c r="DE67" s="177" t="str">
        <f t="shared" si="25"/>
        <v>V</v>
      </c>
    </row>
    <row r="68" spans="1:109" s="173" customFormat="1" ht="18" customHeight="1" thickBot="1">
      <c r="A68" s="172"/>
      <c r="B68" s="169"/>
      <c r="C68" s="138"/>
      <c r="D68" s="138"/>
      <c r="E68" s="138"/>
      <c r="F68" s="282"/>
      <c r="G68" s="283"/>
      <c r="H68" s="283"/>
      <c r="I68" s="283"/>
      <c r="J68" s="283"/>
      <c r="K68" s="284"/>
      <c r="L68" s="293">
        <v>-540</v>
      </c>
      <c r="M68" s="294"/>
      <c r="N68" s="294"/>
      <c r="O68" s="294"/>
      <c r="P68" s="295" t="s">
        <v>94</v>
      </c>
      <c r="Q68" s="295"/>
      <c r="R68" s="296"/>
      <c r="S68" s="297" t="s">
        <v>57</v>
      </c>
      <c r="T68" s="297"/>
      <c r="U68" s="297"/>
      <c r="V68" s="297"/>
      <c r="W68" s="297"/>
      <c r="X68" s="301"/>
      <c r="Y68" s="301"/>
      <c r="Z68" s="301"/>
      <c r="AA68" s="301"/>
      <c r="AB68" s="301"/>
      <c r="AC68" s="301"/>
      <c r="AD68" s="301"/>
      <c r="AE68" s="301"/>
      <c r="AF68" s="301"/>
      <c r="AG68" s="301"/>
      <c r="AH68" s="301"/>
      <c r="AI68" s="301"/>
      <c r="AJ68" s="301"/>
      <c r="AK68" s="301"/>
      <c r="AL68" s="301"/>
      <c r="AM68" s="301" t="e">
        <f t="shared" si="0"/>
        <v>#DIV/0!</v>
      </c>
      <c r="AN68" s="301"/>
      <c r="AO68" s="301"/>
      <c r="AP68" s="301"/>
      <c r="AQ68" s="301"/>
      <c r="AR68" s="301" t="e">
        <f t="shared" si="1"/>
        <v>#DIV/0!</v>
      </c>
      <c r="AS68" s="301"/>
      <c r="AT68" s="301"/>
      <c r="AU68" s="301"/>
      <c r="AV68" s="301"/>
      <c r="AW68" s="138"/>
      <c r="AX68" s="138"/>
      <c r="AY68" s="138"/>
      <c r="AZ68" s="171"/>
      <c r="BA68" s="172"/>
      <c r="BB68" s="292" t="e">
        <f t="shared" si="15"/>
        <v>#DIV/0!</v>
      </c>
      <c r="BC68" s="292"/>
      <c r="BD68" s="292"/>
      <c r="BE68" s="292"/>
      <c r="BF68" s="292"/>
      <c r="BG68" s="367" t="e">
        <f t="shared" si="2"/>
        <v>#DIV/0!</v>
      </c>
      <c r="BH68" s="367"/>
      <c r="BI68" s="367"/>
      <c r="BJ68" s="367"/>
      <c r="BK68" s="367"/>
      <c r="BL68" s="367" t="e">
        <f t="shared" si="3"/>
        <v>#DIV/0!</v>
      </c>
      <c r="BM68" s="367"/>
      <c r="BN68" s="367"/>
      <c r="BO68" s="367"/>
      <c r="BP68" s="367"/>
      <c r="BQ68" s="330" t="e">
        <f t="shared" si="4"/>
        <v>#DIV/0!</v>
      </c>
      <c r="BR68" s="330"/>
      <c r="BS68" s="330"/>
      <c r="BT68" s="330"/>
      <c r="BU68" s="330"/>
      <c r="BV68" s="172"/>
      <c r="BX68" s="71" t="s">
        <v>132</v>
      </c>
      <c r="BY68" s="181">
        <v>6.4999999999999997E-3</v>
      </c>
      <c r="BZ68" s="72" t="str">
        <f t="shared" si="5"/>
        <v>V</v>
      </c>
      <c r="CA68" s="182">
        <v>2</v>
      </c>
      <c r="CB68" s="77">
        <f t="shared" si="29"/>
        <v>3.2499999999999999E-3</v>
      </c>
      <c r="CC68" s="4"/>
      <c r="CD68" s="71" t="s">
        <v>134</v>
      </c>
      <c r="CE68" s="87">
        <v>0</v>
      </c>
      <c r="CF68" s="72" t="str">
        <f t="shared" si="16"/>
        <v>V</v>
      </c>
      <c r="CG68" s="80">
        <f t="shared" si="7"/>
        <v>1.7320508075688772</v>
      </c>
      <c r="CH68" s="77">
        <f t="shared" si="8"/>
        <v>0</v>
      </c>
      <c r="CI68" s="4"/>
      <c r="CJ68" s="71" t="s">
        <v>93</v>
      </c>
      <c r="CK68" s="183">
        <v>0.1</v>
      </c>
      <c r="CL68" s="72" t="str">
        <f t="shared" si="9"/>
        <v>V</v>
      </c>
      <c r="CM68" s="80">
        <f t="shared" si="17"/>
        <v>3.4641016151377544</v>
      </c>
      <c r="CN68" s="77">
        <f t="shared" si="18"/>
        <v>2.8867513459481291E-2</v>
      </c>
      <c r="CO68" s="4"/>
      <c r="CP68" s="71" t="s">
        <v>71</v>
      </c>
      <c r="CQ68" s="82" t="e">
        <f t="shared" si="10"/>
        <v>#DIV/0!</v>
      </c>
      <c r="CR68" s="72" t="str">
        <f t="shared" si="11"/>
        <v>V</v>
      </c>
      <c r="CS68" s="80">
        <f t="shared" si="19"/>
        <v>1.7320508075688772</v>
      </c>
      <c r="CT68" s="85" t="e">
        <f t="shared" si="20"/>
        <v>#DIV/0!</v>
      </c>
      <c r="CU68" s="8"/>
      <c r="CV68" s="94" t="e">
        <f t="shared" si="21"/>
        <v>#DIV/0!</v>
      </c>
      <c r="CW68" s="87" t="e">
        <f t="shared" si="22"/>
        <v>#DIV/0!</v>
      </c>
      <c r="CX68" s="95" t="e">
        <f t="shared" si="30"/>
        <v>#DIV/0!</v>
      </c>
      <c r="CY68" s="111" t="e">
        <f t="shared" si="36"/>
        <v>#DIV/0!</v>
      </c>
      <c r="CZ68" s="106" t="str">
        <f t="shared" si="13"/>
        <v>V</v>
      </c>
      <c r="DA68" s="8"/>
      <c r="DB68" s="176">
        <v>1.4E-3</v>
      </c>
      <c r="DC68" s="177" t="str">
        <f t="shared" si="24"/>
        <v>V</v>
      </c>
      <c r="DD68" s="223" t="e">
        <f t="shared" si="14"/>
        <v>#DIV/0!</v>
      </c>
      <c r="DE68" s="177" t="str">
        <f t="shared" si="25"/>
        <v>V</v>
      </c>
    </row>
    <row r="69" spans="1:109" s="142" customFormat="1" ht="14.25" thickBot="1">
      <c r="A69" s="135"/>
      <c r="B69" s="165"/>
      <c r="C69" s="166"/>
      <c r="D69" s="166"/>
      <c r="E69" s="166"/>
      <c r="F69" s="184"/>
      <c r="G69" s="184"/>
      <c r="H69" s="184"/>
      <c r="I69" s="184"/>
      <c r="J69" s="184"/>
      <c r="K69" s="184"/>
      <c r="L69" s="185"/>
      <c r="M69" s="185"/>
      <c r="N69" s="185"/>
      <c r="O69" s="185"/>
      <c r="P69" s="186"/>
      <c r="Q69" s="186"/>
      <c r="R69" s="186"/>
      <c r="S69" s="187"/>
      <c r="T69" s="187"/>
      <c r="U69" s="187"/>
      <c r="V69" s="187"/>
      <c r="W69" s="187"/>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66"/>
      <c r="AX69" s="166"/>
      <c r="AY69" s="166"/>
      <c r="AZ69" s="167"/>
      <c r="BA69" s="135"/>
      <c r="BB69" s="135"/>
      <c r="BC69" s="135"/>
      <c r="BD69" s="135"/>
      <c r="BE69" s="135"/>
      <c r="BF69" s="135"/>
      <c r="BG69" s="189"/>
      <c r="BH69" s="189"/>
      <c r="BI69" s="189"/>
      <c r="BJ69" s="189"/>
      <c r="BK69" s="189"/>
      <c r="BL69" s="189"/>
      <c r="BM69" s="189"/>
      <c r="BN69" s="189"/>
      <c r="BO69" s="189"/>
      <c r="BP69" s="189"/>
      <c r="BQ69" s="190"/>
      <c r="BR69" s="190"/>
      <c r="BS69" s="190"/>
      <c r="BT69" s="190"/>
      <c r="BU69" s="190"/>
      <c r="BV69" s="135"/>
      <c r="BX69" s="9"/>
      <c r="BY69" s="12"/>
      <c r="BZ69" s="10"/>
      <c r="CA69" s="9"/>
      <c r="CB69" s="11"/>
      <c r="CC69" s="11"/>
      <c r="CD69" s="9"/>
      <c r="CE69" s="12"/>
      <c r="CF69" s="10"/>
      <c r="CG69" s="13"/>
      <c r="CH69" s="11"/>
      <c r="CI69" s="11"/>
      <c r="CJ69" s="9"/>
      <c r="CK69" s="9"/>
      <c r="CL69" s="10"/>
      <c r="CM69" s="13"/>
      <c r="CN69" s="11"/>
      <c r="CO69" s="11"/>
      <c r="CP69" s="9"/>
      <c r="CQ69" s="14"/>
      <c r="CR69" s="10"/>
      <c r="CS69" s="13"/>
      <c r="CT69" s="14"/>
      <c r="CU69" s="15"/>
      <c r="CV69" s="11"/>
      <c r="CW69" s="12"/>
      <c r="CX69" s="16"/>
      <c r="CY69" s="17"/>
      <c r="CZ69" s="18"/>
      <c r="DA69" s="15"/>
    </row>
    <row r="70" spans="1:109" s="7" customFormat="1" ht="12.75" customHeight="1" thickBot="1">
      <c r="A70" s="168"/>
      <c r="B70" s="169"/>
      <c r="C70" s="138"/>
      <c r="D70" s="137"/>
      <c r="E70" s="138"/>
      <c r="F70" s="170" t="s">
        <v>96</v>
      </c>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71"/>
      <c r="BA70" s="168"/>
      <c r="BB70" s="335" t="s">
        <v>127</v>
      </c>
      <c r="BC70" s="335"/>
      <c r="BD70" s="335"/>
      <c r="BE70" s="335"/>
      <c r="BF70" s="335"/>
      <c r="BG70" s="335"/>
      <c r="BH70" s="335"/>
      <c r="BI70" s="335"/>
      <c r="BJ70" s="335"/>
      <c r="BK70" s="335"/>
      <c r="BL70" s="335"/>
      <c r="BM70" s="335"/>
      <c r="BN70" s="335"/>
      <c r="BO70" s="335"/>
      <c r="BP70" s="335"/>
      <c r="BQ70" s="335"/>
      <c r="BR70" s="335"/>
      <c r="BS70" s="335"/>
      <c r="BT70" s="335"/>
      <c r="BU70" s="335"/>
      <c r="BV70" s="168"/>
      <c r="BX70" s="265" t="s">
        <v>70</v>
      </c>
      <c r="BY70" s="266"/>
      <c r="BZ70" s="266"/>
      <c r="CA70" s="266"/>
      <c r="CB70" s="267"/>
      <c r="CC70" s="2"/>
      <c r="CD70" s="265" t="s">
        <v>70</v>
      </c>
      <c r="CE70" s="266"/>
      <c r="CF70" s="266"/>
      <c r="CG70" s="266"/>
      <c r="CH70" s="267"/>
      <c r="CI70" s="2"/>
      <c r="CJ70" s="265" t="s">
        <v>133</v>
      </c>
      <c r="CK70" s="266"/>
      <c r="CL70" s="266"/>
      <c r="CM70" s="266"/>
      <c r="CN70" s="267"/>
      <c r="CO70" s="2"/>
      <c r="CP70" s="265" t="s">
        <v>133</v>
      </c>
      <c r="CQ70" s="266"/>
      <c r="CR70" s="266"/>
      <c r="CS70" s="266"/>
      <c r="CT70" s="267"/>
      <c r="CV70" s="265" t="s">
        <v>72</v>
      </c>
      <c r="CW70" s="266"/>
      <c r="CX70" s="266"/>
      <c r="CY70" s="266"/>
      <c r="CZ70" s="267"/>
      <c r="DB70" s="396" t="s">
        <v>119</v>
      </c>
      <c r="DC70" s="397"/>
      <c r="DD70" s="396" t="s">
        <v>120</v>
      </c>
      <c r="DE70" s="396"/>
    </row>
    <row r="71" spans="1:109" s="173" customFormat="1" ht="18" customHeight="1">
      <c r="A71" s="172"/>
      <c r="B71" s="169"/>
      <c r="C71" s="138"/>
      <c r="D71" s="138"/>
      <c r="E71" s="138"/>
      <c r="F71" s="289" t="s">
        <v>27</v>
      </c>
      <c r="G71" s="289"/>
      <c r="H71" s="289"/>
      <c r="I71" s="289"/>
      <c r="J71" s="289"/>
      <c r="K71" s="289"/>
      <c r="L71" s="289" t="s">
        <v>28</v>
      </c>
      <c r="M71" s="289"/>
      <c r="N71" s="289"/>
      <c r="O71" s="289"/>
      <c r="P71" s="289"/>
      <c r="Q71" s="289"/>
      <c r="R71" s="289"/>
      <c r="S71" s="289" t="s">
        <v>73</v>
      </c>
      <c r="T71" s="289"/>
      <c r="U71" s="289"/>
      <c r="V71" s="289"/>
      <c r="W71" s="289"/>
      <c r="X71" s="289" t="s">
        <v>74</v>
      </c>
      <c r="Y71" s="289"/>
      <c r="Z71" s="289"/>
      <c r="AA71" s="289"/>
      <c r="AB71" s="289"/>
      <c r="AC71" s="289"/>
      <c r="AD71" s="289"/>
      <c r="AE71" s="289"/>
      <c r="AF71" s="289"/>
      <c r="AG71" s="289"/>
      <c r="AH71" s="289"/>
      <c r="AI71" s="289"/>
      <c r="AJ71" s="289"/>
      <c r="AK71" s="289"/>
      <c r="AL71" s="289"/>
      <c r="AM71" s="289" t="s">
        <v>75</v>
      </c>
      <c r="AN71" s="289"/>
      <c r="AO71" s="289"/>
      <c r="AP71" s="289"/>
      <c r="AQ71" s="289"/>
      <c r="AR71" s="289" t="s">
        <v>29</v>
      </c>
      <c r="AS71" s="289"/>
      <c r="AT71" s="289"/>
      <c r="AU71" s="289"/>
      <c r="AV71" s="289"/>
      <c r="AW71" s="138"/>
      <c r="AX71" s="138"/>
      <c r="AY71" s="138"/>
      <c r="AZ71" s="171"/>
      <c r="BA71" s="172"/>
      <c r="BB71" s="289" t="s">
        <v>76</v>
      </c>
      <c r="BC71" s="289"/>
      <c r="BD71" s="289"/>
      <c r="BE71" s="289"/>
      <c r="BF71" s="289"/>
      <c r="BG71" s="289" t="s">
        <v>77</v>
      </c>
      <c r="BH71" s="289"/>
      <c r="BI71" s="289"/>
      <c r="BJ71" s="289"/>
      <c r="BK71" s="289"/>
      <c r="BL71" s="289" t="s">
        <v>78</v>
      </c>
      <c r="BM71" s="289"/>
      <c r="BN71" s="289"/>
      <c r="BO71" s="289"/>
      <c r="BP71" s="289"/>
      <c r="BQ71" s="289" t="s">
        <v>79</v>
      </c>
      <c r="BR71" s="289"/>
      <c r="BS71" s="289"/>
      <c r="BT71" s="289"/>
      <c r="BU71" s="289"/>
      <c r="BV71" s="172"/>
      <c r="BX71" s="272" t="s">
        <v>80</v>
      </c>
      <c r="BY71" s="268" t="s">
        <v>116</v>
      </c>
      <c r="BZ71" s="268" t="s">
        <v>81</v>
      </c>
      <c r="CA71" s="274" t="s">
        <v>82</v>
      </c>
      <c r="CB71" s="270" t="s">
        <v>83</v>
      </c>
      <c r="CC71" s="3"/>
      <c r="CD71" s="272" t="s">
        <v>80</v>
      </c>
      <c r="CE71" s="268" t="s">
        <v>116</v>
      </c>
      <c r="CF71" s="268" t="s">
        <v>81</v>
      </c>
      <c r="CG71" s="274" t="s">
        <v>82</v>
      </c>
      <c r="CH71" s="270" t="s">
        <v>83</v>
      </c>
      <c r="CI71" s="3"/>
      <c r="CJ71" s="272" t="s">
        <v>80</v>
      </c>
      <c r="CK71" s="268" t="s">
        <v>116</v>
      </c>
      <c r="CL71" s="268" t="s">
        <v>81</v>
      </c>
      <c r="CM71" s="274" t="s">
        <v>82</v>
      </c>
      <c r="CN71" s="270" t="s">
        <v>83</v>
      </c>
      <c r="CO71" s="3"/>
      <c r="CP71" s="272" t="s">
        <v>80</v>
      </c>
      <c r="CQ71" s="268" t="s">
        <v>116</v>
      </c>
      <c r="CR71" s="268" t="s">
        <v>81</v>
      </c>
      <c r="CS71" s="274" t="s">
        <v>82</v>
      </c>
      <c r="CT71" s="270" t="s">
        <v>83</v>
      </c>
      <c r="CU71" s="8"/>
      <c r="CV71" s="118" t="s">
        <v>84</v>
      </c>
      <c r="CW71" s="99" t="s">
        <v>85</v>
      </c>
      <c r="CX71" s="120" t="s">
        <v>86</v>
      </c>
      <c r="CY71" s="272" t="s">
        <v>87</v>
      </c>
      <c r="CZ71" s="364"/>
      <c r="DA71" s="8"/>
      <c r="DB71" s="396"/>
      <c r="DC71" s="397"/>
      <c r="DD71" s="396"/>
      <c r="DE71" s="396"/>
    </row>
    <row r="72" spans="1:109" s="173" customFormat="1" ht="18" customHeight="1" thickBot="1">
      <c r="A72" s="172"/>
      <c r="B72" s="169"/>
      <c r="C72" s="138"/>
      <c r="D72" s="138"/>
      <c r="E72" s="138"/>
      <c r="F72" s="289"/>
      <c r="G72" s="289"/>
      <c r="H72" s="289"/>
      <c r="I72" s="289"/>
      <c r="J72" s="289"/>
      <c r="K72" s="289"/>
      <c r="L72" s="289"/>
      <c r="M72" s="289"/>
      <c r="N72" s="289"/>
      <c r="O72" s="289"/>
      <c r="P72" s="289"/>
      <c r="Q72" s="289"/>
      <c r="R72" s="289"/>
      <c r="S72" s="289"/>
      <c r="T72" s="289"/>
      <c r="U72" s="289"/>
      <c r="V72" s="289"/>
      <c r="W72" s="289"/>
      <c r="X72" s="289">
        <v>1</v>
      </c>
      <c r="Y72" s="289"/>
      <c r="Z72" s="289"/>
      <c r="AA72" s="289"/>
      <c r="AB72" s="289"/>
      <c r="AC72" s="289">
        <v>2</v>
      </c>
      <c r="AD72" s="289"/>
      <c r="AE72" s="289"/>
      <c r="AF72" s="289"/>
      <c r="AG72" s="289"/>
      <c r="AH72" s="289">
        <v>3</v>
      </c>
      <c r="AI72" s="289"/>
      <c r="AJ72" s="289"/>
      <c r="AK72" s="289"/>
      <c r="AL72" s="289"/>
      <c r="AM72" s="289"/>
      <c r="AN72" s="289"/>
      <c r="AO72" s="289"/>
      <c r="AP72" s="289"/>
      <c r="AQ72" s="289"/>
      <c r="AR72" s="289"/>
      <c r="AS72" s="289"/>
      <c r="AT72" s="289"/>
      <c r="AU72" s="289"/>
      <c r="AV72" s="289"/>
      <c r="AW72" s="138"/>
      <c r="AX72" s="138"/>
      <c r="AY72" s="138"/>
      <c r="AZ72" s="171"/>
      <c r="BA72" s="172"/>
      <c r="BB72" s="289"/>
      <c r="BC72" s="289"/>
      <c r="BD72" s="289"/>
      <c r="BE72" s="289"/>
      <c r="BF72" s="289"/>
      <c r="BG72" s="289"/>
      <c r="BH72" s="289"/>
      <c r="BI72" s="289"/>
      <c r="BJ72" s="289"/>
      <c r="BK72" s="289"/>
      <c r="BL72" s="289"/>
      <c r="BM72" s="289"/>
      <c r="BN72" s="289"/>
      <c r="BO72" s="289"/>
      <c r="BP72" s="289"/>
      <c r="BQ72" s="289"/>
      <c r="BR72" s="289"/>
      <c r="BS72" s="289"/>
      <c r="BT72" s="289"/>
      <c r="BU72" s="289"/>
      <c r="BV72" s="172"/>
      <c r="BX72" s="273"/>
      <c r="BY72" s="269"/>
      <c r="BZ72" s="269"/>
      <c r="CA72" s="275"/>
      <c r="CB72" s="271"/>
      <c r="CC72" s="3"/>
      <c r="CD72" s="273"/>
      <c r="CE72" s="269"/>
      <c r="CF72" s="269"/>
      <c r="CG72" s="275"/>
      <c r="CH72" s="271"/>
      <c r="CI72" s="3"/>
      <c r="CJ72" s="273"/>
      <c r="CK72" s="269"/>
      <c r="CL72" s="269"/>
      <c r="CM72" s="275"/>
      <c r="CN72" s="271"/>
      <c r="CO72" s="3"/>
      <c r="CP72" s="273"/>
      <c r="CQ72" s="269"/>
      <c r="CR72" s="269"/>
      <c r="CS72" s="275"/>
      <c r="CT72" s="271"/>
      <c r="CU72" s="8"/>
      <c r="CV72" s="119" t="s">
        <v>88</v>
      </c>
      <c r="CW72" s="100" t="s">
        <v>89</v>
      </c>
      <c r="CX72" s="121" t="s">
        <v>90</v>
      </c>
      <c r="CY72" s="273" t="s">
        <v>91</v>
      </c>
      <c r="CZ72" s="365"/>
      <c r="DA72" s="8"/>
      <c r="DB72" s="396"/>
      <c r="DC72" s="397"/>
      <c r="DD72" s="396"/>
      <c r="DE72" s="396"/>
    </row>
    <row r="73" spans="1:109" s="173" customFormat="1" ht="18" customHeight="1">
      <c r="A73" s="172"/>
      <c r="B73" s="169"/>
      <c r="C73" s="138"/>
      <c r="D73" s="138"/>
      <c r="E73" s="138"/>
      <c r="F73" s="276" t="s">
        <v>138</v>
      </c>
      <c r="G73" s="277"/>
      <c r="H73" s="277"/>
      <c r="I73" s="277"/>
      <c r="J73" s="277"/>
      <c r="K73" s="278"/>
      <c r="L73" s="293">
        <f>600*10%</f>
        <v>60</v>
      </c>
      <c r="M73" s="294"/>
      <c r="N73" s="294"/>
      <c r="O73" s="294"/>
      <c r="P73" s="295" t="s">
        <v>92</v>
      </c>
      <c r="Q73" s="295"/>
      <c r="R73" s="296"/>
      <c r="S73" s="334" t="s">
        <v>97</v>
      </c>
      <c r="T73" s="334"/>
      <c r="U73" s="334"/>
      <c r="V73" s="334"/>
      <c r="W73" s="334"/>
      <c r="X73" s="298"/>
      <c r="Y73" s="299"/>
      <c r="Z73" s="299"/>
      <c r="AA73" s="299"/>
      <c r="AB73" s="300"/>
      <c r="AC73" s="298"/>
      <c r="AD73" s="299"/>
      <c r="AE73" s="299"/>
      <c r="AF73" s="299"/>
      <c r="AG73" s="300"/>
      <c r="AH73" s="298"/>
      <c r="AI73" s="299"/>
      <c r="AJ73" s="299"/>
      <c r="AK73" s="299"/>
      <c r="AL73" s="300"/>
      <c r="AM73" s="301" t="e">
        <f t="shared" ref="AM73:AM76" si="37">AVERAGE(X73:AL73)</f>
        <v>#DIV/0!</v>
      </c>
      <c r="AN73" s="301"/>
      <c r="AO73" s="301"/>
      <c r="AP73" s="301"/>
      <c r="AQ73" s="301"/>
      <c r="AR73" s="301" t="e">
        <f t="shared" ref="AR73:AR76" si="38">AM73-L73</f>
        <v>#DIV/0!</v>
      </c>
      <c r="AS73" s="301"/>
      <c r="AT73" s="301"/>
      <c r="AU73" s="301"/>
      <c r="AV73" s="301"/>
      <c r="AW73" s="138"/>
      <c r="AX73" s="138"/>
      <c r="AY73" s="138"/>
      <c r="AZ73" s="171"/>
      <c r="BA73" s="172"/>
      <c r="BB73" s="291" t="e">
        <f>(AM73*1%)+(3*CK73)</f>
        <v>#DIV/0!</v>
      </c>
      <c r="BC73" s="291"/>
      <c r="BD73" s="291"/>
      <c r="BE73" s="291"/>
      <c r="BF73" s="291"/>
      <c r="BG73" s="291" t="e">
        <f t="shared" ref="BG73:BG76" si="39">L73+BB73</f>
        <v>#DIV/0!</v>
      </c>
      <c r="BH73" s="291"/>
      <c r="BI73" s="291"/>
      <c r="BJ73" s="291"/>
      <c r="BK73" s="291"/>
      <c r="BL73" s="291" t="e">
        <f t="shared" ref="BL73:BL76" si="40">L73-BB73</f>
        <v>#DIV/0!</v>
      </c>
      <c r="BM73" s="291"/>
      <c r="BN73" s="291"/>
      <c r="BO73" s="291"/>
      <c r="BP73" s="291"/>
      <c r="BQ73" s="330" t="e">
        <f t="shared" ref="BQ73:BQ76" si="41">IF(AND(AM73&lt;=BG73,AM73&gt;=BL73),"PASS","FAIL")</f>
        <v>#DIV/0!</v>
      </c>
      <c r="BR73" s="330"/>
      <c r="BS73" s="330"/>
      <c r="BT73" s="330"/>
      <c r="BU73" s="330"/>
      <c r="BV73" s="172"/>
      <c r="BX73" s="68" t="s">
        <v>132</v>
      </c>
      <c r="BY73" s="206">
        <v>7.0000000000000007E-2</v>
      </c>
      <c r="BZ73" s="69" t="str">
        <f t="shared" ref="BZ73:BZ76" si="42">P73</f>
        <v>mV</v>
      </c>
      <c r="CA73" s="191">
        <v>2</v>
      </c>
      <c r="CB73" s="75">
        <f t="shared" ref="CB73:CB76" si="43">BY73/CA73</f>
        <v>3.5000000000000003E-2</v>
      </c>
      <c r="CC73" s="4"/>
      <c r="CD73" s="68" t="s">
        <v>134</v>
      </c>
      <c r="CE73" s="86">
        <v>0</v>
      </c>
      <c r="CF73" s="69" t="str">
        <f t="shared" ref="CF73:CF76" si="44">BZ73</f>
        <v>mV</v>
      </c>
      <c r="CG73" s="78">
        <f t="shared" si="7"/>
        <v>1.7320508075688772</v>
      </c>
      <c r="CH73" s="75">
        <f>CE73/CG73</f>
        <v>0</v>
      </c>
      <c r="CI73" s="4"/>
      <c r="CJ73" s="68" t="s">
        <v>93</v>
      </c>
      <c r="CK73" s="175">
        <v>0.1</v>
      </c>
      <c r="CL73" s="69" t="str">
        <f t="shared" ref="CL73:CL76" si="45">P73</f>
        <v>mV</v>
      </c>
      <c r="CM73" s="78">
        <f>SQRT(12)</f>
        <v>3.4641016151377544</v>
      </c>
      <c r="CN73" s="75">
        <f>CK73/CM73</f>
        <v>2.8867513459481291E-2</v>
      </c>
      <c r="CO73" s="4"/>
      <c r="CP73" s="68" t="s">
        <v>71</v>
      </c>
      <c r="CQ73" s="81" t="e">
        <f t="shared" ref="CQ73:CQ76" si="46">STDEV(X73:AL73)</f>
        <v>#DIV/0!</v>
      </c>
      <c r="CR73" s="69" t="str">
        <f t="shared" ref="CR73:CR76" si="47">P73</f>
        <v>mV</v>
      </c>
      <c r="CS73" s="78">
        <f>SQRT(3)</f>
        <v>1.7320508075688772</v>
      </c>
      <c r="CT73" s="83" t="e">
        <f>CQ73/CS73</f>
        <v>#DIV/0!</v>
      </c>
      <c r="CU73" s="8"/>
      <c r="CV73" s="90" t="e">
        <f>SQRT(SUMSQ(CT73,CN73,CH73,CB73))</f>
        <v>#DIV/0!</v>
      </c>
      <c r="CW73" s="86" t="e">
        <f>(CV73^4)/(((CT73^4)/2)+((CN73^4)/200)+((CH73^4)/200)+((CB73^4)/200))</f>
        <v>#DIV/0!</v>
      </c>
      <c r="CX73" s="91" t="e">
        <f t="shared" ref="CX73:CX76" si="48">ROUND(TINV(0.05,CW73),0)</f>
        <v>#DIV/0!</v>
      </c>
      <c r="CY73" s="116" t="e">
        <f>(CV73*CX73)</f>
        <v>#DIV/0!</v>
      </c>
      <c r="CZ73" s="102" t="str">
        <f t="shared" ref="CZ73:CZ76" si="49">P73</f>
        <v>mV</v>
      </c>
      <c r="DA73" s="8"/>
      <c r="DB73" s="176">
        <v>0.01</v>
      </c>
      <c r="DC73" s="177" t="str">
        <f>CZ73</f>
        <v>mV</v>
      </c>
      <c r="DD73" s="223" t="e">
        <f t="shared" ref="DD73:DD90" si="50">MAX(CY73,DB73)</f>
        <v>#DIV/0!</v>
      </c>
      <c r="DE73" s="177" t="str">
        <f>DC73</f>
        <v>mV</v>
      </c>
    </row>
    <row r="74" spans="1:109" s="173" customFormat="1" ht="18" customHeight="1">
      <c r="A74" s="172"/>
      <c r="B74" s="169"/>
      <c r="C74" s="138"/>
      <c r="D74" s="138"/>
      <c r="E74" s="138"/>
      <c r="F74" s="279"/>
      <c r="G74" s="280"/>
      <c r="H74" s="280"/>
      <c r="I74" s="280"/>
      <c r="J74" s="280"/>
      <c r="K74" s="281"/>
      <c r="L74" s="293">
        <f t="shared" ref="L74" si="51">600*10%</f>
        <v>60</v>
      </c>
      <c r="M74" s="294"/>
      <c r="N74" s="294"/>
      <c r="O74" s="294"/>
      <c r="P74" s="295" t="s">
        <v>92</v>
      </c>
      <c r="Q74" s="295"/>
      <c r="R74" s="296"/>
      <c r="S74" s="334" t="s">
        <v>148</v>
      </c>
      <c r="T74" s="334"/>
      <c r="U74" s="334"/>
      <c r="V74" s="334"/>
      <c r="W74" s="334"/>
      <c r="X74" s="298"/>
      <c r="Y74" s="299"/>
      <c r="Z74" s="299"/>
      <c r="AA74" s="299"/>
      <c r="AB74" s="300"/>
      <c r="AC74" s="298"/>
      <c r="AD74" s="299"/>
      <c r="AE74" s="299"/>
      <c r="AF74" s="299"/>
      <c r="AG74" s="300"/>
      <c r="AH74" s="298"/>
      <c r="AI74" s="299"/>
      <c r="AJ74" s="299"/>
      <c r="AK74" s="299"/>
      <c r="AL74" s="300"/>
      <c r="AM74" s="301" t="e">
        <f t="shared" si="37"/>
        <v>#DIV/0!</v>
      </c>
      <c r="AN74" s="301"/>
      <c r="AO74" s="301"/>
      <c r="AP74" s="301"/>
      <c r="AQ74" s="301"/>
      <c r="AR74" s="301" t="e">
        <f t="shared" si="38"/>
        <v>#DIV/0!</v>
      </c>
      <c r="AS74" s="301"/>
      <c r="AT74" s="301"/>
      <c r="AU74" s="301"/>
      <c r="AV74" s="301"/>
      <c r="AW74" s="138"/>
      <c r="AX74" s="138"/>
      <c r="AY74" s="138"/>
      <c r="AZ74" s="171"/>
      <c r="BA74" s="172"/>
      <c r="BB74" s="291" t="e">
        <f>(AM74*2%)+(3*CK74)</f>
        <v>#DIV/0!</v>
      </c>
      <c r="BC74" s="291"/>
      <c r="BD74" s="291"/>
      <c r="BE74" s="291"/>
      <c r="BF74" s="291"/>
      <c r="BG74" s="291" t="e">
        <f t="shared" si="39"/>
        <v>#DIV/0!</v>
      </c>
      <c r="BH74" s="291"/>
      <c r="BI74" s="291"/>
      <c r="BJ74" s="291"/>
      <c r="BK74" s="291"/>
      <c r="BL74" s="291" t="e">
        <f t="shared" si="40"/>
        <v>#DIV/0!</v>
      </c>
      <c r="BM74" s="291"/>
      <c r="BN74" s="291"/>
      <c r="BO74" s="291"/>
      <c r="BP74" s="291"/>
      <c r="BQ74" s="330" t="e">
        <f t="shared" si="41"/>
        <v>#DIV/0!</v>
      </c>
      <c r="BR74" s="330"/>
      <c r="BS74" s="330"/>
      <c r="BT74" s="330"/>
      <c r="BU74" s="330"/>
      <c r="BV74" s="172"/>
      <c r="BX74" s="70" t="s">
        <v>132</v>
      </c>
      <c r="BY74" s="178">
        <v>7.0000000000000007E-2</v>
      </c>
      <c r="BZ74" s="1" t="str">
        <f t="shared" si="42"/>
        <v>mV</v>
      </c>
      <c r="CA74" s="179">
        <v>2</v>
      </c>
      <c r="CB74" s="76">
        <f t="shared" si="43"/>
        <v>3.5000000000000003E-2</v>
      </c>
      <c r="CC74" s="4"/>
      <c r="CD74" s="70" t="s">
        <v>134</v>
      </c>
      <c r="CE74" s="5">
        <v>0</v>
      </c>
      <c r="CF74" s="1" t="str">
        <f t="shared" si="44"/>
        <v>mV</v>
      </c>
      <c r="CG74" s="79">
        <f t="shared" si="7"/>
        <v>1.7320508075688772</v>
      </c>
      <c r="CH74" s="76">
        <f t="shared" ref="CH74:CH76" si="52">CE74/CG74</f>
        <v>0</v>
      </c>
      <c r="CI74" s="4"/>
      <c r="CJ74" s="70" t="s">
        <v>93</v>
      </c>
      <c r="CK74" s="180">
        <v>0.1</v>
      </c>
      <c r="CL74" s="1" t="str">
        <f t="shared" si="45"/>
        <v>mV</v>
      </c>
      <c r="CM74" s="79">
        <f t="shared" ref="CM74:CM76" si="53">SQRT(12)</f>
        <v>3.4641016151377544</v>
      </c>
      <c r="CN74" s="76">
        <f t="shared" ref="CN74:CN76" si="54">CK74/CM74</f>
        <v>2.8867513459481291E-2</v>
      </c>
      <c r="CO74" s="4"/>
      <c r="CP74" s="70" t="s">
        <v>71</v>
      </c>
      <c r="CQ74" s="6" t="e">
        <f t="shared" si="46"/>
        <v>#DIV/0!</v>
      </c>
      <c r="CR74" s="1" t="str">
        <f t="shared" si="47"/>
        <v>mV</v>
      </c>
      <c r="CS74" s="79">
        <f t="shared" ref="CS74:CS76" si="55">SQRT(3)</f>
        <v>1.7320508075688772</v>
      </c>
      <c r="CT74" s="84" t="e">
        <f t="shared" ref="CT74:CT76" si="56">CQ74/CS74</f>
        <v>#DIV/0!</v>
      </c>
      <c r="CU74" s="8"/>
      <c r="CV74" s="92" t="e">
        <f t="shared" ref="CV74:CV76" si="57">SQRT(SUMSQ(CT74,CN74,CH74,CB74))</f>
        <v>#DIV/0!</v>
      </c>
      <c r="CW74" s="5" t="e">
        <f t="shared" ref="CW74:CW76" si="58">(CV74^4)/(((CT74^4)/2)+((CN74^4)/200)+((CH74^4)/200)+((CB74^4)/200))</f>
        <v>#DIV/0!</v>
      </c>
      <c r="CX74" s="93" t="e">
        <f t="shared" si="48"/>
        <v>#DIV/0!</v>
      </c>
      <c r="CY74" s="109" t="e">
        <f t="shared" ref="CY74:CY76" si="59">(CV74*CX74)</f>
        <v>#DIV/0!</v>
      </c>
      <c r="CZ74" s="104" t="str">
        <f t="shared" si="49"/>
        <v>mV</v>
      </c>
      <c r="DA74" s="8"/>
      <c r="DB74" s="176">
        <v>0.01</v>
      </c>
      <c r="DC74" s="177" t="str">
        <f t="shared" ref="DC74:DC76" si="60">CZ74</f>
        <v>mV</v>
      </c>
      <c r="DD74" s="223" t="e">
        <f t="shared" si="50"/>
        <v>#DIV/0!</v>
      </c>
      <c r="DE74" s="177" t="str">
        <f t="shared" ref="DE74:DE76" si="61">DC74</f>
        <v>mV</v>
      </c>
    </row>
    <row r="75" spans="1:109" s="173" customFormat="1" ht="18" customHeight="1">
      <c r="A75" s="172"/>
      <c r="B75" s="169"/>
      <c r="C75" s="138"/>
      <c r="D75" s="138"/>
      <c r="E75" s="138"/>
      <c r="F75" s="279"/>
      <c r="G75" s="280"/>
      <c r="H75" s="280"/>
      <c r="I75" s="280"/>
      <c r="J75" s="280"/>
      <c r="K75" s="281"/>
      <c r="L75" s="293">
        <f>600*90%</f>
        <v>540</v>
      </c>
      <c r="M75" s="294"/>
      <c r="N75" s="294"/>
      <c r="O75" s="294"/>
      <c r="P75" s="295" t="s">
        <v>92</v>
      </c>
      <c r="Q75" s="295"/>
      <c r="R75" s="296"/>
      <c r="S75" s="334" t="s">
        <v>97</v>
      </c>
      <c r="T75" s="334"/>
      <c r="U75" s="334"/>
      <c r="V75" s="334"/>
      <c r="W75" s="334"/>
      <c r="X75" s="298"/>
      <c r="Y75" s="299"/>
      <c r="Z75" s="299"/>
      <c r="AA75" s="299"/>
      <c r="AB75" s="300"/>
      <c r="AC75" s="298"/>
      <c r="AD75" s="299"/>
      <c r="AE75" s="299"/>
      <c r="AF75" s="299"/>
      <c r="AG75" s="300"/>
      <c r="AH75" s="298"/>
      <c r="AI75" s="299"/>
      <c r="AJ75" s="299"/>
      <c r="AK75" s="299"/>
      <c r="AL75" s="300"/>
      <c r="AM75" s="291" t="e">
        <f t="shared" si="37"/>
        <v>#DIV/0!</v>
      </c>
      <c r="AN75" s="291"/>
      <c r="AO75" s="291"/>
      <c r="AP75" s="291"/>
      <c r="AQ75" s="291"/>
      <c r="AR75" s="301" t="e">
        <f t="shared" si="38"/>
        <v>#DIV/0!</v>
      </c>
      <c r="AS75" s="301"/>
      <c r="AT75" s="301"/>
      <c r="AU75" s="301"/>
      <c r="AV75" s="301"/>
      <c r="AW75" s="138"/>
      <c r="AX75" s="138"/>
      <c r="AY75" s="138"/>
      <c r="AZ75" s="171"/>
      <c r="BA75" s="172"/>
      <c r="BB75" s="291" t="e">
        <f>(AM75*1%)+(3*CK75)</f>
        <v>#DIV/0!</v>
      </c>
      <c r="BC75" s="291"/>
      <c r="BD75" s="291"/>
      <c r="BE75" s="291"/>
      <c r="BF75" s="291"/>
      <c r="BG75" s="291" t="e">
        <f t="shared" si="39"/>
        <v>#DIV/0!</v>
      </c>
      <c r="BH75" s="291"/>
      <c r="BI75" s="291"/>
      <c r="BJ75" s="291"/>
      <c r="BK75" s="291"/>
      <c r="BL75" s="291" t="e">
        <f t="shared" si="40"/>
        <v>#DIV/0!</v>
      </c>
      <c r="BM75" s="291"/>
      <c r="BN75" s="291"/>
      <c r="BO75" s="291"/>
      <c r="BP75" s="291"/>
      <c r="BQ75" s="330" t="e">
        <f t="shared" si="41"/>
        <v>#DIV/0!</v>
      </c>
      <c r="BR75" s="330"/>
      <c r="BS75" s="330"/>
      <c r="BT75" s="330"/>
      <c r="BU75" s="330"/>
      <c r="BV75" s="172"/>
      <c r="BX75" s="70" t="s">
        <v>132</v>
      </c>
      <c r="BY75" s="224">
        <v>0.91</v>
      </c>
      <c r="BZ75" s="1" t="str">
        <f t="shared" si="42"/>
        <v>mV</v>
      </c>
      <c r="CA75" s="179">
        <v>2</v>
      </c>
      <c r="CB75" s="76">
        <f t="shared" si="43"/>
        <v>0.45500000000000002</v>
      </c>
      <c r="CC75" s="4"/>
      <c r="CD75" s="70" t="s">
        <v>134</v>
      </c>
      <c r="CE75" s="5">
        <v>0</v>
      </c>
      <c r="CF75" s="1" t="str">
        <f t="shared" si="44"/>
        <v>mV</v>
      </c>
      <c r="CG75" s="79">
        <f t="shared" si="7"/>
        <v>1.7320508075688772</v>
      </c>
      <c r="CH75" s="76">
        <f t="shared" si="52"/>
        <v>0</v>
      </c>
      <c r="CI75" s="4"/>
      <c r="CJ75" s="70" t="s">
        <v>93</v>
      </c>
      <c r="CK75" s="180">
        <v>0.1</v>
      </c>
      <c r="CL75" s="1" t="str">
        <f t="shared" si="45"/>
        <v>mV</v>
      </c>
      <c r="CM75" s="79">
        <f t="shared" si="53"/>
        <v>3.4641016151377544</v>
      </c>
      <c r="CN75" s="76">
        <f t="shared" si="54"/>
        <v>2.8867513459481291E-2</v>
      </c>
      <c r="CO75" s="4"/>
      <c r="CP75" s="70" t="s">
        <v>71</v>
      </c>
      <c r="CQ75" s="6" t="e">
        <f t="shared" si="46"/>
        <v>#DIV/0!</v>
      </c>
      <c r="CR75" s="1" t="str">
        <f t="shared" si="47"/>
        <v>mV</v>
      </c>
      <c r="CS75" s="79">
        <f t="shared" si="55"/>
        <v>1.7320508075688772</v>
      </c>
      <c r="CT75" s="84" t="e">
        <f t="shared" si="56"/>
        <v>#DIV/0!</v>
      </c>
      <c r="CU75" s="8"/>
      <c r="CV75" s="92" t="e">
        <f t="shared" si="57"/>
        <v>#DIV/0!</v>
      </c>
      <c r="CW75" s="5" t="e">
        <f t="shared" si="58"/>
        <v>#DIV/0!</v>
      </c>
      <c r="CX75" s="93" t="e">
        <f t="shared" si="48"/>
        <v>#DIV/0!</v>
      </c>
      <c r="CY75" s="109" t="e">
        <f t="shared" si="59"/>
        <v>#DIV/0!</v>
      </c>
      <c r="CZ75" s="104" t="str">
        <f t="shared" si="49"/>
        <v>mV</v>
      </c>
      <c r="DA75" s="8"/>
      <c r="DB75" s="176">
        <v>8.5000000000000006E-2</v>
      </c>
      <c r="DC75" s="177" t="str">
        <f t="shared" si="60"/>
        <v>mV</v>
      </c>
      <c r="DD75" s="223" t="e">
        <f t="shared" si="50"/>
        <v>#DIV/0!</v>
      </c>
      <c r="DE75" s="177" t="str">
        <f t="shared" si="61"/>
        <v>mV</v>
      </c>
    </row>
    <row r="76" spans="1:109" s="173" customFormat="1" ht="18" customHeight="1">
      <c r="A76" s="172"/>
      <c r="B76" s="169"/>
      <c r="C76" s="138"/>
      <c r="D76" s="138"/>
      <c r="E76" s="138"/>
      <c r="F76" s="282"/>
      <c r="G76" s="283"/>
      <c r="H76" s="283"/>
      <c r="I76" s="283"/>
      <c r="J76" s="283"/>
      <c r="K76" s="284"/>
      <c r="L76" s="293">
        <f>600*90%</f>
        <v>540</v>
      </c>
      <c r="M76" s="294"/>
      <c r="N76" s="294"/>
      <c r="O76" s="294"/>
      <c r="P76" s="295" t="s">
        <v>92</v>
      </c>
      <c r="Q76" s="295"/>
      <c r="R76" s="296"/>
      <c r="S76" s="334" t="s">
        <v>148</v>
      </c>
      <c r="T76" s="334"/>
      <c r="U76" s="334"/>
      <c r="V76" s="334"/>
      <c r="W76" s="334"/>
      <c r="X76" s="298"/>
      <c r="Y76" s="299"/>
      <c r="Z76" s="299"/>
      <c r="AA76" s="299"/>
      <c r="AB76" s="300"/>
      <c r="AC76" s="298"/>
      <c r="AD76" s="299"/>
      <c r="AE76" s="299"/>
      <c r="AF76" s="299"/>
      <c r="AG76" s="300"/>
      <c r="AH76" s="298"/>
      <c r="AI76" s="299"/>
      <c r="AJ76" s="299"/>
      <c r="AK76" s="299"/>
      <c r="AL76" s="300"/>
      <c r="AM76" s="291" t="e">
        <f t="shared" si="37"/>
        <v>#DIV/0!</v>
      </c>
      <c r="AN76" s="291"/>
      <c r="AO76" s="291"/>
      <c r="AP76" s="291"/>
      <c r="AQ76" s="291"/>
      <c r="AR76" s="301" t="e">
        <f t="shared" si="38"/>
        <v>#DIV/0!</v>
      </c>
      <c r="AS76" s="301"/>
      <c r="AT76" s="301"/>
      <c r="AU76" s="301"/>
      <c r="AV76" s="301"/>
      <c r="AW76" s="138"/>
      <c r="AX76" s="138"/>
      <c r="AY76" s="138"/>
      <c r="AZ76" s="171"/>
      <c r="BA76" s="172"/>
      <c r="BB76" s="291" t="e">
        <f>(AM76*2%)+(3*CK76)</f>
        <v>#DIV/0!</v>
      </c>
      <c r="BC76" s="291"/>
      <c r="BD76" s="291"/>
      <c r="BE76" s="291"/>
      <c r="BF76" s="291"/>
      <c r="BG76" s="291" t="e">
        <f t="shared" si="39"/>
        <v>#DIV/0!</v>
      </c>
      <c r="BH76" s="291"/>
      <c r="BI76" s="291"/>
      <c r="BJ76" s="291"/>
      <c r="BK76" s="291"/>
      <c r="BL76" s="291" t="e">
        <f t="shared" si="40"/>
        <v>#DIV/0!</v>
      </c>
      <c r="BM76" s="291"/>
      <c r="BN76" s="291"/>
      <c r="BO76" s="291"/>
      <c r="BP76" s="291"/>
      <c r="BQ76" s="330" t="e">
        <f t="shared" si="41"/>
        <v>#DIV/0!</v>
      </c>
      <c r="BR76" s="330"/>
      <c r="BS76" s="330"/>
      <c r="BT76" s="330"/>
      <c r="BU76" s="330"/>
      <c r="BV76" s="172"/>
      <c r="BX76" s="208" t="s">
        <v>132</v>
      </c>
      <c r="BY76" s="212">
        <v>0.91</v>
      </c>
      <c r="BZ76" s="209" t="str">
        <f t="shared" si="42"/>
        <v>mV</v>
      </c>
      <c r="CA76" s="210">
        <v>2</v>
      </c>
      <c r="CB76" s="211">
        <f t="shared" si="43"/>
        <v>0.45500000000000002</v>
      </c>
      <c r="CC76" s="4"/>
      <c r="CD76" s="208" t="s">
        <v>134</v>
      </c>
      <c r="CE76" s="213">
        <v>0</v>
      </c>
      <c r="CF76" s="209" t="str">
        <f t="shared" si="44"/>
        <v>mV</v>
      </c>
      <c r="CG76" s="214">
        <f t="shared" si="7"/>
        <v>1.7320508075688772</v>
      </c>
      <c r="CH76" s="211">
        <f t="shared" si="52"/>
        <v>0</v>
      </c>
      <c r="CI76" s="4"/>
      <c r="CJ76" s="208" t="s">
        <v>93</v>
      </c>
      <c r="CK76" s="215">
        <v>0.1</v>
      </c>
      <c r="CL76" s="209" t="str">
        <f t="shared" si="45"/>
        <v>mV</v>
      </c>
      <c r="CM76" s="214">
        <f t="shared" si="53"/>
        <v>3.4641016151377544</v>
      </c>
      <c r="CN76" s="211">
        <f t="shared" si="54"/>
        <v>2.8867513459481291E-2</v>
      </c>
      <c r="CO76" s="4"/>
      <c r="CP76" s="208" t="s">
        <v>71</v>
      </c>
      <c r="CQ76" s="216" t="e">
        <f t="shared" si="46"/>
        <v>#DIV/0!</v>
      </c>
      <c r="CR76" s="209" t="str">
        <f t="shared" si="47"/>
        <v>mV</v>
      </c>
      <c r="CS76" s="214">
        <f t="shared" si="55"/>
        <v>1.7320508075688772</v>
      </c>
      <c r="CT76" s="217" t="e">
        <f t="shared" si="56"/>
        <v>#DIV/0!</v>
      </c>
      <c r="CU76" s="8"/>
      <c r="CV76" s="218" t="e">
        <f t="shared" si="57"/>
        <v>#DIV/0!</v>
      </c>
      <c r="CW76" s="213" t="e">
        <f t="shared" si="58"/>
        <v>#DIV/0!</v>
      </c>
      <c r="CX76" s="219" t="e">
        <f t="shared" si="48"/>
        <v>#DIV/0!</v>
      </c>
      <c r="CY76" s="222" t="e">
        <f t="shared" si="59"/>
        <v>#DIV/0!</v>
      </c>
      <c r="CZ76" s="221" t="str">
        <f t="shared" si="49"/>
        <v>mV</v>
      </c>
      <c r="DA76" s="8"/>
      <c r="DB76" s="176">
        <v>8.5000000000000006E-2</v>
      </c>
      <c r="DC76" s="177" t="str">
        <f t="shared" si="60"/>
        <v>mV</v>
      </c>
      <c r="DD76" s="223" t="e">
        <f t="shared" si="50"/>
        <v>#DIV/0!</v>
      </c>
      <c r="DE76" s="177" t="str">
        <f t="shared" si="61"/>
        <v>mV</v>
      </c>
    </row>
    <row r="77" spans="1:109" s="173" customFormat="1" ht="18" customHeight="1">
      <c r="A77" s="172"/>
      <c r="B77" s="169"/>
      <c r="C77" s="138"/>
      <c r="D77" s="138"/>
      <c r="E77" s="138"/>
      <c r="F77" s="276" t="s">
        <v>139</v>
      </c>
      <c r="G77" s="277"/>
      <c r="H77" s="277"/>
      <c r="I77" s="277"/>
      <c r="J77" s="277"/>
      <c r="K77" s="278"/>
      <c r="L77" s="293">
        <f>6*10%</f>
        <v>0.60000000000000009</v>
      </c>
      <c r="M77" s="294"/>
      <c r="N77" s="294"/>
      <c r="O77" s="294"/>
      <c r="P77" s="295" t="s">
        <v>94</v>
      </c>
      <c r="Q77" s="295"/>
      <c r="R77" s="296"/>
      <c r="S77" s="334" t="s">
        <v>97</v>
      </c>
      <c r="T77" s="334"/>
      <c r="U77" s="334"/>
      <c r="V77" s="334"/>
      <c r="W77" s="334"/>
      <c r="X77" s="331"/>
      <c r="Y77" s="332"/>
      <c r="Z77" s="332"/>
      <c r="AA77" s="332"/>
      <c r="AB77" s="333"/>
      <c r="AC77" s="331"/>
      <c r="AD77" s="332"/>
      <c r="AE77" s="332"/>
      <c r="AF77" s="332"/>
      <c r="AG77" s="333"/>
      <c r="AH77" s="331"/>
      <c r="AI77" s="332"/>
      <c r="AJ77" s="332"/>
      <c r="AK77" s="332"/>
      <c r="AL77" s="333"/>
      <c r="AM77" s="291" t="e">
        <f t="shared" ref="AM77:AM90" si="62">AVERAGE(X77:AL77)</f>
        <v>#DIV/0!</v>
      </c>
      <c r="AN77" s="291"/>
      <c r="AO77" s="291"/>
      <c r="AP77" s="291"/>
      <c r="AQ77" s="291"/>
      <c r="AR77" s="291" t="e">
        <f t="shared" ref="AR77:AR90" si="63">AM77-L77</f>
        <v>#DIV/0!</v>
      </c>
      <c r="AS77" s="291"/>
      <c r="AT77" s="291"/>
      <c r="AU77" s="291"/>
      <c r="AV77" s="291"/>
      <c r="AW77" s="138"/>
      <c r="AX77" s="138"/>
      <c r="AY77" s="138"/>
      <c r="AZ77" s="171"/>
      <c r="BA77" s="172"/>
      <c r="BB77" s="291" t="e">
        <f>(AM77*1%)+(3*CK77)</f>
        <v>#DIV/0!</v>
      </c>
      <c r="BC77" s="291"/>
      <c r="BD77" s="291"/>
      <c r="BE77" s="291"/>
      <c r="BF77" s="291"/>
      <c r="BG77" s="291" t="e">
        <f t="shared" ref="BG77:BG90" si="64">L77+BB77</f>
        <v>#DIV/0!</v>
      </c>
      <c r="BH77" s="291"/>
      <c r="BI77" s="291"/>
      <c r="BJ77" s="291"/>
      <c r="BK77" s="291"/>
      <c r="BL77" s="291" t="e">
        <f t="shared" ref="BL77:BL90" si="65">L77-BB77</f>
        <v>#DIV/0!</v>
      </c>
      <c r="BM77" s="291"/>
      <c r="BN77" s="291"/>
      <c r="BO77" s="291"/>
      <c r="BP77" s="291"/>
      <c r="BQ77" s="330" t="e">
        <f t="shared" ref="BQ77:BQ90" si="66">IF(AND(AM77&lt;=BG77,AM77&gt;=BL77),"PASS","FAIL")</f>
        <v>#DIV/0!</v>
      </c>
      <c r="BR77" s="330"/>
      <c r="BS77" s="330"/>
      <c r="BT77" s="330"/>
      <c r="BU77" s="330"/>
      <c r="BV77" s="172"/>
      <c r="BX77" s="70" t="s">
        <v>132</v>
      </c>
      <c r="BY77" s="6">
        <v>9.1E-4</v>
      </c>
      <c r="BZ77" s="1" t="str">
        <f t="shared" ref="BZ77:BZ90" si="67">P77</f>
        <v>V</v>
      </c>
      <c r="CA77" s="179">
        <v>2</v>
      </c>
      <c r="CB77" s="76">
        <f t="shared" ref="CB77:CB90" si="68">BY77/CA77</f>
        <v>4.55E-4</v>
      </c>
      <c r="CC77" s="4"/>
      <c r="CD77" s="70" t="s">
        <v>134</v>
      </c>
      <c r="CE77" s="5">
        <v>0</v>
      </c>
      <c r="CF77" s="1" t="str">
        <f t="shared" ref="CF77:CF90" si="69">BZ77</f>
        <v>V</v>
      </c>
      <c r="CG77" s="79">
        <f t="shared" si="7"/>
        <v>1.7320508075688772</v>
      </c>
      <c r="CH77" s="76">
        <f>CE77/CG77</f>
        <v>0</v>
      </c>
      <c r="CI77" s="4"/>
      <c r="CJ77" s="70" t="s">
        <v>93</v>
      </c>
      <c r="CK77" s="180">
        <v>1E-3</v>
      </c>
      <c r="CL77" s="1" t="str">
        <f t="shared" ref="CL77:CL90" si="70">P77</f>
        <v>V</v>
      </c>
      <c r="CM77" s="79">
        <f>SQRT(12)</f>
        <v>3.4641016151377544</v>
      </c>
      <c r="CN77" s="76">
        <f>CK77/CM77</f>
        <v>2.886751345948129E-4</v>
      </c>
      <c r="CO77" s="4"/>
      <c r="CP77" s="70" t="s">
        <v>71</v>
      </c>
      <c r="CQ77" s="6" t="e">
        <f t="shared" ref="CQ77:CQ90" si="71">STDEV(X77:AL77)</f>
        <v>#DIV/0!</v>
      </c>
      <c r="CR77" s="1" t="str">
        <f t="shared" ref="CR77:CR90" si="72">P77</f>
        <v>V</v>
      </c>
      <c r="CS77" s="79">
        <f>SQRT(3)</f>
        <v>1.7320508075688772</v>
      </c>
      <c r="CT77" s="84" t="e">
        <f>CQ77/CS77</f>
        <v>#DIV/0!</v>
      </c>
      <c r="CU77" s="8"/>
      <c r="CV77" s="92" t="e">
        <f>SQRT(SUMSQ(CT77,CN77,CH77,CB77))</f>
        <v>#DIV/0!</v>
      </c>
      <c r="CW77" s="5" t="e">
        <f>(CV77^4)/(((CT77^4)/2)+((CN77^4)/200)+((CH77^4)/200)+((CB77^4)/200))</f>
        <v>#DIV/0!</v>
      </c>
      <c r="CX77" s="93" t="e">
        <f t="shared" ref="CX77:CX90" si="73">ROUND(TINV(0.05,CW77),0)</f>
        <v>#DIV/0!</v>
      </c>
      <c r="CY77" s="109" t="e">
        <f>(CV77*CX77)</f>
        <v>#DIV/0!</v>
      </c>
      <c r="CZ77" s="104" t="str">
        <f t="shared" ref="CZ77:CZ90" si="74">P77</f>
        <v>V</v>
      </c>
      <c r="DA77" s="8"/>
      <c r="DB77" s="176">
        <v>8.5000000000000006E-5</v>
      </c>
      <c r="DC77" s="177" t="str">
        <f>CZ77</f>
        <v>V</v>
      </c>
      <c r="DD77" s="223" t="e">
        <f t="shared" si="50"/>
        <v>#DIV/0!</v>
      </c>
      <c r="DE77" s="177" t="str">
        <f>DC77</f>
        <v>V</v>
      </c>
    </row>
    <row r="78" spans="1:109" s="173" customFormat="1" ht="18" customHeight="1">
      <c r="A78" s="172"/>
      <c r="B78" s="169"/>
      <c r="C78" s="138"/>
      <c r="D78" s="138"/>
      <c r="E78" s="138"/>
      <c r="F78" s="279"/>
      <c r="G78" s="280"/>
      <c r="H78" s="280"/>
      <c r="I78" s="280"/>
      <c r="J78" s="280"/>
      <c r="K78" s="281"/>
      <c r="L78" s="293">
        <f>6*10%</f>
        <v>0.60000000000000009</v>
      </c>
      <c r="M78" s="294"/>
      <c r="N78" s="294"/>
      <c r="O78" s="294"/>
      <c r="P78" s="295" t="s">
        <v>94</v>
      </c>
      <c r="Q78" s="295"/>
      <c r="R78" s="296"/>
      <c r="S78" s="334" t="s">
        <v>148</v>
      </c>
      <c r="T78" s="334"/>
      <c r="U78" s="334"/>
      <c r="V78" s="334"/>
      <c r="W78" s="334"/>
      <c r="X78" s="331"/>
      <c r="Y78" s="332"/>
      <c r="Z78" s="332"/>
      <c r="AA78" s="332"/>
      <c r="AB78" s="333"/>
      <c r="AC78" s="331"/>
      <c r="AD78" s="332"/>
      <c r="AE78" s="332"/>
      <c r="AF78" s="332"/>
      <c r="AG78" s="333"/>
      <c r="AH78" s="331"/>
      <c r="AI78" s="332"/>
      <c r="AJ78" s="332"/>
      <c r="AK78" s="332"/>
      <c r="AL78" s="333"/>
      <c r="AM78" s="291" t="e">
        <f t="shared" si="62"/>
        <v>#DIV/0!</v>
      </c>
      <c r="AN78" s="291"/>
      <c r="AO78" s="291"/>
      <c r="AP78" s="291"/>
      <c r="AQ78" s="291"/>
      <c r="AR78" s="291" t="e">
        <f t="shared" si="63"/>
        <v>#DIV/0!</v>
      </c>
      <c r="AS78" s="291"/>
      <c r="AT78" s="291"/>
      <c r="AU78" s="291"/>
      <c r="AV78" s="291"/>
      <c r="AW78" s="138"/>
      <c r="AX78" s="138"/>
      <c r="AY78" s="138"/>
      <c r="AZ78" s="171"/>
      <c r="BA78" s="172"/>
      <c r="BB78" s="291" t="e">
        <f>(AM78*2%)+(3*CK78)</f>
        <v>#DIV/0!</v>
      </c>
      <c r="BC78" s="291"/>
      <c r="BD78" s="291"/>
      <c r="BE78" s="291"/>
      <c r="BF78" s="291"/>
      <c r="BG78" s="291" t="e">
        <f t="shared" si="64"/>
        <v>#DIV/0!</v>
      </c>
      <c r="BH78" s="291"/>
      <c r="BI78" s="291"/>
      <c r="BJ78" s="291"/>
      <c r="BK78" s="291"/>
      <c r="BL78" s="291" t="e">
        <f t="shared" si="65"/>
        <v>#DIV/0!</v>
      </c>
      <c r="BM78" s="291"/>
      <c r="BN78" s="291"/>
      <c r="BO78" s="291"/>
      <c r="BP78" s="291"/>
      <c r="BQ78" s="330" t="e">
        <f t="shared" si="66"/>
        <v>#DIV/0!</v>
      </c>
      <c r="BR78" s="330"/>
      <c r="BS78" s="330"/>
      <c r="BT78" s="330"/>
      <c r="BU78" s="330"/>
      <c r="BV78" s="172"/>
      <c r="BX78" s="70" t="s">
        <v>132</v>
      </c>
      <c r="BY78" s="6">
        <v>9.1E-4</v>
      </c>
      <c r="BZ78" s="1" t="str">
        <f t="shared" si="67"/>
        <v>V</v>
      </c>
      <c r="CA78" s="179">
        <v>2</v>
      </c>
      <c r="CB78" s="76">
        <f t="shared" si="68"/>
        <v>4.55E-4</v>
      </c>
      <c r="CC78" s="4"/>
      <c r="CD78" s="70" t="s">
        <v>134</v>
      </c>
      <c r="CE78" s="5">
        <v>0</v>
      </c>
      <c r="CF78" s="1" t="str">
        <f t="shared" si="69"/>
        <v>V</v>
      </c>
      <c r="CG78" s="79">
        <f t="shared" si="7"/>
        <v>1.7320508075688772</v>
      </c>
      <c r="CH78" s="76">
        <f t="shared" ref="CH78:CH90" si="75">CE78/CG78</f>
        <v>0</v>
      </c>
      <c r="CI78" s="4"/>
      <c r="CJ78" s="70" t="s">
        <v>93</v>
      </c>
      <c r="CK78" s="180">
        <v>1E-3</v>
      </c>
      <c r="CL78" s="1" t="str">
        <f t="shared" si="70"/>
        <v>V</v>
      </c>
      <c r="CM78" s="79">
        <f t="shared" ref="CM78:CM90" si="76">SQRT(12)</f>
        <v>3.4641016151377544</v>
      </c>
      <c r="CN78" s="76">
        <f t="shared" ref="CN78:CN90" si="77">CK78/CM78</f>
        <v>2.886751345948129E-4</v>
      </c>
      <c r="CO78" s="4"/>
      <c r="CP78" s="70" t="s">
        <v>71</v>
      </c>
      <c r="CQ78" s="6" t="e">
        <f t="shared" si="71"/>
        <v>#DIV/0!</v>
      </c>
      <c r="CR78" s="1" t="str">
        <f t="shared" si="72"/>
        <v>V</v>
      </c>
      <c r="CS78" s="79">
        <f t="shared" ref="CS78:CS90" si="78">SQRT(3)</f>
        <v>1.7320508075688772</v>
      </c>
      <c r="CT78" s="84" t="e">
        <f t="shared" ref="CT78:CT90" si="79">CQ78/CS78</f>
        <v>#DIV/0!</v>
      </c>
      <c r="CU78" s="8"/>
      <c r="CV78" s="92" t="e">
        <f t="shared" ref="CV78:CV90" si="80">SQRT(SUMSQ(CT78,CN78,CH78,CB78))</f>
        <v>#DIV/0!</v>
      </c>
      <c r="CW78" s="5" t="e">
        <f t="shared" ref="CW78:CW90" si="81">(CV78^4)/(((CT78^4)/2)+((CN78^4)/200)+((CH78^4)/200)+((CB78^4)/200))</f>
        <v>#DIV/0!</v>
      </c>
      <c r="CX78" s="93" t="e">
        <f t="shared" si="73"/>
        <v>#DIV/0!</v>
      </c>
      <c r="CY78" s="109" t="e">
        <f t="shared" ref="CY78:CY82" si="82">(CV78*CX78)</f>
        <v>#DIV/0!</v>
      </c>
      <c r="CZ78" s="104" t="str">
        <f t="shared" si="74"/>
        <v>V</v>
      </c>
      <c r="DA78" s="8"/>
      <c r="DB78" s="176">
        <v>8.5000000000000006E-5</v>
      </c>
      <c r="DC78" s="177" t="str">
        <f t="shared" ref="DC78:DC90" si="83">CZ78</f>
        <v>V</v>
      </c>
      <c r="DD78" s="223" t="e">
        <f t="shared" si="50"/>
        <v>#DIV/0!</v>
      </c>
      <c r="DE78" s="177" t="str">
        <f t="shared" ref="DE78:DE90" si="84">DC78</f>
        <v>V</v>
      </c>
    </row>
    <row r="79" spans="1:109" s="173" customFormat="1" ht="18" customHeight="1">
      <c r="A79" s="172"/>
      <c r="B79" s="169"/>
      <c r="C79" s="138"/>
      <c r="D79" s="138"/>
      <c r="E79" s="138"/>
      <c r="F79" s="279"/>
      <c r="G79" s="280"/>
      <c r="H79" s="280"/>
      <c r="I79" s="280"/>
      <c r="J79" s="280"/>
      <c r="K79" s="281"/>
      <c r="L79" s="293">
        <f>6*90%</f>
        <v>5.4</v>
      </c>
      <c r="M79" s="294"/>
      <c r="N79" s="294"/>
      <c r="O79" s="294"/>
      <c r="P79" s="295" t="s">
        <v>94</v>
      </c>
      <c r="Q79" s="295"/>
      <c r="R79" s="296"/>
      <c r="S79" s="334" t="s">
        <v>97</v>
      </c>
      <c r="T79" s="334"/>
      <c r="U79" s="334"/>
      <c r="V79" s="334"/>
      <c r="W79" s="334"/>
      <c r="X79" s="331"/>
      <c r="Y79" s="332"/>
      <c r="Z79" s="332"/>
      <c r="AA79" s="332"/>
      <c r="AB79" s="333"/>
      <c r="AC79" s="331"/>
      <c r="AD79" s="332"/>
      <c r="AE79" s="332"/>
      <c r="AF79" s="332"/>
      <c r="AG79" s="333"/>
      <c r="AH79" s="331"/>
      <c r="AI79" s="332"/>
      <c r="AJ79" s="332"/>
      <c r="AK79" s="332"/>
      <c r="AL79" s="333"/>
      <c r="AM79" s="291" t="e">
        <f t="shared" si="62"/>
        <v>#DIV/0!</v>
      </c>
      <c r="AN79" s="291"/>
      <c r="AO79" s="291"/>
      <c r="AP79" s="291"/>
      <c r="AQ79" s="291"/>
      <c r="AR79" s="291" t="e">
        <f t="shared" si="63"/>
        <v>#DIV/0!</v>
      </c>
      <c r="AS79" s="291"/>
      <c r="AT79" s="291"/>
      <c r="AU79" s="291"/>
      <c r="AV79" s="291"/>
      <c r="AW79" s="138"/>
      <c r="AX79" s="138"/>
      <c r="AY79" s="138"/>
      <c r="AZ79" s="171"/>
      <c r="BA79" s="172"/>
      <c r="BB79" s="291" t="e">
        <f>(AM79*1%)+(3*CK79)</f>
        <v>#DIV/0!</v>
      </c>
      <c r="BC79" s="291"/>
      <c r="BD79" s="291"/>
      <c r="BE79" s="291"/>
      <c r="BF79" s="291"/>
      <c r="BG79" s="291" t="e">
        <f t="shared" si="64"/>
        <v>#DIV/0!</v>
      </c>
      <c r="BH79" s="291"/>
      <c r="BI79" s="291"/>
      <c r="BJ79" s="291"/>
      <c r="BK79" s="291"/>
      <c r="BL79" s="291" t="e">
        <f t="shared" si="65"/>
        <v>#DIV/0!</v>
      </c>
      <c r="BM79" s="291"/>
      <c r="BN79" s="291"/>
      <c r="BO79" s="291"/>
      <c r="BP79" s="291"/>
      <c r="BQ79" s="330" t="e">
        <f t="shared" si="66"/>
        <v>#DIV/0!</v>
      </c>
      <c r="BR79" s="330"/>
      <c r="BS79" s="330"/>
      <c r="BT79" s="330"/>
      <c r="BU79" s="330"/>
      <c r="BV79" s="172"/>
      <c r="BX79" s="70" t="s">
        <v>132</v>
      </c>
      <c r="BY79" s="178">
        <v>7.3000000000000001E-3</v>
      </c>
      <c r="BZ79" s="1" t="str">
        <f t="shared" si="67"/>
        <v>V</v>
      </c>
      <c r="CA79" s="179">
        <v>2</v>
      </c>
      <c r="CB79" s="76">
        <f t="shared" ref="CB79" si="85">BY79/CA79</f>
        <v>3.65E-3</v>
      </c>
      <c r="CC79" s="4"/>
      <c r="CD79" s="70" t="s">
        <v>134</v>
      </c>
      <c r="CE79" s="5">
        <v>0</v>
      </c>
      <c r="CF79" s="1" t="str">
        <f t="shared" si="69"/>
        <v>V</v>
      </c>
      <c r="CG79" s="79">
        <f t="shared" si="7"/>
        <v>1.7320508075688772</v>
      </c>
      <c r="CH79" s="76">
        <f t="shared" si="75"/>
        <v>0</v>
      </c>
      <c r="CI79" s="4"/>
      <c r="CJ79" s="70" t="s">
        <v>93</v>
      </c>
      <c r="CK79" s="180">
        <v>1E-3</v>
      </c>
      <c r="CL79" s="1" t="str">
        <f t="shared" si="70"/>
        <v>V</v>
      </c>
      <c r="CM79" s="79">
        <f t="shared" si="76"/>
        <v>3.4641016151377544</v>
      </c>
      <c r="CN79" s="76">
        <f t="shared" si="77"/>
        <v>2.886751345948129E-4</v>
      </c>
      <c r="CO79" s="4"/>
      <c r="CP79" s="70" t="s">
        <v>71</v>
      </c>
      <c r="CQ79" s="6" t="e">
        <f t="shared" si="71"/>
        <v>#DIV/0!</v>
      </c>
      <c r="CR79" s="1" t="str">
        <f t="shared" si="72"/>
        <v>V</v>
      </c>
      <c r="CS79" s="79">
        <f t="shared" si="78"/>
        <v>1.7320508075688772</v>
      </c>
      <c r="CT79" s="84" t="e">
        <f t="shared" si="79"/>
        <v>#DIV/0!</v>
      </c>
      <c r="CU79" s="8"/>
      <c r="CV79" s="92" t="e">
        <f t="shared" si="80"/>
        <v>#DIV/0!</v>
      </c>
      <c r="CW79" s="5" t="e">
        <f t="shared" si="81"/>
        <v>#DIV/0!</v>
      </c>
      <c r="CX79" s="93" t="e">
        <f t="shared" ref="CX79" si="86">ROUND(TINV(0.05,CW79),0)</f>
        <v>#DIV/0!</v>
      </c>
      <c r="CY79" s="109" t="e">
        <f t="shared" ref="CY79" si="87">(CV79*CX79)</f>
        <v>#DIV/0!</v>
      </c>
      <c r="CZ79" s="104" t="str">
        <f t="shared" si="74"/>
        <v>V</v>
      </c>
      <c r="DA79" s="8"/>
      <c r="DB79" s="176">
        <v>8.4999999999999995E-4</v>
      </c>
      <c r="DC79" s="177" t="str">
        <f t="shared" si="83"/>
        <v>V</v>
      </c>
      <c r="DD79" s="223" t="e">
        <f t="shared" si="50"/>
        <v>#DIV/0!</v>
      </c>
      <c r="DE79" s="177" t="str">
        <f t="shared" si="84"/>
        <v>V</v>
      </c>
    </row>
    <row r="80" spans="1:109" s="173" customFormat="1" ht="18" customHeight="1">
      <c r="A80" s="172"/>
      <c r="B80" s="169"/>
      <c r="C80" s="138"/>
      <c r="D80" s="138"/>
      <c r="E80" s="138"/>
      <c r="F80" s="282"/>
      <c r="G80" s="283"/>
      <c r="H80" s="283"/>
      <c r="I80" s="283"/>
      <c r="J80" s="283"/>
      <c r="K80" s="284"/>
      <c r="L80" s="293">
        <f>6*90%</f>
        <v>5.4</v>
      </c>
      <c r="M80" s="294"/>
      <c r="N80" s="294"/>
      <c r="O80" s="294"/>
      <c r="P80" s="295" t="s">
        <v>94</v>
      </c>
      <c r="Q80" s="295"/>
      <c r="R80" s="296"/>
      <c r="S80" s="334" t="s">
        <v>148</v>
      </c>
      <c r="T80" s="334"/>
      <c r="U80" s="334"/>
      <c r="V80" s="334"/>
      <c r="W80" s="334"/>
      <c r="X80" s="331"/>
      <c r="Y80" s="332"/>
      <c r="Z80" s="332"/>
      <c r="AA80" s="332"/>
      <c r="AB80" s="333"/>
      <c r="AC80" s="331"/>
      <c r="AD80" s="332"/>
      <c r="AE80" s="332"/>
      <c r="AF80" s="332"/>
      <c r="AG80" s="333"/>
      <c r="AH80" s="331"/>
      <c r="AI80" s="332"/>
      <c r="AJ80" s="332"/>
      <c r="AK80" s="332"/>
      <c r="AL80" s="333"/>
      <c r="AM80" s="291" t="e">
        <f t="shared" si="62"/>
        <v>#DIV/0!</v>
      </c>
      <c r="AN80" s="291"/>
      <c r="AO80" s="291"/>
      <c r="AP80" s="291"/>
      <c r="AQ80" s="291"/>
      <c r="AR80" s="291" t="e">
        <f t="shared" si="63"/>
        <v>#DIV/0!</v>
      </c>
      <c r="AS80" s="291"/>
      <c r="AT80" s="291"/>
      <c r="AU80" s="291"/>
      <c r="AV80" s="291"/>
      <c r="AW80" s="138"/>
      <c r="AX80" s="138"/>
      <c r="AY80" s="138"/>
      <c r="AZ80" s="171"/>
      <c r="BA80" s="172"/>
      <c r="BB80" s="291" t="e">
        <f>(AM80*2%)+(3*CK80)</f>
        <v>#DIV/0!</v>
      </c>
      <c r="BC80" s="291"/>
      <c r="BD80" s="291"/>
      <c r="BE80" s="291"/>
      <c r="BF80" s="291"/>
      <c r="BG80" s="291" t="e">
        <f t="shared" si="64"/>
        <v>#DIV/0!</v>
      </c>
      <c r="BH80" s="291"/>
      <c r="BI80" s="291"/>
      <c r="BJ80" s="291"/>
      <c r="BK80" s="291"/>
      <c r="BL80" s="291" t="e">
        <f t="shared" si="65"/>
        <v>#DIV/0!</v>
      </c>
      <c r="BM80" s="291"/>
      <c r="BN80" s="291"/>
      <c r="BO80" s="291"/>
      <c r="BP80" s="291"/>
      <c r="BQ80" s="330" t="e">
        <f t="shared" si="66"/>
        <v>#DIV/0!</v>
      </c>
      <c r="BR80" s="330"/>
      <c r="BS80" s="330"/>
      <c r="BT80" s="330"/>
      <c r="BU80" s="330"/>
      <c r="BV80" s="172"/>
      <c r="BX80" s="70" t="s">
        <v>132</v>
      </c>
      <c r="BY80" s="178">
        <v>7.3000000000000001E-3</v>
      </c>
      <c r="BZ80" s="1" t="str">
        <f t="shared" si="67"/>
        <v>V</v>
      </c>
      <c r="CA80" s="179">
        <v>2</v>
      </c>
      <c r="CB80" s="76">
        <f t="shared" si="68"/>
        <v>3.65E-3</v>
      </c>
      <c r="CC80" s="4"/>
      <c r="CD80" s="70" t="s">
        <v>134</v>
      </c>
      <c r="CE80" s="5">
        <v>0</v>
      </c>
      <c r="CF80" s="1" t="str">
        <f t="shared" si="69"/>
        <v>V</v>
      </c>
      <c r="CG80" s="79">
        <f t="shared" si="7"/>
        <v>1.7320508075688772</v>
      </c>
      <c r="CH80" s="76">
        <f t="shared" si="75"/>
        <v>0</v>
      </c>
      <c r="CI80" s="4"/>
      <c r="CJ80" s="70" t="s">
        <v>93</v>
      </c>
      <c r="CK80" s="180">
        <v>1E-3</v>
      </c>
      <c r="CL80" s="1" t="str">
        <f t="shared" si="70"/>
        <v>V</v>
      </c>
      <c r="CM80" s="79">
        <f t="shared" si="76"/>
        <v>3.4641016151377544</v>
      </c>
      <c r="CN80" s="76">
        <f t="shared" si="77"/>
        <v>2.886751345948129E-4</v>
      </c>
      <c r="CO80" s="4"/>
      <c r="CP80" s="70" t="s">
        <v>71</v>
      </c>
      <c r="CQ80" s="6" t="e">
        <f t="shared" si="71"/>
        <v>#DIV/0!</v>
      </c>
      <c r="CR80" s="1" t="str">
        <f t="shared" si="72"/>
        <v>V</v>
      </c>
      <c r="CS80" s="79">
        <f t="shared" si="78"/>
        <v>1.7320508075688772</v>
      </c>
      <c r="CT80" s="84" t="e">
        <f t="shared" si="79"/>
        <v>#DIV/0!</v>
      </c>
      <c r="CU80" s="8"/>
      <c r="CV80" s="92" t="e">
        <f t="shared" si="80"/>
        <v>#DIV/0!</v>
      </c>
      <c r="CW80" s="5" t="e">
        <f t="shared" si="81"/>
        <v>#DIV/0!</v>
      </c>
      <c r="CX80" s="93" t="e">
        <f t="shared" si="73"/>
        <v>#DIV/0!</v>
      </c>
      <c r="CY80" s="109" t="e">
        <f t="shared" si="82"/>
        <v>#DIV/0!</v>
      </c>
      <c r="CZ80" s="104" t="str">
        <f t="shared" si="74"/>
        <v>V</v>
      </c>
      <c r="DA80" s="8"/>
      <c r="DB80" s="176">
        <v>8.4999999999999995E-4</v>
      </c>
      <c r="DC80" s="177" t="str">
        <f t="shared" si="83"/>
        <v>V</v>
      </c>
      <c r="DD80" s="223" t="e">
        <f t="shared" si="50"/>
        <v>#DIV/0!</v>
      </c>
      <c r="DE80" s="177" t="str">
        <f t="shared" si="84"/>
        <v>V</v>
      </c>
    </row>
    <row r="81" spans="1:109" s="173" customFormat="1" ht="18" customHeight="1">
      <c r="A81" s="172"/>
      <c r="B81" s="169"/>
      <c r="C81" s="138"/>
      <c r="D81" s="138"/>
      <c r="E81" s="138"/>
      <c r="F81" s="276" t="s">
        <v>140</v>
      </c>
      <c r="G81" s="277"/>
      <c r="H81" s="277"/>
      <c r="I81" s="277"/>
      <c r="J81" s="277"/>
      <c r="K81" s="278"/>
      <c r="L81" s="293">
        <f>60*10%</f>
        <v>6</v>
      </c>
      <c r="M81" s="294"/>
      <c r="N81" s="294"/>
      <c r="O81" s="294"/>
      <c r="P81" s="295" t="s">
        <v>94</v>
      </c>
      <c r="Q81" s="295"/>
      <c r="R81" s="296"/>
      <c r="S81" s="334" t="s">
        <v>97</v>
      </c>
      <c r="T81" s="334"/>
      <c r="U81" s="334"/>
      <c r="V81" s="334"/>
      <c r="W81" s="334"/>
      <c r="X81" s="292"/>
      <c r="Y81" s="292"/>
      <c r="Z81" s="292"/>
      <c r="AA81" s="292"/>
      <c r="AB81" s="292"/>
      <c r="AC81" s="292"/>
      <c r="AD81" s="292"/>
      <c r="AE81" s="292"/>
      <c r="AF81" s="292"/>
      <c r="AG81" s="292"/>
      <c r="AH81" s="292"/>
      <c r="AI81" s="292"/>
      <c r="AJ81" s="292"/>
      <c r="AK81" s="292"/>
      <c r="AL81" s="292"/>
      <c r="AM81" s="292" t="e">
        <f t="shared" si="62"/>
        <v>#DIV/0!</v>
      </c>
      <c r="AN81" s="292"/>
      <c r="AO81" s="292"/>
      <c r="AP81" s="292"/>
      <c r="AQ81" s="292"/>
      <c r="AR81" s="292" t="e">
        <f t="shared" si="63"/>
        <v>#DIV/0!</v>
      </c>
      <c r="AS81" s="292"/>
      <c r="AT81" s="292"/>
      <c r="AU81" s="292"/>
      <c r="AV81" s="292"/>
      <c r="AW81" s="138"/>
      <c r="AX81" s="138"/>
      <c r="AY81" s="138"/>
      <c r="AZ81" s="171"/>
      <c r="BA81" s="172"/>
      <c r="BB81" s="291" t="e">
        <f>(AM81*1%)+(3*CK81)</f>
        <v>#DIV/0!</v>
      </c>
      <c r="BC81" s="291"/>
      <c r="BD81" s="291"/>
      <c r="BE81" s="291"/>
      <c r="BF81" s="291"/>
      <c r="BG81" s="292" t="e">
        <f t="shared" si="64"/>
        <v>#DIV/0!</v>
      </c>
      <c r="BH81" s="292"/>
      <c r="BI81" s="292"/>
      <c r="BJ81" s="292"/>
      <c r="BK81" s="292"/>
      <c r="BL81" s="292" t="e">
        <f t="shared" si="65"/>
        <v>#DIV/0!</v>
      </c>
      <c r="BM81" s="292"/>
      <c r="BN81" s="292"/>
      <c r="BO81" s="292"/>
      <c r="BP81" s="292"/>
      <c r="BQ81" s="330" t="e">
        <f t="shared" si="66"/>
        <v>#DIV/0!</v>
      </c>
      <c r="BR81" s="330"/>
      <c r="BS81" s="330"/>
      <c r="BT81" s="330"/>
      <c r="BU81" s="330"/>
      <c r="BV81" s="172"/>
      <c r="BX81" s="70" t="s">
        <v>132</v>
      </c>
      <c r="BY81" s="178">
        <v>7.3000000000000001E-3</v>
      </c>
      <c r="BZ81" s="1" t="str">
        <f t="shared" si="67"/>
        <v>V</v>
      </c>
      <c r="CA81" s="179">
        <v>2</v>
      </c>
      <c r="CB81" s="76">
        <f t="shared" si="68"/>
        <v>3.65E-3</v>
      </c>
      <c r="CC81" s="4"/>
      <c r="CD81" s="70" t="s">
        <v>134</v>
      </c>
      <c r="CE81" s="5">
        <v>0</v>
      </c>
      <c r="CF81" s="1" t="str">
        <f t="shared" si="69"/>
        <v>V</v>
      </c>
      <c r="CG81" s="79">
        <f t="shared" si="7"/>
        <v>1.7320508075688772</v>
      </c>
      <c r="CH81" s="76">
        <f t="shared" si="75"/>
        <v>0</v>
      </c>
      <c r="CI81" s="4"/>
      <c r="CJ81" s="70" t="s">
        <v>93</v>
      </c>
      <c r="CK81" s="180">
        <v>0.01</v>
      </c>
      <c r="CL81" s="1" t="str">
        <f t="shared" si="70"/>
        <v>V</v>
      </c>
      <c r="CM81" s="79">
        <f t="shared" si="76"/>
        <v>3.4641016151377544</v>
      </c>
      <c r="CN81" s="76">
        <f t="shared" si="77"/>
        <v>2.886751345948129E-3</v>
      </c>
      <c r="CO81" s="4"/>
      <c r="CP81" s="70" t="s">
        <v>71</v>
      </c>
      <c r="CQ81" s="6" t="e">
        <f t="shared" si="71"/>
        <v>#DIV/0!</v>
      </c>
      <c r="CR81" s="1" t="str">
        <f t="shared" si="72"/>
        <v>V</v>
      </c>
      <c r="CS81" s="79">
        <f t="shared" si="78"/>
        <v>1.7320508075688772</v>
      </c>
      <c r="CT81" s="84" t="e">
        <f t="shared" si="79"/>
        <v>#DIV/0!</v>
      </c>
      <c r="CU81" s="8"/>
      <c r="CV81" s="92" t="e">
        <f t="shared" si="80"/>
        <v>#DIV/0!</v>
      </c>
      <c r="CW81" s="5" t="e">
        <f t="shared" si="81"/>
        <v>#DIV/0!</v>
      </c>
      <c r="CX81" s="93" t="e">
        <f t="shared" si="73"/>
        <v>#DIV/0!</v>
      </c>
      <c r="CY81" s="108" t="e">
        <f t="shared" si="82"/>
        <v>#DIV/0!</v>
      </c>
      <c r="CZ81" s="104" t="str">
        <f t="shared" si="74"/>
        <v>V</v>
      </c>
      <c r="DA81" s="8"/>
      <c r="DB81" s="176">
        <v>8.4999999999999995E-4</v>
      </c>
      <c r="DC81" s="177" t="str">
        <f t="shared" si="83"/>
        <v>V</v>
      </c>
      <c r="DD81" s="223" t="e">
        <f t="shared" si="50"/>
        <v>#DIV/0!</v>
      </c>
      <c r="DE81" s="177" t="str">
        <f t="shared" si="84"/>
        <v>V</v>
      </c>
    </row>
    <row r="82" spans="1:109" s="173" customFormat="1" ht="18" customHeight="1">
      <c r="A82" s="172"/>
      <c r="B82" s="169"/>
      <c r="C82" s="138"/>
      <c r="D82" s="138"/>
      <c r="E82" s="138"/>
      <c r="F82" s="279"/>
      <c r="G82" s="280"/>
      <c r="H82" s="280"/>
      <c r="I82" s="280"/>
      <c r="J82" s="280"/>
      <c r="K82" s="281"/>
      <c r="L82" s="293">
        <f>60*10%</f>
        <v>6</v>
      </c>
      <c r="M82" s="294"/>
      <c r="N82" s="294"/>
      <c r="O82" s="294"/>
      <c r="P82" s="295" t="s">
        <v>94</v>
      </c>
      <c r="Q82" s="295"/>
      <c r="R82" s="296"/>
      <c r="S82" s="334" t="s">
        <v>148</v>
      </c>
      <c r="T82" s="334"/>
      <c r="U82" s="334"/>
      <c r="V82" s="334"/>
      <c r="W82" s="334"/>
      <c r="X82" s="292"/>
      <c r="Y82" s="292"/>
      <c r="Z82" s="292"/>
      <c r="AA82" s="292"/>
      <c r="AB82" s="292"/>
      <c r="AC82" s="292"/>
      <c r="AD82" s="292"/>
      <c r="AE82" s="292"/>
      <c r="AF82" s="292"/>
      <c r="AG82" s="292"/>
      <c r="AH82" s="292"/>
      <c r="AI82" s="292"/>
      <c r="AJ82" s="292"/>
      <c r="AK82" s="292"/>
      <c r="AL82" s="292"/>
      <c r="AM82" s="292" t="e">
        <f t="shared" si="62"/>
        <v>#DIV/0!</v>
      </c>
      <c r="AN82" s="292"/>
      <c r="AO82" s="292"/>
      <c r="AP82" s="292"/>
      <c r="AQ82" s="292"/>
      <c r="AR82" s="292" t="e">
        <f t="shared" si="63"/>
        <v>#DIV/0!</v>
      </c>
      <c r="AS82" s="292"/>
      <c r="AT82" s="292"/>
      <c r="AU82" s="292"/>
      <c r="AV82" s="292"/>
      <c r="AW82" s="138"/>
      <c r="AX82" s="138"/>
      <c r="AY82" s="138"/>
      <c r="AZ82" s="171"/>
      <c r="BA82" s="172"/>
      <c r="BB82" s="291" t="e">
        <f>(AM82*2%)+(3*CK82)</f>
        <v>#DIV/0!</v>
      </c>
      <c r="BC82" s="291"/>
      <c r="BD82" s="291"/>
      <c r="BE82" s="291"/>
      <c r="BF82" s="291"/>
      <c r="BG82" s="292" t="e">
        <f t="shared" si="64"/>
        <v>#DIV/0!</v>
      </c>
      <c r="BH82" s="292"/>
      <c r="BI82" s="292"/>
      <c r="BJ82" s="292"/>
      <c r="BK82" s="292"/>
      <c r="BL82" s="292" t="e">
        <f t="shared" si="65"/>
        <v>#DIV/0!</v>
      </c>
      <c r="BM82" s="292"/>
      <c r="BN82" s="292"/>
      <c r="BO82" s="292"/>
      <c r="BP82" s="292"/>
      <c r="BQ82" s="330" t="e">
        <f t="shared" si="66"/>
        <v>#DIV/0!</v>
      </c>
      <c r="BR82" s="330"/>
      <c r="BS82" s="330"/>
      <c r="BT82" s="330"/>
      <c r="BU82" s="330"/>
      <c r="BV82" s="172"/>
      <c r="BX82" s="70" t="s">
        <v>132</v>
      </c>
      <c r="BY82" s="178">
        <v>7.3000000000000001E-3</v>
      </c>
      <c r="BZ82" s="1" t="str">
        <f t="shared" si="67"/>
        <v>V</v>
      </c>
      <c r="CA82" s="179">
        <v>2</v>
      </c>
      <c r="CB82" s="76">
        <f t="shared" ref="CB82" si="88">BY82/CA82</f>
        <v>3.65E-3</v>
      </c>
      <c r="CC82" s="4"/>
      <c r="CD82" s="70" t="s">
        <v>134</v>
      </c>
      <c r="CE82" s="5">
        <v>0</v>
      </c>
      <c r="CF82" s="1" t="str">
        <f t="shared" si="69"/>
        <v>V</v>
      </c>
      <c r="CG82" s="79">
        <f t="shared" si="7"/>
        <v>1.7320508075688772</v>
      </c>
      <c r="CH82" s="76">
        <f t="shared" si="75"/>
        <v>0</v>
      </c>
      <c r="CI82" s="4"/>
      <c r="CJ82" s="70" t="s">
        <v>93</v>
      </c>
      <c r="CK82" s="180">
        <v>0.01</v>
      </c>
      <c r="CL82" s="1" t="str">
        <f t="shared" si="70"/>
        <v>V</v>
      </c>
      <c r="CM82" s="79">
        <f t="shared" si="76"/>
        <v>3.4641016151377544</v>
      </c>
      <c r="CN82" s="76">
        <f t="shared" si="77"/>
        <v>2.886751345948129E-3</v>
      </c>
      <c r="CO82" s="4"/>
      <c r="CP82" s="70" t="s">
        <v>71</v>
      </c>
      <c r="CQ82" s="6" t="e">
        <f t="shared" si="71"/>
        <v>#DIV/0!</v>
      </c>
      <c r="CR82" s="1" t="str">
        <f t="shared" si="72"/>
        <v>V</v>
      </c>
      <c r="CS82" s="79">
        <f t="shared" si="78"/>
        <v>1.7320508075688772</v>
      </c>
      <c r="CT82" s="84" t="e">
        <f t="shared" si="79"/>
        <v>#DIV/0!</v>
      </c>
      <c r="CU82" s="8"/>
      <c r="CV82" s="92" t="e">
        <f t="shared" si="80"/>
        <v>#DIV/0!</v>
      </c>
      <c r="CW82" s="5" t="e">
        <f t="shared" si="81"/>
        <v>#DIV/0!</v>
      </c>
      <c r="CX82" s="93" t="e">
        <f t="shared" ref="CX82" si="89">ROUND(TINV(0.05,CW82),0)</f>
        <v>#DIV/0!</v>
      </c>
      <c r="CY82" s="108" t="e">
        <f t="shared" si="82"/>
        <v>#DIV/0!</v>
      </c>
      <c r="CZ82" s="104" t="str">
        <f t="shared" si="74"/>
        <v>V</v>
      </c>
      <c r="DA82" s="8"/>
      <c r="DB82" s="176">
        <v>8.4999999999999995E-4</v>
      </c>
      <c r="DC82" s="177" t="str">
        <f t="shared" si="83"/>
        <v>V</v>
      </c>
      <c r="DD82" s="223" t="e">
        <f t="shared" si="50"/>
        <v>#DIV/0!</v>
      </c>
      <c r="DE82" s="177" t="str">
        <f t="shared" si="84"/>
        <v>V</v>
      </c>
    </row>
    <row r="83" spans="1:109" s="173" customFormat="1" ht="18" customHeight="1">
      <c r="A83" s="172"/>
      <c r="B83" s="169"/>
      <c r="C83" s="138"/>
      <c r="D83" s="138"/>
      <c r="E83" s="138"/>
      <c r="F83" s="279"/>
      <c r="G83" s="280"/>
      <c r="H83" s="280"/>
      <c r="I83" s="280"/>
      <c r="J83" s="280"/>
      <c r="K83" s="281"/>
      <c r="L83" s="293">
        <f>60*50%</f>
        <v>30</v>
      </c>
      <c r="M83" s="294"/>
      <c r="N83" s="294"/>
      <c r="O83" s="294"/>
      <c r="P83" s="295" t="s">
        <v>94</v>
      </c>
      <c r="Q83" s="295"/>
      <c r="R83" s="296"/>
      <c r="S83" s="334" t="s">
        <v>97</v>
      </c>
      <c r="T83" s="334"/>
      <c r="U83" s="334"/>
      <c r="V83" s="334"/>
      <c r="W83" s="334"/>
      <c r="X83" s="336"/>
      <c r="Y83" s="337"/>
      <c r="Z83" s="337"/>
      <c r="AA83" s="337"/>
      <c r="AB83" s="338"/>
      <c r="AC83" s="336"/>
      <c r="AD83" s="337"/>
      <c r="AE83" s="337"/>
      <c r="AF83" s="337"/>
      <c r="AG83" s="338"/>
      <c r="AH83" s="336"/>
      <c r="AI83" s="337"/>
      <c r="AJ83" s="337"/>
      <c r="AK83" s="337"/>
      <c r="AL83" s="338"/>
      <c r="AM83" s="292" t="e">
        <f t="shared" si="62"/>
        <v>#DIV/0!</v>
      </c>
      <c r="AN83" s="292"/>
      <c r="AO83" s="292"/>
      <c r="AP83" s="292"/>
      <c r="AQ83" s="292"/>
      <c r="AR83" s="292" t="e">
        <f t="shared" si="63"/>
        <v>#DIV/0!</v>
      </c>
      <c r="AS83" s="292"/>
      <c r="AT83" s="292"/>
      <c r="AU83" s="292"/>
      <c r="AV83" s="292"/>
      <c r="AW83" s="138"/>
      <c r="AX83" s="138"/>
      <c r="AY83" s="138"/>
      <c r="AZ83" s="171"/>
      <c r="BA83" s="172"/>
      <c r="BB83" s="291" t="e">
        <f>(AM83*1%)+(3*CK83)</f>
        <v>#DIV/0!</v>
      </c>
      <c r="BC83" s="291"/>
      <c r="BD83" s="291"/>
      <c r="BE83" s="291"/>
      <c r="BF83" s="291"/>
      <c r="BG83" s="292" t="e">
        <f t="shared" si="64"/>
        <v>#DIV/0!</v>
      </c>
      <c r="BH83" s="292"/>
      <c r="BI83" s="292"/>
      <c r="BJ83" s="292"/>
      <c r="BK83" s="292"/>
      <c r="BL83" s="292" t="e">
        <f t="shared" si="65"/>
        <v>#DIV/0!</v>
      </c>
      <c r="BM83" s="292"/>
      <c r="BN83" s="292"/>
      <c r="BO83" s="292"/>
      <c r="BP83" s="292"/>
      <c r="BQ83" s="330" t="e">
        <f t="shared" si="66"/>
        <v>#DIV/0!</v>
      </c>
      <c r="BR83" s="330"/>
      <c r="BS83" s="330"/>
      <c r="BT83" s="330"/>
      <c r="BU83" s="330"/>
      <c r="BV83" s="172"/>
      <c r="BX83" s="70" t="s">
        <v>132</v>
      </c>
      <c r="BY83" s="178">
        <v>7.3000000000000001E-3</v>
      </c>
      <c r="BZ83" s="1" t="str">
        <f t="shared" si="67"/>
        <v>V</v>
      </c>
      <c r="CA83" s="179">
        <v>2</v>
      </c>
      <c r="CB83" s="76">
        <f t="shared" si="68"/>
        <v>3.65E-3</v>
      </c>
      <c r="CC83" s="4"/>
      <c r="CD83" s="70" t="s">
        <v>134</v>
      </c>
      <c r="CE83" s="5">
        <v>0</v>
      </c>
      <c r="CF83" s="1" t="str">
        <f t="shared" si="69"/>
        <v>V</v>
      </c>
      <c r="CG83" s="79">
        <f t="shared" si="7"/>
        <v>1.7320508075688772</v>
      </c>
      <c r="CH83" s="76">
        <f t="shared" si="75"/>
        <v>0</v>
      </c>
      <c r="CI83" s="4"/>
      <c r="CJ83" s="70" t="s">
        <v>93</v>
      </c>
      <c r="CK83" s="180">
        <v>0.01</v>
      </c>
      <c r="CL83" s="1" t="str">
        <f t="shared" si="70"/>
        <v>V</v>
      </c>
      <c r="CM83" s="79">
        <f t="shared" si="76"/>
        <v>3.4641016151377544</v>
      </c>
      <c r="CN83" s="76">
        <f t="shared" si="77"/>
        <v>2.886751345948129E-3</v>
      </c>
      <c r="CO83" s="4"/>
      <c r="CP83" s="70" t="s">
        <v>71</v>
      </c>
      <c r="CQ83" s="6" t="e">
        <f t="shared" si="71"/>
        <v>#DIV/0!</v>
      </c>
      <c r="CR83" s="1" t="str">
        <f t="shared" si="72"/>
        <v>V</v>
      </c>
      <c r="CS83" s="79">
        <f t="shared" si="78"/>
        <v>1.7320508075688772</v>
      </c>
      <c r="CT83" s="84" t="e">
        <f t="shared" si="79"/>
        <v>#DIV/0!</v>
      </c>
      <c r="CU83" s="8"/>
      <c r="CV83" s="92" t="e">
        <f t="shared" si="80"/>
        <v>#DIV/0!</v>
      </c>
      <c r="CW83" s="5" t="e">
        <f t="shared" si="81"/>
        <v>#DIV/0!</v>
      </c>
      <c r="CX83" s="93" t="e">
        <f t="shared" si="73"/>
        <v>#DIV/0!</v>
      </c>
      <c r="CY83" s="108" t="e">
        <f t="shared" ref="CY83:CY86" si="90">(CV83*CX83)</f>
        <v>#DIV/0!</v>
      </c>
      <c r="CZ83" s="104" t="str">
        <f t="shared" si="74"/>
        <v>V</v>
      </c>
      <c r="DA83" s="8"/>
      <c r="DB83" s="176">
        <v>8.4999999999999995E-4</v>
      </c>
      <c r="DC83" s="177" t="str">
        <f t="shared" si="83"/>
        <v>V</v>
      </c>
      <c r="DD83" s="223" t="e">
        <f t="shared" si="50"/>
        <v>#DIV/0!</v>
      </c>
      <c r="DE83" s="177" t="str">
        <f t="shared" si="84"/>
        <v>V</v>
      </c>
    </row>
    <row r="84" spans="1:109" s="173" customFormat="1" ht="18" customHeight="1">
      <c r="A84" s="172"/>
      <c r="B84" s="169"/>
      <c r="C84" s="138"/>
      <c r="D84" s="138"/>
      <c r="E84" s="138"/>
      <c r="F84" s="279"/>
      <c r="G84" s="280"/>
      <c r="H84" s="280"/>
      <c r="I84" s="280"/>
      <c r="J84" s="280"/>
      <c r="K84" s="281"/>
      <c r="L84" s="293">
        <f>60*50%</f>
        <v>30</v>
      </c>
      <c r="M84" s="294"/>
      <c r="N84" s="294"/>
      <c r="O84" s="294"/>
      <c r="P84" s="295" t="s">
        <v>94</v>
      </c>
      <c r="Q84" s="295"/>
      <c r="R84" s="296"/>
      <c r="S84" s="334" t="s">
        <v>148</v>
      </c>
      <c r="T84" s="334"/>
      <c r="U84" s="334"/>
      <c r="V84" s="334"/>
      <c r="W84" s="334"/>
      <c r="X84" s="336"/>
      <c r="Y84" s="337"/>
      <c r="Z84" s="337"/>
      <c r="AA84" s="337"/>
      <c r="AB84" s="338"/>
      <c r="AC84" s="336"/>
      <c r="AD84" s="337"/>
      <c r="AE84" s="337"/>
      <c r="AF84" s="337"/>
      <c r="AG84" s="338"/>
      <c r="AH84" s="336"/>
      <c r="AI84" s="337"/>
      <c r="AJ84" s="337"/>
      <c r="AK84" s="337"/>
      <c r="AL84" s="338"/>
      <c r="AM84" s="292" t="e">
        <f t="shared" si="62"/>
        <v>#DIV/0!</v>
      </c>
      <c r="AN84" s="292"/>
      <c r="AO84" s="292"/>
      <c r="AP84" s="292"/>
      <c r="AQ84" s="292"/>
      <c r="AR84" s="292" t="e">
        <f t="shared" si="63"/>
        <v>#DIV/0!</v>
      </c>
      <c r="AS84" s="292"/>
      <c r="AT84" s="292"/>
      <c r="AU84" s="292"/>
      <c r="AV84" s="292"/>
      <c r="AW84" s="138"/>
      <c r="AX84" s="138"/>
      <c r="AY84" s="138"/>
      <c r="AZ84" s="171"/>
      <c r="BA84" s="172"/>
      <c r="BB84" s="291" t="e">
        <f>(AM84*2%)+(3*CK84)</f>
        <v>#DIV/0!</v>
      </c>
      <c r="BC84" s="291"/>
      <c r="BD84" s="291"/>
      <c r="BE84" s="291"/>
      <c r="BF84" s="291"/>
      <c r="BG84" s="292" t="e">
        <f t="shared" si="64"/>
        <v>#DIV/0!</v>
      </c>
      <c r="BH84" s="292"/>
      <c r="BI84" s="292"/>
      <c r="BJ84" s="292"/>
      <c r="BK84" s="292"/>
      <c r="BL84" s="292" t="e">
        <f t="shared" si="65"/>
        <v>#DIV/0!</v>
      </c>
      <c r="BM84" s="292"/>
      <c r="BN84" s="292"/>
      <c r="BO84" s="292"/>
      <c r="BP84" s="292"/>
      <c r="BQ84" s="330" t="e">
        <f t="shared" si="66"/>
        <v>#DIV/0!</v>
      </c>
      <c r="BR84" s="330"/>
      <c r="BS84" s="330"/>
      <c r="BT84" s="330"/>
      <c r="BU84" s="330"/>
      <c r="BV84" s="172"/>
      <c r="BX84" s="70" t="s">
        <v>132</v>
      </c>
      <c r="BY84" s="178">
        <v>7.3000000000000001E-3</v>
      </c>
      <c r="BZ84" s="1" t="str">
        <f t="shared" si="67"/>
        <v>V</v>
      </c>
      <c r="CA84" s="179">
        <v>2</v>
      </c>
      <c r="CB84" s="76">
        <f t="shared" si="68"/>
        <v>3.65E-3</v>
      </c>
      <c r="CC84" s="4"/>
      <c r="CD84" s="70" t="s">
        <v>134</v>
      </c>
      <c r="CE84" s="5">
        <v>0</v>
      </c>
      <c r="CF84" s="1" t="str">
        <f t="shared" si="69"/>
        <v>V</v>
      </c>
      <c r="CG84" s="79">
        <f t="shared" si="7"/>
        <v>1.7320508075688772</v>
      </c>
      <c r="CH84" s="76">
        <f t="shared" si="75"/>
        <v>0</v>
      </c>
      <c r="CI84" s="4"/>
      <c r="CJ84" s="70" t="s">
        <v>93</v>
      </c>
      <c r="CK84" s="180">
        <v>0.01</v>
      </c>
      <c r="CL84" s="1" t="str">
        <f t="shared" si="70"/>
        <v>V</v>
      </c>
      <c r="CM84" s="79">
        <f t="shared" si="76"/>
        <v>3.4641016151377544</v>
      </c>
      <c r="CN84" s="76">
        <f t="shared" si="77"/>
        <v>2.886751345948129E-3</v>
      </c>
      <c r="CO84" s="4"/>
      <c r="CP84" s="70" t="s">
        <v>71</v>
      </c>
      <c r="CQ84" s="6" t="e">
        <f t="shared" si="71"/>
        <v>#DIV/0!</v>
      </c>
      <c r="CR84" s="1" t="str">
        <f t="shared" si="72"/>
        <v>V</v>
      </c>
      <c r="CS84" s="79">
        <f t="shared" si="78"/>
        <v>1.7320508075688772</v>
      </c>
      <c r="CT84" s="84" t="e">
        <f t="shared" si="79"/>
        <v>#DIV/0!</v>
      </c>
      <c r="CU84" s="8"/>
      <c r="CV84" s="92" t="e">
        <f t="shared" si="80"/>
        <v>#DIV/0!</v>
      </c>
      <c r="CW84" s="5" t="e">
        <f t="shared" si="81"/>
        <v>#DIV/0!</v>
      </c>
      <c r="CX84" s="93" t="e">
        <f t="shared" si="73"/>
        <v>#DIV/0!</v>
      </c>
      <c r="CY84" s="108" t="e">
        <f t="shared" si="90"/>
        <v>#DIV/0!</v>
      </c>
      <c r="CZ84" s="104" t="str">
        <f t="shared" si="74"/>
        <v>V</v>
      </c>
      <c r="DA84" s="8"/>
      <c r="DB84" s="176">
        <v>8.4999999999999995E-4</v>
      </c>
      <c r="DC84" s="177" t="str">
        <f t="shared" si="83"/>
        <v>V</v>
      </c>
      <c r="DD84" s="223" t="e">
        <f t="shared" si="50"/>
        <v>#DIV/0!</v>
      </c>
      <c r="DE84" s="177" t="str">
        <f t="shared" si="84"/>
        <v>V</v>
      </c>
    </row>
    <row r="85" spans="1:109" s="173" customFormat="1" ht="18" customHeight="1">
      <c r="A85" s="172"/>
      <c r="B85" s="169"/>
      <c r="C85" s="138"/>
      <c r="D85" s="138"/>
      <c r="E85" s="138"/>
      <c r="F85" s="279"/>
      <c r="G85" s="280"/>
      <c r="H85" s="280"/>
      <c r="I85" s="280"/>
      <c r="J85" s="280"/>
      <c r="K85" s="281"/>
      <c r="L85" s="293">
        <f>60*90%</f>
        <v>54</v>
      </c>
      <c r="M85" s="294"/>
      <c r="N85" s="294"/>
      <c r="O85" s="294"/>
      <c r="P85" s="295" t="s">
        <v>94</v>
      </c>
      <c r="Q85" s="295"/>
      <c r="R85" s="296"/>
      <c r="S85" s="334" t="s">
        <v>97</v>
      </c>
      <c r="T85" s="334"/>
      <c r="U85" s="334"/>
      <c r="V85" s="334"/>
      <c r="W85" s="334"/>
      <c r="X85" s="292"/>
      <c r="Y85" s="292"/>
      <c r="Z85" s="292"/>
      <c r="AA85" s="292"/>
      <c r="AB85" s="292"/>
      <c r="AC85" s="292"/>
      <c r="AD85" s="292"/>
      <c r="AE85" s="292"/>
      <c r="AF85" s="292"/>
      <c r="AG85" s="292"/>
      <c r="AH85" s="292"/>
      <c r="AI85" s="292"/>
      <c r="AJ85" s="292"/>
      <c r="AK85" s="292"/>
      <c r="AL85" s="292"/>
      <c r="AM85" s="292" t="e">
        <f t="shared" si="62"/>
        <v>#DIV/0!</v>
      </c>
      <c r="AN85" s="292"/>
      <c r="AO85" s="292"/>
      <c r="AP85" s="292"/>
      <c r="AQ85" s="292"/>
      <c r="AR85" s="292" t="e">
        <f t="shared" si="63"/>
        <v>#DIV/0!</v>
      </c>
      <c r="AS85" s="292"/>
      <c r="AT85" s="292"/>
      <c r="AU85" s="292"/>
      <c r="AV85" s="292"/>
      <c r="AW85" s="138"/>
      <c r="AX85" s="138"/>
      <c r="AY85" s="138"/>
      <c r="AZ85" s="171"/>
      <c r="BA85" s="172"/>
      <c r="BB85" s="291" t="e">
        <f>(AM85*1%)+(3*CK85)</f>
        <v>#DIV/0!</v>
      </c>
      <c r="BC85" s="291"/>
      <c r="BD85" s="291"/>
      <c r="BE85" s="291"/>
      <c r="BF85" s="291"/>
      <c r="BG85" s="301" t="e">
        <f t="shared" si="64"/>
        <v>#DIV/0!</v>
      </c>
      <c r="BH85" s="301"/>
      <c r="BI85" s="301"/>
      <c r="BJ85" s="301"/>
      <c r="BK85" s="301"/>
      <c r="BL85" s="301" t="e">
        <f t="shared" si="65"/>
        <v>#DIV/0!</v>
      </c>
      <c r="BM85" s="301"/>
      <c r="BN85" s="301"/>
      <c r="BO85" s="301"/>
      <c r="BP85" s="301"/>
      <c r="BQ85" s="330" t="e">
        <f t="shared" si="66"/>
        <v>#DIV/0!</v>
      </c>
      <c r="BR85" s="330"/>
      <c r="BS85" s="330"/>
      <c r="BT85" s="330"/>
      <c r="BU85" s="330"/>
      <c r="BV85" s="172"/>
      <c r="BX85" s="70" t="s">
        <v>132</v>
      </c>
      <c r="BY85" s="178">
        <v>7.3000000000000001E-3</v>
      </c>
      <c r="BZ85" s="1" t="str">
        <f t="shared" si="67"/>
        <v>V</v>
      </c>
      <c r="CA85" s="179">
        <v>2</v>
      </c>
      <c r="CB85" s="76">
        <f t="shared" si="68"/>
        <v>3.65E-3</v>
      </c>
      <c r="CC85" s="4"/>
      <c r="CD85" s="70" t="s">
        <v>134</v>
      </c>
      <c r="CE85" s="5">
        <v>0</v>
      </c>
      <c r="CF85" s="1" t="str">
        <f t="shared" si="69"/>
        <v>V</v>
      </c>
      <c r="CG85" s="79">
        <f t="shared" si="7"/>
        <v>1.7320508075688772</v>
      </c>
      <c r="CH85" s="76">
        <f t="shared" si="75"/>
        <v>0</v>
      </c>
      <c r="CI85" s="4"/>
      <c r="CJ85" s="70" t="s">
        <v>93</v>
      </c>
      <c r="CK85" s="180">
        <v>0.01</v>
      </c>
      <c r="CL85" s="1" t="str">
        <f t="shared" si="70"/>
        <v>V</v>
      </c>
      <c r="CM85" s="79">
        <f t="shared" si="76"/>
        <v>3.4641016151377544</v>
      </c>
      <c r="CN85" s="76">
        <f t="shared" si="77"/>
        <v>2.886751345948129E-3</v>
      </c>
      <c r="CO85" s="4"/>
      <c r="CP85" s="70" t="s">
        <v>71</v>
      </c>
      <c r="CQ85" s="6" t="e">
        <f t="shared" si="71"/>
        <v>#DIV/0!</v>
      </c>
      <c r="CR85" s="1" t="str">
        <f t="shared" si="72"/>
        <v>V</v>
      </c>
      <c r="CS85" s="79">
        <f t="shared" si="78"/>
        <v>1.7320508075688772</v>
      </c>
      <c r="CT85" s="84" t="e">
        <f t="shared" si="79"/>
        <v>#DIV/0!</v>
      </c>
      <c r="CU85" s="8"/>
      <c r="CV85" s="92" t="e">
        <f t="shared" si="80"/>
        <v>#DIV/0!</v>
      </c>
      <c r="CW85" s="5" t="e">
        <f t="shared" si="81"/>
        <v>#DIV/0!</v>
      </c>
      <c r="CX85" s="93" t="e">
        <f t="shared" si="73"/>
        <v>#DIV/0!</v>
      </c>
      <c r="CY85" s="108" t="e">
        <f t="shared" si="90"/>
        <v>#DIV/0!</v>
      </c>
      <c r="CZ85" s="104" t="str">
        <f t="shared" si="74"/>
        <v>V</v>
      </c>
      <c r="DA85" s="8"/>
      <c r="DB85" s="176">
        <v>6.4000000000000003E-3</v>
      </c>
      <c r="DC85" s="177" t="str">
        <f t="shared" si="83"/>
        <v>V</v>
      </c>
      <c r="DD85" s="223" t="e">
        <f t="shared" si="50"/>
        <v>#DIV/0!</v>
      </c>
      <c r="DE85" s="177" t="str">
        <f t="shared" si="84"/>
        <v>V</v>
      </c>
    </row>
    <row r="86" spans="1:109" s="173" customFormat="1" ht="18" customHeight="1">
      <c r="A86" s="172"/>
      <c r="B86" s="169"/>
      <c r="C86" s="138"/>
      <c r="D86" s="138"/>
      <c r="E86" s="138"/>
      <c r="F86" s="282"/>
      <c r="G86" s="283"/>
      <c r="H86" s="283"/>
      <c r="I86" s="283"/>
      <c r="J86" s="283"/>
      <c r="K86" s="284"/>
      <c r="L86" s="293">
        <f>60*90%</f>
        <v>54</v>
      </c>
      <c r="M86" s="294"/>
      <c r="N86" s="294"/>
      <c r="O86" s="294"/>
      <c r="P86" s="295" t="s">
        <v>94</v>
      </c>
      <c r="Q86" s="295"/>
      <c r="R86" s="296"/>
      <c r="S86" s="334" t="s">
        <v>148</v>
      </c>
      <c r="T86" s="334"/>
      <c r="U86" s="334"/>
      <c r="V86" s="334"/>
      <c r="W86" s="334"/>
      <c r="X86" s="292"/>
      <c r="Y86" s="292"/>
      <c r="Z86" s="292"/>
      <c r="AA86" s="292"/>
      <c r="AB86" s="292"/>
      <c r="AC86" s="292"/>
      <c r="AD86" s="292"/>
      <c r="AE86" s="292"/>
      <c r="AF86" s="292"/>
      <c r="AG86" s="292"/>
      <c r="AH86" s="292"/>
      <c r="AI86" s="292"/>
      <c r="AJ86" s="292"/>
      <c r="AK86" s="292"/>
      <c r="AL86" s="292"/>
      <c r="AM86" s="292" t="e">
        <f t="shared" si="62"/>
        <v>#DIV/0!</v>
      </c>
      <c r="AN86" s="292"/>
      <c r="AO86" s="292"/>
      <c r="AP86" s="292"/>
      <c r="AQ86" s="292"/>
      <c r="AR86" s="292" t="e">
        <f t="shared" si="63"/>
        <v>#DIV/0!</v>
      </c>
      <c r="AS86" s="292"/>
      <c r="AT86" s="292"/>
      <c r="AU86" s="292"/>
      <c r="AV86" s="292"/>
      <c r="AW86" s="138"/>
      <c r="AX86" s="138"/>
      <c r="AY86" s="138"/>
      <c r="AZ86" s="171"/>
      <c r="BA86" s="172"/>
      <c r="BB86" s="291" t="e">
        <f>(AM86*2%)+(3*CK86)</f>
        <v>#DIV/0!</v>
      </c>
      <c r="BC86" s="291"/>
      <c r="BD86" s="291"/>
      <c r="BE86" s="291"/>
      <c r="BF86" s="291"/>
      <c r="BG86" s="301" t="e">
        <f t="shared" si="64"/>
        <v>#DIV/0!</v>
      </c>
      <c r="BH86" s="301"/>
      <c r="BI86" s="301"/>
      <c r="BJ86" s="301"/>
      <c r="BK86" s="301"/>
      <c r="BL86" s="301" t="e">
        <f t="shared" si="65"/>
        <v>#DIV/0!</v>
      </c>
      <c r="BM86" s="301"/>
      <c r="BN86" s="301"/>
      <c r="BO86" s="301"/>
      <c r="BP86" s="301"/>
      <c r="BQ86" s="330" t="e">
        <f t="shared" si="66"/>
        <v>#DIV/0!</v>
      </c>
      <c r="BR86" s="330"/>
      <c r="BS86" s="330"/>
      <c r="BT86" s="330"/>
      <c r="BU86" s="330"/>
      <c r="BV86" s="172"/>
      <c r="BX86" s="70" t="s">
        <v>132</v>
      </c>
      <c r="BY86" s="178">
        <v>7.3000000000000001E-3</v>
      </c>
      <c r="BZ86" s="1" t="str">
        <f t="shared" si="67"/>
        <v>V</v>
      </c>
      <c r="CA86" s="179">
        <v>2</v>
      </c>
      <c r="CB86" s="76">
        <f t="shared" si="68"/>
        <v>3.65E-3</v>
      </c>
      <c r="CC86" s="4"/>
      <c r="CD86" s="70" t="s">
        <v>134</v>
      </c>
      <c r="CE86" s="5">
        <v>0</v>
      </c>
      <c r="CF86" s="1" t="str">
        <f t="shared" si="69"/>
        <v>V</v>
      </c>
      <c r="CG86" s="79">
        <f t="shared" si="7"/>
        <v>1.7320508075688772</v>
      </c>
      <c r="CH86" s="76">
        <f t="shared" si="75"/>
        <v>0</v>
      </c>
      <c r="CI86" s="4"/>
      <c r="CJ86" s="70" t="s">
        <v>93</v>
      </c>
      <c r="CK86" s="180">
        <v>0.01</v>
      </c>
      <c r="CL86" s="1" t="str">
        <f t="shared" si="70"/>
        <v>V</v>
      </c>
      <c r="CM86" s="79">
        <f t="shared" si="76"/>
        <v>3.4641016151377544</v>
      </c>
      <c r="CN86" s="76">
        <f t="shared" si="77"/>
        <v>2.886751345948129E-3</v>
      </c>
      <c r="CO86" s="4"/>
      <c r="CP86" s="70" t="s">
        <v>71</v>
      </c>
      <c r="CQ86" s="6" t="e">
        <f t="shared" si="71"/>
        <v>#DIV/0!</v>
      </c>
      <c r="CR86" s="1" t="str">
        <f t="shared" si="72"/>
        <v>V</v>
      </c>
      <c r="CS86" s="79">
        <f t="shared" si="78"/>
        <v>1.7320508075688772</v>
      </c>
      <c r="CT86" s="84" t="e">
        <f t="shared" si="79"/>
        <v>#DIV/0!</v>
      </c>
      <c r="CU86" s="8"/>
      <c r="CV86" s="92" t="e">
        <f t="shared" si="80"/>
        <v>#DIV/0!</v>
      </c>
      <c r="CW86" s="5" t="e">
        <f t="shared" si="81"/>
        <v>#DIV/0!</v>
      </c>
      <c r="CX86" s="93" t="e">
        <f t="shared" si="73"/>
        <v>#DIV/0!</v>
      </c>
      <c r="CY86" s="108" t="e">
        <f t="shared" si="90"/>
        <v>#DIV/0!</v>
      </c>
      <c r="CZ86" s="104" t="str">
        <f t="shared" si="74"/>
        <v>V</v>
      </c>
      <c r="DA86" s="8"/>
      <c r="DB86" s="176">
        <v>6.4000000000000003E-3</v>
      </c>
      <c r="DC86" s="177" t="str">
        <f t="shared" si="83"/>
        <v>V</v>
      </c>
      <c r="DD86" s="223" t="e">
        <f t="shared" si="50"/>
        <v>#DIV/0!</v>
      </c>
      <c r="DE86" s="177" t="str">
        <f t="shared" si="84"/>
        <v>V</v>
      </c>
    </row>
    <row r="87" spans="1:109" s="173" customFormat="1" ht="18" customHeight="1">
      <c r="A87" s="172"/>
      <c r="B87" s="169"/>
      <c r="C87" s="138"/>
      <c r="D87" s="138"/>
      <c r="E87" s="138"/>
      <c r="F87" s="276" t="s">
        <v>95</v>
      </c>
      <c r="G87" s="277"/>
      <c r="H87" s="277"/>
      <c r="I87" s="277"/>
      <c r="J87" s="277"/>
      <c r="K87" s="278"/>
      <c r="L87" s="293">
        <v>60</v>
      </c>
      <c r="M87" s="294"/>
      <c r="N87" s="294"/>
      <c r="O87" s="294"/>
      <c r="P87" s="295" t="s">
        <v>94</v>
      </c>
      <c r="Q87" s="295"/>
      <c r="R87" s="296"/>
      <c r="S87" s="334" t="s">
        <v>97</v>
      </c>
      <c r="T87" s="334"/>
      <c r="U87" s="334"/>
      <c r="V87" s="334"/>
      <c r="W87" s="334"/>
      <c r="X87" s="301"/>
      <c r="Y87" s="301"/>
      <c r="Z87" s="301"/>
      <c r="AA87" s="301"/>
      <c r="AB87" s="301"/>
      <c r="AC87" s="301"/>
      <c r="AD87" s="301"/>
      <c r="AE87" s="301"/>
      <c r="AF87" s="301"/>
      <c r="AG87" s="301"/>
      <c r="AH87" s="301"/>
      <c r="AI87" s="301"/>
      <c r="AJ87" s="301"/>
      <c r="AK87" s="301"/>
      <c r="AL87" s="301"/>
      <c r="AM87" s="301" t="e">
        <f t="shared" si="62"/>
        <v>#DIV/0!</v>
      </c>
      <c r="AN87" s="301"/>
      <c r="AO87" s="301"/>
      <c r="AP87" s="301"/>
      <c r="AQ87" s="301"/>
      <c r="AR87" s="301" t="e">
        <f t="shared" si="63"/>
        <v>#DIV/0!</v>
      </c>
      <c r="AS87" s="301"/>
      <c r="AT87" s="301"/>
      <c r="AU87" s="301"/>
      <c r="AV87" s="301"/>
      <c r="AW87" s="138"/>
      <c r="AX87" s="138"/>
      <c r="AY87" s="138"/>
      <c r="AZ87" s="171"/>
      <c r="BA87" s="172"/>
      <c r="BB87" s="291" t="e">
        <f>(AM87*1%)+(3*CK87)</f>
        <v>#DIV/0!</v>
      </c>
      <c r="BC87" s="291"/>
      <c r="BD87" s="291"/>
      <c r="BE87" s="291"/>
      <c r="BF87" s="291"/>
      <c r="BG87" s="367" t="e">
        <f t="shared" si="64"/>
        <v>#DIV/0!</v>
      </c>
      <c r="BH87" s="367"/>
      <c r="BI87" s="367"/>
      <c r="BJ87" s="367"/>
      <c r="BK87" s="367"/>
      <c r="BL87" s="367" t="e">
        <f t="shared" si="65"/>
        <v>#DIV/0!</v>
      </c>
      <c r="BM87" s="367"/>
      <c r="BN87" s="367"/>
      <c r="BO87" s="367"/>
      <c r="BP87" s="367"/>
      <c r="BQ87" s="330" t="e">
        <f t="shared" si="66"/>
        <v>#DIV/0!</v>
      </c>
      <c r="BR87" s="330"/>
      <c r="BS87" s="330"/>
      <c r="BT87" s="330"/>
      <c r="BU87" s="330"/>
      <c r="BV87" s="172"/>
      <c r="BX87" s="70" t="s">
        <v>132</v>
      </c>
      <c r="BY87" s="178">
        <v>7.3000000000000001E-3</v>
      </c>
      <c r="BZ87" s="1" t="str">
        <f t="shared" si="67"/>
        <v>V</v>
      </c>
      <c r="CA87" s="179">
        <v>2</v>
      </c>
      <c r="CB87" s="76">
        <f t="shared" si="68"/>
        <v>3.65E-3</v>
      </c>
      <c r="CC87" s="4"/>
      <c r="CD87" s="70" t="s">
        <v>134</v>
      </c>
      <c r="CE87" s="5">
        <v>0</v>
      </c>
      <c r="CF87" s="1" t="str">
        <f t="shared" si="69"/>
        <v>V</v>
      </c>
      <c r="CG87" s="79">
        <f t="shared" si="7"/>
        <v>1.7320508075688772</v>
      </c>
      <c r="CH87" s="76">
        <f t="shared" si="75"/>
        <v>0</v>
      </c>
      <c r="CI87" s="4"/>
      <c r="CJ87" s="70" t="s">
        <v>93</v>
      </c>
      <c r="CK87" s="180">
        <v>0.1</v>
      </c>
      <c r="CL87" s="1" t="str">
        <f t="shared" si="70"/>
        <v>V</v>
      </c>
      <c r="CM87" s="79">
        <f t="shared" si="76"/>
        <v>3.4641016151377544</v>
      </c>
      <c r="CN87" s="76">
        <f t="shared" si="77"/>
        <v>2.8867513459481291E-2</v>
      </c>
      <c r="CO87" s="4"/>
      <c r="CP87" s="70" t="s">
        <v>71</v>
      </c>
      <c r="CQ87" s="6" t="e">
        <f t="shared" si="71"/>
        <v>#DIV/0!</v>
      </c>
      <c r="CR87" s="1" t="str">
        <f t="shared" si="72"/>
        <v>V</v>
      </c>
      <c r="CS87" s="79">
        <f t="shared" si="78"/>
        <v>1.7320508075688772</v>
      </c>
      <c r="CT87" s="84" t="e">
        <f t="shared" si="79"/>
        <v>#DIV/0!</v>
      </c>
      <c r="CU87" s="8"/>
      <c r="CV87" s="92" t="e">
        <f t="shared" si="80"/>
        <v>#DIV/0!</v>
      </c>
      <c r="CW87" s="5" t="e">
        <f t="shared" si="81"/>
        <v>#DIV/0!</v>
      </c>
      <c r="CX87" s="93" t="e">
        <f t="shared" si="73"/>
        <v>#DIV/0!</v>
      </c>
      <c r="CY87" s="110" t="e">
        <f t="shared" ref="CY87:CY88" si="91">(CV87*CX87)</f>
        <v>#DIV/0!</v>
      </c>
      <c r="CZ87" s="104" t="str">
        <f t="shared" si="74"/>
        <v>V</v>
      </c>
      <c r="DA87" s="8"/>
      <c r="DB87" s="176">
        <v>6.4000000000000003E-3</v>
      </c>
      <c r="DC87" s="177" t="str">
        <f t="shared" si="83"/>
        <v>V</v>
      </c>
      <c r="DD87" s="223" t="e">
        <f t="shared" si="50"/>
        <v>#DIV/0!</v>
      </c>
      <c r="DE87" s="177" t="str">
        <f t="shared" si="84"/>
        <v>V</v>
      </c>
    </row>
    <row r="88" spans="1:109" s="173" customFormat="1" ht="18" customHeight="1">
      <c r="A88" s="172"/>
      <c r="B88" s="169"/>
      <c r="C88" s="138"/>
      <c r="D88" s="138"/>
      <c r="E88" s="138"/>
      <c r="F88" s="279"/>
      <c r="G88" s="280"/>
      <c r="H88" s="280"/>
      <c r="I88" s="280"/>
      <c r="J88" s="280"/>
      <c r="K88" s="281"/>
      <c r="L88" s="293">
        <v>60</v>
      </c>
      <c r="M88" s="294"/>
      <c r="N88" s="294"/>
      <c r="O88" s="294"/>
      <c r="P88" s="295" t="s">
        <v>94</v>
      </c>
      <c r="Q88" s="295"/>
      <c r="R88" s="296"/>
      <c r="S88" s="334" t="s">
        <v>148</v>
      </c>
      <c r="T88" s="334"/>
      <c r="U88" s="334"/>
      <c r="V88" s="334"/>
      <c r="W88" s="334"/>
      <c r="X88" s="301"/>
      <c r="Y88" s="301"/>
      <c r="Z88" s="301"/>
      <c r="AA88" s="301"/>
      <c r="AB88" s="301"/>
      <c r="AC88" s="301"/>
      <c r="AD88" s="301"/>
      <c r="AE88" s="301"/>
      <c r="AF88" s="301"/>
      <c r="AG88" s="301"/>
      <c r="AH88" s="301"/>
      <c r="AI88" s="301"/>
      <c r="AJ88" s="301"/>
      <c r="AK88" s="301"/>
      <c r="AL88" s="301"/>
      <c r="AM88" s="301" t="e">
        <f t="shared" si="62"/>
        <v>#DIV/0!</v>
      </c>
      <c r="AN88" s="301"/>
      <c r="AO88" s="301"/>
      <c r="AP88" s="301"/>
      <c r="AQ88" s="301"/>
      <c r="AR88" s="301" t="e">
        <f t="shared" si="63"/>
        <v>#DIV/0!</v>
      </c>
      <c r="AS88" s="301"/>
      <c r="AT88" s="301"/>
      <c r="AU88" s="301"/>
      <c r="AV88" s="301"/>
      <c r="AW88" s="138"/>
      <c r="AX88" s="138"/>
      <c r="AY88" s="138"/>
      <c r="AZ88" s="171"/>
      <c r="BA88" s="172"/>
      <c r="BB88" s="291" t="e">
        <f>(AM88*2%)+(3*CK88)</f>
        <v>#DIV/0!</v>
      </c>
      <c r="BC88" s="291"/>
      <c r="BD88" s="291"/>
      <c r="BE88" s="291"/>
      <c r="BF88" s="291"/>
      <c r="BG88" s="367" t="e">
        <f t="shared" si="64"/>
        <v>#DIV/0!</v>
      </c>
      <c r="BH88" s="367"/>
      <c r="BI88" s="367"/>
      <c r="BJ88" s="367"/>
      <c r="BK88" s="367"/>
      <c r="BL88" s="367" t="e">
        <f t="shared" si="65"/>
        <v>#DIV/0!</v>
      </c>
      <c r="BM88" s="367"/>
      <c r="BN88" s="367"/>
      <c r="BO88" s="367"/>
      <c r="BP88" s="367"/>
      <c r="BQ88" s="330" t="e">
        <f t="shared" si="66"/>
        <v>#DIV/0!</v>
      </c>
      <c r="BR88" s="330"/>
      <c r="BS88" s="330"/>
      <c r="BT88" s="330"/>
      <c r="BU88" s="330"/>
      <c r="BV88" s="172"/>
      <c r="BX88" s="70" t="s">
        <v>132</v>
      </c>
      <c r="BY88" s="178">
        <v>7.3000000000000001E-3</v>
      </c>
      <c r="BZ88" s="1" t="str">
        <f t="shared" si="67"/>
        <v>V</v>
      </c>
      <c r="CA88" s="179">
        <v>2</v>
      </c>
      <c r="CB88" s="76">
        <f t="shared" ref="CB88" si="92">BY88/CA88</f>
        <v>3.65E-3</v>
      </c>
      <c r="CC88" s="4"/>
      <c r="CD88" s="70" t="s">
        <v>134</v>
      </c>
      <c r="CE88" s="5">
        <v>0</v>
      </c>
      <c r="CF88" s="1" t="str">
        <f t="shared" si="69"/>
        <v>V</v>
      </c>
      <c r="CG88" s="79">
        <f t="shared" si="7"/>
        <v>1.7320508075688772</v>
      </c>
      <c r="CH88" s="76">
        <f t="shared" si="75"/>
        <v>0</v>
      </c>
      <c r="CI88" s="4"/>
      <c r="CJ88" s="70" t="s">
        <v>93</v>
      </c>
      <c r="CK88" s="180">
        <v>0.1</v>
      </c>
      <c r="CL88" s="1" t="str">
        <f t="shared" si="70"/>
        <v>V</v>
      </c>
      <c r="CM88" s="79">
        <f t="shared" si="76"/>
        <v>3.4641016151377544</v>
      </c>
      <c r="CN88" s="76">
        <f t="shared" si="77"/>
        <v>2.8867513459481291E-2</v>
      </c>
      <c r="CO88" s="4"/>
      <c r="CP88" s="70" t="s">
        <v>71</v>
      </c>
      <c r="CQ88" s="6" t="e">
        <f t="shared" si="71"/>
        <v>#DIV/0!</v>
      </c>
      <c r="CR88" s="1" t="str">
        <f t="shared" si="72"/>
        <v>V</v>
      </c>
      <c r="CS88" s="79">
        <f t="shared" si="78"/>
        <v>1.7320508075688772</v>
      </c>
      <c r="CT88" s="84" t="e">
        <f t="shared" si="79"/>
        <v>#DIV/0!</v>
      </c>
      <c r="CU88" s="8"/>
      <c r="CV88" s="92" t="e">
        <f t="shared" si="80"/>
        <v>#DIV/0!</v>
      </c>
      <c r="CW88" s="5" t="e">
        <f t="shared" si="81"/>
        <v>#DIV/0!</v>
      </c>
      <c r="CX88" s="93" t="e">
        <f t="shared" ref="CX88" si="93">ROUND(TINV(0.05,CW88),0)</f>
        <v>#DIV/0!</v>
      </c>
      <c r="CY88" s="110" t="e">
        <f t="shared" si="91"/>
        <v>#DIV/0!</v>
      </c>
      <c r="CZ88" s="104" t="str">
        <f t="shared" si="74"/>
        <v>V</v>
      </c>
      <c r="DA88" s="8"/>
      <c r="DB88" s="176">
        <v>6.4000000000000003E-3</v>
      </c>
      <c r="DC88" s="177" t="str">
        <f t="shared" si="83"/>
        <v>V</v>
      </c>
      <c r="DD88" s="223" t="e">
        <f t="shared" si="50"/>
        <v>#DIV/0!</v>
      </c>
      <c r="DE88" s="177" t="str">
        <f t="shared" si="84"/>
        <v>V</v>
      </c>
    </row>
    <row r="89" spans="1:109" s="173" customFormat="1" ht="18" customHeight="1">
      <c r="A89" s="172"/>
      <c r="B89" s="169"/>
      <c r="C89" s="138"/>
      <c r="D89" s="138"/>
      <c r="E89" s="138"/>
      <c r="F89" s="279"/>
      <c r="G89" s="280"/>
      <c r="H89" s="280"/>
      <c r="I89" s="280"/>
      <c r="J89" s="280"/>
      <c r="K89" s="281"/>
      <c r="L89" s="293">
        <v>540</v>
      </c>
      <c r="M89" s="294"/>
      <c r="N89" s="294"/>
      <c r="O89" s="294"/>
      <c r="P89" s="295" t="s">
        <v>94</v>
      </c>
      <c r="Q89" s="295"/>
      <c r="R89" s="296"/>
      <c r="S89" s="334" t="s">
        <v>97</v>
      </c>
      <c r="T89" s="334"/>
      <c r="U89" s="334"/>
      <c r="V89" s="334"/>
      <c r="W89" s="334"/>
      <c r="X89" s="301"/>
      <c r="Y89" s="301"/>
      <c r="Z89" s="301"/>
      <c r="AA89" s="301"/>
      <c r="AB89" s="301"/>
      <c r="AC89" s="301"/>
      <c r="AD89" s="301"/>
      <c r="AE89" s="301"/>
      <c r="AF89" s="301"/>
      <c r="AG89" s="301"/>
      <c r="AH89" s="301"/>
      <c r="AI89" s="301"/>
      <c r="AJ89" s="301"/>
      <c r="AK89" s="301"/>
      <c r="AL89" s="301"/>
      <c r="AM89" s="301" t="e">
        <f t="shared" si="62"/>
        <v>#DIV/0!</v>
      </c>
      <c r="AN89" s="301"/>
      <c r="AO89" s="301"/>
      <c r="AP89" s="301"/>
      <c r="AQ89" s="301"/>
      <c r="AR89" s="301" t="e">
        <f t="shared" si="63"/>
        <v>#DIV/0!</v>
      </c>
      <c r="AS89" s="301"/>
      <c r="AT89" s="301"/>
      <c r="AU89" s="301"/>
      <c r="AV89" s="301"/>
      <c r="AW89" s="138"/>
      <c r="AX89" s="138"/>
      <c r="AY89" s="138"/>
      <c r="AZ89" s="171"/>
      <c r="BA89" s="172"/>
      <c r="BB89" s="291" t="e">
        <f>(AM89*1%)+(3*CK89)</f>
        <v>#DIV/0!</v>
      </c>
      <c r="BC89" s="291"/>
      <c r="BD89" s="291"/>
      <c r="BE89" s="291"/>
      <c r="BF89" s="291"/>
      <c r="BG89" s="367" t="e">
        <f t="shared" si="64"/>
        <v>#DIV/0!</v>
      </c>
      <c r="BH89" s="367"/>
      <c r="BI89" s="367"/>
      <c r="BJ89" s="367"/>
      <c r="BK89" s="367"/>
      <c r="BL89" s="367" t="e">
        <f t="shared" si="65"/>
        <v>#DIV/0!</v>
      </c>
      <c r="BM89" s="367"/>
      <c r="BN89" s="367"/>
      <c r="BO89" s="367"/>
      <c r="BP89" s="367"/>
      <c r="BQ89" s="330" t="e">
        <f t="shared" si="66"/>
        <v>#DIV/0!</v>
      </c>
      <c r="BR89" s="330"/>
      <c r="BS89" s="330"/>
      <c r="BT89" s="330"/>
      <c r="BU89" s="330"/>
      <c r="BV89" s="172"/>
      <c r="BX89" s="70" t="s">
        <v>132</v>
      </c>
      <c r="BY89" s="192">
        <v>7.0999999999999994E-2</v>
      </c>
      <c r="BZ89" s="1" t="str">
        <f t="shared" si="67"/>
        <v>V</v>
      </c>
      <c r="CA89" s="179">
        <v>2</v>
      </c>
      <c r="CB89" s="76">
        <f t="shared" si="68"/>
        <v>3.5499999999999997E-2</v>
      </c>
      <c r="CC89" s="4"/>
      <c r="CD89" s="70" t="s">
        <v>134</v>
      </c>
      <c r="CE89" s="5">
        <v>0</v>
      </c>
      <c r="CF89" s="1" t="str">
        <f t="shared" si="69"/>
        <v>V</v>
      </c>
      <c r="CG89" s="79">
        <f t="shared" si="7"/>
        <v>1.7320508075688772</v>
      </c>
      <c r="CH89" s="76">
        <f t="shared" si="75"/>
        <v>0</v>
      </c>
      <c r="CI89" s="4"/>
      <c r="CJ89" s="70" t="s">
        <v>93</v>
      </c>
      <c r="CK89" s="180">
        <v>0.1</v>
      </c>
      <c r="CL89" s="1" t="str">
        <f t="shared" si="70"/>
        <v>V</v>
      </c>
      <c r="CM89" s="79">
        <f t="shared" si="76"/>
        <v>3.4641016151377544</v>
      </c>
      <c r="CN89" s="76">
        <f t="shared" si="77"/>
        <v>2.8867513459481291E-2</v>
      </c>
      <c r="CO89" s="4"/>
      <c r="CP89" s="70" t="s">
        <v>71</v>
      </c>
      <c r="CQ89" s="6" t="e">
        <f t="shared" si="71"/>
        <v>#DIV/0!</v>
      </c>
      <c r="CR89" s="1" t="str">
        <f t="shared" si="72"/>
        <v>V</v>
      </c>
      <c r="CS89" s="79">
        <f t="shared" si="78"/>
        <v>1.7320508075688772</v>
      </c>
      <c r="CT89" s="84" t="e">
        <f t="shared" si="79"/>
        <v>#DIV/0!</v>
      </c>
      <c r="CU89" s="8"/>
      <c r="CV89" s="92" t="e">
        <f t="shared" si="80"/>
        <v>#DIV/0!</v>
      </c>
      <c r="CW89" s="5" t="e">
        <f t="shared" si="81"/>
        <v>#DIV/0!</v>
      </c>
      <c r="CX89" s="93" t="e">
        <f t="shared" si="73"/>
        <v>#DIV/0!</v>
      </c>
      <c r="CY89" s="110" t="e">
        <f t="shared" ref="CY89:CY90" si="94">(CV89*CX89)</f>
        <v>#DIV/0!</v>
      </c>
      <c r="CZ89" s="104" t="str">
        <f t="shared" si="74"/>
        <v>V</v>
      </c>
      <c r="DA89" s="8"/>
      <c r="DB89" s="176">
        <v>8.4000000000000005E-2</v>
      </c>
      <c r="DC89" s="177" t="str">
        <f t="shared" si="83"/>
        <v>V</v>
      </c>
      <c r="DD89" s="223" t="e">
        <f t="shared" si="50"/>
        <v>#DIV/0!</v>
      </c>
      <c r="DE89" s="177" t="str">
        <f t="shared" si="84"/>
        <v>V</v>
      </c>
    </row>
    <row r="90" spans="1:109" s="173" customFormat="1" ht="18" customHeight="1" thickBot="1">
      <c r="A90" s="172"/>
      <c r="B90" s="169"/>
      <c r="C90" s="138"/>
      <c r="D90" s="138"/>
      <c r="E90" s="138"/>
      <c r="F90" s="282"/>
      <c r="G90" s="283"/>
      <c r="H90" s="283"/>
      <c r="I90" s="283"/>
      <c r="J90" s="283"/>
      <c r="K90" s="284"/>
      <c r="L90" s="293">
        <v>540</v>
      </c>
      <c r="M90" s="294"/>
      <c r="N90" s="294"/>
      <c r="O90" s="294"/>
      <c r="P90" s="295" t="s">
        <v>94</v>
      </c>
      <c r="Q90" s="295"/>
      <c r="R90" s="296"/>
      <c r="S90" s="334" t="s">
        <v>148</v>
      </c>
      <c r="T90" s="334"/>
      <c r="U90" s="334"/>
      <c r="V90" s="334"/>
      <c r="W90" s="334"/>
      <c r="X90" s="301"/>
      <c r="Y90" s="301"/>
      <c r="Z90" s="301"/>
      <c r="AA90" s="301"/>
      <c r="AB90" s="301"/>
      <c r="AC90" s="301"/>
      <c r="AD90" s="301"/>
      <c r="AE90" s="301"/>
      <c r="AF90" s="301"/>
      <c r="AG90" s="301"/>
      <c r="AH90" s="301"/>
      <c r="AI90" s="301"/>
      <c r="AJ90" s="301"/>
      <c r="AK90" s="301"/>
      <c r="AL90" s="301"/>
      <c r="AM90" s="301" t="e">
        <f t="shared" si="62"/>
        <v>#DIV/0!</v>
      </c>
      <c r="AN90" s="301"/>
      <c r="AO90" s="301"/>
      <c r="AP90" s="301"/>
      <c r="AQ90" s="301"/>
      <c r="AR90" s="301" t="e">
        <f t="shared" si="63"/>
        <v>#DIV/0!</v>
      </c>
      <c r="AS90" s="301"/>
      <c r="AT90" s="301"/>
      <c r="AU90" s="301"/>
      <c r="AV90" s="301"/>
      <c r="AW90" s="138"/>
      <c r="AX90" s="138"/>
      <c r="AY90" s="138"/>
      <c r="AZ90" s="171"/>
      <c r="BA90" s="172"/>
      <c r="BB90" s="291" t="e">
        <f>(AM90*2%)+(3*CK90)</f>
        <v>#DIV/0!</v>
      </c>
      <c r="BC90" s="291"/>
      <c r="BD90" s="291"/>
      <c r="BE90" s="291"/>
      <c r="BF90" s="291"/>
      <c r="BG90" s="367" t="e">
        <f t="shared" si="64"/>
        <v>#DIV/0!</v>
      </c>
      <c r="BH90" s="367"/>
      <c r="BI90" s="367"/>
      <c r="BJ90" s="367"/>
      <c r="BK90" s="367"/>
      <c r="BL90" s="367" t="e">
        <f t="shared" si="65"/>
        <v>#DIV/0!</v>
      </c>
      <c r="BM90" s="367"/>
      <c r="BN90" s="367"/>
      <c r="BO90" s="367"/>
      <c r="BP90" s="367"/>
      <c r="BQ90" s="330" t="e">
        <f t="shared" si="66"/>
        <v>#DIV/0!</v>
      </c>
      <c r="BR90" s="330"/>
      <c r="BS90" s="330"/>
      <c r="BT90" s="330"/>
      <c r="BU90" s="330"/>
      <c r="BV90" s="172"/>
      <c r="BX90" s="71" t="s">
        <v>132</v>
      </c>
      <c r="BY90" s="192">
        <v>7.0999999999999994E-2</v>
      </c>
      <c r="BZ90" s="72" t="str">
        <f t="shared" si="67"/>
        <v>V</v>
      </c>
      <c r="CA90" s="182">
        <v>2</v>
      </c>
      <c r="CB90" s="77">
        <f t="shared" si="68"/>
        <v>3.5499999999999997E-2</v>
      </c>
      <c r="CC90" s="4"/>
      <c r="CD90" s="71" t="s">
        <v>134</v>
      </c>
      <c r="CE90" s="87">
        <v>0</v>
      </c>
      <c r="CF90" s="72" t="str">
        <f t="shared" si="69"/>
        <v>V</v>
      </c>
      <c r="CG90" s="80">
        <f t="shared" si="7"/>
        <v>1.7320508075688772</v>
      </c>
      <c r="CH90" s="77">
        <f t="shared" si="75"/>
        <v>0</v>
      </c>
      <c r="CI90" s="4"/>
      <c r="CJ90" s="71" t="s">
        <v>93</v>
      </c>
      <c r="CK90" s="183">
        <v>0.1</v>
      </c>
      <c r="CL90" s="72" t="str">
        <f t="shared" si="70"/>
        <v>V</v>
      </c>
      <c r="CM90" s="80">
        <f t="shared" si="76"/>
        <v>3.4641016151377544</v>
      </c>
      <c r="CN90" s="77">
        <f t="shared" si="77"/>
        <v>2.8867513459481291E-2</v>
      </c>
      <c r="CO90" s="4"/>
      <c r="CP90" s="71" t="s">
        <v>71</v>
      </c>
      <c r="CQ90" s="82" t="e">
        <f t="shared" si="71"/>
        <v>#DIV/0!</v>
      </c>
      <c r="CR90" s="72" t="str">
        <f t="shared" si="72"/>
        <v>V</v>
      </c>
      <c r="CS90" s="80">
        <f t="shared" si="78"/>
        <v>1.7320508075688772</v>
      </c>
      <c r="CT90" s="85" t="e">
        <f t="shared" si="79"/>
        <v>#DIV/0!</v>
      </c>
      <c r="CU90" s="8"/>
      <c r="CV90" s="94" t="e">
        <f t="shared" si="80"/>
        <v>#DIV/0!</v>
      </c>
      <c r="CW90" s="87" t="e">
        <f t="shared" si="81"/>
        <v>#DIV/0!</v>
      </c>
      <c r="CX90" s="95" t="e">
        <f t="shared" si="73"/>
        <v>#DIV/0!</v>
      </c>
      <c r="CY90" s="111" t="e">
        <f t="shared" si="94"/>
        <v>#DIV/0!</v>
      </c>
      <c r="CZ90" s="106" t="str">
        <f t="shared" si="74"/>
        <v>V</v>
      </c>
      <c r="DA90" s="8"/>
      <c r="DB90" s="176">
        <v>8.4000000000000005E-2</v>
      </c>
      <c r="DC90" s="177" t="str">
        <f t="shared" si="83"/>
        <v>V</v>
      </c>
      <c r="DD90" s="223" t="e">
        <f t="shared" si="50"/>
        <v>#DIV/0!</v>
      </c>
      <c r="DE90" s="177" t="str">
        <f t="shared" si="84"/>
        <v>V</v>
      </c>
    </row>
    <row r="91" spans="1:109" s="142" customFormat="1" ht="14.25" thickBot="1">
      <c r="A91" s="135"/>
      <c r="B91" s="165"/>
      <c r="C91" s="166"/>
      <c r="D91" s="166"/>
      <c r="E91" s="166"/>
      <c r="F91" s="184"/>
      <c r="G91" s="184"/>
      <c r="H91" s="184"/>
      <c r="I91" s="184"/>
      <c r="J91" s="184"/>
      <c r="K91" s="184"/>
      <c r="L91" s="185"/>
      <c r="M91" s="185"/>
      <c r="N91" s="185"/>
      <c r="O91" s="185"/>
      <c r="P91" s="186"/>
      <c r="Q91" s="186"/>
      <c r="R91" s="186"/>
      <c r="S91" s="187"/>
      <c r="T91" s="187"/>
      <c r="U91" s="187"/>
      <c r="V91" s="187"/>
      <c r="W91" s="187"/>
      <c r="X91" s="188"/>
      <c r="Y91" s="188"/>
      <c r="Z91" s="188"/>
      <c r="AA91" s="188"/>
      <c r="AB91" s="188"/>
      <c r="AC91" s="188"/>
      <c r="AD91" s="188"/>
      <c r="AE91" s="188"/>
      <c r="AF91" s="188"/>
      <c r="AG91" s="188"/>
      <c r="AH91" s="188"/>
      <c r="AI91" s="188"/>
      <c r="AJ91" s="188"/>
      <c r="AK91" s="188"/>
      <c r="AL91" s="188"/>
      <c r="AM91" s="188"/>
      <c r="AN91" s="188"/>
      <c r="AO91" s="188"/>
      <c r="AP91" s="188"/>
      <c r="AQ91" s="188"/>
      <c r="AR91" s="188"/>
      <c r="AS91" s="188"/>
      <c r="AT91" s="188"/>
      <c r="AU91" s="188"/>
      <c r="AV91" s="188"/>
      <c r="AW91" s="166"/>
      <c r="AX91" s="166"/>
      <c r="AY91" s="166"/>
      <c r="AZ91" s="167"/>
      <c r="BA91" s="135"/>
      <c r="BB91" s="135"/>
      <c r="BC91" s="135"/>
      <c r="BD91" s="135"/>
      <c r="BE91" s="135"/>
      <c r="BF91" s="135"/>
      <c r="BG91" s="189"/>
      <c r="BH91" s="189"/>
      <c r="BI91" s="189"/>
      <c r="BJ91" s="189"/>
      <c r="BK91" s="189"/>
      <c r="BL91" s="189"/>
      <c r="BM91" s="189"/>
      <c r="BN91" s="189"/>
      <c r="BO91" s="189"/>
      <c r="BP91" s="189"/>
      <c r="BQ91" s="190"/>
      <c r="BR91" s="190"/>
      <c r="BS91" s="190"/>
      <c r="BT91" s="190"/>
      <c r="BU91" s="190"/>
      <c r="BV91" s="135"/>
      <c r="BX91" s="9"/>
      <c r="BY91" s="12"/>
      <c r="BZ91" s="10"/>
      <c r="CA91" s="9"/>
      <c r="CB91" s="11"/>
      <c r="CC91" s="11"/>
      <c r="CD91" s="9"/>
      <c r="CE91" s="12"/>
      <c r="CF91" s="10"/>
      <c r="CG91" s="13"/>
      <c r="CH91" s="11"/>
      <c r="CI91" s="11"/>
      <c r="CJ91" s="9"/>
      <c r="CK91" s="9"/>
      <c r="CL91" s="10"/>
      <c r="CM91" s="13"/>
      <c r="CN91" s="11"/>
      <c r="CO91" s="11"/>
      <c r="CP91" s="9"/>
      <c r="CQ91" s="14"/>
      <c r="CR91" s="10"/>
      <c r="CS91" s="13"/>
      <c r="CT91" s="14"/>
      <c r="CU91" s="15"/>
      <c r="CV91" s="11"/>
      <c r="CW91" s="12"/>
      <c r="CX91" s="16"/>
      <c r="CY91" s="17"/>
      <c r="CZ91" s="18"/>
      <c r="DA91" s="15"/>
    </row>
    <row r="92" spans="1:109" s="7" customFormat="1" ht="12.75" customHeight="1" thickBot="1">
      <c r="A92" s="168"/>
      <c r="B92" s="169"/>
      <c r="C92" s="138"/>
      <c r="D92" s="137"/>
      <c r="E92" s="138"/>
      <c r="F92" s="170" t="s">
        <v>98</v>
      </c>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71"/>
      <c r="BA92" s="168"/>
      <c r="BB92" s="335" t="s">
        <v>127</v>
      </c>
      <c r="BC92" s="335"/>
      <c r="BD92" s="335"/>
      <c r="BE92" s="335"/>
      <c r="BF92" s="335"/>
      <c r="BG92" s="335"/>
      <c r="BH92" s="335"/>
      <c r="BI92" s="335"/>
      <c r="BJ92" s="335"/>
      <c r="BK92" s="335"/>
      <c r="BL92" s="335"/>
      <c r="BM92" s="335"/>
      <c r="BN92" s="335"/>
      <c r="BO92" s="335"/>
      <c r="BP92" s="335"/>
      <c r="BQ92" s="335"/>
      <c r="BR92" s="335"/>
      <c r="BS92" s="335"/>
      <c r="BT92" s="335"/>
      <c r="BU92" s="335"/>
      <c r="BV92" s="168"/>
      <c r="BX92" s="265" t="s">
        <v>70</v>
      </c>
      <c r="BY92" s="266"/>
      <c r="BZ92" s="266"/>
      <c r="CA92" s="266"/>
      <c r="CB92" s="267"/>
      <c r="CC92" s="2"/>
      <c r="CD92" s="265" t="s">
        <v>70</v>
      </c>
      <c r="CE92" s="266"/>
      <c r="CF92" s="266"/>
      <c r="CG92" s="266"/>
      <c r="CH92" s="267"/>
      <c r="CI92" s="2"/>
      <c r="CJ92" s="265" t="s">
        <v>133</v>
      </c>
      <c r="CK92" s="266"/>
      <c r="CL92" s="266"/>
      <c r="CM92" s="266"/>
      <c r="CN92" s="267"/>
      <c r="CO92" s="2"/>
      <c r="CP92" s="265" t="s">
        <v>133</v>
      </c>
      <c r="CQ92" s="266"/>
      <c r="CR92" s="266"/>
      <c r="CS92" s="266"/>
      <c r="CT92" s="267"/>
      <c r="CV92" s="265" t="s">
        <v>72</v>
      </c>
      <c r="CW92" s="266"/>
      <c r="CX92" s="266"/>
      <c r="CY92" s="266"/>
      <c r="CZ92" s="267"/>
      <c r="DB92" s="396" t="s">
        <v>119</v>
      </c>
      <c r="DC92" s="397"/>
      <c r="DD92" s="396" t="s">
        <v>120</v>
      </c>
      <c r="DE92" s="396"/>
    </row>
    <row r="93" spans="1:109" s="173" customFormat="1" ht="18" customHeight="1">
      <c r="A93" s="172"/>
      <c r="B93" s="169"/>
      <c r="C93" s="138"/>
      <c r="D93" s="138"/>
      <c r="E93" s="138"/>
      <c r="F93" s="289" t="s">
        <v>27</v>
      </c>
      <c r="G93" s="289"/>
      <c r="H93" s="289"/>
      <c r="I93" s="289"/>
      <c r="J93" s="289"/>
      <c r="K93" s="289"/>
      <c r="L93" s="289" t="s">
        <v>28</v>
      </c>
      <c r="M93" s="289"/>
      <c r="N93" s="289"/>
      <c r="O93" s="289"/>
      <c r="P93" s="289"/>
      <c r="Q93" s="289"/>
      <c r="R93" s="289"/>
      <c r="S93" s="289" t="s">
        <v>73</v>
      </c>
      <c r="T93" s="289"/>
      <c r="U93" s="289"/>
      <c r="V93" s="289"/>
      <c r="W93" s="289"/>
      <c r="X93" s="289" t="s">
        <v>74</v>
      </c>
      <c r="Y93" s="289"/>
      <c r="Z93" s="289"/>
      <c r="AA93" s="289"/>
      <c r="AB93" s="289"/>
      <c r="AC93" s="289"/>
      <c r="AD93" s="289"/>
      <c r="AE93" s="289"/>
      <c r="AF93" s="289"/>
      <c r="AG93" s="289"/>
      <c r="AH93" s="289"/>
      <c r="AI93" s="289"/>
      <c r="AJ93" s="289"/>
      <c r="AK93" s="289"/>
      <c r="AL93" s="289"/>
      <c r="AM93" s="289" t="s">
        <v>75</v>
      </c>
      <c r="AN93" s="289"/>
      <c r="AO93" s="289"/>
      <c r="AP93" s="289"/>
      <c r="AQ93" s="289"/>
      <c r="AR93" s="289" t="s">
        <v>29</v>
      </c>
      <c r="AS93" s="289"/>
      <c r="AT93" s="289"/>
      <c r="AU93" s="289"/>
      <c r="AV93" s="289"/>
      <c r="AW93" s="138"/>
      <c r="AX93" s="138"/>
      <c r="AY93" s="138"/>
      <c r="AZ93" s="171"/>
      <c r="BA93" s="172"/>
      <c r="BB93" s="289" t="s">
        <v>76</v>
      </c>
      <c r="BC93" s="289"/>
      <c r="BD93" s="289"/>
      <c r="BE93" s="289"/>
      <c r="BF93" s="289"/>
      <c r="BG93" s="289" t="s">
        <v>77</v>
      </c>
      <c r="BH93" s="289"/>
      <c r="BI93" s="289"/>
      <c r="BJ93" s="289"/>
      <c r="BK93" s="289"/>
      <c r="BL93" s="289" t="s">
        <v>78</v>
      </c>
      <c r="BM93" s="289"/>
      <c r="BN93" s="289"/>
      <c r="BO93" s="289"/>
      <c r="BP93" s="289"/>
      <c r="BQ93" s="289" t="s">
        <v>79</v>
      </c>
      <c r="BR93" s="289"/>
      <c r="BS93" s="289"/>
      <c r="BT93" s="289"/>
      <c r="BU93" s="289"/>
      <c r="BV93" s="172"/>
      <c r="BX93" s="272" t="s">
        <v>80</v>
      </c>
      <c r="BY93" s="268" t="s">
        <v>116</v>
      </c>
      <c r="BZ93" s="268" t="s">
        <v>81</v>
      </c>
      <c r="CA93" s="274" t="s">
        <v>82</v>
      </c>
      <c r="CB93" s="270" t="s">
        <v>83</v>
      </c>
      <c r="CC93" s="3"/>
      <c r="CD93" s="272" t="s">
        <v>80</v>
      </c>
      <c r="CE93" s="268" t="s">
        <v>116</v>
      </c>
      <c r="CF93" s="268" t="s">
        <v>81</v>
      </c>
      <c r="CG93" s="274" t="s">
        <v>82</v>
      </c>
      <c r="CH93" s="270" t="s">
        <v>83</v>
      </c>
      <c r="CI93" s="3"/>
      <c r="CJ93" s="272" t="s">
        <v>80</v>
      </c>
      <c r="CK93" s="268" t="s">
        <v>116</v>
      </c>
      <c r="CL93" s="268" t="s">
        <v>81</v>
      </c>
      <c r="CM93" s="274" t="s">
        <v>82</v>
      </c>
      <c r="CN93" s="270" t="s">
        <v>83</v>
      </c>
      <c r="CO93" s="3"/>
      <c r="CP93" s="272" t="s">
        <v>80</v>
      </c>
      <c r="CQ93" s="268" t="s">
        <v>116</v>
      </c>
      <c r="CR93" s="268" t="s">
        <v>81</v>
      </c>
      <c r="CS93" s="274" t="s">
        <v>82</v>
      </c>
      <c r="CT93" s="270" t="s">
        <v>83</v>
      </c>
      <c r="CU93" s="8"/>
      <c r="CV93" s="118" t="s">
        <v>84</v>
      </c>
      <c r="CW93" s="99" t="s">
        <v>85</v>
      </c>
      <c r="CX93" s="120" t="s">
        <v>86</v>
      </c>
      <c r="CY93" s="272" t="s">
        <v>87</v>
      </c>
      <c r="CZ93" s="364"/>
      <c r="DA93" s="8"/>
      <c r="DB93" s="396"/>
      <c r="DC93" s="397"/>
      <c r="DD93" s="396"/>
      <c r="DE93" s="396"/>
    </row>
    <row r="94" spans="1:109" s="173" customFormat="1" ht="18" customHeight="1" thickBot="1">
      <c r="A94" s="172"/>
      <c r="B94" s="169"/>
      <c r="C94" s="138"/>
      <c r="D94" s="138"/>
      <c r="E94" s="138"/>
      <c r="F94" s="289"/>
      <c r="G94" s="289"/>
      <c r="H94" s="289"/>
      <c r="I94" s="289"/>
      <c r="J94" s="289"/>
      <c r="K94" s="289"/>
      <c r="L94" s="289"/>
      <c r="M94" s="289"/>
      <c r="N94" s="289"/>
      <c r="O94" s="289"/>
      <c r="P94" s="289"/>
      <c r="Q94" s="289"/>
      <c r="R94" s="289"/>
      <c r="S94" s="289"/>
      <c r="T94" s="289"/>
      <c r="U94" s="289"/>
      <c r="V94" s="289"/>
      <c r="W94" s="289"/>
      <c r="X94" s="289">
        <v>1</v>
      </c>
      <c r="Y94" s="289"/>
      <c r="Z94" s="289"/>
      <c r="AA94" s="289"/>
      <c r="AB94" s="289"/>
      <c r="AC94" s="289">
        <v>2</v>
      </c>
      <c r="AD94" s="289"/>
      <c r="AE94" s="289"/>
      <c r="AF94" s="289"/>
      <c r="AG94" s="289"/>
      <c r="AH94" s="289">
        <v>3</v>
      </c>
      <c r="AI94" s="289"/>
      <c r="AJ94" s="289"/>
      <c r="AK94" s="289"/>
      <c r="AL94" s="289"/>
      <c r="AM94" s="289"/>
      <c r="AN94" s="289"/>
      <c r="AO94" s="289"/>
      <c r="AP94" s="289"/>
      <c r="AQ94" s="289"/>
      <c r="AR94" s="289"/>
      <c r="AS94" s="289"/>
      <c r="AT94" s="289"/>
      <c r="AU94" s="289"/>
      <c r="AV94" s="289"/>
      <c r="AW94" s="138"/>
      <c r="AX94" s="138"/>
      <c r="AY94" s="138"/>
      <c r="AZ94" s="171"/>
      <c r="BA94" s="172"/>
      <c r="BB94" s="289"/>
      <c r="BC94" s="289"/>
      <c r="BD94" s="289"/>
      <c r="BE94" s="289"/>
      <c r="BF94" s="289"/>
      <c r="BG94" s="289"/>
      <c r="BH94" s="289"/>
      <c r="BI94" s="289"/>
      <c r="BJ94" s="289"/>
      <c r="BK94" s="289"/>
      <c r="BL94" s="289"/>
      <c r="BM94" s="289"/>
      <c r="BN94" s="289"/>
      <c r="BO94" s="289"/>
      <c r="BP94" s="289"/>
      <c r="BQ94" s="289"/>
      <c r="BR94" s="289"/>
      <c r="BS94" s="289"/>
      <c r="BT94" s="289"/>
      <c r="BU94" s="289"/>
      <c r="BV94" s="172"/>
      <c r="BX94" s="273"/>
      <c r="BY94" s="269"/>
      <c r="BZ94" s="269"/>
      <c r="CA94" s="275"/>
      <c r="CB94" s="271"/>
      <c r="CC94" s="3"/>
      <c r="CD94" s="273"/>
      <c r="CE94" s="269"/>
      <c r="CF94" s="269"/>
      <c r="CG94" s="275"/>
      <c r="CH94" s="271"/>
      <c r="CI94" s="3"/>
      <c r="CJ94" s="273"/>
      <c r="CK94" s="269"/>
      <c r="CL94" s="269"/>
      <c r="CM94" s="275"/>
      <c r="CN94" s="271"/>
      <c r="CO94" s="3"/>
      <c r="CP94" s="273"/>
      <c r="CQ94" s="269"/>
      <c r="CR94" s="269"/>
      <c r="CS94" s="275"/>
      <c r="CT94" s="271"/>
      <c r="CU94" s="8"/>
      <c r="CV94" s="119" t="s">
        <v>88</v>
      </c>
      <c r="CW94" s="100" t="s">
        <v>89</v>
      </c>
      <c r="CX94" s="121" t="s">
        <v>90</v>
      </c>
      <c r="CY94" s="273" t="s">
        <v>91</v>
      </c>
      <c r="CZ94" s="365"/>
      <c r="DA94" s="8"/>
      <c r="DB94" s="396"/>
      <c r="DC94" s="397"/>
      <c r="DD94" s="396"/>
      <c r="DE94" s="396"/>
    </row>
    <row r="95" spans="1:109" s="173" customFormat="1" ht="18" customHeight="1">
      <c r="A95" s="172"/>
      <c r="B95" s="169"/>
      <c r="C95" s="138"/>
      <c r="D95" s="138"/>
      <c r="E95" s="138"/>
      <c r="F95" s="288" t="s">
        <v>141</v>
      </c>
      <c r="G95" s="286"/>
      <c r="H95" s="286"/>
      <c r="I95" s="286"/>
      <c r="J95" s="286"/>
      <c r="K95" s="287"/>
      <c r="L95" s="293">
        <v>0</v>
      </c>
      <c r="M95" s="294"/>
      <c r="N95" s="294"/>
      <c r="O95" s="294"/>
      <c r="P95" s="295" t="s">
        <v>99</v>
      </c>
      <c r="Q95" s="295"/>
      <c r="R95" s="296"/>
      <c r="S95" s="297" t="s">
        <v>57</v>
      </c>
      <c r="T95" s="297"/>
      <c r="U95" s="297"/>
      <c r="V95" s="297"/>
      <c r="W95" s="297"/>
      <c r="X95" s="298"/>
      <c r="Y95" s="299"/>
      <c r="Z95" s="299"/>
      <c r="AA95" s="299"/>
      <c r="AB95" s="299"/>
      <c r="AC95" s="298"/>
      <c r="AD95" s="299"/>
      <c r="AE95" s="299"/>
      <c r="AF95" s="299"/>
      <c r="AG95" s="299"/>
      <c r="AH95" s="298"/>
      <c r="AI95" s="299"/>
      <c r="AJ95" s="299"/>
      <c r="AK95" s="299"/>
      <c r="AL95" s="299"/>
      <c r="AM95" s="298" t="e">
        <f>AVERAGE(X95:AL95)</f>
        <v>#DIV/0!</v>
      </c>
      <c r="AN95" s="299"/>
      <c r="AO95" s="299"/>
      <c r="AP95" s="299"/>
      <c r="AQ95" s="300"/>
      <c r="AR95" s="301" t="e">
        <f>AM95-L95</f>
        <v>#DIV/0!</v>
      </c>
      <c r="AS95" s="301"/>
      <c r="AT95" s="301"/>
      <c r="AU95" s="301"/>
      <c r="AV95" s="301"/>
      <c r="AW95" s="138"/>
      <c r="AX95" s="138"/>
      <c r="AY95" s="138"/>
      <c r="AZ95" s="171"/>
      <c r="BA95" s="172"/>
      <c r="BB95" s="301" t="e">
        <f>(AM95*0.9%)+(2*CK95)</f>
        <v>#DIV/0!</v>
      </c>
      <c r="BC95" s="301"/>
      <c r="BD95" s="301"/>
      <c r="BE95" s="301"/>
      <c r="BF95" s="301"/>
      <c r="BG95" s="301" t="e">
        <f t="shared" ref="BG95:BG101" si="95">L95+BB95</f>
        <v>#DIV/0!</v>
      </c>
      <c r="BH95" s="301"/>
      <c r="BI95" s="301"/>
      <c r="BJ95" s="301"/>
      <c r="BK95" s="301"/>
      <c r="BL95" s="301" t="e">
        <f t="shared" ref="BL95:BL101" si="96">L95-BB95</f>
        <v>#DIV/0!</v>
      </c>
      <c r="BM95" s="301"/>
      <c r="BN95" s="301"/>
      <c r="BO95" s="301"/>
      <c r="BP95" s="301"/>
      <c r="BQ95" s="330" t="e">
        <f t="shared" ref="BQ95:BQ101" si="97">IF(AND(AM95&lt;=BG95,AM95&gt;=BL95),"PASS","FAIL")</f>
        <v>#DIV/0!</v>
      </c>
      <c r="BR95" s="330"/>
      <c r="BS95" s="330"/>
      <c r="BT95" s="330"/>
      <c r="BU95" s="330"/>
      <c r="BV95" s="172"/>
      <c r="BX95" s="68" t="s">
        <v>132</v>
      </c>
      <c r="BY95" s="86">
        <v>8.1999999999999998E-4</v>
      </c>
      <c r="BZ95" s="69" t="str">
        <f t="shared" ref="BZ95:BZ101" si="98">P95</f>
        <v>Ω</v>
      </c>
      <c r="CA95" s="191">
        <v>2</v>
      </c>
      <c r="CB95" s="75">
        <f t="shared" ref="CB95:CB96" si="99">BY95/CA95</f>
        <v>4.0999999999999999E-4</v>
      </c>
      <c r="CC95" s="4"/>
      <c r="CD95" s="68" t="s">
        <v>134</v>
      </c>
      <c r="CE95" s="86">
        <v>0</v>
      </c>
      <c r="CF95" s="69" t="str">
        <f t="shared" ref="CF95:CF101" si="100">BZ95</f>
        <v>Ω</v>
      </c>
      <c r="CG95" s="78">
        <f t="shared" ref="CG95:CG101" si="101">SQRT(3)</f>
        <v>1.7320508075688772</v>
      </c>
      <c r="CH95" s="75">
        <f t="shared" ref="CH95:CH101" si="102">CE95/CG95</f>
        <v>0</v>
      </c>
      <c r="CI95" s="4"/>
      <c r="CJ95" s="68" t="s">
        <v>93</v>
      </c>
      <c r="CK95" s="175">
        <v>0.1</v>
      </c>
      <c r="CL95" s="69" t="str">
        <f t="shared" ref="CL95:CL101" si="103">P95</f>
        <v>Ω</v>
      </c>
      <c r="CM95" s="78">
        <f>SQRT(12)</f>
        <v>3.4641016151377544</v>
      </c>
      <c r="CN95" s="75">
        <f>CK95/CM95</f>
        <v>2.8867513459481291E-2</v>
      </c>
      <c r="CO95" s="4"/>
      <c r="CP95" s="68" t="s">
        <v>71</v>
      </c>
      <c r="CQ95" s="81" t="e">
        <f t="shared" ref="CQ95:CQ101" si="104">STDEV(X95:AL95)</f>
        <v>#DIV/0!</v>
      </c>
      <c r="CR95" s="69" t="str">
        <f t="shared" ref="CR95:CR101" si="105">P95</f>
        <v>Ω</v>
      </c>
      <c r="CS95" s="78">
        <f>SQRT(3)</f>
        <v>1.7320508075688772</v>
      </c>
      <c r="CT95" s="83" t="e">
        <f>CQ95/CS95</f>
        <v>#DIV/0!</v>
      </c>
      <c r="CU95" s="8"/>
      <c r="CV95" s="90" t="e">
        <f>SQRT(SUMSQ(CT95,CN95,CH95,CB95))</f>
        <v>#DIV/0!</v>
      </c>
      <c r="CW95" s="86" t="e">
        <f>(CV95^4)/(((CT95^4)/2)+((CN95^4)/200)+((CH95^4)/200)+((CB95^4)/200))</f>
        <v>#DIV/0!</v>
      </c>
      <c r="CX95" s="112" t="e">
        <f t="shared" ref="CX95:CX96" si="106">ROUND(TINV(0.05,CW95),0)</f>
        <v>#DIV/0!</v>
      </c>
      <c r="CY95" s="101" t="e">
        <f>(CV95*CX95)</f>
        <v>#DIV/0!</v>
      </c>
      <c r="CZ95" s="102" t="str">
        <f t="shared" ref="CZ95:CZ101" si="107">P95</f>
        <v>Ω</v>
      </c>
      <c r="DA95" s="8"/>
      <c r="DB95" s="176">
        <v>7.7999999999999996E-3</v>
      </c>
      <c r="DC95" s="177" t="str">
        <f>CZ95</f>
        <v>Ω</v>
      </c>
      <c r="DD95" s="223" t="e">
        <f t="shared" ref="DD95:DD101" si="108">MAX(CY95,DB95)</f>
        <v>#DIV/0!</v>
      </c>
      <c r="DE95" s="177" t="str">
        <f>DC95</f>
        <v>Ω</v>
      </c>
    </row>
    <row r="96" spans="1:109" s="173" customFormat="1" ht="18" customHeight="1">
      <c r="A96" s="172"/>
      <c r="B96" s="169"/>
      <c r="C96" s="138"/>
      <c r="D96" s="138"/>
      <c r="E96" s="138"/>
      <c r="F96" s="288"/>
      <c r="G96" s="286"/>
      <c r="H96" s="286"/>
      <c r="I96" s="286"/>
      <c r="J96" s="286"/>
      <c r="K96" s="287"/>
      <c r="L96" s="293">
        <f>600*90%</f>
        <v>540</v>
      </c>
      <c r="M96" s="294"/>
      <c r="N96" s="294"/>
      <c r="O96" s="294"/>
      <c r="P96" s="295" t="s">
        <v>99</v>
      </c>
      <c r="Q96" s="295"/>
      <c r="R96" s="296"/>
      <c r="S96" s="297" t="s">
        <v>57</v>
      </c>
      <c r="T96" s="297"/>
      <c r="U96" s="297"/>
      <c r="V96" s="297"/>
      <c r="W96" s="297"/>
      <c r="X96" s="298"/>
      <c r="Y96" s="299"/>
      <c r="Z96" s="299"/>
      <c r="AA96" s="299"/>
      <c r="AB96" s="299"/>
      <c r="AC96" s="298"/>
      <c r="AD96" s="299"/>
      <c r="AE96" s="299"/>
      <c r="AF96" s="299"/>
      <c r="AG96" s="299"/>
      <c r="AH96" s="298"/>
      <c r="AI96" s="299"/>
      <c r="AJ96" s="299"/>
      <c r="AK96" s="299"/>
      <c r="AL96" s="299"/>
      <c r="AM96" s="301" t="e">
        <f t="shared" ref="AM96:AM101" si="109">AVERAGE(X96:AL96)</f>
        <v>#DIV/0!</v>
      </c>
      <c r="AN96" s="301"/>
      <c r="AO96" s="301"/>
      <c r="AP96" s="301"/>
      <c r="AQ96" s="301"/>
      <c r="AR96" s="301" t="e">
        <f t="shared" ref="AR96:AR101" si="110">AM96-L96</f>
        <v>#DIV/0!</v>
      </c>
      <c r="AS96" s="301"/>
      <c r="AT96" s="301"/>
      <c r="AU96" s="301"/>
      <c r="AV96" s="301"/>
      <c r="AW96" s="138"/>
      <c r="AX96" s="138"/>
      <c r="AY96" s="138"/>
      <c r="AZ96" s="171"/>
      <c r="BA96" s="172"/>
      <c r="BB96" s="301" t="e">
        <f>(AM96*0.9%)+(2*CK96)</f>
        <v>#DIV/0!</v>
      </c>
      <c r="BC96" s="301"/>
      <c r="BD96" s="301"/>
      <c r="BE96" s="301"/>
      <c r="BF96" s="301"/>
      <c r="BG96" s="301" t="e">
        <f t="shared" si="95"/>
        <v>#DIV/0!</v>
      </c>
      <c r="BH96" s="301"/>
      <c r="BI96" s="301"/>
      <c r="BJ96" s="301"/>
      <c r="BK96" s="301"/>
      <c r="BL96" s="301" t="e">
        <f t="shared" si="96"/>
        <v>#DIV/0!</v>
      </c>
      <c r="BM96" s="301"/>
      <c r="BN96" s="301"/>
      <c r="BO96" s="301"/>
      <c r="BP96" s="301"/>
      <c r="BQ96" s="330" t="e">
        <f t="shared" si="97"/>
        <v>#DIV/0!</v>
      </c>
      <c r="BR96" s="330"/>
      <c r="BS96" s="330"/>
      <c r="BT96" s="330"/>
      <c r="BU96" s="330"/>
      <c r="BV96" s="172"/>
      <c r="BX96" s="70" t="s">
        <v>132</v>
      </c>
      <c r="BY96" s="178">
        <v>8.9999999999999993E-3</v>
      </c>
      <c r="BZ96" s="1" t="str">
        <f t="shared" si="98"/>
        <v>Ω</v>
      </c>
      <c r="CA96" s="179">
        <v>2</v>
      </c>
      <c r="CB96" s="76">
        <f t="shared" si="99"/>
        <v>4.4999999999999997E-3</v>
      </c>
      <c r="CC96" s="4"/>
      <c r="CD96" s="70" t="s">
        <v>134</v>
      </c>
      <c r="CE96" s="5">
        <v>0</v>
      </c>
      <c r="CF96" s="1" t="str">
        <f t="shared" si="100"/>
        <v>Ω</v>
      </c>
      <c r="CG96" s="79">
        <f t="shared" si="101"/>
        <v>1.7320508075688772</v>
      </c>
      <c r="CH96" s="76">
        <f t="shared" si="102"/>
        <v>0</v>
      </c>
      <c r="CI96" s="4"/>
      <c r="CJ96" s="70" t="s">
        <v>93</v>
      </c>
      <c r="CK96" s="180">
        <v>0.1</v>
      </c>
      <c r="CL96" s="1" t="str">
        <f t="shared" si="103"/>
        <v>Ω</v>
      </c>
      <c r="CM96" s="79">
        <f t="shared" ref="CM96:CM101" si="111">SQRT(12)</f>
        <v>3.4641016151377544</v>
      </c>
      <c r="CN96" s="76">
        <f t="shared" ref="CN96:CN101" si="112">CK96/CM96</f>
        <v>2.8867513459481291E-2</v>
      </c>
      <c r="CO96" s="4"/>
      <c r="CP96" s="70" t="s">
        <v>71</v>
      </c>
      <c r="CQ96" s="6" t="e">
        <f t="shared" si="104"/>
        <v>#DIV/0!</v>
      </c>
      <c r="CR96" s="1" t="str">
        <f t="shared" si="105"/>
        <v>Ω</v>
      </c>
      <c r="CS96" s="79">
        <f t="shared" ref="CS96:CS101" si="113">SQRT(3)</f>
        <v>1.7320508075688772</v>
      </c>
      <c r="CT96" s="84" t="e">
        <f t="shared" ref="CT96:CT101" si="114">CQ96/CS96</f>
        <v>#DIV/0!</v>
      </c>
      <c r="CU96" s="8"/>
      <c r="CV96" s="92" t="e">
        <f t="shared" ref="CV96:CV101" si="115">SQRT(SUMSQ(CT96,CN96,CH96,CB96))</f>
        <v>#DIV/0!</v>
      </c>
      <c r="CW96" s="5" t="e">
        <f t="shared" ref="CW96:CW101" si="116">(CV96^4)/(((CT96^4)/2)+((CN96^4)/200)+((CH96^4)/200)+((CB96^4)/200))</f>
        <v>#DIV/0!</v>
      </c>
      <c r="CX96" s="107" t="e">
        <f t="shared" si="106"/>
        <v>#DIV/0!</v>
      </c>
      <c r="CY96" s="103" t="e">
        <f t="shared" ref="CY96" si="117">(CV96*CX96)</f>
        <v>#DIV/0!</v>
      </c>
      <c r="CZ96" s="104" t="str">
        <f t="shared" si="107"/>
        <v>Ω</v>
      </c>
      <c r="DA96" s="8"/>
      <c r="DB96" s="176">
        <v>2.3E-2</v>
      </c>
      <c r="DC96" s="177" t="str">
        <f t="shared" ref="DC96:DC99" si="118">CZ96</f>
        <v>Ω</v>
      </c>
      <c r="DD96" s="223" t="e">
        <f t="shared" si="108"/>
        <v>#DIV/0!</v>
      </c>
      <c r="DE96" s="177" t="str">
        <f t="shared" ref="DE96:DE99" si="119">DC96</f>
        <v>Ω</v>
      </c>
    </row>
    <row r="97" spans="1:109" s="173" customFormat="1" ht="18" customHeight="1">
      <c r="A97" s="172"/>
      <c r="B97" s="169"/>
      <c r="C97" s="138"/>
      <c r="D97" s="138"/>
      <c r="E97" s="138"/>
      <c r="F97" s="288" t="s">
        <v>142</v>
      </c>
      <c r="G97" s="286"/>
      <c r="H97" s="286"/>
      <c r="I97" s="286"/>
      <c r="J97" s="286"/>
      <c r="K97" s="287"/>
      <c r="L97" s="293">
        <f>6*90%</f>
        <v>5.4</v>
      </c>
      <c r="M97" s="294"/>
      <c r="N97" s="294"/>
      <c r="O97" s="294"/>
      <c r="P97" s="295" t="s">
        <v>100</v>
      </c>
      <c r="Q97" s="295"/>
      <c r="R97" s="296"/>
      <c r="S97" s="297" t="s">
        <v>57</v>
      </c>
      <c r="T97" s="297"/>
      <c r="U97" s="297"/>
      <c r="V97" s="297"/>
      <c r="W97" s="297"/>
      <c r="X97" s="331"/>
      <c r="Y97" s="332"/>
      <c r="Z97" s="332"/>
      <c r="AA97" s="332"/>
      <c r="AB97" s="332"/>
      <c r="AC97" s="331"/>
      <c r="AD97" s="332"/>
      <c r="AE97" s="332"/>
      <c r="AF97" s="332"/>
      <c r="AG97" s="332"/>
      <c r="AH97" s="331"/>
      <c r="AI97" s="332"/>
      <c r="AJ97" s="332"/>
      <c r="AK97" s="332"/>
      <c r="AL97" s="332"/>
      <c r="AM97" s="291" t="e">
        <f t="shared" si="109"/>
        <v>#DIV/0!</v>
      </c>
      <c r="AN97" s="291"/>
      <c r="AO97" s="291"/>
      <c r="AP97" s="291"/>
      <c r="AQ97" s="291"/>
      <c r="AR97" s="291" t="e">
        <f t="shared" si="110"/>
        <v>#DIV/0!</v>
      </c>
      <c r="AS97" s="291"/>
      <c r="AT97" s="291"/>
      <c r="AU97" s="291"/>
      <c r="AV97" s="291"/>
      <c r="AW97" s="138"/>
      <c r="AX97" s="138"/>
      <c r="AY97" s="138"/>
      <c r="AZ97" s="171"/>
      <c r="BA97" s="172"/>
      <c r="BB97" s="301" t="e">
        <f>(AM97*0.9%)+(1*CK97)</f>
        <v>#DIV/0!</v>
      </c>
      <c r="BC97" s="301"/>
      <c r="BD97" s="301"/>
      <c r="BE97" s="301"/>
      <c r="BF97" s="301"/>
      <c r="BG97" s="291" t="e">
        <f t="shared" si="95"/>
        <v>#DIV/0!</v>
      </c>
      <c r="BH97" s="291"/>
      <c r="BI97" s="291"/>
      <c r="BJ97" s="291"/>
      <c r="BK97" s="291"/>
      <c r="BL97" s="291" t="e">
        <f t="shared" si="96"/>
        <v>#DIV/0!</v>
      </c>
      <c r="BM97" s="291"/>
      <c r="BN97" s="291"/>
      <c r="BO97" s="291"/>
      <c r="BP97" s="291"/>
      <c r="BQ97" s="330" t="e">
        <f t="shared" si="97"/>
        <v>#DIV/0!</v>
      </c>
      <c r="BR97" s="330"/>
      <c r="BS97" s="330"/>
      <c r="BT97" s="330"/>
      <c r="BU97" s="330"/>
      <c r="BV97" s="172"/>
      <c r="BX97" s="70" t="s">
        <v>132</v>
      </c>
      <c r="BY97" s="5">
        <v>8.0000000000000007E-5</v>
      </c>
      <c r="BZ97" s="1" t="str">
        <f t="shared" si="98"/>
        <v>kΩ</v>
      </c>
      <c r="CA97" s="179">
        <v>2</v>
      </c>
      <c r="CB97" s="76">
        <f t="shared" ref="CB97" si="120">BY97/CA97</f>
        <v>4.0000000000000003E-5</v>
      </c>
      <c r="CC97" s="4"/>
      <c r="CD97" s="70" t="s">
        <v>134</v>
      </c>
      <c r="CE97" s="5">
        <v>0</v>
      </c>
      <c r="CF97" s="1" t="str">
        <f t="shared" si="100"/>
        <v>kΩ</v>
      </c>
      <c r="CG97" s="79">
        <f t="shared" si="101"/>
        <v>1.7320508075688772</v>
      </c>
      <c r="CH97" s="76">
        <f t="shared" si="102"/>
        <v>0</v>
      </c>
      <c r="CI97" s="4"/>
      <c r="CJ97" s="70" t="s">
        <v>93</v>
      </c>
      <c r="CK97" s="180">
        <v>1E-3</v>
      </c>
      <c r="CL97" s="1" t="str">
        <f t="shared" si="103"/>
        <v>kΩ</v>
      </c>
      <c r="CM97" s="79">
        <f t="shared" si="111"/>
        <v>3.4641016151377544</v>
      </c>
      <c r="CN97" s="76">
        <f t="shared" si="112"/>
        <v>2.886751345948129E-4</v>
      </c>
      <c r="CO97" s="4"/>
      <c r="CP97" s="70" t="s">
        <v>71</v>
      </c>
      <c r="CQ97" s="6" t="e">
        <f t="shared" si="104"/>
        <v>#DIV/0!</v>
      </c>
      <c r="CR97" s="1" t="str">
        <f t="shared" si="105"/>
        <v>kΩ</v>
      </c>
      <c r="CS97" s="79">
        <f t="shared" si="113"/>
        <v>1.7320508075688772</v>
      </c>
      <c r="CT97" s="84" t="e">
        <f t="shared" si="114"/>
        <v>#DIV/0!</v>
      </c>
      <c r="CU97" s="8"/>
      <c r="CV97" s="92" t="e">
        <f t="shared" si="115"/>
        <v>#DIV/0!</v>
      </c>
      <c r="CW97" s="5" t="e">
        <f t="shared" si="116"/>
        <v>#DIV/0!</v>
      </c>
      <c r="CX97" s="107" t="e">
        <f t="shared" ref="CX97" si="121">ROUND(TINV(0.05,CW97),0)</f>
        <v>#DIV/0!</v>
      </c>
      <c r="CY97" s="109" t="e">
        <f t="shared" ref="CY97" si="122">(CV97*CX97)</f>
        <v>#DIV/0!</v>
      </c>
      <c r="CZ97" s="104" t="str">
        <f t="shared" si="107"/>
        <v>kΩ</v>
      </c>
      <c r="DA97" s="8"/>
      <c r="DB97" s="176">
        <v>2.3000000000000001E-4</v>
      </c>
      <c r="DC97" s="177" t="str">
        <f t="shared" si="118"/>
        <v>kΩ</v>
      </c>
      <c r="DD97" s="223" t="e">
        <f t="shared" si="108"/>
        <v>#DIV/0!</v>
      </c>
      <c r="DE97" s="177" t="str">
        <f t="shared" si="119"/>
        <v>kΩ</v>
      </c>
    </row>
    <row r="98" spans="1:109" s="173" customFormat="1" ht="18" customHeight="1">
      <c r="A98" s="172"/>
      <c r="B98" s="169"/>
      <c r="C98" s="138"/>
      <c r="D98" s="138"/>
      <c r="E98" s="138"/>
      <c r="F98" s="288" t="s">
        <v>143</v>
      </c>
      <c r="G98" s="286"/>
      <c r="H98" s="286"/>
      <c r="I98" s="286"/>
      <c r="J98" s="286"/>
      <c r="K98" s="287"/>
      <c r="L98" s="293">
        <f>60*90%</f>
        <v>54</v>
      </c>
      <c r="M98" s="294"/>
      <c r="N98" s="294"/>
      <c r="O98" s="294"/>
      <c r="P98" s="295" t="s">
        <v>100</v>
      </c>
      <c r="Q98" s="295"/>
      <c r="R98" s="296"/>
      <c r="S98" s="297" t="s">
        <v>57</v>
      </c>
      <c r="T98" s="297"/>
      <c r="U98" s="297"/>
      <c r="V98" s="297"/>
      <c r="W98" s="297"/>
      <c r="X98" s="336"/>
      <c r="Y98" s="337"/>
      <c r="Z98" s="337"/>
      <c r="AA98" s="337"/>
      <c r="AB98" s="338"/>
      <c r="AC98" s="336"/>
      <c r="AD98" s="337"/>
      <c r="AE98" s="337"/>
      <c r="AF98" s="337"/>
      <c r="AG98" s="338"/>
      <c r="AH98" s="336"/>
      <c r="AI98" s="337"/>
      <c r="AJ98" s="337"/>
      <c r="AK98" s="337"/>
      <c r="AL98" s="338"/>
      <c r="AM98" s="336" t="e">
        <f t="shared" si="109"/>
        <v>#DIV/0!</v>
      </c>
      <c r="AN98" s="337"/>
      <c r="AO98" s="337"/>
      <c r="AP98" s="337"/>
      <c r="AQ98" s="338"/>
      <c r="AR98" s="292" t="e">
        <f t="shared" si="110"/>
        <v>#DIV/0!</v>
      </c>
      <c r="AS98" s="292"/>
      <c r="AT98" s="292"/>
      <c r="AU98" s="292"/>
      <c r="AV98" s="292"/>
      <c r="AW98" s="138"/>
      <c r="AX98" s="138"/>
      <c r="AY98" s="138"/>
      <c r="AZ98" s="171"/>
      <c r="BA98" s="172"/>
      <c r="BB98" s="301" t="e">
        <f t="shared" ref="BB98:BB99" si="123">(AM98*0.9%)+(1*CK98)</f>
        <v>#DIV/0!</v>
      </c>
      <c r="BC98" s="301"/>
      <c r="BD98" s="301"/>
      <c r="BE98" s="301"/>
      <c r="BF98" s="301"/>
      <c r="BG98" s="301" t="e">
        <f t="shared" si="95"/>
        <v>#DIV/0!</v>
      </c>
      <c r="BH98" s="301"/>
      <c r="BI98" s="301"/>
      <c r="BJ98" s="301"/>
      <c r="BK98" s="301"/>
      <c r="BL98" s="301" t="e">
        <f t="shared" si="96"/>
        <v>#DIV/0!</v>
      </c>
      <c r="BM98" s="301"/>
      <c r="BN98" s="301"/>
      <c r="BO98" s="301"/>
      <c r="BP98" s="301"/>
      <c r="BQ98" s="330" t="e">
        <f t="shared" si="97"/>
        <v>#DIV/0!</v>
      </c>
      <c r="BR98" s="330"/>
      <c r="BS98" s="330"/>
      <c r="BT98" s="330"/>
      <c r="BU98" s="330"/>
      <c r="BV98" s="172"/>
      <c r="BX98" s="70" t="s">
        <v>132</v>
      </c>
      <c r="BY98" s="6">
        <v>8.0000000000000004E-4</v>
      </c>
      <c r="BZ98" s="1" t="str">
        <f t="shared" si="98"/>
        <v>kΩ</v>
      </c>
      <c r="CA98" s="179">
        <v>2</v>
      </c>
      <c r="CB98" s="76">
        <f t="shared" ref="CB98:CB101" si="124">BY98/CA98</f>
        <v>4.0000000000000002E-4</v>
      </c>
      <c r="CC98" s="4"/>
      <c r="CD98" s="70" t="s">
        <v>134</v>
      </c>
      <c r="CE98" s="5">
        <v>0</v>
      </c>
      <c r="CF98" s="1" t="str">
        <f t="shared" si="100"/>
        <v>kΩ</v>
      </c>
      <c r="CG98" s="79">
        <f t="shared" si="101"/>
        <v>1.7320508075688772</v>
      </c>
      <c r="CH98" s="76">
        <f t="shared" si="102"/>
        <v>0</v>
      </c>
      <c r="CI98" s="4"/>
      <c r="CJ98" s="70" t="s">
        <v>93</v>
      </c>
      <c r="CK98" s="180">
        <v>0.01</v>
      </c>
      <c r="CL98" s="1" t="str">
        <f t="shared" si="103"/>
        <v>kΩ</v>
      </c>
      <c r="CM98" s="79">
        <f t="shared" si="111"/>
        <v>3.4641016151377544</v>
      </c>
      <c r="CN98" s="76">
        <f t="shared" si="112"/>
        <v>2.886751345948129E-3</v>
      </c>
      <c r="CO98" s="4"/>
      <c r="CP98" s="70" t="s">
        <v>71</v>
      </c>
      <c r="CQ98" s="6" t="e">
        <f t="shared" si="104"/>
        <v>#DIV/0!</v>
      </c>
      <c r="CR98" s="1" t="str">
        <f t="shared" si="105"/>
        <v>kΩ</v>
      </c>
      <c r="CS98" s="79">
        <f t="shared" si="113"/>
        <v>1.7320508075688772</v>
      </c>
      <c r="CT98" s="84" t="e">
        <f t="shared" si="114"/>
        <v>#DIV/0!</v>
      </c>
      <c r="CU98" s="8"/>
      <c r="CV98" s="92" t="e">
        <f t="shared" si="115"/>
        <v>#DIV/0!</v>
      </c>
      <c r="CW98" s="5" t="e">
        <f t="shared" si="116"/>
        <v>#DIV/0!</v>
      </c>
      <c r="CX98" s="107" t="e">
        <f t="shared" ref="CX98:CX101" si="125">ROUND(TINV(0.05,CW98),0)</f>
        <v>#DIV/0!</v>
      </c>
      <c r="CY98" s="108" t="e">
        <f t="shared" ref="CY98:CY99" si="126">(CV98*CX98)</f>
        <v>#DIV/0!</v>
      </c>
      <c r="CZ98" s="104" t="str">
        <f t="shared" si="107"/>
        <v>kΩ</v>
      </c>
      <c r="DA98" s="8"/>
      <c r="DB98" s="176">
        <v>1.5E-3</v>
      </c>
      <c r="DC98" s="177" t="str">
        <f t="shared" si="118"/>
        <v>kΩ</v>
      </c>
      <c r="DD98" s="223" t="e">
        <f t="shared" si="108"/>
        <v>#DIV/0!</v>
      </c>
      <c r="DE98" s="177" t="str">
        <f t="shared" si="119"/>
        <v>kΩ</v>
      </c>
    </row>
    <row r="99" spans="1:109" s="173" customFormat="1" ht="18" customHeight="1">
      <c r="A99" s="172"/>
      <c r="B99" s="169"/>
      <c r="C99" s="138"/>
      <c r="D99" s="138"/>
      <c r="E99" s="138"/>
      <c r="F99" s="288" t="s">
        <v>144</v>
      </c>
      <c r="G99" s="286"/>
      <c r="H99" s="286"/>
      <c r="I99" s="286"/>
      <c r="J99" s="286"/>
      <c r="K99" s="287"/>
      <c r="L99" s="293">
        <f>600*90%</f>
        <v>540</v>
      </c>
      <c r="M99" s="294"/>
      <c r="N99" s="294"/>
      <c r="O99" s="294"/>
      <c r="P99" s="295" t="s">
        <v>100</v>
      </c>
      <c r="Q99" s="295"/>
      <c r="R99" s="296"/>
      <c r="S99" s="297" t="s">
        <v>57</v>
      </c>
      <c r="T99" s="297"/>
      <c r="U99" s="297"/>
      <c r="V99" s="297"/>
      <c r="W99" s="297"/>
      <c r="X99" s="301"/>
      <c r="Y99" s="301"/>
      <c r="Z99" s="301"/>
      <c r="AA99" s="301"/>
      <c r="AB99" s="301"/>
      <c r="AC99" s="301"/>
      <c r="AD99" s="301"/>
      <c r="AE99" s="301"/>
      <c r="AF99" s="301"/>
      <c r="AG99" s="301"/>
      <c r="AH99" s="301"/>
      <c r="AI99" s="301"/>
      <c r="AJ99" s="301"/>
      <c r="AK99" s="301"/>
      <c r="AL99" s="301"/>
      <c r="AM99" s="301" t="e">
        <f t="shared" si="109"/>
        <v>#DIV/0!</v>
      </c>
      <c r="AN99" s="301"/>
      <c r="AO99" s="301"/>
      <c r="AP99" s="301"/>
      <c r="AQ99" s="301"/>
      <c r="AR99" s="301" t="e">
        <f t="shared" si="110"/>
        <v>#DIV/0!</v>
      </c>
      <c r="AS99" s="301"/>
      <c r="AT99" s="301"/>
      <c r="AU99" s="301"/>
      <c r="AV99" s="301"/>
      <c r="AW99" s="138"/>
      <c r="AX99" s="138"/>
      <c r="AY99" s="138"/>
      <c r="AZ99" s="171"/>
      <c r="BA99" s="172"/>
      <c r="BB99" s="301" t="e">
        <f t="shared" si="123"/>
        <v>#DIV/0!</v>
      </c>
      <c r="BC99" s="301"/>
      <c r="BD99" s="301"/>
      <c r="BE99" s="301"/>
      <c r="BF99" s="301"/>
      <c r="BG99" s="301" t="e">
        <f t="shared" si="95"/>
        <v>#DIV/0!</v>
      </c>
      <c r="BH99" s="301"/>
      <c r="BI99" s="301"/>
      <c r="BJ99" s="301"/>
      <c r="BK99" s="301"/>
      <c r="BL99" s="301" t="e">
        <f t="shared" si="96"/>
        <v>#DIV/0!</v>
      </c>
      <c r="BM99" s="301"/>
      <c r="BN99" s="301"/>
      <c r="BO99" s="301"/>
      <c r="BP99" s="301"/>
      <c r="BQ99" s="330" t="e">
        <f t="shared" si="97"/>
        <v>#DIV/0!</v>
      </c>
      <c r="BR99" s="330"/>
      <c r="BS99" s="330"/>
      <c r="BT99" s="330"/>
      <c r="BU99" s="330"/>
      <c r="BV99" s="172"/>
      <c r="BX99" s="70" t="s">
        <v>132</v>
      </c>
      <c r="BY99" s="178">
        <v>8.6E-3</v>
      </c>
      <c r="BZ99" s="1" t="str">
        <f t="shared" si="98"/>
        <v>kΩ</v>
      </c>
      <c r="CA99" s="179">
        <v>2</v>
      </c>
      <c r="CB99" s="76">
        <f t="shared" si="124"/>
        <v>4.3E-3</v>
      </c>
      <c r="CC99" s="4"/>
      <c r="CD99" s="70" t="s">
        <v>134</v>
      </c>
      <c r="CE99" s="5">
        <v>0</v>
      </c>
      <c r="CF99" s="1" t="str">
        <f t="shared" si="100"/>
        <v>kΩ</v>
      </c>
      <c r="CG99" s="79">
        <f t="shared" si="101"/>
        <v>1.7320508075688772</v>
      </c>
      <c r="CH99" s="76">
        <f t="shared" si="102"/>
        <v>0</v>
      </c>
      <c r="CI99" s="4"/>
      <c r="CJ99" s="70" t="s">
        <v>93</v>
      </c>
      <c r="CK99" s="180">
        <v>0.1</v>
      </c>
      <c r="CL99" s="1" t="str">
        <f t="shared" si="103"/>
        <v>kΩ</v>
      </c>
      <c r="CM99" s="79">
        <f t="shared" si="111"/>
        <v>3.4641016151377544</v>
      </c>
      <c r="CN99" s="76">
        <f t="shared" si="112"/>
        <v>2.8867513459481291E-2</v>
      </c>
      <c r="CO99" s="4"/>
      <c r="CP99" s="70" t="s">
        <v>71</v>
      </c>
      <c r="CQ99" s="6" t="e">
        <f t="shared" si="104"/>
        <v>#DIV/0!</v>
      </c>
      <c r="CR99" s="1" t="str">
        <f t="shared" si="105"/>
        <v>kΩ</v>
      </c>
      <c r="CS99" s="79">
        <f t="shared" si="113"/>
        <v>1.7320508075688772</v>
      </c>
      <c r="CT99" s="84" t="e">
        <f t="shared" si="114"/>
        <v>#DIV/0!</v>
      </c>
      <c r="CU99" s="8"/>
      <c r="CV99" s="92" t="e">
        <f t="shared" si="115"/>
        <v>#DIV/0!</v>
      </c>
      <c r="CW99" s="5" t="e">
        <f t="shared" si="116"/>
        <v>#DIV/0!</v>
      </c>
      <c r="CX99" s="107" t="e">
        <f t="shared" si="125"/>
        <v>#DIV/0!</v>
      </c>
      <c r="CY99" s="103" t="e">
        <f t="shared" si="126"/>
        <v>#DIV/0!</v>
      </c>
      <c r="CZ99" s="104" t="str">
        <f t="shared" si="107"/>
        <v>kΩ</v>
      </c>
      <c r="DA99" s="8"/>
      <c r="DB99" s="176">
        <v>1.6E-2</v>
      </c>
      <c r="DC99" s="177" t="str">
        <f t="shared" si="118"/>
        <v>kΩ</v>
      </c>
      <c r="DD99" s="223" t="e">
        <f t="shared" si="108"/>
        <v>#DIV/0!</v>
      </c>
      <c r="DE99" s="177" t="str">
        <f t="shared" si="119"/>
        <v>kΩ</v>
      </c>
    </row>
    <row r="100" spans="1:109" s="173" customFormat="1" ht="18" customHeight="1">
      <c r="A100" s="172"/>
      <c r="B100" s="169"/>
      <c r="C100" s="138"/>
      <c r="D100" s="138"/>
      <c r="E100" s="138"/>
      <c r="F100" s="288" t="s">
        <v>149</v>
      </c>
      <c r="G100" s="286"/>
      <c r="H100" s="286"/>
      <c r="I100" s="286"/>
      <c r="J100" s="286"/>
      <c r="K100" s="287"/>
      <c r="L100" s="293">
        <f>6*90%</f>
        <v>5.4</v>
      </c>
      <c r="M100" s="294"/>
      <c r="N100" s="294"/>
      <c r="O100" s="294"/>
      <c r="P100" s="295" t="s">
        <v>101</v>
      </c>
      <c r="Q100" s="295"/>
      <c r="R100" s="296"/>
      <c r="S100" s="297" t="s">
        <v>57</v>
      </c>
      <c r="T100" s="297"/>
      <c r="U100" s="297"/>
      <c r="V100" s="297"/>
      <c r="W100" s="297"/>
      <c r="X100" s="291"/>
      <c r="Y100" s="291"/>
      <c r="Z100" s="291"/>
      <c r="AA100" s="291"/>
      <c r="AB100" s="291"/>
      <c r="AC100" s="291"/>
      <c r="AD100" s="291"/>
      <c r="AE100" s="291"/>
      <c r="AF100" s="291"/>
      <c r="AG100" s="291"/>
      <c r="AH100" s="291"/>
      <c r="AI100" s="291"/>
      <c r="AJ100" s="291"/>
      <c r="AK100" s="291"/>
      <c r="AL100" s="291"/>
      <c r="AM100" s="291" t="e">
        <f t="shared" ref="AM100" si="127">AVERAGE(X100:AL100)</f>
        <v>#DIV/0!</v>
      </c>
      <c r="AN100" s="291"/>
      <c r="AO100" s="291"/>
      <c r="AP100" s="291"/>
      <c r="AQ100" s="291"/>
      <c r="AR100" s="291" t="e">
        <f t="shared" ref="AR100" si="128">AM100-L100</f>
        <v>#DIV/0!</v>
      </c>
      <c r="AS100" s="291"/>
      <c r="AT100" s="291"/>
      <c r="AU100" s="291"/>
      <c r="AV100" s="291"/>
      <c r="AW100" s="138"/>
      <c r="AX100" s="138"/>
      <c r="AY100" s="138"/>
      <c r="AZ100" s="171"/>
      <c r="BA100" s="172"/>
      <c r="BB100" s="301" t="e">
        <f t="shared" ref="BB100" si="129">(AM100*0.9%)+(1*CK100)</f>
        <v>#DIV/0!</v>
      </c>
      <c r="BC100" s="301"/>
      <c r="BD100" s="301"/>
      <c r="BE100" s="301"/>
      <c r="BF100" s="301"/>
      <c r="BG100" s="301" t="e">
        <f t="shared" ref="BG100" si="130">L100+BB100</f>
        <v>#DIV/0!</v>
      </c>
      <c r="BH100" s="301"/>
      <c r="BI100" s="301"/>
      <c r="BJ100" s="301"/>
      <c r="BK100" s="301"/>
      <c r="BL100" s="301" t="e">
        <f t="shared" ref="BL100" si="131">L100-BB100</f>
        <v>#DIV/0!</v>
      </c>
      <c r="BM100" s="301"/>
      <c r="BN100" s="301"/>
      <c r="BO100" s="301"/>
      <c r="BP100" s="301"/>
      <c r="BQ100" s="330" t="e">
        <f t="shared" ref="BQ100" si="132">IF(AND(AM100&lt;=BG100,AM100&gt;=BL100),"PASS","FAIL")</f>
        <v>#DIV/0!</v>
      </c>
      <c r="BR100" s="330"/>
      <c r="BS100" s="330"/>
      <c r="BT100" s="330"/>
      <c r="BU100" s="330"/>
      <c r="BV100" s="172"/>
      <c r="BX100" s="70" t="s">
        <v>132</v>
      </c>
      <c r="BY100" s="6">
        <v>1.4999999999999999E-4</v>
      </c>
      <c r="BZ100" s="1" t="str">
        <f t="shared" ref="BZ100" si="133">P100</f>
        <v>MΩ</v>
      </c>
      <c r="CA100" s="179">
        <v>2</v>
      </c>
      <c r="CB100" s="76">
        <f t="shared" ref="CB100" si="134">BY100/CA100</f>
        <v>7.4999999999999993E-5</v>
      </c>
      <c r="CC100" s="4"/>
      <c r="CD100" s="70" t="s">
        <v>134</v>
      </c>
      <c r="CE100" s="5">
        <v>0</v>
      </c>
      <c r="CF100" s="1" t="str">
        <f t="shared" ref="CF100" si="135">BZ100</f>
        <v>MΩ</v>
      </c>
      <c r="CG100" s="79">
        <f t="shared" si="101"/>
        <v>1.7320508075688772</v>
      </c>
      <c r="CH100" s="76">
        <f t="shared" ref="CH100" si="136">CE100/CG100</f>
        <v>0</v>
      </c>
      <c r="CI100" s="4"/>
      <c r="CJ100" s="70" t="s">
        <v>93</v>
      </c>
      <c r="CK100" s="180">
        <v>1E-3</v>
      </c>
      <c r="CL100" s="1" t="str">
        <f t="shared" ref="CL100" si="137">P100</f>
        <v>MΩ</v>
      </c>
      <c r="CM100" s="79">
        <f t="shared" si="111"/>
        <v>3.4641016151377544</v>
      </c>
      <c r="CN100" s="76">
        <f t="shared" ref="CN100" si="138">CK100/CM100</f>
        <v>2.886751345948129E-4</v>
      </c>
      <c r="CO100" s="4"/>
      <c r="CP100" s="70" t="s">
        <v>71</v>
      </c>
      <c r="CQ100" s="6" t="e">
        <f t="shared" ref="CQ100" si="139">STDEV(X100:AL100)</f>
        <v>#DIV/0!</v>
      </c>
      <c r="CR100" s="1" t="str">
        <f t="shared" ref="CR100" si="140">P100</f>
        <v>MΩ</v>
      </c>
      <c r="CS100" s="79">
        <f t="shared" si="113"/>
        <v>1.7320508075688772</v>
      </c>
      <c r="CT100" s="84" t="e">
        <f t="shared" ref="CT100" si="141">CQ100/CS100</f>
        <v>#DIV/0!</v>
      </c>
      <c r="CU100" s="8"/>
      <c r="CV100" s="92" t="e">
        <f t="shared" ref="CV100" si="142">SQRT(SUMSQ(CT100,CN100,CH100,CB100))</f>
        <v>#DIV/0!</v>
      </c>
      <c r="CW100" s="5" t="e">
        <f t="shared" ref="CW100" si="143">(CV100^4)/(((CT100^4)/2)+((CN100^4)/200)+((CH100^4)/200)+((CB100^4)/200))</f>
        <v>#DIV/0!</v>
      </c>
      <c r="CX100" s="107" t="e">
        <f t="shared" ref="CX100" si="144">ROUND(TINV(0.05,CW100),0)</f>
        <v>#DIV/0!</v>
      </c>
      <c r="CY100" s="103" t="e">
        <f t="shared" ref="CY100" si="145">(CV100*CX100)</f>
        <v>#DIV/0!</v>
      </c>
      <c r="CZ100" s="104" t="str">
        <f t="shared" ref="CZ100" si="146">P100</f>
        <v>MΩ</v>
      </c>
      <c r="DA100" s="8"/>
      <c r="DB100" s="176">
        <v>5.2999999999999998E-4</v>
      </c>
      <c r="DC100" s="177" t="str">
        <f t="shared" ref="DC100" si="147">CZ100</f>
        <v>MΩ</v>
      </c>
      <c r="DD100" s="223" t="e">
        <f t="shared" si="108"/>
        <v>#DIV/0!</v>
      </c>
      <c r="DE100" s="177" t="str">
        <f t="shared" ref="DE100" si="148">DC100</f>
        <v>MΩ</v>
      </c>
    </row>
    <row r="101" spans="1:109" s="173" customFormat="1" ht="18" customHeight="1" thickBot="1">
      <c r="A101" s="172"/>
      <c r="B101" s="169"/>
      <c r="C101" s="138"/>
      <c r="D101" s="138"/>
      <c r="E101" s="138"/>
      <c r="F101" s="288" t="s">
        <v>102</v>
      </c>
      <c r="G101" s="286"/>
      <c r="H101" s="286"/>
      <c r="I101" s="286"/>
      <c r="J101" s="286"/>
      <c r="K101" s="287"/>
      <c r="L101" s="293">
        <f>40*90%</f>
        <v>36</v>
      </c>
      <c r="M101" s="294"/>
      <c r="N101" s="294"/>
      <c r="O101" s="294"/>
      <c r="P101" s="295" t="s">
        <v>101</v>
      </c>
      <c r="Q101" s="295"/>
      <c r="R101" s="296"/>
      <c r="S101" s="297" t="s">
        <v>57</v>
      </c>
      <c r="T101" s="297"/>
      <c r="U101" s="297"/>
      <c r="V101" s="297"/>
      <c r="W101" s="297"/>
      <c r="X101" s="336"/>
      <c r="Y101" s="337"/>
      <c r="Z101" s="337"/>
      <c r="AA101" s="337"/>
      <c r="AB101" s="337"/>
      <c r="AC101" s="336"/>
      <c r="AD101" s="337"/>
      <c r="AE101" s="337"/>
      <c r="AF101" s="337"/>
      <c r="AG101" s="337"/>
      <c r="AH101" s="336"/>
      <c r="AI101" s="337"/>
      <c r="AJ101" s="337"/>
      <c r="AK101" s="337"/>
      <c r="AL101" s="337"/>
      <c r="AM101" s="292" t="e">
        <f t="shared" si="109"/>
        <v>#DIV/0!</v>
      </c>
      <c r="AN101" s="292"/>
      <c r="AO101" s="292"/>
      <c r="AP101" s="292"/>
      <c r="AQ101" s="292"/>
      <c r="AR101" s="292" t="e">
        <f t="shared" si="110"/>
        <v>#DIV/0!</v>
      </c>
      <c r="AS101" s="292"/>
      <c r="AT101" s="292"/>
      <c r="AU101" s="292"/>
      <c r="AV101" s="292"/>
      <c r="AW101" s="138"/>
      <c r="AX101" s="138"/>
      <c r="AY101" s="138"/>
      <c r="AZ101" s="171"/>
      <c r="BA101" s="172"/>
      <c r="BB101" s="292" t="e">
        <f>(AM101*5%)+(2*CK101)</f>
        <v>#DIV/0!</v>
      </c>
      <c r="BC101" s="292"/>
      <c r="BD101" s="292"/>
      <c r="BE101" s="292"/>
      <c r="BF101" s="292"/>
      <c r="BG101" s="301" t="e">
        <f t="shared" si="95"/>
        <v>#DIV/0!</v>
      </c>
      <c r="BH101" s="301"/>
      <c r="BI101" s="301"/>
      <c r="BJ101" s="301"/>
      <c r="BK101" s="301"/>
      <c r="BL101" s="301" t="e">
        <f t="shared" si="96"/>
        <v>#DIV/0!</v>
      </c>
      <c r="BM101" s="301"/>
      <c r="BN101" s="301"/>
      <c r="BO101" s="301"/>
      <c r="BP101" s="301"/>
      <c r="BQ101" s="330" t="e">
        <f t="shared" si="97"/>
        <v>#DIV/0!</v>
      </c>
      <c r="BR101" s="330"/>
      <c r="BS101" s="330"/>
      <c r="BT101" s="330"/>
      <c r="BU101" s="330"/>
      <c r="BV101" s="172"/>
      <c r="BX101" s="71" t="s">
        <v>132</v>
      </c>
      <c r="BY101" s="82">
        <v>5.9999999999999995E-4</v>
      </c>
      <c r="BZ101" s="72" t="str">
        <f t="shared" si="98"/>
        <v>MΩ</v>
      </c>
      <c r="CA101" s="182">
        <v>2</v>
      </c>
      <c r="CB101" s="77">
        <f t="shared" si="124"/>
        <v>2.9999999999999997E-4</v>
      </c>
      <c r="CC101" s="4"/>
      <c r="CD101" s="71" t="s">
        <v>134</v>
      </c>
      <c r="CE101" s="87">
        <v>0</v>
      </c>
      <c r="CF101" s="72" t="str">
        <f t="shared" si="100"/>
        <v>MΩ</v>
      </c>
      <c r="CG101" s="80">
        <f t="shared" si="101"/>
        <v>1.7320508075688772</v>
      </c>
      <c r="CH101" s="77">
        <f t="shared" si="102"/>
        <v>0</v>
      </c>
      <c r="CI101" s="4"/>
      <c r="CJ101" s="71" t="s">
        <v>93</v>
      </c>
      <c r="CK101" s="183">
        <v>0.01</v>
      </c>
      <c r="CL101" s="72" t="str">
        <f t="shared" si="103"/>
        <v>MΩ</v>
      </c>
      <c r="CM101" s="80">
        <f t="shared" si="111"/>
        <v>3.4641016151377544</v>
      </c>
      <c r="CN101" s="77">
        <f t="shared" si="112"/>
        <v>2.886751345948129E-3</v>
      </c>
      <c r="CO101" s="4"/>
      <c r="CP101" s="71" t="s">
        <v>71</v>
      </c>
      <c r="CQ101" s="82" t="e">
        <f t="shared" si="104"/>
        <v>#DIV/0!</v>
      </c>
      <c r="CR101" s="72" t="str">
        <f t="shared" si="105"/>
        <v>MΩ</v>
      </c>
      <c r="CS101" s="80">
        <f t="shared" si="113"/>
        <v>1.7320508075688772</v>
      </c>
      <c r="CT101" s="85" t="e">
        <f t="shared" si="114"/>
        <v>#DIV/0!</v>
      </c>
      <c r="CU101" s="8"/>
      <c r="CV101" s="94" t="e">
        <f t="shared" si="115"/>
        <v>#DIV/0!</v>
      </c>
      <c r="CW101" s="87" t="e">
        <f t="shared" si="116"/>
        <v>#DIV/0!</v>
      </c>
      <c r="CX101" s="113" t="e">
        <f t="shared" si="125"/>
        <v>#DIV/0!</v>
      </c>
      <c r="CY101" s="114" t="e">
        <f>(CV101*CX101)</f>
        <v>#DIV/0!</v>
      </c>
      <c r="CZ101" s="106" t="str">
        <f t="shared" si="107"/>
        <v>MΩ</v>
      </c>
      <c r="DA101" s="8"/>
      <c r="DB101" s="176">
        <v>1.4999999999999999E-2</v>
      </c>
      <c r="DC101" s="177" t="str">
        <f t="shared" ref="DC101" si="149">CZ101</f>
        <v>MΩ</v>
      </c>
      <c r="DD101" s="223" t="e">
        <f t="shared" si="108"/>
        <v>#DIV/0!</v>
      </c>
      <c r="DE101" s="177" t="str">
        <f t="shared" ref="DE101" si="150">DC101</f>
        <v>MΩ</v>
      </c>
    </row>
    <row r="102" spans="1:109" s="142" customFormat="1" ht="13.5" customHeight="1" thickBot="1">
      <c r="A102" s="135"/>
      <c r="B102" s="165"/>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c r="AP102" s="166"/>
      <c r="AQ102" s="166"/>
      <c r="AR102" s="166"/>
      <c r="AS102" s="166"/>
      <c r="AT102" s="166"/>
      <c r="AU102" s="166"/>
      <c r="AV102" s="166"/>
      <c r="AW102" s="166"/>
      <c r="AX102" s="166"/>
      <c r="AY102" s="166"/>
      <c r="AZ102" s="167"/>
      <c r="BA102" s="135"/>
      <c r="BB102" s="135"/>
      <c r="BC102" s="135"/>
      <c r="BD102" s="135"/>
      <c r="BE102" s="135"/>
      <c r="BF102" s="135"/>
      <c r="BG102" s="135"/>
      <c r="BH102" s="135"/>
      <c r="BI102" s="135"/>
      <c r="BJ102" s="135"/>
      <c r="BK102" s="135"/>
      <c r="BL102" s="135"/>
      <c r="BM102" s="135"/>
      <c r="BN102" s="135"/>
      <c r="BO102" s="135"/>
      <c r="BP102" s="135"/>
      <c r="BQ102" s="135"/>
      <c r="BR102" s="135"/>
      <c r="BS102" s="135"/>
      <c r="BT102" s="135"/>
      <c r="BU102" s="135"/>
      <c r="BV102" s="135"/>
    </row>
    <row r="103" spans="1:109" s="7" customFormat="1" ht="12.75" customHeight="1" thickBot="1">
      <c r="A103" s="168"/>
      <c r="B103" s="169"/>
      <c r="C103" s="138"/>
      <c r="D103" s="137"/>
      <c r="E103" s="138"/>
      <c r="F103" s="170" t="s">
        <v>103</v>
      </c>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71"/>
      <c r="BA103" s="168"/>
      <c r="BB103" s="335" t="s">
        <v>127</v>
      </c>
      <c r="BC103" s="335"/>
      <c r="BD103" s="335"/>
      <c r="BE103" s="335"/>
      <c r="BF103" s="335"/>
      <c r="BG103" s="335"/>
      <c r="BH103" s="335"/>
      <c r="BI103" s="335"/>
      <c r="BJ103" s="335"/>
      <c r="BK103" s="335"/>
      <c r="BL103" s="335"/>
      <c r="BM103" s="335"/>
      <c r="BN103" s="335"/>
      <c r="BO103" s="335"/>
      <c r="BP103" s="335"/>
      <c r="BQ103" s="335"/>
      <c r="BR103" s="335"/>
      <c r="BS103" s="335"/>
      <c r="BT103" s="335"/>
      <c r="BU103" s="335"/>
      <c r="BV103" s="168"/>
      <c r="BX103" s="265" t="s">
        <v>70</v>
      </c>
      <c r="BY103" s="266"/>
      <c r="BZ103" s="266"/>
      <c r="CA103" s="266"/>
      <c r="CB103" s="267"/>
      <c r="CC103" s="2"/>
      <c r="CD103" s="265" t="s">
        <v>70</v>
      </c>
      <c r="CE103" s="266"/>
      <c r="CF103" s="266"/>
      <c r="CG103" s="266"/>
      <c r="CH103" s="267"/>
      <c r="CI103" s="2"/>
      <c r="CJ103" s="265" t="s">
        <v>133</v>
      </c>
      <c r="CK103" s="266"/>
      <c r="CL103" s="266"/>
      <c r="CM103" s="266"/>
      <c r="CN103" s="267"/>
      <c r="CO103" s="2"/>
      <c r="CP103" s="265" t="s">
        <v>133</v>
      </c>
      <c r="CQ103" s="266"/>
      <c r="CR103" s="266"/>
      <c r="CS103" s="266"/>
      <c r="CT103" s="267"/>
      <c r="CV103" s="265" t="s">
        <v>72</v>
      </c>
      <c r="CW103" s="266"/>
      <c r="CX103" s="266"/>
      <c r="CY103" s="266"/>
      <c r="CZ103" s="267"/>
      <c r="DB103" s="396" t="s">
        <v>119</v>
      </c>
      <c r="DC103" s="397"/>
      <c r="DD103" s="396" t="s">
        <v>120</v>
      </c>
      <c r="DE103" s="396"/>
    </row>
    <row r="104" spans="1:109" s="173" customFormat="1" ht="18" customHeight="1">
      <c r="A104" s="172"/>
      <c r="B104" s="169"/>
      <c r="C104" s="138"/>
      <c r="D104" s="138"/>
      <c r="E104" s="138"/>
      <c r="F104" s="289" t="s">
        <v>27</v>
      </c>
      <c r="G104" s="289"/>
      <c r="H104" s="289"/>
      <c r="I104" s="289"/>
      <c r="J104" s="289"/>
      <c r="K104" s="289"/>
      <c r="L104" s="289" t="s">
        <v>28</v>
      </c>
      <c r="M104" s="289"/>
      <c r="N104" s="289"/>
      <c r="O104" s="289"/>
      <c r="P104" s="289"/>
      <c r="Q104" s="289"/>
      <c r="R104" s="289"/>
      <c r="S104" s="289" t="s">
        <v>73</v>
      </c>
      <c r="T104" s="289"/>
      <c r="U104" s="289"/>
      <c r="V104" s="289"/>
      <c r="W104" s="289"/>
      <c r="X104" s="289" t="s">
        <v>74</v>
      </c>
      <c r="Y104" s="289"/>
      <c r="Z104" s="289"/>
      <c r="AA104" s="289"/>
      <c r="AB104" s="289"/>
      <c r="AC104" s="289"/>
      <c r="AD104" s="289"/>
      <c r="AE104" s="289"/>
      <c r="AF104" s="289"/>
      <c r="AG104" s="289"/>
      <c r="AH104" s="289"/>
      <c r="AI104" s="289"/>
      <c r="AJ104" s="289"/>
      <c r="AK104" s="289"/>
      <c r="AL104" s="289"/>
      <c r="AM104" s="289" t="s">
        <v>75</v>
      </c>
      <c r="AN104" s="289"/>
      <c r="AO104" s="289"/>
      <c r="AP104" s="289"/>
      <c r="AQ104" s="289"/>
      <c r="AR104" s="289" t="s">
        <v>29</v>
      </c>
      <c r="AS104" s="289"/>
      <c r="AT104" s="289"/>
      <c r="AU104" s="289"/>
      <c r="AV104" s="289"/>
      <c r="AW104" s="138"/>
      <c r="AX104" s="138"/>
      <c r="AY104" s="138"/>
      <c r="AZ104" s="171"/>
      <c r="BA104" s="172"/>
      <c r="BB104" s="289" t="s">
        <v>76</v>
      </c>
      <c r="BC104" s="289"/>
      <c r="BD104" s="289"/>
      <c r="BE104" s="289"/>
      <c r="BF104" s="289"/>
      <c r="BG104" s="289" t="s">
        <v>77</v>
      </c>
      <c r="BH104" s="289"/>
      <c r="BI104" s="289"/>
      <c r="BJ104" s="289"/>
      <c r="BK104" s="289"/>
      <c r="BL104" s="289" t="s">
        <v>78</v>
      </c>
      <c r="BM104" s="289"/>
      <c r="BN104" s="289"/>
      <c r="BO104" s="289"/>
      <c r="BP104" s="289"/>
      <c r="BQ104" s="289" t="s">
        <v>79</v>
      </c>
      <c r="BR104" s="289"/>
      <c r="BS104" s="289"/>
      <c r="BT104" s="289"/>
      <c r="BU104" s="289"/>
      <c r="BV104" s="172"/>
      <c r="BX104" s="272" t="s">
        <v>80</v>
      </c>
      <c r="BY104" s="268" t="s">
        <v>116</v>
      </c>
      <c r="BZ104" s="268" t="s">
        <v>81</v>
      </c>
      <c r="CA104" s="274" t="s">
        <v>82</v>
      </c>
      <c r="CB104" s="270" t="s">
        <v>83</v>
      </c>
      <c r="CC104" s="3"/>
      <c r="CD104" s="272" t="s">
        <v>80</v>
      </c>
      <c r="CE104" s="268" t="s">
        <v>116</v>
      </c>
      <c r="CF104" s="268" t="s">
        <v>81</v>
      </c>
      <c r="CG104" s="274" t="s">
        <v>82</v>
      </c>
      <c r="CH104" s="270" t="s">
        <v>83</v>
      </c>
      <c r="CI104" s="3"/>
      <c r="CJ104" s="272" t="s">
        <v>80</v>
      </c>
      <c r="CK104" s="268" t="s">
        <v>116</v>
      </c>
      <c r="CL104" s="268" t="s">
        <v>81</v>
      </c>
      <c r="CM104" s="274" t="s">
        <v>82</v>
      </c>
      <c r="CN104" s="270" t="s">
        <v>83</v>
      </c>
      <c r="CO104" s="3"/>
      <c r="CP104" s="272" t="s">
        <v>80</v>
      </c>
      <c r="CQ104" s="268" t="s">
        <v>116</v>
      </c>
      <c r="CR104" s="268" t="s">
        <v>81</v>
      </c>
      <c r="CS104" s="274" t="s">
        <v>82</v>
      </c>
      <c r="CT104" s="270" t="s">
        <v>83</v>
      </c>
      <c r="CU104" s="8"/>
      <c r="CV104" s="118" t="s">
        <v>84</v>
      </c>
      <c r="CW104" s="99" t="s">
        <v>85</v>
      </c>
      <c r="CX104" s="120" t="s">
        <v>86</v>
      </c>
      <c r="CY104" s="272" t="s">
        <v>87</v>
      </c>
      <c r="CZ104" s="364"/>
      <c r="DA104" s="8"/>
      <c r="DB104" s="396"/>
      <c r="DC104" s="397"/>
      <c r="DD104" s="396"/>
      <c r="DE104" s="396"/>
    </row>
    <row r="105" spans="1:109" s="173" customFormat="1" ht="18" customHeight="1" thickBot="1">
      <c r="A105" s="172"/>
      <c r="B105" s="169"/>
      <c r="C105" s="138"/>
      <c r="D105" s="138"/>
      <c r="E105" s="138"/>
      <c r="F105" s="289"/>
      <c r="G105" s="289"/>
      <c r="H105" s="289"/>
      <c r="I105" s="289"/>
      <c r="J105" s="289"/>
      <c r="K105" s="289"/>
      <c r="L105" s="289"/>
      <c r="M105" s="289"/>
      <c r="N105" s="289"/>
      <c r="O105" s="289"/>
      <c r="P105" s="289"/>
      <c r="Q105" s="289"/>
      <c r="R105" s="289"/>
      <c r="S105" s="289"/>
      <c r="T105" s="289"/>
      <c r="U105" s="289"/>
      <c r="V105" s="289"/>
      <c r="W105" s="289"/>
      <c r="X105" s="289">
        <v>1</v>
      </c>
      <c r="Y105" s="289"/>
      <c r="Z105" s="289"/>
      <c r="AA105" s="289"/>
      <c r="AB105" s="289"/>
      <c r="AC105" s="289">
        <v>2</v>
      </c>
      <c r="AD105" s="289"/>
      <c r="AE105" s="289"/>
      <c r="AF105" s="289"/>
      <c r="AG105" s="289"/>
      <c r="AH105" s="289">
        <v>3</v>
      </c>
      <c r="AI105" s="289"/>
      <c r="AJ105" s="289"/>
      <c r="AK105" s="289"/>
      <c r="AL105" s="289"/>
      <c r="AM105" s="289"/>
      <c r="AN105" s="289"/>
      <c r="AO105" s="289"/>
      <c r="AP105" s="289"/>
      <c r="AQ105" s="289"/>
      <c r="AR105" s="289"/>
      <c r="AS105" s="289"/>
      <c r="AT105" s="289"/>
      <c r="AU105" s="289"/>
      <c r="AV105" s="289"/>
      <c r="AW105" s="138"/>
      <c r="AX105" s="138"/>
      <c r="AY105" s="138"/>
      <c r="AZ105" s="171"/>
      <c r="BA105" s="172"/>
      <c r="BB105" s="289"/>
      <c r="BC105" s="289"/>
      <c r="BD105" s="289"/>
      <c r="BE105" s="289"/>
      <c r="BF105" s="289"/>
      <c r="BG105" s="289"/>
      <c r="BH105" s="289"/>
      <c r="BI105" s="289"/>
      <c r="BJ105" s="289"/>
      <c r="BK105" s="289"/>
      <c r="BL105" s="289"/>
      <c r="BM105" s="289"/>
      <c r="BN105" s="289"/>
      <c r="BO105" s="289"/>
      <c r="BP105" s="289"/>
      <c r="BQ105" s="289"/>
      <c r="BR105" s="289"/>
      <c r="BS105" s="289"/>
      <c r="BT105" s="289"/>
      <c r="BU105" s="289"/>
      <c r="BV105" s="172"/>
      <c r="BX105" s="273"/>
      <c r="BY105" s="269"/>
      <c r="BZ105" s="269"/>
      <c r="CA105" s="275"/>
      <c r="CB105" s="271"/>
      <c r="CC105" s="3"/>
      <c r="CD105" s="273"/>
      <c r="CE105" s="269"/>
      <c r="CF105" s="269"/>
      <c r="CG105" s="275"/>
      <c r="CH105" s="271"/>
      <c r="CI105" s="3"/>
      <c r="CJ105" s="273"/>
      <c r="CK105" s="269"/>
      <c r="CL105" s="269"/>
      <c r="CM105" s="275"/>
      <c r="CN105" s="271"/>
      <c r="CO105" s="3"/>
      <c r="CP105" s="273"/>
      <c r="CQ105" s="269"/>
      <c r="CR105" s="269"/>
      <c r="CS105" s="275"/>
      <c r="CT105" s="271"/>
      <c r="CU105" s="8"/>
      <c r="CV105" s="119" t="s">
        <v>88</v>
      </c>
      <c r="CW105" s="100" t="s">
        <v>89</v>
      </c>
      <c r="CX105" s="121" t="s">
        <v>90</v>
      </c>
      <c r="CY105" s="273" t="s">
        <v>91</v>
      </c>
      <c r="CZ105" s="365"/>
      <c r="DA105" s="8"/>
      <c r="DB105" s="396"/>
      <c r="DC105" s="397"/>
      <c r="DD105" s="396"/>
      <c r="DE105" s="396"/>
    </row>
    <row r="106" spans="1:109" s="173" customFormat="1" ht="18" customHeight="1">
      <c r="A106" s="172"/>
      <c r="B106" s="169"/>
      <c r="C106" s="138"/>
      <c r="D106" s="138"/>
      <c r="E106" s="138"/>
      <c r="F106" s="285" t="s">
        <v>145</v>
      </c>
      <c r="G106" s="286"/>
      <c r="H106" s="286"/>
      <c r="I106" s="286"/>
      <c r="J106" s="286"/>
      <c r="K106" s="287"/>
      <c r="L106" s="293">
        <f>6*50%</f>
        <v>3</v>
      </c>
      <c r="M106" s="294"/>
      <c r="N106" s="294"/>
      <c r="O106" s="294"/>
      <c r="P106" s="295" t="s">
        <v>152</v>
      </c>
      <c r="Q106" s="295"/>
      <c r="R106" s="296"/>
      <c r="S106" s="297" t="s">
        <v>57</v>
      </c>
      <c r="T106" s="297"/>
      <c r="U106" s="297"/>
      <c r="V106" s="297"/>
      <c r="W106" s="297"/>
      <c r="X106" s="290"/>
      <c r="Y106" s="291"/>
      <c r="Z106" s="291"/>
      <c r="AA106" s="291"/>
      <c r="AB106" s="291"/>
      <c r="AC106" s="290"/>
      <c r="AD106" s="291"/>
      <c r="AE106" s="291"/>
      <c r="AF106" s="291"/>
      <c r="AG106" s="291"/>
      <c r="AH106" s="290"/>
      <c r="AI106" s="291"/>
      <c r="AJ106" s="291"/>
      <c r="AK106" s="291"/>
      <c r="AL106" s="291"/>
      <c r="AM106" s="291" t="e">
        <f>AVERAGE(X106:AL106)</f>
        <v>#DIV/0!</v>
      </c>
      <c r="AN106" s="291"/>
      <c r="AO106" s="291"/>
      <c r="AP106" s="291"/>
      <c r="AQ106" s="291"/>
      <c r="AR106" s="291" t="e">
        <f>AM106-L106</f>
        <v>#DIV/0!</v>
      </c>
      <c r="AS106" s="291"/>
      <c r="AT106" s="291"/>
      <c r="AU106" s="291"/>
      <c r="AV106" s="291"/>
      <c r="AW106" s="138"/>
      <c r="AX106" s="138"/>
      <c r="AY106" s="138"/>
      <c r="AZ106" s="171"/>
      <c r="BA106" s="172"/>
      <c r="BB106" s="292" t="e">
        <f>(AM106*1%)+(3*CK106)</f>
        <v>#DIV/0!</v>
      </c>
      <c r="BC106" s="292"/>
      <c r="BD106" s="292"/>
      <c r="BE106" s="292"/>
      <c r="BF106" s="292"/>
      <c r="BG106" s="292" t="e">
        <f>L106+BB106</f>
        <v>#DIV/0!</v>
      </c>
      <c r="BH106" s="292"/>
      <c r="BI106" s="292"/>
      <c r="BJ106" s="292"/>
      <c r="BK106" s="292"/>
      <c r="BL106" s="292" t="e">
        <f>L106-BB106</f>
        <v>#DIV/0!</v>
      </c>
      <c r="BM106" s="292"/>
      <c r="BN106" s="292"/>
      <c r="BO106" s="292"/>
      <c r="BP106" s="292"/>
      <c r="BQ106" s="330" t="e">
        <f>IF(AND(AM106&lt;=BG106,AM106&gt;=BL106),"PASS","FAIL")</f>
        <v>#DIV/0!</v>
      </c>
      <c r="BR106" s="330"/>
      <c r="BS106" s="330"/>
      <c r="BT106" s="330"/>
      <c r="BU106" s="330"/>
      <c r="BV106" s="172"/>
      <c r="BX106" s="68" t="s">
        <v>132</v>
      </c>
      <c r="BY106" s="225">
        <v>5.9999999999999995E-4</v>
      </c>
      <c r="BZ106" s="69" t="str">
        <f>P106</f>
        <v>A</v>
      </c>
      <c r="CA106" s="191">
        <v>2</v>
      </c>
      <c r="CB106" s="75">
        <f t="shared" ref="CB106:CB108" si="151">BY106/CA106</f>
        <v>2.9999999999999997E-4</v>
      </c>
      <c r="CC106" s="4"/>
      <c r="CD106" s="68" t="s">
        <v>134</v>
      </c>
      <c r="CE106" s="86">
        <v>0</v>
      </c>
      <c r="CF106" s="69" t="str">
        <f t="shared" ref="CF106:CF109" si="152">BZ106</f>
        <v>A</v>
      </c>
      <c r="CG106" s="78">
        <f t="shared" ref="CG106:CG109" si="153">SQRT(3)</f>
        <v>1.7320508075688772</v>
      </c>
      <c r="CH106" s="75">
        <f t="shared" ref="CH106:CH109" si="154">CE106/CG106</f>
        <v>0</v>
      </c>
      <c r="CI106" s="4"/>
      <c r="CJ106" s="68" t="s">
        <v>93</v>
      </c>
      <c r="CK106" s="175">
        <v>1E-3</v>
      </c>
      <c r="CL106" s="69" t="str">
        <f>P106</f>
        <v>A</v>
      </c>
      <c r="CM106" s="78">
        <f t="shared" ref="CM106:CM109" si="155">SQRT(12)</f>
        <v>3.4641016151377544</v>
      </c>
      <c r="CN106" s="75">
        <f t="shared" ref="CN106:CN109" si="156">CK106/CM106</f>
        <v>2.886751345948129E-4</v>
      </c>
      <c r="CO106" s="4"/>
      <c r="CP106" s="68" t="s">
        <v>71</v>
      </c>
      <c r="CQ106" s="81" t="e">
        <f>STDEV(X106:AL106)</f>
        <v>#DIV/0!</v>
      </c>
      <c r="CR106" s="69" t="str">
        <f>P106</f>
        <v>A</v>
      </c>
      <c r="CS106" s="78">
        <f t="shared" ref="CS106:CS109" si="157">SQRT(3)</f>
        <v>1.7320508075688772</v>
      </c>
      <c r="CT106" s="83" t="e">
        <f t="shared" ref="CT106:CT109" si="158">CQ106/CS106</f>
        <v>#DIV/0!</v>
      </c>
      <c r="CU106" s="8"/>
      <c r="CV106" s="90" t="e">
        <f t="shared" ref="CV106:CV109" si="159">SQRT(SUMSQ(CT106,CN106,CH106,CB106))</f>
        <v>#DIV/0!</v>
      </c>
      <c r="CW106" s="86" t="e">
        <f t="shared" ref="CW106:CW109" si="160">(CV106^4)/(((CT106^4)/2)+((CN106^4)/200)+((CH106^4)/200)+((CB106^4)/200))</f>
        <v>#DIV/0!</v>
      </c>
      <c r="CX106" s="91" t="e">
        <f t="shared" ref="CX106:CX108" si="161">ROUND(TINV(0.05,CW106),0)</f>
        <v>#DIV/0!</v>
      </c>
      <c r="CY106" s="115" t="e">
        <f>(CV106*CX106)</f>
        <v>#DIV/0!</v>
      </c>
      <c r="CZ106" s="102" t="str">
        <f>P106</f>
        <v>A</v>
      </c>
      <c r="DA106" s="8"/>
      <c r="DB106" s="176">
        <v>1.6000000000000001E-3</v>
      </c>
      <c r="DC106" s="177" t="str">
        <f>CZ106</f>
        <v>A</v>
      </c>
      <c r="DD106" s="223" t="e">
        <f t="shared" ref="DD106:DD109" si="162">MAX(CY106,DB106)</f>
        <v>#DIV/0!</v>
      </c>
      <c r="DE106" s="177" t="str">
        <f>DC106</f>
        <v>A</v>
      </c>
    </row>
    <row r="107" spans="1:109" s="173" customFormat="1" ht="18" customHeight="1">
      <c r="A107" s="172"/>
      <c r="B107" s="169"/>
      <c r="C107" s="138"/>
      <c r="D107" s="138"/>
      <c r="E107" s="138"/>
      <c r="F107" s="288"/>
      <c r="G107" s="286"/>
      <c r="H107" s="286"/>
      <c r="I107" s="286"/>
      <c r="J107" s="286"/>
      <c r="K107" s="287"/>
      <c r="L107" s="293">
        <f>6*90%</f>
        <v>5.4</v>
      </c>
      <c r="M107" s="294"/>
      <c r="N107" s="294"/>
      <c r="O107" s="294"/>
      <c r="P107" s="295" t="s">
        <v>152</v>
      </c>
      <c r="Q107" s="295"/>
      <c r="R107" s="296"/>
      <c r="S107" s="297" t="s">
        <v>57</v>
      </c>
      <c r="T107" s="297"/>
      <c r="U107" s="297"/>
      <c r="V107" s="297"/>
      <c r="W107" s="297"/>
      <c r="X107" s="290"/>
      <c r="Y107" s="291"/>
      <c r="Z107" s="291"/>
      <c r="AA107" s="291"/>
      <c r="AB107" s="291"/>
      <c r="AC107" s="290"/>
      <c r="AD107" s="291"/>
      <c r="AE107" s="291"/>
      <c r="AF107" s="291"/>
      <c r="AG107" s="291"/>
      <c r="AH107" s="290"/>
      <c r="AI107" s="291"/>
      <c r="AJ107" s="291"/>
      <c r="AK107" s="291"/>
      <c r="AL107" s="291"/>
      <c r="AM107" s="291" t="e">
        <f t="shared" ref="AM107:AM108" si="163">AVERAGE(X107:AL107)</f>
        <v>#DIV/0!</v>
      </c>
      <c r="AN107" s="291"/>
      <c r="AO107" s="291"/>
      <c r="AP107" s="291"/>
      <c r="AQ107" s="291"/>
      <c r="AR107" s="291" t="e">
        <f t="shared" ref="AR107:AR108" si="164">AM107-L107</f>
        <v>#DIV/0!</v>
      </c>
      <c r="AS107" s="291"/>
      <c r="AT107" s="291"/>
      <c r="AU107" s="291"/>
      <c r="AV107" s="291"/>
      <c r="AW107" s="138"/>
      <c r="AX107" s="138"/>
      <c r="AY107" s="138"/>
      <c r="AZ107" s="171"/>
      <c r="BA107" s="172"/>
      <c r="BB107" s="292" t="e">
        <f t="shared" ref="BB107:BB109" si="165">(AM107*1%)+(3*CK107)</f>
        <v>#DIV/0!</v>
      </c>
      <c r="BC107" s="292"/>
      <c r="BD107" s="292"/>
      <c r="BE107" s="292"/>
      <c r="BF107" s="292"/>
      <c r="BG107" s="292" t="e">
        <f>L107+BB107</f>
        <v>#DIV/0!</v>
      </c>
      <c r="BH107" s="292"/>
      <c r="BI107" s="292"/>
      <c r="BJ107" s="292"/>
      <c r="BK107" s="292"/>
      <c r="BL107" s="292" t="e">
        <f>L107-BB107</f>
        <v>#DIV/0!</v>
      </c>
      <c r="BM107" s="292"/>
      <c r="BN107" s="292"/>
      <c r="BO107" s="292"/>
      <c r="BP107" s="292"/>
      <c r="BQ107" s="330" t="e">
        <f>IF(AND(AM107&lt;=BG107,AM107&gt;=BL107),"PASS","FAIL")</f>
        <v>#DIV/0!</v>
      </c>
      <c r="BR107" s="330"/>
      <c r="BS107" s="330"/>
      <c r="BT107" s="330"/>
      <c r="BU107" s="330"/>
      <c r="BV107" s="172"/>
      <c r="BX107" s="70" t="s">
        <v>132</v>
      </c>
      <c r="BY107" s="6">
        <v>5.9999999999999995E-4</v>
      </c>
      <c r="BZ107" s="1" t="str">
        <f>P107</f>
        <v>A</v>
      </c>
      <c r="CA107" s="179">
        <v>2</v>
      </c>
      <c r="CB107" s="76">
        <f t="shared" si="151"/>
        <v>2.9999999999999997E-4</v>
      </c>
      <c r="CC107" s="4"/>
      <c r="CD107" s="70" t="s">
        <v>134</v>
      </c>
      <c r="CE107" s="5">
        <v>0</v>
      </c>
      <c r="CF107" s="1" t="str">
        <f t="shared" si="152"/>
        <v>A</v>
      </c>
      <c r="CG107" s="79">
        <f t="shared" si="153"/>
        <v>1.7320508075688772</v>
      </c>
      <c r="CH107" s="76">
        <f t="shared" si="154"/>
        <v>0</v>
      </c>
      <c r="CI107" s="4"/>
      <c r="CJ107" s="70" t="s">
        <v>93</v>
      </c>
      <c r="CK107" s="180">
        <v>1E-3</v>
      </c>
      <c r="CL107" s="1" t="str">
        <f>P107</f>
        <v>A</v>
      </c>
      <c r="CM107" s="79">
        <f t="shared" si="155"/>
        <v>3.4641016151377544</v>
      </c>
      <c r="CN107" s="76">
        <f t="shared" si="156"/>
        <v>2.886751345948129E-4</v>
      </c>
      <c r="CO107" s="4"/>
      <c r="CP107" s="70" t="s">
        <v>71</v>
      </c>
      <c r="CQ107" s="6" t="e">
        <f>STDEV(X107:AL107)</f>
        <v>#DIV/0!</v>
      </c>
      <c r="CR107" s="1" t="str">
        <f>P107</f>
        <v>A</v>
      </c>
      <c r="CS107" s="79">
        <f t="shared" si="157"/>
        <v>1.7320508075688772</v>
      </c>
      <c r="CT107" s="84" t="e">
        <f t="shared" si="158"/>
        <v>#DIV/0!</v>
      </c>
      <c r="CU107" s="8"/>
      <c r="CV107" s="92" t="e">
        <f t="shared" si="159"/>
        <v>#DIV/0!</v>
      </c>
      <c r="CW107" s="5" t="e">
        <f t="shared" si="160"/>
        <v>#DIV/0!</v>
      </c>
      <c r="CX107" s="93" t="e">
        <f t="shared" si="161"/>
        <v>#DIV/0!</v>
      </c>
      <c r="CY107" s="108" t="e">
        <f t="shared" ref="CY107:CY108" si="166">(CV107*CX107)</f>
        <v>#DIV/0!</v>
      </c>
      <c r="CZ107" s="104" t="str">
        <f>P107</f>
        <v>A</v>
      </c>
      <c r="DA107" s="8"/>
      <c r="DB107" s="176">
        <v>1.6000000000000001E-3</v>
      </c>
      <c r="DC107" s="177" t="str">
        <f t="shared" ref="DC107:DC109" si="167">CZ107</f>
        <v>A</v>
      </c>
      <c r="DD107" s="223" t="e">
        <f t="shared" si="162"/>
        <v>#DIV/0!</v>
      </c>
      <c r="DE107" s="177" t="str">
        <f t="shared" ref="DE107:DE109" si="168">DC107</f>
        <v>A</v>
      </c>
    </row>
    <row r="108" spans="1:109" s="173" customFormat="1" ht="18" customHeight="1">
      <c r="A108" s="172"/>
      <c r="B108" s="169"/>
      <c r="C108" s="138"/>
      <c r="D108" s="138"/>
      <c r="E108" s="138"/>
      <c r="F108" s="417" t="s">
        <v>146</v>
      </c>
      <c r="G108" s="418"/>
      <c r="H108" s="418"/>
      <c r="I108" s="418"/>
      <c r="J108" s="418"/>
      <c r="K108" s="419"/>
      <c r="L108" s="293">
        <f>10*50%</f>
        <v>5</v>
      </c>
      <c r="M108" s="294"/>
      <c r="N108" s="294"/>
      <c r="O108" s="294"/>
      <c r="P108" s="295" t="s">
        <v>152</v>
      </c>
      <c r="Q108" s="295"/>
      <c r="R108" s="296"/>
      <c r="S108" s="297" t="s">
        <v>57</v>
      </c>
      <c r="T108" s="297"/>
      <c r="U108" s="297"/>
      <c r="V108" s="297"/>
      <c r="W108" s="297"/>
      <c r="X108" s="339"/>
      <c r="Y108" s="292"/>
      <c r="Z108" s="292"/>
      <c r="AA108" s="292"/>
      <c r="AB108" s="292"/>
      <c r="AC108" s="339"/>
      <c r="AD108" s="292"/>
      <c r="AE108" s="292"/>
      <c r="AF108" s="292"/>
      <c r="AG108" s="292"/>
      <c r="AH108" s="339"/>
      <c r="AI108" s="292"/>
      <c r="AJ108" s="292"/>
      <c r="AK108" s="292"/>
      <c r="AL108" s="292"/>
      <c r="AM108" s="292" t="e">
        <f t="shared" si="163"/>
        <v>#DIV/0!</v>
      </c>
      <c r="AN108" s="292"/>
      <c r="AO108" s="292"/>
      <c r="AP108" s="292"/>
      <c r="AQ108" s="292"/>
      <c r="AR108" s="292" t="e">
        <f t="shared" si="164"/>
        <v>#DIV/0!</v>
      </c>
      <c r="AS108" s="292"/>
      <c r="AT108" s="292"/>
      <c r="AU108" s="292"/>
      <c r="AV108" s="292"/>
      <c r="AW108" s="138"/>
      <c r="AX108" s="138"/>
      <c r="AY108" s="138"/>
      <c r="AZ108" s="171"/>
      <c r="BA108" s="172"/>
      <c r="BB108" s="292" t="e">
        <f t="shared" si="165"/>
        <v>#DIV/0!</v>
      </c>
      <c r="BC108" s="292"/>
      <c r="BD108" s="292"/>
      <c r="BE108" s="292"/>
      <c r="BF108" s="292"/>
      <c r="BG108" s="301" t="e">
        <f>L108+BB108</f>
        <v>#DIV/0!</v>
      </c>
      <c r="BH108" s="301"/>
      <c r="BI108" s="301"/>
      <c r="BJ108" s="301"/>
      <c r="BK108" s="301"/>
      <c r="BL108" s="301" t="e">
        <f>L108-BB108</f>
        <v>#DIV/0!</v>
      </c>
      <c r="BM108" s="301"/>
      <c r="BN108" s="301"/>
      <c r="BO108" s="301"/>
      <c r="BP108" s="301"/>
      <c r="BQ108" s="330" t="e">
        <f>IF(AND(AM108&lt;=BG108,AM108&gt;=BL108),"PASS","FAIL")</f>
        <v>#DIV/0!</v>
      </c>
      <c r="BR108" s="330"/>
      <c r="BS108" s="330"/>
      <c r="BT108" s="330"/>
      <c r="BU108" s="330"/>
      <c r="BV108" s="172"/>
      <c r="BX108" s="208" t="s">
        <v>132</v>
      </c>
      <c r="BY108" s="6">
        <v>5.9999999999999995E-4</v>
      </c>
      <c r="BZ108" s="209" t="str">
        <f>P108</f>
        <v>A</v>
      </c>
      <c r="CA108" s="210">
        <v>2</v>
      </c>
      <c r="CB108" s="211">
        <f t="shared" si="151"/>
        <v>2.9999999999999997E-4</v>
      </c>
      <c r="CC108" s="4"/>
      <c r="CD108" s="208" t="s">
        <v>134</v>
      </c>
      <c r="CE108" s="213">
        <v>0</v>
      </c>
      <c r="CF108" s="209" t="str">
        <f t="shared" ref="CF108" si="169">BZ108</f>
        <v>A</v>
      </c>
      <c r="CG108" s="214">
        <f t="shared" si="153"/>
        <v>1.7320508075688772</v>
      </c>
      <c r="CH108" s="211">
        <f t="shared" ref="CH108" si="170">CE108/CG108</f>
        <v>0</v>
      </c>
      <c r="CI108" s="4"/>
      <c r="CJ108" s="208" t="s">
        <v>93</v>
      </c>
      <c r="CK108" s="215">
        <v>0.01</v>
      </c>
      <c r="CL108" s="209" t="str">
        <f>P108</f>
        <v>A</v>
      </c>
      <c r="CM108" s="214">
        <f t="shared" si="155"/>
        <v>3.4641016151377544</v>
      </c>
      <c r="CN108" s="211">
        <f t="shared" ref="CN108" si="171">CK108/CM108</f>
        <v>2.886751345948129E-3</v>
      </c>
      <c r="CO108" s="4"/>
      <c r="CP108" s="208" t="s">
        <v>71</v>
      </c>
      <c r="CQ108" s="216" t="e">
        <f>STDEV(X108:AL108)</f>
        <v>#DIV/0!</v>
      </c>
      <c r="CR108" s="209" t="str">
        <f>P108</f>
        <v>A</v>
      </c>
      <c r="CS108" s="214">
        <f t="shared" si="157"/>
        <v>1.7320508075688772</v>
      </c>
      <c r="CT108" s="217" t="e">
        <f t="shared" ref="CT108" si="172">CQ108/CS108</f>
        <v>#DIV/0!</v>
      </c>
      <c r="CU108" s="8"/>
      <c r="CV108" s="218" t="e">
        <f t="shared" ref="CV108" si="173">SQRT(SUMSQ(CT108,CN108,CH108,CB108))</f>
        <v>#DIV/0!</v>
      </c>
      <c r="CW108" s="213" t="e">
        <f t="shared" ref="CW108" si="174">(CV108^4)/(((CT108^4)/2)+((CN108^4)/200)+((CH108^4)/200)+((CB108^4)/200))</f>
        <v>#DIV/0!</v>
      </c>
      <c r="CX108" s="219" t="e">
        <f t="shared" si="161"/>
        <v>#DIV/0!</v>
      </c>
      <c r="CY108" s="220" t="e">
        <f t="shared" si="166"/>
        <v>#DIV/0!</v>
      </c>
      <c r="CZ108" s="221" t="str">
        <f>P108</f>
        <v>A</v>
      </c>
      <c r="DA108" s="8"/>
      <c r="DB108" s="176">
        <v>1.6000000000000001E-3</v>
      </c>
      <c r="DC108" s="177" t="str">
        <f t="shared" ref="DC108" si="175">CZ108</f>
        <v>A</v>
      </c>
      <c r="DD108" s="223" t="e">
        <f t="shared" si="162"/>
        <v>#DIV/0!</v>
      </c>
      <c r="DE108" s="177" t="str">
        <f t="shared" ref="DE108" si="176">DC108</f>
        <v>A</v>
      </c>
    </row>
    <row r="109" spans="1:109" s="173" customFormat="1" ht="18" customHeight="1" thickBot="1">
      <c r="A109" s="172"/>
      <c r="B109" s="169"/>
      <c r="C109" s="138"/>
      <c r="D109" s="138"/>
      <c r="E109" s="138"/>
      <c r="F109" s="420"/>
      <c r="G109" s="421"/>
      <c r="H109" s="421"/>
      <c r="I109" s="421"/>
      <c r="J109" s="421"/>
      <c r="K109" s="422"/>
      <c r="L109" s="293">
        <f>10*90%</f>
        <v>9</v>
      </c>
      <c r="M109" s="294"/>
      <c r="N109" s="294"/>
      <c r="O109" s="294"/>
      <c r="P109" s="295" t="s">
        <v>152</v>
      </c>
      <c r="Q109" s="295"/>
      <c r="R109" s="296"/>
      <c r="S109" s="297" t="s">
        <v>57</v>
      </c>
      <c r="T109" s="297"/>
      <c r="U109" s="297"/>
      <c r="V109" s="297"/>
      <c r="W109" s="297"/>
      <c r="X109" s="339"/>
      <c r="Y109" s="292"/>
      <c r="Z109" s="292"/>
      <c r="AA109" s="292"/>
      <c r="AB109" s="292"/>
      <c r="AC109" s="339"/>
      <c r="AD109" s="292"/>
      <c r="AE109" s="292"/>
      <c r="AF109" s="292"/>
      <c r="AG109" s="292"/>
      <c r="AH109" s="339"/>
      <c r="AI109" s="292"/>
      <c r="AJ109" s="292"/>
      <c r="AK109" s="292"/>
      <c r="AL109" s="292"/>
      <c r="AM109" s="292" t="e">
        <f t="shared" ref="AM109" si="177">AVERAGE(X109:AL109)</f>
        <v>#DIV/0!</v>
      </c>
      <c r="AN109" s="292"/>
      <c r="AO109" s="292"/>
      <c r="AP109" s="292"/>
      <c r="AQ109" s="292"/>
      <c r="AR109" s="292" t="e">
        <f t="shared" ref="AR109" si="178">AM109-L109</f>
        <v>#DIV/0!</v>
      </c>
      <c r="AS109" s="292"/>
      <c r="AT109" s="292"/>
      <c r="AU109" s="292"/>
      <c r="AV109" s="292"/>
      <c r="AW109" s="138"/>
      <c r="AX109" s="138"/>
      <c r="AY109" s="138"/>
      <c r="AZ109" s="171"/>
      <c r="BA109" s="172"/>
      <c r="BB109" s="292" t="e">
        <f t="shared" si="165"/>
        <v>#DIV/0!</v>
      </c>
      <c r="BC109" s="292"/>
      <c r="BD109" s="292"/>
      <c r="BE109" s="292"/>
      <c r="BF109" s="292"/>
      <c r="BG109" s="301" t="e">
        <f>L109+BB109</f>
        <v>#DIV/0!</v>
      </c>
      <c r="BH109" s="301"/>
      <c r="BI109" s="301"/>
      <c r="BJ109" s="301"/>
      <c r="BK109" s="301"/>
      <c r="BL109" s="301" t="e">
        <f>L109-BB109</f>
        <v>#DIV/0!</v>
      </c>
      <c r="BM109" s="301"/>
      <c r="BN109" s="301"/>
      <c r="BO109" s="301"/>
      <c r="BP109" s="301"/>
      <c r="BQ109" s="330" t="e">
        <f>IF(AND(AM109&lt;=BG109,AM109&gt;=BL109),"PASS","FAIL")</f>
        <v>#DIV/0!</v>
      </c>
      <c r="BR109" s="330"/>
      <c r="BS109" s="330"/>
      <c r="BT109" s="330"/>
      <c r="BU109" s="330"/>
      <c r="BV109" s="172"/>
      <c r="BX109" s="71" t="s">
        <v>132</v>
      </c>
      <c r="BY109" s="82">
        <v>5.9999999999999995E-4</v>
      </c>
      <c r="BZ109" s="72" t="str">
        <f>P109</f>
        <v>A</v>
      </c>
      <c r="CA109" s="182">
        <v>2</v>
      </c>
      <c r="CB109" s="77">
        <f t="shared" ref="CB109" si="179">BY109/CA109</f>
        <v>2.9999999999999997E-4</v>
      </c>
      <c r="CC109" s="4"/>
      <c r="CD109" s="71" t="s">
        <v>134</v>
      </c>
      <c r="CE109" s="87">
        <v>0</v>
      </c>
      <c r="CF109" s="72" t="str">
        <f t="shared" si="152"/>
        <v>A</v>
      </c>
      <c r="CG109" s="80">
        <f t="shared" si="153"/>
        <v>1.7320508075688772</v>
      </c>
      <c r="CH109" s="77">
        <f t="shared" si="154"/>
        <v>0</v>
      </c>
      <c r="CI109" s="4"/>
      <c r="CJ109" s="71" t="s">
        <v>93</v>
      </c>
      <c r="CK109" s="183">
        <v>0.01</v>
      </c>
      <c r="CL109" s="72" t="str">
        <f>P109</f>
        <v>A</v>
      </c>
      <c r="CM109" s="80">
        <f t="shared" si="155"/>
        <v>3.4641016151377544</v>
      </c>
      <c r="CN109" s="77">
        <f t="shared" si="156"/>
        <v>2.886751345948129E-3</v>
      </c>
      <c r="CO109" s="4"/>
      <c r="CP109" s="71" t="s">
        <v>71</v>
      </c>
      <c r="CQ109" s="82" t="e">
        <f>STDEV(X109:AL109)</f>
        <v>#DIV/0!</v>
      </c>
      <c r="CR109" s="72" t="str">
        <f>P109</f>
        <v>A</v>
      </c>
      <c r="CS109" s="80">
        <f t="shared" si="157"/>
        <v>1.7320508075688772</v>
      </c>
      <c r="CT109" s="85" t="e">
        <f t="shared" si="158"/>
        <v>#DIV/0!</v>
      </c>
      <c r="CU109" s="8"/>
      <c r="CV109" s="94" t="e">
        <f t="shared" si="159"/>
        <v>#DIV/0!</v>
      </c>
      <c r="CW109" s="87" t="e">
        <f t="shared" si="160"/>
        <v>#DIV/0!</v>
      </c>
      <c r="CX109" s="95" t="e">
        <f t="shared" ref="CX109" si="180">ROUND(TINV(0.05,CW109),0)</f>
        <v>#DIV/0!</v>
      </c>
      <c r="CY109" s="105" t="e">
        <f t="shared" ref="CY109" si="181">(CV109*CX109)</f>
        <v>#DIV/0!</v>
      </c>
      <c r="CZ109" s="106" t="str">
        <f>P109</f>
        <v>A</v>
      </c>
      <c r="DA109" s="8"/>
      <c r="DB109" s="176">
        <v>1.6000000000000001E-3</v>
      </c>
      <c r="DC109" s="177" t="str">
        <f t="shared" si="167"/>
        <v>A</v>
      </c>
      <c r="DD109" s="223" t="e">
        <f t="shared" si="162"/>
        <v>#DIV/0!</v>
      </c>
      <c r="DE109" s="177" t="str">
        <f t="shared" si="168"/>
        <v>A</v>
      </c>
    </row>
    <row r="110" spans="1:109" s="142" customFormat="1" ht="13.5" customHeight="1" thickBot="1">
      <c r="A110" s="135"/>
      <c r="B110" s="165"/>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c r="AP110" s="166"/>
      <c r="AQ110" s="166"/>
      <c r="AR110" s="166"/>
      <c r="AS110" s="166"/>
      <c r="AT110" s="166"/>
      <c r="AU110" s="166"/>
      <c r="AV110" s="166"/>
      <c r="AW110" s="166"/>
      <c r="AX110" s="166"/>
      <c r="AY110" s="166"/>
      <c r="AZ110" s="167"/>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row>
    <row r="111" spans="1:109" s="7" customFormat="1" ht="12.75" customHeight="1" thickBot="1">
      <c r="A111" s="168"/>
      <c r="B111" s="169"/>
      <c r="C111" s="138"/>
      <c r="D111" s="137"/>
      <c r="E111" s="138"/>
      <c r="F111" s="170" t="s">
        <v>104</v>
      </c>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71"/>
      <c r="BA111" s="168"/>
      <c r="BB111" s="335" t="s">
        <v>127</v>
      </c>
      <c r="BC111" s="335"/>
      <c r="BD111" s="335"/>
      <c r="BE111" s="335"/>
      <c r="BF111" s="335"/>
      <c r="BG111" s="335"/>
      <c r="BH111" s="335"/>
      <c r="BI111" s="335"/>
      <c r="BJ111" s="335"/>
      <c r="BK111" s="335"/>
      <c r="BL111" s="335"/>
      <c r="BM111" s="335"/>
      <c r="BN111" s="335"/>
      <c r="BO111" s="335"/>
      <c r="BP111" s="335"/>
      <c r="BQ111" s="335"/>
      <c r="BR111" s="335"/>
      <c r="BS111" s="335"/>
      <c r="BT111" s="335"/>
      <c r="BU111" s="335"/>
      <c r="BV111" s="168"/>
      <c r="BX111" s="265" t="s">
        <v>70</v>
      </c>
      <c r="BY111" s="266"/>
      <c r="BZ111" s="266"/>
      <c r="CA111" s="266"/>
      <c r="CB111" s="267"/>
      <c r="CC111" s="2"/>
      <c r="CD111" s="265" t="s">
        <v>70</v>
      </c>
      <c r="CE111" s="266"/>
      <c r="CF111" s="266"/>
      <c r="CG111" s="266"/>
      <c r="CH111" s="267"/>
      <c r="CI111" s="2"/>
      <c r="CJ111" s="265" t="s">
        <v>133</v>
      </c>
      <c r="CK111" s="266"/>
      <c r="CL111" s="266"/>
      <c r="CM111" s="266"/>
      <c r="CN111" s="267"/>
      <c r="CO111" s="2"/>
      <c r="CP111" s="265" t="s">
        <v>133</v>
      </c>
      <c r="CQ111" s="266"/>
      <c r="CR111" s="266"/>
      <c r="CS111" s="266"/>
      <c r="CT111" s="267"/>
      <c r="CV111" s="265" t="s">
        <v>72</v>
      </c>
      <c r="CW111" s="266"/>
      <c r="CX111" s="266"/>
      <c r="CY111" s="266"/>
      <c r="CZ111" s="267"/>
      <c r="DB111" s="398" t="s">
        <v>119</v>
      </c>
      <c r="DC111" s="397"/>
      <c r="DD111" s="396" t="s">
        <v>120</v>
      </c>
      <c r="DE111" s="396"/>
    </row>
    <row r="112" spans="1:109" s="173" customFormat="1" ht="18" customHeight="1">
      <c r="A112" s="172"/>
      <c r="B112" s="169"/>
      <c r="C112" s="138"/>
      <c r="D112" s="138"/>
      <c r="E112" s="138"/>
      <c r="F112" s="289" t="s">
        <v>27</v>
      </c>
      <c r="G112" s="289"/>
      <c r="H112" s="289"/>
      <c r="I112" s="289"/>
      <c r="J112" s="289"/>
      <c r="K112" s="289"/>
      <c r="L112" s="289" t="s">
        <v>28</v>
      </c>
      <c r="M112" s="289"/>
      <c r="N112" s="289"/>
      <c r="O112" s="289"/>
      <c r="P112" s="289"/>
      <c r="Q112" s="289"/>
      <c r="R112" s="289"/>
      <c r="S112" s="289" t="s">
        <v>73</v>
      </c>
      <c r="T112" s="289"/>
      <c r="U112" s="289"/>
      <c r="V112" s="289"/>
      <c r="W112" s="289"/>
      <c r="X112" s="289" t="s">
        <v>74</v>
      </c>
      <c r="Y112" s="289"/>
      <c r="Z112" s="289"/>
      <c r="AA112" s="289"/>
      <c r="AB112" s="289"/>
      <c r="AC112" s="289"/>
      <c r="AD112" s="289"/>
      <c r="AE112" s="289"/>
      <c r="AF112" s="289"/>
      <c r="AG112" s="289"/>
      <c r="AH112" s="289"/>
      <c r="AI112" s="289"/>
      <c r="AJ112" s="289"/>
      <c r="AK112" s="289"/>
      <c r="AL112" s="289"/>
      <c r="AM112" s="289" t="s">
        <v>75</v>
      </c>
      <c r="AN112" s="289"/>
      <c r="AO112" s="289"/>
      <c r="AP112" s="289"/>
      <c r="AQ112" s="289"/>
      <c r="AR112" s="289" t="s">
        <v>29</v>
      </c>
      <c r="AS112" s="289"/>
      <c r="AT112" s="289"/>
      <c r="AU112" s="289"/>
      <c r="AV112" s="289"/>
      <c r="AW112" s="138"/>
      <c r="AX112" s="138"/>
      <c r="AY112" s="138"/>
      <c r="AZ112" s="171"/>
      <c r="BA112" s="172"/>
      <c r="BB112" s="289" t="s">
        <v>76</v>
      </c>
      <c r="BC112" s="289"/>
      <c r="BD112" s="289"/>
      <c r="BE112" s="289"/>
      <c r="BF112" s="289"/>
      <c r="BG112" s="289" t="s">
        <v>77</v>
      </c>
      <c r="BH112" s="289"/>
      <c r="BI112" s="289"/>
      <c r="BJ112" s="289"/>
      <c r="BK112" s="289"/>
      <c r="BL112" s="289" t="s">
        <v>78</v>
      </c>
      <c r="BM112" s="289"/>
      <c r="BN112" s="289"/>
      <c r="BO112" s="289"/>
      <c r="BP112" s="289"/>
      <c r="BQ112" s="289" t="s">
        <v>79</v>
      </c>
      <c r="BR112" s="289"/>
      <c r="BS112" s="289"/>
      <c r="BT112" s="289"/>
      <c r="BU112" s="289"/>
      <c r="BV112" s="172"/>
      <c r="BX112" s="272" t="s">
        <v>80</v>
      </c>
      <c r="BY112" s="268" t="s">
        <v>116</v>
      </c>
      <c r="BZ112" s="268" t="s">
        <v>81</v>
      </c>
      <c r="CA112" s="274" t="s">
        <v>82</v>
      </c>
      <c r="CB112" s="270" t="s">
        <v>83</v>
      </c>
      <c r="CC112" s="3"/>
      <c r="CD112" s="272" t="s">
        <v>80</v>
      </c>
      <c r="CE112" s="268" t="s">
        <v>116</v>
      </c>
      <c r="CF112" s="268" t="s">
        <v>81</v>
      </c>
      <c r="CG112" s="274" t="s">
        <v>82</v>
      </c>
      <c r="CH112" s="270" t="s">
        <v>83</v>
      </c>
      <c r="CI112" s="3"/>
      <c r="CJ112" s="272" t="s">
        <v>80</v>
      </c>
      <c r="CK112" s="268" t="s">
        <v>116</v>
      </c>
      <c r="CL112" s="268" t="s">
        <v>81</v>
      </c>
      <c r="CM112" s="274" t="s">
        <v>82</v>
      </c>
      <c r="CN112" s="270" t="s">
        <v>83</v>
      </c>
      <c r="CO112" s="3"/>
      <c r="CP112" s="272" t="s">
        <v>80</v>
      </c>
      <c r="CQ112" s="268" t="s">
        <v>116</v>
      </c>
      <c r="CR112" s="268" t="s">
        <v>81</v>
      </c>
      <c r="CS112" s="274" t="s">
        <v>82</v>
      </c>
      <c r="CT112" s="270" t="s">
        <v>83</v>
      </c>
      <c r="CU112" s="8"/>
      <c r="CV112" s="118" t="s">
        <v>84</v>
      </c>
      <c r="CW112" s="99" t="s">
        <v>85</v>
      </c>
      <c r="CX112" s="120" t="s">
        <v>86</v>
      </c>
      <c r="CY112" s="272" t="s">
        <v>87</v>
      </c>
      <c r="CZ112" s="364"/>
      <c r="DA112" s="8"/>
      <c r="DB112" s="398"/>
      <c r="DC112" s="397"/>
      <c r="DD112" s="396"/>
      <c r="DE112" s="396"/>
    </row>
    <row r="113" spans="1:109" s="173" customFormat="1" ht="18" customHeight="1" thickBot="1">
      <c r="A113" s="172"/>
      <c r="B113" s="169"/>
      <c r="C113" s="138"/>
      <c r="D113" s="138"/>
      <c r="E113" s="138"/>
      <c r="F113" s="289"/>
      <c r="G113" s="289"/>
      <c r="H113" s="289"/>
      <c r="I113" s="289"/>
      <c r="J113" s="289"/>
      <c r="K113" s="289"/>
      <c r="L113" s="289"/>
      <c r="M113" s="289"/>
      <c r="N113" s="289"/>
      <c r="O113" s="289"/>
      <c r="P113" s="289"/>
      <c r="Q113" s="289"/>
      <c r="R113" s="289"/>
      <c r="S113" s="289"/>
      <c r="T113" s="289"/>
      <c r="U113" s="289"/>
      <c r="V113" s="289"/>
      <c r="W113" s="289"/>
      <c r="X113" s="289">
        <v>1</v>
      </c>
      <c r="Y113" s="289"/>
      <c r="Z113" s="289"/>
      <c r="AA113" s="289"/>
      <c r="AB113" s="289"/>
      <c r="AC113" s="289">
        <v>2</v>
      </c>
      <c r="AD113" s="289"/>
      <c r="AE113" s="289"/>
      <c r="AF113" s="289"/>
      <c r="AG113" s="289"/>
      <c r="AH113" s="289">
        <v>3</v>
      </c>
      <c r="AI113" s="289"/>
      <c r="AJ113" s="289"/>
      <c r="AK113" s="289"/>
      <c r="AL113" s="289"/>
      <c r="AM113" s="289"/>
      <c r="AN113" s="289"/>
      <c r="AO113" s="289"/>
      <c r="AP113" s="289"/>
      <c r="AQ113" s="289"/>
      <c r="AR113" s="289"/>
      <c r="AS113" s="289"/>
      <c r="AT113" s="289"/>
      <c r="AU113" s="289"/>
      <c r="AV113" s="289"/>
      <c r="AW113" s="138"/>
      <c r="AX113" s="138"/>
      <c r="AY113" s="138"/>
      <c r="AZ113" s="171"/>
      <c r="BA113" s="172"/>
      <c r="BB113" s="289"/>
      <c r="BC113" s="289"/>
      <c r="BD113" s="289"/>
      <c r="BE113" s="289"/>
      <c r="BF113" s="289"/>
      <c r="BG113" s="289"/>
      <c r="BH113" s="289"/>
      <c r="BI113" s="289"/>
      <c r="BJ113" s="289"/>
      <c r="BK113" s="289"/>
      <c r="BL113" s="289"/>
      <c r="BM113" s="289"/>
      <c r="BN113" s="289"/>
      <c r="BO113" s="289"/>
      <c r="BP113" s="289"/>
      <c r="BQ113" s="289"/>
      <c r="BR113" s="289"/>
      <c r="BS113" s="289"/>
      <c r="BT113" s="289"/>
      <c r="BU113" s="289"/>
      <c r="BV113" s="172"/>
      <c r="BX113" s="273"/>
      <c r="BY113" s="269"/>
      <c r="BZ113" s="366"/>
      <c r="CA113" s="275"/>
      <c r="CB113" s="271"/>
      <c r="CC113" s="3"/>
      <c r="CD113" s="273"/>
      <c r="CE113" s="269"/>
      <c r="CF113" s="269"/>
      <c r="CG113" s="275"/>
      <c r="CH113" s="271"/>
      <c r="CI113" s="3"/>
      <c r="CJ113" s="273"/>
      <c r="CK113" s="269"/>
      <c r="CL113" s="269"/>
      <c r="CM113" s="275"/>
      <c r="CN113" s="271"/>
      <c r="CO113" s="3"/>
      <c r="CP113" s="273"/>
      <c r="CQ113" s="269"/>
      <c r="CR113" s="269"/>
      <c r="CS113" s="275"/>
      <c r="CT113" s="271"/>
      <c r="CU113" s="8"/>
      <c r="CV113" s="119" t="s">
        <v>88</v>
      </c>
      <c r="CW113" s="100" t="s">
        <v>89</v>
      </c>
      <c r="CX113" s="121" t="s">
        <v>90</v>
      </c>
      <c r="CY113" s="273" t="s">
        <v>91</v>
      </c>
      <c r="CZ113" s="365"/>
      <c r="DA113" s="8"/>
      <c r="DB113" s="398"/>
      <c r="DC113" s="397"/>
      <c r="DD113" s="396"/>
      <c r="DE113" s="396"/>
    </row>
    <row r="114" spans="1:109" s="173" customFormat="1" ht="18" customHeight="1">
      <c r="A114" s="172"/>
      <c r="B114" s="169"/>
      <c r="C114" s="138"/>
      <c r="D114" s="138"/>
      <c r="E114" s="138"/>
      <c r="F114" s="285" t="s">
        <v>145</v>
      </c>
      <c r="G114" s="286"/>
      <c r="H114" s="286"/>
      <c r="I114" s="286"/>
      <c r="J114" s="286"/>
      <c r="K114" s="287"/>
      <c r="L114" s="293">
        <f>6*90%</f>
        <v>5.4</v>
      </c>
      <c r="M114" s="294"/>
      <c r="N114" s="294"/>
      <c r="O114" s="294"/>
      <c r="P114" s="295" t="s">
        <v>152</v>
      </c>
      <c r="Q114" s="295"/>
      <c r="R114" s="296"/>
      <c r="S114" s="297" t="s">
        <v>97</v>
      </c>
      <c r="T114" s="297"/>
      <c r="U114" s="297"/>
      <c r="V114" s="297"/>
      <c r="W114" s="297"/>
      <c r="X114" s="290"/>
      <c r="Y114" s="291"/>
      <c r="Z114" s="291"/>
      <c r="AA114" s="291"/>
      <c r="AB114" s="291"/>
      <c r="AC114" s="290"/>
      <c r="AD114" s="291"/>
      <c r="AE114" s="291"/>
      <c r="AF114" s="291"/>
      <c r="AG114" s="291"/>
      <c r="AH114" s="290"/>
      <c r="AI114" s="291"/>
      <c r="AJ114" s="291"/>
      <c r="AK114" s="291"/>
      <c r="AL114" s="291"/>
      <c r="AM114" s="291" t="e">
        <f>AVERAGE(X114:AL114)</f>
        <v>#DIV/0!</v>
      </c>
      <c r="AN114" s="291"/>
      <c r="AO114" s="291"/>
      <c r="AP114" s="291"/>
      <c r="AQ114" s="291"/>
      <c r="AR114" s="291" t="e">
        <f>AM114-L114</f>
        <v>#DIV/0!</v>
      </c>
      <c r="AS114" s="291"/>
      <c r="AT114" s="291"/>
      <c r="AU114" s="291"/>
      <c r="AV114" s="291"/>
      <c r="AW114" s="138"/>
      <c r="AX114" s="138"/>
      <c r="AY114" s="138"/>
      <c r="AZ114" s="171"/>
      <c r="BA114" s="172"/>
      <c r="BB114" s="292" t="e">
        <f>(AM114*1.5%)+(3*CK114)</f>
        <v>#DIV/0!</v>
      </c>
      <c r="BC114" s="292"/>
      <c r="BD114" s="292"/>
      <c r="BE114" s="292"/>
      <c r="BF114" s="292"/>
      <c r="BG114" s="292" t="e">
        <f>L114+BB114</f>
        <v>#DIV/0!</v>
      </c>
      <c r="BH114" s="292"/>
      <c r="BI114" s="292"/>
      <c r="BJ114" s="292"/>
      <c r="BK114" s="292"/>
      <c r="BL114" s="292" t="e">
        <f>L114-BB114</f>
        <v>#DIV/0!</v>
      </c>
      <c r="BM114" s="292"/>
      <c r="BN114" s="292"/>
      <c r="BO114" s="292"/>
      <c r="BP114" s="292"/>
      <c r="BQ114" s="330" t="e">
        <f>IF(AND(AM114&lt;=BG114,AM114&gt;=BL114),"PASS","FAIL")</f>
        <v>#DIV/0!</v>
      </c>
      <c r="BR114" s="330"/>
      <c r="BS114" s="330"/>
      <c r="BT114" s="330"/>
      <c r="BU114" s="330"/>
      <c r="BV114" s="172"/>
      <c r="BX114" s="68" t="s">
        <v>132</v>
      </c>
      <c r="BY114" s="206">
        <v>2E-3</v>
      </c>
      <c r="BZ114" s="1" t="str">
        <f>P114</f>
        <v>A</v>
      </c>
      <c r="CA114" s="191">
        <v>2</v>
      </c>
      <c r="CB114" s="75">
        <f t="shared" ref="CB114:CB115" si="182">BY114/CA114</f>
        <v>1E-3</v>
      </c>
      <c r="CC114" s="4"/>
      <c r="CD114" s="68" t="s">
        <v>134</v>
      </c>
      <c r="CE114" s="86">
        <v>0</v>
      </c>
      <c r="CF114" s="69" t="str">
        <f t="shared" ref="CF114:CF117" si="183">BZ114</f>
        <v>A</v>
      </c>
      <c r="CG114" s="78">
        <f t="shared" ref="CG114:CG117" si="184">SQRT(3)</f>
        <v>1.7320508075688772</v>
      </c>
      <c r="CH114" s="75">
        <f t="shared" ref="CH114:CH117" si="185">CE114/CG114</f>
        <v>0</v>
      </c>
      <c r="CI114" s="4"/>
      <c r="CJ114" s="68" t="s">
        <v>93</v>
      </c>
      <c r="CK114" s="175">
        <v>1E-3</v>
      </c>
      <c r="CL114" s="69" t="str">
        <f>P114</f>
        <v>A</v>
      </c>
      <c r="CM114" s="78">
        <f t="shared" ref="CM114:CM117" si="186">SQRT(12)</f>
        <v>3.4641016151377544</v>
      </c>
      <c r="CN114" s="75">
        <f t="shared" ref="CN114:CN117" si="187">CK114/CM114</f>
        <v>2.886751345948129E-4</v>
      </c>
      <c r="CO114" s="4"/>
      <c r="CP114" s="68" t="s">
        <v>71</v>
      </c>
      <c r="CQ114" s="81" t="e">
        <f>STDEV(X114:AL114)</f>
        <v>#DIV/0!</v>
      </c>
      <c r="CR114" s="69" t="str">
        <f>P114</f>
        <v>A</v>
      </c>
      <c r="CS114" s="78">
        <f t="shared" ref="CS114:CS117" si="188">SQRT(3)</f>
        <v>1.7320508075688772</v>
      </c>
      <c r="CT114" s="83" t="e">
        <f t="shared" ref="CT114:CT117" si="189">CQ114/CS114</f>
        <v>#DIV/0!</v>
      </c>
      <c r="CU114" s="8"/>
      <c r="CV114" s="96" t="e">
        <f t="shared" ref="CV114:CV117" si="190">SQRT(SUMSQ(CT114,CN114,CH114,CB114))</f>
        <v>#DIV/0!</v>
      </c>
      <c r="CW114" s="97" t="e">
        <f t="shared" ref="CW114:CW117" si="191">(CV114^4)/(((CT114^4)/2)+((CN114^4)/200)+((CH114^4)/200)+((CB114^4)/200))</f>
        <v>#DIV/0!</v>
      </c>
      <c r="CX114" s="98" t="e">
        <f t="shared" ref="CX114:CX115" si="192">ROUND(TINV(0.05,CW114),0)</f>
        <v>#DIV/0!</v>
      </c>
      <c r="CY114" s="101" t="e">
        <f>(CV114*CX114)</f>
        <v>#DIV/0!</v>
      </c>
      <c r="CZ114" s="102" t="str">
        <f>P114</f>
        <v>A</v>
      </c>
      <c r="DA114" s="8"/>
      <c r="DB114" s="176">
        <v>2.8999999999999998E-3</v>
      </c>
      <c r="DC114" s="177" t="str">
        <f>CZ114</f>
        <v>A</v>
      </c>
      <c r="DD114" s="223" t="e">
        <f>MAX(CY114,DB114)</f>
        <v>#DIV/0!</v>
      </c>
      <c r="DE114" s="177" t="str">
        <f>DC114</f>
        <v>A</v>
      </c>
    </row>
    <row r="115" spans="1:109" s="173" customFormat="1" ht="18" customHeight="1">
      <c r="A115" s="172"/>
      <c r="B115" s="169"/>
      <c r="C115" s="138"/>
      <c r="D115" s="138"/>
      <c r="E115" s="138"/>
      <c r="F115" s="288"/>
      <c r="G115" s="286"/>
      <c r="H115" s="286"/>
      <c r="I115" s="286"/>
      <c r="J115" s="286"/>
      <c r="K115" s="287"/>
      <c r="L115" s="293">
        <f>6*90%</f>
        <v>5.4</v>
      </c>
      <c r="M115" s="294"/>
      <c r="N115" s="294"/>
      <c r="O115" s="294"/>
      <c r="P115" s="295" t="s">
        <v>152</v>
      </c>
      <c r="Q115" s="295"/>
      <c r="R115" s="296"/>
      <c r="S115" s="297" t="s">
        <v>147</v>
      </c>
      <c r="T115" s="297"/>
      <c r="U115" s="297"/>
      <c r="V115" s="297"/>
      <c r="W115" s="297"/>
      <c r="X115" s="290"/>
      <c r="Y115" s="291"/>
      <c r="Z115" s="291"/>
      <c r="AA115" s="291"/>
      <c r="AB115" s="291"/>
      <c r="AC115" s="290"/>
      <c r="AD115" s="291"/>
      <c r="AE115" s="291"/>
      <c r="AF115" s="291"/>
      <c r="AG115" s="291"/>
      <c r="AH115" s="290"/>
      <c r="AI115" s="291"/>
      <c r="AJ115" s="291"/>
      <c r="AK115" s="291"/>
      <c r="AL115" s="291"/>
      <c r="AM115" s="291" t="e">
        <f t="shared" ref="AM115:AM116" si="193">AVERAGE(X115:AL115)</f>
        <v>#DIV/0!</v>
      </c>
      <c r="AN115" s="291"/>
      <c r="AO115" s="291"/>
      <c r="AP115" s="291"/>
      <c r="AQ115" s="291"/>
      <c r="AR115" s="291" t="e">
        <f t="shared" ref="AR115:AR116" si="194">AM115-L115</f>
        <v>#DIV/0!</v>
      </c>
      <c r="AS115" s="291"/>
      <c r="AT115" s="291"/>
      <c r="AU115" s="291"/>
      <c r="AV115" s="291"/>
      <c r="AW115" s="138"/>
      <c r="AX115" s="138"/>
      <c r="AY115" s="138"/>
      <c r="AZ115" s="171"/>
      <c r="BA115" s="172"/>
      <c r="BB115" s="292" t="e">
        <f t="shared" ref="BB115:BB117" si="195">(AM115*1.5%)+(3*CK115)</f>
        <v>#DIV/0!</v>
      </c>
      <c r="BC115" s="292"/>
      <c r="BD115" s="292"/>
      <c r="BE115" s="292"/>
      <c r="BF115" s="292"/>
      <c r="BG115" s="301" t="e">
        <f>L115+BB115</f>
        <v>#DIV/0!</v>
      </c>
      <c r="BH115" s="301"/>
      <c r="BI115" s="301"/>
      <c r="BJ115" s="301"/>
      <c r="BK115" s="301"/>
      <c r="BL115" s="301" t="e">
        <f>L115-BB115</f>
        <v>#DIV/0!</v>
      </c>
      <c r="BM115" s="301"/>
      <c r="BN115" s="301"/>
      <c r="BO115" s="301"/>
      <c r="BP115" s="301"/>
      <c r="BQ115" s="330" t="e">
        <f>IF(AND(AM115&lt;=BG115,AM115&gt;=BL115),"PASS","FAIL")</f>
        <v>#DIV/0!</v>
      </c>
      <c r="BR115" s="330"/>
      <c r="BS115" s="330"/>
      <c r="BT115" s="330"/>
      <c r="BU115" s="330"/>
      <c r="BV115" s="172"/>
      <c r="BX115" s="70" t="s">
        <v>132</v>
      </c>
      <c r="BY115" s="178">
        <v>2E-3</v>
      </c>
      <c r="BZ115" s="1" t="str">
        <f>P115</f>
        <v>A</v>
      </c>
      <c r="CA115" s="179">
        <v>2</v>
      </c>
      <c r="CB115" s="76">
        <f t="shared" si="182"/>
        <v>1E-3</v>
      </c>
      <c r="CC115" s="4"/>
      <c r="CD115" s="70" t="s">
        <v>134</v>
      </c>
      <c r="CE115" s="5">
        <v>0</v>
      </c>
      <c r="CF115" s="1" t="str">
        <f t="shared" si="183"/>
        <v>A</v>
      </c>
      <c r="CG115" s="79">
        <f t="shared" si="184"/>
        <v>1.7320508075688772</v>
      </c>
      <c r="CH115" s="76">
        <f t="shared" si="185"/>
        <v>0</v>
      </c>
      <c r="CI115" s="4"/>
      <c r="CJ115" s="70" t="s">
        <v>93</v>
      </c>
      <c r="CK115" s="180">
        <v>1E-3</v>
      </c>
      <c r="CL115" s="1" t="str">
        <f>P115</f>
        <v>A</v>
      </c>
      <c r="CM115" s="79">
        <f t="shared" si="186"/>
        <v>3.4641016151377544</v>
      </c>
      <c r="CN115" s="76">
        <f t="shared" si="187"/>
        <v>2.886751345948129E-4</v>
      </c>
      <c r="CO115" s="4"/>
      <c r="CP115" s="70" t="s">
        <v>71</v>
      </c>
      <c r="CQ115" s="6" t="e">
        <f>STDEV(X115:AL115)</f>
        <v>#DIV/0!</v>
      </c>
      <c r="CR115" s="1" t="str">
        <f>P115</f>
        <v>A</v>
      </c>
      <c r="CS115" s="79">
        <f t="shared" si="188"/>
        <v>1.7320508075688772</v>
      </c>
      <c r="CT115" s="84" t="e">
        <f t="shared" si="189"/>
        <v>#DIV/0!</v>
      </c>
      <c r="CU115" s="8"/>
      <c r="CV115" s="92" t="e">
        <f t="shared" si="190"/>
        <v>#DIV/0!</v>
      </c>
      <c r="CW115" s="5" t="e">
        <f t="shared" si="191"/>
        <v>#DIV/0!</v>
      </c>
      <c r="CX115" s="93" t="e">
        <f t="shared" si="192"/>
        <v>#DIV/0!</v>
      </c>
      <c r="CY115" s="103" t="e">
        <f t="shared" ref="CY115:CY116" si="196">(CV115*CX115)</f>
        <v>#DIV/0!</v>
      </c>
      <c r="CZ115" s="104" t="str">
        <f>P115</f>
        <v>A</v>
      </c>
      <c r="DA115" s="8"/>
      <c r="DB115" s="176">
        <v>3.8999999999999998E-3</v>
      </c>
      <c r="DC115" s="177" t="str">
        <f t="shared" ref="DC115:DC117" si="197">CZ115</f>
        <v>A</v>
      </c>
      <c r="DD115" s="223" t="e">
        <f t="shared" ref="DD115:DD117" si="198">MAX(CY115,DB115)</f>
        <v>#DIV/0!</v>
      </c>
      <c r="DE115" s="177" t="str">
        <f t="shared" ref="DE115:DE117" si="199">DC115</f>
        <v>A</v>
      </c>
    </row>
    <row r="116" spans="1:109" s="173" customFormat="1" ht="18" customHeight="1">
      <c r="A116" s="172"/>
      <c r="B116" s="169"/>
      <c r="C116" s="138"/>
      <c r="D116" s="138"/>
      <c r="E116" s="138"/>
      <c r="F116" s="285" t="s">
        <v>146</v>
      </c>
      <c r="G116" s="286"/>
      <c r="H116" s="286"/>
      <c r="I116" s="286"/>
      <c r="J116" s="286"/>
      <c r="K116" s="287"/>
      <c r="L116" s="293">
        <f>10*90%</f>
        <v>9</v>
      </c>
      <c r="M116" s="294"/>
      <c r="N116" s="294"/>
      <c r="O116" s="294"/>
      <c r="P116" s="295" t="s">
        <v>152</v>
      </c>
      <c r="Q116" s="295"/>
      <c r="R116" s="296"/>
      <c r="S116" s="297" t="s">
        <v>97</v>
      </c>
      <c r="T116" s="297"/>
      <c r="U116" s="297"/>
      <c r="V116" s="297"/>
      <c r="W116" s="297"/>
      <c r="X116" s="339"/>
      <c r="Y116" s="292"/>
      <c r="Z116" s="292"/>
      <c r="AA116" s="292"/>
      <c r="AB116" s="292"/>
      <c r="AC116" s="339"/>
      <c r="AD116" s="292"/>
      <c r="AE116" s="292"/>
      <c r="AF116" s="292"/>
      <c r="AG116" s="292"/>
      <c r="AH116" s="339"/>
      <c r="AI116" s="292"/>
      <c r="AJ116" s="292"/>
      <c r="AK116" s="292"/>
      <c r="AL116" s="292"/>
      <c r="AM116" s="292" t="e">
        <f t="shared" si="193"/>
        <v>#DIV/0!</v>
      </c>
      <c r="AN116" s="292"/>
      <c r="AO116" s="292"/>
      <c r="AP116" s="292"/>
      <c r="AQ116" s="292"/>
      <c r="AR116" s="292" t="e">
        <f t="shared" si="194"/>
        <v>#DIV/0!</v>
      </c>
      <c r="AS116" s="292"/>
      <c r="AT116" s="292"/>
      <c r="AU116" s="292"/>
      <c r="AV116" s="292"/>
      <c r="AW116" s="138"/>
      <c r="AX116" s="138"/>
      <c r="AY116" s="138"/>
      <c r="AZ116" s="171"/>
      <c r="BA116" s="172"/>
      <c r="BB116" s="292" t="e">
        <f t="shared" si="195"/>
        <v>#DIV/0!</v>
      </c>
      <c r="BC116" s="292"/>
      <c r="BD116" s="292"/>
      <c r="BE116" s="292"/>
      <c r="BF116" s="292"/>
      <c r="BG116" s="301" t="e">
        <f>L116+BB116</f>
        <v>#DIV/0!</v>
      </c>
      <c r="BH116" s="301"/>
      <c r="BI116" s="301"/>
      <c r="BJ116" s="301"/>
      <c r="BK116" s="301"/>
      <c r="BL116" s="301" t="e">
        <f>L116-BB116</f>
        <v>#DIV/0!</v>
      </c>
      <c r="BM116" s="301"/>
      <c r="BN116" s="301"/>
      <c r="BO116" s="301"/>
      <c r="BP116" s="301"/>
      <c r="BQ116" s="330" t="e">
        <f>IF(AND(AM116&lt;=BG116,AM116&gt;=BL116),"PASS","FAIL")</f>
        <v>#DIV/0!</v>
      </c>
      <c r="BR116" s="330"/>
      <c r="BS116" s="330"/>
      <c r="BT116" s="330"/>
      <c r="BU116" s="330"/>
      <c r="BV116" s="172"/>
      <c r="BX116" s="70" t="s">
        <v>132</v>
      </c>
      <c r="BY116" s="178">
        <v>2E-3</v>
      </c>
      <c r="BZ116" s="1" t="str">
        <f>P116</f>
        <v>A</v>
      </c>
      <c r="CA116" s="179">
        <v>2</v>
      </c>
      <c r="CB116" s="76">
        <f t="shared" ref="CB116:CB117" si="200">BY116/CA116</f>
        <v>1E-3</v>
      </c>
      <c r="CC116" s="4"/>
      <c r="CD116" s="70" t="s">
        <v>134</v>
      </c>
      <c r="CE116" s="5">
        <v>0</v>
      </c>
      <c r="CF116" s="1" t="str">
        <f t="shared" si="183"/>
        <v>A</v>
      </c>
      <c r="CG116" s="79">
        <f t="shared" si="184"/>
        <v>1.7320508075688772</v>
      </c>
      <c r="CH116" s="76">
        <f t="shared" si="185"/>
        <v>0</v>
      </c>
      <c r="CI116" s="4"/>
      <c r="CJ116" s="70" t="s">
        <v>93</v>
      </c>
      <c r="CK116" s="180">
        <v>0.01</v>
      </c>
      <c r="CL116" s="1" t="str">
        <f>P116</f>
        <v>A</v>
      </c>
      <c r="CM116" s="79">
        <f t="shared" si="186"/>
        <v>3.4641016151377544</v>
      </c>
      <c r="CN116" s="76">
        <f t="shared" si="187"/>
        <v>2.886751345948129E-3</v>
      </c>
      <c r="CO116" s="4"/>
      <c r="CP116" s="70" t="s">
        <v>71</v>
      </c>
      <c r="CQ116" s="6" t="e">
        <f>STDEV(X116:AL116)</f>
        <v>#DIV/0!</v>
      </c>
      <c r="CR116" s="1" t="str">
        <f>P116</f>
        <v>A</v>
      </c>
      <c r="CS116" s="79">
        <f t="shared" si="188"/>
        <v>1.7320508075688772</v>
      </c>
      <c r="CT116" s="84" t="e">
        <f t="shared" si="189"/>
        <v>#DIV/0!</v>
      </c>
      <c r="CU116" s="8"/>
      <c r="CV116" s="92" t="e">
        <f t="shared" si="190"/>
        <v>#DIV/0!</v>
      </c>
      <c r="CW116" s="5" t="e">
        <f t="shared" si="191"/>
        <v>#DIV/0!</v>
      </c>
      <c r="CX116" s="93" t="e">
        <f t="shared" ref="CX116:CX117" si="201">ROUND(TINV(0.05,CW116),0)</f>
        <v>#DIV/0!</v>
      </c>
      <c r="CY116" s="103" t="e">
        <f t="shared" si="196"/>
        <v>#DIV/0!</v>
      </c>
      <c r="CZ116" s="104" t="str">
        <f t="shared" ref="CZ116:CZ117" si="202">P116</f>
        <v>A</v>
      </c>
      <c r="DA116" s="8"/>
      <c r="DB116" s="176">
        <v>2.8999999999999998E-3</v>
      </c>
      <c r="DC116" s="177" t="str">
        <f t="shared" si="197"/>
        <v>A</v>
      </c>
      <c r="DD116" s="223" t="e">
        <f t="shared" si="198"/>
        <v>#DIV/0!</v>
      </c>
      <c r="DE116" s="177" t="str">
        <f t="shared" si="199"/>
        <v>A</v>
      </c>
    </row>
    <row r="117" spans="1:109" s="173" customFormat="1" ht="18" customHeight="1" thickBot="1">
      <c r="A117" s="172"/>
      <c r="B117" s="169"/>
      <c r="C117" s="138"/>
      <c r="D117" s="138"/>
      <c r="E117" s="138"/>
      <c r="F117" s="288"/>
      <c r="G117" s="286"/>
      <c r="H117" s="286"/>
      <c r="I117" s="286"/>
      <c r="J117" s="286"/>
      <c r="K117" s="287"/>
      <c r="L117" s="293">
        <f>10*90%</f>
        <v>9</v>
      </c>
      <c r="M117" s="294"/>
      <c r="N117" s="294"/>
      <c r="O117" s="294"/>
      <c r="P117" s="295" t="s">
        <v>152</v>
      </c>
      <c r="Q117" s="295"/>
      <c r="R117" s="296"/>
      <c r="S117" s="297" t="s">
        <v>147</v>
      </c>
      <c r="T117" s="297"/>
      <c r="U117" s="297"/>
      <c r="V117" s="297"/>
      <c r="W117" s="297"/>
      <c r="X117" s="339"/>
      <c r="Y117" s="292"/>
      <c r="Z117" s="292"/>
      <c r="AA117" s="292"/>
      <c r="AB117" s="292"/>
      <c r="AC117" s="339"/>
      <c r="AD117" s="292"/>
      <c r="AE117" s="292"/>
      <c r="AF117" s="292"/>
      <c r="AG117" s="292"/>
      <c r="AH117" s="339"/>
      <c r="AI117" s="292"/>
      <c r="AJ117" s="292"/>
      <c r="AK117" s="292"/>
      <c r="AL117" s="292"/>
      <c r="AM117" s="292" t="e">
        <f t="shared" ref="AM117" si="203">AVERAGE(X117:AL117)</f>
        <v>#DIV/0!</v>
      </c>
      <c r="AN117" s="292"/>
      <c r="AO117" s="292"/>
      <c r="AP117" s="292"/>
      <c r="AQ117" s="292"/>
      <c r="AR117" s="292" t="e">
        <f t="shared" ref="AR117" si="204">AM117-L117</f>
        <v>#DIV/0!</v>
      </c>
      <c r="AS117" s="292"/>
      <c r="AT117" s="292"/>
      <c r="AU117" s="292"/>
      <c r="AV117" s="292"/>
      <c r="AW117" s="138"/>
      <c r="AX117" s="138"/>
      <c r="AY117" s="138"/>
      <c r="AZ117" s="171"/>
      <c r="BA117" s="172"/>
      <c r="BB117" s="292" t="e">
        <f t="shared" si="195"/>
        <v>#DIV/0!</v>
      </c>
      <c r="BC117" s="292"/>
      <c r="BD117" s="292"/>
      <c r="BE117" s="292"/>
      <c r="BF117" s="292"/>
      <c r="BG117" s="301" t="e">
        <f>L117+BB117</f>
        <v>#DIV/0!</v>
      </c>
      <c r="BH117" s="301"/>
      <c r="BI117" s="301"/>
      <c r="BJ117" s="301"/>
      <c r="BK117" s="301"/>
      <c r="BL117" s="301" t="e">
        <f>L117-BB117</f>
        <v>#DIV/0!</v>
      </c>
      <c r="BM117" s="301"/>
      <c r="BN117" s="301"/>
      <c r="BO117" s="301"/>
      <c r="BP117" s="301"/>
      <c r="BQ117" s="330" t="e">
        <f>IF(AND(AM117&lt;=BG117,AM117&gt;=BL117),"PASS","FAIL")</f>
        <v>#DIV/0!</v>
      </c>
      <c r="BR117" s="330"/>
      <c r="BS117" s="330"/>
      <c r="BT117" s="330"/>
      <c r="BU117" s="330"/>
      <c r="BV117" s="172"/>
      <c r="BX117" s="71" t="s">
        <v>132</v>
      </c>
      <c r="BY117" s="181">
        <v>2E-3</v>
      </c>
      <c r="BZ117" s="72" t="str">
        <f>P117</f>
        <v>A</v>
      </c>
      <c r="CA117" s="182">
        <v>2</v>
      </c>
      <c r="CB117" s="77">
        <f t="shared" si="200"/>
        <v>1E-3</v>
      </c>
      <c r="CC117" s="4"/>
      <c r="CD117" s="71" t="s">
        <v>134</v>
      </c>
      <c r="CE117" s="87">
        <v>0</v>
      </c>
      <c r="CF117" s="72" t="str">
        <f t="shared" si="183"/>
        <v>A</v>
      </c>
      <c r="CG117" s="80">
        <f t="shared" si="184"/>
        <v>1.7320508075688772</v>
      </c>
      <c r="CH117" s="77">
        <f t="shared" si="185"/>
        <v>0</v>
      </c>
      <c r="CI117" s="4"/>
      <c r="CJ117" s="71" t="s">
        <v>93</v>
      </c>
      <c r="CK117" s="183">
        <v>0.01</v>
      </c>
      <c r="CL117" s="72" t="str">
        <f t="shared" ref="CL117" si="205">P117</f>
        <v>A</v>
      </c>
      <c r="CM117" s="80">
        <f t="shared" si="186"/>
        <v>3.4641016151377544</v>
      </c>
      <c r="CN117" s="77">
        <f t="shared" si="187"/>
        <v>2.886751345948129E-3</v>
      </c>
      <c r="CO117" s="4"/>
      <c r="CP117" s="71" t="s">
        <v>71</v>
      </c>
      <c r="CQ117" s="82" t="e">
        <f>STDEV(X117:AL117)</f>
        <v>#DIV/0!</v>
      </c>
      <c r="CR117" s="72" t="str">
        <f>P117</f>
        <v>A</v>
      </c>
      <c r="CS117" s="80">
        <f t="shared" si="188"/>
        <v>1.7320508075688772</v>
      </c>
      <c r="CT117" s="85" t="e">
        <f t="shared" si="189"/>
        <v>#DIV/0!</v>
      </c>
      <c r="CU117" s="8"/>
      <c r="CV117" s="94" t="e">
        <f t="shared" si="190"/>
        <v>#DIV/0!</v>
      </c>
      <c r="CW117" s="87" t="e">
        <f t="shared" si="191"/>
        <v>#DIV/0!</v>
      </c>
      <c r="CX117" s="95" t="e">
        <f t="shared" si="201"/>
        <v>#DIV/0!</v>
      </c>
      <c r="CY117" s="105" t="e">
        <f>(CV117*CX117)</f>
        <v>#DIV/0!</v>
      </c>
      <c r="CZ117" s="106" t="str">
        <f t="shared" si="202"/>
        <v>A</v>
      </c>
      <c r="DA117" s="8"/>
      <c r="DB117" s="176">
        <v>3.8999999999999998E-3</v>
      </c>
      <c r="DC117" s="177" t="str">
        <f t="shared" si="197"/>
        <v>A</v>
      </c>
      <c r="DD117" s="223" t="e">
        <f t="shared" si="198"/>
        <v>#DIV/0!</v>
      </c>
      <c r="DE117" s="177" t="str">
        <f t="shared" si="199"/>
        <v>A</v>
      </c>
    </row>
    <row r="118" spans="1:109" s="142" customFormat="1" ht="12">
      <c r="A118" s="135"/>
      <c r="B118" s="165"/>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c r="AP118" s="166"/>
      <c r="AQ118" s="166"/>
      <c r="AR118" s="166"/>
      <c r="AS118" s="166"/>
      <c r="AT118" s="166"/>
      <c r="AU118" s="166"/>
      <c r="AV118" s="166"/>
      <c r="AW118" s="166"/>
      <c r="AX118" s="166"/>
      <c r="AY118" s="166"/>
      <c r="AZ118" s="167"/>
      <c r="BA118" s="135"/>
      <c r="BB118" s="135"/>
      <c r="BC118" s="135"/>
      <c r="BD118" s="135"/>
      <c r="BE118" s="135"/>
      <c r="BF118" s="135"/>
      <c r="BG118" s="135"/>
      <c r="BH118" s="135"/>
      <c r="BI118" s="135"/>
      <c r="BJ118" s="135"/>
      <c r="BK118" s="135"/>
      <c r="BL118" s="135"/>
      <c r="BM118" s="135"/>
      <c r="BN118" s="135"/>
      <c r="BO118" s="135"/>
      <c r="BP118" s="135"/>
      <c r="BQ118" s="135"/>
      <c r="BR118" s="135"/>
      <c r="BS118" s="135"/>
      <c r="BT118" s="135"/>
      <c r="BU118" s="135"/>
      <c r="BV118" s="135"/>
    </row>
    <row r="119" spans="1:109" s="142" customFormat="1" ht="13.5">
      <c r="A119" s="135"/>
      <c r="B119" s="193" t="s">
        <v>105</v>
      </c>
      <c r="C119" s="194"/>
      <c r="D119" s="194"/>
      <c r="E119" s="194"/>
      <c r="F119" s="194"/>
      <c r="G119" s="194"/>
      <c r="H119" s="194"/>
      <c r="I119" s="194"/>
      <c r="J119" s="195"/>
      <c r="K119" s="195"/>
      <c r="L119" s="195"/>
      <c r="M119" s="195"/>
      <c r="N119" s="195"/>
      <c r="O119" s="195"/>
      <c r="P119" s="195"/>
      <c r="Q119" s="195"/>
      <c r="R119" s="195"/>
      <c r="S119" s="195"/>
      <c r="T119" s="195"/>
      <c r="U119" s="195"/>
      <c r="V119" s="195"/>
      <c r="W119" s="195"/>
      <c r="X119" s="195"/>
      <c r="Y119" s="194"/>
      <c r="Z119" s="194"/>
      <c r="AA119" s="194"/>
      <c r="AB119" s="195"/>
      <c r="AC119" s="195"/>
      <c r="AD119" s="195"/>
      <c r="AE119" s="195"/>
      <c r="AF119" s="195"/>
      <c r="AG119" s="195"/>
      <c r="AH119" s="195"/>
      <c r="AI119" s="195"/>
      <c r="AJ119" s="195"/>
      <c r="AK119" s="195"/>
      <c r="AL119" s="195"/>
      <c r="AM119" s="195"/>
      <c r="AN119" s="195"/>
      <c r="AO119" s="195"/>
      <c r="AP119" s="195"/>
      <c r="AQ119" s="195"/>
      <c r="AR119" s="195"/>
      <c r="AS119" s="195"/>
      <c r="AT119" s="195"/>
      <c r="AU119" s="195"/>
      <c r="AV119" s="195"/>
      <c r="AW119" s="194"/>
      <c r="AX119" s="194"/>
      <c r="AY119" s="194"/>
      <c r="AZ119" s="196"/>
      <c r="BA119" s="135"/>
      <c r="BB119" s="135"/>
      <c r="BC119" s="135"/>
      <c r="BD119" s="135"/>
      <c r="BE119" s="135"/>
      <c r="BF119" s="135"/>
      <c r="BG119" s="135"/>
      <c r="BH119" s="135"/>
      <c r="BI119" s="135"/>
      <c r="BJ119" s="135"/>
      <c r="BK119" s="135"/>
      <c r="BL119" s="135"/>
      <c r="BM119" s="135"/>
      <c r="BN119" s="135"/>
      <c r="BO119" s="135"/>
      <c r="BP119" s="135"/>
      <c r="BQ119" s="135"/>
      <c r="BR119" s="135"/>
      <c r="BS119" s="135"/>
      <c r="BT119" s="135"/>
      <c r="BU119" s="135"/>
      <c r="BV119" s="135"/>
    </row>
    <row r="120" spans="1:109" s="142" customFormat="1" ht="13.5">
      <c r="A120" s="135"/>
      <c r="B120" s="340"/>
      <c r="C120" s="341"/>
      <c r="D120" s="341"/>
      <c r="E120" s="341"/>
      <c r="F120" s="341"/>
      <c r="G120" s="341"/>
      <c r="H120" s="341"/>
      <c r="I120" s="341"/>
      <c r="J120" s="341"/>
      <c r="K120" s="341"/>
      <c r="L120" s="341"/>
      <c r="M120" s="341"/>
      <c r="N120" s="341"/>
      <c r="O120" s="341"/>
      <c r="P120" s="341"/>
      <c r="Q120" s="341"/>
      <c r="R120" s="341"/>
      <c r="S120" s="341"/>
      <c r="T120" s="342"/>
      <c r="U120" s="343"/>
      <c r="V120" s="343"/>
      <c r="W120" s="343"/>
      <c r="X120" s="343"/>
      <c r="Y120" s="343"/>
      <c r="Z120" s="343"/>
      <c r="AA120" s="343"/>
      <c r="AB120" s="343"/>
      <c r="AC120" s="343"/>
      <c r="AD120" s="343"/>
      <c r="AE120" s="343"/>
      <c r="AF120" s="343"/>
      <c r="AG120" s="343"/>
      <c r="AH120" s="343"/>
      <c r="AI120" s="343"/>
      <c r="AJ120" s="344"/>
      <c r="AK120" s="349">
        <f>AL11</f>
        <v>0</v>
      </c>
      <c r="AL120" s="350"/>
      <c r="AM120" s="350"/>
      <c r="AN120" s="350"/>
      <c r="AO120" s="350"/>
      <c r="AP120" s="350"/>
      <c r="AQ120" s="350"/>
      <c r="AR120" s="350"/>
      <c r="AS120" s="350"/>
      <c r="AT120" s="350"/>
      <c r="AU120" s="350"/>
      <c r="AV120" s="350"/>
      <c r="AW120" s="350"/>
      <c r="AX120" s="350"/>
      <c r="AY120" s="350"/>
      <c r="AZ120" s="351"/>
      <c r="BA120" s="135"/>
      <c r="BB120" s="135"/>
      <c r="BC120" s="135"/>
      <c r="BD120" s="135"/>
      <c r="BE120" s="135"/>
      <c r="BF120" s="135"/>
      <c r="BG120" s="135"/>
      <c r="BH120" s="135"/>
      <c r="BI120" s="135"/>
      <c r="BJ120" s="135"/>
      <c r="BK120" s="135"/>
      <c r="BL120" s="135"/>
      <c r="BM120" s="135"/>
      <c r="BN120" s="135"/>
      <c r="BO120" s="135"/>
      <c r="BP120" s="135"/>
      <c r="BQ120" s="135"/>
      <c r="BR120" s="135"/>
      <c r="BS120" s="135"/>
      <c r="BT120" s="135"/>
      <c r="BU120" s="135"/>
      <c r="BV120" s="135"/>
    </row>
    <row r="121" spans="1:109" s="142" customFormat="1" ht="13.5">
      <c r="A121" s="135"/>
      <c r="B121" s="358" t="s">
        <v>106</v>
      </c>
      <c r="C121" s="359"/>
      <c r="D121" s="359"/>
      <c r="E121" s="359"/>
      <c r="F121" s="359"/>
      <c r="G121" s="359"/>
      <c r="H121" s="359"/>
      <c r="I121" s="359"/>
      <c r="J121" s="359"/>
      <c r="K121" s="359"/>
      <c r="L121" s="359"/>
      <c r="M121" s="359"/>
      <c r="N121" s="359"/>
      <c r="O121" s="359"/>
      <c r="P121" s="359"/>
      <c r="Q121" s="359"/>
      <c r="R121" s="359"/>
      <c r="S121" s="359"/>
      <c r="T121" s="360"/>
      <c r="U121" s="359" t="s">
        <v>107</v>
      </c>
      <c r="V121" s="359"/>
      <c r="W121" s="359"/>
      <c r="X121" s="359"/>
      <c r="Y121" s="359"/>
      <c r="Z121" s="359"/>
      <c r="AA121" s="359"/>
      <c r="AB121" s="359"/>
      <c r="AC121" s="359"/>
      <c r="AD121" s="359"/>
      <c r="AE121" s="359"/>
      <c r="AF121" s="359"/>
      <c r="AG121" s="359"/>
      <c r="AH121" s="359"/>
      <c r="AI121" s="359"/>
      <c r="AJ121" s="361"/>
      <c r="AK121" s="362" t="s">
        <v>108</v>
      </c>
      <c r="AL121" s="359"/>
      <c r="AM121" s="359"/>
      <c r="AN121" s="359"/>
      <c r="AO121" s="359"/>
      <c r="AP121" s="359"/>
      <c r="AQ121" s="359"/>
      <c r="AR121" s="359"/>
      <c r="AS121" s="359"/>
      <c r="AT121" s="359"/>
      <c r="AU121" s="359"/>
      <c r="AV121" s="359"/>
      <c r="AW121" s="359"/>
      <c r="AX121" s="359"/>
      <c r="AY121" s="359"/>
      <c r="AZ121" s="363"/>
      <c r="BA121" s="135"/>
      <c r="BB121" s="135"/>
      <c r="BC121" s="135"/>
      <c r="BD121" s="135"/>
      <c r="BE121" s="135"/>
      <c r="BF121" s="135"/>
      <c r="BG121" s="135"/>
      <c r="BH121" s="135"/>
      <c r="BI121" s="135"/>
      <c r="BJ121" s="135"/>
      <c r="BK121" s="135"/>
      <c r="BL121" s="135"/>
      <c r="BM121" s="135"/>
      <c r="BN121" s="135"/>
      <c r="BO121" s="135"/>
      <c r="BP121" s="135"/>
      <c r="BQ121" s="135"/>
      <c r="BR121" s="135"/>
      <c r="BS121" s="135"/>
      <c r="BT121" s="135"/>
      <c r="BU121" s="135"/>
      <c r="BV121" s="135"/>
    </row>
    <row r="122" spans="1:109" s="142" customFormat="1" ht="13.5">
      <c r="A122" s="135"/>
      <c r="B122" s="197" t="s">
        <v>109</v>
      </c>
      <c r="C122" s="187"/>
      <c r="D122" s="187"/>
      <c r="E122" s="187"/>
      <c r="F122" s="187"/>
      <c r="G122" s="187"/>
      <c r="H122" s="187"/>
      <c r="I122" s="187"/>
      <c r="J122" s="198"/>
      <c r="K122" s="198"/>
      <c r="L122" s="198"/>
      <c r="M122" s="198"/>
      <c r="N122" s="198"/>
      <c r="O122" s="198"/>
      <c r="P122" s="198"/>
      <c r="Q122" s="198"/>
      <c r="R122" s="198"/>
      <c r="S122" s="198"/>
      <c r="T122" s="198"/>
      <c r="U122" s="198"/>
      <c r="V122" s="198"/>
      <c r="W122" s="198"/>
      <c r="X122" s="198"/>
      <c r="Y122" s="198"/>
      <c r="Z122" s="198"/>
      <c r="AA122" s="198"/>
      <c r="AB122" s="198"/>
      <c r="AC122" s="198"/>
      <c r="AD122" s="198"/>
      <c r="AE122" s="198"/>
      <c r="AF122" s="198"/>
      <c r="AG122" s="198"/>
      <c r="AH122" s="187"/>
      <c r="AI122" s="187"/>
      <c r="AJ122" s="187"/>
      <c r="AK122" s="198"/>
      <c r="AL122" s="198"/>
      <c r="AM122" s="198"/>
      <c r="AN122" s="198"/>
      <c r="AO122" s="198"/>
      <c r="AP122" s="198"/>
      <c r="AQ122" s="198"/>
      <c r="AR122" s="198"/>
      <c r="AS122" s="198"/>
      <c r="AT122" s="198"/>
      <c r="AU122" s="198"/>
      <c r="AV122" s="198"/>
      <c r="AW122" s="187"/>
      <c r="AX122" s="187"/>
      <c r="AY122" s="187"/>
      <c r="AZ122" s="199"/>
      <c r="BA122" s="135"/>
      <c r="BB122" s="135"/>
      <c r="BC122" s="135"/>
      <c r="BD122" s="135"/>
      <c r="BE122" s="135"/>
      <c r="BF122" s="135"/>
      <c r="BG122" s="135"/>
      <c r="BH122" s="135"/>
      <c r="BI122" s="135"/>
      <c r="BJ122" s="135"/>
      <c r="BK122" s="135"/>
      <c r="BL122" s="135"/>
      <c r="BM122" s="135"/>
      <c r="BN122" s="135"/>
      <c r="BO122" s="135"/>
      <c r="BP122" s="135"/>
      <c r="BQ122" s="135"/>
      <c r="BR122" s="135"/>
      <c r="BS122" s="135"/>
      <c r="BT122" s="135"/>
      <c r="BU122" s="135"/>
      <c r="BV122" s="135"/>
    </row>
    <row r="123" spans="1:109" s="142" customFormat="1" ht="13.5">
      <c r="A123" s="135"/>
      <c r="B123" s="340"/>
      <c r="C123" s="341"/>
      <c r="D123" s="341"/>
      <c r="E123" s="341"/>
      <c r="F123" s="341"/>
      <c r="G123" s="341"/>
      <c r="H123" s="341"/>
      <c r="I123" s="341"/>
      <c r="J123" s="341"/>
      <c r="K123" s="341"/>
      <c r="L123" s="341"/>
      <c r="M123" s="341"/>
      <c r="N123" s="341"/>
      <c r="O123" s="341"/>
      <c r="P123" s="341"/>
      <c r="Q123" s="341"/>
      <c r="R123" s="341"/>
      <c r="S123" s="341"/>
      <c r="T123" s="342"/>
      <c r="U123" s="343"/>
      <c r="V123" s="343"/>
      <c r="W123" s="343"/>
      <c r="X123" s="343"/>
      <c r="Y123" s="343"/>
      <c r="Z123" s="343"/>
      <c r="AA123" s="343"/>
      <c r="AB123" s="343"/>
      <c r="AC123" s="343"/>
      <c r="AD123" s="343"/>
      <c r="AE123" s="343"/>
      <c r="AF123" s="343"/>
      <c r="AG123" s="343"/>
      <c r="AH123" s="343"/>
      <c r="AI123" s="343"/>
      <c r="AJ123" s="344"/>
      <c r="AK123" s="349"/>
      <c r="AL123" s="350"/>
      <c r="AM123" s="350"/>
      <c r="AN123" s="350"/>
      <c r="AO123" s="350"/>
      <c r="AP123" s="350"/>
      <c r="AQ123" s="350"/>
      <c r="AR123" s="350"/>
      <c r="AS123" s="350"/>
      <c r="AT123" s="350"/>
      <c r="AU123" s="350"/>
      <c r="AV123" s="350"/>
      <c r="AW123" s="350"/>
      <c r="AX123" s="350"/>
      <c r="AY123" s="350"/>
      <c r="AZ123" s="351"/>
      <c r="BA123" s="135"/>
      <c r="BB123" s="135"/>
      <c r="BC123" s="135"/>
      <c r="BD123" s="135"/>
      <c r="BE123" s="135"/>
      <c r="BF123" s="135"/>
      <c r="BG123" s="135"/>
      <c r="BH123" s="135"/>
      <c r="BI123" s="135"/>
      <c r="BJ123" s="135"/>
      <c r="BK123" s="135"/>
      <c r="BL123" s="135"/>
      <c r="BM123" s="135"/>
      <c r="BN123" s="135"/>
      <c r="BO123" s="135"/>
      <c r="BP123" s="135"/>
      <c r="BQ123" s="135"/>
      <c r="BR123" s="135"/>
      <c r="BS123" s="135"/>
      <c r="BT123" s="135"/>
      <c r="BU123" s="135"/>
      <c r="BV123" s="135"/>
    </row>
    <row r="124" spans="1:109" s="142" customFormat="1" ht="13.5">
      <c r="A124" s="135"/>
      <c r="B124" s="358" t="s">
        <v>155</v>
      </c>
      <c r="C124" s="359"/>
      <c r="D124" s="359"/>
      <c r="E124" s="359"/>
      <c r="F124" s="359"/>
      <c r="G124" s="359"/>
      <c r="H124" s="359"/>
      <c r="I124" s="359"/>
      <c r="J124" s="359"/>
      <c r="K124" s="359"/>
      <c r="L124" s="359"/>
      <c r="M124" s="359"/>
      <c r="N124" s="359"/>
      <c r="O124" s="359"/>
      <c r="P124" s="359"/>
      <c r="Q124" s="359"/>
      <c r="R124" s="359"/>
      <c r="S124" s="359"/>
      <c r="T124" s="360"/>
      <c r="U124" s="359" t="s">
        <v>107</v>
      </c>
      <c r="V124" s="359"/>
      <c r="W124" s="359"/>
      <c r="X124" s="359"/>
      <c r="Y124" s="359"/>
      <c r="Z124" s="359"/>
      <c r="AA124" s="359"/>
      <c r="AB124" s="359"/>
      <c r="AC124" s="359"/>
      <c r="AD124" s="359"/>
      <c r="AE124" s="359"/>
      <c r="AF124" s="359"/>
      <c r="AG124" s="359"/>
      <c r="AH124" s="359"/>
      <c r="AI124" s="359"/>
      <c r="AJ124" s="361"/>
      <c r="AK124" s="362" t="s">
        <v>108</v>
      </c>
      <c r="AL124" s="359"/>
      <c r="AM124" s="359"/>
      <c r="AN124" s="359"/>
      <c r="AO124" s="359"/>
      <c r="AP124" s="359"/>
      <c r="AQ124" s="359"/>
      <c r="AR124" s="359"/>
      <c r="AS124" s="359"/>
      <c r="AT124" s="359"/>
      <c r="AU124" s="359"/>
      <c r="AV124" s="359"/>
      <c r="AW124" s="359"/>
      <c r="AX124" s="359"/>
      <c r="AY124" s="359"/>
      <c r="AZ124" s="363"/>
      <c r="BA124" s="135"/>
      <c r="BB124" s="135"/>
      <c r="BC124" s="135"/>
      <c r="BD124" s="135"/>
      <c r="BE124" s="135"/>
      <c r="BF124" s="135"/>
      <c r="BG124" s="135"/>
      <c r="BH124" s="135"/>
      <c r="BI124" s="135"/>
      <c r="BJ124" s="135"/>
      <c r="BK124" s="135"/>
      <c r="BL124" s="135"/>
      <c r="BM124" s="135"/>
      <c r="BN124" s="135"/>
      <c r="BO124" s="135"/>
      <c r="BP124" s="135"/>
      <c r="BQ124" s="135"/>
      <c r="BR124" s="135"/>
      <c r="BS124" s="135"/>
      <c r="BT124" s="135"/>
      <c r="BU124" s="135"/>
      <c r="BV124" s="135"/>
    </row>
    <row r="125" spans="1:109" s="142" customFormat="1" ht="13.5">
      <c r="A125" s="135"/>
      <c r="B125" s="193" t="s">
        <v>110</v>
      </c>
      <c r="C125" s="194"/>
      <c r="D125" s="194"/>
      <c r="E125" s="194"/>
      <c r="F125" s="194"/>
      <c r="G125" s="194"/>
      <c r="H125" s="194"/>
      <c r="I125" s="194"/>
      <c r="J125" s="195"/>
      <c r="K125" s="195"/>
      <c r="L125" s="195"/>
      <c r="M125" s="195"/>
      <c r="N125" s="195"/>
      <c r="O125" s="195"/>
      <c r="P125" s="195"/>
      <c r="Q125" s="195"/>
      <c r="R125" s="195"/>
      <c r="S125" s="195"/>
      <c r="T125" s="195"/>
      <c r="U125" s="195"/>
      <c r="V125" s="195"/>
      <c r="W125" s="195"/>
      <c r="X125" s="195"/>
      <c r="Y125" s="194"/>
      <c r="Z125" s="194"/>
      <c r="AA125" s="194"/>
      <c r="AB125" s="195"/>
      <c r="AC125" s="195"/>
      <c r="AD125" s="195"/>
      <c r="AE125" s="195"/>
      <c r="AF125" s="195"/>
      <c r="AG125" s="195"/>
      <c r="AH125" s="195"/>
      <c r="AI125" s="195"/>
      <c r="AJ125" s="195"/>
      <c r="AK125" s="195"/>
      <c r="AL125" s="195"/>
      <c r="AM125" s="195"/>
      <c r="AN125" s="195"/>
      <c r="AO125" s="195"/>
      <c r="AP125" s="195"/>
      <c r="AQ125" s="195"/>
      <c r="AR125" s="195"/>
      <c r="AS125" s="195"/>
      <c r="AT125" s="195"/>
      <c r="AU125" s="195"/>
      <c r="AV125" s="195"/>
      <c r="AW125" s="194"/>
      <c r="AX125" s="194"/>
      <c r="AY125" s="194"/>
      <c r="AZ125" s="196"/>
      <c r="BA125" s="135"/>
      <c r="BB125" s="135"/>
      <c r="BC125" s="135"/>
      <c r="BD125" s="135"/>
      <c r="BE125" s="135"/>
      <c r="BF125" s="135"/>
      <c r="BG125" s="135"/>
      <c r="BH125" s="135"/>
      <c r="BI125" s="135"/>
      <c r="BJ125" s="135"/>
      <c r="BK125" s="135"/>
      <c r="BL125" s="135"/>
      <c r="BM125" s="135"/>
      <c r="BN125" s="135"/>
      <c r="BO125" s="135"/>
      <c r="BP125" s="135"/>
      <c r="BQ125" s="135"/>
      <c r="BR125" s="135"/>
      <c r="BS125" s="135"/>
      <c r="BT125" s="135"/>
      <c r="BU125" s="135"/>
      <c r="BV125" s="135"/>
    </row>
    <row r="126" spans="1:109" s="142" customFormat="1" ht="12.75" customHeight="1">
      <c r="A126" s="135"/>
      <c r="B126" s="345"/>
      <c r="C126" s="343"/>
      <c r="D126" s="343"/>
      <c r="E126" s="343"/>
      <c r="F126" s="343"/>
      <c r="G126" s="343"/>
      <c r="H126" s="343"/>
      <c r="I126" s="343"/>
      <c r="J126" s="343"/>
      <c r="K126" s="343"/>
      <c r="L126" s="343"/>
      <c r="M126" s="343"/>
      <c r="N126" s="343"/>
      <c r="O126" s="343"/>
      <c r="P126" s="343"/>
      <c r="Q126" s="343"/>
      <c r="R126" s="343"/>
      <c r="S126" s="343"/>
      <c r="T126" s="346"/>
      <c r="U126" s="343"/>
      <c r="V126" s="343"/>
      <c r="W126" s="343"/>
      <c r="X126" s="343"/>
      <c r="Y126" s="343"/>
      <c r="Z126" s="343"/>
      <c r="AA126" s="343"/>
      <c r="AB126" s="343"/>
      <c r="AC126" s="343"/>
      <c r="AD126" s="343"/>
      <c r="AE126" s="343"/>
      <c r="AF126" s="343"/>
      <c r="AG126" s="343"/>
      <c r="AH126" s="343"/>
      <c r="AI126" s="343"/>
      <c r="AJ126" s="344"/>
      <c r="AK126" s="347"/>
      <c r="AL126" s="343"/>
      <c r="AM126" s="343"/>
      <c r="AN126" s="343"/>
      <c r="AO126" s="343"/>
      <c r="AP126" s="343"/>
      <c r="AQ126" s="343"/>
      <c r="AR126" s="343"/>
      <c r="AS126" s="343"/>
      <c r="AT126" s="343"/>
      <c r="AU126" s="343"/>
      <c r="AV126" s="343"/>
      <c r="AW126" s="343"/>
      <c r="AX126" s="343"/>
      <c r="AY126" s="343"/>
      <c r="AZ126" s="348"/>
      <c r="BA126" s="135"/>
      <c r="BB126" s="135"/>
      <c r="BC126" s="135"/>
      <c r="BD126" s="135"/>
      <c r="BE126" s="135"/>
      <c r="BF126" s="135"/>
      <c r="BG126" s="135"/>
      <c r="BH126" s="135"/>
      <c r="BI126" s="135"/>
      <c r="BJ126" s="135"/>
      <c r="BK126" s="135"/>
      <c r="BL126" s="135"/>
      <c r="BM126" s="135"/>
      <c r="BN126" s="135"/>
      <c r="BO126" s="135"/>
      <c r="BP126" s="135"/>
      <c r="BQ126" s="135"/>
      <c r="BR126" s="135"/>
      <c r="BS126" s="135"/>
      <c r="BT126" s="135"/>
      <c r="BU126" s="135"/>
      <c r="BV126" s="135"/>
    </row>
    <row r="127" spans="1:109" s="142" customFormat="1" ht="14.25" thickBot="1">
      <c r="A127" s="135"/>
      <c r="B127" s="352" t="s">
        <v>106</v>
      </c>
      <c r="C127" s="353"/>
      <c r="D127" s="353"/>
      <c r="E127" s="353"/>
      <c r="F127" s="353"/>
      <c r="G127" s="353"/>
      <c r="H127" s="353"/>
      <c r="I127" s="353"/>
      <c r="J127" s="353"/>
      <c r="K127" s="353"/>
      <c r="L127" s="353"/>
      <c r="M127" s="353"/>
      <c r="N127" s="353"/>
      <c r="O127" s="353"/>
      <c r="P127" s="353"/>
      <c r="Q127" s="353"/>
      <c r="R127" s="353"/>
      <c r="S127" s="353"/>
      <c r="T127" s="354"/>
      <c r="U127" s="353" t="s">
        <v>107</v>
      </c>
      <c r="V127" s="353"/>
      <c r="W127" s="353"/>
      <c r="X127" s="353"/>
      <c r="Y127" s="353"/>
      <c r="Z127" s="353"/>
      <c r="AA127" s="353"/>
      <c r="AB127" s="353"/>
      <c r="AC127" s="353"/>
      <c r="AD127" s="353"/>
      <c r="AE127" s="353"/>
      <c r="AF127" s="353"/>
      <c r="AG127" s="353"/>
      <c r="AH127" s="353"/>
      <c r="AI127" s="353"/>
      <c r="AJ127" s="355"/>
      <c r="AK127" s="356" t="s">
        <v>108</v>
      </c>
      <c r="AL127" s="353"/>
      <c r="AM127" s="353"/>
      <c r="AN127" s="353"/>
      <c r="AO127" s="353"/>
      <c r="AP127" s="353"/>
      <c r="AQ127" s="353"/>
      <c r="AR127" s="353"/>
      <c r="AS127" s="353"/>
      <c r="AT127" s="353"/>
      <c r="AU127" s="353"/>
      <c r="AV127" s="353"/>
      <c r="AW127" s="353"/>
      <c r="AX127" s="353"/>
      <c r="AY127" s="353"/>
      <c r="AZ127" s="357"/>
      <c r="BA127" s="135"/>
      <c r="BB127" s="135"/>
      <c r="BC127" s="135"/>
      <c r="BD127" s="135"/>
      <c r="BE127" s="135"/>
      <c r="BF127" s="135"/>
      <c r="BG127" s="135"/>
      <c r="BH127" s="135"/>
      <c r="BI127" s="135"/>
      <c r="BJ127" s="135"/>
      <c r="BK127" s="135"/>
      <c r="BL127" s="135"/>
      <c r="BM127" s="135"/>
      <c r="BN127" s="135"/>
      <c r="BO127" s="135"/>
      <c r="BP127" s="135"/>
      <c r="BQ127" s="135"/>
      <c r="BR127" s="135"/>
      <c r="BS127" s="135"/>
      <c r="BT127" s="135"/>
      <c r="BU127" s="135"/>
      <c r="BV127" s="135"/>
    </row>
    <row r="128" spans="1:109" s="201" customFormat="1" ht="15" hidden="1">
      <c r="A128" s="200"/>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6"/>
      <c r="BX128" s="126"/>
      <c r="BY128" s="126"/>
      <c r="BZ128" s="126"/>
      <c r="CA128" s="126"/>
      <c r="CB128" s="126"/>
      <c r="CC128" s="126"/>
      <c r="CD128" s="126"/>
      <c r="CE128" s="126"/>
      <c r="CF128" s="126"/>
      <c r="CG128" s="126"/>
      <c r="CH128" s="126"/>
      <c r="CI128" s="126"/>
      <c r="CJ128" s="126"/>
      <c r="CK128" s="126"/>
      <c r="CL128" s="126"/>
      <c r="CM128" s="126"/>
      <c r="CN128" s="126"/>
      <c r="CO128" s="126"/>
      <c r="CP128" s="126"/>
      <c r="CQ128" s="126"/>
      <c r="CR128" s="126"/>
      <c r="CS128" s="126"/>
      <c r="CT128" s="126"/>
      <c r="CU128" s="126"/>
      <c r="CV128" s="126"/>
      <c r="CW128" s="126"/>
      <c r="CX128" s="126"/>
      <c r="CY128" s="126"/>
      <c r="CZ128" s="126"/>
      <c r="DA128" s="126"/>
    </row>
    <row r="129" ht="15" hidden="1"/>
    <row r="130" ht="15" hidden="1"/>
    <row r="131" ht="15" hidden="1"/>
    <row r="132" ht="15" hidden="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sheetData>
  <mergeCells count="913">
    <mergeCell ref="BL100:BP100"/>
    <mergeCell ref="BQ100:BU100"/>
    <mergeCell ref="BG76:BK76"/>
    <mergeCell ref="BL76:BP76"/>
    <mergeCell ref="BQ76:BU76"/>
    <mergeCell ref="L108:O108"/>
    <mergeCell ref="P108:R108"/>
    <mergeCell ref="S108:W108"/>
    <mergeCell ref="X108:AB108"/>
    <mergeCell ref="AC108:AG108"/>
    <mergeCell ref="AH108:AL108"/>
    <mergeCell ref="AM108:AQ108"/>
    <mergeCell ref="AR108:AV108"/>
    <mergeCell ref="BB108:BF108"/>
    <mergeCell ref="BG108:BK108"/>
    <mergeCell ref="BL108:BP108"/>
    <mergeCell ref="BQ108:BU108"/>
    <mergeCell ref="L78:O78"/>
    <mergeCell ref="P78:R78"/>
    <mergeCell ref="S78:W78"/>
    <mergeCell ref="X78:AB78"/>
    <mergeCell ref="AC78:AG78"/>
    <mergeCell ref="AH78:AL78"/>
    <mergeCell ref="AM78:AQ78"/>
    <mergeCell ref="F108:K109"/>
    <mergeCell ref="F100:K100"/>
    <mergeCell ref="L100:O100"/>
    <mergeCell ref="X100:AB100"/>
    <mergeCell ref="AC100:AG100"/>
    <mergeCell ref="AH100:AL100"/>
    <mergeCell ref="BB100:BF100"/>
    <mergeCell ref="BG100:BK100"/>
    <mergeCell ref="L76:O76"/>
    <mergeCell ref="P76:R76"/>
    <mergeCell ref="S76:W76"/>
    <mergeCell ref="X76:AB76"/>
    <mergeCell ref="AC76:AG76"/>
    <mergeCell ref="AH76:AL76"/>
    <mergeCell ref="AM76:AQ76"/>
    <mergeCell ref="AR76:AV76"/>
    <mergeCell ref="BB76:BF76"/>
    <mergeCell ref="F73:K76"/>
    <mergeCell ref="L73:O73"/>
    <mergeCell ref="P73:R73"/>
    <mergeCell ref="S73:W73"/>
    <mergeCell ref="X73:AB73"/>
    <mergeCell ref="AC73:AG73"/>
    <mergeCell ref="AH73:AL73"/>
    <mergeCell ref="AM73:AQ73"/>
    <mergeCell ref="AR73:AV73"/>
    <mergeCell ref="L74:O74"/>
    <mergeCell ref="P74:R74"/>
    <mergeCell ref="S74:W74"/>
    <mergeCell ref="X74:AB74"/>
    <mergeCell ref="AC74:AG74"/>
    <mergeCell ref="AH74:AL74"/>
    <mergeCell ref="AM74:AQ74"/>
    <mergeCell ref="AR74:AV74"/>
    <mergeCell ref="L75:O75"/>
    <mergeCell ref="P75:R75"/>
    <mergeCell ref="S75:W75"/>
    <mergeCell ref="X75:AB75"/>
    <mergeCell ref="AC75:AG75"/>
    <mergeCell ref="AH75:AL75"/>
    <mergeCell ref="AM75:AQ75"/>
    <mergeCell ref="AB38:AN38"/>
    <mergeCell ref="AB33:AN33"/>
    <mergeCell ref="AO33:AZ33"/>
    <mergeCell ref="B34:P34"/>
    <mergeCell ref="C45:AS45"/>
    <mergeCell ref="F53:K54"/>
    <mergeCell ref="Q33:AA33"/>
    <mergeCell ref="L57:O57"/>
    <mergeCell ref="P57:R57"/>
    <mergeCell ref="S57:W57"/>
    <mergeCell ref="X57:AB57"/>
    <mergeCell ref="AC57:AG57"/>
    <mergeCell ref="AH57:AL57"/>
    <mergeCell ref="AM57:AQ57"/>
    <mergeCell ref="AR57:AV57"/>
    <mergeCell ref="L66:O66"/>
    <mergeCell ref="P66:R66"/>
    <mergeCell ref="CD53:CD54"/>
    <mergeCell ref="CE53:CE54"/>
    <mergeCell ref="CF53:CF54"/>
    <mergeCell ref="CG53:CG54"/>
    <mergeCell ref="Q34:AA34"/>
    <mergeCell ref="AB34:AN34"/>
    <mergeCell ref="AO34:AZ34"/>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DB111:DC113"/>
    <mergeCell ref="DD52:DE54"/>
    <mergeCell ref="DD70:DE72"/>
    <mergeCell ref="DD92:DE94"/>
    <mergeCell ref="DD103:DE105"/>
    <mergeCell ref="DD111:DE113"/>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DB51:DC51"/>
    <mergeCell ref="DB52:DC54"/>
    <mergeCell ref="DB70:DC72"/>
    <mergeCell ref="DB92:DC94"/>
    <mergeCell ref="DB103:DC105"/>
    <mergeCell ref="CY53:CZ53"/>
    <mergeCell ref="CV52:CZ52"/>
    <mergeCell ref="CV70:CZ70"/>
    <mergeCell ref="CV92:CZ92"/>
    <mergeCell ref="CY93:CZ93"/>
    <mergeCell ref="CY72:CZ72"/>
    <mergeCell ref="CY54:CZ54"/>
    <mergeCell ref="CY71:CZ71"/>
    <mergeCell ref="CV103:CZ103"/>
    <mergeCell ref="CY94:CZ94"/>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AE25:AE26"/>
    <mergeCell ref="AE27:AE28"/>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G25:G26"/>
    <mergeCell ref="G27:G28"/>
    <mergeCell ref="AK17:AK18"/>
    <mergeCell ref="AK19:AK2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BB57:BF57"/>
    <mergeCell ref="BG57:BK57"/>
    <mergeCell ref="BL57:BP57"/>
    <mergeCell ref="BQ57:BU57"/>
    <mergeCell ref="L58:O58"/>
    <mergeCell ref="P58:R58"/>
    <mergeCell ref="S58:W58"/>
    <mergeCell ref="X58:AB58"/>
    <mergeCell ref="AC58:AG58"/>
    <mergeCell ref="AH58:AL58"/>
    <mergeCell ref="AM58:AQ58"/>
    <mergeCell ref="AR58:AV58"/>
    <mergeCell ref="BB58:BF58"/>
    <mergeCell ref="BL60:BP60"/>
    <mergeCell ref="BQ60:BU60"/>
    <mergeCell ref="BG59:BK59"/>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G63:BK63"/>
    <mergeCell ref="BL63:BP63"/>
    <mergeCell ref="BQ63:BU63"/>
    <mergeCell ref="L64:O64"/>
    <mergeCell ref="P64:R64"/>
    <mergeCell ref="S64:W64"/>
    <mergeCell ref="X64:AB64"/>
    <mergeCell ref="AC64:AG64"/>
    <mergeCell ref="AH64:AL64"/>
    <mergeCell ref="AM64:AQ64"/>
    <mergeCell ref="AR64:AV64"/>
    <mergeCell ref="BB64:BF64"/>
    <mergeCell ref="BG64:BK64"/>
    <mergeCell ref="BL64:BP64"/>
    <mergeCell ref="BQ64:BU64"/>
    <mergeCell ref="L63:O63"/>
    <mergeCell ref="P63:R63"/>
    <mergeCell ref="S63:W63"/>
    <mergeCell ref="X63:AB63"/>
    <mergeCell ref="AC63:AG63"/>
    <mergeCell ref="AH63:AL63"/>
    <mergeCell ref="AM63:AQ63"/>
    <mergeCell ref="AR63:AV63"/>
    <mergeCell ref="BB63:BF63"/>
    <mergeCell ref="AR66:AV66"/>
    <mergeCell ref="BB66:BF66"/>
    <mergeCell ref="BG66:BK66"/>
    <mergeCell ref="BL66:BP66"/>
    <mergeCell ref="BB68:BF68"/>
    <mergeCell ref="BB67:BF67"/>
    <mergeCell ref="BQ66:BU66"/>
    <mergeCell ref="X68:AB68"/>
    <mergeCell ref="AC68:AG68"/>
    <mergeCell ref="AH68:AL68"/>
    <mergeCell ref="AM68:AQ68"/>
    <mergeCell ref="BG65:BK65"/>
    <mergeCell ref="BL65:BP65"/>
    <mergeCell ref="BQ65:BU65"/>
    <mergeCell ref="L65:O65"/>
    <mergeCell ref="P65:R65"/>
    <mergeCell ref="S65:W65"/>
    <mergeCell ref="X65:AB65"/>
    <mergeCell ref="AC65:AG65"/>
    <mergeCell ref="AH65:AL65"/>
    <mergeCell ref="AM65:AQ65"/>
    <mergeCell ref="AR65:AV65"/>
    <mergeCell ref="BB65:BF65"/>
    <mergeCell ref="CD70:CH70"/>
    <mergeCell ref="CH71:CH72"/>
    <mergeCell ref="BB70:BU70"/>
    <mergeCell ref="AR67:AV67"/>
    <mergeCell ref="BG67:BK67"/>
    <mergeCell ref="BL67:BP67"/>
    <mergeCell ref="BQ67:BU67"/>
    <mergeCell ref="BG68:BK68"/>
    <mergeCell ref="BL68:BP68"/>
    <mergeCell ref="BQ68:BU68"/>
    <mergeCell ref="BX70:CB70"/>
    <mergeCell ref="CE71:CE72"/>
    <mergeCell ref="CF71:CF72"/>
    <mergeCell ref="CG71:CG72"/>
    <mergeCell ref="CA71:CA72"/>
    <mergeCell ref="CB71:CB72"/>
    <mergeCell ref="BX71:BX72"/>
    <mergeCell ref="BY71:BY72"/>
    <mergeCell ref="AR68:AV68"/>
    <mergeCell ref="BZ71:BZ72"/>
    <mergeCell ref="X71:AL71"/>
    <mergeCell ref="AR77:AV77"/>
    <mergeCell ref="BB77:BF77"/>
    <mergeCell ref="BG77:BK77"/>
    <mergeCell ref="BL77:BP77"/>
    <mergeCell ref="BQ77:BU77"/>
    <mergeCell ref="AR71:AV72"/>
    <mergeCell ref="BB71:BF72"/>
    <mergeCell ref="BG71:BK72"/>
    <mergeCell ref="BL71:BP72"/>
    <mergeCell ref="BQ71:BU72"/>
    <mergeCell ref="BB73:BF73"/>
    <mergeCell ref="BG73:BK73"/>
    <mergeCell ref="BL73:BP73"/>
    <mergeCell ref="BQ73:BU73"/>
    <mergeCell ref="BB74:BF74"/>
    <mergeCell ref="BG74:BK74"/>
    <mergeCell ref="BL74:BP74"/>
    <mergeCell ref="BQ74:BU74"/>
    <mergeCell ref="AR75:AV75"/>
    <mergeCell ref="BB75:BF75"/>
    <mergeCell ref="BG75:BK75"/>
    <mergeCell ref="BL75:BP75"/>
    <mergeCell ref="BQ75:BU75"/>
    <mergeCell ref="BG79:BK79"/>
    <mergeCell ref="BL79:BP79"/>
    <mergeCell ref="BQ79:BU79"/>
    <mergeCell ref="AR78:AV78"/>
    <mergeCell ref="BB78:BF78"/>
    <mergeCell ref="BG78:BK78"/>
    <mergeCell ref="BL78:BP78"/>
    <mergeCell ref="BQ78:BU78"/>
    <mergeCell ref="L79:O79"/>
    <mergeCell ref="P79:R79"/>
    <mergeCell ref="S79:W79"/>
    <mergeCell ref="X79:AB79"/>
    <mergeCell ref="AC79:AG79"/>
    <mergeCell ref="AH79:AL79"/>
    <mergeCell ref="AM79:AQ79"/>
    <mergeCell ref="AR79:AV79"/>
    <mergeCell ref="BB79:BF79"/>
    <mergeCell ref="BG80:BK80"/>
    <mergeCell ref="BL80:BP80"/>
    <mergeCell ref="BQ80:BU80"/>
    <mergeCell ref="L81:O81"/>
    <mergeCell ref="P81:R81"/>
    <mergeCell ref="S81:W81"/>
    <mergeCell ref="X81:AB81"/>
    <mergeCell ref="AC81:AG81"/>
    <mergeCell ref="AH81:AL81"/>
    <mergeCell ref="AM81:AQ81"/>
    <mergeCell ref="AR81:AV81"/>
    <mergeCell ref="BB81:BF81"/>
    <mergeCell ref="BG81:BK81"/>
    <mergeCell ref="BL81:BP81"/>
    <mergeCell ref="BQ81:BU81"/>
    <mergeCell ref="L80:O80"/>
    <mergeCell ref="P80:R80"/>
    <mergeCell ref="S80:W80"/>
    <mergeCell ref="X80:AB80"/>
    <mergeCell ref="AC80:AG80"/>
    <mergeCell ref="AH80:AL80"/>
    <mergeCell ref="AM80:AQ80"/>
    <mergeCell ref="AR80:AV80"/>
    <mergeCell ref="BB80:BF80"/>
    <mergeCell ref="BG82:BK82"/>
    <mergeCell ref="BL82:BP82"/>
    <mergeCell ref="BQ82:BU82"/>
    <mergeCell ref="L83:O83"/>
    <mergeCell ref="P83:R83"/>
    <mergeCell ref="S83:W83"/>
    <mergeCell ref="X83:AB83"/>
    <mergeCell ref="AC83:AG83"/>
    <mergeCell ref="AH83:AL83"/>
    <mergeCell ref="AM83:AQ83"/>
    <mergeCell ref="AR83:AV83"/>
    <mergeCell ref="BB83:BF83"/>
    <mergeCell ref="BG83:BK83"/>
    <mergeCell ref="BL83:BP83"/>
    <mergeCell ref="BQ83:BU83"/>
    <mergeCell ref="L82:O82"/>
    <mergeCell ref="P82:R82"/>
    <mergeCell ref="S82:W82"/>
    <mergeCell ref="X82:AB82"/>
    <mergeCell ref="AC82:AG82"/>
    <mergeCell ref="AH82:AL82"/>
    <mergeCell ref="AM82:AQ82"/>
    <mergeCell ref="AR82:AV82"/>
    <mergeCell ref="BB82:BF82"/>
    <mergeCell ref="BG84:BK84"/>
    <mergeCell ref="BL84:BP84"/>
    <mergeCell ref="BQ84:BU84"/>
    <mergeCell ref="L85:O85"/>
    <mergeCell ref="P85:R85"/>
    <mergeCell ref="S85:W85"/>
    <mergeCell ref="X85:AB85"/>
    <mergeCell ref="AC85:AG85"/>
    <mergeCell ref="AH85:AL85"/>
    <mergeCell ref="AM85:AQ85"/>
    <mergeCell ref="AR85:AV85"/>
    <mergeCell ref="BB85:BF85"/>
    <mergeCell ref="BG85:BK85"/>
    <mergeCell ref="BL85:BP85"/>
    <mergeCell ref="BQ85:BU85"/>
    <mergeCell ref="L84:O84"/>
    <mergeCell ref="P84:R84"/>
    <mergeCell ref="S84:W84"/>
    <mergeCell ref="X84:AB84"/>
    <mergeCell ref="AC84:AG84"/>
    <mergeCell ref="AH84:AL84"/>
    <mergeCell ref="AM84:AQ84"/>
    <mergeCell ref="AR84:AV84"/>
    <mergeCell ref="BB84:BF84"/>
    <mergeCell ref="L86:O86"/>
    <mergeCell ref="P86:R86"/>
    <mergeCell ref="S86:W86"/>
    <mergeCell ref="X86:AB86"/>
    <mergeCell ref="AC86:AG86"/>
    <mergeCell ref="AH86:AL86"/>
    <mergeCell ref="AM86:AQ86"/>
    <mergeCell ref="AR86:AV86"/>
    <mergeCell ref="BB86:BF86"/>
    <mergeCell ref="BG86:BK86"/>
    <mergeCell ref="BL86:BP86"/>
    <mergeCell ref="BQ86:BU86"/>
    <mergeCell ref="S87:W87"/>
    <mergeCell ref="X87:AB87"/>
    <mergeCell ref="AC87:AG87"/>
    <mergeCell ref="AH87:AL87"/>
    <mergeCell ref="AM87:AQ87"/>
    <mergeCell ref="AR87:AV87"/>
    <mergeCell ref="BB87:BF87"/>
    <mergeCell ref="BG87:BK87"/>
    <mergeCell ref="BL87:BP87"/>
    <mergeCell ref="BQ87:BU87"/>
    <mergeCell ref="P89:R89"/>
    <mergeCell ref="S89:W89"/>
    <mergeCell ref="X89:AB89"/>
    <mergeCell ref="AC89:AG89"/>
    <mergeCell ref="AH89:AL89"/>
    <mergeCell ref="S90:W90"/>
    <mergeCell ref="BB90:BF90"/>
    <mergeCell ref="L90:O90"/>
    <mergeCell ref="P90:R90"/>
    <mergeCell ref="X90:AB90"/>
    <mergeCell ref="AC90:AG90"/>
    <mergeCell ref="AH90:AL90"/>
    <mergeCell ref="AM90:AQ90"/>
    <mergeCell ref="AR90:AV90"/>
    <mergeCell ref="P88:R88"/>
    <mergeCell ref="X88:AB88"/>
    <mergeCell ref="AC88:AG88"/>
    <mergeCell ref="L88:O88"/>
    <mergeCell ref="BX92:CB92"/>
    <mergeCell ref="CA93:CA94"/>
    <mergeCell ref="CB93:CB94"/>
    <mergeCell ref="BB92:BU92"/>
    <mergeCell ref="BG88:BK88"/>
    <mergeCell ref="BL88:BP88"/>
    <mergeCell ref="BQ88:BU88"/>
    <mergeCell ref="BG89:BK89"/>
    <mergeCell ref="BL89:BP89"/>
    <mergeCell ref="BQ89:BU89"/>
    <mergeCell ref="BB89:BF89"/>
    <mergeCell ref="S88:W88"/>
    <mergeCell ref="BB88:BF88"/>
    <mergeCell ref="AH88:AL88"/>
    <mergeCell ref="AM88:AQ88"/>
    <mergeCell ref="AR88:AV88"/>
    <mergeCell ref="BG90:BK90"/>
    <mergeCell ref="BL90:BP90"/>
    <mergeCell ref="BQ90:BU90"/>
    <mergeCell ref="L89:O89"/>
    <mergeCell ref="L95:O95"/>
    <mergeCell ref="P95:R95"/>
    <mergeCell ref="S95:W95"/>
    <mergeCell ref="X95:AB95"/>
    <mergeCell ref="AC95:AG95"/>
    <mergeCell ref="AH95:AL95"/>
    <mergeCell ref="AM95:AQ95"/>
    <mergeCell ref="AR95:AV95"/>
    <mergeCell ref="BB95:BF95"/>
    <mergeCell ref="BG95:BK95"/>
    <mergeCell ref="BL95:BP95"/>
    <mergeCell ref="BQ95:BU95"/>
    <mergeCell ref="BX93:BX94"/>
    <mergeCell ref="BY93:BY94"/>
    <mergeCell ref="BZ93:BZ94"/>
    <mergeCell ref="BB93:BF94"/>
    <mergeCell ref="BG93:BK94"/>
    <mergeCell ref="BL93:BP94"/>
    <mergeCell ref="BQ93:BU94"/>
    <mergeCell ref="CG93:CG94"/>
    <mergeCell ref="CH93:CH94"/>
    <mergeCell ref="F97:K97"/>
    <mergeCell ref="L97:O97"/>
    <mergeCell ref="P97:R97"/>
    <mergeCell ref="S97:W97"/>
    <mergeCell ref="X97:AB97"/>
    <mergeCell ref="AC97:AG97"/>
    <mergeCell ref="AH97:AL97"/>
    <mergeCell ref="AM97:AQ97"/>
    <mergeCell ref="AR97:AV97"/>
    <mergeCell ref="BB97:BF97"/>
    <mergeCell ref="BG97:BK97"/>
    <mergeCell ref="BL97:BP97"/>
    <mergeCell ref="BQ97:BU97"/>
    <mergeCell ref="F95:K96"/>
    <mergeCell ref="L96:O96"/>
    <mergeCell ref="P96:R96"/>
    <mergeCell ref="S96:W96"/>
    <mergeCell ref="X96:AB96"/>
    <mergeCell ref="AC96:AG96"/>
    <mergeCell ref="AH96:AL96"/>
    <mergeCell ref="AM96:AQ96"/>
    <mergeCell ref="AR96:AV96"/>
    <mergeCell ref="BG96:BK96"/>
    <mergeCell ref="BL96:BP96"/>
    <mergeCell ref="BQ96:BU96"/>
    <mergeCell ref="BG98:BK98"/>
    <mergeCell ref="BL98:BP98"/>
    <mergeCell ref="BQ98:BU98"/>
    <mergeCell ref="BB99:BF99"/>
    <mergeCell ref="BG99:BK99"/>
    <mergeCell ref="BL99:BP99"/>
    <mergeCell ref="BQ99:BU99"/>
    <mergeCell ref="BB96:BF96"/>
    <mergeCell ref="F101:K101"/>
    <mergeCell ref="P101:R101"/>
    <mergeCell ref="S101:W101"/>
    <mergeCell ref="X101:AB101"/>
    <mergeCell ref="AC101:AG101"/>
    <mergeCell ref="AH101:AL101"/>
    <mergeCell ref="AM101:AQ101"/>
    <mergeCell ref="AR101:AV101"/>
    <mergeCell ref="F98:K98"/>
    <mergeCell ref="S99:W99"/>
    <mergeCell ref="X99:AB99"/>
    <mergeCell ref="AC99:AG99"/>
    <mergeCell ref="AH99:AL99"/>
    <mergeCell ref="AM99:AQ99"/>
    <mergeCell ref="AR99:AV99"/>
    <mergeCell ref="AM100:AQ100"/>
    <mergeCell ref="AR100:AV100"/>
    <mergeCell ref="L98:O98"/>
    <mergeCell ref="P98:R98"/>
    <mergeCell ref="S98:W98"/>
    <mergeCell ref="X98:AB98"/>
    <mergeCell ref="AC98:AG98"/>
    <mergeCell ref="AH98:AL98"/>
    <mergeCell ref="L101:O101"/>
    <mergeCell ref="CY112:CZ112"/>
    <mergeCell ref="CE112:CE113"/>
    <mergeCell ref="CF112:CF113"/>
    <mergeCell ref="CG112:CG113"/>
    <mergeCell ref="CK112:CK113"/>
    <mergeCell ref="CJ112:CJ113"/>
    <mergeCell ref="CY113:CZ113"/>
    <mergeCell ref="CD112:CD113"/>
    <mergeCell ref="X113:AB113"/>
    <mergeCell ref="AC113:AG113"/>
    <mergeCell ref="AH113:AL113"/>
    <mergeCell ref="BG112:BK113"/>
    <mergeCell ref="BX112:BX113"/>
    <mergeCell ref="BY112:BY113"/>
    <mergeCell ref="BZ112:BZ113"/>
    <mergeCell ref="CA112:CA113"/>
    <mergeCell ref="CH112:CH113"/>
    <mergeCell ref="CB112:CB113"/>
    <mergeCell ref="BL112:BP113"/>
    <mergeCell ref="BQ112:BU113"/>
    <mergeCell ref="CM112:CM113"/>
    <mergeCell ref="BQ109:BU109"/>
    <mergeCell ref="BQ106:BU106"/>
    <mergeCell ref="BQ114:BU114"/>
    <mergeCell ref="BG114:BK114"/>
    <mergeCell ref="BG109:BK109"/>
    <mergeCell ref="BQ115:BU115"/>
    <mergeCell ref="BX111:CB111"/>
    <mergeCell ref="AR115:AV115"/>
    <mergeCell ref="BL117:BP117"/>
    <mergeCell ref="BQ116:BU116"/>
    <mergeCell ref="BQ117:BU117"/>
    <mergeCell ref="BL115:BP115"/>
    <mergeCell ref="CV111:CZ111"/>
    <mergeCell ref="CD111:CH111"/>
    <mergeCell ref="CY104:CZ104"/>
    <mergeCell ref="CY105:CZ105"/>
    <mergeCell ref="BX104:BX105"/>
    <mergeCell ref="BY104:BY105"/>
    <mergeCell ref="BZ104:BZ105"/>
    <mergeCell ref="CA104:CA105"/>
    <mergeCell ref="CB104:CB105"/>
    <mergeCell ref="CD104:CD105"/>
    <mergeCell ref="CE104:CE105"/>
    <mergeCell ref="CF104:CF105"/>
    <mergeCell ref="CG104:CG105"/>
    <mergeCell ref="CK104:CK105"/>
    <mergeCell ref="CJ104:CJ105"/>
    <mergeCell ref="B126:T126"/>
    <mergeCell ref="U126:AJ126"/>
    <mergeCell ref="AK126:AZ126"/>
    <mergeCell ref="AK123:AZ123"/>
    <mergeCell ref="B127:T127"/>
    <mergeCell ref="U127:AJ127"/>
    <mergeCell ref="AK127:AZ127"/>
    <mergeCell ref="BL116:BP116"/>
    <mergeCell ref="B124:T124"/>
    <mergeCell ref="U124:AJ124"/>
    <mergeCell ref="AK124:AZ124"/>
    <mergeCell ref="S117:W117"/>
    <mergeCell ref="X117:AB117"/>
    <mergeCell ref="AC117:AG117"/>
    <mergeCell ref="AH117:AL117"/>
    <mergeCell ref="AM117:AQ117"/>
    <mergeCell ref="AR117:AV117"/>
    <mergeCell ref="BB117:BF117"/>
    <mergeCell ref="B120:T120"/>
    <mergeCell ref="U120:AJ120"/>
    <mergeCell ref="AK120:AZ120"/>
    <mergeCell ref="B121:T121"/>
    <mergeCell ref="U121:AJ121"/>
    <mergeCell ref="AK121:AZ121"/>
    <mergeCell ref="CK53:CK54"/>
    <mergeCell ref="CJ53:CJ54"/>
    <mergeCell ref="CL112:CL113"/>
    <mergeCell ref="CK71:CK72"/>
    <mergeCell ref="CJ71:CJ72"/>
    <mergeCell ref="CL71:CL72"/>
    <mergeCell ref="CM104:CM105"/>
    <mergeCell ref="B123:T123"/>
    <mergeCell ref="U123:AJ123"/>
    <mergeCell ref="F116:K117"/>
    <mergeCell ref="BG117:BK117"/>
    <mergeCell ref="BG116:BK116"/>
    <mergeCell ref="L117:O117"/>
    <mergeCell ref="P117:R117"/>
    <mergeCell ref="AM116:AQ116"/>
    <mergeCell ref="AR116:AV116"/>
    <mergeCell ref="X116:AB116"/>
    <mergeCell ref="L116:O116"/>
    <mergeCell ref="P116:R116"/>
    <mergeCell ref="S116:W116"/>
    <mergeCell ref="BB116:BF116"/>
    <mergeCell ref="BB103:BU103"/>
    <mergeCell ref="BQ104:BU105"/>
    <mergeCell ref="BQ107:BU107"/>
    <mergeCell ref="L107:O107"/>
    <mergeCell ref="P107:R107"/>
    <mergeCell ref="AM104:AQ105"/>
    <mergeCell ref="AR104:AV105"/>
    <mergeCell ref="AC116:AG116"/>
    <mergeCell ref="AH116:AL116"/>
    <mergeCell ref="BB107:BF107"/>
    <mergeCell ref="BG107:BK107"/>
    <mergeCell ref="BL107:BP107"/>
    <mergeCell ref="BL109:BP109"/>
    <mergeCell ref="BG115:BK115"/>
    <mergeCell ref="BL114:BP114"/>
    <mergeCell ref="AH115:AL115"/>
    <mergeCell ref="AM115:AQ115"/>
    <mergeCell ref="X112:AL112"/>
    <mergeCell ref="X104:AL104"/>
    <mergeCell ref="X105:AB105"/>
    <mergeCell ref="AC105:AG105"/>
    <mergeCell ref="AH105:AL105"/>
    <mergeCell ref="BG104:BK105"/>
    <mergeCell ref="BL104:BP105"/>
    <mergeCell ref="BB104:BF105"/>
    <mergeCell ref="X109:AB109"/>
    <mergeCell ref="L109:O109"/>
    <mergeCell ref="AH77:AL77"/>
    <mergeCell ref="AM77:AQ77"/>
    <mergeCell ref="AC109:AG109"/>
    <mergeCell ref="AH109:AL109"/>
    <mergeCell ref="AM109:AQ109"/>
    <mergeCell ref="AR109:AV109"/>
    <mergeCell ref="AC107:AG107"/>
    <mergeCell ref="AH107:AL107"/>
    <mergeCell ref="AM107:AQ107"/>
    <mergeCell ref="AR107:AV107"/>
    <mergeCell ref="AR98:AV98"/>
    <mergeCell ref="AM89:AQ89"/>
    <mergeCell ref="AR89:AV89"/>
    <mergeCell ref="P109:R109"/>
    <mergeCell ref="S109:W109"/>
    <mergeCell ref="P99:R99"/>
    <mergeCell ref="P100:R100"/>
    <mergeCell ref="S100:W100"/>
    <mergeCell ref="AM98:AQ98"/>
    <mergeCell ref="X94:AB94"/>
    <mergeCell ref="AC94:AG94"/>
    <mergeCell ref="AH94:AL94"/>
    <mergeCell ref="L87:O87"/>
    <mergeCell ref="P87:R87"/>
    <mergeCell ref="CE93:CE94"/>
    <mergeCell ref="CF93:CF94"/>
    <mergeCell ref="S107:W107"/>
    <mergeCell ref="X107:AB107"/>
    <mergeCell ref="CS93:CS94"/>
    <mergeCell ref="CS104:CS105"/>
    <mergeCell ref="F87:K90"/>
    <mergeCell ref="F93:K94"/>
    <mergeCell ref="L93:R94"/>
    <mergeCell ref="S93:W94"/>
    <mergeCell ref="AM93:AQ94"/>
    <mergeCell ref="AR93:AV94"/>
    <mergeCell ref="X93:AL93"/>
    <mergeCell ref="F104:K105"/>
    <mergeCell ref="L104:R105"/>
    <mergeCell ref="S104:W105"/>
    <mergeCell ref="F99:K99"/>
    <mergeCell ref="L99:O99"/>
    <mergeCell ref="BX103:CB103"/>
    <mergeCell ref="BB101:BF101"/>
    <mergeCell ref="BG101:BK101"/>
    <mergeCell ref="BL101:BP101"/>
    <mergeCell ref="BQ101:BU101"/>
    <mergeCell ref="BB98:BF98"/>
    <mergeCell ref="F77:K80"/>
    <mergeCell ref="L77:O77"/>
    <mergeCell ref="P77:R77"/>
    <mergeCell ref="AC77:AG77"/>
    <mergeCell ref="S77:W77"/>
    <mergeCell ref="X77:AB77"/>
    <mergeCell ref="CP112:CP113"/>
    <mergeCell ref="BB109:BF109"/>
    <mergeCell ref="BB111:BU111"/>
    <mergeCell ref="F81:K86"/>
    <mergeCell ref="L106:O106"/>
    <mergeCell ref="P106:R106"/>
    <mergeCell ref="S106:W106"/>
    <mergeCell ref="X106:AB106"/>
    <mergeCell ref="AC106:AG106"/>
    <mergeCell ref="AH106:AL106"/>
    <mergeCell ref="F106:K107"/>
    <mergeCell ref="AM106:AQ106"/>
    <mergeCell ref="AR106:AV106"/>
    <mergeCell ref="BB106:BF106"/>
    <mergeCell ref="BG106:BK106"/>
    <mergeCell ref="BL106:BP106"/>
    <mergeCell ref="CD93:CD94"/>
    <mergeCell ref="CQ112:CQ113"/>
    <mergeCell ref="CP111:CT111"/>
    <mergeCell ref="CP103:CT103"/>
    <mergeCell ref="CP92:CT92"/>
    <mergeCell ref="CP70:CT70"/>
    <mergeCell ref="CT53:CT54"/>
    <mergeCell ref="CS112:CS113"/>
    <mergeCell ref="CT71:CT72"/>
    <mergeCell ref="CT93:CT94"/>
    <mergeCell ref="CT104:CT105"/>
    <mergeCell ref="CT112:CT113"/>
    <mergeCell ref="CR71:CR72"/>
    <mergeCell ref="CR112:CR113"/>
    <mergeCell ref="CN53:CN54"/>
    <mergeCell ref="CN71:CN72"/>
    <mergeCell ref="CN93:CN94"/>
    <mergeCell ref="CN104:CN105"/>
    <mergeCell ref="CN112:CN113"/>
    <mergeCell ref="CJ70:CN70"/>
    <mergeCell ref="CJ92:CN92"/>
    <mergeCell ref="CJ103:CN103"/>
    <mergeCell ref="CJ111:CN111"/>
    <mergeCell ref="CL53:CL54"/>
    <mergeCell ref="BO27:BP28"/>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B33:P33"/>
    <mergeCell ref="F61:K65"/>
    <mergeCell ref="F66:K68"/>
    <mergeCell ref="F71:K72"/>
    <mergeCell ref="L71:R72"/>
    <mergeCell ref="S71:W72"/>
    <mergeCell ref="AM71:AQ72"/>
    <mergeCell ref="X72:AB72"/>
    <mergeCell ref="AC72:AG72"/>
    <mergeCell ref="AH72:AL72"/>
    <mergeCell ref="L68:O68"/>
    <mergeCell ref="P68:R68"/>
    <mergeCell ref="S68:W68"/>
    <mergeCell ref="L67:O67"/>
    <mergeCell ref="P67:R67"/>
    <mergeCell ref="S67:W67"/>
    <mergeCell ref="X67:AB67"/>
    <mergeCell ref="AC67:AG67"/>
    <mergeCell ref="AH67:AL67"/>
    <mergeCell ref="AM67:AQ67"/>
    <mergeCell ref="S66:W66"/>
    <mergeCell ref="X66:AB66"/>
    <mergeCell ref="AC66:AG66"/>
    <mergeCell ref="AH66:AL66"/>
    <mergeCell ref="AM66:AQ66"/>
    <mergeCell ref="F55:K57"/>
    <mergeCell ref="F58:K60"/>
    <mergeCell ref="F114:K115"/>
    <mergeCell ref="F112:K113"/>
    <mergeCell ref="L112:R113"/>
    <mergeCell ref="S112:W113"/>
    <mergeCell ref="AM112:AQ113"/>
    <mergeCell ref="AR112:AV113"/>
    <mergeCell ref="BB112:BF113"/>
    <mergeCell ref="AH114:AL114"/>
    <mergeCell ref="AM114:AQ114"/>
    <mergeCell ref="BB115:BF115"/>
    <mergeCell ref="L114:O114"/>
    <mergeCell ref="P114:R114"/>
    <mergeCell ref="S114:W114"/>
    <mergeCell ref="X114:AB114"/>
    <mergeCell ref="AC114:AG114"/>
    <mergeCell ref="AR114:AV114"/>
    <mergeCell ref="BB114:BF114"/>
    <mergeCell ref="L115:O115"/>
    <mergeCell ref="P115:R115"/>
    <mergeCell ref="S115:W115"/>
    <mergeCell ref="X115:AB115"/>
    <mergeCell ref="AC115:AG115"/>
    <mergeCell ref="CP52:CT52"/>
    <mergeCell ref="CR93:CR94"/>
    <mergeCell ref="CR104:CR105"/>
    <mergeCell ref="CL104:CL105"/>
    <mergeCell ref="CD103:CH103"/>
    <mergeCell ref="CH104:CH105"/>
    <mergeCell ref="CK93:CK94"/>
    <mergeCell ref="CJ93:CJ94"/>
    <mergeCell ref="CD71:CD72"/>
    <mergeCell ref="CD92:CH92"/>
    <mergeCell ref="CS53:CS54"/>
    <mergeCell ref="CS71:CS72"/>
    <mergeCell ref="CP53:CP54"/>
    <mergeCell ref="CP71:CP72"/>
    <mergeCell ref="CP93:CP94"/>
    <mergeCell ref="CP104:CP105"/>
    <mergeCell ref="CL93:CL94"/>
    <mergeCell ref="CM53:CM54"/>
    <mergeCell ref="CM71:CM72"/>
    <mergeCell ref="CM93:CM94"/>
    <mergeCell ref="CQ53:CQ54"/>
    <mergeCell ref="CQ71:CQ72"/>
    <mergeCell ref="CQ93:CQ94"/>
    <mergeCell ref="CQ104:CQ105"/>
  </mergeCells>
  <conditionalFormatting sqref="B120:T120 AK120:AZ120 B123:T123 AK123:AZ123 B126:T126 AK126:AZ127">
    <cfRule type="notContainsBlanks" dxfId="134" priority="378">
      <formula>LEN(TRIM(B120))&gt;0</formula>
    </cfRule>
  </conditionalFormatting>
  <conditionalFormatting sqref="B33:AZ34">
    <cfRule type="notContainsBlanks" dxfId="133" priority="4">
      <formula>LEN(TRIM(B33))&gt;0</formula>
    </cfRule>
  </conditionalFormatting>
  <conditionalFormatting sqref="K41:L42 T41:U42">
    <cfRule type="notContainsBlanks" dxfId="132" priority="62">
      <formula>LEN(TRIM(K41))&gt;0</formula>
    </cfRule>
  </conditionalFormatting>
  <conditionalFormatting sqref="L55:L60">
    <cfRule type="expression" dxfId="131" priority="159">
      <formula>$BQ$55="FAIL"</formula>
    </cfRule>
  </conditionalFormatting>
  <conditionalFormatting sqref="L7:N7 AN7:AP7 K9:AA22 AG29:AX29 B37:AZ38 C45:AS48">
    <cfRule type="notContainsBlanks" dxfId="130" priority="379">
      <formula>LEN(TRIM(B7))&gt;0</formula>
    </cfRule>
  </conditionalFormatting>
  <conditionalFormatting sqref="L62:O65">
    <cfRule type="expression" dxfId="129" priority="155">
      <formula>$BQ$61="FAIL"</formula>
    </cfRule>
  </conditionalFormatting>
  <conditionalFormatting sqref="L74:O80">
    <cfRule type="expression" dxfId="128" priority="113">
      <formula>$BQ$77="FAIL"</formula>
    </cfRule>
  </conditionalFormatting>
  <conditionalFormatting sqref="L82:O86">
    <cfRule type="expression" dxfId="127" priority="108">
      <formula>$BQ$81="FAIL"</formula>
    </cfRule>
  </conditionalFormatting>
  <conditionalFormatting sqref="L100:O100">
    <cfRule type="expression" dxfId="126" priority="84">
      <formula>$BQ$99="FAIL"</formula>
    </cfRule>
  </conditionalFormatting>
  <conditionalFormatting sqref="L107:O109">
    <cfRule type="expression" dxfId="125" priority="101">
      <formula>$BQ$106="FAIL"</formula>
    </cfRule>
  </conditionalFormatting>
  <conditionalFormatting sqref="L115:O117">
    <cfRule type="expression" dxfId="124" priority="98">
      <formula>$BQ$114="FAIL"</formula>
    </cfRule>
  </conditionalFormatting>
  <conditionalFormatting sqref="L61:R61">
    <cfRule type="expression" dxfId="123" priority="364">
      <formula>$BQ$61="FAIL"</formula>
    </cfRule>
  </conditionalFormatting>
  <conditionalFormatting sqref="L66:R66">
    <cfRule type="expression" dxfId="122" priority="356">
      <formula>$BQ$66="FAIL"</formula>
    </cfRule>
  </conditionalFormatting>
  <conditionalFormatting sqref="L67:R67">
    <cfRule type="expression" dxfId="121" priority="355">
      <formula>$BQ$67="FAIL"</formula>
    </cfRule>
  </conditionalFormatting>
  <conditionalFormatting sqref="L68:R68">
    <cfRule type="expression" dxfId="120" priority="354">
      <formula>$BQ$68="FAIL"</formula>
    </cfRule>
  </conditionalFormatting>
  <conditionalFormatting sqref="L88:R88">
    <cfRule type="expression" dxfId="119" priority="338">
      <formula>$BQ$88="FAIL"</formula>
    </cfRule>
  </conditionalFormatting>
  <conditionalFormatting sqref="L90:R90">
    <cfRule type="expression" dxfId="118" priority="336">
      <formula>$BQ$90="FAIL"</formula>
    </cfRule>
  </conditionalFormatting>
  <conditionalFormatting sqref="L95:R95">
    <cfRule type="expression" dxfId="117" priority="335">
      <formula>$BQ$95="FAIL"</formula>
    </cfRule>
  </conditionalFormatting>
  <conditionalFormatting sqref="L96:R96">
    <cfRule type="expression" dxfId="116" priority="334">
      <formula>$BQ$96="FAIL"</formula>
    </cfRule>
  </conditionalFormatting>
  <conditionalFormatting sqref="L97:R97">
    <cfRule type="expression" dxfId="115" priority="333">
      <formula>$BQ$97="FAIL"</formula>
    </cfRule>
  </conditionalFormatting>
  <conditionalFormatting sqref="L98:R98">
    <cfRule type="expression" dxfId="114" priority="332">
      <formula>$BQ$98="FAIL"</formula>
    </cfRule>
  </conditionalFormatting>
  <conditionalFormatting sqref="L99:R99">
    <cfRule type="expression" dxfId="113" priority="331">
      <formula>$BQ$99="FAIL"</formula>
    </cfRule>
  </conditionalFormatting>
  <conditionalFormatting sqref="L101:R101">
    <cfRule type="expression" dxfId="112" priority="329">
      <formula>$BQ$101="FAIL"</formula>
    </cfRule>
  </conditionalFormatting>
  <conditionalFormatting sqref="L106:R106 AM106:AV106">
    <cfRule type="expression" dxfId="111" priority="328">
      <formula>$BQ$106="FAIL"</formula>
    </cfRule>
  </conditionalFormatting>
  <conditionalFormatting sqref="L114:W114 AM114:AV114">
    <cfRule type="expression" dxfId="110" priority="325">
      <formula>$BQ$114="FAIL"</formula>
    </cfRule>
  </conditionalFormatting>
  <conditionalFormatting sqref="L73:AV73">
    <cfRule type="expression" dxfId="109" priority="24">
      <formula>$BQ$77="FAIL"</formula>
    </cfRule>
  </conditionalFormatting>
  <conditionalFormatting sqref="L81:AV81">
    <cfRule type="expression" dxfId="108" priority="43">
      <formula>$BQ$81="FAIL"</formula>
    </cfRule>
  </conditionalFormatting>
  <conditionalFormatting sqref="L87:AV87">
    <cfRule type="expression" dxfId="107" priority="37">
      <formula>$BQ$87="FAIL"</formula>
    </cfRule>
  </conditionalFormatting>
  <conditionalFormatting sqref="L89:AV89">
    <cfRule type="expression" dxfId="106" priority="35">
      <formula>$BQ$89="FAIL"</formula>
    </cfRule>
  </conditionalFormatting>
  <conditionalFormatting sqref="P55">
    <cfRule type="expression" dxfId="105" priority="370">
      <formula>$BQ$55="FAIL"</formula>
    </cfRule>
  </conditionalFormatting>
  <conditionalFormatting sqref="P56:R56">
    <cfRule type="expression" dxfId="104" priority="369">
      <formula>$BQ$56="FAIL"</formula>
    </cfRule>
  </conditionalFormatting>
  <conditionalFormatting sqref="P57:R57">
    <cfRule type="expression" dxfId="103" priority="368">
      <formula>$BQ$57="FAIL"</formula>
    </cfRule>
  </conditionalFormatting>
  <conditionalFormatting sqref="P58:R58">
    <cfRule type="expression" dxfId="102" priority="367">
      <formula>$BQ$58="FAIL"</formula>
    </cfRule>
  </conditionalFormatting>
  <conditionalFormatting sqref="P59:R59">
    <cfRule type="expression" dxfId="101" priority="366">
      <formula>$BQ$59="FAIL"</formula>
    </cfRule>
  </conditionalFormatting>
  <conditionalFormatting sqref="P60:R60">
    <cfRule type="expression" dxfId="100" priority="365">
      <formula>$BQ$60="FAIL"</formula>
    </cfRule>
  </conditionalFormatting>
  <conditionalFormatting sqref="P62:R62">
    <cfRule type="expression" dxfId="99" priority="363">
      <formula>$BQ$62="FAIL"</formula>
    </cfRule>
  </conditionalFormatting>
  <conditionalFormatting sqref="P63:R63">
    <cfRule type="expression" dxfId="98" priority="362">
      <formula>$BQ$63="FAIL"</formula>
    </cfRule>
  </conditionalFormatting>
  <conditionalFormatting sqref="P64:R64">
    <cfRule type="expression" dxfId="97" priority="361">
      <formula>$BQ$64="FAIL"</formula>
    </cfRule>
  </conditionalFormatting>
  <conditionalFormatting sqref="P65:R65">
    <cfRule type="expression" dxfId="96" priority="360">
      <formula>$BQ$65="FAIL"</formula>
    </cfRule>
  </conditionalFormatting>
  <conditionalFormatting sqref="P76:R76">
    <cfRule type="expression" dxfId="95" priority="150">
      <formula>$BQ$80="FAIL"</formula>
    </cfRule>
  </conditionalFormatting>
  <conditionalFormatting sqref="P80:R80">
    <cfRule type="expression" dxfId="94" priority="350">
      <formula>$BQ$80="FAIL"</formula>
    </cfRule>
  </conditionalFormatting>
  <conditionalFormatting sqref="P82:R82">
    <cfRule type="expression" dxfId="93" priority="348">
      <formula>$BQ$82="FAIL"</formula>
    </cfRule>
  </conditionalFormatting>
  <conditionalFormatting sqref="P84:R84">
    <cfRule type="expression" dxfId="92" priority="346">
      <formula>$BQ$84="FAIL"</formula>
    </cfRule>
  </conditionalFormatting>
  <conditionalFormatting sqref="P86:R86">
    <cfRule type="expression" dxfId="91" priority="344">
      <formula>$BQ$86="FAIL"</formula>
    </cfRule>
  </conditionalFormatting>
  <conditionalFormatting sqref="P100:R100">
    <cfRule type="expression" dxfId="90" priority="83">
      <formula>$BQ$101="FAIL"</formula>
    </cfRule>
  </conditionalFormatting>
  <conditionalFormatting sqref="P107:R107 AM107:AV107">
    <cfRule type="expression" dxfId="89" priority="327">
      <formula>$BQ$107="FAIL"</formula>
    </cfRule>
  </conditionalFormatting>
  <conditionalFormatting sqref="P108:R109">
    <cfRule type="expression" dxfId="88" priority="105">
      <formula>$BQ$109="FAIL"</formula>
    </cfRule>
  </conditionalFormatting>
  <conditionalFormatting sqref="P116:R116 AM116:AV116">
    <cfRule type="expression" dxfId="87" priority="323">
      <formula>$BQ$116="FAIL"</formula>
    </cfRule>
  </conditionalFormatting>
  <conditionalFormatting sqref="P117:R117 AM117:AV117">
    <cfRule type="expression" dxfId="86" priority="322">
      <formula>$BQ$117="FAIL"</formula>
    </cfRule>
  </conditionalFormatting>
  <conditionalFormatting sqref="P75:W75 AM75:AV75">
    <cfRule type="expression" dxfId="85" priority="151">
      <formula>$BQ$79="FAIL"</formula>
    </cfRule>
  </conditionalFormatting>
  <conditionalFormatting sqref="P79:W79 AM79:AV79">
    <cfRule type="expression" dxfId="84" priority="351">
      <formula>$BQ$79="FAIL"</formula>
    </cfRule>
  </conditionalFormatting>
  <conditionalFormatting sqref="P83:W83 AM83:AV83">
    <cfRule type="expression" dxfId="83" priority="347">
      <formula>$BQ$83="FAIL"</formula>
    </cfRule>
  </conditionalFormatting>
  <conditionalFormatting sqref="P85:W85 AM85:AV85">
    <cfRule type="expression" dxfId="82" priority="345">
      <formula>$BQ$85="FAIL"</formula>
    </cfRule>
  </conditionalFormatting>
  <conditionalFormatting sqref="P115:W115 AM115:AV115">
    <cfRule type="expression" dxfId="81" priority="324">
      <formula>$BQ$115="FAIL"</formula>
    </cfRule>
  </conditionalFormatting>
  <conditionalFormatting sqref="P74:AV74">
    <cfRule type="expression" dxfId="80" priority="23">
      <formula>$BQ$78="FAIL"</formula>
    </cfRule>
  </conditionalFormatting>
  <conditionalFormatting sqref="P77:AV77">
    <cfRule type="expression" dxfId="79" priority="46">
      <formula>$BQ$77="FAIL"</formula>
    </cfRule>
  </conditionalFormatting>
  <conditionalFormatting sqref="P78:AV78">
    <cfRule type="expression" dxfId="78" priority="19">
      <formula>$BQ$78="FAIL"</formula>
    </cfRule>
  </conditionalFormatting>
  <conditionalFormatting sqref="S76:W76">
    <cfRule type="expression" dxfId="77" priority="95">
      <formula>$BQ$78="FAIL"</formula>
    </cfRule>
  </conditionalFormatting>
  <conditionalFormatting sqref="S80:W80">
    <cfRule type="expression" dxfId="76" priority="93">
      <formula>$BQ$78="FAIL"</formula>
    </cfRule>
  </conditionalFormatting>
  <conditionalFormatting sqref="S82:W82">
    <cfRule type="expression" dxfId="75" priority="92">
      <formula>$BQ$78="FAIL"</formula>
    </cfRule>
  </conditionalFormatting>
  <conditionalFormatting sqref="S84:W84">
    <cfRule type="expression" dxfId="74" priority="91">
      <formula>$BQ$78="FAIL"</formula>
    </cfRule>
  </conditionalFormatting>
  <conditionalFormatting sqref="S86:W86">
    <cfRule type="expression" dxfId="73" priority="90">
      <formula>$BQ$78="FAIL"</formula>
    </cfRule>
  </conditionalFormatting>
  <conditionalFormatting sqref="S88:W88">
    <cfRule type="expression" dxfId="72" priority="89">
      <formula>$BQ$78="FAIL"</formula>
    </cfRule>
  </conditionalFormatting>
  <conditionalFormatting sqref="S90:W90">
    <cfRule type="expression" dxfId="71" priority="88">
      <formula>$BQ$78="FAIL"</formula>
    </cfRule>
  </conditionalFormatting>
  <conditionalFormatting sqref="S116:W116">
    <cfRule type="expression" dxfId="70" priority="97">
      <formula>$BQ$114="FAIL"</formula>
    </cfRule>
  </conditionalFormatting>
  <conditionalFormatting sqref="S117:W117">
    <cfRule type="expression" dxfId="69" priority="96">
      <formula>$BQ$115="FAIL"</formula>
    </cfRule>
  </conditionalFormatting>
  <conditionalFormatting sqref="X55:AL68">
    <cfRule type="notContainsBlanks" dxfId="68" priority="61">
      <formula>LEN(TRIM(X55))&gt;0</formula>
    </cfRule>
  </conditionalFormatting>
  <conditionalFormatting sqref="X56:AL56">
    <cfRule type="expression" dxfId="67" priority="1">
      <formula>$BQ$55="FAIL"</formula>
    </cfRule>
  </conditionalFormatting>
  <conditionalFormatting sqref="X73:AL90">
    <cfRule type="notContainsBlanks" dxfId="66" priority="25">
      <formula>LEN(TRIM(X73))&gt;0</formula>
    </cfRule>
  </conditionalFormatting>
  <conditionalFormatting sqref="X75:AL76">
    <cfRule type="expression" dxfId="65" priority="16">
      <formula>$BQ$79="FAIL"</formula>
    </cfRule>
  </conditionalFormatting>
  <conditionalFormatting sqref="X79:AL80">
    <cfRule type="expression" dxfId="64" priority="15">
      <formula>$BQ$79="FAIL"</formula>
    </cfRule>
  </conditionalFormatting>
  <conditionalFormatting sqref="X83:AL84">
    <cfRule type="expression" dxfId="63" priority="14">
      <formula>$BQ$83="FAIL"</formula>
    </cfRule>
  </conditionalFormatting>
  <conditionalFormatting sqref="X85:AL86">
    <cfRule type="expression" dxfId="62" priority="13">
      <formula>$BQ$85="FAIL"</formula>
    </cfRule>
  </conditionalFormatting>
  <conditionalFormatting sqref="X95:AL101">
    <cfRule type="notContainsBlanks" dxfId="61" priority="18">
      <formula>LEN(TRIM(X95))&gt;0</formula>
    </cfRule>
  </conditionalFormatting>
  <conditionalFormatting sqref="X106:AL109">
    <cfRule type="notContainsBlanks" dxfId="60" priority="20">
      <formula>LEN(TRIM(X106))&gt;0</formula>
    </cfRule>
    <cfRule type="expression" dxfId="59" priority="11">
      <formula>$BQ$106="FAIL"</formula>
    </cfRule>
  </conditionalFormatting>
  <conditionalFormatting sqref="X107:AL109">
    <cfRule type="expression" dxfId="58" priority="12">
      <formula>$BQ$107="FAIL"</formula>
    </cfRule>
  </conditionalFormatting>
  <conditionalFormatting sqref="X114:AL117">
    <cfRule type="expression" dxfId="57" priority="5">
      <formula>$BQ$106="FAIL"</formula>
    </cfRule>
    <cfRule type="notContainsBlanks" dxfId="56" priority="7">
      <formula>LEN(TRIM(X114))&gt;0</formula>
    </cfRule>
  </conditionalFormatting>
  <conditionalFormatting sqref="X115:AL117">
    <cfRule type="expression" dxfId="55" priority="6">
      <formula>$BQ$107="FAIL"</formula>
    </cfRule>
  </conditionalFormatting>
  <conditionalFormatting sqref="X116:AL117">
    <cfRule type="expression" dxfId="54" priority="8">
      <formula>$BQ$109="FAIL"</formula>
    </cfRule>
  </conditionalFormatting>
  <conditionalFormatting sqref="X55:AV55">
    <cfRule type="expression" dxfId="53" priority="60">
      <formula>$BQ$55="FAIL"</formula>
    </cfRule>
  </conditionalFormatting>
  <conditionalFormatting sqref="X56:AV56">
    <cfRule type="expression" dxfId="52" priority="59">
      <formula>$BQ$56="FAIL"</formula>
    </cfRule>
  </conditionalFormatting>
  <conditionalFormatting sqref="X57:AV57">
    <cfRule type="expression" dxfId="51" priority="58">
      <formula>$BQ$57="FAIL"</formula>
    </cfRule>
  </conditionalFormatting>
  <conditionalFormatting sqref="X58:AV58">
    <cfRule type="expression" dxfId="50" priority="57">
      <formula>$BQ$58="FAIL"</formula>
    </cfRule>
  </conditionalFormatting>
  <conditionalFormatting sqref="X59:AV59">
    <cfRule type="expression" dxfId="49" priority="56">
      <formula>$BQ$59="FAIL"</formula>
    </cfRule>
  </conditionalFormatting>
  <conditionalFormatting sqref="X60:AV60">
    <cfRule type="expression" dxfId="48" priority="55">
      <formula>$BQ$60="FAIL"</formula>
    </cfRule>
  </conditionalFormatting>
  <conditionalFormatting sqref="X61:AV61">
    <cfRule type="expression" dxfId="47" priority="54">
      <formula>$BQ$61="FAIL"</formula>
    </cfRule>
  </conditionalFormatting>
  <conditionalFormatting sqref="X62:AV62">
    <cfRule type="expression" dxfId="46" priority="53">
      <formula>$BQ$62="FAIL"</formula>
    </cfRule>
  </conditionalFormatting>
  <conditionalFormatting sqref="X63:AV63">
    <cfRule type="expression" dxfId="45" priority="52">
      <formula>$BQ$63="FAIL"</formula>
    </cfRule>
  </conditionalFormatting>
  <conditionalFormatting sqref="X64:AV64">
    <cfRule type="expression" dxfId="44" priority="51">
      <formula>$BQ$64="FAIL"</formula>
    </cfRule>
  </conditionalFormatting>
  <conditionalFormatting sqref="X65:AV65">
    <cfRule type="expression" dxfId="43" priority="50">
      <formula>$BQ$65="FAIL"</formula>
    </cfRule>
  </conditionalFormatting>
  <conditionalFormatting sqref="X66:AV66">
    <cfRule type="expression" dxfId="42" priority="49">
      <formula>$BQ$66="FAIL"</formula>
    </cfRule>
  </conditionalFormatting>
  <conditionalFormatting sqref="X67:AV67">
    <cfRule type="expression" dxfId="41" priority="48">
      <formula>$BQ$67="FAIL"</formula>
    </cfRule>
  </conditionalFormatting>
  <conditionalFormatting sqref="X68:AV68">
    <cfRule type="expression" dxfId="40" priority="47">
      <formula>$BQ$68="FAIL"</formula>
    </cfRule>
  </conditionalFormatting>
  <conditionalFormatting sqref="X76:AV76">
    <cfRule type="expression" dxfId="39" priority="21">
      <formula>$BQ$80="FAIL"</formula>
    </cfRule>
  </conditionalFormatting>
  <conditionalFormatting sqref="X80:AV80">
    <cfRule type="expression" dxfId="38" priority="44">
      <formula>$BQ$80="FAIL"</formula>
    </cfRule>
  </conditionalFormatting>
  <conditionalFormatting sqref="X82:AV82">
    <cfRule type="expression" dxfId="37" priority="42">
      <formula>$BQ$82="FAIL"</formula>
    </cfRule>
  </conditionalFormatting>
  <conditionalFormatting sqref="X84:AV84">
    <cfRule type="expression" dxfId="36" priority="40">
      <formula>$BQ$84="FAIL"</formula>
    </cfRule>
  </conditionalFormatting>
  <conditionalFormatting sqref="X86:AV86">
    <cfRule type="expression" dxfId="35" priority="38">
      <formula>$BQ$86="FAIL"</formula>
    </cfRule>
  </conditionalFormatting>
  <conditionalFormatting sqref="X88:AV88">
    <cfRule type="expression" dxfId="34" priority="36">
      <formula>$BQ$88="FAIL"</formula>
    </cfRule>
  </conditionalFormatting>
  <conditionalFormatting sqref="X90:AV90">
    <cfRule type="expression" dxfId="33" priority="34">
      <formula>$BQ$90="FAIL"</formula>
    </cfRule>
  </conditionalFormatting>
  <conditionalFormatting sqref="X95:AV95">
    <cfRule type="expression" dxfId="32" priority="33">
      <formula>$BQ$95="FAIL"</formula>
    </cfRule>
  </conditionalFormatting>
  <conditionalFormatting sqref="X96:AV96">
    <cfRule type="expression" dxfId="31" priority="32">
      <formula>$BQ$96="FAIL"</formula>
    </cfRule>
  </conditionalFormatting>
  <conditionalFormatting sqref="X97:AV97">
    <cfRule type="expression" dxfId="30" priority="31">
      <formula>$BQ$97="FAIL"</formula>
    </cfRule>
  </conditionalFormatting>
  <conditionalFormatting sqref="X98:AV98">
    <cfRule type="expression" dxfId="29" priority="30">
      <formula>$BQ$98="FAIL"</formula>
    </cfRule>
  </conditionalFormatting>
  <conditionalFormatting sqref="X99:AV100">
    <cfRule type="expression" dxfId="28" priority="17">
      <formula>$BQ$99="FAIL"</formula>
    </cfRule>
  </conditionalFormatting>
  <conditionalFormatting sqref="X101:AV101">
    <cfRule type="expression" dxfId="27" priority="29">
      <formula>$BQ$101="FAIL"</formula>
    </cfRule>
  </conditionalFormatting>
  <conditionalFormatting sqref="X108:AV109">
    <cfRule type="expression" dxfId="26" priority="26">
      <formula>$BQ$109="FAIL"</formula>
    </cfRule>
  </conditionalFormatting>
  <conditionalFormatting sqref="AL9:AZ22">
    <cfRule type="notContainsBlanks" dxfId="25" priority="63">
      <formula>LEN(TRIM(AL9))&gt;0</formula>
    </cfRule>
  </conditionalFormatting>
  <conditionalFormatting sqref="BQ55:BU68">
    <cfRule type="containsText" dxfId="24" priority="373" operator="containsText" text="PASS">
      <formula>NOT(ISERROR(SEARCH("PASS",BQ55)))</formula>
    </cfRule>
    <cfRule type="containsText" dxfId="23" priority="374" operator="containsText" text="FAIL">
      <formula>NOT(ISERROR(SEARCH("FAIL",BQ55)))</formula>
    </cfRule>
  </conditionalFormatting>
  <conditionalFormatting sqref="BQ73:BU90">
    <cfRule type="containsText" dxfId="22" priority="148" operator="containsText" text="PASS">
      <formula>NOT(ISERROR(SEARCH("PASS",BQ73)))</formula>
    </cfRule>
    <cfRule type="containsText" dxfId="21" priority="149" operator="containsText" text="FAIL">
      <formula>NOT(ISERROR(SEARCH("FAIL",BQ73)))</formula>
    </cfRule>
  </conditionalFormatting>
  <conditionalFormatting sqref="BQ95:BU101">
    <cfRule type="containsText" dxfId="20" priority="85" operator="containsText" text="PASS">
      <formula>NOT(ISERROR(SEARCH("PASS",BQ95)))</formula>
    </cfRule>
    <cfRule type="containsText" dxfId="19" priority="86" operator="containsText" text="FAIL">
      <formula>NOT(ISERROR(SEARCH("FAIL",BQ95)))</formula>
    </cfRule>
  </conditionalFormatting>
  <conditionalFormatting sqref="BQ106:BU109">
    <cfRule type="containsText" dxfId="18" priority="104" operator="containsText" text="FAIL">
      <formula>NOT(ISERROR(SEARCH("FAIL",BQ106)))</formula>
    </cfRule>
    <cfRule type="containsText" dxfId="17" priority="103" operator="containsText" text="PASS">
      <formula>NOT(ISERROR(SEARCH("PASS",BQ106)))</formula>
    </cfRule>
  </conditionalFormatting>
  <conditionalFormatting sqref="BQ114:BU117">
    <cfRule type="containsText" dxfId="16" priority="315" operator="containsText" text="FAIL">
      <formula>NOT(ISERROR(SEARCH("FAIL",BQ114)))</formula>
    </cfRule>
    <cfRule type="containsText" dxfId="15" priority="314" operator="containsText" text="PASS">
      <formula>NOT(ISERROR(SEARCH("PASS",BQ114)))</formula>
    </cfRule>
  </conditionalFormatting>
  <printOptions horizontalCentered="1" verticalCentered="1"/>
  <pageMargins left="0" right="0" top="0" bottom="0.5" header="0" footer="0"/>
  <pageSetup paperSize="10000" scale="85" orientation="portrait"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49" t="s">
        <v>121</v>
      </c>
      <c r="C2" s="449"/>
      <c r="D2" s="449"/>
      <c r="E2" s="449"/>
      <c r="F2" s="449"/>
      <c r="G2" s="449"/>
      <c r="H2" s="449"/>
      <c r="I2" s="449"/>
      <c r="J2" s="449"/>
      <c r="K2" s="449"/>
      <c r="L2" s="449"/>
      <c r="M2" s="449"/>
      <c r="N2" s="449"/>
      <c r="O2" s="449"/>
      <c r="P2" s="449"/>
      <c r="Q2" s="449"/>
      <c r="R2" s="449"/>
      <c r="S2" s="449"/>
      <c r="T2" s="449"/>
      <c r="U2" s="449"/>
      <c r="V2" s="449"/>
      <c r="W2" s="449"/>
      <c r="X2" s="449"/>
      <c r="Y2" s="449"/>
    </row>
    <row r="3" spans="2:25">
      <c r="B3" s="426" t="s">
        <v>68</v>
      </c>
      <c r="C3" s="436"/>
      <c r="D3" s="436"/>
      <c r="E3" s="436"/>
      <c r="F3" s="436"/>
      <c r="G3" s="427"/>
      <c r="H3" s="426" t="s">
        <v>127</v>
      </c>
      <c r="I3" s="436"/>
      <c r="J3" s="436"/>
      <c r="K3" s="436"/>
      <c r="L3" s="436"/>
      <c r="M3" s="427"/>
      <c r="N3" s="426" t="s">
        <v>128</v>
      </c>
      <c r="O3" s="436"/>
      <c r="P3" s="436"/>
      <c r="Q3" s="436"/>
      <c r="R3" s="436"/>
      <c r="S3" s="436"/>
      <c r="T3" s="436"/>
      <c r="U3" s="436"/>
      <c r="V3" s="436"/>
      <c r="W3" s="427"/>
      <c r="X3" s="442" t="s">
        <v>122</v>
      </c>
      <c r="Y3" s="443"/>
    </row>
    <row r="4" spans="2:25" ht="15" customHeight="1">
      <c r="B4" s="428"/>
      <c r="C4" s="437"/>
      <c r="D4" s="437"/>
      <c r="E4" s="437"/>
      <c r="F4" s="437"/>
      <c r="G4" s="429"/>
      <c r="H4" s="428"/>
      <c r="I4" s="437"/>
      <c r="J4" s="437"/>
      <c r="K4" s="437"/>
      <c r="L4" s="437"/>
      <c r="M4" s="429"/>
      <c r="N4" s="428"/>
      <c r="O4" s="437"/>
      <c r="P4" s="437"/>
      <c r="Q4" s="437"/>
      <c r="R4" s="437"/>
      <c r="S4" s="437"/>
      <c r="T4" s="437"/>
      <c r="U4" s="437"/>
      <c r="V4" s="437"/>
      <c r="W4" s="429"/>
      <c r="X4" s="444"/>
      <c r="Y4" s="445"/>
    </row>
    <row r="5" spans="2:25">
      <c r="B5" s="424" t="str">
        <f>DataSheet!F52</f>
        <v>DC Voltage Test</v>
      </c>
      <c r="C5" s="424"/>
      <c r="D5" s="424"/>
      <c r="E5" s="424"/>
      <c r="F5" s="424"/>
      <c r="G5" s="424"/>
      <c r="H5" s="424"/>
      <c r="I5" s="424"/>
      <c r="J5" s="424"/>
      <c r="K5" s="424"/>
      <c r="L5" s="424"/>
      <c r="M5" s="424"/>
      <c r="N5" s="424"/>
      <c r="O5" s="424"/>
      <c r="P5" s="424"/>
      <c r="Q5" s="424"/>
      <c r="R5" s="424"/>
      <c r="S5" s="424"/>
      <c r="T5" s="424"/>
      <c r="U5" s="424"/>
      <c r="V5" s="424"/>
      <c r="W5" s="424"/>
      <c r="X5" s="444"/>
      <c r="Y5" s="445"/>
    </row>
    <row r="6" spans="2:25">
      <c r="B6" s="424"/>
      <c r="C6" s="424"/>
      <c r="D6" s="424"/>
      <c r="E6" s="424"/>
      <c r="F6" s="424"/>
      <c r="G6" s="424"/>
      <c r="H6" s="424"/>
      <c r="I6" s="424"/>
      <c r="J6" s="424"/>
      <c r="K6" s="424"/>
      <c r="L6" s="424"/>
      <c r="M6" s="424"/>
      <c r="N6" s="424"/>
      <c r="O6" s="424"/>
      <c r="P6" s="424"/>
      <c r="Q6" s="424"/>
      <c r="R6" s="424"/>
      <c r="S6" s="424"/>
      <c r="T6" s="424"/>
      <c r="U6" s="424"/>
      <c r="V6" s="424"/>
      <c r="W6" s="424"/>
      <c r="X6" s="444"/>
      <c r="Y6" s="445"/>
    </row>
    <row r="7" spans="2:25" ht="15" customHeight="1">
      <c r="B7" s="441" t="s">
        <v>74</v>
      </c>
      <c r="C7" s="441"/>
      <c r="D7" s="424" t="s">
        <v>76</v>
      </c>
      <c r="E7" s="424"/>
      <c r="F7" s="426" t="s">
        <v>116</v>
      </c>
      <c r="G7" s="427"/>
      <c r="H7" s="424" t="s">
        <v>77</v>
      </c>
      <c r="I7" s="424"/>
      <c r="J7" s="424" t="s">
        <v>78</v>
      </c>
      <c r="K7" s="424"/>
      <c r="L7" s="424" t="s">
        <v>79</v>
      </c>
      <c r="M7" s="424"/>
      <c r="N7" s="435" t="s">
        <v>125</v>
      </c>
      <c r="O7" s="424"/>
      <c r="P7" s="424" t="s">
        <v>77</v>
      </c>
      <c r="Q7" s="424"/>
      <c r="R7" s="424" t="s">
        <v>79</v>
      </c>
      <c r="S7" s="424"/>
      <c r="T7" s="435" t="s">
        <v>126</v>
      </c>
      <c r="U7" s="424"/>
      <c r="V7" s="424" t="s">
        <v>79</v>
      </c>
      <c r="W7" s="424"/>
      <c r="X7" s="444"/>
      <c r="Y7" s="445"/>
    </row>
    <row r="8" spans="2:25">
      <c r="B8" s="448"/>
      <c r="C8" s="448"/>
      <c r="D8" s="424"/>
      <c r="E8" s="424"/>
      <c r="F8" s="450"/>
      <c r="G8" s="451"/>
      <c r="H8" s="424"/>
      <c r="I8" s="424"/>
      <c r="J8" s="424"/>
      <c r="K8" s="424"/>
      <c r="L8" s="424"/>
      <c r="M8" s="424"/>
      <c r="N8" s="435"/>
      <c r="O8" s="424"/>
      <c r="P8" s="424"/>
      <c r="Q8" s="424"/>
      <c r="R8" s="424"/>
      <c r="S8" s="424"/>
      <c r="T8" s="435"/>
      <c r="U8" s="424"/>
      <c r="V8" s="424"/>
      <c r="W8" s="424"/>
      <c r="X8" s="444"/>
      <c r="Y8" s="445"/>
    </row>
    <row r="9" spans="2:25">
      <c r="B9" s="448"/>
      <c r="C9" s="448"/>
      <c r="D9" s="424"/>
      <c r="E9" s="424"/>
      <c r="F9" s="428"/>
      <c r="G9" s="429"/>
      <c r="H9" s="424"/>
      <c r="I9" s="424"/>
      <c r="J9" s="424"/>
      <c r="K9" s="424"/>
      <c r="L9" s="424"/>
      <c r="M9" s="424"/>
      <c r="N9" s="424"/>
      <c r="O9" s="424"/>
      <c r="P9" s="424"/>
      <c r="Q9" s="424"/>
      <c r="R9" s="424"/>
      <c r="S9" s="424"/>
      <c r="T9" s="424"/>
      <c r="U9" s="424"/>
      <c r="V9" s="424"/>
      <c r="W9" s="424"/>
      <c r="X9" s="446"/>
      <c r="Y9" s="447"/>
    </row>
    <row r="10" spans="2:25">
      <c r="B10" s="41" t="e">
        <f>DataSheet!AM55</f>
        <v>#DIV/0!</v>
      </c>
      <c r="C10" s="42" t="str">
        <f>DataSheet!P55</f>
        <v>mV</v>
      </c>
      <c r="D10" s="49" t="e">
        <f>ABS((B10*0.7%)+(3*DataSheet!CK55))</f>
        <v>#DIV/0!</v>
      </c>
      <c r="E10" s="33" t="str">
        <f>C10</f>
        <v>mV</v>
      </c>
      <c r="F10" s="36" t="e">
        <f>DataSheet!DD55</f>
        <v>#DIV/0!</v>
      </c>
      <c r="G10" s="33" t="str">
        <f>E10</f>
        <v>mV</v>
      </c>
      <c r="H10" s="37" t="e">
        <f>DataSheet!L55+D10</f>
        <v>#DIV/0!</v>
      </c>
      <c r="I10" s="33" t="str">
        <f>G10</f>
        <v>mV</v>
      </c>
      <c r="J10" s="37" t="e">
        <f>DataSheet!L55-D10</f>
        <v>#DIV/0!</v>
      </c>
      <c r="K10" s="33" t="str">
        <f>I10</f>
        <v>mV</v>
      </c>
      <c r="L10" s="423" t="e">
        <f>IF(AND(B10&lt;=H10,B10&gt;=J10),"PASSED","FAILED")</f>
        <v>#DIV/0!</v>
      </c>
      <c r="M10" s="423"/>
      <c r="N10" s="37" t="e">
        <f>F10+B10</f>
        <v>#DIV/0!</v>
      </c>
      <c r="O10" s="38" t="str">
        <f>G10</f>
        <v>mV</v>
      </c>
      <c r="P10" s="37" t="e">
        <f>H10</f>
        <v>#DIV/0!</v>
      </c>
      <c r="Q10" s="33" t="str">
        <f>O10</f>
        <v>mV</v>
      </c>
      <c r="R10" s="434" t="e">
        <f>IF(AND(N10&lt;=H10,N10&gt;=J10),"PASSED","FAILED")</f>
        <v>#DIV/0!</v>
      </c>
      <c r="S10" s="434"/>
      <c r="T10" s="37" t="e">
        <f>-F10+B10</f>
        <v>#DIV/0!</v>
      </c>
      <c r="U10" s="35" t="str">
        <f>O10</f>
        <v>mV</v>
      </c>
      <c r="V10" s="433" t="e">
        <f>IF(AND(T10&lt;=H10,T10&gt;=J10),"PASSED","FAILED")</f>
        <v>#DIV/0!</v>
      </c>
      <c r="W10" s="433"/>
      <c r="X10" s="440" t="e">
        <f t="shared" ref="X10:X26" si="0">IF(AND(L10="PASSED",R10="PASSED",V10="PASSED"),"PASSED",IF(L10="FAILED","FAILED","UNDETERMINED"))</f>
        <v>#DIV/0!</v>
      </c>
      <c r="Y10" s="440"/>
    </row>
    <row r="11" spans="2:25">
      <c r="B11" s="41" t="e">
        <f>DataSheet!AM56</f>
        <v>#DIV/0!</v>
      </c>
      <c r="C11" s="42" t="str">
        <f>DataSheet!P56</f>
        <v>mV</v>
      </c>
      <c r="D11" s="49" t="e">
        <f>ABS((B11*0.7%)+(3*DataSheet!CK56))</f>
        <v>#DIV/0!</v>
      </c>
      <c r="E11" s="33" t="str">
        <f t="shared" ref="E11:E26" si="1">C11</f>
        <v>mV</v>
      </c>
      <c r="F11" s="36" t="e">
        <f>DataSheet!DD56</f>
        <v>#DIV/0!</v>
      </c>
      <c r="G11" s="33" t="str">
        <f t="shared" ref="G11:G26" si="2">E11</f>
        <v>mV</v>
      </c>
      <c r="H11" s="37" t="e">
        <f>DataSheet!L56+D11</f>
        <v>#DIV/0!</v>
      </c>
      <c r="I11" s="33" t="str">
        <f t="shared" ref="I11:I26" si="3">G11</f>
        <v>mV</v>
      </c>
      <c r="J11" s="37" t="e">
        <f>DataSheet!L56-D11</f>
        <v>#DIV/0!</v>
      </c>
      <c r="K11" s="33" t="str">
        <f t="shared" ref="K11:K26" si="4">I11</f>
        <v>mV</v>
      </c>
      <c r="L11" s="423" t="e">
        <f t="shared" ref="L11:L26" si="5">IF(AND(B11&lt;=H11,B11&gt;=J11),"PASSED","FAILED")</f>
        <v>#DIV/0!</v>
      </c>
      <c r="M11" s="423"/>
      <c r="N11" s="37" t="e">
        <f t="shared" ref="N11:N12" si="6">F11+B11</f>
        <v>#DIV/0!</v>
      </c>
      <c r="O11" s="38" t="str">
        <f t="shared" ref="O11:O26" si="7">G11</f>
        <v>mV</v>
      </c>
      <c r="P11" s="37" t="e">
        <f t="shared" ref="P11:P12" si="8">H11</f>
        <v>#DIV/0!</v>
      </c>
      <c r="Q11" s="33" t="str">
        <f t="shared" ref="Q11:Q26" si="9">O11</f>
        <v>mV</v>
      </c>
      <c r="R11" s="434" t="e">
        <f t="shared" ref="R11:R26" si="10">IF(AND(N11&lt;=H11,N11&gt;=J11),"PASSED","FAILED")</f>
        <v>#DIV/0!</v>
      </c>
      <c r="S11" s="434"/>
      <c r="T11" s="37" t="e">
        <f t="shared" ref="T11:T12" si="11">-F11+B11</f>
        <v>#DIV/0!</v>
      </c>
      <c r="U11" s="35" t="str">
        <f t="shared" ref="U11:U26" si="12">O11</f>
        <v>mV</v>
      </c>
      <c r="V11" s="433" t="e">
        <f t="shared" ref="V11:V26" si="13">IF(AND(T11&lt;=H11,T11&gt;=J11),"PASSED","FAILED")</f>
        <v>#DIV/0!</v>
      </c>
      <c r="W11" s="433"/>
      <c r="X11" s="440" t="e">
        <f t="shared" si="0"/>
        <v>#DIV/0!</v>
      </c>
      <c r="Y11" s="440"/>
    </row>
    <row r="12" spans="2:25">
      <c r="B12" s="41" t="e">
        <f>DataSheet!AM57</f>
        <v>#DIV/0!</v>
      </c>
      <c r="C12" s="42" t="str">
        <f>DataSheet!P57</f>
        <v>mV</v>
      </c>
      <c r="D12" s="49" t="e">
        <f>ABS((B12*0.7%)-(3*DataSheet!CK57))</f>
        <v>#DIV/0!</v>
      </c>
      <c r="E12" s="33" t="str">
        <f t="shared" si="1"/>
        <v>mV</v>
      </c>
      <c r="F12" s="36" t="e">
        <f>DataSheet!DD57</f>
        <v>#DIV/0!</v>
      </c>
      <c r="G12" s="33" t="str">
        <f t="shared" si="2"/>
        <v>mV</v>
      </c>
      <c r="H12" s="37" t="e">
        <f>DataSheet!L57+D12</f>
        <v>#DIV/0!</v>
      </c>
      <c r="I12" s="33" t="str">
        <f t="shared" si="3"/>
        <v>mV</v>
      </c>
      <c r="J12" s="37" t="e">
        <f>DataSheet!L57-D12</f>
        <v>#DIV/0!</v>
      </c>
      <c r="K12" s="33" t="str">
        <f t="shared" si="4"/>
        <v>mV</v>
      </c>
      <c r="L12" s="423" t="e">
        <f t="shared" si="5"/>
        <v>#DIV/0!</v>
      </c>
      <c r="M12" s="423"/>
      <c r="N12" s="37" t="e">
        <f t="shared" si="6"/>
        <v>#DIV/0!</v>
      </c>
      <c r="O12" s="38" t="str">
        <f t="shared" si="7"/>
        <v>mV</v>
      </c>
      <c r="P12" s="37" t="e">
        <f t="shared" si="8"/>
        <v>#DIV/0!</v>
      </c>
      <c r="Q12" s="33" t="str">
        <f t="shared" si="9"/>
        <v>mV</v>
      </c>
      <c r="R12" s="434" t="e">
        <f t="shared" si="10"/>
        <v>#DIV/0!</v>
      </c>
      <c r="S12" s="434"/>
      <c r="T12" s="37" t="e">
        <f t="shared" si="11"/>
        <v>#DIV/0!</v>
      </c>
      <c r="U12" s="35" t="str">
        <f t="shared" si="12"/>
        <v>mV</v>
      </c>
      <c r="V12" s="433" t="e">
        <f t="shared" si="13"/>
        <v>#DIV/0!</v>
      </c>
      <c r="W12" s="433"/>
      <c r="X12" s="440" t="e">
        <f t="shared" si="0"/>
        <v>#DIV/0!</v>
      </c>
      <c r="Y12" s="440"/>
    </row>
    <row r="13" spans="2:25">
      <c r="B13" s="45" t="e">
        <f>DataSheet!AM58</f>
        <v>#DIV/0!</v>
      </c>
      <c r="C13" s="46" t="str">
        <f>DataSheet!P58</f>
        <v>V</v>
      </c>
      <c r="D13" s="32" t="e">
        <f>ABS((B13*0.7%)+(3*DataSheet!CK58))</f>
        <v>#DIV/0!</v>
      </c>
      <c r="E13" s="33" t="str">
        <f t="shared" si="1"/>
        <v>V</v>
      </c>
      <c r="F13" s="50" t="e">
        <f>DataSheet!DD58</f>
        <v>#DIV/0!</v>
      </c>
      <c r="G13" s="33" t="str">
        <f t="shared" si="2"/>
        <v>V</v>
      </c>
      <c r="H13" s="34" t="e">
        <f>DataSheet!L58+D13</f>
        <v>#DIV/0!</v>
      </c>
      <c r="I13" s="35" t="str">
        <f t="shared" si="3"/>
        <v>V</v>
      </c>
      <c r="J13" s="34" t="e">
        <f>DataSheet!L58-D13</f>
        <v>#DIV/0!</v>
      </c>
      <c r="K13" s="33" t="str">
        <f t="shared" si="4"/>
        <v>V</v>
      </c>
      <c r="L13" s="423" t="e">
        <f t="shared" si="5"/>
        <v>#DIV/0!</v>
      </c>
      <c r="M13" s="423"/>
      <c r="N13" s="34" t="e">
        <f>F13+B13</f>
        <v>#DIV/0!</v>
      </c>
      <c r="O13" s="33" t="str">
        <f t="shared" si="7"/>
        <v>V</v>
      </c>
      <c r="P13" s="34" t="e">
        <f>H13</f>
        <v>#DIV/0!</v>
      </c>
      <c r="Q13" s="35" t="str">
        <f t="shared" si="9"/>
        <v>V</v>
      </c>
      <c r="R13" s="433" t="e">
        <f t="shared" si="10"/>
        <v>#DIV/0!</v>
      </c>
      <c r="S13" s="433"/>
      <c r="T13" s="34" t="e">
        <f>-F13+B13</f>
        <v>#DIV/0!</v>
      </c>
      <c r="U13" s="35" t="str">
        <f t="shared" si="12"/>
        <v>V</v>
      </c>
      <c r="V13" s="433" t="e">
        <f t="shared" si="13"/>
        <v>#DIV/0!</v>
      </c>
      <c r="W13" s="433"/>
      <c r="X13" s="440" t="e">
        <f t="shared" si="0"/>
        <v>#DIV/0!</v>
      </c>
      <c r="Y13" s="440"/>
    </row>
    <row r="14" spans="2:25">
      <c r="B14" s="45" t="e">
        <f>DataSheet!AM59</f>
        <v>#DIV/0!</v>
      </c>
      <c r="C14" s="46" t="str">
        <f>DataSheet!P59</f>
        <v>V</v>
      </c>
      <c r="D14" s="32" t="e">
        <f>ABS((B14*0.7%)+(3*DataSheet!CK59))</f>
        <v>#DIV/0!</v>
      </c>
      <c r="E14" s="33" t="str">
        <f t="shared" si="1"/>
        <v>V</v>
      </c>
      <c r="F14" s="36" t="e">
        <f>DataSheet!DD59</f>
        <v>#DIV/0!</v>
      </c>
      <c r="G14" s="33" t="str">
        <f t="shared" si="2"/>
        <v>V</v>
      </c>
      <c r="H14" s="34" t="e">
        <f>DataSheet!L59+D14</f>
        <v>#DIV/0!</v>
      </c>
      <c r="I14" s="35" t="str">
        <f t="shared" si="3"/>
        <v>V</v>
      </c>
      <c r="J14" s="34" t="e">
        <f>DataSheet!L59-D14</f>
        <v>#DIV/0!</v>
      </c>
      <c r="K14" s="33" t="str">
        <f t="shared" si="4"/>
        <v>V</v>
      </c>
      <c r="L14" s="423" t="e">
        <f t="shared" si="5"/>
        <v>#DIV/0!</v>
      </c>
      <c r="M14" s="423"/>
      <c r="N14" s="34" t="e">
        <f t="shared" ref="N14:N15" si="14">F14+B14</f>
        <v>#DIV/0!</v>
      </c>
      <c r="O14" s="33" t="str">
        <f t="shared" si="7"/>
        <v>V</v>
      </c>
      <c r="P14" s="34" t="e">
        <f t="shared" ref="P14:P15" si="15">H14</f>
        <v>#DIV/0!</v>
      </c>
      <c r="Q14" s="35" t="str">
        <f t="shared" si="9"/>
        <v>V</v>
      </c>
      <c r="R14" s="433" t="e">
        <f t="shared" si="10"/>
        <v>#DIV/0!</v>
      </c>
      <c r="S14" s="433"/>
      <c r="T14" s="34" t="e">
        <f>-DataSheet!DD59+B14</f>
        <v>#DIV/0!</v>
      </c>
      <c r="U14" s="35" t="str">
        <f t="shared" si="12"/>
        <v>V</v>
      </c>
      <c r="V14" s="433" t="e">
        <f t="shared" si="13"/>
        <v>#DIV/0!</v>
      </c>
      <c r="W14" s="433"/>
      <c r="X14" s="440" t="e">
        <f t="shared" si="0"/>
        <v>#DIV/0!</v>
      </c>
      <c r="Y14" s="440"/>
    </row>
    <row r="15" spans="2:25">
      <c r="B15" s="45" t="e">
        <f>DataSheet!AM60</f>
        <v>#DIV/0!</v>
      </c>
      <c r="C15" s="46" t="str">
        <f>DataSheet!P60</f>
        <v>V</v>
      </c>
      <c r="D15" s="32" t="e">
        <f>ABS((B15*0.7%)-(3*DataSheet!CK60))</f>
        <v>#DIV/0!</v>
      </c>
      <c r="E15" s="33" t="str">
        <f t="shared" si="1"/>
        <v>V</v>
      </c>
      <c r="F15" s="36" t="e">
        <f>DataSheet!DD60</f>
        <v>#DIV/0!</v>
      </c>
      <c r="G15" s="33" t="str">
        <f t="shared" si="2"/>
        <v>V</v>
      </c>
      <c r="H15" s="34" t="e">
        <f>DataSheet!L60+D15</f>
        <v>#DIV/0!</v>
      </c>
      <c r="I15" s="35" t="str">
        <f t="shared" si="3"/>
        <v>V</v>
      </c>
      <c r="J15" s="34" t="e">
        <f>DataSheet!L60-D15</f>
        <v>#DIV/0!</v>
      </c>
      <c r="K15" s="33" t="str">
        <f t="shared" si="4"/>
        <v>V</v>
      </c>
      <c r="L15" s="423" t="e">
        <f t="shared" si="5"/>
        <v>#DIV/0!</v>
      </c>
      <c r="M15" s="423"/>
      <c r="N15" s="34" t="e">
        <f t="shared" si="14"/>
        <v>#DIV/0!</v>
      </c>
      <c r="O15" s="33" t="str">
        <f t="shared" si="7"/>
        <v>V</v>
      </c>
      <c r="P15" s="34" t="e">
        <f t="shared" si="15"/>
        <v>#DIV/0!</v>
      </c>
      <c r="Q15" s="35" t="str">
        <f t="shared" si="9"/>
        <v>V</v>
      </c>
      <c r="R15" s="433" t="e">
        <f t="shared" si="10"/>
        <v>#DIV/0!</v>
      </c>
      <c r="S15" s="433"/>
      <c r="T15" s="34" t="e">
        <f>-DataSheet!DD60+B15</f>
        <v>#DIV/0!</v>
      </c>
      <c r="U15" s="35" t="str">
        <f t="shared" si="12"/>
        <v>V</v>
      </c>
      <c r="V15" s="433" t="e">
        <f t="shared" si="13"/>
        <v>#DIV/0!</v>
      </c>
      <c r="W15" s="433"/>
      <c r="X15" s="440" t="e">
        <f t="shared" si="0"/>
        <v>#DIV/0!</v>
      </c>
      <c r="Y15" s="440"/>
    </row>
    <row r="16" spans="2:25">
      <c r="B16" s="43" t="e">
        <f>DataSheet!AM61</f>
        <v>#DIV/0!</v>
      </c>
      <c r="C16" s="44" t="str">
        <f>DataSheet!P61</f>
        <v>V</v>
      </c>
      <c r="D16" s="32" t="e">
        <f>ABS((B16*0.7%)+(3*DataSheet!CK61))</f>
        <v>#DIV/0!</v>
      </c>
      <c r="E16" s="33" t="str">
        <f t="shared" si="1"/>
        <v>V</v>
      </c>
      <c r="F16" s="36" t="e">
        <f>DataSheet!DD61</f>
        <v>#DIV/0!</v>
      </c>
      <c r="G16" s="33" t="str">
        <f t="shared" si="2"/>
        <v>V</v>
      </c>
      <c r="H16" s="32" t="e">
        <f>DataSheet!L61+D16</f>
        <v>#DIV/0!</v>
      </c>
      <c r="I16" s="33" t="str">
        <f t="shared" si="3"/>
        <v>V</v>
      </c>
      <c r="J16" s="32" t="e">
        <f>DataSheet!L61-D16</f>
        <v>#DIV/0!</v>
      </c>
      <c r="K16" s="33" t="str">
        <f t="shared" si="4"/>
        <v>V</v>
      </c>
      <c r="L16" s="423" t="e">
        <f t="shared" si="5"/>
        <v>#DIV/0!</v>
      </c>
      <c r="M16" s="423"/>
      <c r="N16" s="32" t="e">
        <f>F16+B16</f>
        <v>#DIV/0!</v>
      </c>
      <c r="O16" s="33" t="str">
        <f t="shared" si="7"/>
        <v>V</v>
      </c>
      <c r="P16" s="32" t="e">
        <f>H16</f>
        <v>#DIV/0!</v>
      </c>
      <c r="Q16" s="33" t="str">
        <f t="shared" si="9"/>
        <v>V</v>
      </c>
      <c r="R16" s="433" t="e">
        <f t="shared" si="10"/>
        <v>#DIV/0!</v>
      </c>
      <c r="S16" s="433"/>
      <c r="T16" s="32" t="e">
        <f>-F16+B16</f>
        <v>#DIV/0!</v>
      </c>
      <c r="U16" s="35" t="str">
        <f t="shared" si="12"/>
        <v>V</v>
      </c>
      <c r="V16" s="433" t="e">
        <f t="shared" si="13"/>
        <v>#DIV/0!</v>
      </c>
      <c r="W16" s="433"/>
      <c r="X16" s="440" t="e">
        <f t="shared" si="0"/>
        <v>#DIV/0!</v>
      </c>
      <c r="Y16" s="440"/>
    </row>
    <row r="17" spans="2:25">
      <c r="B17" s="43" t="e">
        <f>DataSheet!AM62</f>
        <v>#DIV/0!</v>
      </c>
      <c r="C17" s="44" t="str">
        <f>DataSheet!P62</f>
        <v>V</v>
      </c>
      <c r="D17" s="32" t="e">
        <f>ABS((B17*0.7%)+(3*DataSheet!CK62))</f>
        <v>#DIV/0!</v>
      </c>
      <c r="E17" s="33" t="str">
        <f t="shared" si="1"/>
        <v>V</v>
      </c>
      <c r="F17" s="36" t="e">
        <f>DataSheet!DD62</f>
        <v>#DIV/0!</v>
      </c>
      <c r="G17" s="33" t="str">
        <f t="shared" si="2"/>
        <v>V</v>
      </c>
      <c r="H17" s="32" t="e">
        <f>DataSheet!L62+D17</f>
        <v>#DIV/0!</v>
      </c>
      <c r="I17" s="33" t="str">
        <f t="shared" si="3"/>
        <v>V</v>
      </c>
      <c r="J17" s="32" t="e">
        <f>DataSheet!L62-D17</f>
        <v>#DIV/0!</v>
      </c>
      <c r="K17" s="33" t="str">
        <f t="shared" si="4"/>
        <v>V</v>
      </c>
      <c r="L17" s="423" t="e">
        <f t="shared" si="5"/>
        <v>#DIV/0!</v>
      </c>
      <c r="M17" s="423"/>
      <c r="N17" s="32" t="e">
        <f t="shared" ref="N17:N20" si="16">F17+B17</f>
        <v>#DIV/0!</v>
      </c>
      <c r="O17" s="33" t="str">
        <f t="shared" si="7"/>
        <v>V</v>
      </c>
      <c r="P17" s="32" t="e">
        <f t="shared" ref="P17:P20" si="17">H17</f>
        <v>#DIV/0!</v>
      </c>
      <c r="Q17" s="33" t="str">
        <f t="shared" si="9"/>
        <v>V</v>
      </c>
      <c r="R17" s="433" t="e">
        <f t="shared" si="10"/>
        <v>#DIV/0!</v>
      </c>
      <c r="S17" s="433"/>
      <c r="T17" s="32" t="e">
        <f t="shared" ref="T17:T26" si="18">-F17+B17</f>
        <v>#DIV/0!</v>
      </c>
      <c r="U17" s="35" t="str">
        <f t="shared" si="12"/>
        <v>V</v>
      </c>
      <c r="V17" s="433" t="e">
        <f t="shared" si="13"/>
        <v>#DIV/0!</v>
      </c>
      <c r="W17" s="433"/>
      <c r="X17" s="440" t="e">
        <f t="shared" si="0"/>
        <v>#DIV/0!</v>
      </c>
      <c r="Y17" s="440"/>
    </row>
    <row r="18" spans="2:25">
      <c r="B18" s="43" t="e">
        <f>DataSheet!AM63</f>
        <v>#DIV/0!</v>
      </c>
      <c r="C18" s="44" t="str">
        <f>DataSheet!P63</f>
        <v>V</v>
      </c>
      <c r="D18" s="32" t="e">
        <f>ABS((B18*0.7%)+(3*DataSheet!CK63))</f>
        <v>#DIV/0!</v>
      </c>
      <c r="E18" s="33" t="str">
        <f t="shared" si="1"/>
        <v>V</v>
      </c>
      <c r="F18" s="36" t="e">
        <f>DataSheet!DD63</f>
        <v>#DIV/0!</v>
      </c>
      <c r="G18" s="33" t="str">
        <f t="shared" si="2"/>
        <v>V</v>
      </c>
      <c r="H18" s="32" t="e">
        <f>DataSheet!L63+D18</f>
        <v>#DIV/0!</v>
      </c>
      <c r="I18" s="33" t="str">
        <f t="shared" si="3"/>
        <v>V</v>
      </c>
      <c r="J18" s="32" t="e">
        <f>DataSheet!L63-D18</f>
        <v>#DIV/0!</v>
      </c>
      <c r="K18" s="33" t="str">
        <f t="shared" si="4"/>
        <v>V</v>
      </c>
      <c r="L18" s="423" t="e">
        <f t="shared" si="5"/>
        <v>#DIV/0!</v>
      </c>
      <c r="M18" s="423"/>
      <c r="N18" s="32" t="e">
        <f t="shared" si="16"/>
        <v>#DIV/0!</v>
      </c>
      <c r="O18" s="33" t="str">
        <f t="shared" si="7"/>
        <v>V</v>
      </c>
      <c r="P18" s="32" t="e">
        <f t="shared" si="17"/>
        <v>#DIV/0!</v>
      </c>
      <c r="Q18" s="33" t="str">
        <f t="shared" si="9"/>
        <v>V</v>
      </c>
      <c r="R18" s="433" t="e">
        <f t="shared" si="10"/>
        <v>#DIV/0!</v>
      </c>
      <c r="S18" s="433"/>
      <c r="T18" s="32" t="e">
        <f t="shared" si="18"/>
        <v>#DIV/0!</v>
      </c>
      <c r="U18" s="35" t="str">
        <f t="shared" si="12"/>
        <v>V</v>
      </c>
      <c r="V18" s="433" t="e">
        <f t="shared" si="13"/>
        <v>#DIV/0!</v>
      </c>
      <c r="W18" s="433"/>
      <c r="X18" s="440" t="e">
        <f t="shared" si="0"/>
        <v>#DIV/0!</v>
      </c>
      <c r="Y18" s="440"/>
    </row>
    <row r="19" spans="2:25">
      <c r="B19" s="43" t="e">
        <f>DataSheet!AM64</f>
        <v>#DIV/0!</v>
      </c>
      <c r="C19" s="44" t="str">
        <f>DataSheet!P64</f>
        <v>V</v>
      </c>
      <c r="D19" s="32" t="e">
        <f>ABS((B19*0.7%)-(3*DataSheet!CK64))</f>
        <v>#DIV/0!</v>
      </c>
      <c r="E19" s="33" t="str">
        <f t="shared" si="1"/>
        <v>V</v>
      </c>
      <c r="F19" s="36" t="e">
        <f>DataSheet!DD64</f>
        <v>#DIV/0!</v>
      </c>
      <c r="G19" s="33" t="str">
        <f t="shared" si="2"/>
        <v>V</v>
      </c>
      <c r="H19" s="32" t="e">
        <f>DataSheet!L64+D19</f>
        <v>#DIV/0!</v>
      </c>
      <c r="I19" s="33" t="str">
        <f t="shared" si="3"/>
        <v>V</v>
      </c>
      <c r="J19" s="32" t="e">
        <f>DataSheet!L64-D19</f>
        <v>#DIV/0!</v>
      </c>
      <c r="K19" s="33" t="str">
        <f t="shared" si="4"/>
        <v>V</v>
      </c>
      <c r="L19" s="423" t="e">
        <f t="shared" si="5"/>
        <v>#DIV/0!</v>
      </c>
      <c r="M19" s="423"/>
      <c r="N19" s="32" t="e">
        <f t="shared" si="16"/>
        <v>#DIV/0!</v>
      </c>
      <c r="O19" s="33" t="str">
        <f t="shared" si="7"/>
        <v>V</v>
      </c>
      <c r="P19" s="32" t="e">
        <f t="shared" si="17"/>
        <v>#DIV/0!</v>
      </c>
      <c r="Q19" s="33" t="str">
        <f t="shared" si="9"/>
        <v>V</v>
      </c>
      <c r="R19" s="433" t="e">
        <f t="shared" si="10"/>
        <v>#DIV/0!</v>
      </c>
      <c r="S19" s="433"/>
      <c r="T19" s="32" t="e">
        <f t="shared" si="18"/>
        <v>#DIV/0!</v>
      </c>
      <c r="U19" s="35" t="str">
        <f t="shared" si="12"/>
        <v>V</v>
      </c>
      <c r="V19" s="433" t="e">
        <f t="shared" si="13"/>
        <v>#DIV/0!</v>
      </c>
      <c r="W19" s="433"/>
      <c r="X19" s="440" t="e">
        <f t="shared" si="0"/>
        <v>#DIV/0!</v>
      </c>
      <c r="Y19" s="440"/>
    </row>
    <row r="20" spans="2:25">
      <c r="B20" s="43" t="e">
        <f>DataSheet!AM65</f>
        <v>#DIV/0!</v>
      </c>
      <c r="C20" s="44" t="str">
        <f>DataSheet!P65</f>
        <v>V</v>
      </c>
      <c r="D20" s="32" t="e">
        <f>ABS((B20*0.7%)-(3*DataSheet!CK65))</f>
        <v>#DIV/0!</v>
      </c>
      <c r="E20" s="33" t="str">
        <f t="shared" si="1"/>
        <v>V</v>
      </c>
      <c r="F20" s="36" t="e">
        <f>DataSheet!DD65</f>
        <v>#DIV/0!</v>
      </c>
      <c r="G20" s="33" t="str">
        <f t="shared" si="2"/>
        <v>V</v>
      </c>
      <c r="H20" s="32" t="e">
        <f>DataSheet!L65+D20</f>
        <v>#DIV/0!</v>
      </c>
      <c r="I20" s="33" t="str">
        <f t="shared" si="3"/>
        <v>V</v>
      </c>
      <c r="J20" s="32" t="e">
        <f>DataSheet!L65-D20</f>
        <v>#DIV/0!</v>
      </c>
      <c r="K20" s="33" t="str">
        <f t="shared" si="4"/>
        <v>V</v>
      </c>
      <c r="L20" s="423" t="e">
        <f t="shared" si="5"/>
        <v>#DIV/0!</v>
      </c>
      <c r="M20" s="423"/>
      <c r="N20" s="32" t="e">
        <f t="shared" si="16"/>
        <v>#DIV/0!</v>
      </c>
      <c r="O20" s="33" t="str">
        <f t="shared" si="7"/>
        <v>V</v>
      </c>
      <c r="P20" s="32" t="e">
        <f t="shared" si="17"/>
        <v>#DIV/0!</v>
      </c>
      <c r="Q20" s="33" t="str">
        <f t="shared" si="9"/>
        <v>V</v>
      </c>
      <c r="R20" s="433" t="e">
        <f t="shared" si="10"/>
        <v>#DIV/0!</v>
      </c>
      <c r="S20" s="433"/>
      <c r="T20" s="32" t="e">
        <f t="shared" si="18"/>
        <v>#DIV/0!</v>
      </c>
      <c r="U20" s="35" t="str">
        <f t="shared" si="12"/>
        <v>V</v>
      </c>
      <c r="V20" s="433" t="e">
        <f t="shared" si="13"/>
        <v>#DIV/0!</v>
      </c>
      <c r="W20" s="433"/>
      <c r="X20" s="440" t="e">
        <f t="shared" si="0"/>
        <v>#DIV/0!</v>
      </c>
      <c r="Y20" s="440"/>
    </row>
    <row r="21" spans="2:25">
      <c r="B21" s="41" t="e">
        <f>DataSheet!#REF!</f>
        <v>#REF!</v>
      </c>
      <c r="C21" s="42" t="e">
        <f>DataSheet!#REF!</f>
        <v>#REF!</v>
      </c>
      <c r="D21" s="32" t="e">
        <f>ABS((DataSheet!#REF!*0.7%)+(3*DataSheet!#REF!))</f>
        <v>#REF!</v>
      </c>
      <c r="E21" s="33" t="e">
        <f t="shared" si="1"/>
        <v>#REF!</v>
      </c>
      <c r="F21" s="36" t="e">
        <f>DataSheet!#REF!</f>
        <v>#REF!</v>
      </c>
      <c r="G21" s="33" t="e">
        <f t="shared" si="2"/>
        <v>#REF!</v>
      </c>
      <c r="H21" s="37" t="e">
        <f>DataSheet!#REF!+D21</f>
        <v>#REF!</v>
      </c>
      <c r="I21" s="38" t="e">
        <f t="shared" si="3"/>
        <v>#REF!</v>
      </c>
      <c r="J21" s="37" t="e">
        <f>DataSheet!#REF!-D21</f>
        <v>#REF!</v>
      </c>
      <c r="K21" s="33" t="e">
        <f t="shared" si="4"/>
        <v>#REF!</v>
      </c>
      <c r="L21" s="423" t="e">
        <f t="shared" si="5"/>
        <v>#REF!</v>
      </c>
      <c r="M21" s="423"/>
      <c r="N21" s="37" t="e">
        <f>F21+B21</f>
        <v>#REF!</v>
      </c>
      <c r="O21" s="38" t="e">
        <f t="shared" si="7"/>
        <v>#REF!</v>
      </c>
      <c r="P21" s="37" t="e">
        <f>H21</f>
        <v>#REF!</v>
      </c>
      <c r="Q21" s="38" t="e">
        <f t="shared" si="9"/>
        <v>#REF!</v>
      </c>
      <c r="R21" s="434" t="e">
        <f t="shared" si="10"/>
        <v>#REF!</v>
      </c>
      <c r="S21" s="434"/>
      <c r="T21" s="37" t="e">
        <f t="shared" si="18"/>
        <v>#REF!</v>
      </c>
      <c r="U21" s="38" t="e">
        <f t="shared" si="12"/>
        <v>#REF!</v>
      </c>
      <c r="V21" s="433" t="e">
        <f t="shared" si="13"/>
        <v>#REF!</v>
      </c>
      <c r="W21" s="433"/>
      <c r="X21" s="440" t="e">
        <f t="shared" si="0"/>
        <v>#REF!</v>
      </c>
      <c r="Y21" s="440"/>
    </row>
    <row r="22" spans="2:25">
      <c r="B22" s="41" t="e">
        <f>DataSheet!#REF!</f>
        <v>#REF!</v>
      </c>
      <c r="C22" s="42" t="e">
        <f>DataSheet!#REF!</f>
        <v>#REF!</v>
      </c>
      <c r="D22" s="32" t="e">
        <f>ABS((DataSheet!#REF!*0.7%)+(3*DataSheet!#REF!))</f>
        <v>#REF!</v>
      </c>
      <c r="E22" s="33" t="e">
        <f t="shared" si="1"/>
        <v>#REF!</v>
      </c>
      <c r="F22" s="36" t="e">
        <f>DataSheet!#REF!</f>
        <v>#REF!</v>
      </c>
      <c r="G22" s="33" t="e">
        <f t="shared" si="2"/>
        <v>#REF!</v>
      </c>
      <c r="H22" s="37" t="e">
        <f>DataSheet!#REF!+D22</f>
        <v>#REF!</v>
      </c>
      <c r="I22" s="38" t="e">
        <f t="shared" si="3"/>
        <v>#REF!</v>
      </c>
      <c r="J22" s="37" t="e">
        <f>DataSheet!#REF!-D22</f>
        <v>#REF!</v>
      </c>
      <c r="K22" s="33" t="e">
        <f t="shared" si="4"/>
        <v>#REF!</v>
      </c>
      <c r="L22" s="423" t="e">
        <f t="shared" si="5"/>
        <v>#REF!</v>
      </c>
      <c r="M22" s="423"/>
      <c r="N22" s="37" t="e">
        <f t="shared" ref="N22:N23" si="19">F22+B22</f>
        <v>#REF!</v>
      </c>
      <c r="O22" s="38" t="e">
        <f t="shared" si="7"/>
        <v>#REF!</v>
      </c>
      <c r="P22" s="37" t="e">
        <f t="shared" ref="P22:P23" si="20">H22</f>
        <v>#REF!</v>
      </c>
      <c r="Q22" s="38" t="e">
        <f t="shared" si="9"/>
        <v>#REF!</v>
      </c>
      <c r="R22" s="434" t="e">
        <f t="shared" si="10"/>
        <v>#REF!</v>
      </c>
      <c r="S22" s="434"/>
      <c r="T22" s="37" t="e">
        <f t="shared" si="18"/>
        <v>#REF!</v>
      </c>
      <c r="U22" s="38" t="e">
        <f t="shared" si="12"/>
        <v>#REF!</v>
      </c>
      <c r="V22" s="433" t="e">
        <f t="shared" si="13"/>
        <v>#REF!</v>
      </c>
      <c r="W22" s="433"/>
      <c r="X22" s="440" t="e">
        <f t="shared" si="0"/>
        <v>#REF!</v>
      </c>
      <c r="Y22" s="440"/>
    </row>
    <row r="23" spans="2:25">
      <c r="B23" s="41" t="e">
        <f>DataSheet!#REF!</f>
        <v>#REF!</v>
      </c>
      <c r="C23" s="42" t="e">
        <f>DataSheet!#REF!</f>
        <v>#REF!</v>
      </c>
      <c r="D23" s="32" t="e">
        <f>ABS((DataSheet!#REF!*0.7%)-(3*DataSheet!#REF!))</f>
        <v>#REF!</v>
      </c>
      <c r="E23" s="33" t="e">
        <f t="shared" si="1"/>
        <v>#REF!</v>
      </c>
      <c r="F23" s="36" t="e">
        <f>DataSheet!#REF!</f>
        <v>#REF!</v>
      </c>
      <c r="G23" s="33" t="e">
        <f t="shared" si="2"/>
        <v>#REF!</v>
      </c>
      <c r="H23" s="37" t="e">
        <f>DataSheet!#REF!+D23</f>
        <v>#REF!</v>
      </c>
      <c r="I23" s="38" t="e">
        <f t="shared" si="3"/>
        <v>#REF!</v>
      </c>
      <c r="J23" s="37" t="e">
        <f>DataSheet!#REF!-D23</f>
        <v>#REF!</v>
      </c>
      <c r="K23" s="33" t="e">
        <f t="shared" si="4"/>
        <v>#REF!</v>
      </c>
      <c r="L23" s="423" t="e">
        <f t="shared" si="5"/>
        <v>#REF!</v>
      </c>
      <c r="M23" s="423"/>
      <c r="N23" s="37" t="e">
        <f t="shared" si="19"/>
        <v>#REF!</v>
      </c>
      <c r="O23" s="38" t="e">
        <f t="shared" si="7"/>
        <v>#REF!</v>
      </c>
      <c r="P23" s="37" t="e">
        <f t="shared" si="20"/>
        <v>#REF!</v>
      </c>
      <c r="Q23" s="38" t="e">
        <f t="shared" si="9"/>
        <v>#REF!</v>
      </c>
      <c r="R23" s="434" t="e">
        <f t="shared" si="10"/>
        <v>#REF!</v>
      </c>
      <c r="S23" s="434"/>
      <c r="T23" s="37" t="e">
        <f t="shared" si="18"/>
        <v>#REF!</v>
      </c>
      <c r="U23" s="38" t="e">
        <f t="shared" si="12"/>
        <v>#REF!</v>
      </c>
      <c r="V23" s="433" t="e">
        <f t="shared" si="13"/>
        <v>#REF!</v>
      </c>
      <c r="W23" s="433"/>
      <c r="X23" s="440" t="e">
        <f t="shared" si="0"/>
        <v>#REF!</v>
      </c>
      <c r="Y23" s="440"/>
    </row>
    <row r="24" spans="2:25">
      <c r="B24" s="47" t="e">
        <f>DataSheet!AM66</f>
        <v>#DIV/0!</v>
      </c>
      <c r="C24" s="48" t="str">
        <f>DataSheet!P66</f>
        <v>V</v>
      </c>
      <c r="D24" s="32" t="e">
        <f>ABS((DataSheet!AM66*0.7%)+(3*DataSheet!CK66))</f>
        <v>#DIV/0!</v>
      </c>
      <c r="E24" s="33" t="str">
        <f t="shared" si="1"/>
        <v>V</v>
      </c>
      <c r="F24" s="36" t="e">
        <f>DataSheet!DD66</f>
        <v>#DIV/0!</v>
      </c>
      <c r="G24" s="33" t="str">
        <f t="shared" si="2"/>
        <v>V</v>
      </c>
      <c r="H24" s="39" t="e">
        <f>DataSheet!L66+D24</f>
        <v>#DIV/0!</v>
      </c>
      <c r="I24" s="40" t="str">
        <f t="shared" si="3"/>
        <v>V</v>
      </c>
      <c r="J24" s="39" t="e">
        <f>DataSheet!L66-D24</f>
        <v>#DIV/0!</v>
      </c>
      <c r="K24" s="33" t="str">
        <f t="shared" si="4"/>
        <v>V</v>
      </c>
      <c r="L24" s="423" t="e">
        <f t="shared" si="5"/>
        <v>#DIV/0!</v>
      </c>
      <c r="M24" s="423"/>
      <c r="N24" s="39" t="e">
        <f>F24+B24</f>
        <v>#DIV/0!</v>
      </c>
      <c r="O24" s="40" t="str">
        <f t="shared" si="7"/>
        <v>V</v>
      </c>
      <c r="P24" s="39" t="e">
        <f>H24</f>
        <v>#DIV/0!</v>
      </c>
      <c r="Q24" s="40" t="str">
        <f t="shared" si="9"/>
        <v>V</v>
      </c>
      <c r="R24" s="438" t="e">
        <f t="shared" si="10"/>
        <v>#DIV/0!</v>
      </c>
      <c r="S24" s="438"/>
      <c r="T24" s="39" t="e">
        <f t="shared" si="18"/>
        <v>#DIV/0!</v>
      </c>
      <c r="U24" s="35" t="str">
        <f t="shared" si="12"/>
        <v>V</v>
      </c>
      <c r="V24" s="433" t="e">
        <f t="shared" si="13"/>
        <v>#DIV/0!</v>
      </c>
      <c r="W24" s="433"/>
      <c r="X24" s="440" t="e">
        <f t="shared" si="0"/>
        <v>#DIV/0!</v>
      </c>
      <c r="Y24" s="440"/>
    </row>
    <row r="25" spans="2:25">
      <c r="B25" s="47" t="e">
        <f>DataSheet!AM67</f>
        <v>#DIV/0!</v>
      </c>
      <c r="C25" s="48" t="str">
        <f>DataSheet!P67</f>
        <v>V</v>
      </c>
      <c r="D25" s="32" t="e">
        <f>ABS((DataSheet!AM67*0.7%)+(3*DataSheet!CK67))</f>
        <v>#DIV/0!</v>
      </c>
      <c r="E25" s="33" t="str">
        <f t="shared" si="1"/>
        <v>V</v>
      </c>
      <c r="F25" s="36" t="e">
        <f>DataSheet!DD67</f>
        <v>#DIV/0!</v>
      </c>
      <c r="G25" s="33" t="str">
        <f t="shared" si="2"/>
        <v>V</v>
      </c>
      <c r="H25" s="39" t="e">
        <f>DataSheet!L67+D25</f>
        <v>#DIV/0!</v>
      </c>
      <c r="I25" s="40" t="str">
        <f t="shared" si="3"/>
        <v>V</v>
      </c>
      <c r="J25" s="39" t="e">
        <f>DataSheet!L67-D25</f>
        <v>#DIV/0!</v>
      </c>
      <c r="K25" s="33" t="str">
        <f t="shared" si="4"/>
        <v>V</v>
      </c>
      <c r="L25" s="423" t="e">
        <f t="shared" si="5"/>
        <v>#DIV/0!</v>
      </c>
      <c r="M25" s="423"/>
      <c r="N25" s="39" t="e">
        <f t="shared" ref="N25:N26" si="21">F25+B25</f>
        <v>#DIV/0!</v>
      </c>
      <c r="O25" s="40" t="str">
        <f t="shared" si="7"/>
        <v>V</v>
      </c>
      <c r="P25" s="39" t="e">
        <f t="shared" ref="P25:P26" si="22">H25</f>
        <v>#DIV/0!</v>
      </c>
      <c r="Q25" s="40" t="str">
        <f t="shared" si="9"/>
        <v>V</v>
      </c>
      <c r="R25" s="438" t="e">
        <f t="shared" si="10"/>
        <v>#DIV/0!</v>
      </c>
      <c r="S25" s="438"/>
      <c r="T25" s="39" t="e">
        <f t="shared" si="18"/>
        <v>#DIV/0!</v>
      </c>
      <c r="U25" s="35" t="str">
        <f t="shared" si="12"/>
        <v>V</v>
      </c>
      <c r="V25" s="433" t="e">
        <f t="shared" si="13"/>
        <v>#DIV/0!</v>
      </c>
      <c r="W25" s="433"/>
      <c r="X25" s="440" t="e">
        <f t="shared" si="0"/>
        <v>#DIV/0!</v>
      </c>
      <c r="Y25" s="440"/>
    </row>
    <row r="26" spans="2:25">
      <c r="B26" s="47" t="e">
        <f>DataSheet!AM68</f>
        <v>#DIV/0!</v>
      </c>
      <c r="C26" s="48" t="str">
        <f>DataSheet!P68</f>
        <v>V</v>
      </c>
      <c r="D26" s="32" t="e">
        <f>ABS((DataSheet!AM68*0.7%)-(3*DataSheet!CK68))</f>
        <v>#DIV/0!</v>
      </c>
      <c r="E26" s="33" t="str">
        <f t="shared" si="1"/>
        <v>V</v>
      </c>
      <c r="F26" s="36" t="e">
        <f>DataSheet!DD68</f>
        <v>#DIV/0!</v>
      </c>
      <c r="G26" s="33" t="str">
        <f t="shared" si="2"/>
        <v>V</v>
      </c>
      <c r="H26" s="39" t="e">
        <f>DataSheet!L68+D26</f>
        <v>#DIV/0!</v>
      </c>
      <c r="I26" s="40" t="str">
        <f t="shared" si="3"/>
        <v>V</v>
      </c>
      <c r="J26" s="39" t="e">
        <f>DataSheet!L68-D26</f>
        <v>#DIV/0!</v>
      </c>
      <c r="K26" s="33" t="str">
        <f t="shared" si="4"/>
        <v>V</v>
      </c>
      <c r="L26" s="423" t="e">
        <f t="shared" si="5"/>
        <v>#DIV/0!</v>
      </c>
      <c r="M26" s="423"/>
      <c r="N26" s="39" t="e">
        <f t="shared" si="21"/>
        <v>#DIV/0!</v>
      </c>
      <c r="O26" s="40" t="str">
        <f t="shared" si="7"/>
        <v>V</v>
      </c>
      <c r="P26" s="39" t="e">
        <f t="shared" si="22"/>
        <v>#DIV/0!</v>
      </c>
      <c r="Q26" s="40" t="str">
        <f t="shared" si="9"/>
        <v>V</v>
      </c>
      <c r="R26" s="438" t="e">
        <f t="shared" si="10"/>
        <v>#DIV/0!</v>
      </c>
      <c r="S26" s="438"/>
      <c r="T26" s="39" t="e">
        <f t="shared" si="18"/>
        <v>#DIV/0!</v>
      </c>
      <c r="U26" s="35" t="str">
        <f t="shared" si="12"/>
        <v>V</v>
      </c>
      <c r="V26" s="433" t="e">
        <f t="shared" si="13"/>
        <v>#DIV/0!</v>
      </c>
      <c r="W26" s="433"/>
      <c r="X26" s="440" t="e">
        <f t="shared" si="0"/>
        <v>#DIV/0!</v>
      </c>
      <c r="Y26" s="440"/>
    </row>
    <row r="27" spans="2:25">
      <c r="B27" s="424" t="str">
        <f>DataSheet!F70</f>
        <v>AC Voltage Test</v>
      </c>
      <c r="C27" s="424"/>
      <c r="D27" s="424"/>
      <c r="E27" s="424"/>
      <c r="F27" s="424"/>
      <c r="G27" s="424"/>
      <c r="H27" s="424"/>
      <c r="I27" s="424"/>
      <c r="J27" s="424"/>
      <c r="K27" s="424"/>
      <c r="L27" s="424"/>
      <c r="M27" s="424"/>
      <c r="N27" s="424"/>
      <c r="O27" s="424"/>
      <c r="P27" s="424"/>
      <c r="Q27" s="424"/>
      <c r="R27" s="424"/>
      <c r="S27" s="424"/>
      <c r="T27" s="424"/>
      <c r="U27" s="424"/>
      <c r="V27" s="424"/>
      <c r="W27" s="424"/>
      <c r="X27" s="441" t="s">
        <v>122</v>
      </c>
      <c r="Y27" s="441"/>
    </row>
    <row r="28" spans="2:25">
      <c r="B28" s="424"/>
      <c r="C28" s="424"/>
      <c r="D28" s="424"/>
      <c r="E28" s="424"/>
      <c r="F28" s="424"/>
      <c r="G28" s="424"/>
      <c r="H28" s="424"/>
      <c r="I28" s="424"/>
      <c r="J28" s="424"/>
      <c r="K28" s="424"/>
      <c r="L28" s="424"/>
      <c r="M28" s="424"/>
      <c r="N28" s="424"/>
      <c r="O28" s="424"/>
      <c r="P28" s="424"/>
      <c r="Q28" s="424"/>
      <c r="R28" s="424"/>
      <c r="S28" s="424"/>
      <c r="T28" s="424"/>
      <c r="U28" s="424"/>
      <c r="V28" s="424"/>
      <c r="W28" s="424"/>
      <c r="X28" s="441"/>
      <c r="Y28" s="441"/>
    </row>
    <row r="29" spans="2:25">
      <c r="B29" s="441" t="s">
        <v>74</v>
      </c>
      <c r="C29" s="441"/>
      <c r="D29" s="424" t="s">
        <v>76</v>
      </c>
      <c r="E29" s="424"/>
      <c r="F29" s="426" t="s">
        <v>116</v>
      </c>
      <c r="G29" s="427"/>
      <c r="H29" s="424" t="s">
        <v>77</v>
      </c>
      <c r="I29" s="424"/>
      <c r="J29" s="424" t="s">
        <v>78</v>
      </c>
      <c r="K29" s="424"/>
      <c r="L29" s="424" t="s">
        <v>79</v>
      </c>
      <c r="M29" s="424"/>
      <c r="N29" s="435" t="s">
        <v>123</v>
      </c>
      <c r="O29" s="424"/>
      <c r="P29" s="424" t="s">
        <v>77</v>
      </c>
      <c r="Q29" s="424"/>
      <c r="R29" s="424" t="s">
        <v>79</v>
      </c>
      <c r="S29" s="424"/>
      <c r="T29" s="435" t="s">
        <v>124</v>
      </c>
      <c r="U29" s="424"/>
      <c r="V29" s="424" t="s">
        <v>79</v>
      </c>
      <c r="W29" s="424"/>
      <c r="X29" s="441"/>
      <c r="Y29" s="441"/>
    </row>
    <row r="30" spans="2:25">
      <c r="B30" s="441"/>
      <c r="C30" s="441"/>
      <c r="D30" s="424"/>
      <c r="E30" s="424"/>
      <c r="F30" s="428"/>
      <c r="G30" s="429"/>
      <c r="H30" s="424"/>
      <c r="I30" s="424"/>
      <c r="J30" s="424"/>
      <c r="K30" s="424"/>
      <c r="L30" s="424"/>
      <c r="M30" s="424"/>
      <c r="N30" s="424"/>
      <c r="O30" s="424"/>
      <c r="P30" s="424"/>
      <c r="Q30" s="424"/>
      <c r="R30" s="424"/>
      <c r="S30" s="424"/>
      <c r="T30" s="424"/>
      <c r="U30" s="424"/>
      <c r="V30" s="424"/>
      <c r="W30" s="424"/>
      <c r="X30" s="441"/>
      <c r="Y30" s="441"/>
    </row>
    <row r="31" spans="2:25">
      <c r="B31" s="45" t="e">
        <f>DataSheet!AM77</f>
        <v>#DIV/0!</v>
      </c>
      <c r="C31" s="46" t="str">
        <f>DataSheet!P77</f>
        <v>V</v>
      </c>
      <c r="D31" s="34" t="e">
        <f>ABS((DataSheet!AM77*1.6%)+(9*DataSheet!CK77))</f>
        <v>#DIV/0!</v>
      </c>
      <c r="E31" s="35" t="str">
        <f>C31</f>
        <v>V</v>
      </c>
      <c r="F31" s="36" t="e">
        <f>DataSheet!DD77</f>
        <v>#DIV/0!</v>
      </c>
      <c r="G31" s="33" t="str">
        <f t="shared" ref="G31" si="23">E31</f>
        <v>V</v>
      </c>
      <c r="H31" s="425" t="e">
        <f>DataSheet!L77+D31</f>
        <v>#DIV/0!</v>
      </c>
      <c r="I31" s="425"/>
      <c r="J31" s="425" t="e">
        <f>DataSheet!L77-D31</f>
        <v>#DIV/0!</v>
      </c>
      <c r="K31" s="425"/>
      <c r="L31" s="423" t="e">
        <f t="shared" ref="L31:L48" si="24">IF(AND(B31&lt;=H31,B31&gt;=J31),"PASSED","FAILED")</f>
        <v>#DIV/0!</v>
      </c>
      <c r="M31" s="423"/>
      <c r="N31" s="34" t="e">
        <f>DataSheet!DD77+B31</f>
        <v>#DIV/0!</v>
      </c>
      <c r="O31" s="33" t="str">
        <f t="shared" ref="O31:O48" si="25">G31</f>
        <v>V</v>
      </c>
      <c r="P31" s="34" t="e">
        <f>H31</f>
        <v>#DIV/0!</v>
      </c>
      <c r="Q31" s="35" t="str">
        <f t="shared" ref="Q31:Q48" si="26">O31</f>
        <v>V</v>
      </c>
      <c r="R31" s="433" t="e">
        <f t="shared" ref="R31:R48" si="27">IF(AND(N31&lt;=H31,N31&gt;=J31),"PASSED","FAILED")</f>
        <v>#DIV/0!</v>
      </c>
      <c r="S31" s="433"/>
      <c r="T31" s="34" t="e">
        <f>-DataSheet!DD77+B31</f>
        <v>#DIV/0!</v>
      </c>
      <c r="U31" s="35" t="str">
        <f t="shared" ref="U31:U48" si="28">O31</f>
        <v>V</v>
      </c>
      <c r="V31" s="433" t="e">
        <f t="shared" ref="V31:V48" si="29">IF(AND(T31&lt;=H31,T31&gt;=J31),"PASSED","FAILED")</f>
        <v>#DIV/0!</v>
      </c>
      <c r="W31" s="433"/>
      <c r="X31" s="440" t="e">
        <f t="shared" ref="X31:X48" si="30">IF(AND(L31="PASSED",R31="PASSED",V31="PASSED"),"PASSED",IF(L31="FAILED","FAILED","UNDETERMINED"))</f>
        <v>#DIV/0!</v>
      </c>
      <c r="Y31" s="440"/>
    </row>
    <row r="32" spans="2:25">
      <c r="B32" s="45" t="e">
        <f>DataSheet!AM78</f>
        <v>#DIV/0!</v>
      </c>
      <c r="C32" s="46" t="str">
        <f>DataSheet!P78</f>
        <v>V</v>
      </c>
      <c r="D32" s="34" t="e">
        <f>ABS((DataSheet!AM78*1.6%)+(9*DataSheet!CK78))</f>
        <v>#DIV/0!</v>
      </c>
      <c r="E32" s="35" t="str">
        <f t="shared" ref="E32:E48" si="31">C32</f>
        <v>V</v>
      </c>
      <c r="F32" s="36" t="e">
        <f>DataSheet!DD78</f>
        <v>#DIV/0!</v>
      </c>
      <c r="G32" s="33" t="str">
        <f t="shared" ref="G32:G48" si="32">E32</f>
        <v>V</v>
      </c>
      <c r="H32" s="425" t="e">
        <f>DataSheet!L78+D32</f>
        <v>#DIV/0!</v>
      </c>
      <c r="I32" s="425"/>
      <c r="J32" s="425" t="e">
        <f>DataSheet!L78-D32</f>
        <v>#DIV/0!</v>
      </c>
      <c r="K32" s="425"/>
      <c r="L32" s="423" t="e">
        <f t="shared" si="24"/>
        <v>#DIV/0!</v>
      </c>
      <c r="M32" s="423"/>
      <c r="N32" s="34" t="e">
        <f>DataSheet!DD78+B32</f>
        <v>#DIV/0!</v>
      </c>
      <c r="O32" s="33" t="str">
        <f t="shared" si="25"/>
        <v>V</v>
      </c>
      <c r="P32" s="34" t="e">
        <f>H32</f>
        <v>#DIV/0!</v>
      </c>
      <c r="Q32" s="35" t="str">
        <f t="shared" si="26"/>
        <v>V</v>
      </c>
      <c r="R32" s="433" t="e">
        <f t="shared" si="27"/>
        <v>#DIV/0!</v>
      </c>
      <c r="S32" s="433"/>
      <c r="T32" s="34" t="e">
        <f>-DataSheet!DD78+B32</f>
        <v>#DIV/0!</v>
      </c>
      <c r="U32" s="35" t="str">
        <f t="shared" si="28"/>
        <v>V</v>
      </c>
      <c r="V32" s="433" t="e">
        <f t="shared" si="29"/>
        <v>#DIV/0!</v>
      </c>
      <c r="W32" s="433"/>
      <c r="X32" s="440" t="e">
        <f t="shared" si="30"/>
        <v>#DIV/0!</v>
      </c>
      <c r="Y32" s="440"/>
    </row>
    <row r="33" spans="2:25">
      <c r="B33" s="45" t="e">
        <f>DataSheet!AM79</f>
        <v>#DIV/0!</v>
      </c>
      <c r="C33" s="46" t="str">
        <f>DataSheet!P79</f>
        <v>V</v>
      </c>
      <c r="D33" s="34" t="e">
        <f>ABS((DataSheet!AM79*1.6%)+(9*DataSheet!CK79))</f>
        <v>#DIV/0!</v>
      </c>
      <c r="E33" s="35" t="str">
        <f t="shared" si="31"/>
        <v>V</v>
      </c>
      <c r="F33" s="36" t="e">
        <f>DataSheet!DD79</f>
        <v>#DIV/0!</v>
      </c>
      <c r="G33" s="33" t="str">
        <f t="shared" si="32"/>
        <v>V</v>
      </c>
      <c r="H33" s="425" t="e">
        <f>DataSheet!L79+D33</f>
        <v>#DIV/0!</v>
      </c>
      <c r="I33" s="425"/>
      <c r="J33" s="425" t="e">
        <f>DataSheet!L79-D33</f>
        <v>#DIV/0!</v>
      </c>
      <c r="K33" s="425"/>
      <c r="L33" s="423" t="e">
        <f t="shared" si="24"/>
        <v>#DIV/0!</v>
      </c>
      <c r="M33" s="423"/>
      <c r="N33" s="34" t="e">
        <f>DataSheet!DD79+B33</f>
        <v>#DIV/0!</v>
      </c>
      <c r="O33" s="33" t="str">
        <f t="shared" si="25"/>
        <v>V</v>
      </c>
      <c r="P33" s="34" t="e">
        <f>H33</f>
        <v>#DIV/0!</v>
      </c>
      <c r="Q33" s="35" t="str">
        <f t="shared" si="26"/>
        <v>V</v>
      </c>
      <c r="R33" s="433" t="e">
        <f t="shared" si="27"/>
        <v>#DIV/0!</v>
      </c>
      <c r="S33" s="433"/>
      <c r="T33" s="34" t="e">
        <f>-DataSheet!DD79+B33</f>
        <v>#DIV/0!</v>
      </c>
      <c r="U33" s="35" t="str">
        <f t="shared" si="28"/>
        <v>V</v>
      </c>
      <c r="V33" s="433" t="e">
        <f t="shared" si="29"/>
        <v>#DIV/0!</v>
      </c>
      <c r="W33" s="433"/>
      <c r="X33" s="440" t="e">
        <f t="shared" si="30"/>
        <v>#DIV/0!</v>
      </c>
      <c r="Y33" s="440"/>
    </row>
    <row r="34" spans="2:25">
      <c r="B34" s="45" t="e">
        <f>DataSheet!AM80</f>
        <v>#DIV/0!</v>
      </c>
      <c r="C34" s="46" t="str">
        <f>DataSheet!P80</f>
        <v>V</v>
      </c>
      <c r="D34" s="34" t="e">
        <f>ABS((DataSheet!AM80*1.6%)+(9*DataSheet!CK80))</f>
        <v>#DIV/0!</v>
      </c>
      <c r="E34" s="35" t="str">
        <f t="shared" si="31"/>
        <v>V</v>
      </c>
      <c r="F34" s="36" t="e">
        <f>DataSheet!DD80</f>
        <v>#DIV/0!</v>
      </c>
      <c r="G34" s="33" t="str">
        <f t="shared" si="32"/>
        <v>V</v>
      </c>
      <c r="H34" s="425" t="e">
        <f>DataSheet!L80+D34</f>
        <v>#DIV/0!</v>
      </c>
      <c r="I34" s="425"/>
      <c r="J34" s="425" t="e">
        <f>DataSheet!L80-D34</f>
        <v>#DIV/0!</v>
      </c>
      <c r="K34" s="425"/>
      <c r="L34" s="423" t="e">
        <f t="shared" si="24"/>
        <v>#DIV/0!</v>
      </c>
      <c r="M34" s="423"/>
      <c r="N34" s="34" t="e">
        <f>DataSheet!DD80+B34</f>
        <v>#DIV/0!</v>
      </c>
      <c r="O34" s="33" t="str">
        <f t="shared" si="25"/>
        <v>V</v>
      </c>
      <c r="P34" s="34" t="e">
        <f>H34</f>
        <v>#DIV/0!</v>
      </c>
      <c r="Q34" s="35" t="str">
        <f t="shared" si="26"/>
        <v>V</v>
      </c>
      <c r="R34" s="433" t="e">
        <f t="shared" si="27"/>
        <v>#DIV/0!</v>
      </c>
      <c r="S34" s="433"/>
      <c r="T34" s="34" t="e">
        <f>-DataSheet!DD80+B34</f>
        <v>#DIV/0!</v>
      </c>
      <c r="U34" s="35" t="str">
        <f t="shared" si="28"/>
        <v>V</v>
      </c>
      <c r="V34" s="433" t="e">
        <f t="shared" si="29"/>
        <v>#DIV/0!</v>
      </c>
      <c r="W34" s="433"/>
      <c r="X34" s="440" t="e">
        <f t="shared" si="30"/>
        <v>#DIV/0!</v>
      </c>
      <c r="Y34" s="440"/>
    </row>
    <row r="35" spans="2:25">
      <c r="B35" s="43" t="e">
        <f>DataSheet!AM81</f>
        <v>#DIV/0!</v>
      </c>
      <c r="C35" s="46" t="str">
        <f>DataSheet!P81</f>
        <v>V</v>
      </c>
      <c r="D35" s="32" t="e">
        <f>ABS((DataSheet!AM81*1.6%)+(9*DataSheet!CK81))</f>
        <v>#DIV/0!</v>
      </c>
      <c r="E35" s="33" t="str">
        <f t="shared" si="31"/>
        <v>V</v>
      </c>
      <c r="F35" s="36" t="e">
        <f>DataSheet!DD81</f>
        <v>#DIV/0!</v>
      </c>
      <c r="G35" s="33" t="str">
        <f t="shared" si="32"/>
        <v>V</v>
      </c>
      <c r="H35" s="430" t="e">
        <f>DataSheet!L81+D35</f>
        <v>#DIV/0!</v>
      </c>
      <c r="I35" s="430"/>
      <c r="J35" s="430" t="e">
        <f>DataSheet!L81-D35</f>
        <v>#DIV/0!</v>
      </c>
      <c r="K35" s="430"/>
      <c r="L35" s="430" t="e">
        <f t="shared" si="24"/>
        <v>#DIV/0!</v>
      </c>
      <c r="M35" s="430"/>
      <c r="N35" s="32" t="e">
        <f>DataSheet!DD81+B35</f>
        <v>#DIV/0!</v>
      </c>
      <c r="O35" s="33" t="str">
        <f t="shared" si="25"/>
        <v>V</v>
      </c>
      <c r="P35" s="32" t="e">
        <f t="shared" ref="P35:P48" si="33">H35</f>
        <v>#DIV/0!</v>
      </c>
      <c r="Q35" s="33" t="str">
        <f t="shared" si="26"/>
        <v>V</v>
      </c>
      <c r="R35" s="439" t="e">
        <f t="shared" si="27"/>
        <v>#DIV/0!</v>
      </c>
      <c r="S35" s="439"/>
      <c r="T35" s="32" t="e">
        <f t="shared" ref="T35:T48" si="34">-F35+B35</f>
        <v>#DIV/0!</v>
      </c>
      <c r="U35" s="35" t="str">
        <f t="shared" si="28"/>
        <v>V</v>
      </c>
      <c r="V35" s="433" t="e">
        <f t="shared" si="29"/>
        <v>#DIV/0!</v>
      </c>
      <c r="W35" s="433"/>
      <c r="X35" s="440" t="e">
        <f t="shared" si="30"/>
        <v>#DIV/0!</v>
      </c>
      <c r="Y35" s="440"/>
    </row>
    <row r="36" spans="2:25">
      <c r="B36" s="43" t="e">
        <f>DataSheet!AM82</f>
        <v>#DIV/0!</v>
      </c>
      <c r="C36" s="46" t="str">
        <f>DataSheet!P82</f>
        <v>V</v>
      </c>
      <c r="D36" s="32" t="e">
        <f>ABS((DataSheet!AM82*1.6%)+(9*DataSheet!CK82))</f>
        <v>#DIV/0!</v>
      </c>
      <c r="E36" s="33" t="str">
        <f t="shared" si="31"/>
        <v>V</v>
      </c>
      <c r="F36" s="36" t="e">
        <f>DataSheet!DD82</f>
        <v>#DIV/0!</v>
      </c>
      <c r="G36" s="33" t="str">
        <f t="shared" si="32"/>
        <v>V</v>
      </c>
      <c r="H36" s="430" t="e">
        <f>DataSheet!L82+D36</f>
        <v>#DIV/0!</v>
      </c>
      <c r="I36" s="430"/>
      <c r="J36" s="430" t="e">
        <f>DataSheet!L82-D36</f>
        <v>#DIV/0!</v>
      </c>
      <c r="K36" s="430"/>
      <c r="L36" s="430" t="e">
        <f t="shared" si="24"/>
        <v>#DIV/0!</v>
      </c>
      <c r="M36" s="430"/>
      <c r="N36" s="32" t="e">
        <f>DataSheet!DD82+B36</f>
        <v>#DIV/0!</v>
      </c>
      <c r="O36" s="33" t="str">
        <f t="shared" si="25"/>
        <v>V</v>
      </c>
      <c r="P36" s="32" t="e">
        <f t="shared" si="33"/>
        <v>#DIV/0!</v>
      </c>
      <c r="Q36" s="33" t="str">
        <f t="shared" si="26"/>
        <v>V</v>
      </c>
      <c r="R36" s="439" t="e">
        <f t="shared" si="27"/>
        <v>#DIV/0!</v>
      </c>
      <c r="S36" s="439"/>
      <c r="T36" s="32" t="e">
        <f t="shared" si="34"/>
        <v>#DIV/0!</v>
      </c>
      <c r="U36" s="35" t="str">
        <f t="shared" si="28"/>
        <v>V</v>
      </c>
      <c r="V36" s="433" t="e">
        <f t="shared" si="29"/>
        <v>#DIV/0!</v>
      </c>
      <c r="W36" s="433"/>
      <c r="X36" s="440" t="e">
        <f t="shared" si="30"/>
        <v>#DIV/0!</v>
      </c>
      <c r="Y36" s="440"/>
    </row>
    <row r="37" spans="2:25">
      <c r="B37" s="43" t="e">
        <f>DataSheet!AM83</f>
        <v>#DIV/0!</v>
      </c>
      <c r="C37" s="44" t="str">
        <f>DataSheet!P83</f>
        <v>V</v>
      </c>
      <c r="D37" s="32" t="e">
        <f>ABS((DataSheet!AM83*1.6%)+(9*DataSheet!CK83))</f>
        <v>#DIV/0!</v>
      </c>
      <c r="E37" s="33" t="str">
        <f t="shared" si="31"/>
        <v>V</v>
      </c>
      <c r="F37" s="36" t="e">
        <f>DataSheet!DD83</f>
        <v>#DIV/0!</v>
      </c>
      <c r="G37" s="33" t="str">
        <f t="shared" si="32"/>
        <v>V</v>
      </c>
      <c r="H37" s="430" t="e">
        <f>DataSheet!L83+D37</f>
        <v>#DIV/0!</v>
      </c>
      <c r="I37" s="430"/>
      <c r="J37" s="430" t="e">
        <f>DataSheet!L83-D37</f>
        <v>#DIV/0!</v>
      </c>
      <c r="K37" s="430"/>
      <c r="L37" s="430" t="e">
        <f t="shared" si="24"/>
        <v>#DIV/0!</v>
      </c>
      <c r="M37" s="430"/>
      <c r="N37" s="32" t="e">
        <f>DataSheet!DD83+B37</f>
        <v>#DIV/0!</v>
      </c>
      <c r="O37" s="33" t="str">
        <f t="shared" si="25"/>
        <v>V</v>
      </c>
      <c r="P37" s="32" t="e">
        <f t="shared" si="33"/>
        <v>#DIV/0!</v>
      </c>
      <c r="Q37" s="33" t="str">
        <f t="shared" si="26"/>
        <v>V</v>
      </c>
      <c r="R37" s="439" t="e">
        <f t="shared" si="27"/>
        <v>#DIV/0!</v>
      </c>
      <c r="S37" s="439"/>
      <c r="T37" s="32" t="e">
        <f t="shared" si="34"/>
        <v>#DIV/0!</v>
      </c>
      <c r="U37" s="35" t="str">
        <f t="shared" si="28"/>
        <v>V</v>
      </c>
      <c r="V37" s="433" t="e">
        <f t="shared" si="29"/>
        <v>#DIV/0!</v>
      </c>
      <c r="W37" s="433"/>
      <c r="X37" s="440" t="e">
        <f t="shared" si="30"/>
        <v>#DIV/0!</v>
      </c>
      <c r="Y37" s="440"/>
    </row>
    <row r="38" spans="2:25">
      <c r="B38" s="43" t="e">
        <f>DataSheet!AM84</f>
        <v>#DIV/0!</v>
      </c>
      <c r="C38" s="44" t="str">
        <f>DataSheet!P84</f>
        <v>V</v>
      </c>
      <c r="D38" s="32" t="e">
        <f>ABS((DataSheet!AM84*1.6%)+(9*DataSheet!CK84))</f>
        <v>#DIV/0!</v>
      </c>
      <c r="E38" s="33" t="str">
        <f t="shared" si="31"/>
        <v>V</v>
      </c>
      <c r="F38" s="36" t="e">
        <f>DataSheet!DD84</f>
        <v>#DIV/0!</v>
      </c>
      <c r="G38" s="33" t="str">
        <f t="shared" si="32"/>
        <v>V</v>
      </c>
      <c r="H38" s="430" t="e">
        <f>DataSheet!L84+D38</f>
        <v>#DIV/0!</v>
      </c>
      <c r="I38" s="430"/>
      <c r="J38" s="430" t="e">
        <f>DataSheet!L84-D38</f>
        <v>#DIV/0!</v>
      </c>
      <c r="K38" s="430"/>
      <c r="L38" s="430" t="e">
        <f t="shared" si="24"/>
        <v>#DIV/0!</v>
      </c>
      <c r="M38" s="430"/>
      <c r="N38" s="32" t="e">
        <f>DataSheet!DD84+B38</f>
        <v>#DIV/0!</v>
      </c>
      <c r="O38" s="33" t="str">
        <f t="shared" si="25"/>
        <v>V</v>
      </c>
      <c r="P38" s="32" t="e">
        <f t="shared" si="33"/>
        <v>#DIV/0!</v>
      </c>
      <c r="Q38" s="33" t="str">
        <f t="shared" si="26"/>
        <v>V</v>
      </c>
      <c r="R38" s="439" t="e">
        <f t="shared" si="27"/>
        <v>#DIV/0!</v>
      </c>
      <c r="S38" s="439"/>
      <c r="T38" s="32" t="e">
        <f t="shared" si="34"/>
        <v>#DIV/0!</v>
      </c>
      <c r="U38" s="35" t="str">
        <f t="shared" si="28"/>
        <v>V</v>
      </c>
      <c r="V38" s="433" t="e">
        <f t="shared" si="29"/>
        <v>#DIV/0!</v>
      </c>
      <c r="W38" s="433"/>
      <c r="X38" s="440" t="e">
        <f t="shared" si="30"/>
        <v>#DIV/0!</v>
      </c>
      <c r="Y38" s="440"/>
    </row>
    <row r="39" spans="2:25">
      <c r="B39" s="43" t="e">
        <f>DataSheet!AM85</f>
        <v>#DIV/0!</v>
      </c>
      <c r="C39" s="44" t="str">
        <f>DataSheet!P85</f>
        <v>V</v>
      </c>
      <c r="D39" s="32" t="e">
        <f>ABS((DataSheet!AM85*1.6%)+(9*DataSheet!CK85))</f>
        <v>#DIV/0!</v>
      </c>
      <c r="E39" s="33" t="str">
        <f t="shared" si="31"/>
        <v>V</v>
      </c>
      <c r="F39" s="36" t="e">
        <f>DataSheet!DD85</f>
        <v>#DIV/0!</v>
      </c>
      <c r="G39" s="33" t="str">
        <f t="shared" si="32"/>
        <v>V</v>
      </c>
      <c r="H39" s="430" t="e">
        <f>DataSheet!L85+D39</f>
        <v>#DIV/0!</v>
      </c>
      <c r="I39" s="430"/>
      <c r="J39" s="430" t="e">
        <f>DataSheet!L85-D39</f>
        <v>#DIV/0!</v>
      </c>
      <c r="K39" s="430"/>
      <c r="L39" s="430" t="e">
        <f t="shared" si="24"/>
        <v>#DIV/0!</v>
      </c>
      <c r="M39" s="430"/>
      <c r="N39" s="32" t="e">
        <f>DataSheet!DD85+B39</f>
        <v>#DIV/0!</v>
      </c>
      <c r="O39" s="33" t="str">
        <f t="shared" si="25"/>
        <v>V</v>
      </c>
      <c r="P39" s="32" t="e">
        <f t="shared" si="33"/>
        <v>#DIV/0!</v>
      </c>
      <c r="Q39" s="33" t="str">
        <f t="shared" si="26"/>
        <v>V</v>
      </c>
      <c r="R39" s="439" t="e">
        <f t="shared" si="27"/>
        <v>#DIV/0!</v>
      </c>
      <c r="S39" s="439"/>
      <c r="T39" s="32" t="e">
        <f t="shared" si="34"/>
        <v>#DIV/0!</v>
      </c>
      <c r="U39" s="35" t="str">
        <f t="shared" si="28"/>
        <v>V</v>
      </c>
      <c r="V39" s="433" t="e">
        <f t="shared" si="29"/>
        <v>#DIV/0!</v>
      </c>
      <c r="W39" s="433"/>
      <c r="X39" s="440" t="e">
        <f t="shared" si="30"/>
        <v>#DIV/0!</v>
      </c>
      <c r="Y39" s="440"/>
    </row>
    <row r="40" spans="2:25">
      <c r="B40" s="43" t="e">
        <f>DataSheet!AM86</f>
        <v>#DIV/0!</v>
      </c>
      <c r="C40" s="44" t="str">
        <f>DataSheet!P86</f>
        <v>V</v>
      </c>
      <c r="D40" s="32" t="e">
        <f>ABS((DataSheet!AM86*1.6%)+(9*DataSheet!CK86))</f>
        <v>#DIV/0!</v>
      </c>
      <c r="E40" s="33" t="str">
        <f t="shared" si="31"/>
        <v>V</v>
      </c>
      <c r="F40" s="36" t="e">
        <f>DataSheet!DD86</f>
        <v>#DIV/0!</v>
      </c>
      <c r="G40" s="33" t="str">
        <f t="shared" si="32"/>
        <v>V</v>
      </c>
      <c r="H40" s="430" t="e">
        <f>DataSheet!L86+D40</f>
        <v>#DIV/0!</v>
      </c>
      <c r="I40" s="430"/>
      <c r="J40" s="430" t="e">
        <f>DataSheet!L86-D40</f>
        <v>#DIV/0!</v>
      </c>
      <c r="K40" s="430"/>
      <c r="L40" s="430" t="e">
        <f t="shared" si="24"/>
        <v>#DIV/0!</v>
      </c>
      <c r="M40" s="430"/>
      <c r="N40" s="32" t="e">
        <f>DataSheet!DD86+B40</f>
        <v>#DIV/0!</v>
      </c>
      <c r="O40" s="33" t="str">
        <f t="shared" si="25"/>
        <v>V</v>
      </c>
      <c r="P40" s="32" t="e">
        <f t="shared" si="33"/>
        <v>#DIV/0!</v>
      </c>
      <c r="Q40" s="33" t="str">
        <f t="shared" si="26"/>
        <v>V</v>
      </c>
      <c r="R40" s="439" t="e">
        <f t="shared" si="27"/>
        <v>#DIV/0!</v>
      </c>
      <c r="S40" s="439"/>
      <c r="T40" s="32" t="e">
        <f t="shared" si="34"/>
        <v>#DIV/0!</v>
      </c>
      <c r="U40" s="35" t="str">
        <f t="shared" si="28"/>
        <v>V</v>
      </c>
      <c r="V40" s="433" t="e">
        <f t="shared" si="29"/>
        <v>#DIV/0!</v>
      </c>
      <c r="W40" s="433"/>
      <c r="X40" s="440" t="e">
        <f t="shared" si="30"/>
        <v>#DIV/0!</v>
      </c>
      <c r="Y40" s="440"/>
    </row>
    <row r="41" spans="2:25">
      <c r="B41" s="41" t="e">
        <f>DataSheet!#REF!</f>
        <v>#REF!</v>
      </c>
      <c r="C41" s="42" t="e">
        <f>DataSheet!#REF!</f>
        <v>#REF!</v>
      </c>
      <c r="D41" s="37" t="e">
        <f>ABS((DataSheet!#REF!*1.6%)+(9*DataSheet!#REF!))</f>
        <v>#REF!</v>
      </c>
      <c r="E41" s="35" t="e">
        <f t="shared" si="31"/>
        <v>#REF!</v>
      </c>
      <c r="F41" s="36" t="e">
        <f>DataSheet!#REF!</f>
        <v>#REF!</v>
      </c>
      <c r="G41" s="33" t="e">
        <f t="shared" si="32"/>
        <v>#REF!</v>
      </c>
      <c r="H41" s="431" t="e">
        <f>DataSheet!#REF!+D41</f>
        <v>#REF!</v>
      </c>
      <c r="I41" s="431"/>
      <c r="J41" s="431" t="e">
        <f>DataSheet!#REF!-D41</f>
        <v>#REF!</v>
      </c>
      <c r="K41" s="431"/>
      <c r="L41" s="431" t="e">
        <f t="shared" si="24"/>
        <v>#REF!</v>
      </c>
      <c r="M41" s="431"/>
      <c r="N41" s="37" t="e">
        <f>DataSheet!#REF!+B41</f>
        <v>#REF!</v>
      </c>
      <c r="O41" s="38" t="e">
        <f t="shared" si="25"/>
        <v>#REF!</v>
      </c>
      <c r="P41" s="37" t="e">
        <f t="shared" si="33"/>
        <v>#REF!</v>
      </c>
      <c r="Q41" s="38" t="e">
        <f t="shared" si="26"/>
        <v>#REF!</v>
      </c>
      <c r="R41" s="434" t="e">
        <f t="shared" si="27"/>
        <v>#REF!</v>
      </c>
      <c r="S41" s="434"/>
      <c r="T41" s="37" t="e">
        <f t="shared" si="34"/>
        <v>#REF!</v>
      </c>
      <c r="U41" s="38" t="e">
        <f t="shared" si="28"/>
        <v>#REF!</v>
      </c>
      <c r="V41" s="433" t="e">
        <f t="shared" si="29"/>
        <v>#REF!</v>
      </c>
      <c r="W41" s="433"/>
      <c r="X41" s="440" t="e">
        <f t="shared" si="30"/>
        <v>#REF!</v>
      </c>
      <c r="Y41" s="440"/>
    </row>
    <row r="42" spans="2:25">
      <c r="B42" s="41" t="e">
        <f>DataSheet!#REF!</f>
        <v>#REF!</v>
      </c>
      <c r="C42" s="42" t="e">
        <f>DataSheet!#REF!</f>
        <v>#REF!</v>
      </c>
      <c r="D42" s="37" t="e">
        <f>ABS((DataSheet!#REF!*1.6%)+(9*DataSheet!#REF!))</f>
        <v>#REF!</v>
      </c>
      <c r="E42" s="35" t="e">
        <f t="shared" si="31"/>
        <v>#REF!</v>
      </c>
      <c r="F42" s="36" t="e">
        <f>DataSheet!#REF!</f>
        <v>#REF!</v>
      </c>
      <c r="G42" s="33" t="e">
        <f t="shared" si="32"/>
        <v>#REF!</v>
      </c>
      <c r="H42" s="431" t="e">
        <f>DataSheet!#REF!+D42</f>
        <v>#REF!</v>
      </c>
      <c r="I42" s="431"/>
      <c r="J42" s="431" t="e">
        <f>DataSheet!#REF!-D42</f>
        <v>#REF!</v>
      </c>
      <c r="K42" s="431"/>
      <c r="L42" s="431" t="e">
        <f t="shared" si="24"/>
        <v>#REF!</v>
      </c>
      <c r="M42" s="431"/>
      <c r="N42" s="37" t="e">
        <f>DataSheet!#REF!+B42</f>
        <v>#REF!</v>
      </c>
      <c r="O42" s="38" t="e">
        <f t="shared" si="25"/>
        <v>#REF!</v>
      </c>
      <c r="P42" s="37" t="e">
        <f t="shared" si="33"/>
        <v>#REF!</v>
      </c>
      <c r="Q42" s="38" t="e">
        <f t="shared" si="26"/>
        <v>#REF!</v>
      </c>
      <c r="R42" s="434" t="e">
        <f t="shared" si="27"/>
        <v>#REF!</v>
      </c>
      <c r="S42" s="434"/>
      <c r="T42" s="37" t="e">
        <f t="shared" si="34"/>
        <v>#REF!</v>
      </c>
      <c r="U42" s="38" t="e">
        <f t="shared" si="28"/>
        <v>#REF!</v>
      </c>
      <c r="V42" s="433" t="e">
        <f t="shared" si="29"/>
        <v>#REF!</v>
      </c>
      <c r="W42" s="433"/>
      <c r="X42" s="440" t="e">
        <f t="shared" si="30"/>
        <v>#REF!</v>
      </c>
      <c r="Y42" s="440"/>
    </row>
    <row r="43" spans="2:25">
      <c r="B43" s="41" t="e">
        <f>DataSheet!#REF!</f>
        <v>#REF!</v>
      </c>
      <c r="C43" s="42" t="e">
        <f>DataSheet!#REF!</f>
        <v>#REF!</v>
      </c>
      <c r="D43" s="37" t="e">
        <f>ABS((DataSheet!#REF!*1.6%)+(9*DataSheet!#REF!))</f>
        <v>#REF!</v>
      </c>
      <c r="E43" s="35" t="e">
        <f t="shared" si="31"/>
        <v>#REF!</v>
      </c>
      <c r="F43" s="36" t="e">
        <f>DataSheet!#REF!</f>
        <v>#REF!</v>
      </c>
      <c r="G43" s="33" t="e">
        <f t="shared" si="32"/>
        <v>#REF!</v>
      </c>
      <c r="H43" s="431" t="e">
        <f>DataSheet!#REF!+D43</f>
        <v>#REF!</v>
      </c>
      <c r="I43" s="431"/>
      <c r="J43" s="431" t="e">
        <f>DataSheet!#REF!-D43</f>
        <v>#REF!</v>
      </c>
      <c r="K43" s="431"/>
      <c r="L43" s="431" t="e">
        <f t="shared" si="24"/>
        <v>#REF!</v>
      </c>
      <c r="M43" s="431"/>
      <c r="N43" s="37" t="e">
        <f>DataSheet!#REF!+B43</f>
        <v>#REF!</v>
      </c>
      <c r="O43" s="38" t="e">
        <f t="shared" si="25"/>
        <v>#REF!</v>
      </c>
      <c r="P43" s="37" t="e">
        <f t="shared" si="33"/>
        <v>#REF!</v>
      </c>
      <c r="Q43" s="38" t="e">
        <f t="shared" si="26"/>
        <v>#REF!</v>
      </c>
      <c r="R43" s="434" t="e">
        <f t="shared" si="27"/>
        <v>#REF!</v>
      </c>
      <c r="S43" s="434"/>
      <c r="T43" s="37" t="e">
        <f t="shared" si="34"/>
        <v>#REF!</v>
      </c>
      <c r="U43" s="38" t="e">
        <f t="shared" si="28"/>
        <v>#REF!</v>
      </c>
      <c r="V43" s="433" t="e">
        <f t="shared" si="29"/>
        <v>#REF!</v>
      </c>
      <c r="W43" s="433"/>
      <c r="X43" s="440" t="e">
        <f t="shared" si="30"/>
        <v>#REF!</v>
      </c>
      <c r="Y43" s="440"/>
    </row>
    <row r="44" spans="2:25">
      <c r="B44" s="41" t="e">
        <f>DataSheet!#REF!</f>
        <v>#REF!</v>
      </c>
      <c r="C44" s="42" t="e">
        <f>DataSheet!#REF!</f>
        <v>#REF!</v>
      </c>
      <c r="D44" s="37" t="e">
        <f>ABS((DataSheet!#REF!*1.6%)+(9*DataSheet!#REF!))</f>
        <v>#REF!</v>
      </c>
      <c r="E44" s="35" t="e">
        <f t="shared" si="31"/>
        <v>#REF!</v>
      </c>
      <c r="F44" s="36" t="e">
        <f>DataSheet!#REF!</f>
        <v>#REF!</v>
      </c>
      <c r="G44" s="33" t="e">
        <f t="shared" si="32"/>
        <v>#REF!</v>
      </c>
      <c r="H44" s="431" t="e">
        <f>DataSheet!#REF!+D44</f>
        <v>#REF!</v>
      </c>
      <c r="I44" s="431"/>
      <c r="J44" s="431" t="e">
        <f>DataSheet!#REF!-D44</f>
        <v>#REF!</v>
      </c>
      <c r="K44" s="431"/>
      <c r="L44" s="431" t="e">
        <f t="shared" si="24"/>
        <v>#REF!</v>
      </c>
      <c r="M44" s="431"/>
      <c r="N44" s="37" t="e">
        <f>DataSheet!#REF!+B44</f>
        <v>#REF!</v>
      </c>
      <c r="O44" s="38" t="e">
        <f t="shared" si="25"/>
        <v>#REF!</v>
      </c>
      <c r="P44" s="37" t="e">
        <f t="shared" si="33"/>
        <v>#REF!</v>
      </c>
      <c r="Q44" s="38" t="e">
        <f t="shared" si="26"/>
        <v>#REF!</v>
      </c>
      <c r="R44" s="434" t="e">
        <f t="shared" si="27"/>
        <v>#REF!</v>
      </c>
      <c r="S44" s="434"/>
      <c r="T44" s="37" t="e">
        <f t="shared" si="34"/>
        <v>#REF!</v>
      </c>
      <c r="U44" s="38" t="e">
        <f t="shared" si="28"/>
        <v>#REF!</v>
      </c>
      <c r="V44" s="433" t="e">
        <f t="shared" si="29"/>
        <v>#REF!</v>
      </c>
      <c r="W44" s="433"/>
      <c r="X44" s="440" t="e">
        <f t="shared" si="30"/>
        <v>#REF!</v>
      </c>
      <c r="Y44" s="440"/>
    </row>
    <row r="45" spans="2:25">
      <c r="B45" s="47" t="e">
        <f>DataSheet!AM87</f>
        <v>#DIV/0!</v>
      </c>
      <c r="C45" s="48" t="str">
        <f>DataSheet!P87</f>
        <v>V</v>
      </c>
      <c r="D45" s="39" t="e">
        <f>ABS((DataSheet!AM87*1.6%)+(9*DataSheet!CK87))</f>
        <v>#DIV/0!</v>
      </c>
      <c r="E45" s="35" t="str">
        <f t="shared" si="31"/>
        <v>V</v>
      </c>
      <c r="F45" s="36" t="e">
        <f>DataSheet!DD87</f>
        <v>#DIV/0!</v>
      </c>
      <c r="G45" s="33" t="str">
        <f t="shared" si="32"/>
        <v>V</v>
      </c>
      <c r="H45" s="432" t="e">
        <f>DataSheet!L87+D45</f>
        <v>#DIV/0!</v>
      </c>
      <c r="I45" s="432"/>
      <c r="J45" s="432" t="e">
        <f>DataSheet!L87-D45</f>
        <v>#DIV/0!</v>
      </c>
      <c r="K45" s="432"/>
      <c r="L45" s="432" t="e">
        <f t="shared" si="24"/>
        <v>#DIV/0!</v>
      </c>
      <c r="M45" s="432"/>
      <c r="N45" s="39" t="e">
        <f>DataSheet!DD87+B45</f>
        <v>#DIV/0!</v>
      </c>
      <c r="O45" s="40" t="str">
        <f t="shared" si="25"/>
        <v>V</v>
      </c>
      <c r="P45" s="39" t="e">
        <f t="shared" si="33"/>
        <v>#DIV/0!</v>
      </c>
      <c r="Q45" s="40" t="str">
        <f t="shared" si="26"/>
        <v>V</v>
      </c>
      <c r="R45" s="438" t="e">
        <f t="shared" si="27"/>
        <v>#DIV/0!</v>
      </c>
      <c r="S45" s="438"/>
      <c r="T45" s="39" t="e">
        <f t="shared" si="34"/>
        <v>#DIV/0!</v>
      </c>
      <c r="U45" s="40" t="str">
        <f t="shared" si="28"/>
        <v>V</v>
      </c>
      <c r="V45" s="433" t="e">
        <f t="shared" si="29"/>
        <v>#DIV/0!</v>
      </c>
      <c r="W45" s="433"/>
      <c r="X45" s="440" t="e">
        <f t="shared" si="30"/>
        <v>#DIV/0!</v>
      </c>
      <c r="Y45" s="440"/>
    </row>
    <row r="46" spans="2:25">
      <c r="B46" s="47" t="e">
        <f>DataSheet!AM88</f>
        <v>#DIV/0!</v>
      </c>
      <c r="C46" s="48" t="str">
        <f>DataSheet!P88</f>
        <v>V</v>
      </c>
      <c r="D46" s="39" t="e">
        <f>ABS((DataSheet!AM88*1.6%)+(9*DataSheet!CK88))</f>
        <v>#DIV/0!</v>
      </c>
      <c r="E46" s="35" t="str">
        <f t="shared" si="31"/>
        <v>V</v>
      </c>
      <c r="F46" s="36" t="e">
        <f>DataSheet!DD88</f>
        <v>#DIV/0!</v>
      </c>
      <c r="G46" s="33" t="str">
        <f t="shared" si="32"/>
        <v>V</v>
      </c>
      <c r="H46" s="432" t="e">
        <f>DataSheet!L88+D46</f>
        <v>#DIV/0!</v>
      </c>
      <c r="I46" s="432"/>
      <c r="J46" s="432" t="e">
        <f>DataSheet!L88-D46</f>
        <v>#DIV/0!</v>
      </c>
      <c r="K46" s="432"/>
      <c r="L46" s="432" t="e">
        <f t="shared" si="24"/>
        <v>#DIV/0!</v>
      </c>
      <c r="M46" s="432"/>
      <c r="N46" s="39" t="e">
        <f>DataSheet!DD88+B46</f>
        <v>#DIV/0!</v>
      </c>
      <c r="O46" s="40" t="str">
        <f t="shared" si="25"/>
        <v>V</v>
      </c>
      <c r="P46" s="39" t="e">
        <f t="shared" si="33"/>
        <v>#DIV/0!</v>
      </c>
      <c r="Q46" s="40" t="str">
        <f t="shared" si="26"/>
        <v>V</v>
      </c>
      <c r="R46" s="438" t="e">
        <f t="shared" si="27"/>
        <v>#DIV/0!</v>
      </c>
      <c r="S46" s="438"/>
      <c r="T46" s="39" t="e">
        <f t="shared" si="34"/>
        <v>#DIV/0!</v>
      </c>
      <c r="U46" s="40" t="str">
        <f t="shared" si="28"/>
        <v>V</v>
      </c>
      <c r="V46" s="433" t="e">
        <f t="shared" si="29"/>
        <v>#DIV/0!</v>
      </c>
      <c r="W46" s="433"/>
      <c r="X46" s="440" t="e">
        <f t="shared" si="30"/>
        <v>#DIV/0!</v>
      </c>
      <c r="Y46" s="440"/>
    </row>
    <row r="47" spans="2:25">
      <c r="B47" s="47" t="e">
        <f>DataSheet!AM89</f>
        <v>#DIV/0!</v>
      </c>
      <c r="C47" s="48" t="str">
        <f>DataSheet!P89</f>
        <v>V</v>
      </c>
      <c r="D47" s="39" t="e">
        <f>ABS((DataSheet!AM89*1.6%)+(9*DataSheet!CK89))</f>
        <v>#DIV/0!</v>
      </c>
      <c r="E47" s="35" t="str">
        <f t="shared" si="31"/>
        <v>V</v>
      </c>
      <c r="F47" s="36" t="e">
        <f>DataSheet!DD89</f>
        <v>#DIV/0!</v>
      </c>
      <c r="G47" s="33" t="str">
        <f t="shared" si="32"/>
        <v>V</v>
      </c>
      <c r="H47" s="432" t="e">
        <f>DataSheet!L89+D47</f>
        <v>#DIV/0!</v>
      </c>
      <c r="I47" s="432"/>
      <c r="J47" s="432" t="e">
        <f>DataSheet!L89-D47</f>
        <v>#DIV/0!</v>
      </c>
      <c r="K47" s="432"/>
      <c r="L47" s="432" t="e">
        <f t="shared" si="24"/>
        <v>#DIV/0!</v>
      </c>
      <c r="M47" s="432"/>
      <c r="N47" s="39" t="e">
        <f>DataSheet!DD89+B47</f>
        <v>#DIV/0!</v>
      </c>
      <c r="O47" s="40" t="str">
        <f t="shared" si="25"/>
        <v>V</v>
      </c>
      <c r="P47" s="39" t="e">
        <f t="shared" si="33"/>
        <v>#DIV/0!</v>
      </c>
      <c r="Q47" s="40" t="str">
        <f t="shared" si="26"/>
        <v>V</v>
      </c>
      <c r="R47" s="438" t="e">
        <f t="shared" si="27"/>
        <v>#DIV/0!</v>
      </c>
      <c r="S47" s="438"/>
      <c r="T47" s="39" t="e">
        <f t="shared" si="34"/>
        <v>#DIV/0!</v>
      </c>
      <c r="U47" s="40" t="str">
        <f t="shared" si="28"/>
        <v>V</v>
      </c>
      <c r="V47" s="433" t="e">
        <f t="shared" si="29"/>
        <v>#DIV/0!</v>
      </c>
      <c r="W47" s="433"/>
      <c r="X47" s="440" t="e">
        <f t="shared" si="30"/>
        <v>#DIV/0!</v>
      </c>
      <c r="Y47" s="440"/>
    </row>
    <row r="48" spans="2:25">
      <c r="B48" s="47" t="e">
        <f>DataSheet!AM90</f>
        <v>#DIV/0!</v>
      </c>
      <c r="C48" s="48" t="str">
        <f>DataSheet!P90</f>
        <v>V</v>
      </c>
      <c r="D48" s="39" t="e">
        <f>ABS((DataSheet!AM90*1.6%)+(9*DataSheet!CK90))</f>
        <v>#DIV/0!</v>
      </c>
      <c r="E48" s="35" t="str">
        <f t="shared" si="31"/>
        <v>V</v>
      </c>
      <c r="F48" s="36" t="e">
        <f>DataSheet!DD90</f>
        <v>#DIV/0!</v>
      </c>
      <c r="G48" s="33" t="str">
        <f t="shared" si="32"/>
        <v>V</v>
      </c>
      <c r="H48" s="432" t="e">
        <f>DataSheet!L90+D48</f>
        <v>#DIV/0!</v>
      </c>
      <c r="I48" s="432"/>
      <c r="J48" s="432" t="e">
        <f>DataSheet!L90-D48</f>
        <v>#DIV/0!</v>
      </c>
      <c r="K48" s="432"/>
      <c r="L48" s="432" t="e">
        <f t="shared" si="24"/>
        <v>#DIV/0!</v>
      </c>
      <c r="M48" s="432"/>
      <c r="N48" s="39" t="e">
        <f>DataSheet!DD90+B48</f>
        <v>#DIV/0!</v>
      </c>
      <c r="O48" s="40" t="str">
        <f t="shared" si="25"/>
        <v>V</v>
      </c>
      <c r="P48" s="39" t="e">
        <f t="shared" si="33"/>
        <v>#DIV/0!</v>
      </c>
      <c r="Q48" s="40" t="str">
        <f t="shared" si="26"/>
        <v>V</v>
      </c>
      <c r="R48" s="438" t="e">
        <f t="shared" si="27"/>
        <v>#DIV/0!</v>
      </c>
      <c r="S48" s="438"/>
      <c r="T48" s="39" t="e">
        <f t="shared" si="34"/>
        <v>#DIV/0!</v>
      </c>
      <c r="U48" s="40" t="str">
        <f t="shared" si="28"/>
        <v>V</v>
      </c>
      <c r="V48" s="433" t="e">
        <f t="shared" si="29"/>
        <v>#DIV/0!</v>
      </c>
      <c r="W48" s="433"/>
      <c r="X48" s="440" t="e">
        <f t="shared" si="30"/>
        <v>#DIV/0!</v>
      </c>
      <c r="Y48" s="440"/>
    </row>
    <row r="49" spans="2:25">
      <c r="B49" s="424" t="str">
        <f>DataSheet!F92</f>
        <v>Resistance Test</v>
      </c>
      <c r="C49" s="424"/>
      <c r="D49" s="424"/>
      <c r="E49" s="424"/>
      <c r="F49" s="424"/>
      <c r="G49" s="424"/>
      <c r="H49" s="424"/>
      <c r="I49" s="424"/>
      <c r="J49" s="424"/>
      <c r="K49" s="424"/>
      <c r="L49" s="424"/>
      <c r="M49" s="424"/>
      <c r="N49" s="424"/>
      <c r="O49" s="424"/>
      <c r="P49" s="424"/>
      <c r="Q49" s="424"/>
      <c r="R49" s="424"/>
      <c r="S49" s="424"/>
      <c r="T49" s="424"/>
      <c r="U49" s="424"/>
      <c r="V49" s="424"/>
      <c r="W49" s="424"/>
      <c r="X49" s="441" t="s">
        <v>122</v>
      </c>
      <c r="Y49" s="441"/>
    </row>
    <row r="50" spans="2:25">
      <c r="B50" s="424"/>
      <c r="C50" s="424"/>
      <c r="D50" s="424"/>
      <c r="E50" s="424"/>
      <c r="F50" s="424"/>
      <c r="G50" s="424"/>
      <c r="H50" s="424"/>
      <c r="I50" s="424"/>
      <c r="J50" s="424"/>
      <c r="K50" s="424"/>
      <c r="L50" s="424"/>
      <c r="M50" s="424"/>
      <c r="N50" s="424"/>
      <c r="O50" s="424"/>
      <c r="P50" s="424"/>
      <c r="Q50" s="424"/>
      <c r="R50" s="424"/>
      <c r="S50" s="424"/>
      <c r="T50" s="424"/>
      <c r="U50" s="424"/>
      <c r="V50" s="424"/>
      <c r="W50" s="424"/>
      <c r="X50" s="441"/>
      <c r="Y50" s="441"/>
    </row>
    <row r="51" spans="2:25">
      <c r="B51" s="441" t="s">
        <v>74</v>
      </c>
      <c r="C51" s="441"/>
      <c r="D51" s="424" t="s">
        <v>76</v>
      </c>
      <c r="E51" s="424"/>
      <c r="F51" s="426" t="s">
        <v>116</v>
      </c>
      <c r="G51" s="427"/>
      <c r="H51" s="424" t="s">
        <v>77</v>
      </c>
      <c r="I51" s="424"/>
      <c r="J51" s="424" t="s">
        <v>78</v>
      </c>
      <c r="K51" s="424"/>
      <c r="L51" s="424" t="s">
        <v>79</v>
      </c>
      <c r="M51" s="424"/>
      <c r="N51" s="435" t="s">
        <v>123</v>
      </c>
      <c r="O51" s="424"/>
      <c r="P51" s="424" t="s">
        <v>77</v>
      </c>
      <c r="Q51" s="424"/>
      <c r="R51" s="424" t="s">
        <v>79</v>
      </c>
      <c r="S51" s="424"/>
      <c r="T51" s="435" t="s">
        <v>124</v>
      </c>
      <c r="U51" s="424"/>
      <c r="V51" s="424" t="s">
        <v>79</v>
      </c>
      <c r="W51" s="424"/>
      <c r="X51" s="441"/>
      <c r="Y51" s="441"/>
    </row>
    <row r="52" spans="2:25">
      <c r="B52" s="441"/>
      <c r="C52" s="441"/>
      <c r="D52" s="424"/>
      <c r="E52" s="424"/>
      <c r="F52" s="428"/>
      <c r="G52" s="429"/>
      <c r="H52" s="424"/>
      <c r="I52" s="424"/>
      <c r="J52" s="424"/>
      <c r="K52" s="424"/>
      <c r="L52" s="424"/>
      <c r="M52" s="424"/>
      <c r="N52" s="424"/>
      <c r="O52" s="424"/>
      <c r="P52" s="424"/>
      <c r="Q52" s="424"/>
      <c r="R52" s="424"/>
      <c r="S52" s="424"/>
      <c r="T52" s="424"/>
      <c r="U52" s="424"/>
      <c r="V52" s="424"/>
      <c r="W52" s="424"/>
      <c r="X52" s="441"/>
      <c r="Y52" s="441"/>
    </row>
    <row r="53" spans="2:25">
      <c r="B53" s="41" t="e">
        <f>DataSheet!AM95</f>
        <v>#DIV/0!</v>
      </c>
      <c r="C53" s="46" t="str">
        <f>DataSheet!P95</f>
        <v>Ω</v>
      </c>
      <c r="D53" s="37" t="e">
        <f>ABS((DataSheet!AM95*1.5%)+(5*DataSheet!CK95))</f>
        <v>#DIV/0!</v>
      </c>
      <c r="E53" s="35" t="str">
        <f t="shared" ref="E53:E59" si="35">C53</f>
        <v>Ω</v>
      </c>
      <c r="F53" s="36" t="e">
        <f>DataSheet!DD95</f>
        <v>#DIV/0!</v>
      </c>
      <c r="G53" s="33" t="str">
        <f>C53</f>
        <v>Ω</v>
      </c>
      <c r="H53" s="431" t="e">
        <f>DataSheet!L95+D53</f>
        <v>#DIV/0!</v>
      </c>
      <c r="I53" s="431"/>
      <c r="J53" s="431" t="e">
        <f>DataSheet!L95-D53</f>
        <v>#DIV/0!</v>
      </c>
      <c r="K53" s="431"/>
      <c r="L53" s="423" t="e">
        <f t="shared" ref="L53:L59" si="36">IF(AND(B53&lt;=H53,B53&gt;=J53),"PASSED","FAILED")</f>
        <v>#DIV/0!</v>
      </c>
      <c r="M53" s="423"/>
      <c r="N53" s="37" t="e">
        <f>DataSheet!DD95+B53</f>
        <v>#DIV/0!</v>
      </c>
      <c r="O53" s="33" t="str">
        <f t="shared" ref="O53:O59" si="37">G53</f>
        <v>Ω</v>
      </c>
      <c r="P53" s="37" t="e">
        <f t="shared" ref="P53:P54" si="38">H53</f>
        <v>#DIV/0!</v>
      </c>
      <c r="Q53" s="38" t="str">
        <f t="shared" ref="Q53:Q56" si="39">O53</f>
        <v>Ω</v>
      </c>
      <c r="R53" s="433" t="e">
        <f t="shared" ref="R53:R59" si="40">IF(AND(N53&lt;=H53,N53&gt;=J53),"PASSED","FAILED")</f>
        <v>#DIV/0!</v>
      </c>
      <c r="S53" s="433"/>
      <c r="T53" s="37" t="e">
        <f t="shared" ref="T53:T54" si="41">-F53+B53</f>
        <v>#DIV/0!</v>
      </c>
      <c r="U53" s="35" t="str">
        <f t="shared" ref="U53:U59" si="42">O53</f>
        <v>Ω</v>
      </c>
      <c r="V53" s="433" t="e">
        <f t="shared" ref="V53:V59" si="43">IF(AND(T53&lt;=H53,T53&gt;=J53),"PASSED","FAILED")</f>
        <v>#DIV/0!</v>
      </c>
      <c r="W53" s="433"/>
      <c r="X53" s="440" t="e">
        <f t="shared" ref="X53:X59" si="44">IF(AND(L53="PASSED",R53="PASSED",V53="PASSED"),"PASSED",IF(L53="FAILED","FAILED","UNDETERMINED"))</f>
        <v>#DIV/0!</v>
      </c>
      <c r="Y53" s="440"/>
    </row>
    <row r="54" spans="2:25">
      <c r="B54" s="41" t="e">
        <f>DataSheet!AM96</f>
        <v>#DIV/0!</v>
      </c>
      <c r="C54" s="46" t="str">
        <f>DataSheet!P96</f>
        <v>Ω</v>
      </c>
      <c r="D54" s="37" t="e">
        <f>ABS((DataSheet!AM96*1.5%)+(5*DataSheet!CK96))</f>
        <v>#DIV/0!</v>
      </c>
      <c r="E54" s="35" t="str">
        <f t="shared" si="35"/>
        <v>Ω</v>
      </c>
      <c r="F54" s="36" t="e">
        <f>DataSheet!DD96</f>
        <v>#DIV/0!</v>
      </c>
      <c r="G54" s="33" t="str">
        <f t="shared" ref="G54:G59" si="45">C54</f>
        <v>Ω</v>
      </c>
      <c r="H54" s="431" t="e">
        <f>DataSheet!L96+D54</f>
        <v>#DIV/0!</v>
      </c>
      <c r="I54" s="431"/>
      <c r="J54" s="431" t="e">
        <f>DataSheet!L96-D54</f>
        <v>#DIV/0!</v>
      </c>
      <c r="K54" s="431"/>
      <c r="L54" s="423" t="e">
        <f t="shared" si="36"/>
        <v>#DIV/0!</v>
      </c>
      <c r="M54" s="423"/>
      <c r="N54" s="37" t="e">
        <f>DataSheet!DD96+B54</f>
        <v>#DIV/0!</v>
      </c>
      <c r="O54" s="33" t="str">
        <f t="shared" si="37"/>
        <v>Ω</v>
      </c>
      <c r="P54" s="37" t="e">
        <f t="shared" si="38"/>
        <v>#DIV/0!</v>
      </c>
      <c r="Q54" s="38" t="str">
        <f t="shared" si="39"/>
        <v>Ω</v>
      </c>
      <c r="R54" s="433" t="e">
        <f t="shared" si="40"/>
        <v>#DIV/0!</v>
      </c>
      <c r="S54" s="433"/>
      <c r="T54" s="37" t="e">
        <f t="shared" si="41"/>
        <v>#DIV/0!</v>
      </c>
      <c r="U54" s="35" t="str">
        <f t="shared" si="42"/>
        <v>Ω</v>
      </c>
      <c r="V54" s="433" t="e">
        <f t="shared" si="43"/>
        <v>#DIV/0!</v>
      </c>
      <c r="W54" s="433"/>
      <c r="X54" s="440" t="e">
        <f t="shared" si="44"/>
        <v>#DIV/0!</v>
      </c>
      <c r="Y54" s="440"/>
    </row>
    <row r="55" spans="2:25">
      <c r="B55" s="45" t="e">
        <f>DataSheet!AM97</f>
        <v>#DIV/0!</v>
      </c>
      <c r="C55" s="46" t="str">
        <f>DataSheet!P97</f>
        <v>kΩ</v>
      </c>
      <c r="D55" s="34" t="e">
        <f>ABS((DataSheet!AM97*1.5%)+(5*DataSheet!CK97))</f>
        <v>#DIV/0!</v>
      </c>
      <c r="E55" s="35" t="str">
        <f t="shared" si="35"/>
        <v>kΩ</v>
      </c>
      <c r="F55" s="36" t="e">
        <f>DataSheet!DD97</f>
        <v>#DIV/0!</v>
      </c>
      <c r="G55" s="33" t="str">
        <f t="shared" si="45"/>
        <v>kΩ</v>
      </c>
      <c r="H55" s="425" t="e">
        <f>DataSheet!L97+D55</f>
        <v>#DIV/0!</v>
      </c>
      <c r="I55" s="425"/>
      <c r="J55" s="425" t="e">
        <f>DataSheet!L97-D55</f>
        <v>#DIV/0!</v>
      </c>
      <c r="K55" s="425"/>
      <c r="L55" s="423" t="e">
        <f t="shared" si="36"/>
        <v>#DIV/0!</v>
      </c>
      <c r="M55" s="423"/>
      <c r="N55" s="34" t="e">
        <f>DataSheet!DD97+B55</f>
        <v>#DIV/0!</v>
      </c>
      <c r="O55" s="33" t="str">
        <f t="shared" si="37"/>
        <v>kΩ</v>
      </c>
      <c r="P55" s="34" t="e">
        <f>H55</f>
        <v>#DIV/0!</v>
      </c>
      <c r="Q55" s="35" t="str">
        <f t="shared" si="39"/>
        <v>kΩ</v>
      </c>
      <c r="R55" s="433" t="e">
        <f t="shared" si="40"/>
        <v>#DIV/0!</v>
      </c>
      <c r="S55" s="433"/>
      <c r="T55" s="34" t="e">
        <f>-DataSheet!DD97+B55</f>
        <v>#DIV/0!</v>
      </c>
      <c r="U55" s="35" t="str">
        <f t="shared" si="42"/>
        <v>kΩ</v>
      </c>
      <c r="V55" s="433" t="e">
        <f t="shared" si="43"/>
        <v>#DIV/0!</v>
      </c>
      <c r="W55" s="433"/>
      <c r="X55" s="440" t="e">
        <f t="shared" si="44"/>
        <v>#DIV/0!</v>
      </c>
      <c r="Y55" s="440"/>
    </row>
    <row r="56" spans="2:25">
      <c r="B56" s="43" t="e">
        <f>DataSheet!AM98</f>
        <v>#DIV/0!</v>
      </c>
      <c r="C56" s="46" t="str">
        <f>DataSheet!P98</f>
        <v>kΩ</v>
      </c>
      <c r="D56" s="32" t="e">
        <f>ABS((DataSheet!AM98*1.5%)+(5*DataSheet!CK98))</f>
        <v>#DIV/0!</v>
      </c>
      <c r="E56" s="35" t="str">
        <f t="shared" si="35"/>
        <v>kΩ</v>
      </c>
      <c r="F56" s="36" t="e">
        <f>DataSheet!DD98</f>
        <v>#DIV/0!</v>
      </c>
      <c r="G56" s="33" t="str">
        <f t="shared" si="45"/>
        <v>kΩ</v>
      </c>
      <c r="H56" s="430" t="e">
        <f>DataSheet!L98+D56</f>
        <v>#DIV/0!</v>
      </c>
      <c r="I56" s="430"/>
      <c r="J56" s="430" t="e">
        <f>DataSheet!L98-D56</f>
        <v>#DIV/0!</v>
      </c>
      <c r="K56" s="430"/>
      <c r="L56" s="423" t="e">
        <f t="shared" si="36"/>
        <v>#DIV/0!</v>
      </c>
      <c r="M56" s="423"/>
      <c r="N56" s="32" t="e">
        <f>DataSheet!DD98+B56</f>
        <v>#DIV/0!</v>
      </c>
      <c r="O56" s="33" t="str">
        <f t="shared" si="37"/>
        <v>kΩ</v>
      </c>
      <c r="P56" s="32" t="e">
        <f t="shared" ref="P56:P57" si="46">H56</f>
        <v>#DIV/0!</v>
      </c>
      <c r="Q56" s="33" t="str">
        <f t="shared" si="39"/>
        <v>kΩ</v>
      </c>
      <c r="R56" s="433" t="e">
        <f t="shared" si="40"/>
        <v>#DIV/0!</v>
      </c>
      <c r="S56" s="433"/>
      <c r="T56" s="32" t="e">
        <f t="shared" ref="T56:T59" si="47">-F56+B56</f>
        <v>#DIV/0!</v>
      </c>
      <c r="U56" s="35" t="str">
        <f t="shared" si="42"/>
        <v>kΩ</v>
      </c>
      <c r="V56" s="433" t="e">
        <f t="shared" si="43"/>
        <v>#DIV/0!</v>
      </c>
      <c r="W56" s="433"/>
      <c r="X56" s="440" t="e">
        <f t="shared" si="44"/>
        <v>#DIV/0!</v>
      </c>
      <c r="Y56" s="440"/>
    </row>
    <row r="57" spans="2:25">
      <c r="B57" s="41" t="e">
        <f>DataSheet!AM99</f>
        <v>#DIV/0!</v>
      </c>
      <c r="C57" s="46" t="str">
        <f>DataSheet!P99</f>
        <v>kΩ</v>
      </c>
      <c r="D57" s="37" t="e">
        <f>ABS((DataSheet!AM99*1.5%)+(5*DataSheet!CK99))</f>
        <v>#DIV/0!</v>
      </c>
      <c r="E57" s="35" t="str">
        <f t="shared" si="35"/>
        <v>kΩ</v>
      </c>
      <c r="F57" s="36" t="e">
        <f>DataSheet!DD99</f>
        <v>#DIV/0!</v>
      </c>
      <c r="G57" s="33" t="str">
        <f t="shared" si="45"/>
        <v>kΩ</v>
      </c>
      <c r="H57" s="431" t="e">
        <f>DataSheet!L99+D57</f>
        <v>#DIV/0!</v>
      </c>
      <c r="I57" s="431"/>
      <c r="J57" s="431" t="e">
        <f>DataSheet!L99-D57</f>
        <v>#DIV/0!</v>
      </c>
      <c r="K57" s="431"/>
      <c r="L57" s="423" t="e">
        <f t="shared" si="36"/>
        <v>#DIV/0!</v>
      </c>
      <c r="M57" s="423"/>
      <c r="N57" s="37" t="e">
        <f>DataSheet!DD99+B57</f>
        <v>#DIV/0!</v>
      </c>
      <c r="O57" s="33" t="str">
        <f t="shared" si="37"/>
        <v>kΩ</v>
      </c>
      <c r="P57" s="37" t="e">
        <f t="shared" si="46"/>
        <v>#DIV/0!</v>
      </c>
      <c r="Q57" s="38" t="str">
        <f t="shared" ref="Q57:Q59" si="48">O57</f>
        <v>kΩ</v>
      </c>
      <c r="R57" s="433" t="e">
        <f t="shared" si="40"/>
        <v>#DIV/0!</v>
      </c>
      <c r="S57" s="433"/>
      <c r="T57" s="37" t="e">
        <f t="shared" si="47"/>
        <v>#DIV/0!</v>
      </c>
      <c r="U57" s="35" t="str">
        <f t="shared" si="42"/>
        <v>kΩ</v>
      </c>
      <c r="V57" s="433" t="e">
        <f t="shared" si="43"/>
        <v>#DIV/0!</v>
      </c>
      <c r="W57" s="433"/>
      <c r="X57" s="440" t="e">
        <f t="shared" si="44"/>
        <v>#DIV/0!</v>
      </c>
      <c r="Y57" s="440"/>
    </row>
    <row r="58" spans="2:25">
      <c r="B58" s="45" t="e">
        <f>DataSheet!#REF!</f>
        <v>#REF!</v>
      </c>
      <c r="C58" s="46" t="e">
        <f>DataSheet!#REF!</f>
        <v>#REF!</v>
      </c>
      <c r="D58" s="34" t="e">
        <f>ABS((DataSheet!#REF!*1.5%)+(5*DataSheet!#REF!))</f>
        <v>#REF!</v>
      </c>
      <c r="E58" s="35" t="e">
        <f t="shared" si="35"/>
        <v>#REF!</v>
      </c>
      <c r="F58" s="36" t="e">
        <f>DataSheet!#REF!</f>
        <v>#REF!</v>
      </c>
      <c r="G58" s="33" t="e">
        <f t="shared" si="45"/>
        <v>#REF!</v>
      </c>
      <c r="H58" s="425" t="e">
        <f>DataSheet!#REF!+D58</f>
        <v>#REF!</v>
      </c>
      <c r="I58" s="425"/>
      <c r="J58" s="425" t="e">
        <f>DataSheet!#REF!-D58</f>
        <v>#REF!</v>
      </c>
      <c r="K58" s="425"/>
      <c r="L58" s="423" t="e">
        <f t="shared" si="36"/>
        <v>#REF!</v>
      </c>
      <c r="M58" s="423"/>
      <c r="N58" s="34" t="e">
        <f>DataSheet!#REF!+B58</f>
        <v>#REF!</v>
      </c>
      <c r="O58" s="33" t="e">
        <f t="shared" si="37"/>
        <v>#REF!</v>
      </c>
      <c r="P58" s="34" t="e">
        <f>H58</f>
        <v>#REF!</v>
      </c>
      <c r="Q58" s="35" t="e">
        <f t="shared" si="48"/>
        <v>#REF!</v>
      </c>
      <c r="R58" s="433" t="e">
        <f t="shared" si="40"/>
        <v>#REF!</v>
      </c>
      <c r="S58" s="433"/>
      <c r="T58" s="34" t="e">
        <f>-DataSheet!#REF!+B58</f>
        <v>#REF!</v>
      </c>
      <c r="U58" s="35" t="e">
        <f t="shared" si="42"/>
        <v>#REF!</v>
      </c>
      <c r="V58" s="433" t="e">
        <f t="shared" si="43"/>
        <v>#REF!</v>
      </c>
      <c r="W58" s="433"/>
      <c r="X58" s="440" t="e">
        <f t="shared" si="44"/>
        <v>#REF!</v>
      </c>
      <c r="Y58" s="440"/>
    </row>
    <row r="59" spans="2:25">
      <c r="B59" s="43" t="e">
        <f>DataSheet!AM101</f>
        <v>#DIV/0!</v>
      </c>
      <c r="C59" s="46" t="str">
        <f>DataSheet!P101</f>
        <v>MΩ</v>
      </c>
      <c r="D59" s="32" t="e">
        <f>ABS((DataSheet!AM101*1.5%)+(5*DataSheet!CK101))</f>
        <v>#DIV/0!</v>
      </c>
      <c r="E59" s="35" t="str">
        <f t="shared" si="35"/>
        <v>MΩ</v>
      </c>
      <c r="F59" s="36" t="e">
        <f>DataSheet!DD101</f>
        <v>#DIV/0!</v>
      </c>
      <c r="G59" s="33" t="str">
        <f t="shared" si="45"/>
        <v>MΩ</v>
      </c>
      <c r="H59" s="430" t="e">
        <f>DataSheet!L101+D59</f>
        <v>#DIV/0!</v>
      </c>
      <c r="I59" s="430"/>
      <c r="J59" s="430" t="e">
        <f>DataSheet!L101-D59</f>
        <v>#DIV/0!</v>
      </c>
      <c r="K59" s="430"/>
      <c r="L59" s="423" t="e">
        <f t="shared" si="36"/>
        <v>#DIV/0!</v>
      </c>
      <c r="M59" s="423"/>
      <c r="N59" s="32" t="e">
        <f>DataSheet!DD101+B59</f>
        <v>#DIV/0!</v>
      </c>
      <c r="O59" s="33" t="str">
        <f t="shared" si="37"/>
        <v>MΩ</v>
      </c>
      <c r="P59" s="32" t="e">
        <f t="shared" ref="P59" si="49">H59</f>
        <v>#DIV/0!</v>
      </c>
      <c r="Q59" s="33" t="str">
        <f t="shared" si="48"/>
        <v>MΩ</v>
      </c>
      <c r="R59" s="433" t="e">
        <f t="shared" si="40"/>
        <v>#DIV/0!</v>
      </c>
      <c r="S59" s="433"/>
      <c r="T59" s="32" t="e">
        <f t="shared" si="47"/>
        <v>#DIV/0!</v>
      </c>
      <c r="U59" s="35" t="str">
        <f t="shared" si="42"/>
        <v>MΩ</v>
      </c>
      <c r="V59" s="433" t="e">
        <f t="shared" si="43"/>
        <v>#DIV/0!</v>
      </c>
      <c r="W59" s="433"/>
      <c r="X59" s="440" t="e">
        <f t="shared" si="44"/>
        <v>#DIV/0!</v>
      </c>
      <c r="Y59" s="440"/>
    </row>
    <row r="60" spans="2:25">
      <c r="B60" s="424" t="str">
        <f>DataSheet!F103</f>
        <v>DC Current Test</v>
      </c>
      <c r="C60" s="424"/>
      <c r="D60" s="424"/>
      <c r="E60" s="424"/>
      <c r="F60" s="424"/>
      <c r="G60" s="424"/>
      <c r="H60" s="424"/>
      <c r="I60" s="424"/>
      <c r="J60" s="424"/>
      <c r="K60" s="424"/>
      <c r="L60" s="424"/>
      <c r="M60" s="424"/>
      <c r="N60" s="424"/>
      <c r="O60" s="424"/>
      <c r="P60" s="424"/>
      <c r="Q60" s="424"/>
      <c r="R60" s="424"/>
      <c r="S60" s="424"/>
      <c r="T60" s="424"/>
      <c r="U60" s="424"/>
      <c r="V60" s="424"/>
      <c r="W60" s="424"/>
      <c r="X60" s="441" t="s">
        <v>122</v>
      </c>
      <c r="Y60" s="441"/>
    </row>
    <row r="61" spans="2:25">
      <c r="B61" s="424"/>
      <c r="C61" s="424"/>
      <c r="D61" s="424"/>
      <c r="E61" s="424"/>
      <c r="F61" s="424"/>
      <c r="G61" s="424"/>
      <c r="H61" s="424"/>
      <c r="I61" s="424"/>
      <c r="J61" s="424"/>
      <c r="K61" s="424"/>
      <c r="L61" s="424"/>
      <c r="M61" s="424"/>
      <c r="N61" s="424"/>
      <c r="O61" s="424"/>
      <c r="P61" s="424"/>
      <c r="Q61" s="424"/>
      <c r="R61" s="424"/>
      <c r="S61" s="424"/>
      <c r="T61" s="424"/>
      <c r="U61" s="424"/>
      <c r="V61" s="424"/>
      <c r="W61" s="424"/>
      <c r="X61" s="441"/>
      <c r="Y61" s="441"/>
    </row>
    <row r="62" spans="2:25">
      <c r="B62" s="441" t="s">
        <v>74</v>
      </c>
      <c r="C62" s="441"/>
      <c r="D62" s="424" t="s">
        <v>76</v>
      </c>
      <c r="E62" s="424"/>
      <c r="F62" s="426" t="s">
        <v>116</v>
      </c>
      <c r="G62" s="427"/>
      <c r="H62" s="424" t="s">
        <v>77</v>
      </c>
      <c r="I62" s="424"/>
      <c r="J62" s="424" t="s">
        <v>78</v>
      </c>
      <c r="K62" s="424"/>
      <c r="L62" s="424" t="s">
        <v>79</v>
      </c>
      <c r="M62" s="424"/>
      <c r="N62" s="435" t="s">
        <v>123</v>
      </c>
      <c r="O62" s="424"/>
      <c r="P62" s="424" t="s">
        <v>77</v>
      </c>
      <c r="Q62" s="424"/>
      <c r="R62" s="424" t="s">
        <v>79</v>
      </c>
      <c r="S62" s="424"/>
      <c r="T62" s="435" t="s">
        <v>124</v>
      </c>
      <c r="U62" s="424"/>
      <c r="V62" s="424" t="s">
        <v>79</v>
      </c>
      <c r="W62" s="424"/>
      <c r="X62" s="441"/>
      <c r="Y62" s="441"/>
    </row>
    <row r="63" spans="2:25">
      <c r="B63" s="441"/>
      <c r="C63" s="441"/>
      <c r="D63" s="424"/>
      <c r="E63" s="424"/>
      <c r="F63" s="428"/>
      <c r="G63" s="429"/>
      <c r="H63" s="424"/>
      <c r="I63" s="424"/>
      <c r="J63" s="424"/>
      <c r="K63" s="424"/>
      <c r="L63" s="424"/>
      <c r="M63" s="424"/>
      <c r="N63" s="424"/>
      <c r="O63" s="424"/>
      <c r="P63" s="424"/>
      <c r="Q63" s="424"/>
      <c r="R63" s="424"/>
      <c r="S63" s="424"/>
      <c r="T63" s="424"/>
      <c r="U63" s="424"/>
      <c r="V63" s="424"/>
      <c r="W63" s="424"/>
      <c r="X63" s="441"/>
      <c r="Y63" s="441"/>
    </row>
    <row r="64" spans="2:25">
      <c r="B64" s="43" t="e">
        <f>DataSheet!AM106</f>
        <v>#DIV/0!</v>
      </c>
      <c r="C64" s="46" t="str">
        <f>DataSheet!P106</f>
        <v>A</v>
      </c>
      <c r="D64" s="32" t="e">
        <f>ABS((DataSheet!AM106*2.2%)+(5*DataSheet!CK106))</f>
        <v>#DIV/0!</v>
      </c>
      <c r="E64" s="35" t="str">
        <f t="shared" ref="E64:E66" si="50">C64</f>
        <v>A</v>
      </c>
      <c r="F64" s="36" t="e">
        <f>DataSheet!DD106</f>
        <v>#DIV/0!</v>
      </c>
      <c r="G64" s="33" t="str">
        <f>C64</f>
        <v>A</v>
      </c>
      <c r="H64" s="430" t="e">
        <f>DataSheet!L106+D64</f>
        <v>#DIV/0!</v>
      </c>
      <c r="I64" s="430"/>
      <c r="J64" s="430" t="e">
        <f>DataSheet!L106-D64</f>
        <v>#DIV/0!</v>
      </c>
      <c r="K64" s="430"/>
      <c r="L64" s="423" t="e">
        <f t="shared" ref="L64:L66" si="51">IF(AND(B64&lt;=H64,B64&gt;=J64),"PASSED","FAILED")</f>
        <v>#DIV/0!</v>
      </c>
      <c r="M64" s="423"/>
      <c r="N64" s="32" t="e">
        <f>DataSheet!DD106+B64</f>
        <v>#DIV/0!</v>
      </c>
      <c r="O64" s="33" t="str">
        <f t="shared" ref="O64:O66" si="52">G64</f>
        <v>A</v>
      </c>
      <c r="P64" s="32" t="e">
        <f t="shared" ref="P64" si="53">H64</f>
        <v>#DIV/0!</v>
      </c>
      <c r="Q64" s="33" t="str">
        <f t="shared" ref="Q64" si="54">O64</f>
        <v>A</v>
      </c>
      <c r="R64" s="439" t="e">
        <f t="shared" ref="R64:R66" si="55">IF(AND(N64&lt;=H64,N64&gt;=J64),"PASSED","FAILED")</f>
        <v>#DIV/0!</v>
      </c>
      <c r="S64" s="439"/>
      <c r="T64" s="32" t="e">
        <f t="shared" ref="T64:T66" si="56">-F64+B64</f>
        <v>#DIV/0!</v>
      </c>
      <c r="U64" s="35" t="str">
        <f t="shared" ref="U64:U66" si="57">O64</f>
        <v>A</v>
      </c>
      <c r="V64" s="433" t="e">
        <f t="shared" ref="V64:V66" si="58">IF(AND(T64&lt;=H64,T64&gt;=J64),"PASSED","FAILED")</f>
        <v>#DIV/0!</v>
      </c>
      <c r="W64" s="433"/>
      <c r="X64" s="440" t="e">
        <f>IF(AND(L64="PASSED",R64="PASSED",V64="PASSED"),"PASSED",IF(L64="FAILED","FAILED","UNDETERMINED"))</f>
        <v>#DIV/0!</v>
      </c>
      <c r="Y64" s="440"/>
    </row>
    <row r="65" spans="2:25">
      <c r="B65" s="43" t="e">
        <f>DataSheet!AM107</f>
        <v>#DIV/0!</v>
      </c>
      <c r="C65" s="46" t="str">
        <f>DataSheet!P107</f>
        <v>A</v>
      </c>
      <c r="D65" s="32" t="e">
        <f>ABS((DataSheet!AM107*2.2%)-(5*DataSheet!CK107))</f>
        <v>#DIV/0!</v>
      </c>
      <c r="E65" s="35" t="str">
        <f t="shared" si="50"/>
        <v>A</v>
      </c>
      <c r="F65" s="36" t="e">
        <f>DataSheet!DD107</f>
        <v>#DIV/0!</v>
      </c>
      <c r="G65" s="33" t="str">
        <f t="shared" ref="G65:G66" si="59">C65</f>
        <v>A</v>
      </c>
      <c r="H65" s="430" t="e">
        <f>DataSheet!L107+D65</f>
        <v>#DIV/0!</v>
      </c>
      <c r="I65" s="430"/>
      <c r="J65" s="430" t="e">
        <f>DataSheet!L107-D65</f>
        <v>#DIV/0!</v>
      </c>
      <c r="K65" s="430"/>
      <c r="L65" s="423" t="e">
        <f t="shared" si="51"/>
        <v>#DIV/0!</v>
      </c>
      <c r="M65" s="423"/>
      <c r="N65" s="32" t="e">
        <f>DataSheet!DD107+B65</f>
        <v>#DIV/0!</v>
      </c>
      <c r="O65" s="33" t="str">
        <f t="shared" si="52"/>
        <v>A</v>
      </c>
      <c r="P65" s="32" t="e">
        <f t="shared" ref="P65:P66" si="60">H65</f>
        <v>#DIV/0!</v>
      </c>
      <c r="Q65" s="33" t="str">
        <f t="shared" ref="Q65:Q66" si="61">O65</f>
        <v>A</v>
      </c>
      <c r="R65" s="439" t="e">
        <f t="shared" si="55"/>
        <v>#DIV/0!</v>
      </c>
      <c r="S65" s="439"/>
      <c r="T65" s="32" t="e">
        <f t="shared" si="56"/>
        <v>#DIV/0!</v>
      </c>
      <c r="U65" s="35" t="str">
        <f t="shared" si="57"/>
        <v>A</v>
      </c>
      <c r="V65" s="433" t="e">
        <f t="shared" si="58"/>
        <v>#DIV/0!</v>
      </c>
      <c r="W65" s="433"/>
      <c r="X65" s="440" t="e">
        <f>IF(AND(L65="PASSED",R65="PASSED",V65="PASSED"),"PASSED",IF(L65="FAILED","FAILED","UNDETERMINED"))</f>
        <v>#DIV/0!</v>
      </c>
      <c r="Y65" s="440"/>
    </row>
    <row r="66" spans="2:25">
      <c r="B66" s="41" t="e">
        <f>DataSheet!AM109</f>
        <v>#DIV/0!</v>
      </c>
      <c r="C66" s="46" t="str">
        <f>DataSheet!P109</f>
        <v>A</v>
      </c>
      <c r="D66" s="37" t="e">
        <f>ABS((DataSheet!AM109*2.2%)+(5*DataSheet!CK109))</f>
        <v>#DIV/0!</v>
      </c>
      <c r="E66" s="35" t="str">
        <f t="shared" si="50"/>
        <v>A</v>
      </c>
      <c r="F66" s="36" t="e">
        <f>DataSheet!DD109</f>
        <v>#DIV/0!</v>
      </c>
      <c r="G66" s="33" t="str">
        <f t="shared" si="59"/>
        <v>A</v>
      </c>
      <c r="H66" s="431" t="e">
        <f>DataSheet!L109+D66</f>
        <v>#DIV/0!</v>
      </c>
      <c r="I66" s="431"/>
      <c r="J66" s="431" t="e">
        <f>DataSheet!L109-D66</f>
        <v>#DIV/0!</v>
      </c>
      <c r="K66" s="431"/>
      <c r="L66" s="423" t="e">
        <f t="shared" si="51"/>
        <v>#DIV/0!</v>
      </c>
      <c r="M66" s="423"/>
      <c r="N66" s="37" t="e">
        <f>DataSheet!DD109+B66</f>
        <v>#DIV/0!</v>
      </c>
      <c r="O66" s="38" t="str">
        <f t="shared" si="52"/>
        <v>A</v>
      </c>
      <c r="P66" s="37" t="e">
        <f t="shared" si="60"/>
        <v>#DIV/0!</v>
      </c>
      <c r="Q66" s="38" t="str">
        <f t="shared" si="61"/>
        <v>A</v>
      </c>
      <c r="R66" s="434" t="e">
        <f t="shared" si="55"/>
        <v>#DIV/0!</v>
      </c>
      <c r="S66" s="434"/>
      <c r="T66" s="37" t="e">
        <f t="shared" si="56"/>
        <v>#DIV/0!</v>
      </c>
      <c r="U66" s="35" t="str">
        <f t="shared" si="57"/>
        <v>A</v>
      </c>
      <c r="V66" s="433" t="e">
        <f t="shared" si="58"/>
        <v>#DIV/0!</v>
      </c>
      <c r="W66" s="433"/>
      <c r="X66" s="440" t="e">
        <f>IF(AND(L66="PASSED",R66="PASSED",V66="PASSED"),"PASSED",IF(L66="FAILED","FAILED","UNDETERMINED"))</f>
        <v>#DIV/0!</v>
      </c>
      <c r="Y66" s="440"/>
    </row>
    <row r="67" spans="2:25">
      <c r="B67" s="424" t="str">
        <f>DataSheet!F111</f>
        <v>AC Current Test</v>
      </c>
      <c r="C67" s="424"/>
      <c r="D67" s="424"/>
      <c r="E67" s="424"/>
      <c r="F67" s="424"/>
      <c r="G67" s="424"/>
      <c r="H67" s="424"/>
      <c r="I67" s="424"/>
      <c r="J67" s="424"/>
      <c r="K67" s="424"/>
      <c r="L67" s="424"/>
      <c r="M67" s="424"/>
      <c r="N67" s="424"/>
      <c r="O67" s="424"/>
      <c r="P67" s="424"/>
      <c r="Q67" s="424"/>
      <c r="R67" s="424"/>
      <c r="S67" s="424"/>
      <c r="T67" s="424"/>
      <c r="U67" s="424"/>
      <c r="V67" s="424"/>
      <c r="W67" s="424"/>
      <c r="X67" s="441" t="s">
        <v>122</v>
      </c>
      <c r="Y67" s="441"/>
    </row>
    <row r="68" spans="2:25">
      <c r="B68" s="424"/>
      <c r="C68" s="424"/>
      <c r="D68" s="424"/>
      <c r="E68" s="424"/>
      <c r="F68" s="424"/>
      <c r="G68" s="424"/>
      <c r="H68" s="424"/>
      <c r="I68" s="424"/>
      <c r="J68" s="424"/>
      <c r="K68" s="424"/>
      <c r="L68" s="424"/>
      <c r="M68" s="424"/>
      <c r="N68" s="424"/>
      <c r="O68" s="424"/>
      <c r="P68" s="424"/>
      <c r="Q68" s="424"/>
      <c r="R68" s="424"/>
      <c r="S68" s="424"/>
      <c r="T68" s="424"/>
      <c r="U68" s="424"/>
      <c r="V68" s="424"/>
      <c r="W68" s="424"/>
      <c r="X68" s="441"/>
      <c r="Y68" s="441"/>
    </row>
    <row r="69" spans="2:25">
      <c r="B69" s="441" t="s">
        <v>74</v>
      </c>
      <c r="C69" s="441"/>
      <c r="D69" s="424" t="s">
        <v>76</v>
      </c>
      <c r="E69" s="424"/>
      <c r="F69" s="426" t="s">
        <v>116</v>
      </c>
      <c r="G69" s="427"/>
      <c r="H69" s="424" t="s">
        <v>77</v>
      </c>
      <c r="I69" s="424"/>
      <c r="J69" s="424" t="s">
        <v>78</v>
      </c>
      <c r="K69" s="424"/>
      <c r="L69" s="424" t="s">
        <v>79</v>
      </c>
      <c r="M69" s="424"/>
      <c r="N69" s="435" t="s">
        <v>123</v>
      </c>
      <c r="O69" s="424"/>
      <c r="P69" s="424" t="s">
        <v>77</v>
      </c>
      <c r="Q69" s="424"/>
      <c r="R69" s="424" t="s">
        <v>79</v>
      </c>
      <c r="S69" s="424"/>
      <c r="T69" s="435" t="s">
        <v>124</v>
      </c>
      <c r="U69" s="424"/>
      <c r="V69" s="424" t="s">
        <v>79</v>
      </c>
      <c r="W69" s="424"/>
      <c r="X69" s="441"/>
      <c r="Y69" s="441"/>
    </row>
    <row r="70" spans="2:25">
      <c r="B70" s="441"/>
      <c r="C70" s="441"/>
      <c r="D70" s="424"/>
      <c r="E70" s="424"/>
      <c r="F70" s="428"/>
      <c r="G70" s="429"/>
      <c r="H70" s="424"/>
      <c r="I70" s="424"/>
      <c r="J70" s="424"/>
      <c r="K70" s="424"/>
      <c r="L70" s="424"/>
      <c r="M70" s="424"/>
      <c r="N70" s="424"/>
      <c r="O70" s="424"/>
      <c r="P70" s="424"/>
      <c r="Q70" s="424"/>
      <c r="R70" s="424"/>
      <c r="S70" s="424"/>
      <c r="T70" s="424"/>
      <c r="U70" s="424"/>
      <c r="V70" s="424"/>
      <c r="W70" s="424"/>
      <c r="X70" s="441"/>
      <c r="Y70" s="441"/>
    </row>
    <row r="71" spans="2:25">
      <c r="B71" s="43" t="e">
        <f>DataSheet!AM114</f>
        <v>#DIV/0!</v>
      </c>
      <c r="C71" s="44" t="str">
        <f>DataSheet!P114</f>
        <v>A</v>
      </c>
      <c r="D71" s="32" t="e">
        <f>ABS((DataSheet!AM114*2.8%)+(5*DataSheet!CK114))</f>
        <v>#DIV/0!</v>
      </c>
      <c r="E71" s="35" t="str">
        <f t="shared" ref="E71:E74" si="62">C71</f>
        <v>A</v>
      </c>
      <c r="F71" s="36" t="e">
        <f>DataSheet!DD114</f>
        <v>#DIV/0!</v>
      </c>
      <c r="G71" s="33" t="str">
        <f>C71</f>
        <v>A</v>
      </c>
      <c r="H71" s="430" t="e">
        <f>DataSheet!L114+D71</f>
        <v>#DIV/0!</v>
      </c>
      <c r="I71" s="430"/>
      <c r="J71" s="430" t="e">
        <f>DataSheet!L114-D71</f>
        <v>#DIV/0!</v>
      </c>
      <c r="K71" s="430"/>
      <c r="L71" s="423" t="e">
        <f t="shared" ref="L71:L74" si="63">IF(AND(B71&lt;=H71,B71&gt;=J71),"PASSED","FAILED")</f>
        <v>#DIV/0!</v>
      </c>
      <c r="M71" s="423"/>
      <c r="N71" s="32" t="e">
        <f>DataSheet!DD114+B71</f>
        <v>#DIV/0!</v>
      </c>
      <c r="O71" s="33" t="str">
        <f t="shared" ref="O71:O74" si="64">G71</f>
        <v>A</v>
      </c>
      <c r="P71" s="32" t="e">
        <f t="shared" ref="P71" si="65">H71</f>
        <v>#DIV/0!</v>
      </c>
      <c r="Q71" s="33" t="str">
        <f t="shared" ref="Q71" si="66">O71</f>
        <v>A</v>
      </c>
      <c r="R71" s="439" t="e">
        <f t="shared" ref="R71:R74" si="67">IF(AND(N71&lt;=H71,N71&gt;=J71),"PASSED","FAILED")</f>
        <v>#DIV/0!</v>
      </c>
      <c r="S71" s="439"/>
      <c r="T71" s="32" t="e">
        <f t="shared" ref="T71:T74" si="68">-F71+B71</f>
        <v>#DIV/0!</v>
      </c>
      <c r="U71" s="33" t="str">
        <f t="shared" ref="U71:U74" si="69">O71</f>
        <v>A</v>
      </c>
      <c r="V71" s="433" t="e">
        <f t="shared" ref="V71:V74" si="70">IF(AND(T71&lt;=H71,T71&gt;=J71),"PASSED","FAILED")</f>
        <v>#DIV/0!</v>
      </c>
      <c r="W71" s="433"/>
      <c r="X71" s="440" t="e">
        <f>IF(AND(L71="PASSED",R71="PASSED",V71="PASSED"),"PASSED",IF(L71="FAILED","FAILED","UNDETERMINED"))</f>
        <v>#DIV/0!</v>
      </c>
      <c r="Y71" s="440"/>
    </row>
    <row r="72" spans="2:25">
      <c r="B72" s="43" t="e">
        <f>DataSheet!AM115</f>
        <v>#DIV/0!</v>
      </c>
      <c r="C72" s="44" t="str">
        <f>DataSheet!P115</f>
        <v>A</v>
      </c>
      <c r="D72" s="32" t="e">
        <f>ABS((DataSheet!AM115*2.8%)+(5*DataSheet!CK115))</f>
        <v>#DIV/0!</v>
      </c>
      <c r="E72" s="35" t="str">
        <f t="shared" si="62"/>
        <v>A</v>
      </c>
      <c r="F72" s="36" t="e">
        <f>DataSheet!DD115</f>
        <v>#DIV/0!</v>
      </c>
      <c r="G72" s="33" t="str">
        <f t="shared" ref="G72:G74" si="71">C72</f>
        <v>A</v>
      </c>
      <c r="H72" s="430" t="e">
        <f>DataSheet!L115+D72</f>
        <v>#DIV/0!</v>
      </c>
      <c r="I72" s="430"/>
      <c r="J72" s="430" t="e">
        <f>DataSheet!L115-D72</f>
        <v>#DIV/0!</v>
      </c>
      <c r="K72" s="430"/>
      <c r="L72" s="423" t="e">
        <f t="shared" si="63"/>
        <v>#DIV/0!</v>
      </c>
      <c r="M72" s="423"/>
      <c r="N72" s="32" t="e">
        <f>DataSheet!DD115+B72</f>
        <v>#DIV/0!</v>
      </c>
      <c r="O72" s="33" t="str">
        <f t="shared" si="64"/>
        <v>A</v>
      </c>
      <c r="P72" s="32" t="e">
        <f t="shared" ref="P72:P73" si="72">H72</f>
        <v>#DIV/0!</v>
      </c>
      <c r="Q72" s="33" t="str">
        <f t="shared" ref="Q72:Q73" si="73">O72</f>
        <v>A</v>
      </c>
      <c r="R72" s="439" t="e">
        <f t="shared" si="67"/>
        <v>#DIV/0!</v>
      </c>
      <c r="S72" s="439"/>
      <c r="T72" s="32" t="e">
        <f t="shared" si="68"/>
        <v>#DIV/0!</v>
      </c>
      <c r="U72" s="33" t="str">
        <f t="shared" si="69"/>
        <v>A</v>
      </c>
      <c r="V72" s="433" t="e">
        <f t="shared" si="70"/>
        <v>#DIV/0!</v>
      </c>
      <c r="W72" s="433"/>
      <c r="X72" s="440" t="e">
        <f>IF(AND(L72="PASSED",R72="PASSED",V72="PASSED"),"PASSED",IF(L72="FAILED","FAILED","UNDETERMINED"))</f>
        <v>#DIV/0!</v>
      </c>
      <c r="Y72" s="440"/>
    </row>
    <row r="73" spans="2:25">
      <c r="B73" s="41" t="e">
        <f>DataSheet!AM116</f>
        <v>#DIV/0!</v>
      </c>
      <c r="C73" s="42" t="str">
        <f>DataSheet!P116</f>
        <v>A</v>
      </c>
      <c r="D73" s="37" t="e">
        <f>ABS((DataSheet!AM116*2.8%)+(5*DataSheet!CK116))</f>
        <v>#DIV/0!</v>
      </c>
      <c r="E73" s="35" t="str">
        <f t="shared" si="62"/>
        <v>A</v>
      </c>
      <c r="F73" s="36" t="e">
        <f>DataSheet!DD116</f>
        <v>#DIV/0!</v>
      </c>
      <c r="G73" s="33" t="str">
        <f t="shared" si="71"/>
        <v>A</v>
      </c>
      <c r="H73" s="431" t="e">
        <f>DataSheet!L116+D73</f>
        <v>#DIV/0!</v>
      </c>
      <c r="I73" s="431"/>
      <c r="J73" s="431" t="e">
        <f>DataSheet!L116-D73</f>
        <v>#DIV/0!</v>
      </c>
      <c r="K73" s="431"/>
      <c r="L73" s="423" t="e">
        <f t="shared" si="63"/>
        <v>#DIV/0!</v>
      </c>
      <c r="M73" s="423"/>
      <c r="N73" s="37" t="e">
        <f>DataSheet!DD116+B73</f>
        <v>#DIV/0!</v>
      </c>
      <c r="O73" s="38" t="str">
        <f t="shared" si="64"/>
        <v>A</v>
      </c>
      <c r="P73" s="37" t="e">
        <f t="shared" si="72"/>
        <v>#DIV/0!</v>
      </c>
      <c r="Q73" s="38" t="str">
        <f t="shared" si="73"/>
        <v>A</v>
      </c>
      <c r="R73" s="434" t="e">
        <f t="shared" si="67"/>
        <v>#DIV/0!</v>
      </c>
      <c r="S73" s="434"/>
      <c r="T73" s="37" t="e">
        <f t="shared" si="68"/>
        <v>#DIV/0!</v>
      </c>
      <c r="U73" s="35" t="str">
        <f t="shared" si="69"/>
        <v>A</v>
      </c>
      <c r="V73" s="433" t="e">
        <f t="shared" si="70"/>
        <v>#DIV/0!</v>
      </c>
      <c r="W73" s="433"/>
      <c r="X73" s="440" t="e">
        <f>IF(AND(L73="PASSED",R73="PASSED",V73="PASSED"),"PASSED",IF(L73="FAILED","FAILED","UNDETERMINED"))</f>
        <v>#DIV/0!</v>
      </c>
      <c r="Y73" s="440"/>
    </row>
    <row r="74" spans="2:25">
      <c r="B74" s="41" t="e">
        <f>DataSheet!AM117</f>
        <v>#DIV/0!</v>
      </c>
      <c r="C74" s="42" t="str">
        <f>DataSheet!P117</f>
        <v>A</v>
      </c>
      <c r="D74" s="37" t="e">
        <f>ABS((DataSheet!AM117*2.8%)+(5*DataSheet!CK117))</f>
        <v>#DIV/0!</v>
      </c>
      <c r="E74" s="35" t="str">
        <f t="shared" si="62"/>
        <v>A</v>
      </c>
      <c r="F74" s="36" t="e">
        <f>DataSheet!DD117</f>
        <v>#DIV/0!</v>
      </c>
      <c r="G74" s="33" t="str">
        <f t="shared" si="71"/>
        <v>A</v>
      </c>
      <c r="H74" s="431" t="e">
        <f>DataSheet!L117+D74</f>
        <v>#DIV/0!</v>
      </c>
      <c r="I74" s="431"/>
      <c r="J74" s="431" t="e">
        <f>DataSheet!L117-D74</f>
        <v>#DIV/0!</v>
      </c>
      <c r="K74" s="431"/>
      <c r="L74" s="423" t="e">
        <f t="shared" si="63"/>
        <v>#DIV/0!</v>
      </c>
      <c r="M74" s="423"/>
      <c r="N74" s="37" t="e">
        <f>DataSheet!DD117+B74</f>
        <v>#DIV/0!</v>
      </c>
      <c r="O74" s="38" t="str">
        <f t="shared" si="64"/>
        <v>A</v>
      </c>
      <c r="P74" s="37" t="e">
        <f t="shared" ref="P74" si="74">H74</f>
        <v>#DIV/0!</v>
      </c>
      <c r="Q74" s="38" t="str">
        <f t="shared" ref="Q74" si="75">O74</f>
        <v>A</v>
      </c>
      <c r="R74" s="434" t="e">
        <f t="shared" si="67"/>
        <v>#DIV/0!</v>
      </c>
      <c r="S74" s="434"/>
      <c r="T74" s="37" t="e">
        <f t="shared" si="68"/>
        <v>#DIV/0!</v>
      </c>
      <c r="U74" s="35" t="str">
        <f t="shared" si="69"/>
        <v>A</v>
      </c>
      <c r="V74" s="433" t="e">
        <f t="shared" si="70"/>
        <v>#DIV/0!</v>
      </c>
      <c r="W74" s="433"/>
      <c r="X74" s="440" t="e">
        <f>IF(AND(L74="PASSED",R74="PASSED",V74="PASSED"),"PASSED",IF(L74="FAILED","FAILED","UNDETERMINED"))</f>
        <v>#DIV/0!</v>
      </c>
      <c r="Y74" s="440"/>
    </row>
    <row r="75" spans="2:25">
      <c r="D75" s="31"/>
      <c r="E75" s="31"/>
      <c r="F75" s="31"/>
      <c r="G75" s="31"/>
      <c r="H75" s="31"/>
      <c r="I75" s="31"/>
      <c r="J75" s="31"/>
      <c r="K75" s="31"/>
      <c r="L75" s="31"/>
      <c r="M75" s="31"/>
      <c r="N75" s="31"/>
      <c r="O75" s="31"/>
      <c r="P75" s="31"/>
      <c r="Q75" s="31"/>
      <c r="T75" s="31"/>
      <c r="U75" s="31"/>
    </row>
  </sheetData>
  <sheetProtection password="CAF0" sheet="1" objects="1" scenarios="1"/>
  <mergeCells count="329">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8:Y38"/>
    <mergeCell ref="X39:Y39"/>
    <mergeCell ref="X24:Y24"/>
    <mergeCell ref="X25:Y25"/>
    <mergeCell ref="X26:Y26"/>
    <mergeCell ref="X31:Y31"/>
    <mergeCell ref="X32:Y32"/>
    <mergeCell ref="X33:Y33"/>
    <mergeCell ref="X27:Y30"/>
    <mergeCell ref="X18:Y18"/>
    <mergeCell ref="X19:Y19"/>
    <mergeCell ref="X20:Y20"/>
    <mergeCell ref="X21:Y21"/>
    <mergeCell ref="X22:Y22"/>
    <mergeCell ref="X23:Y23"/>
    <mergeCell ref="X12:Y12"/>
    <mergeCell ref="X13:Y13"/>
    <mergeCell ref="X14:Y14"/>
    <mergeCell ref="X15:Y15"/>
    <mergeCell ref="X16:Y16"/>
    <mergeCell ref="X17:Y17"/>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V31:W31"/>
    <mergeCell ref="V32:W32"/>
    <mergeCell ref="V26:W26"/>
    <mergeCell ref="V48:W48"/>
    <mergeCell ref="V45:W45"/>
    <mergeCell ref="V46:W46"/>
    <mergeCell ref="V43:W43"/>
    <mergeCell ref="V44:W44"/>
    <mergeCell ref="V41:W41"/>
    <mergeCell ref="V42:W42"/>
    <mergeCell ref="V39:W39"/>
    <mergeCell ref="V40:W40"/>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R72:S72"/>
    <mergeCell ref="R73:S73"/>
    <mergeCell ref="N69:O70"/>
    <mergeCell ref="P69:Q70"/>
    <mergeCell ref="R69:S70"/>
    <mergeCell ref="R71:S71"/>
    <mergeCell ref="R65:S65"/>
    <mergeCell ref="R66:S66"/>
    <mergeCell ref="N62:O63"/>
    <mergeCell ref="P62:Q63"/>
    <mergeCell ref="R62:S63"/>
    <mergeCell ref="R64:S64"/>
    <mergeCell ref="R34:S34"/>
    <mergeCell ref="R31:S31"/>
    <mergeCell ref="R32:S32"/>
    <mergeCell ref="R26:S26"/>
    <mergeCell ref="N29:O30"/>
    <mergeCell ref="P29:Q30"/>
    <mergeCell ref="R29:S30"/>
    <mergeCell ref="R24:S24"/>
    <mergeCell ref="R25:S25"/>
    <mergeCell ref="R22:S22"/>
    <mergeCell ref="R23:S23"/>
    <mergeCell ref="R20:S20"/>
    <mergeCell ref="R21:S21"/>
    <mergeCell ref="R18:S18"/>
    <mergeCell ref="R19:S19"/>
    <mergeCell ref="R16:S16"/>
    <mergeCell ref="R17:S17"/>
    <mergeCell ref="R14:S14"/>
    <mergeCell ref="R15:S15"/>
    <mergeCell ref="R12:S12"/>
    <mergeCell ref="R13:S13"/>
    <mergeCell ref="R10:S10"/>
    <mergeCell ref="R11:S11"/>
    <mergeCell ref="N7:O9"/>
    <mergeCell ref="P7:Q9"/>
    <mergeCell ref="R7:S9"/>
    <mergeCell ref="B3:G4"/>
    <mergeCell ref="H3:M4"/>
    <mergeCell ref="N3:W4"/>
    <mergeCell ref="T7:U9"/>
    <mergeCell ref="V7:W9"/>
    <mergeCell ref="H73:I73"/>
    <mergeCell ref="J73:K73"/>
    <mergeCell ref="L73:M73"/>
    <mergeCell ref="H74:I74"/>
    <mergeCell ref="J74:K74"/>
    <mergeCell ref="L74:M74"/>
    <mergeCell ref="H71:I71"/>
    <mergeCell ref="J71:K71"/>
    <mergeCell ref="L71:M71"/>
    <mergeCell ref="H72:I72"/>
    <mergeCell ref="J72:K72"/>
    <mergeCell ref="L72:M72"/>
    <mergeCell ref="H66:I66"/>
    <mergeCell ref="J66:K66"/>
    <mergeCell ref="L66:M66"/>
    <mergeCell ref="D69:E70"/>
    <mergeCell ref="H69:I70"/>
    <mergeCell ref="J69:K70"/>
    <mergeCell ref="L69:M70"/>
    <mergeCell ref="B67:W68"/>
    <mergeCell ref="F69:G70"/>
    <mergeCell ref="H64:I64"/>
    <mergeCell ref="J64:K64"/>
    <mergeCell ref="L64:M64"/>
    <mergeCell ref="H65:I65"/>
    <mergeCell ref="J65:K65"/>
    <mergeCell ref="L65:M65"/>
    <mergeCell ref="H59:I59"/>
    <mergeCell ref="J59:K59"/>
    <mergeCell ref="L59:M59"/>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55:I55"/>
    <mergeCell ref="J55:K55"/>
    <mergeCell ref="L55:M55"/>
    <mergeCell ref="H56:I56"/>
    <mergeCell ref="J56:K56"/>
    <mergeCell ref="L56:M56"/>
    <mergeCell ref="H53:I53"/>
    <mergeCell ref="J53:K53"/>
    <mergeCell ref="L53:M53"/>
    <mergeCell ref="H54:I54"/>
    <mergeCell ref="J54:K54"/>
    <mergeCell ref="L54:M54"/>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44:I44"/>
    <mergeCell ref="J44:K44"/>
    <mergeCell ref="L44:M44"/>
    <mergeCell ref="H45:I45"/>
    <mergeCell ref="J45:K45"/>
    <mergeCell ref="L45:M45"/>
    <mergeCell ref="H42:I42"/>
    <mergeCell ref="J42:K42"/>
    <mergeCell ref="L42:M42"/>
    <mergeCell ref="H43:I43"/>
    <mergeCell ref="J43:K43"/>
    <mergeCell ref="L43:M43"/>
    <mergeCell ref="H40:I40"/>
    <mergeCell ref="J40:K40"/>
    <mergeCell ref="L40:M40"/>
    <mergeCell ref="H41:I41"/>
    <mergeCell ref="J41:K41"/>
    <mergeCell ref="L41:M41"/>
    <mergeCell ref="H38:I38"/>
    <mergeCell ref="J38:K38"/>
    <mergeCell ref="L38:M38"/>
    <mergeCell ref="H39:I39"/>
    <mergeCell ref="J39:K39"/>
    <mergeCell ref="L39:M39"/>
    <mergeCell ref="H36:I36"/>
    <mergeCell ref="J36:K36"/>
    <mergeCell ref="L36:M36"/>
    <mergeCell ref="H37:I37"/>
    <mergeCell ref="J37:K37"/>
    <mergeCell ref="L37:M37"/>
    <mergeCell ref="H34:I34"/>
    <mergeCell ref="J34:K34"/>
    <mergeCell ref="L34:M34"/>
    <mergeCell ref="H35:I35"/>
    <mergeCell ref="J35:K35"/>
    <mergeCell ref="L35:M35"/>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L25:M25"/>
    <mergeCell ref="L26:M26"/>
    <mergeCell ref="L23:M23"/>
    <mergeCell ref="L24:M24"/>
    <mergeCell ref="L21:M21"/>
    <mergeCell ref="L22:M22"/>
    <mergeCell ref="L19:M19"/>
    <mergeCell ref="L20:M20"/>
    <mergeCell ref="L17:M17"/>
    <mergeCell ref="L18:M18"/>
    <mergeCell ref="L15:M15"/>
    <mergeCell ref="L16:M16"/>
    <mergeCell ref="L13:M13"/>
    <mergeCell ref="L14:M14"/>
    <mergeCell ref="L11:M11"/>
    <mergeCell ref="L12:M12"/>
    <mergeCell ref="D7:E9"/>
    <mergeCell ref="H7:I9"/>
    <mergeCell ref="J7:K9"/>
    <mergeCell ref="L7:M9"/>
    <mergeCell ref="L10:M10"/>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27" zoomScale="85" zoomScaleNormal="85" workbookViewId="0">
      <selection activeCell="S31" sqref="S31"/>
    </sheetView>
  </sheetViews>
  <sheetFormatPr defaultColWidth="9.140625" defaultRowHeight="15"/>
  <cols>
    <col min="1" max="16384" width="9.140625" style="20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 (2)</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Juni Ilas</cp:lastModifiedBy>
  <cp:lastPrinted>2024-10-23T08:05:32Z</cp:lastPrinted>
  <dcterms:created xsi:type="dcterms:W3CDTF">2014-11-03T09:03:00Z</dcterms:created>
  <dcterms:modified xsi:type="dcterms:W3CDTF">2025-10-01T06:58:08Z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2024-07-17T09:13:49Z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98a30fa6-c6cd-4b6a-b4a4-85b9786ea9f3</vt:lpwstr>
  </property>
  <property fmtid="{D5CDD505-2E9C-101B-9397-08002B2CF9AE}" pid="9" name="MSIP_Label_defa4170-0d19-0005-0004-bc88714345d2_ContentBits">
    <vt:lpwstr>0</vt:lpwstr>
  </property>
</Properties>
</file>