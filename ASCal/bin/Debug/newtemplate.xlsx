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bneri\Documents\Visual Studio 2010\Projects\ASCal\ASCal\bin\Debug\"/>
    </mc:Choice>
  </mc:AlternateContent>
  <bookViews>
    <workbookView xWindow="0" yWindow="0" windowWidth="14205" windowHeight="9870"/>
  </bookViews>
  <sheets>
    <sheet name="DCV" sheetId="1" r:id="rId1"/>
    <sheet name="ACV" sheetId="2" r:id="rId2"/>
    <sheet name="Res" sheetId="3" r:id="rId3"/>
    <sheet name="DCC" sheetId="4" r:id="rId4"/>
    <sheet name="ACC" sheetId="5" r:id="rId5"/>
  </sheets>
  <definedNames>
    <definedName name="ak">DCV!$N$9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2" l="1"/>
  <c r="AB13" i="5"/>
  <c r="AA13" i="5"/>
  <c r="AC13" i="5" s="1"/>
  <c r="Z13" i="5"/>
  <c r="V13" i="5"/>
  <c r="W13" i="5" s="1"/>
  <c r="T13" i="5"/>
  <c r="J13" i="5"/>
  <c r="AB12" i="5"/>
  <c r="AA12" i="5"/>
  <c r="AC12" i="5" s="1"/>
  <c r="Z12" i="5"/>
  <c r="V12" i="5"/>
  <c r="W12" i="5" s="1"/>
  <c r="T12" i="5"/>
  <c r="J12" i="5"/>
  <c r="AB11" i="5"/>
  <c r="AA11" i="5"/>
  <c r="AC11" i="5" s="1"/>
  <c r="Z11" i="5"/>
  <c r="V11" i="5"/>
  <c r="W11" i="5" s="1"/>
  <c r="T11" i="5"/>
  <c r="J11" i="5"/>
  <c r="AB10" i="5"/>
  <c r="AA10" i="5"/>
  <c r="AC10" i="5" s="1"/>
  <c r="Z10" i="5"/>
  <c r="V10" i="5"/>
  <c r="W10" i="5" s="1"/>
  <c r="T10" i="5"/>
  <c r="J10" i="5"/>
  <c r="AB9" i="5"/>
  <c r="AA9" i="5"/>
  <c r="AC9" i="5" s="1"/>
  <c r="Z9" i="5"/>
  <c r="V9" i="5"/>
  <c r="W9" i="5" s="1"/>
  <c r="T9" i="5"/>
  <c r="J9" i="5"/>
  <c r="AB8" i="5"/>
  <c r="AA8" i="5"/>
  <c r="AC8" i="5" s="1"/>
  <c r="Z8" i="5"/>
  <c r="V8" i="5"/>
  <c r="W8" i="5" s="1"/>
  <c r="T8" i="5"/>
  <c r="J8" i="5"/>
  <c r="AB7" i="5"/>
  <c r="AA7" i="5"/>
  <c r="AC7" i="5" s="1"/>
  <c r="Z7" i="5"/>
  <c r="V7" i="5"/>
  <c r="W7" i="5" s="1"/>
  <c r="T7" i="5"/>
  <c r="J7" i="5"/>
  <c r="AB6" i="5"/>
  <c r="AA6" i="5"/>
  <c r="AC6" i="5" s="1"/>
  <c r="Z6" i="5"/>
  <c r="V6" i="5"/>
  <c r="W6" i="5" s="1"/>
  <c r="T6" i="5"/>
  <c r="J6" i="5"/>
  <c r="AB5" i="5"/>
  <c r="AA5" i="5"/>
  <c r="AC5" i="5" s="1"/>
  <c r="Z5" i="5"/>
  <c r="V5" i="5"/>
  <c r="W5" i="5" s="1"/>
  <c r="T5" i="5"/>
  <c r="J5" i="5"/>
  <c r="AB4" i="5"/>
  <c r="AA4" i="5"/>
  <c r="AC4" i="5" s="1"/>
  <c r="Z4" i="5"/>
  <c r="V4" i="5"/>
  <c r="W4" i="5" s="1"/>
  <c r="T4" i="5"/>
  <c r="J4" i="5"/>
  <c r="AB3" i="5"/>
  <c r="AA3" i="5"/>
  <c r="AC3" i="5" s="1"/>
  <c r="Z3" i="5"/>
  <c r="V3" i="5"/>
  <c r="W3" i="5" s="1"/>
  <c r="T3" i="5"/>
  <c r="J3" i="5"/>
  <c r="AB2" i="5"/>
  <c r="AA2" i="5"/>
  <c r="AC2" i="5" s="1"/>
  <c r="Z2" i="5"/>
  <c r="V2" i="5"/>
  <c r="W2" i="5" s="1"/>
  <c r="T2" i="5"/>
  <c r="J2" i="5"/>
  <c r="AC10" i="4"/>
  <c r="AB10" i="4"/>
  <c r="AA10" i="4"/>
  <c r="Z10" i="4"/>
  <c r="V10" i="4"/>
  <c r="W10" i="4" s="1"/>
  <c r="T10" i="4"/>
  <c r="N10" i="4"/>
  <c r="P10" i="4" s="1"/>
  <c r="K10" i="4"/>
  <c r="J10" i="4"/>
  <c r="AC9" i="4"/>
  <c r="AB9" i="4"/>
  <c r="AA9" i="4"/>
  <c r="Z9" i="4"/>
  <c r="V9" i="4"/>
  <c r="W9" i="4" s="1"/>
  <c r="T9" i="4"/>
  <c r="N9" i="4"/>
  <c r="P9" i="4" s="1"/>
  <c r="K9" i="4"/>
  <c r="J9" i="4"/>
  <c r="AC8" i="4"/>
  <c r="AB8" i="4"/>
  <c r="AA8" i="4"/>
  <c r="Z8" i="4"/>
  <c r="V8" i="4"/>
  <c r="W8" i="4" s="1"/>
  <c r="T8" i="4"/>
  <c r="N8" i="4"/>
  <c r="P8" i="4" s="1"/>
  <c r="K8" i="4"/>
  <c r="J8" i="4"/>
  <c r="AC7" i="4"/>
  <c r="AB7" i="4"/>
  <c r="AA7" i="4"/>
  <c r="Z7" i="4"/>
  <c r="W7" i="4"/>
  <c r="V7" i="4"/>
  <c r="T7" i="4"/>
  <c r="N7" i="4"/>
  <c r="P7" i="4" s="1"/>
  <c r="J7" i="4"/>
  <c r="K7" i="4" s="1"/>
  <c r="AC6" i="4"/>
  <c r="AB6" i="4"/>
  <c r="AA6" i="4"/>
  <c r="Z6" i="4"/>
  <c r="V6" i="4"/>
  <c r="W6" i="4" s="1"/>
  <c r="T6" i="4"/>
  <c r="N6" i="4"/>
  <c r="P6" i="4" s="1"/>
  <c r="K6" i="4"/>
  <c r="J6" i="4"/>
  <c r="AC5" i="4"/>
  <c r="AB5" i="4"/>
  <c r="AA5" i="4"/>
  <c r="Z5" i="4"/>
  <c r="V5" i="4"/>
  <c r="W5" i="4" s="1"/>
  <c r="T5" i="4"/>
  <c r="N5" i="4"/>
  <c r="P5" i="4" s="1"/>
  <c r="K5" i="4"/>
  <c r="J5" i="4"/>
  <c r="AC4" i="4"/>
  <c r="AB4" i="4"/>
  <c r="AA4" i="4"/>
  <c r="Z4" i="4"/>
  <c r="V4" i="4"/>
  <c r="W4" i="4" s="1"/>
  <c r="T4" i="4"/>
  <c r="N4" i="4"/>
  <c r="O4" i="4" s="1"/>
  <c r="K4" i="4"/>
  <c r="J4" i="4"/>
  <c r="AC3" i="4"/>
  <c r="AB3" i="4"/>
  <c r="AA3" i="4"/>
  <c r="Z3" i="4"/>
  <c r="W3" i="4"/>
  <c r="V3" i="4"/>
  <c r="T3" i="4"/>
  <c r="J3" i="4"/>
  <c r="N3" i="4" s="1"/>
  <c r="AC2" i="4"/>
  <c r="AB2" i="4"/>
  <c r="AA2" i="4"/>
  <c r="Z2" i="4"/>
  <c r="V2" i="4"/>
  <c r="W2" i="4" s="1"/>
  <c r="T2" i="4"/>
  <c r="J2" i="4"/>
  <c r="N2" i="4" s="1"/>
  <c r="AB8" i="3"/>
  <c r="AA8" i="3"/>
  <c r="AC8" i="3" s="1"/>
  <c r="Z8" i="3"/>
  <c r="V8" i="3"/>
  <c r="W8" i="3" s="1"/>
  <c r="T8" i="3"/>
  <c r="N8" i="3"/>
  <c r="O8" i="3" s="1"/>
  <c r="K8" i="3"/>
  <c r="J8" i="3"/>
  <c r="AB7" i="3"/>
  <c r="AA7" i="3"/>
  <c r="AC7" i="3" s="1"/>
  <c r="Z7" i="3"/>
  <c r="W7" i="3"/>
  <c r="V7" i="3"/>
  <c r="T7" i="3"/>
  <c r="N7" i="3"/>
  <c r="P7" i="3" s="1"/>
  <c r="J7" i="3"/>
  <c r="K7" i="3" s="1"/>
  <c r="AC6" i="3"/>
  <c r="AB6" i="3"/>
  <c r="AA6" i="3"/>
  <c r="Z6" i="3"/>
  <c r="V6" i="3"/>
  <c r="W6" i="3" s="1"/>
  <c r="T6" i="3"/>
  <c r="N6" i="3"/>
  <c r="P6" i="3" s="1"/>
  <c r="J6" i="3"/>
  <c r="K6" i="3" s="1"/>
  <c r="AC5" i="3"/>
  <c r="AB5" i="3"/>
  <c r="AA5" i="3"/>
  <c r="Z5" i="3"/>
  <c r="W5" i="3"/>
  <c r="V5" i="3"/>
  <c r="T5" i="3"/>
  <c r="N5" i="3"/>
  <c r="P5" i="3" s="1"/>
  <c r="K5" i="3"/>
  <c r="J5" i="3"/>
  <c r="AC4" i="3"/>
  <c r="AB4" i="3"/>
  <c r="AA4" i="3"/>
  <c r="Z4" i="3"/>
  <c r="V4" i="3"/>
  <c r="W4" i="3" s="1"/>
  <c r="T4" i="3"/>
  <c r="N4" i="3"/>
  <c r="P4" i="3" s="1"/>
  <c r="K4" i="3"/>
  <c r="J4" i="3"/>
  <c r="AC3" i="3"/>
  <c r="AB3" i="3"/>
  <c r="AA3" i="3"/>
  <c r="Z3" i="3"/>
  <c r="W3" i="3"/>
  <c r="V3" i="3"/>
  <c r="T3" i="3"/>
  <c r="N3" i="3"/>
  <c r="O3" i="3" s="1"/>
  <c r="J3" i="3"/>
  <c r="K3" i="3" s="1"/>
  <c r="AB2" i="3"/>
  <c r="AA2" i="3"/>
  <c r="AC2" i="3" s="1"/>
  <c r="Z2" i="3"/>
  <c r="V2" i="3"/>
  <c r="W2" i="3" s="1"/>
  <c r="T2" i="3"/>
  <c r="N2" i="3"/>
  <c r="O2" i="3" s="1"/>
  <c r="K2" i="3"/>
  <c r="J2" i="3"/>
  <c r="J2" i="2"/>
  <c r="K2" i="2"/>
  <c r="T2" i="2"/>
  <c r="V2" i="2"/>
  <c r="Z2" i="2"/>
  <c r="AA2" i="2"/>
  <c r="AC2" i="2" s="1"/>
  <c r="AB2" i="2"/>
  <c r="J3" i="2"/>
  <c r="K3" i="2"/>
  <c r="T3" i="2"/>
  <c r="V3" i="2"/>
  <c r="W3" i="2" s="1"/>
  <c r="Z3" i="2"/>
  <c r="AA3" i="2"/>
  <c r="AC3" i="2" s="1"/>
  <c r="AB3" i="2"/>
  <c r="J4" i="2"/>
  <c r="K4" i="2"/>
  <c r="T4" i="2"/>
  <c r="V4" i="2"/>
  <c r="W4" i="2"/>
  <c r="Z4" i="2"/>
  <c r="AA4" i="2"/>
  <c r="AC4" i="2" s="1"/>
  <c r="AB4" i="2"/>
  <c r="J5" i="2"/>
  <c r="N5" i="2" s="1"/>
  <c r="T5" i="2"/>
  <c r="V5" i="2"/>
  <c r="W5" i="2"/>
  <c r="Z5" i="2"/>
  <c r="AA5" i="2"/>
  <c r="AC5" i="2" s="1"/>
  <c r="AB5" i="2"/>
  <c r="J6" i="2"/>
  <c r="K6" i="2" s="1"/>
  <c r="T6" i="2"/>
  <c r="V6" i="2"/>
  <c r="W6" i="2" s="1"/>
  <c r="Z6" i="2"/>
  <c r="AA6" i="2"/>
  <c r="AC6" i="2" s="1"/>
  <c r="AB6" i="2"/>
  <c r="J7" i="2"/>
  <c r="K7" i="2" s="1"/>
  <c r="T7" i="2"/>
  <c r="V7" i="2"/>
  <c r="W7" i="2" s="1"/>
  <c r="Z7" i="2"/>
  <c r="AA7" i="2"/>
  <c r="AC7" i="2" s="1"/>
  <c r="AB7" i="2"/>
  <c r="J8" i="2"/>
  <c r="K8" i="2" s="1"/>
  <c r="T8" i="2"/>
  <c r="V8" i="2"/>
  <c r="W8" i="2" s="1"/>
  <c r="Z8" i="2"/>
  <c r="AA8" i="2"/>
  <c r="AC8" i="2" s="1"/>
  <c r="AB8" i="2"/>
  <c r="J9" i="2"/>
  <c r="K9" i="2" s="1"/>
  <c r="T9" i="2"/>
  <c r="V9" i="2"/>
  <c r="W9" i="2" s="1"/>
  <c r="Z9" i="2"/>
  <c r="AA9" i="2"/>
  <c r="AC9" i="2" s="1"/>
  <c r="AB9" i="2"/>
  <c r="J10" i="2"/>
  <c r="N10" i="2" s="1"/>
  <c r="K10" i="2"/>
  <c r="T10" i="2"/>
  <c r="V10" i="2"/>
  <c r="W10" i="2" s="1"/>
  <c r="Z10" i="2"/>
  <c r="AA10" i="2"/>
  <c r="AC10" i="2" s="1"/>
  <c r="AB10" i="2"/>
  <c r="J11" i="2"/>
  <c r="N11" i="2" s="1"/>
  <c r="K11" i="2"/>
  <c r="T11" i="2"/>
  <c r="V11" i="2"/>
  <c r="W11" i="2" s="1"/>
  <c r="Z11" i="2"/>
  <c r="AA11" i="2"/>
  <c r="AC11" i="2" s="1"/>
  <c r="AB11" i="2"/>
  <c r="J12" i="2"/>
  <c r="N12" i="2" s="1"/>
  <c r="K12" i="2"/>
  <c r="T12" i="2"/>
  <c r="V12" i="2"/>
  <c r="W12" i="2"/>
  <c r="Z12" i="2"/>
  <c r="AA12" i="2"/>
  <c r="AC12" i="2" s="1"/>
  <c r="AB12" i="2"/>
  <c r="J13" i="2"/>
  <c r="K13" i="2" s="1"/>
  <c r="T13" i="2"/>
  <c r="V13" i="2"/>
  <c r="W13" i="2"/>
  <c r="Z13" i="2"/>
  <c r="AA13" i="2"/>
  <c r="AB13" i="2"/>
  <c r="AC13" i="2"/>
  <c r="J14" i="2"/>
  <c r="N14" i="2" s="1"/>
  <c r="K14" i="2"/>
  <c r="T14" i="2"/>
  <c r="V14" i="2"/>
  <c r="W14" i="2" s="1"/>
  <c r="Z14" i="2"/>
  <c r="AA14" i="2"/>
  <c r="AB14" i="2"/>
  <c r="AC14" i="2"/>
  <c r="J15" i="2"/>
  <c r="N15" i="2" s="1"/>
  <c r="K15" i="2"/>
  <c r="T15" i="2"/>
  <c r="V15" i="2"/>
  <c r="W15" i="2"/>
  <c r="Z15" i="2"/>
  <c r="AA15" i="2"/>
  <c r="AB15" i="2"/>
  <c r="AC15" i="2"/>
  <c r="J16" i="2"/>
  <c r="K16" i="2" s="1"/>
  <c r="N16" i="2"/>
  <c r="O16" i="2" s="1"/>
  <c r="T16" i="2"/>
  <c r="V16" i="2"/>
  <c r="W16" i="2" s="1"/>
  <c r="Z16" i="2"/>
  <c r="AA16" i="2"/>
  <c r="AB16" i="2"/>
  <c r="AC16" i="2"/>
  <c r="J17" i="2"/>
  <c r="K17" i="2" s="1"/>
  <c r="N17" i="2"/>
  <c r="O17" i="2" s="1"/>
  <c r="T17" i="2"/>
  <c r="V17" i="2"/>
  <c r="W17" i="2"/>
  <c r="Z17" i="2"/>
  <c r="AA17" i="2"/>
  <c r="AB17" i="2"/>
  <c r="AC17" i="2"/>
  <c r="J18" i="2"/>
  <c r="K18" i="2"/>
  <c r="N18" i="2"/>
  <c r="P18" i="2" s="1"/>
  <c r="O18" i="2"/>
  <c r="T18" i="2"/>
  <c r="V18" i="2"/>
  <c r="W18" i="2" s="1"/>
  <c r="Z18" i="2"/>
  <c r="AA18" i="2"/>
  <c r="AB18" i="2"/>
  <c r="AC18" i="2"/>
  <c r="J19" i="2"/>
  <c r="K19" i="2"/>
  <c r="N19" i="2"/>
  <c r="O19" i="2" s="1"/>
  <c r="T19" i="2"/>
  <c r="V19" i="2"/>
  <c r="W19" i="2"/>
  <c r="Z19" i="2"/>
  <c r="AA19" i="2"/>
  <c r="AB19" i="2"/>
  <c r="AC19" i="2"/>
  <c r="J20" i="2"/>
  <c r="N20" i="2"/>
  <c r="O20" i="2" s="1"/>
  <c r="T20" i="2"/>
  <c r="V20" i="2"/>
  <c r="W20" i="2"/>
  <c r="Z20" i="2"/>
  <c r="AA20" i="2"/>
  <c r="AC20" i="2" s="1"/>
  <c r="AB20" i="2"/>
  <c r="J21" i="2"/>
  <c r="K21" i="2"/>
  <c r="N21" i="2"/>
  <c r="P21" i="2" s="1"/>
  <c r="T21" i="2"/>
  <c r="V21" i="2"/>
  <c r="W21" i="2"/>
  <c r="Z21" i="2"/>
  <c r="AA21" i="2"/>
  <c r="AC21" i="2" s="1"/>
  <c r="AB21" i="2"/>
  <c r="J22" i="2"/>
  <c r="N22" i="2" s="1"/>
  <c r="T22" i="2"/>
  <c r="V22" i="2"/>
  <c r="W22" i="2" s="1"/>
  <c r="Z22" i="2"/>
  <c r="AA22" i="2"/>
  <c r="AC22" i="2" s="1"/>
  <c r="AB22" i="2"/>
  <c r="J23" i="2"/>
  <c r="T23" i="2"/>
  <c r="V23" i="2"/>
  <c r="W23" i="2"/>
  <c r="Z23" i="2"/>
  <c r="AA23" i="2"/>
  <c r="AC23" i="2" s="1"/>
  <c r="AB23" i="2"/>
  <c r="K4" i="5" l="1"/>
  <c r="K6" i="5"/>
  <c r="K7" i="5"/>
  <c r="K8" i="5"/>
  <c r="K9" i="5"/>
  <c r="K13" i="5"/>
  <c r="N2" i="5"/>
  <c r="N3" i="5"/>
  <c r="N4" i="5"/>
  <c r="N5" i="5"/>
  <c r="N6" i="5"/>
  <c r="N7" i="5"/>
  <c r="N8" i="5"/>
  <c r="N9" i="5"/>
  <c r="N10" i="5"/>
  <c r="N11" i="5"/>
  <c r="N12" i="5"/>
  <c r="N13" i="5"/>
  <c r="K5" i="5"/>
  <c r="K2" i="5"/>
  <c r="K3" i="5"/>
  <c r="K10" i="5"/>
  <c r="K11" i="5"/>
  <c r="K12" i="5"/>
  <c r="O6" i="4"/>
  <c r="Q6" i="4" s="1"/>
  <c r="P3" i="3"/>
  <c r="Q3" i="3" s="1"/>
  <c r="O5" i="3"/>
  <c r="Q5" i="3"/>
  <c r="O4" i="3"/>
  <c r="P2" i="3"/>
  <c r="Q2" i="3" s="1"/>
  <c r="O7" i="4"/>
  <c r="Q7" i="4" s="1"/>
  <c r="P4" i="4"/>
  <c r="Q4" i="4" s="1"/>
  <c r="O5" i="4"/>
  <c r="Q5" i="4" s="1"/>
  <c r="O2" i="4"/>
  <c r="P2" i="4"/>
  <c r="O3" i="4"/>
  <c r="P3" i="4"/>
  <c r="O9" i="4"/>
  <c r="Q9" i="4" s="1"/>
  <c r="O8" i="4"/>
  <c r="Q8" i="4" s="1"/>
  <c r="K2" i="4"/>
  <c r="K3" i="4"/>
  <c r="AD7" i="4"/>
  <c r="AE7" i="4" s="1"/>
  <c r="AF7" i="4" s="1"/>
  <c r="AG7" i="4" s="1"/>
  <c r="AI7" i="4" s="1"/>
  <c r="AD9" i="4"/>
  <c r="AE9" i="4" s="1"/>
  <c r="AF9" i="4" s="1"/>
  <c r="AG9" i="4" s="1"/>
  <c r="AI9" i="4" s="1"/>
  <c r="AD10" i="4"/>
  <c r="AE10" i="4" s="1"/>
  <c r="AF10" i="4" s="1"/>
  <c r="AG10" i="4" s="1"/>
  <c r="AI10" i="4" s="1"/>
  <c r="O10" i="4"/>
  <c r="Q10" i="4" s="1"/>
  <c r="Q4" i="3"/>
  <c r="O6" i="3"/>
  <c r="O7" i="3"/>
  <c r="Q6" i="3"/>
  <c r="Q7" i="3"/>
  <c r="P8" i="3"/>
  <c r="Q8" i="3" s="1"/>
  <c r="AD7" i="3"/>
  <c r="AE7" i="3" s="1"/>
  <c r="AF7" i="3" s="1"/>
  <c r="AG7" i="3" s="1"/>
  <c r="AI7" i="3" s="1"/>
  <c r="AD3" i="3"/>
  <c r="AE3" i="3" s="1"/>
  <c r="AF3" i="3" s="1"/>
  <c r="AG3" i="3" s="1"/>
  <c r="AI3" i="3" s="1"/>
  <c r="AD19" i="2"/>
  <c r="AE19" i="2" s="1"/>
  <c r="AF19" i="2" s="1"/>
  <c r="AG19" i="2" s="1"/>
  <c r="AI19" i="2" s="1"/>
  <c r="AD15" i="2"/>
  <c r="AE15" i="2" s="1"/>
  <c r="AF15" i="2" s="1"/>
  <c r="AG15" i="2" s="1"/>
  <c r="AI15" i="2" s="1"/>
  <c r="Q18" i="2"/>
  <c r="P19" i="2"/>
  <c r="Q19" i="2" s="1"/>
  <c r="P17" i="2"/>
  <c r="O21" i="2"/>
  <c r="Q21" i="2" s="1"/>
  <c r="P16" i="2"/>
  <c r="Q16" i="2" s="1"/>
  <c r="Q17" i="2"/>
  <c r="O5" i="2"/>
  <c r="P5" i="2"/>
  <c r="Q5" i="2" s="1"/>
  <c r="O10" i="2"/>
  <c r="P10" i="2"/>
  <c r="Q10" i="2" s="1"/>
  <c r="O22" i="2"/>
  <c r="P22" i="2"/>
  <c r="O11" i="2"/>
  <c r="P11" i="2"/>
  <c r="O15" i="2"/>
  <c r="P15" i="2"/>
  <c r="O14" i="2"/>
  <c r="P14" i="2"/>
  <c r="Q14" i="2" s="1"/>
  <c r="O12" i="2"/>
  <c r="P12" i="2"/>
  <c r="Q12" i="2" s="1"/>
  <c r="N23" i="2"/>
  <c r="P20" i="2"/>
  <c r="Q20" i="2" s="1"/>
  <c r="K23" i="2"/>
  <c r="K22" i="2"/>
  <c r="K5" i="2"/>
  <c r="N4" i="2"/>
  <c r="N3" i="2"/>
  <c r="N2" i="2"/>
  <c r="AD7" i="2"/>
  <c r="AE7" i="2" s="1"/>
  <c r="AF7" i="2" s="1"/>
  <c r="AG7" i="2" s="1"/>
  <c r="AI7" i="2" s="1"/>
  <c r="K20" i="2"/>
  <c r="N13" i="2"/>
  <c r="AD8" i="2"/>
  <c r="AE8" i="2" s="1"/>
  <c r="AF8" i="2" s="1"/>
  <c r="AG8" i="2" s="1"/>
  <c r="AI8" i="2" s="1"/>
  <c r="N9" i="2"/>
  <c r="N8" i="2"/>
  <c r="N7" i="2"/>
  <c r="N6" i="2"/>
  <c r="AD11" i="2"/>
  <c r="AE11" i="2" s="1"/>
  <c r="AF11" i="2" s="1"/>
  <c r="AG11" i="2" s="1"/>
  <c r="AI11" i="2" s="1"/>
  <c r="AD23" i="2"/>
  <c r="AE23" i="2" s="1"/>
  <c r="AF23" i="2" s="1"/>
  <c r="AG23" i="2" s="1"/>
  <c r="AI23" i="2" s="1"/>
  <c r="AD17" i="2"/>
  <c r="AE17" i="2" s="1"/>
  <c r="AF17" i="2" s="1"/>
  <c r="AG17" i="2" s="1"/>
  <c r="AI17" i="2" s="1"/>
  <c r="AD4" i="2"/>
  <c r="AE4" i="2" s="1"/>
  <c r="AF4" i="2" s="1"/>
  <c r="AG4" i="2" s="1"/>
  <c r="AI4" i="2" s="1"/>
  <c r="AD5" i="2"/>
  <c r="AE5" i="2" s="1"/>
  <c r="AF5" i="2" s="1"/>
  <c r="AG5" i="2" s="1"/>
  <c r="AI5" i="2" s="1"/>
  <c r="AD3" i="2"/>
  <c r="AE3" i="2" s="1"/>
  <c r="AF3" i="2" s="1"/>
  <c r="AG3" i="2" s="1"/>
  <c r="AI3" i="2" s="1"/>
  <c r="AD12" i="2"/>
  <c r="AE12" i="2" s="1"/>
  <c r="AF12" i="2" s="1"/>
  <c r="AG12" i="2" s="1"/>
  <c r="AI12" i="2" s="1"/>
  <c r="AD9" i="2"/>
  <c r="AE9" i="2" s="1"/>
  <c r="AF9" i="2" s="1"/>
  <c r="AG9" i="2" s="1"/>
  <c r="AI9" i="2" s="1"/>
  <c r="AD21" i="2"/>
  <c r="AE21" i="2" s="1"/>
  <c r="AF21" i="2" s="1"/>
  <c r="AG21" i="2" s="1"/>
  <c r="AI21" i="2" s="1"/>
  <c r="AD13" i="2"/>
  <c r="AE13" i="2" s="1"/>
  <c r="AF13" i="2" s="1"/>
  <c r="AG13" i="2" s="1"/>
  <c r="AI13" i="2" s="1"/>
  <c r="AD20" i="2"/>
  <c r="AE20" i="2" s="1"/>
  <c r="AF20" i="2" s="1"/>
  <c r="AG20" i="2" s="1"/>
  <c r="AI20" i="2" s="1"/>
  <c r="AD16" i="2"/>
  <c r="AE16" i="2" s="1"/>
  <c r="AF16" i="2" s="1"/>
  <c r="AG16" i="2" s="1"/>
  <c r="AI16" i="2" s="1"/>
  <c r="AD8" i="3"/>
  <c r="AE8" i="3" s="1"/>
  <c r="AF8" i="3" s="1"/>
  <c r="AG8" i="3" s="1"/>
  <c r="AI8" i="3" s="1"/>
  <c r="AD2" i="3"/>
  <c r="AE2" i="3" s="1"/>
  <c r="AF2" i="3" s="1"/>
  <c r="AG2" i="3" s="1"/>
  <c r="AI2" i="3" s="1"/>
  <c r="AD4" i="3"/>
  <c r="AE4" i="3" s="1"/>
  <c r="AF4" i="3" s="1"/>
  <c r="AG4" i="3" s="1"/>
  <c r="AI4" i="3" s="1"/>
  <c r="AD5" i="3"/>
  <c r="AE5" i="3" s="1"/>
  <c r="AF5" i="3" s="1"/>
  <c r="AG5" i="3" s="1"/>
  <c r="AI5" i="3" s="1"/>
  <c r="AD6" i="3"/>
  <c r="AE6" i="3" s="1"/>
  <c r="AF6" i="3" s="1"/>
  <c r="AG6" i="3" s="1"/>
  <c r="AI6" i="3" s="1"/>
  <c r="AD2" i="4"/>
  <c r="AE2" i="4" s="1"/>
  <c r="AF2" i="4" s="1"/>
  <c r="AG2" i="4" s="1"/>
  <c r="AI2" i="4" s="1"/>
  <c r="AD3" i="4"/>
  <c r="AE3" i="4" s="1"/>
  <c r="AF3" i="4" s="1"/>
  <c r="AG3" i="4" s="1"/>
  <c r="AI3" i="4" s="1"/>
  <c r="AD5" i="4"/>
  <c r="AE5" i="4" s="1"/>
  <c r="AF5" i="4" s="1"/>
  <c r="AG5" i="4" s="1"/>
  <c r="AI5" i="4" s="1"/>
  <c r="AD6" i="4"/>
  <c r="AE6" i="4" s="1"/>
  <c r="AF6" i="4" s="1"/>
  <c r="AG6" i="4" s="1"/>
  <c r="AI6" i="4" s="1"/>
  <c r="AD8" i="4"/>
  <c r="AE8" i="4" s="1"/>
  <c r="AF8" i="4" s="1"/>
  <c r="AG8" i="4" s="1"/>
  <c r="AI8" i="4" s="1"/>
  <c r="AD3" i="5"/>
  <c r="AE3" i="5" s="1"/>
  <c r="AF3" i="5" s="1"/>
  <c r="AG3" i="5" s="1"/>
  <c r="AI3" i="5" s="1"/>
  <c r="AD7" i="5"/>
  <c r="AE7" i="5" s="1"/>
  <c r="AF7" i="5" s="1"/>
  <c r="AG7" i="5" s="1"/>
  <c r="AI7" i="5" s="1"/>
  <c r="AD11" i="5"/>
  <c r="AE11" i="5" s="1"/>
  <c r="AF11" i="5" s="1"/>
  <c r="AG11" i="5" s="1"/>
  <c r="AI11" i="5" s="1"/>
  <c r="AD2" i="5"/>
  <c r="AE2" i="5" s="1"/>
  <c r="AF2" i="5" s="1"/>
  <c r="AG2" i="5" s="1"/>
  <c r="AI2" i="5" s="1"/>
  <c r="AD4" i="5"/>
  <c r="AE4" i="5" s="1"/>
  <c r="AF4" i="5" s="1"/>
  <c r="AG4" i="5" s="1"/>
  <c r="AI4" i="5" s="1"/>
  <c r="AD5" i="5"/>
  <c r="AE5" i="5" s="1"/>
  <c r="AF5" i="5" s="1"/>
  <c r="AG5" i="5" s="1"/>
  <c r="AI5" i="5" s="1"/>
  <c r="AD6" i="5"/>
  <c r="AE6" i="5" s="1"/>
  <c r="AF6" i="5" s="1"/>
  <c r="AG6" i="5" s="1"/>
  <c r="AI6" i="5" s="1"/>
  <c r="AD8" i="5"/>
  <c r="AE8" i="5" s="1"/>
  <c r="AF8" i="5" s="1"/>
  <c r="AG8" i="5" s="1"/>
  <c r="AI8" i="5" s="1"/>
  <c r="AD9" i="5"/>
  <c r="AE9" i="5" s="1"/>
  <c r="AF9" i="5" s="1"/>
  <c r="AG9" i="5" s="1"/>
  <c r="AI9" i="5" s="1"/>
  <c r="AD10" i="5"/>
  <c r="AE10" i="5" s="1"/>
  <c r="AF10" i="5" s="1"/>
  <c r="AG10" i="5" s="1"/>
  <c r="AI10" i="5" s="1"/>
  <c r="AD12" i="5"/>
  <c r="AE12" i="5" s="1"/>
  <c r="AF12" i="5" s="1"/>
  <c r="AG12" i="5" s="1"/>
  <c r="AI12" i="5" s="1"/>
  <c r="AD13" i="5"/>
  <c r="AE13" i="5" s="1"/>
  <c r="AF13" i="5" s="1"/>
  <c r="AG13" i="5" s="1"/>
  <c r="AI13" i="5" s="1"/>
  <c r="AD4" i="4"/>
  <c r="AE4" i="4" s="1"/>
  <c r="AF4" i="4" s="1"/>
  <c r="AG4" i="4" s="1"/>
  <c r="AI4" i="4" s="1"/>
  <c r="AD22" i="2"/>
  <c r="AE22" i="2" s="1"/>
  <c r="AF22" i="2" s="1"/>
  <c r="AG22" i="2" s="1"/>
  <c r="AI22" i="2" s="1"/>
  <c r="AD14" i="2"/>
  <c r="AE14" i="2" s="1"/>
  <c r="AF14" i="2" s="1"/>
  <c r="AG14" i="2" s="1"/>
  <c r="AI14" i="2" s="1"/>
  <c r="AD2" i="2"/>
  <c r="AE2" i="2" s="1"/>
  <c r="AF2" i="2" s="1"/>
  <c r="AG2" i="2" s="1"/>
  <c r="AI2" i="2" s="1"/>
  <c r="AD18" i="2"/>
  <c r="AE18" i="2" s="1"/>
  <c r="AF18" i="2" s="1"/>
  <c r="AG18" i="2" s="1"/>
  <c r="AI18" i="2" s="1"/>
  <c r="AD10" i="2"/>
  <c r="AE10" i="2" s="1"/>
  <c r="AF10" i="2" s="1"/>
  <c r="AG10" i="2" s="1"/>
  <c r="AI10" i="2" s="1"/>
  <c r="AD6" i="2"/>
  <c r="AE6" i="2" s="1"/>
  <c r="AF6" i="2" s="1"/>
  <c r="AG6" i="2" s="1"/>
  <c r="AI6" i="2" s="1"/>
  <c r="O6" i="5" l="1"/>
  <c r="P6" i="5"/>
  <c r="P13" i="5"/>
  <c r="O13" i="5"/>
  <c r="O5" i="5"/>
  <c r="P5" i="5"/>
  <c r="P11" i="5"/>
  <c r="O11" i="5"/>
  <c r="P3" i="5"/>
  <c r="O3" i="5"/>
  <c r="O10" i="5"/>
  <c r="P10" i="5"/>
  <c r="P2" i="5"/>
  <c r="O2" i="5"/>
  <c r="P12" i="5"/>
  <c r="O12" i="5"/>
  <c r="O4" i="5"/>
  <c r="P4" i="5"/>
  <c r="O9" i="5"/>
  <c r="P9" i="5"/>
  <c r="O7" i="5"/>
  <c r="P7" i="5"/>
  <c r="O8" i="5"/>
  <c r="P8" i="5"/>
  <c r="Q8" i="5" s="1"/>
  <c r="Q2" i="4"/>
  <c r="Q3" i="4"/>
  <c r="Q22" i="2"/>
  <c r="Q11" i="2"/>
  <c r="O7" i="2"/>
  <c r="P7" i="2"/>
  <c r="O8" i="2"/>
  <c r="P8" i="2"/>
  <c r="Q8" i="2" s="1"/>
  <c r="O23" i="2"/>
  <c r="P23" i="2"/>
  <c r="Q23" i="2" s="1"/>
  <c r="O2" i="2"/>
  <c r="P2" i="2"/>
  <c r="Q2" i="2" s="1"/>
  <c r="O3" i="2"/>
  <c r="P3" i="2"/>
  <c r="Q3" i="2" s="1"/>
  <c r="O6" i="2"/>
  <c r="P6" i="2"/>
  <c r="Q6" i="2" s="1"/>
  <c r="P13" i="2"/>
  <c r="O13" i="2"/>
  <c r="O4" i="2"/>
  <c r="P4" i="2"/>
  <c r="O9" i="2"/>
  <c r="P9" i="2"/>
  <c r="Q9" i="2" s="1"/>
  <c r="Q15" i="2"/>
  <c r="Q9" i="5" l="1"/>
  <c r="Q10" i="5"/>
  <c r="Q3" i="5"/>
  <c r="Q2" i="5"/>
  <c r="Q12" i="5"/>
  <c r="Q11" i="5"/>
  <c r="Q7" i="5"/>
  <c r="Q5" i="5"/>
  <c r="Q13" i="5"/>
  <c r="Q4" i="5"/>
  <c r="Q6" i="5"/>
  <c r="Q4" i="2"/>
  <c r="Q7" i="2"/>
  <c r="Q13" i="2"/>
  <c r="AA3" i="1" l="1"/>
  <c r="AC3" i="1" s="1"/>
  <c r="AA4" i="1"/>
  <c r="AC4" i="1" s="1"/>
  <c r="AA5" i="1"/>
  <c r="AC5" i="1" s="1"/>
  <c r="AA6" i="1"/>
  <c r="AC6" i="1" s="1"/>
  <c r="AA7" i="1"/>
  <c r="AC7" i="1" s="1"/>
  <c r="AA8" i="1"/>
  <c r="AC8" i="1" s="1"/>
  <c r="AA9" i="1"/>
  <c r="AC9" i="1" s="1"/>
  <c r="AA10" i="1"/>
  <c r="AC10" i="1" s="1"/>
  <c r="AA11" i="1"/>
  <c r="AC11" i="1" s="1"/>
  <c r="AA12" i="1"/>
  <c r="AC12" i="1" s="1"/>
  <c r="AA13" i="1"/>
  <c r="AC13" i="1" s="1"/>
  <c r="AA14" i="1"/>
  <c r="AC14" i="1" s="1"/>
  <c r="AA15" i="1"/>
  <c r="AC15" i="1" s="1"/>
  <c r="AA16" i="1"/>
  <c r="AC16" i="1" s="1"/>
  <c r="AA17" i="1"/>
  <c r="AC17" i="1" s="1"/>
  <c r="AA18" i="1"/>
  <c r="AC18" i="1" s="1"/>
  <c r="AA2" i="1"/>
  <c r="AC2" i="1" s="1"/>
  <c r="J3" i="1"/>
  <c r="J4" i="1"/>
  <c r="N4" i="1" s="1"/>
  <c r="J5" i="1"/>
  <c r="J6" i="1"/>
  <c r="J7" i="1"/>
  <c r="J8" i="1"/>
  <c r="J9" i="1"/>
  <c r="J10" i="1"/>
  <c r="J11" i="1"/>
  <c r="J12" i="1"/>
  <c r="N12" i="1" s="1"/>
  <c r="J13" i="1"/>
  <c r="J14" i="1"/>
  <c r="J15" i="1"/>
  <c r="J16" i="1"/>
  <c r="J17" i="1"/>
  <c r="J18" i="1"/>
  <c r="J2" i="1"/>
  <c r="P8" i="1"/>
  <c r="Q8" i="1" s="1"/>
  <c r="P16" i="1"/>
  <c r="Q16" i="1" s="1"/>
  <c r="N3" i="1"/>
  <c r="P3" i="1" s="1"/>
  <c r="N5" i="1"/>
  <c r="O5" i="1" s="1"/>
  <c r="N6" i="1"/>
  <c r="O6" i="1" s="1"/>
  <c r="N8" i="1"/>
  <c r="O8" i="1" s="1"/>
  <c r="N9" i="1"/>
  <c r="O9" i="1" s="1"/>
  <c r="N10" i="1"/>
  <c r="O10" i="1" s="1"/>
  <c r="N11" i="1"/>
  <c r="P11" i="1" s="1"/>
  <c r="N13" i="1"/>
  <c r="O13" i="1" s="1"/>
  <c r="N14" i="1"/>
  <c r="O14" i="1" s="1"/>
  <c r="N16" i="1"/>
  <c r="O16" i="1" s="1"/>
  <c r="N17" i="1"/>
  <c r="O17" i="1" s="1"/>
  <c r="N18" i="1"/>
  <c r="O18" i="1" s="1"/>
  <c r="N2" i="1"/>
  <c r="P2" i="1" s="1"/>
  <c r="K3" i="1"/>
  <c r="K5" i="1"/>
  <c r="K6" i="1"/>
  <c r="K8" i="1"/>
  <c r="K9" i="1"/>
  <c r="K10" i="1"/>
  <c r="K11" i="1"/>
  <c r="K13" i="1"/>
  <c r="K14" i="1"/>
  <c r="K16" i="1"/>
  <c r="K17" i="1"/>
  <c r="K18" i="1"/>
  <c r="K2" i="1"/>
  <c r="AB7" i="1"/>
  <c r="O4" i="1" l="1"/>
  <c r="P4" i="1"/>
  <c r="Q4" i="1" s="1"/>
  <c r="Q11" i="1"/>
  <c r="O12" i="1"/>
  <c r="P12" i="1"/>
  <c r="Q12" i="1" s="1"/>
  <c r="O11" i="1"/>
  <c r="K15" i="1"/>
  <c r="K7" i="1"/>
  <c r="P17" i="1"/>
  <c r="Q17" i="1" s="1"/>
  <c r="P13" i="1"/>
  <c r="Q13" i="1" s="1"/>
  <c r="P9" i="1"/>
  <c r="Q9" i="1" s="1"/>
  <c r="P5" i="1"/>
  <c r="Q5" i="1" s="1"/>
  <c r="O3" i="1"/>
  <c r="Q3" i="1" s="1"/>
  <c r="N15" i="1"/>
  <c r="N7" i="1"/>
  <c r="K12" i="1"/>
  <c r="K4" i="1"/>
  <c r="P18" i="1"/>
  <c r="Q18" i="1" s="1"/>
  <c r="P14" i="1"/>
  <c r="Q14" i="1" s="1"/>
  <c r="P10" i="1"/>
  <c r="Q10" i="1" s="1"/>
  <c r="P6" i="1"/>
  <c r="Q6" i="1" s="1"/>
  <c r="O2" i="1"/>
  <c r="Q2" i="1" s="1"/>
  <c r="P7" i="1" l="1"/>
  <c r="O7" i="1"/>
  <c r="O15" i="1"/>
  <c r="P15" i="1"/>
  <c r="Q15" i="1" s="1"/>
  <c r="W9" i="1"/>
  <c r="T9" i="1"/>
  <c r="V9" i="1"/>
  <c r="Z9" i="1"/>
  <c r="AB9" i="1"/>
  <c r="Q7" i="1" l="1"/>
  <c r="AD9" i="1"/>
  <c r="AE9" i="1" s="1"/>
  <c r="AF9" i="1" s="1"/>
  <c r="AG9" i="1" s="1"/>
  <c r="AI9" i="1" s="1"/>
  <c r="Z3" i="1"/>
  <c r="Z4" i="1"/>
  <c r="Z5" i="1"/>
  <c r="Z6" i="1"/>
  <c r="Z7" i="1"/>
  <c r="Z8" i="1"/>
  <c r="Z10" i="1"/>
  <c r="Z11" i="1"/>
  <c r="Z12" i="1"/>
  <c r="Z13" i="1"/>
  <c r="Z14" i="1"/>
  <c r="Z15" i="1"/>
  <c r="Z16" i="1"/>
  <c r="Z17" i="1"/>
  <c r="Z18" i="1"/>
  <c r="W3" i="1"/>
  <c r="W4" i="1"/>
  <c r="W5" i="1"/>
  <c r="W6" i="1"/>
  <c r="W7" i="1"/>
  <c r="W8" i="1"/>
  <c r="W10" i="1"/>
  <c r="W11" i="1"/>
  <c r="W12" i="1"/>
  <c r="W13" i="1"/>
  <c r="W14" i="1"/>
  <c r="W15" i="1"/>
  <c r="W16" i="1"/>
  <c r="W17" i="1"/>
  <c r="W18" i="1"/>
  <c r="T3" i="1"/>
  <c r="T4" i="1"/>
  <c r="T5" i="1"/>
  <c r="T6" i="1"/>
  <c r="T7" i="1"/>
  <c r="T8" i="1"/>
  <c r="T10" i="1"/>
  <c r="T11" i="1"/>
  <c r="T12" i="1"/>
  <c r="T13" i="1"/>
  <c r="T14" i="1"/>
  <c r="T15" i="1"/>
  <c r="T16" i="1"/>
  <c r="T17" i="1"/>
  <c r="T18" i="1"/>
  <c r="AB3" i="1"/>
  <c r="AB4" i="1"/>
  <c r="AB5" i="1"/>
  <c r="AB6" i="1"/>
  <c r="AB8" i="1"/>
  <c r="AB10" i="1"/>
  <c r="AB11" i="1"/>
  <c r="AB12" i="1"/>
  <c r="AB13" i="1"/>
  <c r="AB14" i="1"/>
  <c r="AB15" i="1"/>
  <c r="AB16" i="1"/>
  <c r="AB17" i="1"/>
  <c r="AB18" i="1"/>
  <c r="AD3" i="1"/>
  <c r="AE3" i="1" s="1"/>
  <c r="AF3" i="1" s="1"/>
  <c r="AG3" i="1" s="1"/>
  <c r="AI3" i="1" s="1"/>
  <c r="AD7" i="1"/>
  <c r="AE7" i="1" s="1"/>
  <c r="AF7" i="1" s="1"/>
  <c r="AG7" i="1" s="1"/>
  <c r="AI7" i="1" s="1"/>
  <c r="AD8" i="1"/>
  <c r="AE8" i="1" s="1"/>
  <c r="AF8" i="1" s="1"/>
  <c r="AG8" i="1" s="1"/>
  <c r="AI8" i="1" s="1"/>
  <c r="AD11" i="1"/>
  <c r="AE11" i="1" s="1"/>
  <c r="AF11" i="1" s="1"/>
  <c r="AG11" i="1" s="1"/>
  <c r="AI11" i="1" s="1"/>
  <c r="AD15" i="1"/>
  <c r="AE15" i="1" s="1"/>
  <c r="AF15" i="1" s="1"/>
  <c r="AG15" i="1" s="1"/>
  <c r="AI15" i="1" s="1"/>
  <c r="AD16" i="1"/>
  <c r="AE16" i="1" s="1"/>
  <c r="AF16" i="1" s="1"/>
  <c r="AG16" i="1" s="1"/>
  <c r="AI16" i="1" s="1"/>
  <c r="AD17" i="1"/>
  <c r="AE17" i="1" s="1"/>
  <c r="AF17" i="1" s="1"/>
  <c r="AG17" i="1" s="1"/>
  <c r="AI17" i="1" s="1"/>
  <c r="V3" i="1"/>
  <c r="V4" i="1"/>
  <c r="V5" i="1"/>
  <c r="V6" i="1"/>
  <c r="V7" i="1"/>
  <c r="V8" i="1"/>
  <c r="V10" i="1"/>
  <c r="V11" i="1"/>
  <c r="V12" i="1"/>
  <c r="V13" i="1"/>
  <c r="V14" i="1"/>
  <c r="V15" i="1"/>
  <c r="V16" i="1"/>
  <c r="V17" i="1"/>
  <c r="V18" i="1"/>
  <c r="AD13" i="1" l="1"/>
  <c r="AE13" i="1" s="1"/>
  <c r="AF13" i="1" s="1"/>
  <c r="AG13" i="1" s="1"/>
  <c r="AI13" i="1" s="1"/>
  <c r="AD5" i="1"/>
  <c r="AE5" i="1" s="1"/>
  <c r="AF5" i="1" s="1"/>
  <c r="AG5" i="1" s="1"/>
  <c r="AI5" i="1" s="1"/>
  <c r="AD14" i="1"/>
  <c r="AE14" i="1" s="1"/>
  <c r="AF14" i="1" s="1"/>
  <c r="AG14" i="1" s="1"/>
  <c r="AI14" i="1" s="1"/>
  <c r="AD6" i="1"/>
  <c r="AE6" i="1" s="1"/>
  <c r="AF6" i="1" s="1"/>
  <c r="AG6" i="1" s="1"/>
  <c r="AI6" i="1" s="1"/>
  <c r="AD18" i="1"/>
  <c r="AE18" i="1" s="1"/>
  <c r="AF18" i="1" s="1"/>
  <c r="AG18" i="1" s="1"/>
  <c r="AI18" i="1" s="1"/>
  <c r="AD10" i="1"/>
  <c r="AE10" i="1" s="1"/>
  <c r="AF10" i="1" s="1"/>
  <c r="AG10" i="1" s="1"/>
  <c r="AI10" i="1" s="1"/>
  <c r="AD12" i="1"/>
  <c r="AE12" i="1" s="1"/>
  <c r="AF12" i="1" s="1"/>
  <c r="AG12" i="1" s="1"/>
  <c r="AI12" i="1" s="1"/>
  <c r="AD4" i="1"/>
  <c r="AE4" i="1" s="1"/>
  <c r="AF4" i="1" s="1"/>
  <c r="AG4" i="1" s="1"/>
  <c r="AI4" i="1" s="1"/>
  <c r="V2" i="1"/>
  <c r="AB2" i="1"/>
  <c r="T2" i="1"/>
  <c r="Z2" i="1" l="1"/>
  <c r="W2" i="1"/>
  <c r="AD2" i="1" l="1"/>
  <c r="AE2" i="1" s="1"/>
  <c r="AF2" i="1" s="1"/>
  <c r="AG2" i="1" s="1"/>
  <c r="AI2" i="1" l="1"/>
</calcChain>
</file>

<file path=xl/sharedStrings.xml><?xml version="1.0" encoding="utf-8"?>
<sst xmlns="http://schemas.openxmlformats.org/spreadsheetml/2006/main" count="360" uniqueCount="64">
  <si>
    <t>RangeLabel</t>
  </si>
  <si>
    <t>Nominal</t>
  </si>
  <si>
    <t>Frequency</t>
  </si>
  <si>
    <t>MV1</t>
  </si>
  <si>
    <t>MV2</t>
  </si>
  <si>
    <t>MV3</t>
  </si>
  <si>
    <t>UpperLimit</t>
  </si>
  <si>
    <t>LowerLimit</t>
  </si>
  <si>
    <t>Function</t>
  </si>
  <si>
    <t>Unit</t>
  </si>
  <si>
    <t>FreqUnit</t>
  </si>
  <si>
    <t>U_CoC</t>
  </si>
  <si>
    <t>Div_CoC</t>
  </si>
  <si>
    <t>Ui_CoC</t>
  </si>
  <si>
    <t>U_Annual</t>
  </si>
  <si>
    <t>Div_Annual</t>
  </si>
  <si>
    <t>Ui_Annual</t>
  </si>
  <si>
    <t>U_Read</t>
  </si>
  <si>
    <t>Div_Read</t>
  </si>
  <si>
    <t>Ui_Read</t>
  </si>
  <si>
    <t>U_Repeat</t>
  </si>
  <si>
    <t>Div_Repeat</t>
  </si>
  <si>
    <t>Ui_Repeat</t>
  </si>
  <si>
    <t>Combined</t>
  </si>
  <si>
    <t>k</t>
  </si>
  <si>
    <t>U_expanded</t>
  </si>
  <si>
    <t>CMC_min</t>
  </si>
  <si>
    <t>Final_U</t>
  </si>
  <si>
    <t>Average</t>
  </si>
  <si>
    <t>Error</t>
  </si>
  <si>
    <t>Tolerance</t>
  </si>
  <si>
    <t>Remarks</t>
  </si>
  <si>
    <t>Effective degrees of freedom (v_eff)</t>
  </si>
  <si>
    <t>Spec_Accuracy (%)</t>
  </si>
  <si>
    <t>Spec_Digit</t>
  </si>
  <si>
    <t>600 mV</t>
  </si>
  <si>
    <t>6 V</t>
  </si>
  <si>
    <t>60 V</t>
  </si>
  <si>
    <t>600 V</t>
  </si>
  <si>
    <t>1000 V</t>
  </si>
  <si>
    <t>-</t>
  </si>
  <si>
    <t>1 000 V</t>
  </si>
  <si>
    <t>50 Hz</t>
  </si>
  <si>
    <t>1 kHz</t>
  </si>
  <si>
    <t>600 Ω</t>
  </si>
  <si>
    <t>6 kΩ</t>
  </si>
  <si>
    <t>60 kΩ</t>
  </si>
  <si>
    <t>600 kΩ</t>
  </si>
  <si>
    <t>6 MΩ</t>
  </si>
  <si>
    <t>50 MΩ</t>
  </si>
  <si>
    <t>Ω</t>
  </si>
  <si>
    <t>kΩ</t>
  </si>
  <si>
    <t>MΩ</t>
  </si>
  <si>
    <t>mV</t>
  </si>
  <si>
    <t>V</t>
  </si>
  <si>
    <t>600 µA</t>
  </si>
  <si>
    <t>6 000 µA</t>
  </si>
  <si>
    <t>60 mA</t>
  </si>
  <si>
    <t>400 mA</t>
  </si>
  <si>
    <t>6 A</t>
  </si>
  <si>
    <t>10 A</t>
  </si>
  <si>
    <t>µA</t>
  </si>
  <si>
    <t>mA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</si>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</sst>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00"/>
    <numFmt numFmtId="165" formatCode="0.00000"/>
    <numFmt numFmtId="166" formatCode="0.000000"/>
    <numFmt numFmtId="167" formatCode="0.0000000"/>
    <numFmt numFmtId="168" formatCode="0.0000"/>
    <numFmt numFmtId="169" formatCode="0.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0" fillId="0" borderId="1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2" fontId="2" fillId="0" borderId="1" xfId="0" applyNumberFormat="1" applyFont="1" applyFill="1" applyBorder="1" applyAlignment="1">
      <alignment horizontal="center" vertical="center" wrapText="1"/>
    </xf>
    <xf numFmtId="165" fontId="0" fillId="0" borderId="1" xfId="0" applyNumberFormat="1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Font="1" applyFill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67" fontId="0" fillId="0" borderId="1" xfId="0" applyNumberFormat="1" applyFont="1" applyFill="1" applyBorder="1" applyAlignment="1">
      <alignment horizontal="center" vertical="center"/>
    </xf>
    <xf numFmtId="166" fontId="3" fillId="0" borderId="1" xfId="1" applyNumberFormat="1" applyFont="1" applyFill="1" applyBorder="1" applyAlignment="1">
      <alignment horizontal="center" vertical="center"/>
    </xf>
    <xf numFmtId="164" fontId="3" fillId="0" borderId="1" xfId="1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165" fontId="2" fillId="0" borderId="1" xfId="0" applyNumberFormat="1" applyFont="1" applyFill="1" applyBorder="1" applyAlignment="1">
      <alignment horizontal="center" vertical="center"/>
    </xf>
    <xf numFmtId="165" fontId="0" fillId="0" borderId="1" xfId="0" applyNumberFormat="1" applyFont="1" applyFill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/>
    </xf>
    <xf numFmtId="167" fontId="3" fillId="0" borderId="1" xfId="0" applyNumberFormat="1" applyFont="1" applyFill="1" applyBorder="1" applyAlignment="1">
      <alignment horizontal="center" vertical="center"/>
    </xf>
    <xf numFmtId="167" fontId="2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68" fontId="0" fillId="0" borderId="1" xfId="0" applyNumberFormat="1" applyFont="1" applyFill="1" applyBorder="1" applyAlignment="1">
      <alignment horizontal="center" vertical="center"/>
    </xf>
    <xf numFmtId="2" fontId="2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169" fontId="0" fillId="0" borderId="1" xfId="0" applyNumberFormat="1" applyFont="1" applyFill="1" applyBorder="1" applyAlignment="1">
      <alignment horizontal="center" vertical="center" wrapText="1"/>
    </xf>
    <xf numFmtId="168" fontId="3" fillId="0" borderId="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9"/>
  <sheetViews>
    <sheetView tabSelected="1" zoomScale="115" zoomScaleNormal="115" workbookViewId="0">
      <selection activeCell="F24" sqref="F24"/>
    </sheetView>
  </sheetViews>
  <sheetFormatPr defaultRowHeight="15" x14ac:dyDescent="0.25"/>
  <cols>
    <col min="1" max="1" width="8.71093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9.710937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6" customWidth="1"/>
    <col min="28" max="28" width="11.5703125" style="3" customWidth="1"/>
    <col min="29" max="29" width="10.7109375" style="19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9.5703125" style="3" bestFit="1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B2" s="3" t="s">
        <v>35</v>
      </c>
      <c r="C2" s="3">
        <v>60</v>
      </c>
      <c r="D2" s="1" t="s">
        <v>53</v>
      </c>
      <c r="E2" s="7" t="s">
        <v>40</v>
      </c>
      <c r="F2" s="1"/>
      <c r="J2" s="8" t="str">
        <f>IF(ISBLANK(G2),"",IF(ISBLANK(H2),"",IF(ISBLANK(I2),"",(AVERAGE(G2:I2)))))</f>
        <v/>
      </c>
      <c r="K2" s="9" t="str">
        <f>IF(ISBLANK(G2),"",IF(ISBLANK(H2),"",IF(ISBLANK(I2),"",J2-C2)))</f>
        <v/>
      </c>
      <c r="L2" s="4">
        <v>0.1</v>
      </c>
      <c r="M2" s="4">
        <v>1</v>
      </c>
      <c r="N2" s="9" t="str">
        <f>IF(ISBLANK(G2),"",IF(ISBLANK(H2),"",IF(ISBLANK(I2),"",ABS(J2*L2%)+(M2*X2))))</f>
        <v/>
      </c>
      <c r="O2" s="10" t="str">
        <f>IF(ISBLANK(G2),"",IF(ISBLANK(H2),"",IF(ISBLANK(I2),"",C2+N2)))</f>
        <v/>
      </c>
      <c r="P2" s="10" t="str">
        <f>IF(ISBLANK(G2),"",IF(ISBLANK(H2),"",IF(ISBLANK(I2),"",C2-N2)))</f>
        <v/>
      </c>
      <c r="Q2" s="2" t="str">
        <f>IF(ISBLANK(G2),"",IF(ISBLANK(H2),"",IF(ISBLANK(I2),"",IF(AND(J2&gt;=P2,J2&lt;=O2),"PASS","FAIL"))))</f>
        <v/>
      </c>
      <c r="R2" s="11">
        <v>7.6999999999999996E-4</v>
      </c>
      <c r="S2" s="12">
        <v>2</v>
      </c>
      <c r="T2" s="13">
        <f>IFERROR(R2/S2,0)</f>
        <v>3.8499999999999998E-4</v>
      </c>
      <c r="U2" s="14">
        <v>0</v>
      </c>
      <c r="V2" s="15">
        <f>SQRT(3)</f>
        <v>1.7320508075688772</v>
      </c>
      <c r="W2" s="2">
        <f>IFERROR(U2/V2,0)</f>
        <v>0</v>
      </c>
      <c r="X2" s="16">
        <v>0.1</v>
      </c>
      <c r="Y2" s="17">
        <v>3.4641016151377544</v>
      </c>
      <c r="Z2" s="2">
        <f>IFERROR(X2/Y2,0)</f>
        <v>2.8867513459481291E-2</v>
      </c>
      <c r="AA2" s="18" t="str">
        <f>IF(ISBLANK(G2),"",IF(ISBLANK(H2),"",IF(ISBLANK(I2),"",STDEV(G2:I2))))</f>
        <v/>
      </c>
      <c r="AB2" s="17">
        <f>SQRT(3)</f>
        <v>1.7320508075688772</v>
      </c>
      <c r="AC2" s="19" t="str">
        <f>IF(ISBLANK(G2),"",IF(ISBLANK(H2),"",IF(ISBLANK(I2),"",AA2/AB2)))</f>
        <v/>
      </c>
      <c r="AD2" s="2">
        <f>SQRT(SUMSQ(T2,W2,Z2,AC2))</f>
        <v>2.8870080677638112E-2</v>
      </c>
      <c r="AE2" s="20" t="str">
        <f>IF(ISBLANK(G2),"",IF(ISBLANK(H2),"",IF(ISBLANK(I2),"",IF(AD2=0,0,(AD2^4)/(((AC2^4)/2)+((Z2^4)/200)+((W2^4)/200)+((T2^4)/200))))))</f>
        <v/>
      </c>
      <c r="AF2" s="21" t="str">
        <f>IF(ISBLANK(G2),"",IF(ISBLANK(H2),"",IF(ISBLANK(I2),"",ROUND(IF(AE2&gt;=30,2,_xlfn.T.INV.2T(0.05,AE2)),0))))</f>
        <v/>
      </c>
      <c r="AG2" s="19" t="str">
        <f>IF(ISBLANK(G2),"",IF(ISBLANK(H2),"",IF(ISBLANK(I2),"",AF2*AD2)))</f>
        <v/>
      </c>
      <c r="AH2" s="22">
        <v>1.6000000000000001E-3</v>
      </c>
      <c r="AI2" s="20">
        <f>IF(ISBLANK(G2),0,IF(ISBLANK(H2),0,IF(ISBLANK(I2),0,MAX(AG2,AH2))))</f>
        <v>0</v>
      </c>
    </row>
    <row r="3" spans="1:35" x14ac:dyDescent="0.25">
      <c r="B3" s="3" t="s">
        <v>35</v>
      </c>
      <c r="C3" s="3">
        <v>540</v>
      </c>
      <c r="D3" s="1" t="s">
        <v>53</v>
      </c>
      <c r="E3" s="7" t="s">
        <v>40</v>
      </c>
      <c r="J3" s="8" t="str">
        <f t="shared" ref="J3:J18" si="0">IF(ISBLANK(G3),"",IF(ISBLANK(H3),"",IF(ISBLANK(I3),"",(AVERAGE(G3:I3)))))</f>
        <v/>
      </c>
      <c r="K3" s="9" t="str">
        <f t="shared" ref="K3:K18" si="1">IF(ISBLANK(G3),"",IF(ISBLANK(H3),"",IF(ISBLANK(I3),"",J3-C3)))</f>
        <v/>
      </c>
      <c r="L3" s="4">
        <v>0.1</v>
      </c>
      <c r="M3" s="4">
        <v>1</v>
      </c>
      <c r="N3" s="9" t="str">
        <f t="shared" ref="N3:N18" si="2">IF(ISBLANK(G3),"",IF(ISBLANK(H3),"",IF(ISBLANK(I3),"",ABS(J3*L3%)+(M3*X3))))</f>
        <v/>
      </c>
      <c r="O3" s="10" t="str">
        <f t="shared" ref="O3:O18" si="3">IF(ISBLANK(G3),"",IF(ISBLANK(H3),"",IF(ISBLANK(I3),"",C3+N3)))</f>
        <v/>
      </c>
      <c r="P3" s="10" t="str">
        <f t="shared" ref="P3:P18" si="4">IF(ISBLANK(G3),"",IF(ISBLANK(H3),"",IF(ISBLANK(I3),"",C3-N3)))</f>
        <v/>
      </c>
      <c r="Q3" s="2" t="str">
        <f t="shared" ref="Q3:Q18" si="5">IF(ISBLANK(G3),"",IF(ISBLANK(H3),"",IF(ISBLANK(I3),"",IF(AND(J3&gt;=P3,J3&lt;=O3),"PASS","FAIL"))))</f>
        <v/>
      </c>
      <c r="R3" s="23">
        <v>2.0999999999999999E-3</v>
      </c>
      <c r="S3" s="12">
        <v>2</v>
      </c>
      <c r="T3" s="13">
        <f t="shared" ref="T3:T18" si="6">IFERROR(R3/S3,0)</f>
        <v>1.0499999999999999E-3</v>
      </c>
      <c r="U3" s="14">
        <v>0</v>
      </c>
      <c r="V3" s="15">
        <f t="shared" ref="V3:V18" si="7">SQRT(3)</f>
        <v>1.7320508075688772</v>
      </c>
      <c r="W3" s="2">
        <f t="shared" ref="W3:W18" si="8">IFERROR(U3/V3,0)</f>
        <v>0</v>
      </c>
      <c r="X3" s="16">
        <v>0.1</v>
      </c>
      <c r="Y3" s="16">
        <v>3.4641016151377544</v>
      </c>
      <c r="Z3" s="2">
        <f t="shared" ref="Z3:Z18" si="9">IFERROR(X3/Y3,0)</f>
        <v>2.8867513459481291E-2</v>
      </c>
      <c r="AA3" s="18" t="str">
        <f t="shared" ref="AA3:AA18" si="10">IF(ISBLANK(G3),"",IF(ISBLANK(H3),"",IF(ISBLANK(I3),"",STDEV(G3:I3))))</f>
        <v/>
      </c>
      <c r="AB3" s="17">
        <f t="shared" ref="AB3:AB18" si="11">SQRT(3)</f>
        <v>1.7320508075688772</v>
      </c>
      <c r="AC3" s="19" t="str">
        <f t="shared" ref="AC3:AC18" si="12">IF(ISBLANK(G3),"",IF(ISBLANK(H3),"",IF(ISBLANK(I3),"",AA3/AB3)))</f>
        <v/>
      </c>
      <c r="AD3" s="2">
        <f t="shared" ref="AD3:AD18" si="13">SQRT(SUMSQ(T3,W3,Z3,AC3))</f>
        <v>2.8886603007853544E-2</v>
      </c>
      <c r="AE3" s="20" t="str">
        <f t="shared" ref="AE3:AE18" si="14">IF(ISBLANK(G3),"",IF(ISBLANK(H3),"",IF(ISBLANK(I3),"",IF(AD3=0,0,(AD3^4)/(((AC3^4)/2)+((Z3^4)/200)+((W3^4)/200)+((T3^4)/200))))))</f>
        <v/>
      </c>
      <c r="AF3" s="21" t="str">
        <f t="shared" ref="AF3:AF18" si="15">IF(ISBLANK(G3),"",IF(ISBLANK(H3),"",IF(ISBLANK(I3),"",ROUND(IF(AE3&gt;=30,2,_xlfn.T.INV.2T(0.05,AE3)),0))))</f>
        <v/>
      </c>
      <c r="AG3" s="19" t="str">
        <f t="shared" ref="AG3:AG18" si="16">IF(ISBLANK(G3),"",IF(ISBLANK(H3),"",IF(ISBLANK(I3),"",AF3*AD3)))</f>
        <v/>
      </c>
      <c r="AH3" s="22">
        <v>1.8E-3</v>
      </c>
      <c r="AI3" s="20">
        <f t="shared" ref="AI3:AI18" si="17">IF(ISBLANK(G3),0,IF(ISBLANK(H3),0,IF(ISBLANK(I3),0,MAX(AG3,AH3))))</f>
        <v>0</v>
      </c>
    </row>
    <row r="4" spans="1:35" x14ac:dyDescent="0.25">
      <c r="B4" s="3" t="s">
        <v>35</v>
      </c>
      <c r="C4" s="3">
        <v>-540</v>
      </c>
      <c r="D4" s="1" t="s">
        <v>53</v>
      </c>
      <c r="E4" s="7" t="s">
        <v>40</v>
      </c>
      <c r="J4" s="8" t="str">
        <f t="shared" si="0"/>
        <v/>
      </c>
      <c r="K4" s="9" t="str">
        <f t="shared" si="1"/>
        <v/>
      </c>
      <c r="L4" s="4">
        <v>0.1</v>
      </c>
      <c r="M4" s="4">
        <v>1</v>
      </c>
      <c r="N4" s="9" t="str">
        <f t="shared" si="2"/>
        <v/>
      </c>
      <c r="O4" s="10" t="str">
        <f t="shared" si="3"/>
        <v/>
      </c>
      <c r="P4" s="10" t="str">
        <f t="shared" si="4"/>
        <v/>
      </c>
      <c r="Q4" s="2" t="str">
        <f t="shared" si="5"/>
        <v/>
      </c>
      <c r="R4" s="23">
        <v>2.0999999999999999E-3</v>
      </c>
      <c r="S4" s="12">
        <v>2</v>
      </c>
      <c r="T4" s="13">
        <f t="shared" si="6"/>
        <v>1.0499999999999999E-3</v>
      </c>
      <c r="U4" s="14">
        <v>0</v>
      </c>
      <c r="V4" s="15">
        <f t="shared" si="7"/>
        <v>1.7320508075688772</v>
      </c>
      <c r="W4" s="2">
        <f t="shared" si="8"/>
        <v>0</v>
      </c>
      <c r="X4" s="16">
        <v>0.1</v>
      </c>
      <c r="Y4" s="16">
        <v>3.4641016151377544</v>
      </c>
      <c r="Z4" s="2">
        <f t="shared" si="9"/>
        <v>2.8867513459481291E-2</v>
      </c>
      <c r="AA4" s="18" t="str">
        <f t="shared" si="10"/>
        <v/>
      </c>
      <c r="AB4" s="17">
        <f t="shared" si="11"/>
        <v>1.7320508075688772</v>
      </c>
      <c r="AC4" s="19" t="str">
        <f t="shared" si="12"/>
        <v/>
      </c>
      <c r="AD4" s="2">
        <f t="shared" si="13"/>
        <v>2.8886603007853544E-2</v>
      </c>
      <c r="AE4" s="20" t="str">
        <f t="shared" si="14"/>
        <v/>
      </c>
      <c r="AF4" s="21" t="str">
        <f t="shared" si="15"/>
        <v/>
      </c>
      <c r="AG4" s="19" t="str">
        <f t="shared" si="16"/>
        <v/>
      </c>
      <c r="AH4" s="22">
        <v>1.8E-3</v>
      </c>
      <c r="AI4" s="20">
        <f t="shared" si="17"/>
        <v>0</v>
      </c>
    </row>
    <row r="5" spans="1:35" x14ac:dyDescent="0.25">
      <c r="B5" s="3" t="s">
        <v>36</v>
      </c>
      <c r="C5" s="3">
        <v>0.60000000000000009</v>
      </c>
      <c r="D5" s="2" t="s">
        <v>54</v>
      </c>
      <c r="E5" s="7" t="s">
        <v>40</v>
      </c>
      <c r="J5" s="8" t="str">
        <f t="shared" si="0"/>
        <v/>
      </c>
      <c r="K5" s="9" t="str">
        <f t="shared" si="1"/>
        <v/>
      </c>
      <c r="L5" s="4">
        <v>0.1</v>
      </c>
      <c r="M5" s="4">
        <v>1</v>
      </c>
      <c r="N5" s="9" t="str">
        <f t="shared" si="2"/>
        <v/>
      </c>
      <c r="O5" s="10" t="str">
        <f t="shared" si="3"/>
        <v/>
      </c>
      <c r="P5" s="10" t="str">
        <f t="shared" si="4"/>
        <v/>
      </c>
      <c r="Q5" s="2" t="str">
        <f t="shared" si="5"/>
        <v/>
      </c>
      <c r="R5" s="23">
        <v>2.0999999999999998E-6</v>
      </c>
      <c r="S5" s="12">
        <v>2</v>
      </c>
      <c r="T5" s="13">
        <f t="shared" si="6"/>
        <v>1.0499999999999999E-6</v>
      </c>
      <c r="U5" s="14">
        <v>0</v>
      </c>
      <c r="V5" s="15">
        <f t="shared" si="7"/>
        <v>1.7320508075688772</v>
      </c>
      <c r="W5" s="2">
        <f t="shared" si="8"/>
        <v>0</v>
      </c>
      <c r="X5" s="16">
        <v>1E-3</v>
      </c>
      <c r="Y5" s="16">
        <v>3.4641016151377544</v>
      </c>
      <c r="Z5" s="2">
        <f t="shared" si="9"/>
        <v>2.886751345948129E-4</v>
      </c>
      <c r="AA5" s="18" t="str">
        <f t="shared" si="10"/>
        <v/>
      </c>
      <c r="AB5" s="17">
        <f t="shared" si="11"/>
        <v>1.7320508075688772</v>
      </c>
      <c r="AC5" s="19" t="str">
        <f t="shared" si="12"/>
        <v/>
      </c>
      <c r="AD5" s="2">
        <f t="shared" si="13"/>
        <v>2.8867704417451234E-4</v>
      </c>
      <c r="AE5" s="20" t="str">
        <f t="shared" si="14"/>
        <v/>
      </c>
      <c r="AF5" s="21" t="str">
        <f t="shared" si="15"/>
        <v/>
      </c>
      <c r="AG5" s="19" t="str">
        <f t="shared" si="16"/>
        <v/>
      </c>
      <c r="AH5" s="22">
        <v>1.7999999999999999E-6</v>
      </c>
      <c r="AI5" s="19">
        <f t="shared" si="17"/>
        <v>0</v>
      </c>
    </row>
    <row r="6" spans="1:35" x14ac:dyDescent="0.25">
      <c r="B6" s="3" t="s">
        <v>36</v>
      </c>
      <c r="C6" s="3">
        <v>5.4</v>
      </c>
      <c r="D6" s="2" t="s">
        <v>54</v>
      </c>
      <c r="E6" s="7" t="s">
        <v>40</v>
      </c>
      <c r="J6" s="8" t="str">
        <f t="shared" si="0"/>
        <v/>
      </c>
      <c r="K6" s="9" t="str">
        <f t="shared" si="1"/>
        <v/>
      </c>
      <c r="L6" s="4">
        <v>0.1</v>
      </c>
      <c r="M6" s="4">
        <v>1</v>
      </c>
      <c r="N6" s="9" t="str">
        <f t="shared" si="2"/>
        <v/>
      </c>
      <c r="O6" s="10" t="str">
        <f t="shared" si="3"/>
        <v/>
      </c>
      <c r="P6" s="10" t="str">
        <f t="shared" si="4"/>
        <v/>
      </c>
      <c r="Q6" s="2" t="str">
        <f t="shared" si="5"/>
        <v/>
      </c>
      <c r="R6" s="23">
        <v>1.8E-5</v>
      </c>
      <c r="S6" s="12">
        <v>2</v>
      </c>
      <c r="T6" s="13">
        <f t="shared" si="6"/>
        <v>9.0000000000000002E-6</v>
      </c>
      <c r="U6" s="14">
        <v>0</v>
      </c>
      <c r="V6" s="15">
        <f t="shared" si="7"/>
        <v>1.7320508075688772</v>
      </c>
      <c r="W6" s="2">
        <f t="shared" si="8"/>
        <v>0</v>
      </c>
      <c r="X6" s="16">
        <v>1E-3</v>
      </c>
      <c r="Y6" s="16">
        <v>3.4641016151377544</v>
      </c>
      <c r="Z6" s="2">
        <f t="shared" si="9"/>
        <v>2.886751345948129E-4</v>
      </c>
      <c r="AA6" s="18" t="str">
        <f t="shared" si="10"/>
        <v/>
      </c>
      <c r="AB6" s="17">
        <f t="shared" si="11"/>
        <v>1.7320508075688772</v>
      </c>
      <c r="AC6" s="19" t="str">
        <f t="shared" si="12"/>
        <v/>
      </c>
      <c r="AD6" s="2">
        <f t="shared" si="13"/>
        <v>2.8881539663482854E-4</v>
      </c>
      <c r="AE6" s="20" t="str">
        <f t="shared" si="14"/>
        <v/>
      </c>
      <c r="AF6" s="21" t="str">
        <f t="shared" si="15"/>
        <v/>
      </c>
      <c r="AG6" s="19" t="str">
        <f t="shared" si="16"/>
        <v/>
      </c>
      <c r="AH6" s="22">
        <v>1.0000000000000001E-5</v>
      </c>
      <c r="AI6" s="19">
        <f t="shared" si="17"/>
        <v>0</v>
      </c>
    </row>
    <row r="7" spans="1:35" x14ac:dyDescent="0.25">
      <c r="B7" s="3" t="s">
        <v>36</v>
      </c>
      <c r="C7" s="3">
        <v>-5.4</v>
      </c>
      <c r="D7" s="2" t="s">
        <v>54</v>
      </c>
      <c r="E7" s="7" t="s">
        <v>40</v>
      </c>
      <c r="J7" s="8" t="str">
        <f t="shared" si="0"/>
        <v/>
      </c>
      <c r="K7" s="9" t="str">
        <f t="shared" si="1"/>
        <v/>
      </c>
      <c r="L7" s="4">
        <v>0.1</v>
      </c>
      <c r="M7" s="4">
        <v>1</v>
      </c>
      <c r="N7" s="9" t="str">
        <f t="shared" si="2"/>
        <v/>
      </c>
      <c r="O7" s="10" t="str">
        <f t="shared" si="3"/>
        <v/>
      </c>
      <c r="P7" s="10" t="str">
        <f t="shared" si="4"/>
        <v/>
      </c>
      <c r="Q7" s="2" t="str">
        <f t="shared" si="5"/>
        <v/>
      </c>
      <c r="R7" s="23">
        <v>1.8E-5</v>
      </c>
      <c r="S7" s="12">
        <v>2</v>
      </c>
      <c r="T7" s="13">
        <f t="shared" si="6"/>
        <v>9.0000000000000002E-6</v>
      </c>
      <c r="U7" s="14">
        <v>0</v>
      </c>
      <c r="V7" s="15">
        <f t="shared" si="7"/>
        <v>1.7320508075688772</v>
      </c>
      <c r="W7" s="2">
        <f t="shared" si="8"/>
        <v>0</v>
      </c>
      <c r="X7" s="16">
        <v>1E-3</v>
      </c>
      <c r="Y7" s="16">
        <v>3.4641016151377544</v>
      </c>
      <c r="Z7" s="2">
        <f t="shared" si="9"/>
        <v>2.886751345948129E-4</v>
      </c>
      <c r="AA7" s="18" t="str">
        <f t="shared" si="10"/>
        <v/>
      </c>
      <c r="AB7" s="17">
        <f>SQRT(3)</f>
        <v>1.7320508075688772</v>
      </c>
      <c r="AC7" s="19" t="str">
        <f t="shared" si="12"/>
        <v/>
      </c>
      <c r="AD7" s="2">
        <f t="shared" si="13"/>
        <v>2.8881539663482854E-4</v>
      </c>
      <c r="AE7" s="20" t="str">
        <f t="shared" si="14"/>
        <v/>
      </c>
      <c r="AF7" s="21" t="str">
        <f t="shared" si="15"/>
        <v/>
      </c>
      <c r="AG7" s="19" t="str">
        <f t="shared" si="16"/>
        <v/>
      </c>
      <c r="AH7" s="22">
        <v>1.0000000000000001E-5</v>
      </c>
      <c r="AI7" s="19">
        <f t="shared" si="17"/>
        <v>0</v>
      </c>
    </row>
    <row r="8" spans="1:35" x14ac:dyDescent="0.25">
      <c r="B8" s="3" t="s">
        <v>37</v>
      </c>
      <c r="C8" s="3">
        <v>6</v>
      </c>
      <c r="D8" s="2" t="s">
        <v>54</v>
      </c>
      <c r="E8" s="7" t="s">
        <v>40</v>
      </c>
      <c r="G8" s="24"/>
      <c r="H8" s="24"/>
      <c r="I8" s="24"/>
      <c r="J8" s="8" t="str">
        <f t="shared" si="0"/>
        <v/>
      </c>
      <c r="K8" s="9" t="str">
        <f t="shared" si="1"/>
        <v/>
      </c>
      <c r="L8" s="4">
        <v>0.1</v>
      </c>
      <c r="M8" s="4">
        <v>1</v>
      </c>
      <c r="N8" s="9" t="str">
        <f t="shared" si="2"/>
        <v/>
      </c>
      <c r="O8" s="10" t="str">
        <f t="shared" si="3"/>
        <v/>
      </c>
      <c r="P8" s="10" t="str">
        <f t="shared" si="4"/>
        <v/>
      </c>
      <c r="Q8" s="2" t="str">
        <f t="shared" si="5"/>
        <v/>
      </c>
      <c r="R8" s="23">
        <v>1.8E-5</v>
      </c>
      <c r="S8" s="12">
        <v>2</v>
      </c>
      <c r="T8" s="13">
        <f t="shared" si="6"/>
        <v>9.0000000000000002E-6</v>
      </c>
      <c r="U8" s="14">
        <v>0</v>
      </c>
      <c r="V8" s="15">
        <f t="shared" si="7"/>
        <v>1.7320508075688772</v>
      </c>
      <c r="W8" s="2">
        <f t="shared" si="8"/>
        <v>0</v>
      </c>
      <c r="X8" s="16">
        <v>0.01</v>
      </c>
      <c r="Y8" s="16">
        <v>3.4641016151377544</v>
      </c>
      <c r="Z8" s="2">
        <f t="shared" si="9"/>
        <v>2.886751345948129E-3</v>
      </c>
      <c r="AA8" s="18" t="str">
        <f t="shared" si="10"/>
        <v/>
      </c>
      <c r="AB8" s="17">
        <f t="shared" si="11"/>
        <v>1.7320508075688772</v>
      </c>
      <c r="AC8" s="19" t="str">
        <f t="shared" si="12"/>
        <v/>
      </c>
      <c r="AD8" s="2">
        <f t="shared" si="13"/>
        <v>2.8867653755255784E-3</v>
      </c>
      <c r="AE8" s="20" t="str">
        <f t="shared" si="14"/>
        <v/>
      </c>
      <c r="AF8" s="21" t="str">
        <f t="shared" si="15"/>
        <v/>
      </c>
      <c r="AG8" s="19" t="str">
        <f t="shared" si="16"/>
        <v/>
      </c>
      <c r="AH8" s="22">
        <v>1.0000000000000001E-5</v>
      </c>
      <c r="AI8" s="25">
        <f t="shared" si="17"/>
        <v>0</v>
      </c>
    </row>
    <row r="9" spans="1:35" x14ac:dyDescent="0.25">
      <c r="B9" s="3" t="s">
        <v>37</v>
      </c>
      <c r="C9" s="3">
        <v>30</v>
      </c>
      <c r="D9" s="2" t="s">
        <v>54</v>
      </c>
      <c r="E9" s="7" t="s">
        <v>40</v>
      </c>
      <c r="G9" s="24"/>
      <c r="H9" s="24"/>
      <c r="I9" s="24"/>
      <c r="J9" s="8" t="str">
        <f t="shared" si="0"/>
        <v/>
      </c>
      <c r="K9" s="9" t="str">
        <f t="shared" si="1"/>
        <v/>
      </c>
      <c r="L9" s="4">
        <v>0.1</v>
      </c>
      <c r="M9" s="4">
        <v>1</v>
      </c>
      <c r="N9" s="9" t="str">
        <f t="shared" si="2"/>
        <v/>
      </c>
      <c r="O9" s="10" t="str">
        <f t="shared" si="3"/>
        <v/>
      </c>
      <c r="P9" s="10" t="str">
        <f t="shared" si="4"/>
        <v/>
      </c>
      <c r="Q9" s="2" t="str">
        <f t="shared" si="5"/>
        <v/>
      </c>
      <c r="R9" s="23">
        <v>1E-4</v>
      </c>
      <c r="S9" s="12">
        <v>2</v>
      </c>
      <c r="T9" s="13">
        <f t="shared" ref="T9" si="18">IFERROR(R9/S9,0)</f>
        <v>5.0000000000000002E-5</v>
      </c>
      <c r="U9" s="14">
        <v>0</v>
      </c>
      <c r="V9" s="15">
        <f t="shared" si="7"/>
        <v>1.7320508075688772</v>
      </c>
      <c r="W9" s="2">
        <f t="shared" si="8"/>
        <v>0</v>
      </c>
      <c r="X9" s="16">
        <v>0.01</v>
      </c>
      <c r="Y9" s="16">
        <v>3.4641016151377544</v>
      </c>
      <c r="Z9" s="2">
        <f t="shared" si="9"/>
        <v>2.886751345948129E-3</v>
      </c>
      <c r="AA9" s="18" t="str">
        <f t="shared" si="10"/>
        <v/>
      </c>
      <c r="AB9" s="17">
        <f t="shared" si="11"/>
        <v>1.7320508075688772</v>
      </c>
      <c r="AC9" s="19" t="str">
        <f t="shared" si="12"/>
        <v/>
      </c>
      <c r="AD9" s="2">
        <f t="shared" si="13"/>
        <v>2.887184326178939E-3</v>
      </c>
      <c r="AE9" s="20" t="str">
        <f t="shared" si="14"/>
        <v/>
      </c>
      <c r="AF9" s="21" t="str">
        <f t="shared" si="15"/>
        <v/>
      </c>
      <c r="AG9" s="19" t="str">
        <f t="shared" si="16"/>
        <v/>
      </c>
      <c r="AH9" s="22">
        <v>1.0000000000000001E-5</v>
      </c>
      <c r="AI9" s="25">
        <f t="shared" si="17"/>
        <v>0</v>
      </c>
    </row>
    <row r="10" spans="1:35" x14ac:dyDescent="0.25">
      <c r="B10" s="3" t="s">
        <v>37</v>
      </c>
      <c r="C10" s="3">
        <v>54</v>
      </c>
      <c r="D10" s="2" t="s">
        <v>54</v>
      </c>
      <c r="E10" s="7" t="s">
        <v>40</v>
      </c>
      <c r="G10" s="24"/>
      <c r="H10" s="24"/>
      <c r="I10" s="24"/>
      <c r="J10" s="8" t="str">
        <f t="shared" si="0"/>
        <v/>
      </c>
      <c r="K10" s="9" t="str">
        <f t="shared" si="1"/>
        <v/>
      </c>
      <c r="L10" s="4">
        <v>0.1</v>
      </c>
      <c r="M10" s="4">
        <v>1</v>
      </c>
      <c r="N10" s="9" t="str">
        <f t="shared" si="2"/>
        <v/>
      </c>
      <c r="O10" s="10" t="str">
        <f t="shared" si="3"/>
        <v/>
      </c>
      <c r="P10" s="10" t="str">
        <f t="shared" si="4"/>
        <v/>
      </c>
      <c r="Q10" s="2" t="str">
        <f t="shared" si="5"/>
        <v/>
      </c>
      <c r="R10" s="23">
        <v>3.1E-4</v>
      </c>
      <c r="S10" s="12">
        <v>2</v>
      </c>
      <c r="T10" s="13">
        <f t="shared" si="6"/>
        <v>1.55E-4</v>
      </c>
      <c r="U10" s="14">
        <v>0</v>
      </c>
      <c r="V10" s="15">
        <f t="shared" si="7"/>
        <v>1.7320508075688772</v>
      </c>
      <c r="W10" s="2">
        <f t="shared" si="8"/>
        <v>0</v>
      </c>
      <c r="X10" s="16">
        <v>0.01</v>
      </c>
      <c r="Y10" s="16">
        <v>3.4641016151377544</v>
      </c>
      <c r="Z10" s="2">
        <f t="shared" si="9"/>
        <v>2.886751345948129E-3</v>
      </c>
      <c r="AA10" s="18" t="str">
        <f t="shared" si="10"/>
        <v/>
      </c>
      <c r="AB10" s="17">
        <f t="shared" si="11"/>
        <v>1.7320508075688772</v>
      </c>
      <c r="AC10" s="19" t="str">
        <f t="shared" si="12"/>
        <v/>
      </c>
      <c r="AD10" s="2">
        <f t="shared" si="13"/>
        <v>2.8909096031064919E-3</v>
      </c>
      <c r="AE10" s="20" t="str">
        <f t="shared" si="14"/>
        <v/>
      </c>
      <c r="AF10" s="21" t="str">
        <f t="shared" si="15"/>
        <v/>
      </c>
      <c r="AG10" s="19" t="str">
        <f t="shared" si="16"/>
        <v/>
      </c>
      <c r="AH10" s="22">
        <v>1.8000000000000001E-4</v>
      </c>
      <c r="AI10" s="25">
        <f t="shared" si="17"/>
        <v>0</v>
      </c>
    </row>
    <row r="11" spans="1:35" x14ac:dyDescent="0.25">
      <c r="B11" s="3" t="s">
        <v>37</v>
      </c>
      <c r="C11" s="3">
        <v>-6</v>
      </c>
      <c r="D11" s="2" t="s">
        <v>54</v>
      </c>
      <c r="E11" s="7" t="s">
        <v>40</v>
      </c>
      <c r="J11" s="8" t="str">
        <f t="shared" si="0"/>
        <v/>
      </c>
      <c r="K11" s="9" t="str">
        <f t="shared" si="1"/>
        <v/>
      </c>
      <c r="L11" s="4">
        <v>0.1</v>
      </c>
      <c r="M11" s="4">
        <v>1</v>
      </c>
      <c r="N11" s="9" t="str">
        <f t="shared" si="2"/>
        <v/>
      </c>
      <c r="O11" s="10" t="str">
        <f t="shared" si="3"/>
        <v/>
      </c>
      <c r="P11" s="10" t="str">
        <f t="shared" si="4"/>
        <v/>
      </c>
      <c r="Q11" s="2" t="str">
        <f t="shared" si="5"/>
        <v/>
      </c>
      <c r="R11" s="23">
        <v>1.8E-5</v>
      </c>
      <c r="S11" s="12">
        <v>2</v>
      </c>
      <c r="T11" s="13">
        <f t="shared" si="6"/>
        <v>9.0000000000000002E-6</v>
      </c>
      <c r="U11" s="14">
        <v>0</v>
      </c>
      <c r="V11" s="15">
        <f t="shared" si="7"/>
        <v>1.7320508075688772</v>
      </c>
      <c r="W11" s="2">
        <f t="shared" si="8"/>
        <v>0</v>
      </c>
      <c r="X11" s="16">
        <v>0.01</v>
      </c>
      <c r="Y11" s="16">
        <v>3.4641016151377544</v>
      </c>
      <c r="Z11" s="2">
        <f t="shared" si="9"/>
        <v>2.886751345948129E-3</v>
      </c>
      <c r="AA11" s="18" t="str">
        <f t="shared" si="10"/>
        <v/>
      </c>
      <c r="AB11" s="17">
        <f t="shared" si="11"/>
        <v>1.7320508075688772</v>
      </c>
      <c r="AC11" s="19" t="str">
        <f t="shared" si="12"/>
        <v/>
      </c>
      <c r="AD11" s="2">
        <f t="shared" si="13"/>
        <v>2.8867653755255784E-3</v>
      </c>
      <c r="AE11" s="20" t="str">
        <f t="shared" si="14"/>
        <v/>
      </c>
      <c r="AF11" s="21" t="str">
        <f t="shared" si="15"/>
        <v/>
      </c>
      <c r="AG11" s="19" t="str">
        <f t="shared" si="16"/>
        <v/>
      </c>
      <c r="AH11" s="22">
        <v>1.0000000000000001E-5</v>
      </c>
      <c r="AI11" s="25">
        <f t="shared" si="17"/>
        <v>0</v>
      </c>
    </row>
    <row r="12" spans="1:35" x14ac:dyDescent="0.25">
      <c r="B12" s="3" t="s">
        <v>37</v>
      </c>
      <c r="C12" s="3">
        <v>-54</v>
      </c>
      <c r="D12" s="2" t="s">
        <v>54</v>
      </c>
      <c r="E12" s="7" t="s">
        <v>40</v>
      </c>
      <c r="J12" s="8" t="str">
        <f t="shared" si="0"/>
        <v/>
      </c>
      <c r="K12" s="9" t="str">
        <f t="shared" si="1"/>
        <v/>
      </c>
      <c r="L12" s="4">
        <v>0.1</v>
      </c>
      <c r="M12" s="4">
        <v>1</v>
      </c>
      <c r="N12" s="9" t="str">
        <f t="shared" si="2"/>
        <v/>
      </c>
      <c r="O12" s="10" t="str">
        <f t="shared" si="3"/>
        <v/>
      </c>
      <c r="P12" s="10" t="str">
        <f t="shared" si="4"/>
        <v/>
      </c>
      <c r="Q12" s="2" t="str">
        <f t="shared" si="5"/>
        <v/>
      </c>
      <c r="R12" s="23">
        <v>3.1E-4</v>
      </c>
      <c r="S12" s="12">
        <v>2</v>
      </c>
      <c r="T12" s="13">
        <f t="shared" si="6"/>
        <v>1.55E-4</v>
      </c>
      <c r="U12" s="14">
        <v>0</v>
      </c>
      <c r="V12" s="15">
        <f t="shared" si="7"/>
        <v>1.7320508075688772</v>
      </c>
      <c r="W12" s="2">
        <f t="shared" si="8"/>
        <v>0</v>
      </c>
      <c r="X12" s="16">
        <v>0.01</v>
      </c>
      <c r="Y12" s="16">
        <v>3.4641016151377544</v>
      </c>
      <c r="Z12" s="2">
        <f t="shared" si="9"/>
        <v>2.886751345948129E-3</v>
      </c>
      <c r="AA12" s="18" t="str">
        <f t="shared" si="10"/>
        <v/>
      </c>
      <c r="AB12" s="17">
        <f t="shared" si="11"/>
        <v>1.7320508075688772</v>
      </c>
      <c r="AC12" s="19" t="str">
        <f t="shared" si="12"/>
        <v/>
      </c>
      <c r="AD12" s="2">
        <f t="shared" si="13"/>
        <v>2.8909096031064919E-3</v>
      </c>
      <c r="AE12" s="20" t="str">
        <f t="shared" si="14"/>
        <v/>
      </c>
      <c r="AF12" s="21" t="str">
        <f t="shared" si="15"/>
        <v/>
      </c>
      <c r="AG12" s="19" t="str">
        <f t="shared" si="16"/>
        <v/>
      </c>
      <c r="AH12" s="22">
        <v>1.8000000000000001E-4</v>
      </c>
      <c r="AI12" s="25">
        <f t="shared" si="17"/>
        <v>0</v>
      </c>
    </row>
    <row r="13" spans="1:35" x14ac:dyDescent="0.25">
      <c r="B13" s="3" t="s">
        <v>38</v>
      </c>
      <c r="C13" s="3">
        <v>60</v>
      </c>
      <c r="D13" s="2" t="s">
        <v>54</v>
      </c>
      <c r="E13" s="7" t="s">
        <v>40</v>
      </c>
      <c r="J13" s="8" t="str">
        <f t="shared" si="0"/>
        <v/>
      </c>
      <c r="K13" s="9" t="str">
        <f t="shared" si="1"/>
        <v/>
      </c>
      <c r="L13" s="4">
        <v>0.1</v>
      </c>
      <c r="M13" s="4">
        <v>1</v>
      </c>
      <c r="N13" s="9" t="str">
        <f t="shared" si="2"/>
        <v/>
      </c>
      <c r="O13" s="10" t="str">
        <f t="shared" si="3"/>
        <v/>
      </c>
      <c r="P13" s="10" t="str">
        <f t="shared" si="4"/>
        <v/>
      </c>
      <c r="Q13" s="2" t="str">
        <f t="shared" si="5"/>
        <v/>
      </c>
      <c r="R13" s="23">
        <v>3.1E-4</v>
      </c>
      <c r="S13" s="12">
        <v>2</v>
      </c>
      <c r="T13" s="13">
        <f t="shared" si="6"/>
        <v>1.55E-4</v>
      </c>
      <c r="U13" s="14">
        <v>0</v>
      </c>
      <c r="V13" s="15">
        <f t="shared" si="7"/>
        <v>1.7320508075688772</v>
      </c>
      <c r="W13" s="2">
        <f t="shared" si="8"/>
        <v>0</v>
      </c>
      <c r="X13" s="16">
        <v>0.1</v>
      </c>
      <c r="Y13" s="16">
        <v>3.4641016151377544</v>
      </c>
      <c r="Z13" s="2">
        <f t="shared" si="9"/>
        <v>2.8867513459481291E-2</v>
      </c>
      <c r="AA13" s="18" t="str">
        <f t="shared" si="10"/>
        <v/>
      </c>
      <c r="AB13" s="17">
        <f t="shared" si="11"/>
        <v>1.7320508075688772</v>
      </c>
      <c r="AC13" s="19" t="str">
        <f t="shared" si="12"/>
        <v/>
      </c>
      <c r="AD13" s="2">
        <f t="shared" si="13"/>
        <v>2.8867929581688628E-2</v>
      </c>
      <c r="AE13" s="20" t="str">
        <f t="shared" si="14"/>
        <v/>
      </c>
      <c r="AF13" s="21" t="str">
        <f t="shared" si="15"/>
        <v/>
      </c>
      <c r="AG13" s="19" t="str">
        <f t="shared" si="16"/>
        <v/>
      </c>
      <c r="AH13" s="22">
        <v>1.8000000000000001E-4</v>
      </c>
      <c r="AI13" s="20">
        <f t="shared" si="17"/>
        <v>0</v>
      </c>
    </row>
    <row r="14" spans="1:35" x14ac:dyDescent="0.25">
      <c r="B14" s="3" t="s">
        <v>38</v>
      </c>
      <c r="C14" s="3">
        <v>540</v>
      </c>
      <c r="D14" s="2" t="s">
        <v>54</v>
      </c>
      <c r="E14" s="7" t="s">
        <v>40</v>
      </c>
      <c r="J14" s="8" t="str">
        <f t="shared" si="0"/>
        <v/>
      </c>
      <c r="K14" s="9" t="str">
        <f t="shared" si="1"/>
        <v/>
      </c>
      <c r="L14" s="4">
        <v>0.1</v>
      </c>
      <c r="M14" s="4">
        <v>1</v>
      </c>
      <c r="N14" s="9" t="str">
        <f t="shared" si="2"/>
        <v/>
      </c>
      <c r="O14" s="10" t="str">
        <f t="shared" si="3"/>
        <v/>
      </c>
      <c r="P14" s="10" t="str">
        <f t="shared" si="4"/>
        <v/>
      </c>
      <c r="Q14" s="2" t="str">
        <f t="shared" si="5"/>
        <v/>
      </c>
      <c r="R14" s="23">
        <v>3.3E-3</v>
      </c>
      <c r="S14" s="12">
        <v>2</v>
      </c>
      <c r="T14" s="13">
        <f t="shared" si="6"/>
        <v>1.65E-3</v>
      </c>
      <c r="U14" s="14">
        <v>0</v>
      </c>
      <c r="V14" s="15">
        <f t="shared" si="7"/>
        <v>1.7320508075688772</v>
      </c>
      <c r="W14" s="2">
        <f t="shared" si="8"/>
        <v>0</v>
      </c>
      <c r="X14" s="16">
        <v>0.1</v>
      </c>
      <c r="Y14" s="16">
        <v>3.4641016151377544</v>
      </c>
      <c r="Z14" s="2">
        <f t="shared" si="9"/>
        <v>2.8867513459481291E-2</v>
      </c>
      <c r="AA14" s="18" t="str">
        <f t="shared" si="10"/>
        <v/>
      </c>
      <c r="AB14" s="17">
        <f t="shared" si="11"/>
        <v>1.7320508075688772</v>
      </c>
      <c r="AC14" s="19" t="str">
        <f t="shared" si="12"/>
        <v/>
      </c>
      <c r="AD14" s="2">
        <f t="shared" si="13"/>
        <v>2.8914630091587432E-2</v>
      </c>
      <c r="AE14" s="20" t="str">
        <f t="shared" si="14"/>
        <v/>
      </c>
      <c r="AF14" s="21" t="str">
        <f t="shared" si="15"/>
        <v/>
      </c>
      <c r="AG14" s="19" t="str">
        <f t="shared" si="16"/>
        <v/>
      </c>
      <c r="AH14" s="22">
        <v>1.4E-3</v>
      </c>
      <c r="AI14" s="20">
        <f t="shared" si="17"/>
        <v>0</v>
      </c>
    </row>
    <row r="15" spans="1:35" x14ac:dyDescent="0.25">
      <c r="B15" s="3" t="s">
        <v>38</v>
      </c>
      <c r="C15" s="3">
        <v>-540</v>
      </c>
      <c r="D15" s="2" t="s">
        <v>54</v>
      </c>
      <c r="E15" s="7" t="s">
        <v>40</v>
      </c>
      <c r="J15" s="8" t="str">
        <f t="shared" si="0"/>
        <v/>
      </c>
      <c r="K15" s="9" t="str">
        <f t="shared" si="1"/>
        <v/>
      </c>
      <c r="L15" s="4">
        <v>0.1</v>
      </c>
      <c r="M15" s="4">
        <v>1</v>
      </c>
      <c r="N15" s="9" t="str">
        <f t="shared" si="2"/>
        <v/>
      </c>
      <c r="O15" s="10" t="str">
        <f t="shared" si="3"/>
        <v/>
      </c>
      <c r="P15" s="10" t="str">
        <f t="shared" si="4"/>
        <v/>
      </c>
      <c r="Q15" s="2" t="str">
        <f t="shared" si="5"/>
        <v/>
      </c>
      <c r="R15" s="23">
        <v>3.3E-3</v>
      </c>
      <c r="S15" s="12">
        <v>2</v>
      </c>
      <c r="T15" s="13">
        <f t="shared" si="6"/>
        <v>1.65E-3</v>
      </c>
      <c r="U15" s="14">
        <v>0</v>
      </c>
      <c r="V15" s="15">
        <f t="shared" si="7"/>
        <v>1.7320508075688772</v>
      </c>
      <c r="W15" s="2">
        <f t="shared" si="8"/>
        <v>0</v>
      </c>
      <c r="X15" s="16">
        <v>0.1</v>
      </c>
      <c r="Y15" s="16">
        <v>3.4641016151377544</v>
      </c>
      <c r="Z15" s="2">
        <f t="shared" si="9"/>
        <v>2.8867513459481291E-2</v>
      </c>
      <c r="AA15" s="18" t="str">
        <f t="shared" si="10"/>
        <v/>
      </c>
      <c r="AB15" s="17">
        <f t="shared" si="11"/>
        <v>1.7320508075688772</v>
      </c>
      <c r="AC15" s="19" t="str">
        <f t="shared" si="12"/>
        <v/>
      </c>
      <c r="AD15" s="2">
        <f t="shared" si="13"/>
        <v>2.8914630091587432E-2</v>
      </c>
      <c r="AE15" s="20" t="str">
        <f t="shared" si="14"/>
        <v/>
      </c>
      <c r="AF15" s="21" t="str">
        <f t="shared" si="15"/>
        <v/>
      </c>
      <c r="AG15" s="19" t="str">
        <f t="shared" si="16"/>
        <v/>
      </c>
      <c r="AH15" s="22">
        <v>1.4E-3</v>
      </c>
      <c r="AI15" s="20">
        <f t="shared" si="17"/>
        <v>0</v>
      </c>
    </row>
    <row r="16" spans="1:35" x14ac:dyDescent="0.25">
      <c r="B16" s="3" t="s">
        <v>39</v>
      </c>
      <c r="C16" s="3">
        <v>100</v>
      </c>
      <c r="D16" s="2" t="s">
        <v>54</v>
      </c>
      <c r="E16" s="7" t="s">
        <v>40</v>
      </c>
      <c r="J16" s="8" t="str">
        <f t="shared" si="0"/>
        <v/>
      </c>
      <c r="K16" s="9" t="str">
        <f t="shared" si="1"/>
        <v/>
      </c>
      <c r="L16" s="4">
        <v>0.1</v>
      </c>
      <c r="M16" s="4">
        <v>1</v>
      </c>
      <c r="N16" s="9" t="str">
        <f t="shared" si="2"/>
        <v/>
      </c>
      <c r="O16" s="10" t="str">
        <f t="shared" si="3"/>
        <v/>
      </c>
      <c r="P16" s="10" t="str">
        <f t="shared" si="4"/>
        <v/>
      </c>
      <c r="Q16" s="2" t="str">
        <f t="shared" si="5"/>
        <v/>
      </c>
      <c r="R16" s="23">
        <v>3.1E-4</v>
      </c>
      <c r="S16" s="12">
        <v>2</v>
      </c>
      <c r="T16" s="13">
        <f t="shared" si="6"/>
        <v>1.55E-4</v>
      </c>
      <c r="U16" s="14">
        <v>0</v>
      </c>
      <c r="V16" s="15">
        <f t="shared" si="7"/>
        <v>1.7320508075688772</v>
      </c>
      <c r="W16" s="2">
        <f t="shared" si="8"/>
        <v>0</v>
      </c>
      <c r="X16" s="16">
        <v>1</v>
      </c>
      <c r="Y16" s="16">
        <v>3.4641016151377544</v>
      </c>
      <c r="Z16" s="2">
        <f t="shared" si="9"/>
        <v>0.28867513459481292</v>
      </c>
      <c r="AA16" s="18" t="str">
        <f t="shared" si="10"/>
        <v/>
      </c>
      <c r="AB16" s="17">
        <f t="shared" si="11"/>
        <v>1.7320508075688772</v>
      </c>
      <c r="AC16" s="19" t="str">
        <f t="shared" si="12"/>
        <v/>
      </c>
      <c r="AD16" s="2">
        <f t="shared" si="13"/>
        <v>0.28867517620733057</v>
      </c>
      <c r="AE16" s="20" t="str">
        <f t="shared" si="14"/>
        <v/>
      </c>
      <c r="AF16" s="21" t="str">
        <f t="shared" si="15"/>
        <v/>
      </c>
      <c r="AG16" s="19" t="str">
        <f t="shared" si="16"/>
        <v/>
      </c>
      <c r="AH16" s="22">
        <v>1.8000000000000001E-4</v>
      </c>
      <c r="AI16" s="20">
        <f t="shared" si="17"/>
        <v>0</v>
      </c>
    </row>
    <row r="17" spans="2:35" x14ac:dyDescent="0.25">
      <c r="B17" s="3" t="s">
        <v>39</v>
      </c>
      <c r="C17" s="3">
        <v>900</v>
      </c>
      <c r="D17" s="2" t="s">
        <v>54</v>
      </c>
      <c r="E17" s="7" t="s">
        <v>40</v>
      </c>
      <c r="J17" s="8" t="str">
        <f t="shared" si="0"/>
        <v/>
      </c>
      <c r="K17" s="9" t="str">
        <f t="shared" si="1"/>
        <v/>
      </c>
      <c r="L17" s="4">
        <v>0.1</v>
      </c>
      <c r="M17" s="4">
        <v>1</v>
      </c>
      <c r="N17" s="9" t="str">
        <f t="shared" si="2"/>
        <v/>
      </c>
      <c r="O17" s="10" t="str">
        <f t="shared" si="3"/>
        <v/>
      </c>
      <c r="P17" s="10" t="str">
        <f t="shared" si="4"/>
        <v/>
      </c>
      <c r="Q17" s="2" t="str">
        <f t="shared" si="5"/>
        <v/>
      </c>
      <c r="R17" s="23">
        <v>3.3E-3</v>
      </c>
      <c r="S17" s="12">
        <v>2</v>
      </c>
      <c r="T17" s="13">
        <f t="shared" si="6"/>
        <v>1.65E-3</v>
      </c>
      <c r="U17" s="14">
        <v>0</v>
      </c>
      <c r="V17" s="15">
        <f t="shared" si="7"/>
        <v>1.7320508075688772</v>
      </c>
      <c r="W17" s="2">
        <f t="shared" si="8"/>
        <v>0</v>
      </c>
      <c r="X17" s="16">
        <v>1</v>
      </c>
      <c r="Y17" s="16">
        <v>3.4641016151377544</v>
      </c>
      <c r="Z17" s="2">
        <f t="shared" si="9"/>
        <v>0.28867513459481292</v>
      </c>
      <c r="AA17" s="18" t="str">
        <f t="shared" si="10"/>
        <v/>
      </c>
      <c r="AB17" s="17">
        <f t="shared" si="11"/>
        <v>1.7320508075688772</v>
      </c>
      <c r="AC17" s="19" t="str">
        <f t="shared" si="12"/>
        <v/>
      </c>
      <c r="AD17" s="2">
        <f t="shared" si="13"/>
        <v>0.28867985006462321</v>
      </c>
      <c r="AE17" s="20" t="str">
        <f t="shared" si="14"/>
        <v/>
      </c>
      <c r="AF17" s="21" t="str">
        <f t="shared" si="15"/>
        <v/>
      </c>
      <c r="AG17" s="19" t="str">
        <f t="shared" si="16"/>
        <v/>
      </c>
      <c r="AH17" s="22">
        <v>1.4E-3</v>
      </c>
      <c r="AI17" s="20">
        <f t="shared" si="17"/>
        <v>0</v>
      </c>
    </row>
    <row r="18" spans="2:35" x14ac:dyDescent="0.25">
      <c r="B18" s="3" t="s">
        <v>39</v>
      </c>
      <c r="C18" s="3">
        <v>-900</v>
      </c>
      <c r="D18" s="2" t="s">
        <v>54</v>
      </c>
      <c r="E18" s="7" t="s">
        <v>40</v>
      </c>
      <c r="J18" s="8" t="str">
        <f t="shared" si="0"/>
        <v/>
      </c>
      <c r="K18" s="9" t="str">
        <f t="shared" si="1"/>
        <v/>
      </c>
      <c r="L18" s="4">
        <v>0.1</v>
      </c>
      <c r="M18" s="4">
        <v>1</v>
      </c>
      <c r="N18" s="9" t="str">
        <f t="shared" si="2"/>
        <v/>
      </c>
      <c r="O18" s="10" t="str">
        <f t="shared" si="3"/>
        <v/>
      </c>
      <c r="P18" s="10" t="str">
        <f t="shared" si="4"/>
        <v/>
      </c>
      <c r="Q18" s="2" t="str">
        <f t="shared" si="5"/>
        <v/>
      </c>
      <c r="R18" s="23">
        <v>3.3E-3</v>
      </c>
      <c r="S18" s="12">
        <v>2</v>
      </c>
      <c r="T18" s="13">
        <f t="shared" si="6"/>
        <v>1.65E-3</v>
      </c>
      <c r="U18" s="14">
        <v>0</v>
      </c>
      <c r="V18" s="15">
        <f t="shared" si="7"/>
        <v>1.7320508075688772</v>
      </c>
      <c r="W18" s="2">
        <f t="shared" si="8"/>
        <v>0</v>
      </c>
      <c r="X18" s="16">
        <v>1</v>
      </c>
      <c r="Y18" s="16">
        <v>3.4641016151377544</v>
      </c>
      <c r="Z18" s="2">
        <f t="shared" si="9"/>
        <v>0.28867513459481292</v>
      </c>
      <c r="AA18" s="18" t="str">
        <f t="shared" si="10"/>
        <v/>
      </c>
      <c r="AB18" s="17">
        <f t="shared" si="11"/>
        <v>1.7320508075688772</v>
      </c>
      <c r="AC18" s="19" t="str">
        <f t="shared" si="12"/>
        <v/>
      </c>
      <c r="AD18" s="2">
        <f t="shared" si="13"/>
        <v>0.28867985006462321</v>
      </c>
      <c r="AE18" s="20" t="str">
        <f t="shared" si="14"/>
        <v/>
      </c>
      <c r="AF18" s="21" t="str">
        <f t="shared" si="15"/>
        <v/>
      </c>
      <c r="AG18" s="19" t="str">
        <f t="shared" si="16"/>
        <v/>
      </c>
      <c r="AH18" s="22">
        <v>1.4E-3</v>
      </c>
      <c r="AI18" s="20">
        <f t="shared" si="17"/>
        <v>0</v>
      </c>
    </row>
    <row r="19" spans="2:35" x14ac:dyDescent="0.25">
      <c r="S19" s="12"/>
      <c r="U19" s="14"/>
      <c r="V19" s="15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2"/>
  <sheetViews>
    <sheetView zoomScale="115" zoomScaleNormal="115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4" sqref="A1:XFD1048576"/>
    </sheetView>
  </sheetViews>
  <sheetFormatPr defaultRowHeight="15" x14ac:dyDescent="0.25"/>
  <cols>
    <col min="1" max="1" width="8.71093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9.710937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6" customWidth="1"/>
    <col min="28" max="28" width="11.5703125" style="3" customWidth="1"/>
    <col min="29" max="29" width="10.7109375" style="19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0.285156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B2" s="3" t="s">
        <v>35</v>
      </c>
      <c r="C2" s="3">
        <v>60</v>
      </c>
      <c r="D2" s="2" t="s">
        <v>53</v>
      </c>
      <c r="E2" s="3" t="s">
        <v>42</v>
      </c>
      <c r="J2" s="8" t="str">
        <f t="shared" ref="J2:J23" si="0">IF(ISBLANK(G2),"",IF(ISBLANK(H2),"",IF(ISBLANK(I2),"",(AVERAGE(G2:I2)))))</f>
        <v/>
      </c>
      <c r="K2" s="9" t="str">
        <f t="shared" ref="K2:K23" si="1">IF(ISBLANK(G2),"",IF(ISBLANK(H2),"",IF(ISBLANK(I2),"",J2-C2)))</f>
        <v/>
      </c>
      <c r="L2" s="4">
        <v>0.7</v>
      </c>
      <c r="M2" s="4">
        <v>4</v>
      </c>
      <c r="N2" s="9" t="str">
        <f t="shared" ref="N2:N23" si="2">IF(ISBLANK(G2),"",IF(ISBLANK(H2),"",IF(ISBLANK(I2),"",ABS(J2*L2%)+(M2*X2))))</f>
        <v/>
      </c>
      <c r="O2" s="10" t="str">
        <f t="shared" ref="O2:O23" si="3">IF(ISBLANK(G2),"",IF(ISBLANK(H2),"",IF(ISBLANK(I2),"",C2+N2)))</f>
        <v/>
      </c>
      <c r="P2" s="10" t="str">
        <f t="shared" ref="P2:P23" si="4">IF(ISBLANK(G2),"",IF(ISBLANK(H2),"",IF(ISBLANK(I2),"",C2-N2)))</f>
        <v/>
      </c>
      <c r="Q2" s="2" t="str">
        <f t="shared" ref="Q2:Q23" si="5">IF(ISBLANK(G2),"",IF(ISBLANK(H2),"",IF(ISBLANK(I2),"",IF(AND(J2&gt;=P2,J2&lt;=O2),"PASS","FAIL"))))</f>
        <v/>
      </c>
      <c r="R2" s="23">
        <v>7.0000000000000007E-2</v>
      </c>
      <c r="S2" s="12">
        <v>2</v>
      </c>
      <c r="T2" s="13">
        <f t="shared" ref="T2:T23" si="6">IFERROR(R2/S2,0)</f>
        <v>3.5000000000000003E-2</v>
      </c>
      <c r="U2" s="14">
        <v>0</v>
      </c>
      <c r="V2" s="15">
        <f t="shared" ref="V2:V23" si="7">SQRT(3)</f>
        <v>1.7320508075688772</v>
      </c>
      <c r="W2" s="2">
        <f>IFERROR(U2/V2,0)</f>
        <v>0</v>
      </c>
      <c r="X2" s="16">
        <v>0.1</v>
      </c>
      <c r="Y2" s="16">
        <v>3.4641016151377544</v>
      </c>
      <c r="Z2" s="2">
        <f t="shared" ref="Z2:Z23" si="8">IFERROR(X2/Y2,0)</f>
        <v>2.8867513459481291E-2</v>
      </c>
      <c r="AA2" s="18" t="str">
        <f t="shared" ref="AA2:AA23" si="9">IF(ISBLANK(G2),"",IF(ISBLANK(H2),"",IF(ISBLANK(I2),"",STDEV(G2:I2))))</f>
        <v/>
      </c>
      <c r="AB2" s="17">
        <f t="shared" ref="AB2:AB23" si="10">SQRT(3)</f>
        <v>1.7320508075688772</v>
      </c>
      <c r="AC2" s="19" t="str">
        <f t="shared" ref="AC2:AC23" si="11">IF(ISBLANK(G2),"",IF(ISBLANK(H2),"",IF(ISBLANK(I2),"",AA2/AB2)))</f>
        <v/>
      </c>
      <c r="AD2" s="2">
        <f t="shared" ref="AD2:AD23" si="12">SQRT(SUMSQ(T2,W2,Z2,AC2))</f>
        <v>4.5368858629387339E-2</v>
      </c>
      <c r="AE2" s="20" t="str">
        <f t="shared" ref="AE2:AE23" si="13">IF(ISBLANK(G2),"",IF(ISBLANK(H2),"",IF(ISBLANK(I2),"",IF(AD2=0,0,(AD2^4)/(((AC2^4)/2)+((Z2^4)/200)+((W2^4)/200)+((T2^4)/200))))))</f>
        <v/>
      </c>
      <c r="AF2" s="21" t="str">
        <f t="shared" ref="AF2:AF23" si="14">IF(ISBLANK(G2),"",IF(ISBLANK(H2),"",IF(ISBLANK(I2),"",ROUND(IF(AE2&gt;=30,2,_xlfn.T.INV.2T(0.05,AE2)),0))))</f>
        <v/>
      </c>
      <c r="AG2" s="19" t="str">
        <f t="shared" ref="AG2:AG23" si="15">IF(ISBLANK(G2),"",IF(ISBLANK(H2),"",IF(ISBLANK(I2),"",AF2*AD2)))</f>
        <v/>
      </c>
      <c r="AH2" s="27">
        <v>0.01</v>
      </c>
      <c r="AI2" s="20">
        <f t="shared" ref="AI2:AI23" si="16">IF(ISBLANK(G2),0,IF(ISBLANK(H2),0,IF(ISBLANK(I2),0,MAX(AG2,AH2))))</f>
        <v>0</v>
      </c>
    </row>
    <row r="3" spans="1:35" x14ac:dyDescent="0.25">
      <c r="B3" s="3" t="s">
        <v>35</v>
      </c>
      <c r="C3" s="3">
        <v>60</v>
      </c>
      <c r="D3" s="2" t="s">
        <v>53</v>
      </c>
      <c r="E3" s="3" t="s">
        <v>43</v>
      </c>
      <c r="J3" s="8" t="str">
        <f t="shared" si="0"/>
        <v/>
      </c>
      <c r="K3" s="9" t="str">
        <f t="shared" si="1"/>
        <v/>
      </c>
      <c r="L3" s="4">
        <v>1</v>
      </c>
      <c r="M3" s="4">
        <v>2</v>
      </c>
      <c r="N3" s="9" t="str">
        <f t="shared" si="2"/>
        <v/>
      </c>
      <c r="O3" s="10" t="str">
        <f t="shared" si="3"/>
        <v/>
      </c>
      <c r="P3" s="10" t="str">
        <f t="shared" si="4"/>
        <v/>
      </c>
      <c r="Q3" s="2" t="str">
        <f t="shared" si="5"/>
        <v/>
      </c>
      <c r="R3" s="23">
        <v>7.0000000000000007E-2</v>
      </c>
      <c r="S3" s="12">
        <v>2</v>
      </c>
      <c r="T3" s="13">
        <f t="shared" si="6"/>
        <v>3.5000000000000003E-2</v>
      </c>
      <c r="U3" s="14">
        <v>0</v>
      </c>
      <c r="V3" s="15">
        <f t="shared" si="7"/>
        <v>1.7320508075688772</v>
      </c>
      <c r="W3" s="2">
        <f t="shared" ref="W3:W23" si="17">IFERROR(U3/V3,0)</f>
        <v>0</v>
      </c>
      <c r="X3" s="16">
        <v>0.1</v>
      </c>
      <c r="Y3" s="16">
        <v>3.4641016151377544</v>
      </c>
      <c r="Z3" s="2">
        <f t="shared" si="8"/>
        <v>2.8867513459481291E-2</v>
      </c>
      <c r="AA3" s="18" t="str">
        <f t="shared" si="9"/>
        <v/>
      </c>
      <c r="AB3" s="17">
        <f t="shared" si="10"/>
        <v>1.7320508075688772</v>
      </c>
      <c r="AC3" s="19" t="str">
        <f t="shared" si="11"/>
        <v/>
      </c>
      <c r="AD3" s="2">
        <f t="shared" si="12"/>
        <v>4.5368858629387339E-2</v>
      </c>
      <c r="AE3" s="20" t="str">
        <f t="shared" si="13"/>
        <v/>
      </c>
      <c r="AF3" s="21" t="str">
        <f t="shared" si="14"/>
        <v/>
      </c>
      <c r="AG3" s="19" t="str">
        <f t="shared" si="15"/>
        <v/>
      </c>
      <c r="AH3" s="27">
        <v>0.01</v>
      </c>
      <c r="AI3" s="20">
        <f t="shared" si="16"/>
        <v>0</v>
      </c>
    </row>
    <row r="4" spans="1:35" x14ac:dyDescent="0.25">
      <c r="B4" s="3" t="s">
        <v>35</v>
      </c>
      <c r="C4" s="3">
        <v>540</v>
      </c>
      <c r="D4" s="2" t="s">
        <v>53</v>
      </c>
      <c r="E4" s="3" t="s">
        <v>42</v>
      </c>
      <c r="J4" s="8" t="str">
        <f t="shared" si="0"/>
        <v/>
      </c>
      <c r="K4" s="9" t="str">
        <f t="shared" si="1"/>
        <v/>
      </c>
      <c r="L4" s="4">
        <v>0.7</v>
      </c>
      <c r="M4" s="4">
        <v>4</v>
      </c>
      <c r="N4" s="9" t="str">
        <f t="shared" si="2"/>
        <v/>
      </c>
      <c r="O4" s="10" t="str">
        <f t="shared" si="3"/>
        <v/>
      </c>
      <c r="P4" s="10" t="str">
        <f t="shared" si="4"/>
        <v/>
      </c>
      <c r="Q4" s="2" t="str">
        <f t="shared" si="5"/>
        <v/>
      </c>
      <c r="R4" s="23">
        <v>0.91</v>
      </c>
      <c r="S4" s="12">
        <v>2</v>
      </c>
      <c r="T4" s="13">
        <f t="shared" si="6"/>
        <v>0.45500000000000002</v>
      </c>
      <c r="U4" s="14">
        <v>0</v>
      </c>
      <c r="V4" s="15">
        <f t="shared" si="7"/>
        <v>1.7320508075688772</v>
      </c>
      <c r="W4" s="2">
        <f t="shared" si="17"/>
        <v>0</v>
      </c>
      <c r="X4" s="16">
        <v>0.1</v>
      </c>
      <c r="Y4" s="16">
        <v>3.4641016151377544</v>
      </c>
      <c r="Z4" s="2">
        <f t="shared" si="8"/>
        <v>2.8867513459481291E-2</v>
      </c>
      <c r="AA4" s="18" t="str">
        <f t="shared" si="9"/>
        <v/>
      </c>
      <c r="AB4" s="17">
        <f t="shared" si="10"/>
        <v>1.7320508075688772</v>
      </c>
      <c r="AC4" s="19" t="str">
        <f t="shared" si="11"/>
        <v/>
      </c>
      <c r="AD4" s="2">
        <f t="shared" si="12"/>
        <v>0.45591483122764642</v>
      </c>
      <c r="AE4" s="20" t="str">
        <f t="shared" si="13"/>
        <v/>
      </c>
      <c r="AF4" s="21" t="str">
        <f t="shared" si="14"/>
        <v/>
      </c>
      <c r="AG4" s="19" t="str">
        <f t="shared" si="15"/>
        <v/>
      </c>
      <c r="AH4" s="27">
        <v>8.5000000000000006E-2</v>
      </c>
      <c r="AI4" s="20">
        <f t="shared" si="16"/>
        <v>0</v>
      </c>
    </row>
    <row r="5" spans="1:35" x14ac:dyDescent="0.25">
      <c r="B5" s="3" t="s">
        <v>35</v>
      </c>
      <c r="C5" s="3">
        <v>540</v>
      </c>
      <c r="D5" s="2" t="s">
        <v>53</v>
      </c>
      <c r="E5" s="3" t="s">
        <v>43</v>
      </c>
      <c r="J5" s="8" t="str">
        <f t="shared" si="0"/>
        <v/>
      </c>
      <c r="K5" s="9" t="str">
        <f t="shared" si="1"/>
        <v/>
      </c>
      <c r="L5" s="4">
        <v>1</v>
      </c>
      <c r="M5" s="4">
        <v>2</v>
      </c>
      <c r="N5" s="9" t="str">
        <f t="shared" si="2"/>
        <v/>
      </c>
      <c r="O5" s="10" t="str">
        <f t="shared" si="3"/>
        <v/>
      </c>
      <c r="P5" s="10" t="str">
        <f t="shared" si="4"/>
        <v/>
      </c>
      <c r="Q5" s="2" t="str">
        <f t="shared" si="5"/>
        <v/>
      </c>
      <c r="R5" s="23">
        <v>0.91</v>
      </c>
      <c r="S5" s="12">
        <v>2</v>
      </c>
      <c r="T5" s="13">
        <f t="shared" si="6"/>
        <v>0.45500000000000002</v>
      </c>
      <c r="U5" s="14">
        <v>0</v>
      </c>
      <c r="V5" s="15">
        <f t="shared" si="7"/>
        <v>1.7320508075688772</v>
      </c>
      <c r="W5" s="2">
        <f t="shared" si="17"/>
        <v>0</v>
      </c>
      <c r="X5" s="16">
        <v>0.1</v>
      </c>
      <c r="Y5" s="16">
        <v>3.4641016151377544</v>
      </c>
      <c r="Z5" s="2">
        <f t="shared" si="8"/>
        <v>2.8867513459481291E-2</v>
      </c>
      <c r="AA5" s="18" t="str">
        <f t="shared" si="9"/>
        <v/>
      </c>
      <c r="AB5" s="17">
        <f t="shared" si="10"/>
        <v>1.7320508075688772</v>
      </c>
      <c r="AC5" s="19" t="str">
        <f t="shared" si="11"/>
        <v/>
      </c>
      <c r="AD5" s="2">
        <f t="shared" si="12"/>
        <v>0.45591483122764642</v>
      </c>
      <c r="AE5" s="20" t="str">
        <f t="shared" si="13"/>
        <v/>
      </c>
      <c r="AF5" s="21" t="str">
        <f t="shared" si="14"/>
        <v/>
      </c>
      <c r="AG5" s="19" t="str">
        <f t="shared" si="15"/>
        <v/>
      </c>
      <c r="AH5" s="27">
        <v>8.5000000000000006E-2</v>
      </c>
      <c r="AI5" s="20">
        <f t="shared" si="16"/>
        <v>0</v>
      </c>
    </row>
    <row r="6" spans="1:35" x14ac:dyDescent="0.25">
      <c r="B6" s="3" t="s">
        <v>36</v>
      </c>
      <c r="C6" s="3">
        <v>0.60000000000000009</v>
      </c>
      <c r="D6" s="2" t="s">
        <v>54</v>
      </c>
      <c r="E6" s="3" t="s">
        <v>42</v>
      </c>
      <c r="J6" s="8" t="str">
        <f t="shared" si="0"/>
        <v/>
      </c>
      <c r="K6" s="9" t="str">
        <f t="shared" si="1"/>
        <v/>
      </c>
      <c r="L6" s="4">
        <v>0.7</v>
      </c>
      <c r="M6" s="4">
        <v>4</v>
      </c>
      <c r="N6" s="9" t="str">
        <f t="shared" si="2"/>
        <v/>
      </c>
      <c r="O6" s="10" t="str">
        <f t="shared" si="3"/>
        <v/>
      </c>
      <c r="P6" s="10" t="str">
        <f t="shared" si="4"/>
        <v/>
      </c>
      <c r="Q6" s="2" t="str">
        <f t="shared" si="5"/>
        <v/>
      </c>
      <c r="R6" s="23">
        <v>9.1E-4</v>
      </c>
      <c r="S6" s="12">
        <v>2</v>
      </c>
      <c r="T6" s="13">
        <f t="shared" si="6"/>
        <v>4.55E-4</v>
      </c>
      <c r="U6" s="14">
        <v>0</v>
      </c>
      <c r="V6" s="15">
        <f t="shared" si="7"/>
        <v>1.7320508075688772</v>
      </c>
      <c r="W6" s="2">
        <f t="shared" si="17"/>
        <v>0</v>
      </c>
      <c r="X6" s="16">
        <v>1E-3</v>
      </c>
      <c r="Y6" s="16">
        <v>3.4641016151377544</v>
      </c>
      <c r="Z6" s="2">
        <f t="shared" si="8"/>
        <v>2.886751345948129E-4</v>
      </c>
      <c r="AA6" s="18" t="str">
        <f t="shared" si="9"/>
        <v/>
      </c>
      <c r="AB6" s="17">
        <f t="shared" si="10"/>
        <v>1.7320508075688772</v>
      </c>
      <c r="AC6" s="19" t="str">
        <f t="shared" si="11"/>
        <v/>
      </c>
      <c r="AD6" s="2">
        <f t="shared" si="12"/>
        <v>5.3884908214947656E-4</v>
      </c>
      <c r="AE6" s="20" t="str">
        <f t="shared" si="13"/>
        <v/>
      </c>
      <c r="AF6" s="21" t="str">
        <f t="shared" si="14"/>
        <v/>
      </c>
      <c r="AG6" s="19" t="str">
        <f t="shared" si="15"/>
        <v/>
      </c>
      <c r="AH6" s="27">
        <v>8.5000000000000006E-5</v>
      </c>
      <c r="AI6" s="20">
        <f t="shared" si="16"/>
        <v>0</v>
      </c>
    </row>
    <row r="7" spans="1:35" x14ac:dyDescent="0.25">
      <c r="B7" s="3" t="s">
        <v>36</v>
      </c>
      <c r="C7" s="3">
        <v>0.60000000000000009</v>
      </c>
      <c r="D7" s="2" t="s">
        <v>54</v>
      </c>
      <c r="E7" s="3" t="s">
        <v>43</v>
      </c>
      <c r="J7" s="8" t="str">
        <f t="shared" si="0"/>
        <v/>
      </c>
      <c r="K7" s="9" t="str">
        <f t="shared" si="1"/>
        <v/>
      </c>
      <c r="L7" s="4">
        <v>1</v>
      </c>
      <c r="M7" s="4">
        <v>2</v>
      </c>
      <c r="N7" s="9" t="str">
        <f t="shared" si="2"/>
        <v/>
      </c>
      <c r="O7" s="10" t="str">
        <f t="shared" si="3"/>
        <v/>
      </c>
      <c r="P7" s="10" t="str">
        <f t="shared" si="4"/>
        <v/>
      </c>
      <c r="Q7" s="2" t="str">
        <f t="shared" si="5"/>
        <v/>
      </c>
      <c r="R7" s="23">
        <v>9.1E-4</v>
      </c>
      <c r="S7" s="12">
        <v>2</v>
      </c>
      <c r="T7" s="13">
        <f t="shared" si="6"/>
        <v>4.55E-4</v>
      </c>
      <c r="U7" s="14">
        <v>0</v>
      </c>
      <c r="V7" s="15">
        <f t="shared" si="7"/>
        <v>1.7320508075688772</v>
      </c>
      <c r="W7" s="2">
        <f t="shared" si="17"/>
        <v>0</v>
      </c>
      <c r="X7" s="16">
        <v>1E-3</v>
      </c>
      <c r="Y7" s="16">
        <v>3.4641016151377544</v>
      </c>
      <c r="Z7" s="2">
        <f t="shared" si="8"/>
        <v>2.886751345948129E-4</v>
      </c>
      <c r="AA7" s="18" t="str">
        <f t="shared" si="9"/>
        <v/>
      </c>
      <c r="AB7" s="17">
        <f t="shared" si="10"/>
        <v>1.7320508075688772</v>
      </c>
      <c r="AC7" s="19" t="str">
        <f t="shared" si="11"/>
        <v/>
      </c>
      <c r="AD7" s="2">
        <f t="shared" si="12"/>
        <v>5.3884908214947656E-4</v>
      </c>
      <c r="AE7" s="20" t="str">
        <f t="shared" si="13"/>
        <v/>
      </c>
      <c r="AF7" s="21" t="str">
        <f t="shared" si="14"/>
        <v/>
      </c>
      <c r="AG7" s="19" t="str">
        <f t="shared" si="15"/>
        <v/>
      </c>
      <c r="AH7" s="27">
        <v>8.5000000000000006E-5</v>
      </c>
      <c r="AI7" s="20">
        <f t="shared" si="16"/>
        <v>0</v>
      </c>
    </row>
    <row r="8" spans="1:35" x14ac:dyDescent="0.25">
      <c r="B8" s="3" t="s">
        <v>36</v>
      </c>
      <c r="C8" s="3">
        <v>5.4</v>
      </c>
      <c r="D8" s="2" t="s">
        <v>54</v>
      </c>
      <c r="E8" s="3" t="s">
        <v>42</v>
      </c>
      <c r="J8" s="8" t="str">
        <f t="shared" si="0"/>
        <v/>
      </c>
      <c r="K8" s="9" t="str">
        <f t="shared" si="1"/>
        <v/>
      </c>
      <c r="L8" s="4">
        <v>0.7</v>
      </c>
      <c r="M8" s="4">
        <v>4</v>
      </c>
      <c r="N8" s="9" t="str">
        <f t="shared" si="2"/>
        <v/>
      </c>
      <c r="O8" s="10" t="str">
        <f t="shared" si="3"/>
        <v/>
      </c>
      <c r="P8" s="10" t="str">
        <f t="shared" si="4"/>
        <v/>
      </c>
      <c r="Q8" s="2" t="str">
        <f t="shared" si="5"/>
        <v/>
      </c>
      <c r="R8" s="23">
        <v>7.3000000000000001E-3</v>
      </c>
      <c r="S8" s="12">
        <v>2</v>
      </c>
      <c r="T8" s="13">
        <f t="shared" si="6"/>
        <v>3.65E-3</v>
      </c>
      <c r="U8" s="14">
        <v>0</v>
      </c>
      <c r="V8" s="15">
        <f t="shared" si="7"/>
        <v>1.7320508075688772</v>
      </c>
      <c r="W8" s="2">
        <f t="shared" si="17"/>
        <v>0</v>
      </c>
      <c r="X8" s="16">
        <v>1E-3</v>
      </c>
      <c r="Y8" s="16">
        <v>3.4641016151377544</v>
      </c>
      <c r="Z8" s="2">
        <f t="shared" si="8"/>
        <v>2.886751345948129E-4</v>
      </c>
      <c r="AA8" s="18" t="str">
        <f t="shared" si="9"/>
        <v/>
      </c>
      <c r="AB8" s="17">
        <f t="shared" si="10"/>
        <v>1.7320508075688772</v>
      </c>
      <c r="AC8" s="19" t="str">
        <f t="shared" si="11"/>
        <v/>
      </c>
      <c r="AD8" s="2">
        <f t="shared" si="12"/>
        <v>3.6613977294652563E-3</v>
      </c>
      <c r="AE8" s="20" t="str">
        <f t="shared" si="13"/>
        <v/>
      </c>
      <c r="AF8" s="21" t="str">
        <f t="shared" si="14"/>
        <v/>
      </c>
      <c r="AG8" s="19" t="str">
        <f t="shared" si="15"/>
        <v/>
      </c>
      <c r="AH8" s="27">
        <v>8.4999999999999995E-4</v>
      </c>
      <c r="AI8" s="20">
        <f t="shared" si="16"/>
        <v>0</v>
      </c>
    </row>
    <row r="9" spans="1:35" x14ac:dyDescent="0.25">
      <c r="B9" s="3" t="s">
        <v>36</v>
      </c>
      <c r="C9" s="3">
        <v>5.4</v>
      </c>
      <c r="D9" s="2" t="s">
        <v>54</v>
      </c>
      <c r="E9" s="3" t="s">
        <v>43</v>
      </c>
      <c r="J9" s="8" t="str">
        <f t="shared" si="0"/>
        <v/>
      </c>
      <c r="K9" s="9" t="str">
        <f t="shared" si="1"/>
        <v/>
      </c>
      <c r="L9" s="4">
        <v>1</v>
      </c>
      <c r="M9" s="4">
        <v>2</v>
      </c>
      <c r="N9" s="9" t="str">
        <f t="shared" si="2"/>
        <v/>
      </c>
      <c r="O9" s="10" t="str">
        <f t="shared" si="3"/>
        <v/>
      </c>
      <c r="P9" s="10" t="str">
        <f t="shared" si="4"/>
        <v/>
      </c>
      <c r="Q9" s="2" t="str">
        <f t="shared" si="5"/>
        <v/>
      </c>
      <c r="R9" s="23">
        <v>7.3000000000000001E-3</v>
      </c>
      <c r="S9" s="12">
        <v>2</v>
      </c>
      <c r="T9" s="13">
        <f t="shared" si="6"/>
        <v>3.65E-3</v>
      </c>
      <c r="U9" s="14">
        <v>0</v>
      </c>
      <c r="V9" s="15">
        <f t="shared" si="7"/>
        <v>1.7320508075688772</v>
      </c>
      <c r="W9" s="2">
        <f t="shared" si="17"/>
        <v>0</v>
      </c>
      <c r="X9" s="16">
        <v>1E-3</v>
      </c>
      <c r="Y9" s="16">
        <v>3.4641016151377544</v>
      </c>
      <c r="Z9" s="2">
        <f t="shared" si="8"/>
        <v>2.886751345948129E-4</v>
      </c>
      <c r="AA9" s="18" t="str">
        <f t="shared" si="9"/>
        <v/>
      </c>
      <c r="AB9" s="17">
        <f t="shared" si="10"/>
        <v>1.7320508075688772</v>
      </c>
      <c r="AC9" s="19" t="str">
        <f t="shared" si="11"/>
        <v/>
      </c>
      <c r="AD9" s="2">
        <f t="shared" si="12"/>
        <v>3.6613977294652563E-3</v>
      </c>
      <c r="AE9" s="20" t="str">
        <f t="shared" si="13"/>
        <v/>
      </c>
      <c r="AF9" s="21" t="str">
        <f t="shared" si="14"/>
        <v/>
      </c>
      <c r="AG9" s="19" t="str">
        <f t="shared" si="15"/>
        <v/>
      </c>
      <c r="AH9" s="27">
        <v>8.4999999999999995E-4</v>
      </c>
      <c r="AI9" s="20">
        <f t="shared" si="16"/>
        <v>0</v>
      </c>
    </row>
    <row r="10" spans="1:35" x14ac:dyDescent="0.25">
      <c r="B10" s="3" t="s">
        <v>37</v>
      </c>
      <c r="C10" s="3">
        <v>6</v>
      </c>
      <c r="D10" s="2" t="s">
        <v>54</v>
      </c>
      <c r="E10" s="3" t="s">
        <v>42</v>
      </c>
      <c r="J10" s="8" t="str">
        <f t="shared" si="0"/>
        <v/>
      </c>
      <c r="K10" s="9" t="str">
        <f t="shared" si="1"/>
        <v/>
      </c>
      <c r="L10" s="4">
        <v>0.7</v>
      </c>
      <c r="M10" s="4">
        <v>4</v>
      </c>
      <c r="N10" s="9" t="str">
        <f t="shared" si="2"/>
        <v/>
      </c>
      <c r="O10" s="10" t="str">
        <f t="shared" si="3"/>
        <v/>
      </c>
      <c r="P10" s="10" t="str">
        <f t="shared" si="4"/>
        <v/>
      </c>
      <c r="Q10" s="2" t="str">
        <f t="shared" si="5"/>
        <v/>
      </c>
      <c r="R10" s="23">
        <v>7.3000000000000001E-3</v>
      </c>
      <c r="S10" s="12">
        <v>2</v>
      </c>
      <c r="T10" s="13">
        <f t="shared" si="6"/>
        <v>3.65E-3</v>
      </c>
      <c r="U10" s="14">
        <v>0</v>
      </c>
      <c r="V10" s="15">
        <f t="shared" si="7"/>
        <v>1.7320508075688772</v>
      </c>
      <c r="W10" s="2">
        <f t="shared" si="17"/>
        <v>0</v>
      </c>
      <c r="X10" s="16">
        <v>0.01</v>
      </c>
      <c r="Y10" s="16">
        <v>3.4641016151377544</v>
      </c>
      <c r="Z10" s="2">
        <f t="shared" si="8"/>
        <v>2.886751345948129E-3</v>
      </c>
      <c r="AA10" s="18" t="str">
        <f t="shared" si="9"/>
        <v/>
      </c>
      <c r="AB10" s="17">
        <f t="shared" si="10"/>
        <v>1.7320508075688772</v>
      </c>
      <c r="AC10" s="19" t="str">
        <f t="shared" si="11"/>
        <v/>
      </c>
      <c r="AD10" s="2">
        <f t="shared" si="12"/>
        <v>4.6535828490887896E-3</v>
      </c>
      <c r="AE10" s="20" t="str">
        <f t="shared" si="13"/>
        <v/>
      </c>
      <c r="AF10" s="21" t="str">
        <f t="shared" si="14"/>
        <v/>
      </c>
      <c r="AG10" s="19" t="str">
        <f t="shared" si="15"/>
        <v/>
      </c>
      <c r="AH10" s="27">
        <v>8.4999999999999995E-4</v>
      </c>
      <c r="AI10" s="20">
        <f t="shared" si="16"/>
        <v>0</v>
      </c>
    </row>
    <row r="11" spans="1:35" x14ac:dyDescent="0.25">
      <c r="B11" s="3" t="s">
        <v>37</v>
      </c>
      <c r="C11" s="3">
        <v>6</v>
      </c>
      <c r="D11" s="2" t="s">
        <v>54</v>
      </c>
      <c r="E11" s="3" t="s">
        <v>43</v>
      </c>
      <c r="J11" s="8" t="str">
        <f t="shared" si="0"/>
        <v/>
      </c>
      <c r="K11" s="9" t="str">
        <f t="shared" si="1"/>
        <v/>
      </c>
      <c r="L11" s="4">
        <v>1</v>
      </c>
      <c r="M11" s="4">
        <v>2</v>
      </c>
      <c r="N11" s="9" t="str">
        <f t="shared" si="2"/>
        <v/>
      </c>
      <c r="O11" s="10" t="str">
        <f t="shared" si="3"/>
        <v/>
      </c>
      <c r="P11" s="10" t="str">
        <f t="shared" si="4"/>
        <v/>
      </c>
      <c r="Q11" s="2" t="str">
        <f t="shared" si="5"/>
        <v/>
      </c>
      <c r="R11" s="23">
        <v>7.3000000000000001E-3</v>
      </c>
      <c r="S11" s="12">
        <v>2</v>
      </c>
      <c r="T11" s="13">
        <f t="shared" si="6"/>
        <v>3.65E-3</v>
      </c>
      <c r="U11" s="14">
        <v>0</v>
      </c>
      <c r="V11" s="15">
        <f t="shared" si="7"/>
        <v>1.7320508075688772</v>
      </c>
      <c r="W11" s="2">
        <f t="shared" si="17"/>
        <v>0</v>
      </c>
      <c r="X11" s="16">
        <v>0.01</v>
      </c>
      <c r="Y11" s="16">
        <v>3.4641016151377544</v>
      </c>
      <c r="Z11" s="2">
        <f t="shared" si="8"/>
        <v>2.886751345948129E-3</v>
      </c>
      <c r="AA11" s="18" t="str">
        <f t="shared" si="9"/>
        <v/>
      </c>
      <c r="AB11" s="17">
        <f t="shared" si="10"/>
        <v>1.7320508075688772</v>
      </c>
      <c r="AC11" s="19" t="str">
        <f t="shared" si="11"/>
        <v/>
      </c>
      <c r="AD11" s="2">
        <f t="shared" si="12"/>
        <v>4.6535828490887896E-3</v>
      </c>
      <c r="AE11" s="20" t="str">
        <f t="shared" si="13"/>
        <v/>
      </c>
      <c r="AF11" s="21" t="str">
        <f t="shared" si="14"/>
        <v/>
      </c>
      <c r="AG11" s="19" t="str">
        <f t="shared" si="15"/>
        <v/>
      </c>
      <c r="AH11" s="27">
        <v>8.4999999999999995E-4</v>
      </c>
      <c r="AI11" s="20">
        <f t="shared" si="16"/>
        <v>0</v>
      </c>
    </row>
    <row r="12" spans="1:35" x14ac:dyDescent="0.25">
      <c r="B12" s="3" t="s">
        <v>37</v>
      </c>
      <c r="C12" s="3">
        <v>30</v>
      </c>
      <c r="D12" s="2" t="s">
        <v>54</v>
      </c>
      <c r="E12" s="3" t="s">
        <v>42</v>
      </c>
      <c r="J12" s="8" t="str">
        <f t="shared" si="0"/>
        <v/>
      </c>
      <c r="K12" s="9" t="str">
        <f t="shared" si="1"/>
        <v/>
      </c>
      <c r="L12" s="4">
        <v>0.7</v>
      </c>
      <c r="M12" s="4">
        <v>4</v>
      </c>
      <c r="N12" s="9" t="str">
        <f t="shared" si="2"/>
        <v/>
      </c>
      <c r="O12" s="10" t="str">
        <f t="shared" si="3"/>
        <v/>
      </c>
      <c r="P12" s="10" t="str">
        <f t="shared" si="4"/>
        <v/>
      </c>
      <c r="Q12" s="2" t="str">
        <f t="shared" si="5"/>
        <v/>
      </c>
      <c r="R12" s="23">
        <v>7.3000000000000001E-3</v>
      </c>
      <c r="S12" s="12">
        <v>2</v>
      </c>
      <c r="T12" s="13">
        <f t="shared" si="6"/>
        <v>3.65E-3</v>
      </c>
      <c r="U12" s="14">
        <v>0</v>
      </c>
      <c r="V12" s="15">
        <f t="shared" si="7"/>
        <v>1.7320508075688772</v>
      </c>
      <c r="W12" s="2">
        <f t="shared" si="17"/>
        <v>0</v>
      </c>
      <c r="X12" s="16">
        <v>0.01</v>
      </c>
      <c r="Y12" s="16">
        <v>3.4641016151377544</v>
      </c>
      <c r="Z12" s="2">
        <f t="shared" si="8"/>
        <v>2.886751345948129E-3</v>
      </c>
      <c r="AA12" s="18" t="str">
        <f t="shared" si="9"/>
        <v/>
      </c>
      <c r="AB12" s="17">
        <f t="shared" si="10"/>
        <v>1.7320508075688772</v>
      </c>
      <c r="AC12" s="19" t="str">
        <f t="shared" si="11"/>
        <v/>
      </c>
      <c r="AD12" s="2">
        <f t="shared" si="12"/>
        <v>4.6535828490887896E-3</v>
      </c>
      <c r="AE12" s="20" t="str">
        <f t="shared" si="13"/>
        <v/>
      </c>
      <c r="AF12" s="21" t="str">
        <f t="shared" si="14"/>
        <v/>
      </c>
      <c r="AG12" s="19" t="str">
        <f t="shared" si="15"/>
        <v/>
      </c>
      <c r="AH12" s="27">
        <v>8.4999999999999995E-4</v>
      </c>
      <c r="AI12" s="20">
        <f t="shared" si="16"/>
        <v>0</v>
      </c>
    </row>
    <row r="13" spans="1:35" x14ac:dyDescent="0.25">
      <c r="B13" s="3" t="s">
        <v>37</v>
      </c>
      <c r="C13" s="3">
        <v>30</v>
      </c>
      <c r="D13" s="2" t="s">
        <v>54</v>
      </c>
      <c r="E13" s="3" t="s">
        <v>43</v>
      </c>
      <c r="J13" s="8" t="str">
        <f t="shared" si="0"/>
        <v/>
      </c>
      <c r="K13" s="9" t="str">
        <f t="shared" si="1"/>
        <v/>
      </c>
      <c r="L13" s="4">
        <v>1</v>
      </c>
      <c r="M13" s="4">
        <v>2</v>
      </c>
      <c r="N13" s="9" t="str">
        <f t="shared" si="2"/>
        <v/>
      </c>
      <c r="O13" s="10" t="str">
        <f t="shared" si="3"/>
        <v/>
      </c>
      <c r="P13" s="10" t="str">
        <f t="shared" si="4"/>
        <v/>
      </c>
      <c r="Q13" s="2" t="str">
        <f t="shared" si="5"/>
        <v/>
      </c>
      <c r="R13" s="23">
        <v>7.3000000000000001E-3</v>
      </c>
      <c r="S13" s="12">
        <v>2</v>
      </c>
      <c r="T13" s="13">
        <f t="shared" si="6"/>
        <v>3.65E-3</v>
      </c>
      <c r="U13" s="14">
        <v>0</v>
      </c>
      <c r="V13" s="15">
        <f t="shared" si="7"/>
        <v>1.7320508075688772</v>
      </c>
      <c r="W13" s="2">
        <f t="shared" si="17"/>
        <v>0</v>
      </c>
      <c r="X13" s="16">
        <v>0.01</v>
      </c>
      <c r="Y13" s="16">
        <v>3.4641016151377544</v>
      </c>
      <c r="Z13" s="2">
        <f t="shared" si="8"/>
        <v>2.886751345948129E-3</v>
      </c>
      <c r="AA13" s="18" t="str">
        <f t="shared" si="9"/>
        <v/>
      </c>
      <c r="AB13" s="17">
        <f t="shared" si="10"/>
        <v>1.7320508075688772</v>
      </c>
      <c r="AC13" s="19" t="str">
        <f t="shared" si="11"/>
        <v/>
      </c>
      <c r="AD13" s="2">
        <f t="shared" si="12"/>
        <v>4.6535828490887896E-3</v>
      </c>
      <c r="AE13" s="20" t="str">
        <f t="shared" si="13"/>
        <v/>
      </c>
      <c r="AF13" s="21" t="str">
        <f t="shared" si="14"/>
        <v/>
      </c>
      <c r="AG13" s="19" t="str">
        <f t="shared" si="15"/>
        <v/>
      </c>
      <c r="AH13" s="27">
        <v>8.4999999999999995E-4</v>
      </c>
      <c r="AI13" s="20">
        <f t="shared" si="16"/>
        <v>0</v>
      </c>
    </row>
    <row r="14" spans="1:35" x14ac:dyDescent="0.25">
      <c r="B14" s="3" t="s">
        <v>37</v>
      </c>
      <c r="C14" s="3">
        <v>54</v>
      </c>
      <c r="D14" s="2" t="s">
        <v>54</v>
      </c>
      <c r="E14" s="3" t="s">
        <v>42</v>
      </c>
      <c r="J14" s="8" t="str">
        <f t="shared" si="0"/>
        <v/>
      </c>
      <c r="K14" s="9" t="str">
        <f t="shared" si="1"/>
        <v/>
      </c>
      <c r="L14" s="4">
        <v>0.7</v>
      </c>
      <c r="M14" s="4">
        <v>4</v>
      </c>
      <c r="N14" s="9" t="str">
        <f t="shared" si="2"/>
        <v/>
      </c>
      <c r="O14" s="10" t="str">
        <f t="shared" si="3"/>
        <v/>
      </c>
      <c r="P14" s="10" t="str">
        <f t="shared" si="4"/>
        <v/>
      </c>
      <c r="Q14" s="2" t="str">
        <f t="shared" si="5"/>
        <v/>
      </c>
      <c r="R14" s="23">
        <v>7.0999999999999994E-2</v>
      </c>
      <c r="S14" s="12">
        <v>2</v>
      </c>
      <c r="T14" s="13">
        <f t="shared" si="6"/>
        <v>3.5499999999999997E-2</v>
      </c>
      <c r="U14" s="14">
        <v>0</v>
      </c>
      <c r="V14" s="15">
        <f t="shared" si="7"/>
        <v>1.7320508075688772</v>
      </c>
      <c r="W14" s="2">
        <f t="shared" si="17"/>
        <v>0</v>
      </c>
      <c r="X14" s="16">
        <v>0.01</v>
      </c>
      <c r="Y14" s="16">
        <v>3.4641016151377544</v>
      </c>
      <c r="Z14" s="2">
        <f t="shared" si="8"/>
        <v>2.886751345948129E-3</v>
      </c>
      <c r="AA14" s="18" t="str">
        <f t="shared" si="9"/>
        <v/>
      </c>
      <c r="AB14" s="17">
        <f t="shared" si="10"/>
        <v>1.7320508075688772</v>
      </c>
      <c r="AC14" s="19" t="str">
        <f t="shared" si="11"/>
        <v/>
      </c>
      <c r="AD14" s="2">
        <f t="shared" si="12"/>
        <v>3.561717750374576E-2</v>
      </c>
      <c r="AE14" s="20" t="str">
        <f t="shared" si="13"/>
        <v/>
      </c>
      <c r="AF14" s="21" t="str">
        <f t="shared" si="14"/>
        <v/>
      </c>
      <c r="AG14" s="19" t="str">
        <f t="shared" si="15"/>
        <v/>
      </c>
      <c r="AH14" s="27">
        <v>6.4000000000000003E-3</v>
      </c>
      <c r="AI14" s="20">
        <f t="shared" si="16"/>
        <v>0</v>
      </c>
    </row>
    <row r="15" spans="1:35" x14ac:dyDescent="0.25">
      <c r="B15" s="3" t="s">
        <v>37</v>
      </c>
      <c r="C15" s="3">
        <v>54</v>
      </c>
      <c r="D15" s="2" t="s">
        <v>54</v>
      </c>
      <c r="E15" s="3" t="s">
        <v>43</v>
      </c>
      <c r="J15" s="8" t="str">
        <f t="shared" si="0"/>
        <v/>
      </c>
      <c r="K15" s="9" t="str">
        <f t="shared" si="1"/>
        <v/>
      </c>
      <c r="L15" s="4">
        <v>1</v>
      </c>
      <c r="M15" s="4">
        <v>2</v>
      </c>
      <c r="N15" s="9" t="str">
        <f t="shared" si="2"/>
        <v/>
      </c>
      <c r="O15" s="10" t="str">
        <f t="shared" si="3"/>
        <v/>
      </c>
      <c r="P15" s="10" t="str">
        <f t="shared" si="4"/>
        <v/>
      </c>
      <c r="Q15" s="2" t="str">
        <f t="shared" si="5"/>
        <v/>
      </c>
      <c r="R15" s="23">
        <v>7.0999999999999994E-2</v>
      </c>
      <c r="S15" s="12">
        <v>2</v>
      </c>
      <c r="T15" s="13">
        <f t="shared" si="6"/>
        <v>3.5499999999999997E-2</v>
      </c>
      <c r="U15" s="14">
        <v>0</v>
      </c>
      <c r="V15" s="15">
        <f t="shared" si="7"/>
        <v>1.7320508075688772</v>
      </c>
      <c r="W15" s="2">
        <f t="shared" si="17"/>
        <v>0</v>
      </c>
      <c r="X15" s="16">
        <v>0.01</v>
      </c>
      <c r="Y15" s="16">
        <v>3.4641016151377544</v>
      </c>
      <c r="Z15" s="2">
        <f t="shared" si="8"/>
        <v>2.886751345948129E-3</v>
      </c>
      <c r="AA15" s="18" t="str">
        <f t="shared" si="9"/>
        <v/>
      </c>
      <c r="AB15" s="17">
        <f t="shared" si="10"/>
        <v>1.7320508075688772</v>
      </c>
      <c r="AC15" s="19" t="str">
        <f t="shared" si="11"/>
        <v/>
      </c>
      <c r="AD15" s="2">
        <f t="shared" si="12"/>
        <v>3.561717750374576E-2</v>
      </c>
      <c r="AE15" s="20" t="str">
        <f t="shared" si="13"/>
        <v/>
      </c>
      <c r="AF15" s="21" t="str">
        <f t="shared" si="14"/>
        <v/>
      </c>
      <c r="AG15" s="19" t="str">
        <f t="shared" si="15"/>
        <v/>
      </c>
      <c r="AH15" s="27">
        <v>6.4000000000000003E-3</v>
      </c>
      <c r="AI15" s="20">
        <f t="shared" si="16"/>
        <v>0</v>
      </c>
    </row>
    <row r="16" spans="1:35" x14ac:dyDescent="0.25">
      <c r="B16" s="3" t="s">
        <v>38</v>
      </c>
      <c r="C16" s="3">
        <v>60</v>
      </c>
      <c r="D16" s="2" t="s">
        <v>54</v>
      </c>
      <c r="E16" s="3" t="s">
        <v>42</v>
      </c>
      <c r="J16" s="8" t="str">
        <f t="shared" si="0"/>
        <v/>
      </c>
      <c r="K16" s="9" t="str">
        <f t="shared" si="1"/>
        <v/>
      </c>
      <c r="L16" s="4">
        <v>0.7</v>
      </c>
      <c r="M16" s="4">
        <v>4</v>
      </c>
      <c r="N16" s="9" t="str">
        <f t="shared" si="2"/>
        <v/>
      </c>
      <c r="O16" s="10" t="str">
        <f t="shared" si="3"/>
        <v/>
      </c>
      <c r="P16" s="10" t="str">
        <f t="shared" si="4"/>
        <v/>
      </c>
      <c r="Q16" s="2" t="str">
        <f t="shared" si="5"/>
        <v/>
      </c>
      <c r="R16" s="23">
        <v>7.0999999999999994E-2</v>
      </c>
      <c r="S16" s="12">
        <v>2</v>
      </c>
      <c r="T16" s="13">
        <f t="shared" si="6"/>
        <v>3.5499999999999997E-2</v>
      </c>
      <c r="U16" s="14">
        <v>0</v>
      </c>
      <c r="V16" s="15">
        <f t="shared" si="7"/>
        <v>1.7320508075688772</v>
      </c>
      <c r="W16" s="2">
        <f t="shared" si="17"/>
        <v>0</v>
      </c>
      <c r="X16" s="16">
        <v>0.1</v>
      </c>
      <c r="Y16" s="16">
        <v>3.4641016151377544</v>
      </c>
      <c r="Z16" s="2">
        <f t="shared" si="8"/>
        <v>2.8867513459481291E-2</v>
      </c>
      <c r="AA16" s="18" t="str">
        <f t="shared" si="9"/>
        <v/>
      </c>
      <c r="AB16" s="17">
        <f t="shared" si="10"/>
        <v>1.7320508075688772</v>
      </c>
      <c r="AC16" s="19" t="str">
        <f t="shared" si="11"/>
        <v/>
      </c>
      <c r="AD16" s="2">
        <f t="shared" si="12"/>
        <v>4.5755691813514673E-2</v>
      </c>
      <c r="AE16" s="20" t="str">
        <f t="shared" si="13"/>
        <v/>
      </c>
      <c r="AF16" s="21" t="str">
        <f t="shared" si="14"/>
        <v/>
      </c>
      <c r="AG16" s="19" t="str">
        <f t="shared" si="15"/>
        <v/>
      </c>
      <c r="AH16" s="27">
        <v>6.4000000000000003E-3</v>
      </c>
      <c r="AI16" s="20">
        <f t="shared" si="16"/>
        <v>0</v>
      </c>
    </row>
    <row r="17" spans="2:35" x14ac:dyDescent="0.25">
      <c r="B17" s="3" t="s">
        <v>38</v>
      </c>
      <c r="C17" s="3">
        <v>60</v>
      </c>
      <c r="D17" s="2" t="s">
        <v>54</v>
      </c>
      <c r="E17" s="3" t="s">
        <v>43</v>
      </c>
      <c r="J17" s="8" t="str">
        <f t="shared" si="0"/>
        <v/>
      </c>
      <c r="K17" s="9" t="str">
        <f t="shared" si="1"/>
        <v/>
      </c>
      <c r="L17" s="4">
        <v>1</v>
      </c>
      <c r="M17" s="4">
        <v>2</v>
      </c>
      <c r="N17" s="9" t="str">
        <f t="shared" si="2"/>
        <v/>
      </c>
      <c r="O17" s="10" t="str">
        <f t="shared" si="3"/>
        <v/>
      </c>
      <c r="P17" s="10" t="str">
        <f t="shared" si="4"/>
        <v/>
      </c>
      <c r="Q17" s="2" t="str">
        <f t="shared" si="5"/>
        <v/>
      </c>
      <c r="R17" s="23">
        <v>7.0999999999999994E-2</v>
      </c>
      <c r="S17" s="12">
        <v>2</v>
      </c>
      <c r="T17" s="13">
        <f t="shared" si="6"/>
        <v>3.5499999999999997E-2</v>
      </c>
      <c r="U17" s="14">
        <v>0</v>
      </c>
      <c r="V17" s="15">
        <f t="shared" si="7"/>
        <v>1.7320508075688772</v>
      </c>
      <c r="W17" s="2">
        <f t="shared" si="17"/>
        <v>0</v>
      </c>
      <c r="X17" s="16">
        <v>0.1</v>
      </c>
      <c r="Y17" s="16">
        <v>3.4641016151377544</v>
      </c>
      <c r="Z17" s="2">
        <f t="shared" si="8"/>
        <v>2.8867513459481291E-2</v>
      </c>
      <c r="AA17" s="18" t="str">
        <f t="shared" si="9"/>
        <v/>
      </c>
      <c r="AB17" s="17">
        <f t="shared" si="10"/>
        <v>1.7320508075688772</v>
      </c>
      <c r="AC17" s="19" t="str">
        <f t="shared" si="11"/>
        <v/>
      </c>
      <c r="AD17" s="2">
        <f t="shared" si="12"/>
        <v>4.5755691813514673E-2</v>
      </c>
      <c r="AE17" s="20" t="str">
        <f t="shared" si="13"/>
        <v/>
      </c>
      <c r="AF17" s="21" t="str">
        <f t="shared" si="14"/>
        <v/>
      </c>
      <c r="AG17" s="19" t="str">
        <f t="shared" si="15"/>
        <v/>
      </c>
      <c r="AH17" s="27">
        <v>6.4000000000000003E-3</v>
      </c>
      <c r="AI17" s="20">
        <f t="shared" si="16"/>
        <v>0</v>
      </c>
    </row>
    <row r="18" spans="2:35" x14ac:dyDescent="0.25">
      <c r="B18" s="3" t="s">
        <v>38</v>
      </c>
      <c r="C18" s="3">
        <v>540</v>
      </c>
      <c r="D18" s="2" t="s">
        <v>54</v>
      </c>
      <c r="E18" s="3" t="s">
        <v>42</v>
      </c>
      <c r="J18" s="8" t="str">
        <f t="shared" si="0"/>
        <v/>
      </c>
      <c r="K18" s="9" t="str">
        <f t="shared" si="1"/>
        <v/>
      </c>
      <c r="L18" s="4">
        <v>0.7</v>
      </c>
      <c r="M18" s="4">
        <v>4</v>
      </c>
      <c r="N18" s="9" t="str">
        <f t="shared" si="2"/>
        <v/>
      </c>
      <c r="O18" s="10" t="str">
        <f t="shared" si="3"/>
        <v/>
      </c>
      <c r="P18" s="10" t="str">
        <f t="shared" si="4"/>
        <v/>
      </c>
      <c r="Q18" s="2" t="str">
        <f t="shared" si="5"/>
        <v/>
      </c>
      <c r="R18" s="23">
        <v>7.0999999999999994E-2</v>
      </c>
      <c r="S18" s="12">
        <v>2</v>
      </c>
      <c r="T18" s="13">
        <f t="shared" si="6"/>
        <v>3.5499999999999997E-2</v>
      </c>
      <c r="U18" s="14">
        <v>0</v>
      </c>
      <c r="V18" s="15">
        <f t="shared" si="7"/>
        <v>1.7320508075688772</v>
      </c>
      <c r="W18" s="2">
        <f t="shared" si="17"/>
        <v>0</v>
      </c>
      <c r="X18" s="16">
        <v>0.1</v>
      </c>
      <c r="Y18" s="16">
        <v>3.4641016151377544</v>
      </c>
      <c r="Z18" s="2">
        <f t="shared" si="8"/>
        <v>2.8867513459481291E-2</v>
      </c>
      <c r="AA18" s="18" t="str">
        <f t="shared" si="9"/>
        <v/>
      </c>
      <c r="AB18" s="17">
        <f t="shared" si="10"/>
        <v>1.7320508075688772</v>
      </c>
      <c r="AC18" s="19" t="str">
        <f t="shared" si="11"/>
        <v/>
      </c>
      <c r="AD18" s="2">
        <f t="shared" si="12"/>
        <v>4.5755691813514673E-2</v>
      </c>
      <c r="AE18" s="20" t="str">
        <f t="shared" si="13"/>
        <v/>
      </c>
      <c r="AF18" s="21" t="str">
        <f t="shared" si="14"/>
        <v/>
      </c>
      <c r="AG18" s="19" t="str">
        <f t="shared" si="15"/>
        <v/>
      </c>
      <c r="AH18" s="27">
        <v>8.4000000000000005E-2</v>
      </c>
      <c r="AI18" s="20">
        <f t="shared" si="16"/>
        <v>0</v>
      </c>
    </row>
    <row r="19" spans="2:35" x14ac:dyDescent="0.25">
      <c r="B19" s="3" t="s">
        <v>38</v>
      </c>
      <c r="C19" s="3">
        <v>540</v>
      </c>
      <c r="D19" s="2" t="s">
        <v>54</v>
      </c>
      <c r="E19" s="3" t="s">
        <v>43</v>
      </c>
      <c r="J19" s="8" t="str">
        <f t="shared" si="0"/>
        <v/>
      </c>
      <c r="K19" s="9" t="str">
        <f t="shared" si="1"/>
        <v/>
      </c>
      <c r="L19" s="4">
        <v>1</v>
      </c>
      <c r="M19" s="4">
        <v>2</v>
      </c>
      <c r="N19" s="9" t="str">
        <f t="shared" si="2"/>
        <v/>
      </c>
      <c r="O19" s="10" t="str">
        <f t="shared" si="3"/>
        <v/>
      </c>
      <c r="P19" s="10" t="str">
        <f t="shared" si="4"/>
        <v/>
      </c>
      <c r="Q19" s="2" t="str">
        <f t="shared" si="5"/>
        <v/>
      </c>
      <c r="R19" s="23">
        <v>7.0999999999999994E-2</v>
      </c>
      <c r="S19" s="12">
        <v>2</v>
      </c>
      <c r="T19" s="13">
        <f t="shared" si="6"/>
        <v>3.5499999999999997E-2</v>
      </c>
      <c r="U19" s="14">
        <v>0</v>
      </c>
      <c r="V19" s="15">
        <f t="shared" si="7"/>
        <v>1.7320508075688772</v>
      </c>
      <c r="W19" s="2">
        <f t="shared" si="17"/>
        <v>0</v>
      </c>
      <c r="X19" s="16">
        <v>0.1</v>
      </c>
      <c r="Y19" s="16">
        <v>3.4641016151377544</v>
      </c>
      <c r="Z19" s="2">
        <f t="shared" si="8"/>
        <v>2.8867513459481291E-2</v>
      </c>
      <c r="AA19" s="18" t="str">
        <f t="shared" si="9"/>
        <v/>
      </c>
      <c r="AB19" s="17">
        <f t="shared" si="10"/>
        <v>1.7320508075688772</v>
      </c>
      <c r="AC19" s="19" t="str">
        <f t="shared" si="11"/>
        <v/>
      </c>
      <c r="AD19" s="2">
        <f t="shared" si="12"/>
        <v>4.5755691813514673E-2</v>
      </c>
      <c r="AE19" s="20" t="str">
        <f t="shared" si="13"/>
        <v/>
      </c>
      <c r="AF19" s="21" t="str">
        <f t="shared" si="14"/>
        <v/>
      </c>
      <c r="AG19" s="19" t="str">
        <f t="shared" si="15"/>
        <v/>
      </c>
      <c r="AH19" s="27">
        <v>8.4000000000000005E-2</v>
      </c>
      <c r="AI19" s="20">
        <f t="shared" si="16"/>
        <v>0</v>
      </c>
    </row>
    <row r="20" spans="2:35" x14ac:dyDescent="0.25">
      <c r="B20" s="3" t="s">
        <v>41</v>
      </c>
      <c r="C20" s="3">
        <v>100</v>
      </c>
      <c r="D20" s="2" t="s">
        <v>54</v>
      </c>
      <c r="E20" s="3" t="s">
        <v>42</v>
      </c>
      <c r="J20" s="8" t="str">
        <f t="shared" si="0"/>
        <v/>
      </c>
      <c r="K20" s="9" t="str">
        <f t="shared" si="1"/>
        <v/>
      </c>
      <c r="L20" s="4">
        <v>0.7</v>
      </c>
      <c r="M20" s="4">
        <v>4</v>
      </c>
      <c r="N20" s="9" t="str">
        <f t="shared" si="2"/>
        <v/>
      </c>
      <c r="O20" s="10" t="str">
        <f t="shared" si="3"/>
        <v/>
      </c>
      <c r="P20" s="10" t="str">
        <f t="shared" si="4"/>
        <v/>
      </c>
      <c r="Q20" s="2" t="str">
        <f t="shared" si="5"/>
        <v/>
      </c>
      <c r="R20" s="23">
        <v>7.0999999999999994E-2</v>
      </c>
      <c r="S20" s="12">
        <v>2</v>
      </c>
      <c r="T20" s="13">
        <f t="shared" si="6"/>
        <v>3.5499999999999997E-2</v>
      </c>
      <c r="U20" s="14">
        <v>0</v>
      </c>
      <c r="V20" s="15">
        <f t="shared" si="7"/>
        <v>1.7320508075688772</v>
      </c>
      <c r="W20" s="2">
        <f t="shared" si="17"/>
        <v>0</v>
      </c>
      <c r="X20" s="16">
        <v>1</v>
      </c>
      <c r="Y20" s="16">
        <v>3.4641016151377544</v>
      </c>
      <c r="Z20" s="2">
        <f t="shared" si="8"/>
        <v>0.28867513459481292</v>
      </c>
      <c r="AA20" s="18" t="str">
        <f t="shared" si="9"/>
        <v/>
      </c>
      <c r="AB20" s="17">
        <f t="shared" si="10"/>
        <v>1.7320508075688772</v>
      </c>
      <c r="AC20" s="19" t="str">
        <f t="shared" si="11"/>
        <v/>
      </c>
      <c r="AD20" s="2">
        <f t="shared" si="12"/>
        <v>0.29084976075859742</v>
      </c>
      <c r="AE20" s="20" t="str">
        <f t="shared" si="13"/>
        <v/>
      </c>
      <c r="AF20" s="21" t="str">
        <f t="shared" si="14"/>
        <v/>
      </c>
      <c r="AG20" s="19" t="str">
        <f t="shared" si="15"/>
        <v/>
      </c>
      <c r="AH20" s="27">
        <v>6.4000000000000003E-3</v>
      </c>
      <c r="AI20" s="20">
        <f t="shared" si="16"/>
        <v>0</v>
      </c>
    </row>
    <row r="21" spans="2:35" x14ac:dyDescent="0.25">
      <c r="B21" s="3" t="s">
        <v>41</v>
      </c>
      <c r="C21" s="3">
        <v>100</v>
      </c>
      <c r="D21" s="2" t="s">
        <v>54</v>
      </c>
      <c r="E21" s="3" t="s">
        <v>43</v>
      </c>
      <c r="J21" s="8" t="str">
        <f t="shared" si="0"/>
        <v/>
      </c>
      <c r="K21" s="9" t="str">
        <f t="shared" si="1"/>
        <v/>
      </c>
      <c r="L21" s="4">
        <v>1</v>
      </c>
      <c r="M21" s="4">
        <v>2</v>
      </c>
      <c r="N21" s="9" t="str">
        <f t="shared" si="2"/>
        <v/>
      </c>
      <c r="O21" s="10" t="str">
        <f t="shared" si="3"/>
        <v/>
      </c>
      <c r="P21" s="10" t="str">
        <f t="shared" si="4"/>
        <v/>
      </c>
      <c r="Q21" s="2" t="str">
        <f t="shared" si="5"/>
        <v/>
      </c>
      <c r="R21" s="23">
        <v>7.0999999999999994E-2</v>
      </c>
      <c r="S21" s="12">
        <v>2</v>
      </c>
      <c r="T21" s="13">
        <f t="shared" si="6"/>
        <v>3.5499999999999997E-2</v>
      </c>
      <c r="U21" s="14">
        <v>0</v>
      </c>
      <c r="V21" s="15">
        <f t="shared" si="7"/>
        <v>1.7320508075688772</v>
      </c>
      <c r="W21" s="2">
        <f t="shared" si="17"/>
        <v>0</v>
      </c>
      <c r="X21" s="16">
        <v>1</v>
      </c>
      <c r="Y21" s="16">
        <v>3.4641016151377544</v>
      </c>
      <c r="Z21" s="2">
        <f t="shared" si="8"/>
        <v>0.28867513459481292</v>
      </c>
      <c r="AA21" s="18" t="str">
        <f t="shared" si="9"/>
        <v/>
      </c>
      <c r="AB21" s="17">
        <f t="shared" si="10"/>
        <v>1.7320508075688772</v>
      </c>
      <c r="AC21" s="19" t="str">
        <f t="shared" si="11"/>
        <v/>
      </c>
      <c r="AD21" s="2">
        <f t="shared" si="12"/>
        <v>0.29084976075859742</v>
      </c>
      <c r="AE21" s="20" t="str">
        <f t="shared" si="13"/>
        <v/>
      </c>
      <c r="AF21" s="21" t="str">
        <f t="shared" si="14"/>
        <v/>
      </c>
      <c r="AG21" s="19" t="str">
        <f t="shared" si="15"/>
        <v/>
      </c>
      <c r="AH21" s="27">
        <v>6.4000000000000003E-3</v>
      </c>
      <c r="AI21" s="20">
        <f t="shared" si="16"/>
        <v>0</v>
      </c>
    </row>
    <row r="22" spans="2:35" x14ac:dyDescent="0.25">
      <c r="B22" s="3" t="s">
        <v>41</v>
      </c>
      <c r="C22" s="3">
        <v>900</v>
      </c>
      <c r="D22" s="2" t="s">
        <v>54</v>
      </c>
      <c r="E22" s="3" t="s">
        <v>42</v>
      </c>
      <c r="J22" s="8" t="str">
        <f t="shared" si="0"/>
        <v/>
      </c>
      <c r="K22" s="9" t="str">
        <f t="shared" si="1"/>
        <v/>
      </c>
      <c r="L22" s="4">
        <v>0.7</v>
      </c>
      <c r="M22" s="4">
        <v>4</v>
      </c>
      <c r="N22" s="9" t="str">
        <f t="shared" si="2"/>
        <v/>
      </c>
      <c r="O22" s="10" t="str">
        <f t="shared" si="3"/>
        <v/>
      </c>
      <c r="P22" s="10" t="str">
        <f t="shared" si="4"/>
        <v/>
      </c>
      <c r="Q22" s="2" t="str">
        <f t="shared" si="5"/>
        <v/>
      </c>
      <c r="R22" s="23">
        <v>7.0999999999999994E-2</v>
      </c>
      <c r="S22" s="12">
        <v>2</v>
      </c>
      <c r="T22" s="13">
        <f t="shared" si="6"/>
        <v>3.5499999999999997E-2</v>
      </c>
      <c r="U22" s="14">
        <v>0</v>
      </c>
      <c r="V22" s="15">
        <f t="shared" si="7"/>
        <v>1.7320508075688772</v>
      </c>
      <c r="W22" s="2">
        <f t="shared" si="17"/>
        <v>0</v>
      </c>
      <c r="X22" s="16">
        <v>1</v>
      </c>
      <c r="Y22" s="16">
        <v>3.4641016151377544</v>
      </c>
      <c r="Z22" s="2">
        <f t="shared" si="8"/>
        <v>0.28867513459481292</v>
      </c>
      <c r="AA22" s="18" t="str">
        <f t="shared" si="9"/>
        <v/>
      </c>
      <c r="AB22" s="17">
        <f t="shared" si="10"/>
        <v>1.7320508075688772</v>
      </c>
      <c r="AC22" s="19" t="str">
        <f t="shared" si="11"/>
        <v/>
      </c>
      <c r="AD22" s="2">
        <f t="shared" si="12"/>
        <v>0.29084976075859742</v>
      </c>
      <c r="AE22" s="20" t="str">
        <f t="shared" si="13"/>
        <v/>
      </c>
      <c r="AF22" s="21" t="str">
        <f t="shared" si="14"/>
        <v/>
      </c>
      <c r="AG22" s="19" t="str">
        <f t="shared" si="15"/>
        <v/>
      </c>
      <c r="AH22" s="27">
        <v>8.4000000000000005E-2</v>
      </c>
      <c r="AI22" s="20">
        <f t="shared" si="16"/>
        <v>0</v>
      </c>
    </row>
    <row r="23" spans="2:35" x14ac:dyDescent="0.25">
      <c r="B23" s="3" t="s">
        <v>41</v>
      </c>
      <c r="C23" s="3">
        <v>900</v>
      </c>
      <c r="D23" s="2" t="s">
        <v>54</v>
      </c>
      <c r="E23" s="3" t="s">
        <v>43</v>
      </c>
      <c r="J23" s="8" t="str">
        <f t="shared" si="0"/>
        <v/>
      </c>
      <c r="K23" s="9" t="str">
        <f t="shared" si="1"/>
        <v/>
      </c>
      <c r="L23" s="4">
        <v>1</v>
      </c>
      <c r="M23" s="4">
        <v>2</v>
      </c>
      <c r="N23" s="9" t="str">
        <f t="shared" si="2"/>
        <v/>
      </c>
      <c r="O23" s="10" t="str">
        <f t="shared" si="3"/>
        <v/>
      </c>
      <c r="P23" s="10" t="str">
        <f t="shared" si="4"/>
        <v/>
      </c>
      <c r="Q23" s="2" t="str">
        <f t="shared" si="5"/>
        <v/>
      </c>
      <c r="R23" s="23">
        <v>7.0999999999999994E-2</v>
      </c>
      <c r="S23" s="12">
        <v>2</v>
      </c>
      <c r="T23" s="13">
        <f t="shared" si="6"/>
        <v>3.5499999999999997E-2</v>
      </c>
      <c r="U23" s="14">
        <v>0</v>
      </c>
      <c r="V23" s="15">
        <f t="shared" si="7"/>
        <v>1.7320508075688772</v>
      </c>
      <c r="W23" s="2">
        <f t="shared" si="17"/>
        <v>0</v>
      </c>
      <c r="X23" s="16">
        <v>1</v>
      </c>
      <c r="Y23" s="16">
        <v>3.4641016151377544</v>
      </c>
      <c r="Z23" s="2">
        <f t="shared" si="8"/>
        <v>0.28867513459481292</v>
      </c>
      <c r="AA23" s="18" t="str">
        <f t="shared" si="9"/>
        <v/>
      </c>
      <c r="AB23" s="17">
        <f t="shared" si="10"/>
        <v>1.7320508075688772</v>
      </c>
      <c r="AC23" s="19" t="str">
        <f t="shared" si="11"/>
        <v/>
      </c>
      <c r="AD23" s="2">
        <f t="shared" si="12"/>
        <v>0.29084976075859742</v>
      </c>
      <c r="AE23" s="20" t="str">
        <f t="shared" si="13"/>
        <v/>
      </c>
      <c r="AF23" s="21" t="str">
        <f t="shared" si="14"/>
        <v/>
      </c>
      <c r="AG23" s="19" t="str">
        <f t="shared" si="15"/>
        <v/>
      </c>
      <c r="AH23" s="27">
        <v>8.4000000000000005E-2</v>
      </c>
      <c r="AI23" s="20">
        <f t="shared" si="16"/>
        <v>0</v>
      </c>
    </row>
    <row r="24" spans="2:35" x14ac:dyDescent="0.25">
      <c r="J24" s="8"/>
      <c r="K24" s="9"/>
      <c r="L24" s="4"/>
      <c r="M24" s="4"/>
      <c r="N24" s="9"/>
      <c r="O24" s="10"/>
      <c r="P24" s="10"/>
      <c r="R24" s="23"/>
      <c r="S24" s="12"/>
      <c r="T24" s="13"/>
      <c r="U24" s="14"/>
      <c r="V24" s="15"/>
      <c r="X24" s="16"/>
      <c r="Y24" s="16"/>
      <c r="AA24" s="18"/>
      <c r="AB24" s="17"/>
      <c r="AE24" s="20"/>
      <c r="AF24" s="21"/>
      <c r="AG24" s="19"/>
      <c r="AH24" s="22"/>
      <c r="AI24" s="20"/>
    </row>
    <row r="25" spans="2:35" x14ac:dyDescent="0.25">
      <c r="J25" s="8"/>
      <c r="K25" s="9"/>
      <c r="L25" s="4"/>
      <c r="M25" s="4"/>
      <c r="N25" s="9"/>
      <c r="O25" s="10"/>
      <c r="P25" s="10"/>
      <c r="R25" s="23"/>
      <c r="S25" s="12"/>
      <c r="T25" s="13"/>
      <c r="U25" s="14"/>
      <c r="V25" s="15"/>
      <c r="X25" s="16"/>
      <c r="Y25" s="16"/>
      <c r="AA25" s="18"/>
      <c r="AB25" s="17"/>
      <c r="AE25" s="20"/>
      <c r="AF25" s="21"/>
      <c r="AG25" s="19"/>
      <c r="AH25" s="22"/>
      <c r="AI25" s="20"/>
    </row>
    <row r="26" spans="2:35" x14ac:dyDescent="0.25">
      <c r="J26" s="8"/>
      <c r="K26" s="9"/>
      <c r="L26" s="4"/>
      <c r="M26" s="4"/>
      <c r="N26" s="9"/>
      <c r="O26" s="10"/>
      <c r="P26" s="10"/>
      <c r="R26" s="23"/>
      <c r="S26" s="12"/>
      <c r="T26" s="13"/>
      <c r="U26" s="14"/>
      <c r="V26" s="15"/>
      <c r="X26" s="16"/>
      <c r="Y26" s="16"/>
      <c r="AA26" s="18"/>
      <c r="AB26" s="17"/>
      <c r="AE26" s="20"/>
      <c r="AF26" s="21"/>
      <c r="AG26" s="19"/>
      <c r="AH26" s="22"/>
      <c r="AI26" s="20"/>
    </row>
    <row r="27" spans="2:35" x14ac:dyDescent="0.25">
      <c r="J27" s="8"/>
      <c r="K27" s="9"/>
      <c r="L27" s="4"/>
      <c r="M27" s="4"/>
      <c r="N27" s="9"/>
      <c r="O27" s="10"/>
      <c r="P27" s="10"/>
      <c r="R27" s="23"/>
      <c r="S27" s="12"/>
      <c r="T27" s="13"/>
      <c r="U27" s="14"/>
      <c r="V27" s="15"/>
      <c r="X27" s="16"/>
      <c r="Y27" s="16"/>
      <c r="AA27" s="18"/>
      <c r="AB27" s="17"/>
      <c r="AE27" s="20"/>
      <c r="AF27" s="21"/>
      <c r="AG27" s="19"/>
      <c r="AH27" s="22"/>
      <c r="AI27" s="20"/>
    </row>
    <row r="28" spans="2:35" x14ac:dyDescent="0.25">
      <c r="J28" s="8"/>
      <c r="K28" s="9"/>
      <c r="L28" s="4"/>
      <c r="M28" s="4"/>
      <c r="N28" s="9"/>
      <c r="O28" s="10"/>
      <c r="P28" s="10"/>
      <c r="R28" s="23"/>
      <c r="S28" s="12"/>
      <c r="T28" s="13"/>
      <c r="U28" s="14"/>
      <c r="V28" s="15"/>
      <c r="X28" s="16"/>
      <c r="Y28" s="16"/>
      <c r="AA28" s="18"/>
      <c r="AB28" s="17"/>
      <c r="AE28" s="20"/>
      <c r="AF28" s="21"/>
      <c r="AG28" s="19"/>
      <c r="AH28" s="22"/>
      <c r="AI28" s="20"/>
    </row>
    <row r="29" spans="2:35" x14ac:dyDescent="0.25">
      <c r="J29" s="8"/>
      <c r="K29" s="9"/>
      <c r="L29" s="4"/>
      <c r="M29" s="4"/>
      <c r="N29" s="9"/>
      <c r="O29" s="10"/>
      <c r="P29" s="10"/>
      <c r="R29" s="23"/>
      <c r="S29" s="12"/>
      <c r="T29" s="13"/>
      <c r="U29" s="14"/>
      <c r="V29" s="15"/>
      <c r="X29" s="16"/>
      <c r="Y29" s="16"/>
      <c r="AA29" s="18"/>
      <c r="AB29" s="17"/>
      <c r="AE29" s="20"/>
      <c r="AF29" s="21"/>
      <c r="AG29" s="19"/>
      <c r="AH29" s="22"/>
      <c r="AI29" s="20"/>
    </row>
    <row r="30" spans="2:35" x14ac:dyDescent="0.25">
      <c r="J30" s="8"/>
      <c r="K30" s="9"/>
      <c r="L30" s="4"/>
      <c r="M30" s="4"/>
      <c r="N30" s="9"/>
      <c r="O30" s="10"/>
      <c r="P30" s="10"/>
      <c r="R30" s="23"/>
      <c r="S30" s="12"/>
      <c r="T30" s="13"/>
      <c r="U30" s="14"/>
      <c r="V30" s="15"/>
      <c r="X30" s="16"/>
      <c r="Y30" s="16"/>
      <c r="AA30" s="18"/>
      <c r="AB30" s="17"/>
      <c r="AE30" s="20"/>
      <c r="AF30" s="21"/>
      <c r="AG30" s="19"/>
      <c r="AH30" s="22"/>
      <c r="AI30" s="20"/>
    </row>
    <row r="31" spans="2:35" x14ac:dyDescent="0.25">
      <c r="J31" s="8"/>
      <c r="K31" s="9"/>
      <c r="L31" s="4"/>
      <c r="M31" s="4"/>
      <c r="N31" s="9"/>
      <c r="O31" s="10"/>
      <c r="P31" s="10"/>
      <c r="R31" s="23"/>
      <c r="S31" s="12"/>
      <c r="T31" s="13"/>
      <c r="U31" s="14"/>
      <c r="V31" s="15"/>
      <c r="X31" s="16"/>
      <c r="Y31" s="16"/>
      <c r="AA31" s="18"/>
      <c r="AB31" s="17"/>
      <c r="AE31" s="20"/>
      <c r="AF31" s="21"/>
      <c r="AG31" s="19"/>
      <c r="AH31" s="22"/>
      <c r="AI31" s="20"/>
    </row>
    <row r="32" spans="2:35" x14ac:dyDescent="0.25">
      <c r="J32" s="8"/>
      <c r="K32" s="9"/>
      <c r="L32" s="4"/>
      <c r="M32" s="4"/>
      <c r="N32" s="9"/>
      <c r="O32" s="10"/>
      <c r="P32" s="10"/>
      <c r="R32" s="23"/>
      <c r="S32" s="12"/>
      <c r="T32" s="13"/>
      <c r="U32" s="14"/>
      <c r="V32" s="15"/>
      <c r="X32" s="16"/>
      <c r="Y32" s="16"/>
      <c r="AA32" s="18"/>
      <c r="AB32" s="17"/>
      <c r="AE32" s="20"/>
      <c r="AF32" s="21"/>
      <c r="AG32" s="19"/>
      <c r="AH32" s="22"/>
      <c r="AI32" s="20"/>
    </row>
    <row r="33" spans="10:35" x14ac:dyDescent="0.25">
      <c r="J33" s="8"/>
      <c r="K33" s="9"/>
      <c r="L33" s="4"/>
      <c r="M33" s="4"/>
      <c r="N33" s="9"/>
      <c r="O33" s="10"/>
      <c r="P33" s="10"/>
      <c r="R33" s="23"/>
      <c r="S33" s="12"/>
      <c r="T33" s="13"/>
      <c r="U33" s="14"/>
      <c r="V33" s="15"/>
      <c r="X33" s="16"/>
      <c r="Y33" s="16"/>
      <c r="AA33" s="18"/>
      <c r="AB33" s="17"/>
      <c r="AE33" s="20"/>
      <c r="AF33" s="21"/>
      <c r="AG33" s="19"/>
      <c r="AH33" s="22"/>
      <c r="AI33" s="20"/>
    </row>
    <row r="34" spans="10:35" x14ac:dyDescent="0.25">
      <c r="J34" s="8"/>
      <c r="K34" s="9"/>
      <c r="L34" s="4"/>
      <c r="M34" s="4"/>
      <c r="N34" s="9"/>
      <c r="O34" s="10"/>
      <c r="P34" s="10"/>
      <c r="R34" s="23"/>
      <c r="S34" s="12"/>
      <c r="T34" s="13"/>
      <c r="U34" s="14"/>
      <c r="V34" s="15"/>
      <c r="X34" s="16"/>
      <c r="Y34" s="16"/>
      <c r="AA34" s="18"/>
      <c r="AB34" s="17"/>
      <c r="AE34" s="20"/>
      <c r="AF34" s="21"/>
      <c r="AG34" s="19"/>
      <c r="AH34" s="22"/>
      <c r="AI34" s="20"/>
    </row>
    <row r="35" spans="10:35" x14ac:dyDescent="0.25">
      <c r="J35" s="8"/>
      <c r="K35" s="9"/>
      <c r="L35" s="4"/>
      <c r="M35" s="4"/>
      <c r="N35" s="9"/>
      <c r="O35" s="10"/>
      <c r="P35" s="10"/>
      <c r="R35" s="23"/>
      <c r="S35" s="12"/>
      <c r="T35" s="13"/>
      <c r="U35" s="14"/>
      <c r="V35" s="15"/>
      <c r="X35" s="16"/>
      <c r="Y35" s="16"/>
      <c r="AA35" s="18"/>
      <c r="AB35" s="17"/>
      <c r="AE35" s="20"/>
      <c r="AF35" s="21"/>
      <c r="AG35" s="19"/>
      <c r="AH35" s="22"/>
      <c r="AI35" s="20"/>
    </row>
    <row r="36" spans="10:35" x14ac:dyDescent="0.25">
      <c r="J36" s="8"/>
      <c r="K36" s="9"/>
      <c r="L36" s="4"/>
      <c r="M36" s="4"/>
      <c r="N36" s="9"/>
      <c r="O36" s="10"/>
      <c r="P36" s="10"/>
      <c r="R36" s="23"/>
      <c r="S36" s="12"/>
      <c r="T36" s="13"/>
      <c r="U36" s="14"/>
      <c r="V36" s="15"/>
      <c r="X36" s="16"/>
      <c r="Y36" s="16"/>
      <c r="AA36" s="18"/>
      <c r="AB36" s="17"/>
      <c r="AE36" s="20"/>
      <c r="AF36" s="21"/>
      <c r="AG36" s="19"/>
      <c r="AH36" s="22"/>
      <c r="AI36" s="20"/>
    </row>
    <row r="37" spans="10:35" x14ac:dyDescent="0.25">
      <c r="J37" s="8"/>
      <c r="K37" s="9"/>
      <c r="L37" s="4"/>
      <c r="M37" s="4"/>
      <c r="N37" s="9"/>
      <c r="O37" s="10"/>
      <c r="P37" s="10"/>
      <c r="R37" s="23"/>
      <c r="S37" s="12"/>
      <c r="T37" s="13"/>
      <c r="U37" s="14"/>
      <c r="V37" s="15"/>
      <c r="X37" s="16"/>
      <c r="Y37" s="16"/>
      <c r="AA37" s="18"/>
      <c r="AB37" s="17"/>
      <c r="AE37" s="20"/>
      <c r="AF37" s="21"/>
      <c r="AG37" s="19"/>
      <c r="AH37" s="22"/>
      <c r="AI37" s="20"/>
    </row>
    <row r="38" spans="10:35" x14ac:dyDescent="0.25">
      <c r="J38" s="8"/>
      <c r="K38" s="9"/>
      <c r="L38" s="4"/>
      <c r="M38" s="4"/>
      <c r="N38" s="9"/>
      <c r="O38" s="10"/>
      <c r="P38" s="10"/>
      <c r="R38" s="23"/>
      <c r="S38" s="12"/>
      <c r="T38" s="13"/>
      <c r="U38" s="14"/>
      <c r="V38" s="15"/>
      <c r="X38" s="16"/>
      <c r="Y38" s="16"/>
      <c r="AA38" s="18"/>
      <c r="AB38" s="17"/>
      <c r="AE38" s="20"/>
      <c r="AF38" s="21"/>
      <c r="AG38" s="19"/>
      <c r="AH38" s="22"/>
      <c r="AI38" s="20"/>
    </row>
    <row r="39" spans="10:35" x14ac:dyDescent="0.25">
      <c r="J39" s="8"/>
      <c r="K39" s="9"/>
      <c r="L39" s="4"/>
      <c r="M39" s="4"/>
      <c r="N39" s="9"/>
      <c r="O39" s="10"/>
      <c r="P39" s="10"/>
      <c r="R39" s="23"/>
      <c r="S39" s="12"/>
      <c r="T39" s="13"/>
      <c r="U39" s="14"/>
      <c r="V39" s="15"/>
      <c r="X39" s="16"/>
      <c r="Y39" s="16"/>
      <c r="AA39" s="18"/>
      <c r="AB39" s="17"/>
      <c r="AE39" s="20"/>
      <c r="AF39" s="21"/>
      <c r="AG39" s="19"/>
      <c r="AH39" s="22"/>
      <c r="AI39" s="20"/>
    </row>
    <row r="40" spans="10:35" x14ac:dyDescent="0.25">
      <c r="J40" s="8"/>
      <c r="K40" s="9"/>
      <c r="L40" s="4"/>
      <c r="M40" s="4"/>
      <c r="N40" s="9"/>
      <c r="O40" s="10"/>
      <c r="P40" s="10"/>
      <c r="R40" s="23"/>
      <c r="S40" s="12"/>
      <c r="T40" s="13"/>
      <c r="U40" s="14"/>
      <c r="V40" s="15"/>
      <c r="X40" s="16"/>
      <c r="Y40" s="16"/>
      <c r="AA40" s="18"/>
      <c r="AB40" s="17"/>
      <c r="AE40" s="20"/>
      <c r="AF40" s="21"/>
      <c r="AG40" s="19"/>
      <c r="AH40" s="22"/>
      <c r="AI40" s="20"/>
    </row>
    <row r="41" spans="10:35" x14ac:dyDescent="0.25">
      <c r="J41" s="8"/>
      <c r="K41" s="9"/>
      <c r="L41" s="4"/>
      <c r="M41" s="4"/>
      <c r="N41" s="9"/>
      <c r="O41" s="10"/>
      <c r="P41" s="10"/>
      <c r="R41" s="23"/>
      <c r="S41" s="12"/>
      <c r="T41" s="13"/>
      <c r="U41" s="14"/>
      <c r="V41" s="15"/>
      <c r="X41" s="16"/>
      <c r="Y41" s="16"/>
      <c r="AA41" s="18"/>
      <c r="AB41" s="17"/>
      <c r="AE41" s="20"/>
      <c r="AF41" s="21"/>
      <c r="AG41" s="19"/>
      <c r="AH41" s="22"/>
      <c r="AI41" s="20"/>
    </row>
    <row r="42" spans="10:35" x14ac:dyDescent="0.25">
      <c r="J42" s="8"/>
      <c r="K42" s="9"/>
      <c r="L42" s="4"/>
      <c r="M42" s="4"/>
      <c r="N42" s="9"/>
      <c r="O42" s="10"/>
      <c r="P42" s="10"/>
      <c r="R42" s="23"/>
      <c r="S42" s="12"/>
      <c r="T42" s="13"/>
      <c r="U42" s="14"/>
      <c r="V42" s="15"/>
      <c r="X42" s="16"/>
      <c r="Y42" s="16"/>
      <c r="AA42" s="18"/>
      <c r="AB42" s="17"/>
      <c r="AE42" s="20"/>
      <c r="AF42" s="21"/>
      <c r="AG42" s="19"/>
      <c r="AH42" s="22"/>
      <c r="AI42" s="20"/>
    </row>
    <row r="43" spans="10:35" x14ac:dyDescent="0.25">
      <c r="J43" s="8"/>
      <c r="K43" s="9"/>
      <c r="L43" s="4"/>
      <c r="M43" s="4"/>
      <c r="N43" s="9"/>
      <c r="O43" s="10"/>
      <c r="P43" s="10"/>
      <c r="R43" s="23"/>
      <c r="S43" s="12"/>
      <c r="T43" s="13"/>
      <c r="U43" s="14"/>
      <c r="V43" s="15"/>
      <c r="X43" s="16"/>
      <c r="Y43" s="16"/>
      <c r="AA43" s="18"/>
      <c r="AB43" s="17"/>
      <c r="AE43" s="20"/>
      <c r="AF43" s="21"/>
      <c r="AG43" s="19"/>
      <c r="AH43" s="22"/>
      <c r="AI43" s="20"/>
    </row>
    <row r="44" spans="10:35" x14ac:dyDescent="0.25">
      <c r="J44" s="8"/>
      <c r="K44" s="9"/>
      <c r="L44" s="4"/>
      <c r="M44" s="4"/>
      <c r="N44" s="9"/>
      <c r="O44" s="10"/>
      <c r="P44" s="10"/>
      <c r="R44" s="23"/>
      <c r="S44" s="12"/>
      <c r="T44" s="13"/>
      <c r="U44" s="14"/>
      <c r="V44" s="15"/>
      <c r="X44" s="16"/>
      <c r="Y44" s="16"/>
      <c r="AA44" s="18"/>
      <c r="AB44" s="17"/>
      <c r="AE44" s="20"/>
      <c r="AF44" s="21"/>
      <c r="AG44" s="19"/>
      <c r="AH44" s="22"/>
      <c r="AI44" s="20"/>
    </row>
    <row r="45" spans="10:35" x14ac:dyDescent="0.25">
      <c r="J45" s="8"/>
      <c r="K45" s="9"/>
      <c r="L45" s="4"/>
      <c r="M45" s="4"/>
      <c r="N45" s="9"/>
      <c r="O45" s="10"/>
      <c r="P45" s="10"/>
      <c r="R45" s="23"/>
      <c r="S45" s="12"/>
      <c r="T45" s="13"/>
      <c r="U45" s="14"/>
      <c r="V45" s="15"/>
      <c r="X45" s="16"/>
      <c r="Y45" s="16"/>
      <c r="AA45" s="18"/>
      <c r="AB45" s="17"/>
      <c r="AE45" s="20"/>
      <c r="AF45" s="21"/>
      <c r="AG45" s="19"/>
      <c r="AH45" s="22"/>
      <c r="AI45" s="20"/>
    </row>
    <row r="46" spans="10:35" x14ac:dyDescent="0.25">
      <c r="J46" s="8"/>
      <c r="K46" s="9"/>
      <c r="L46" s="4"/>
      <c r="M46" s="4"/>
      <c r="N46" s="9"/>
      <c r="O46" s="10"/>
      <c r="P46" s="10"/>
      <c r="R46" s="23"/>
      <c r="S46" s="12"/>
      <c r="T46" s="13"/>
      <c r="U46" s="14"/>
      <c r="V46" s="15"/>
      <c r="X46" s="16"/>
      <c r="Y46" s="16"/>
      <c r="AA46" s="18"/>
      <c r="AB46" s="17"/>
      <c r="AE46" s="20"/>
      <c r="AF46" s="21"/>
      <c r="AG46" s="19"/>
      <c r="AH46" s="22"/>
      <c r="AI46" s="20"/>
    </row>
    <row r="47" spans="10:35" x14ac:dyDescent="0.25">
      <c r="J47" s="8"/>
      <c r="K47" s="9"/>
      <c r="L47" s="4"/>
      <c r="M47" s="4"/>
      <c r="N47" s="9"/>
      <c r="O47" s="10"/>
      <c r="P47" s="10"/>
      <c r="R47" s="23"/>
      <c r="S47" s="12"/>
      <c r="T47" s="13"/>
      <c r="U47" s="14"/>
      <c r="V47" s="15"/>
      <c r="X47" s="16"/>
      <c r="Y47" s="16"/>
      <c r="AA47" s="18"/>
      <c r="AB47" s="17"/>
      <c r="AE47" s="20"/>
      <c r="AF47" s="21"/>
      <c r="AG47" s="19"/>
      <c r="AH47" s="22"/>
      <c r="AI47" s="20"/>
    </row>
    <row r="48" spans="10:35" x14ac:dyDescent="0.25">
      <c r="J48" s="8"/>
      <c r="K48" s="9"/>
      <c r="L48" s="4"/>
      <c r="M48" s="4"/>
      <c r="N48" s="9"/>
      <c r="O48" s="10"/>
      <c r="P48" s="10"/>
      <c r="R48" s="23"/>
      <c r="S48" s="12"/>
      <c r="T48" s="13"/>
      <c r="U48" s="14"/>
      <c r="V48" s="15"/>
      <c r="X48" s="16"/>
      <c r="Y48" s="16"/>
      <c r="AA48" s="18"/>
      <c r="AB48" s="17"/>
      <c r="AE48" s="20"/>
      <c r="AF48" s="21"/>
      <c r="AG48" s="19"/>
      <c r="AH48" s="22"/>
      <c r="AI48" s="20"/>
    </row>
    <row r="49" spans="10:35" x14ac:dyDescent="0.25">
      <c r="J49" s="8"/>
      <c r="K49" s="9"/>
      <c r="L49" s="4"/>
      <c r="M49" s="4"/>
      <c r="N49" s="9"/>
      <c r="O49" s="10"/>
      <c r="P49" s="10"/>
      <c r="R49" s="23"/>
      <c r="S49" s="12"/>
      <c r="T49" s="13"/>
      <c r="U49" s="14"/>
      <c r="V49" s="15"/>
      <c r="X49" s="16"/>
      <c r="Y49" s="16"/>
      <c r="AA49" s="18"/>
      <c r="AB49" s="17"/>
      <c r="AE49" s="20"/>
      <c r="AF49" s="21"/>
      <c r="AG49" s="19"/>
      <c r="AH49" s="22"/>
      <c r="AI49" s="20"/>
    </row>
    <row r="50" spans="10:35" x14ac:dyDescent="0.25">
      <c r="J50" s="8"/>
      <c r="K50" s="9"/>
      <c r="L50" s="4"/>
      <c r="M50" s="4"/>
      <c r="N50" s="9"/>
      <c r="O50" s="10"/>
      <c r="P50" s="10"/>
      <c r="R50" s="23"/>
      <c r="S50" s="12"/>
      <c r="T50" s="13"/>
      <c r="U50" s="14"/>
      <c r="V50" s="15"/>
      <c r="X50" s="16"/>
      <c r="Y50" s="16"/>
      <c r="AA50" s="18"/>
      <c r="AB50" s="17"/>
      <c r="AE50" s="20"/>
      <c r="AF50" s="21"/>
      <c r="AG50" s="19"/>
      <c r="AH50" s="22"/>
      <c r="AI50" s="20"/>
    </row>
    <row r="51" spans="10:35" x14ac:dyDescent="0.25">
      <c r="J51" s="8"/>
      <c r="K51" s="9"/>
      <c r="L51" s="4"/>
      <c r="M51" s="4"/>
      <c r="N51" s="9"/>
      <c r="O51" s="10"/>
      <c r="P51" s="10"/>
      <c r="R51" s="23"/>
      <c r="S51" s="12"/>
      <c r="T51" s="13"/>
      <c r="U51" s="14"/>
      <c r="V51" s="15"/>
      <c r="X51" s="16"/>
      <c r="Y51" s="16"/>
      <c r="AA51" s="18"/>
      <c r="AB51" s="17"/>
      <c r="AE51" s="20"/>
      <c r="AF51" s="21"/>
      <c r="AG51" s="19"/>
      <c r="AH51" s="22"/>
      <c r="AI51" s="20"/>
    </row>
    <row r="52" spans="10:35" x14ac:dyDescent="0.25">
      <c r="J52" s="8"/>
      <c r="K52" s="9"/>
      <c r="L52" s="4"/>
      <c r="M52" s="4"/>
      <c r="N52" s="9"/>
      <c r="O52" s="10"/>
      <c r="P52" s="10"/>
      <c r="R52" s="23"/>
      <c r="S52" s="12"/>
      <c r="T52" s="13"/>
      <c r="U52" s="14"/>
      <c r="V52" s="15"/>
      <c r="X52" s="16"/>
      <c r="Y52" s="16"/>
      <c r="AA52" s="18"/>
      <c r="AB52" s="17"/>
      <c r="AE52" s="20"/>
      <c r="AF52" s="21"/>
      <c r="AG52" s="19"/>
      <c r="AH52" s="22"/>
      <c r="AI52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30"/>
  <sheetViews>
    <sheetView topLeftCell="B1" workbookViewId="0">
      <selection activeCell="H25" sqref="A1:XFD1048576"/>
    </sheetView>
  </sheetViews>
  <sheetFormatPr defaultRowHeight="15" x14ac:dyDescent="0.25"/>
  <cols>
    <col min="1" max="1" width="8.7109375" style="2" hidden="1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hidden="1" customWidth="1"/>
    <col min="6" max="6" width="8.7109375" style="2" hidden="1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9.710937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6" customWidth="1"/>
    <col min="28" max="28" width="11.5703125" style="3" customWidth="1"/>
    <col min="29" max="29" width="10.7109375" style="19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B2" s="3" t="s">
        <v>44</v>
      </c>
      <c r="C2" s="3">
        <v>0</v>
      </c>
      <c r="D2" s="2" t="s">
        <v>50</v>
      </c>
      <c r="J2" s="8" t="str">
        <f t="shared" ref="J2:J8" si="0">IF(ISBLANK(G2),"",IF(ISBLANK(H2),"",IF(ISBLANK(I2),"",(AVERAGE(G2:I2)))))</f>
        <v/>
      </c>
      <c r="K2" s="9" t="str">
        <f t="shared" ref="K2:K8" si="1">IF(ISBLANK(G2),"",IF(ISBLANK(H2),"",IF(ISBLANK(I2),"",J2-C2)))</f>
        <v/>
      </c>
      <c r="L2" s="4">
        <v>0.2</v>
      </c>
      <c r="M2" s="4">
        <v>2</v>
      </c>
      <c r="N2" s="28" t="str">
        <f t="shared" ref="N2:N8" si="2">IF(ISBLANK(G2),"",IF(ISBLANK(H2),"",IF(ISBLANK(I2),"",ABS(J2*L2%)+(M2*X2))))</f>
        <v/>
      </c>
      <c r="O2" s="10" t="str">
        <f t="shared" ref="O2:O8" si="3">IF(ISBLANK(G2),"",IF(ISBLANK(H2),"",IF(ISBLANK(I2),"",C2+N2)))</f>
        <v/>
      </c>
      <c r="P2" s="10" t="str">
        <f t="shared" ref="P2:P8" si="4">IF(ISBLANK(G2),"",IF(ISBLANK(H2),"",IF(ISBLANK(I2),"",C2-N2)))</f>
        <v/>
      </c>
      <c r="Q2" s="2" t="str">
        <f t="shared" ref="Q2:Q8" si="5">IF(ISBLANK(G2),"",IF(ISBLANK(H2),"",IF(ISBLANK(I2),"",IF(AND(J2&gt;=P2,J2&lt;=O2),"PASS","FAIL"))))</f>
        <v/>
      </c>
      <c r="R2" s="23">
        <v>7.7000000000000001E-5</v>
      </c>
      <c r="S2" s="12">
        <v>2</v>
      </c>
      <c r="T2" s="13">
        <f t="shared" ref="T2:T8" si="6">IFERROR(R2/S2,0)</f>
        <v>3.8500000000000001E-5</v>
      </c>
      <c r="U2" s="14">
        <v>0</v>
      </c>
      <c r="V2" s="15">
        <f t="shared" ref="V2:V8" si="7">SQRT(3)</f>
        <v>1.7320508075688772</v>
      </c>
      <c r="W2" s="2">
        <f t="shared" ref="W2:W8" si="8">IFERROR(U2/V2,0)</f>
        <v>0</v>
      </c>
      <c r="X2" s="16">
        <v>0.1</v>
      </c>
      <c r="Y2" s="16">
        <v>3.4641016151377544</v>
      </c>
      <c r="Z2" s="2">
        <f t="shared" ref="Z2:Z8" si="9">IFERROR(X2/Y2,0)</f>
        <v>2.8867513459481291E-2</v>
      </c>
      <c r="AA2" s="18" t="str">
        <f t="shared" ref="AA2:AA8" si="10">IF(ISBLANK(G2),"",IF(ISBLANK(H2),"",IF(ISBLANK(I2),"",STDEV(G2:I2))))</f>
        <v/>
      </c>
      <c r="AB2" s="17">
        <f t="shared" ref="AB2:AB8" si="11">SQRT(3)</f>
        <v>1.7320508075688772</v>
      </c>
      <c r="AC2" s="19" t="str">
        <f t="shared" ref="AC2:AC8" si="12">IF(ISBLANK(G2),"",IF(ISBLANK(H2),"",IF(ISBLANK(I2),"",AA2/AB2)))</f>
        <v/>
      </c>
      <c r="AD2" s="2">
        <f t="shared" ref="AD2:AD8" si="13">SQRT(SUMSQ(T2,W2,Z2,AC2))</f>
        <v>2.8867539132792972E-2</v>
      </c>
      <c r="AE2" s="20" t="str">
        <f t="shared" ref="AE2:AE8" si="14">IF(ISBLANK(G2),"",IF(ISBLANK(H2),"",IF(ISBLANK(I2),"",IF(AD2=0,0,(AD2^4)/(((AC2^4)/2)+((Z2^4)/200)+((W2^4)/200)+((T2^4)/200))))))</f>
        <v/>
      </c>
      <c r="AF2" s="21" t="str">
        <f t="shared" ref="AF2:AF8" si="15">IF(ISBLANK(G2),"",IF(ISBLANK(H2),"",IF(ISBLANK(I2),"",ROUND(IF(AE2&gt;=30,2,_xlfn.T.INV.2T(0.05,AE2)),0))))</f>
        <v/>
      </c>
      <c r="AG2" s="19" t="str">
        <f t="shared" ref="AG2:AG8" si="16">IF(ISBLANK(G2),"",IF(ISBLANK(H2),"",IF(ISBLANK(I2),"",AF2*AD2)))</f>
        <v/>
      </c>
      <c r="AH2" s="22">
        <v>7.7999999999999996E-3</v>
      </c>
      <c r="AI2" s="20">
        <f t="shared" ref="AI2:AI8" si="17">IF(ISBLANK(G2),0,IF(ISBLANK(H2),0,IF(ISBLANK(I2),0,MAX(AG2,AH2))))</f>
        <v>0</v>
      </c>
    </row>
    <row r="3" spans="1:35" x14ac:dyDescent="0.25">
      <c r="B3" s="3" t="s">
        <v>44</v>
      </c>
      <c r="C3" s="3">
        <v>540</v>
      </c>
      <c r="D3" s="2" t="s">
        <v>50</v>
      </c>
      <c r="J3" s="8" t="str">
        <f t="shared" si="0"/>
        <v/>
      </c>
      <c r="K3" s="9" t="str">
        <f t="shared" si="1"/>
        <v/>
      </c>
      <c r="L3" s="4">
        <v>0.2</v>
      </c>
      <c r="M3" s="4">
        <v>2</v>
      </c>
      <c r="N3" s="28" t="str">
        <f t="shared" si="2"/>
        <v/>
      </c>
      <c r="O3" s="10" t="str">
        <f t="shared" si="3"/>
        <v/>
      </c>
      <c r="P3" s="10" t="str">
        <f t="shared" si="4"/>
        <v/>
      </c>
      <c r="Q3" s="2" t="str">
        <f t="shared" si="5"/>
        <v/>
      </c>
      <c r="R3" s="23">
        <v>3.0000000000000001E-3</v>
      </c>
      <c r="S3" s="12">
        <v>2</v>
      </c>
      <c r="T3" s="13">
        <f t="shared" si="6"/>
        <v>1.5E-3</v>
      </c>
      <c r="U3" s="14">
        <v>0</v>
      </c>
      <c r="V3" s="15">
        <f t="shared" si="7"/>
        <v>1.7320508075688772</v>
      </c>
      <c r="W3" s="2">
        <f t="shared" si="8"/>
        <v>0</v>
      </c>
      <c r="X3" s="16">
        <v>0.1</v>
      </c>
      <c r="Y3" s="16">
        <v>3.4641016151377544</v>
      </c>
      <c r="Z3" s="2">
        <f t="shared" si="9"/>
        <v>2.8867513459481291E-2</v>
      </c>
      <c r="AA3" s="18" t="str">
        <f t="shared" si="10"/>
        <v/>
      </c>
      <c r="AB3" s="17">
        <f t="shared" si="11"/>
        <v>1.7320508075688772</v>
      </c>
      <c r="AC3" s="19" t="str">
        <f t="shared" si="12"/>
        <v/>
      </c>
      <c r="AD3" s="2">
        <f t="shared" si="13"/>
        <v>2.8906458332582589E-2</v>
      </c>
      <c r="AE3" s="20" t="str">
        <f t="shared" si="14"/>
        <v/>
      </c>
      <c r="AF3" s="21" t="str">
        <f t="shared" si="15"/>
        <v/>
      </c>
      <c r="AG3" s="19" t="str">
        <f t="shared" si="16"/>
        <v/>
      </c>
      <c r="AH3" s="22">
        <v>2.3E-2</v>
      </c>
      <c r="AI3" s="20">
        <f t="shared" si="17"/>
        <v>0</v>
      </c>
    </row>
    <row r="4" spans="1:35" x14ac:dyDescent="0.25">
      <c r="B4" s="3" t="s">
        <v>45</v>
      </c>
      <c r="C4" s="3">
        <v>5.4</v>
      </c>
      <c r="D4" s="2" t="s">
        <v>51</v>
      </c>
      <c r="J4" s="8" t="str">
        <f t="shared" si="0"/>
        <v/>
      </c>
      <c r="K4" s="9" t="str">
        <f t="shared" si="1"/>
        <v/>
      </c>
      <c r="L4" s="4">
        <v>0.2</v>
      </c>
      <c r="M4" s="4">
        <v>1</v>
      </c>
      <c r="N4" s="28" t="str">
        <f t="shared" si="2"/>
        <v/>
      </c>
      <c r="O4" s="10" t="str">
        <f t="shared" si="3"/>
        <v/>
      </c>
      <c r="P4" s="10" t="str">
        <f t="shared" si="4"/>
        <v/>
      </c>
      <c r="Q4" s="2" t="str">
        <f t="shared" si="5"/>
        <v/>
      </c>
      <c r="R4" s="23">
        <v>5.5000000000000002E-5</v>
      </c>
      <c r="S4" s="12">
        <v>2</v>
      </c>
      <c r="T4" s="13">
        <f t="shared" si="6"/>
        <v>2.7500000000000001E-5</v>
      </c>
      <c r="U4" s="14">
        <v>0</v>
      </c>
      <c r="V4" s="15">
        <f t="shared" si="7"/>
        <v>1.7320508075688772</v>
      </c>
      <c r="W4" s="2">
        <f t="shared" si="8"/>
        <v>0</v>
      </c>
      <c r="X4" s="16">
        <v>1E-3</v>
      </c>
      <c r="Y4" s="16">
        <v>3.4641016151377544</v>
      </c>
      <c r="Z4" s="2">
        <f t="shared" si="9"/>
        <v>2.886751345948129E-4</v>
      </c>
      <c r="AA4" s="18" t="str">
        <f t="shared" si="10"/>
        <v/>
      </c>
      <c r="AB4" s="17">
        <f t="shared" si="11"/>
        <v>1.7320508075688772</v>
      </c>
      <c r="AC4" s="19" t="str">
        <f t="shared" si="12"/>
        <v/>
      </c>
      <c r="AD4" s="2">
        <f t="shared" si="13"/>
        <v>2.899820396737242E-4</v>
      </c>
      <c r="AE4" s="20" t="str">
        <f t="shared" si="14"/>
        <v/>
      </c>
      <c r="AF4" s="21" t="str">
        <f t="shared" si="15"/>
        <v/>
      </c>
      <c r="AG4" s="19" t="str">
        <f t="shared" si="16"/>
        <v/>
      </c>
      <c r="AH4" s="22">
        <v>2.3000000000000001E-4</v>
      </c>
      <c r="AI4" s="20">
        <f t="shared" si="17"/>
        <v>0</v>
      </c>
    </row>
    <row r="5" spans="1:35" x14ac:dyDescent="0.25">
      <c r="B5" s="3" t="s">
        <v>46</v>
      </c>
      <c r="C5" s="3">
        <v>54</v>
      </c>
      <c r="D5" s="2" t="s">
        <v>51</v>
      </c>
      <c r="J5" s="8" t="str">
        <f t="shared" si="0"/>
        <v/>
      </c>
      <c r="K5" s="9" t="str">
        <f t="shared" si="1"/>
        <v/>
      </c>
      <c r="L5" s="4">
        <v>0.2</v>
      </c>
      <c r="M5" s="4">
        <v>1</v>
      </c>
      <c r="N5" s="28" t="str">
        <f t="shared" si="2"/>
        <v/>
      </c>
      <c r="O5" s="10" t="str">
        <f t="shared" si="3"/>
        <v/>
      </c>
      <c r="P5" s="10" t="str">
        <f t="shared" si="4"/>
        <v/>
      </c>
      <c r="Q5" s="2" t="str">
        <f t="shared" si="5"/>
        <v/>
      </c>
      <c r="R5" s="23">
        <v>8.0999999999999996E-4</v>
      </c>
      <c r="S5" s="12">
        <v>2</v>
      </c>
      <c r="T5" s="13">
        <f t="shared" si="6"/>
        <v>4.0499999999999998E-4</v>
      </c>
      <c r="U5" s="14">
        <v>0</v>
      </c>
      <c r="V5" s="15">
        <f t="shared" si="7"/>
        <v>1.7320508075688772</v>
      </c>
      <c r="W5" s="2">
        <f t="shared" si="8"/>
        <v>0</v>
      </c>
      <c r="X5" s="16">
        <v>0.01</v>
      </c>
      <c r="Y5" s="16">
        <v>3.4641016151377544</v>
      </c>
      <c r="Z5" s="2">
        <f t="shared" si="9"/>
        <v>2.886751345948129E-3</v>
      </c>
      <c r="AA5" s="18" t="str">
        <f t="shared" si="10"/>
        <v/>
      </c>
      <c r="AB5" s="17">
        <f t="shared" si="11"/>
        <v>1.7320508075688772</v>
      </c>
      <c r="AC5" s="19" t="str">
        <f t="shared" si="12"/>
        <v/>
      </c>
      <c r="AD5" s="2">
        <f t="shared" si="13"/>
        <v>2.9150228701218337E-3</v>
      </c>
      <c r="AE5" s="20" t="str">
        <f t="shared" si="14"/>
        <v/>
      </c>
      <c r="AF5" s="21" t="str">
        <f t="shared" si="15"/>
        <v/>
      </c>
      <c r="AG5" s="19" t="str">
        <f t="shared" si="16"/>
        <v/>
      </c>
      <c r="AH5" s="22">
        <v>1.5E-3</v>
      </c>
      <c r="AI5" s="20">
        <f t="shared" si="17"/>
        <v>0</v>
      </c>
    </row>
    <row r="6" spans="1:35" x14ac:dyDescent="0.25">
      <c r="B6" s="3" t="s">
        <v>47</v>
      </c>
      <c r="C6" s="3">
        <v>540</v>
      </c>
      <c r="D6" s="2" t="s">
        <v>51</v>
      </c>
      <c r="J6" s="8" t="str">
        <f t="shared" si="0"/>
        <v/>
      </c>
      <c r="K6" s="9" t="str">
        <f t="shared" si="1"/>
        <v/>
      </c>
      <c r="L6" s="4">
        <v>0.6</v>
      </c>
      <c r="M6" s="4">
        <v>1</v>
      </c>
      <c r="N6" s="28" t="str">
        <f t="shared" si="2"/>
        <v/>
      </c>
      <c r="O6" s="10" t="str">
        <f t="shared" si="3"/>
        <v/>
      </c>
      <c r="P6" s="10" t="str">
        <f t="shared" si="4"/>
        <v/>
      </c>
      <c r="Q6" s="2" t="str">
        <f t="shared" si="5"/>
        <v/>
      </c>
      <c r="R6" s="23">
        <v>6.6E-3</v>
      </c>
      <c r="S6" s="12">
        <v>2</v>
      </c>
      <c r="T6" s="13">
        <f t="shared" si="6"/>
        <v>3.3E-3</v>
      </c>
      <c r="U6" s="14">
        <v>0</v>
      </c>
      <c r="V6" s="15">
        <f t="shared" si="7"/>
        <v>1.7320508075688772</v>
      </c>
      <c r="W6" s="2">
        <f t="shared" si="8"/>
        <v>0</v>
      </c>
      <c r="X6" s="16">
        <v>0.1</v>
      </c>
      <c r="Y6" s="16">
        <v>3.4641016151377544</v>
      </c>
      <c r="Z6" s="2">
        <f t="shared" si="9"/>
        <v>2.8867513459481291E-2</v>
      </c>
      <c r="AA6" s="18" t="str">
        <f t="shared" si="10"/>
        <v/>
      </c>
      <c r="AB6" s="17">
        <f t="shared" si="11"/>
        <v>1.7320508075688772</v>
      </c>
      <c r="AC6" s="19" t="str">
        <f t="shared" si="12"/>
        <v/>
      </c>
      <c r="AD6" s="2">
        <f t="shared" si="13"/>
        <v>2.9055521563608758E-2</v>
      </c>
      <c r="AE6" s="20" t="str">
        <f t="shared" si="14"/>
        <v/>
      </c>
      <c r="AF6" s="21" t="str">
        <f t="shared" si="15"/>
        <v/>
      </c>
      <c r="AG6" s="19" t="str">
        <f t="shared" si="16"/>
        <v/>
      </c>
      <c r="AH6" s="22">
        <v>1.6E-2</v>
      </c>
      <c r="AI6" s="20">
        <f t="shared" si="17"/>
        <v>0</v>
      </c>
    </row>
    <row r="7" spans="1:35" x14ac:dyDescent="0.25">
      <c r="B7" s="3" t="s">
        <v>48</v>
      </c>
      <c r="C7" s="3">
        <v>5.4</v>
      </c>
      <c r="D7" s="2" t="s">
        <v>52</v>
      </c>
      <c r="J7" s="8" t="str">
        <f t="shared" si="0"/>
        <v/>
      </c>
      <c r="K7" s="9" t="str">
        <f t="shared" si="1"/>
        <v/>
      </c>
      <c r="L7" s="4">
        <v>0.6</v>
      </c>
      <c r="M7" s="4">
        <v>1</v>
      </c>
      <c r="N7" s="28" t="str">
        <f t="shared" si="2"/>
        <v/>
      </c>
      <c r="O7" s="10" t="str">
        <f t="shared" si="3"/>
        <v/>
      </c>
      <c r="P7" s="10" t="str">
        <f t="shared" si="4"/>
        <v/>
      </c>
      <c r="Q7" s="2" t="str">
        <f t="shared" si="5"/>
        <v/>
      </c>
      <c r="R7" s="23">
        <v>4.8000000000000001E-4</v>
      </c>
      <c r="S7" s="12">
        <v>2</v>
      </c>
      <c r="T7" s="13">
        <f t="shared" si="6"/>
        <v>2.4000000000000001E-4</v>
      </c>
      <c r="U7" s="14">
        <v>0</v>
      </c>
      <c r="V7" s="15">
        <f t="shared" si="7"/>
        <v>1.7320508075688772</v>
      </c>
      <c r="W7" s="2">
        <f t="shared" si="8"/>
        <v>0</v>
      </c>
      <c r="X7" s="16">
        <v>1E-3</v>
      </c>
      <c r="Y7" s="16">
        <v>3.4641016151377544</v>
      </c>
      <c r="Z7" s="2">
        <f t="shared" si="9"/>
        <v>2.886751345948129E-4</v>
      </c>
      <c r="AA7" s="18" t="str">
        <f t="shared" si="10"/>
        <v/>
      </c>
      <c r="AB7" s="17">
        <f t="shared" si="11"/>
        <v>1.7320508075688772</v>
      </c>
      <c r="AC7" s="19" t="str">
        <f t="shared" si="12"/>
        <v/>
      </c>
      <c r="AD7" s="2">
        <f t="shared" si="13"/>
        <v>3.75410886008029E-4</v>
      </c>
      <c r="AE7" s="20" t="str">
        <f t="shared" si="14"/>
        <v/>
      </c>
      <c r="AF7" s="21" t="str">
        <f t="shared" si="15"/>
        <v/>
      </c>
      <c r="AG7" s="19" t="str">
        <f t="shared" si="16"/>
        <v/>
      </c>
      <c r="AH7" s="22">
        <v>5.2999999999999998E-4</v>
      </c>
      <c r="AI7" s="20">
        <f t="shared" si="17"/>
        <v>0</v>
      </c>
    </row>
    <row r="8" spans="1:35" x14ac:dyDescent="0.25">
      <c r="B8" s="3" t="s">
        <v>49</v>
      </c>
      <c r="C8" s="3">
        <v>45</v>
      </c>
      <c r="D8" s="2" t="s">
        <v>52</v>
      </c>
      <c r="J8" s="8" t="str">
        <f t="shared" si="0"/>
        <v/>
      </c>
      <c r="K8" s="9" t="str">
        <f t="shared" si="1"/>
        <v/>
      </c>
      <c r="L8" s="4">
        <v>1</v>
      </c>
      <c r="M8" s="4">
        <v>10</v>
      </c>
      <c r="N8" s="9" t="str">
        <f t="shared" si="2"/>
        <v/>
      </c>
      <c r="O8" s="10" t="str">
        <f t="shared" si="3"/>
        <v/>
      </c>
      <c r="P8" s="10" t="str">
        <f t="shared" si="4"/>
        <v/>
      </c>
      <c r="Q8" s="2" t="str">
        <f t="shared" si="5"/>
        <v/>
      </c>
      <c r="R8" s="23">
        <v>4.7000000000000002E-3</v>
      </c>
      <c r="S8" s="12">
        <v>2</v>
      </c>
      <c r="T8" s="13">
        <f t="shared" si="6"/>
        <v>2.3500000000000001E-3</v>
      </c>
      <c r="U8" s="14">
        <v>0</v>
      </c>
      <c r="V8" s="15">
        <f t="shared" si="7"/>
        <v>1.7320508075688772</v>
      </c>
      <c r="W8" s="2">
        <f t="shared" si="8"/>
        <v>0</v>
      </c>
      <c r="X8" s="16">
        <v>0.01</v>
      </c>
      <c r="Y8" s="16">
        <v>3.4641016151377544</v>
      </c>
      <c r="Z8" s="2">
        <f t="shared" si="9"/>
        <v>2.886751345948129E-3</v>
      </c>
      <c r="AA8" s="18" t="str">
        <f t="shared" si="10"/>
        <v/>
      </c>
      <c r="AB8" s="17">
        <f t="shared" si="11"/>
        <v>1.7320508075688772</v>
      </c>
      <c r="AC8" s="19" t="str">
        <f t="shared" si="12"/>
        <v/>
      </c>
      <c r="AD8" s="2">
        <f t="shared" si="13"/>
        <v>3.7223424524529354E-3</v>
      </c>
      <c r="AE8" s="20" t="str">
        <f t="shared" si="14"/>
        <v/>
      </c>
      <c r="AF8" s="21" t="str">
        <f t="shared" si="15"/>
        <v/>
      </c>
      <c r="AG8" s="19" t="str">
        <f t="shared" si="16"/>
        <v/>
      </c>
      <c r="AH8" s="22">
        <v>1.4999999999999999E-2</v>
      </c>
      <c r="AI8" s="20">
        <f t="shared" si="17"/>
        <v>0</v>
      </c>
    </row>
    <row r="9" spans="1:35" x14ac:dyDescent="0.25">
      <c r="J9" s="8"/>
      <c r="K9" s="9"/>
      <c r="L9" s="4"/>
      <c r="M9" s="4"/>
      <c r="N9" s="9"/>
      <c r="O9" s="10"/>
      <c r="P9" s="10"/>
      <c r="R9" s="23"/>
      <c r="S9" s="12"/>
      <c r="T9" s="13"/>
      <c r="U9" s="14"/>
      <c r="V9" s="15"/>
      <c r="X9" s="16"/>
      <c r="Y9" s="16"/>
      <c r="AA9" s="18"/>
      <c r="AB9" s="17"/>
      <c r="AE9" s="20"/>
      <c r="AF9" s="21"/>
      <c r="AG9" s="19"/>
      <c r="AH9" s="22"/>
      <c r="AI9" s="20"/>
    </row>
    <row r="10" spans="1:35" x14ac:dyDescent="0.25">
      <c r="J10" s="8"/>
      <c r="K10" s="9"/>
      <c r="L10" s="4"/>
      <c r="M10" s="4"/>
      <c r="N10" s="9"/>
      <c r="O10" s="10"/>
      <c r="P10" s="10"/>
      <c r="R10" s="23"/>
      <c r="S10" s="12"/>
      <c r="T10" s="13"/>
      <c r="U10" s="14"/>
      <c r="V10" s="15"/>
      <c r="X10" s="16"/>
      <c r="Y10" s="16"/>
      <c r="AA10" s="18"/>
      <c r="AB10" s="17"/>
      <c r="AE10" s="20"/>
      <c r="AF10" s="21"/>
      <c r="AG10" s="19"/>
      <c r="AH10" s="22"/>
      <c r="AI10" s="20"/>
    </row>
    <row r="11" spans="1:35" x14ac:dyDescent="0.25">
      <c r="J11" s="8"/>
      <c r="K11" s="9"/>
      <c r="L11" s="4"/>
      <c r="M11" s="4"/>
      <c r="N11" s="9"/>
      <c r="O11" s="10"/>
      <c r="P11" s="10"/>
      <c r="R11" s="23"/>
      <c r="S11" s="12"/>
      <c r="T11" s="13"/>
      <c r="U11" s="14"/>
      <c r="V11" s="15"/>
      <c r="X11" s="16"/>
      <c r="Y11" s="16"/>
      <c r="AA11" s="18"/>
      <c r="AB11" s="17"/>
      <c r="AE11" s="20"/>
      <c r="AF11" s="21"/>
      <c r="AG11" s="19"/>
      <c r="AH11" s="22"/>
      <c r="AI11" s="20"/>
    </row>
    <row r="12" spans="1:35" x14ac:dyDescent="0.25">
      <c r="J12" s="8"/>
      <c r="K12" s="9"/>
      <c r="L12" s="4"/>
      <c r="M12" s="4"/>
      <c r="N12" s="9"/>
      <c r="O12" s="10"/>
      <c r="P12" s="10"/>
      <c r="R12" s="23"/>
      <c r="S12" s="12"/>
      <c r="T12" s="13"/>
      <c r="U12" s="14"/>
      <c r="V12" s="15"/>
      <c r="X12" s="16"/>
      <c r="Y12" s="16"/>
      <c r="AA12" s="18"/>
      <c r="AB12" s="17"/>
      <c r="AE12" s="20"/>
      <c r="AF12" s="21"/>
      <c r="AG12" s="19"/>
      <c r="AH12" s="22"/>
      <c r="AI12" s="20"/>
    </row>
    <row r="13" spans="1:35" x14ac:dyDescent="0.25">
      <c r="J13" s="8"/>
      <c r="K13" s="9"/>
      <c r="L13" s="4"/>
      <c r="M13" s="4"/>
      <c r="N13" s="9"/>
      <c r="O13" s="10"/>
      <c r="P13" s="10"/>
      <c r="R13" s="23"/>
      <c r="S13" s="12"/>
      <c r="T13" s="13"/>
      <c r="U13" s="14"/>
      <c r="V13" s="15"/>
      <c r="X13" s="16"/>
      <c r="Y13" s="16"/>
      <c r="AA13" s="18"/>
      <c r="AB13" s="17"/>
      <c r="AE13" s="20"/>
      <c r="AF13" s="21"/>
      <c r="AG13" s="19"/>
      <c r="AH13" s="22"/>
      <c r="AI13" s="20"/>
    </row>
    <row r="14" spans="1:35" x14ac:dyDescent="0.25">
      <c r="J14" s="8"/>
      <c r="K14" s="9"/>
      <c r="L14" s="4"/>
      <c r="M14" s="4"/>
      <c r="N14" s="9"/>
      <c r="O14" s="10"/>
      <c r="P14" s="10"/>
      <c r="R14" s="23"/>
      <c r="S14" s="12"/>
      <c r="T14" s="13"/>
      <c r="U14" s="14"/>
      <c r="V14" s="15"/>
      <c r="X14" s="16"/>
      <c r="Y14" s="16"/>
      <c r="AA14" s="18"/>
      <c r="AB14" s="17"/>
      <c r="AE14" s="20"/>
      <c r="AF14" s="21"/>
      <c r="AG14" s="19"/>
      <c r="AH14" s="22"/>
      <c r="AI14" s="20"/>
    </row>
    <row r="15" spans="1:35" x14ac:dyDescent="0.25">
      <c r="J15" s="8"/>
      <c r="K15" s="9"/>
      <c r="L15" s="4"/>
      <c r="M15" s="4"/>
      <c r="N15" s="9"/>
      <c r="O15" s="10"/>
      <c r="P15" s="10"/>
      <c r="R15" s="23"/>
      <c r="S15" s="12"/>
      <c r="T15" s="13"/>
      <c r="U15" s="14"/>
      <c r="V15" s="15"/>
      <c r="X15" s="16"/>
      <c r="Y15" s="16"/>
      <c r="AA15" s="18"/>
      <c r="AB15" s="17"/>
      <c r="AE15" s="20"/>
      <c r="AF15" s="21"/>
      <c r="AG15" s="19"/>
      <c r="AH15" s="22"/>
      <c r="AI15" s="20"/>
    </row>
    <row r="16" spans="1:35" x14ac:dyDescent="0.25">
      <c r="J16" s="8"/>
      <c r="K16" s="9"/>
      <c r="L16" s="4"/>
      <c r="M16" s="4"/>
      <c r="N16" s="9"/>
      <c r="O16" s="10"/>
      <c r="P16" s="10"/>
      <c r="R16" s="23"/>
      <c r="S16" s="12"/>
      <c r="T16" s="13"/>
      <c r="U16" s="14"/>
      <c r="V16" s="15"/>
      <c r="X16" s="16"/>
      <c r="Y16" s="16"/>
      <c r="AA16" s="18"/>
      <c r="AB16" s="17"/>
      <c r="AE16" s="20"/>
      <c r="AF16" s="21"/>
      <c r="AG16" s="19"/>
      <c r="AH16" s="22"/>
      <c r="AI16" s="20"/>
    </row>
    <row r="17" spans="10:35" x14ac:dyDescent="0.25">
      <c r="J17" s="8"/>
      <c r="K17" s="9"/>
      <c r="L17" s="4"/>
      <c r="M17" s="4"/>
      <c r="N17" s="9"/>
      <c r="O17" s="10"/>
      <c r="P17" s="10"/>
      <c r="R17" s="23"/>
      <c r="S17" s="12"/>
      <c r="T17" s="13"/>
      <c r="U17" s="14"/>
      <c r="V17" s="15"/>
      <c r="X17" s="16"/>
      <c r="Y17" s="16"/>
      <c r="AA17" s="18"/>
      <c r="AB17" s="17"/>
      <c r="AE17" s="20"/>
      <c r="AF17" s="21"/>
      <c r="AG17" s="19"/>
      <c r="AH17" s="22"/>
      <c r="AI17" s="20"/>
    </row>
    <row r="18" spans="10:35" x14ac:dyDescent="0.25">
      <c r="J18" s="8"/>
      <c r="K18" s="9"/>
      <c r="L18" s="4"/>
      <c r="M18" s="4"/>
      <c r="N18" s="9"/>
      <c r="O18" s="10"/>
      <c r="P18" s="10"/>
      <c r="R18" s="23"/>
      <c r="S18" s="12"/>
      <c r="T18" s="13"/>
      <c r="U18" s="14"/>
      <c r="V18" s="15"/>
      <c r="X18" s="16"/>
      <c r="Y18" s="16"/>
      <c r="AA18" s="18"/>
      <c r="AB18" s="17"/>
      <c r="AE18" s="20"/>
      <c r="AF18" s="21"/>
      <c r="AG18" s="19"/>
      <c r="AH18" s="22"/>
      <c r="AI18" s="20"/>
    </row>
    <row r="19" spans="10:35" x14ac:dyDescent="0.25">
      <c r="J19" s="8"/>
      <c r="K19" s="9"/>
      <c r="L19" s="4"/>
      <c r="M19" s="4"/>
      <c r="N19" s="9"/>
      <c r="O19" s="10"/>
      <c r="P19" s="10"/>
      <c r="R19" s="23"/>
      <c r="S19" s="12"/>
      <c r="T19" s="13"/>
      <c r="U19" s="14"/>
      <c r="V19" s="15"/>
      <c r="X19" s="16"/>
      <c r="Y19" s="16"/>
      <c r="AA19" s="18"/>
      <c r="AB19" s="17"/>
      <c r="AE19" s="20"/>
      <c r="AF19" s="21"/>
      <c r="AG19" s="19"/>
      <c r="AH19" s="22"/>
      <c r="AI19" s="20"/>
    </row>
    <row r="20" spans="10:35" x14ac:dyDescent="0.25">
      <c r="J20" s="8"/>
      <c r="K20" s="9"/>
      <c r="L20" s="4"/>
      <c r="M20" s="4"/>
      <c r="N20" s="9"/>
      <c r="O20" s="10"/>
      <c r="P20" s="10"/>
      <c r="R20" s="23"/>
      <c r="S20" s="12"/>
      <c r="T20" s="13"/>
      <c r="U20" s="14"/>
      <c r="V20" s="15"/>
      <c r="X20" s="16"/>
      <c r="Y20" s="16"/>
      <c r="AA20" s="18"/>
      <c r="AB20" s="17"/>
      <c r="AE20" s="20"/>
      <c r="AF20" s="21"/>
      <c r="AG20" s="19"/>
      <c r="AH20" s="22"/>
      <c r="AI20" s="20"/>
    </row>
    <row r="21" spans="10:35" x14ac:dyDescent="0.25">
      <c r="J21" s="8"/>
      <c r="K21" s="9"/>
      <c r="L21" s="4"/>
      <c r="M21" s="4"/>
      <c r="N21" s="9"/>
      <c r="O21" s="10"/>
      <c r="P21" s="10"/>
      <c r="R21" s="23"/>
      <c r="S21" s="12"/>
      <c r="T21" s="13"/>
      <c r="U21" s="14"/>
      <c r="V21" s="15"/>
      <c r="X21" s="16"/>
      <c r="Y21" s="16"/>
      <c r="AA21" s="18"/>
      <c r="AB21" s="17"/>
      <c r="AE21" s="20"/>
      <c r="AF21" s="21"/>
      <c r="AG21" s="19"/>
      <c r="AH21" s="22"/>
      <c r="AI21" s="20"/>
    </row>
    <row r="22" spans="10:35" x14ac:dyDescent="0.25">
      <c r="J22" s="8"/>
      <c r="K22" s="9"/>
      <c r="L22" s="4"/>
      <c r="M22" s="4"/>
      <c r="N22" s="9"/>
      <c r="O22" s="10"/>
      <c r="P22" s="10"/>
      <c r="R22" s="23"/>
      <c r="S22" s="12"/>
      <c r="T22" s="13"/>
      <c r="U22" s="14"/>
      <c r="V22" s="15"/>
      <c r="X22" s="16"/>
      <c r="Y22" s="16"/>
      <c r="AA22" s="18"/>
      <c r="AB22" s="17"/>
      <c r="AE22" s="20"/>
      <c r="AF22" s="21"/>
      <c r="AG22" s="19"/>
      <c r="AH22" s="22"/>
      <c r="AI22" s="20"/>
    </row>
    <row r="23" spans="10:35" x14ac:dyDescent="0.25">
      <c r="J23" s="8"/>
      <c r="K23" s="9"/>
      <c r="L23" s="4"/>
      <c r="M23" s="4"/>
      <c r="N23" s="9"/>
      <c r="O23" s="10"/>
      <c r="P23" s="10"/>
      <c r="R23" s="23"/>
      <c r="S23" s="12"/>
      <c r="T23" s="13"/>
      <c r="U23" s="14"/>
      <c r="V23" s="15"/>
      <c r="X23" s="16"/>
      <c r="Y23" s="16"/>
      <c r="AA23" s="18"/>
      <c r="AB23" s="17"/>
      <c r="AE23" s="20"/>
      <c r="AF23" s="21"/>
      <c r="AG23" s="19"/>
      <c r="AH23" s="22"/>
      <c r="AI23" s="20"/>
    </row>
    <row r="24" spans="10:35" x14ac:dyDescent="0.25">
      <c r="J24" s="8"/>
      <c r="K24" s="9"/>
      <c r="L24" s="4"/>
      <c r="M24" s="4"/>
      <c r="N24" s="9"/>
      <c r="O24" s="10"/>
      <c r="P24" s="10"/>
      <c r="R24" s="23"/>
      <c r="S24" s="12"/>
      <c r="T24" s="13"/>
      <c r="U24" s="14"/>
      <c r="V24" s="15"/>
      <c r="X24" s="16"/>
      <c r="Y24" s="16"/>
      <c r="AA24" s="18"/>
      <c r="AB24" s="17"/>
      <c r="AE24" s="20"/>
      <c r="AF24" s="21"/>
      <c r="AG24" s="19"/>
      <c r="AH24" s="22"/>
      <c r="AI24" s="20"/>
    </row>
    <row r="25" spans="10:35" x14ac:dyDescent="0.25">
      <c r="J25" s="8"/>
      <c r="K25" s="9"/>
      <c r="L25" s="4"/>
      <c r="M25" s="4"/>
      <c r="N25" s="9"/>
      <c r="O25" s="10"/>
      <c r="P25" s="10"/>
      <c r="R25" s="23"/>
      <c r="S25" s="12"/>
      <c r="T25" s="13"/>
      <c r="U25" s="14"/>
      <c r="V25" s="15"/>
      <c r="X25" s="16"/>
      <c r="Y25" s="16"/>
      <c r="AA25" s="18"/>
      <c r="AB25" s="17"/>
      <c r="AE25" s="20"/>
      <c r="AF25" s="21"/>
      <c r="AG25" s="19"/>
      <c r="AH25" s="22"/>
      <c r="AI25" s="20"/>
    </row>
    <row r="26" spans="10:35" x14ac:dyDescent="0.25">
      <c r="J26" s="8"/>
      <c r="K26" s="9"/>
      <c r="L26" s="4"/>
      <c r="M26" s="4"/>
      <c r="N26" s="9"/>
      <c r="O26" s="10"/>
      <c r="P26" s="10"/>
      <c r="R26" s="23"/>
      <c r="S26" s="12"/>
      <c r="T26" s="13"/>
      <c r="U26" s="14"/>
      <c r="V26" s="15"/>
      <c r="X26" s="16"/>
      <c r="Y26" s="16"/>
      <c r="AA26" s="18"/>
      <c r="AB26" s="17"/>
      <c r="AE26" s="20"/>
      <c r="AF26" s="21"/>
      <c r="AG26" s="19"/>
      <c r="AH26" s="22"/>
      <c r="AI26" s="20"/>
    </row>
    <row r="27" spans="10:35" x14ac:dyDescent="0.25">
      <c r="J27" s="8"/>
      <c r="K27" s="9"/>
      <c r="L27" s="4"/>
      <c r="M27" s="4"/>
      <c r="N27" s="9"/>
      <c r="O27" s="10"/>
      <c r="P27" s="10"/>
      <c r="R27" s="23"/>
      <c r="S27" s="12"/>
      <c r="T27" s="13"/>
      <c r="U27" s="14"/>
      <c r="V27" s="15"/>
      <c r="X27" s="16"/>
      <c r="Y27" s="16"/>
      <c r="AA27" s="18"/>
      <c r="AB27" s="17"/>
      <c r="AE27" s="20"/>
      <c r="AF27" s="21"/>
      <c r="AG27" s="19"/>
      <c r="AH27" s="22"/>
      <c r="AI27" s="20"/>
    </row>
    <row r="28" spans="10:35" x14ac:dyDescent="0.25">
      <c r="J28" s="8"/>
      <c r="K28" s="9"/>
      <c r="L28" s="4"/>
      <c r="M28" s="4"/>
      <c r="N28" s="9"/>
      <c r="O28" s="10"/>
      <c r="P28" s="10"/>
      <c r="R28" s="23"/>
      <c r="S28" s="12"/>
      <c r="T28" s="13"/>
      <c r="U28" s="14"/>
      <c r="V28" s="15"/>
      <c r="X28" s="16"/>
      <c r="Y28" s="16"/>
      <c r="AA28" s="18"/>
      <c r="AB28" s="17"/>
      <c r="AE28" s="20"/>
      <c r="AF28" s="21"/>
      <c r="AG28" s="19"/>
      <c r="AH28" s="22"/>
      <c r="AI28" s="20"/>
    </row>
    <row r="29" spans="10:35" x14ac:dyDescent="0.25">
      <c r="J29" s="8"/>
      <c r="K29" s="9"/>
      <c r="L29" s="4"/>
      <c r="M29" s="4"/>
      <c r="N29" s="9"/>
      <c r="O29" s="10"/>
      <c r="P29" s="10"/>
      <c r="R29" s="23"/>
      <c r="S29" s="12"/>
      <c r="T29" s="13"/>
      <c r="U29" s="14"/>
      <c r="V29" s="15"/>
      <c r="X29" s="16"/>
      <c r="Y29" s="16"/>
      <c r="AA29" s="18"/>
      <c r="AB29" s="17"/>
      <c r="AE29" s="20"/>
      <c r="AF29" s="21"/>
      <c r="AG29" s="19"/>
      <c r="AH29" s="22"/>
      <c r="AI29" s="20"/>
    </row>
    <row r="30" spans="10:35" x14ac:dyDescent="0.25">
      <c r="J30" s="8"/>
      <c r="K30" s="9"/>
      <c r="L30" s="4"/>
      <c r="M30" s="4"/>
      <c r="N30" s="9"/>
      <c r="O30" s="10"/>
      <c r="P30" s="10"/>
      <c r="R30" s="23"/>
      <c r="S30" s="12"/>
      <c r="T30" s="13"/>
      <c r="U30" s="14"/>
      <c r="V30" s="15"/>
      <c r="X30" s="16"/>
      <c r="Y30" s="16"/>
      <c r="AA30" s="18"/>
      <c r="AB30" s="17"/>
      <c r="AE30" s="20"/>
      <c r="AF30" s="21"/>
      <c r="AG30" s="19"/>
      <c r="AH30" s="22"/>
      <c r="AI30" s="2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3"/>
  <sheetViews>
    <sheetView workbookViewId="0">
      <selection activeCell="E26" sqref="A1:XFD1048576"/>
    </sheetView>
  </sheetViews>
  <sheetFormatPr defaultRowHeight="15" x14ac:dyDescent="0.25"/>
  <cols>
    <col min="1" max="1" width="8.71093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9.710937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6" customWidth="1"/>
    <col min="28" max="28" width="11.5703125" style="3" customWidth="1"/>
    <col min="29" max="29" width="10.7109375" style="19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9.5703125" style="3" bestFit="1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B2" s="3" t="s">
        <v>55</v>
      </c>
      <c r="C2" s="3">
        <v>540</v>
      </c>
      <c r="D2" s="2" t="s">
        <v>61</v>
      </c>
      <c r="J2" s="8" t="str">
        <f t="shared" ref="J2:J10" si="0">IF(ISBLANK(G2),"",IF(ISBLANK(H2),"",IF(ISBLANK(I2),"",(AVERAGE(G2:I2)))))</f>
        <v/>
      </c>
      <c r="K2" s="9" t="str">
        <f t="shared" ref="K2:K10" si="1">IF(ISBLANK(G2),"",IF(ISBLANK(H2),"",IF(ISBLANK(I2),"",J2-C2)))</f>
        <v/>
      </c>
      <c r="L2" s="4">
        <v>0.2</v>
      </c>
      <c r="M2" s="4">
        <v>4</v>
      </c>
      <c r="N2" s="9" t="str">
        <f t="shared" ref="N2:N10" si="2">IF(ISBLANK(G2),"",IF(ISBLANK(H2),"",IF(ISBLANK(I2),"",ABS(J2*L2%)+(M2*X2))))</f>
        <v/>
      </c>
      <c r="O2" s="10" t="str">
        <f t="shared" ref="O2:O10" si="3">IF(ISBLANK(G2),"",IF(ISBLANK(H2),"",IF(ISBLANK(I2),"",C2+N2)))</f>
        <v/>
      </c>
      <c r="P2" s="10" t="str">
        <f t="shared" ref="P2:P10" si="4">IF(ISBLANK(G2),"",IF(ISBLANK(H2),"",IF(ISBLANK(I2),"",C2-N2)))</f>
        <v/>
      </c>
      <c r="Q2" s="2" t="str">
        <f t="shared" ref="Q2:Q10" si="5">IF(ISBLANK(G2),"",IF(ISBLANK(H2),"",IF(ISBLANK(I2),"",IF(AND(J2&gt;=P2,J2&lt;=O2),"PASS","FAIL"))))</f>
        <v/>
      </c>
      <c r="R2" s="23">
        <v>0.09</v>
      </c>
      <c r="S2" s="12">
        <v>2</v>
      </c>
      <c r="T2" s="13">
        <f t="shared" ref="T2:T10" si="6">IFERROR(R2/S2,0)</f>
        <v>4.4999999999999998E-2</v>
      </c>
      <c r="U2" s="14">
        <v>0</v>
      </c>
      <c r="V2" s="15">
        <f t="shared" ref="V2:V10" si="7">SQRT(3)</f>
        <v>1.7320508075688772</v>
      </c>
      <c r="W2" s="2">
        <f t="shared" ref="W2:W10" si="8">IFERROR(U2/V2,0)</f>
        <v>0</v>
      </c>
      <c r="X2" s="16">
        <v>0.1</v>
      </c>
      <c r="Y2" s="16">
        <v>3.4641016151377544</v>
      </c>
      <c r="Z2" s="2">
        <f t="shared" ref="Z2:Z10" si="9">IFERROR(X2/Y2,0)</f>
        <v>2.8867513459481291E-2</v>
      </c>
      <c r="AA2" s="18" t="str">
        <f t="shared" ref="AA2:AA10" si="10">IF(ISBLANK(G2),"",IF(ISBLANK(H2),"",IF(ISBLANK(I2),"",STDEV(G2:I2))))</f>
        <v/>
      </c>
      <c r="AB2" s="17">
        <f t="shared" ref="AB2:AB10" si="11">SQRT(3)</f>
        <v>1.7320508075688772</v>
      </c>
      <c r="AC2" s="19" t="str">
        <f t="shared" ref="AC2:AC10" si="12">IF(ISBLANK(G2),"",IF(ISBLANK(H2),"",IF(ISBLANK(I2),"",AA2/AB2)))</f>
        <v/>
      </c>
      <c r="AD2" s="2">
        <f t="shared" ref="AD2:AD10" si="13">SQRT(SUMSQ(T2,W2,Z2,AC2))</f>
        <v>5.3463383107818133E-2</v>
      </c>
      <c r="AE2" s="20" t="str">
        <f t="shared" ref="AE2:AE10" si="14">IF(ISBLANK(G2),"",IF(ISBLANK(H2),"",IF(ISBLANK(I2),"",IF(AD2=0,0,(AD2^4)/(((AC2^4)/2)+((Z2^4)/200)+((W2^4)/200)+((T2^4)/200))))))</f>
        <v/>
      </c>
      <c r="AF2" s="21" t="str">
        <f t="shared" ref="AF2:AF10" si="15">IF(ISBLANK(G2),"",IF(ISBLANK(H2),"",IF(ISBLANK(I2),"",ROUND(IF(AE2&gt;=30,2,_xlfn.T.INV.2T(0.05,AE2)),0))))</f>
        <v/>
      </c>
      <c r="AG2" s="19" t="str">
        <f t="shared" ref="AG2:AG10" si="16">IF(ISBLANK(G2),"",IF(ISBLANK(H2),"",IF(ISBLANK(I2),"",AF2*AD2)))</f>
        <v/>
      </c>
      <c r="AH2" s="29">
        <v>6.4000000000000001E-2</v>
      </c>
      <c r="AI2" s="20">
        <f t="shared" ref="AI2:AI10" si="17">IF(ISBLANK(G2),0,IF(ISBLANK(H2),0,IF(ISBLANK(I2),0,MAX(AG2,AH2))))</f>
        <v>0</v>
      </c>
    </row>
    <row r="3" spans="1:35" x14ac:dyDescent="0.25">
      <c r="B3" s="3" t="s">
        <v>56</v>
      </c>
      <c r="C3" s="3">
        <v>5400</v>
      </c>
      <c r="D3" s="2" t="s">
        <v>61</v>
      </c>
      <c r="J3" s="8" t="str">
        <f t="shared" si="0"/>
        <v/>
      </c>
      <c r="K3" s="9" t="str">
        <f t="shared" si="1"/>
        <v/>
      </c>
      <c r="L3" s="4">
        <v>0.2</v>
      </c>
      <c r="M3" s="4">
        <v>2</v>
      </c>
      <c r="N3" s="9" t="str">
        <f t="shared" si="2"/>
        <v/>
      </c>
      <c r="O3" s="10" t="str">
        <f t="shared" si="3"/>
        <v/>
      </c>
      <c r="P3" s="10" t="str">
        <f t="shared" si="4"/>
        <v/>
      </c>
      <c r="Q3" s="2" t="str">
        <f t="shared" si="5"/>
        <v/>
      </c>
      <c r="R3" s="23">
        <v>0.38</v>
      </c>
      <c r="S3" s="12">
        <v>2</v>
      </c>
      <c r="T3" s="13">
        <f t="shared" si="6"/>
        <v>0.19</v>
      </c>
      <c r="U3" s="14">
        <v>0</v>
      </c>
      <c r="V3" s="15">
        <f t="shared" si="7"/>
        <v>1.7320508075688772</v>
      </c>
      <c r="W3" s="2">
        <f t="shared" si="8"/>
        <v>0</v>
      </c>
      <c r="X3" s="16">
        <v>1</v>
      </c>
      <c r="Y3" s="16">
        <v>3.4641016151377544</v>
      </c>
      <c r="Z3" s="2">
        <f t="shared" si="9"/>
        <v>0.28867513459481292</v>
      </c>
      <c r="AA3" s="18" t="str">
        <f t="shared" si="10"/>
        <v/>
      </c>
      <c r="AB3" s="17">
        <f t="shared" si="11"/>
        <v>1.7320508075688772</v>
      </c>
      <c r="AC3" s="19" t="str">
        <f t="shared" si="12"/>
        <v/>
      </c>
      <c r="AD3" s="2">
        <f t="shared" si="13"/>
        <v>0.34559128075420736</v>
      </c>
      <c r="AE3" s="20" t="str">
        <f t="shared" si="14"/>
        <v/>
      </c>
      <c r="AF3" s="21" t="str">
        <f t="shared" si="15"/>
        <v/>
      </c>
      <c r="AG3" s="19" t="str">
        <f t="shared" si="16"/>
        <v/>
      </c>
      <c r="AH3" s="29">
        <v>0.45</v>
      </c>
      <c r="AI3" s="20">
        <f t="shared" si="17"/>
        <v>0</v>
      </c>
    </row>
    <row r="4" spans="1:35" x14ac:dyDescent="0.25">
      <c r="B4" s="3" t="s">
        <v>57</v>
      </c>
      <c r="C4" s="3">
        <v>54</v>
      </c>
      <c r="D4" s="2" t="s">
        <v>62</v>
      </c>
      <c r="J4" s="8" t="str">
        <f t="shared" si="0"/>
        <v/>
      </c>
      <c r="K4" s="9" t="str">
        <f t="shared" si="1"/>
        <v/>
      </c>
      <c r="L4" s="4">
        <v>0.2</v>
      </c>
      <c r="M4" s="4">
        <v>4</v>
      </c>
      <c r="N4" s="9" t="str">
        <f t="shared" si="2"/>
        <v/>
      </c>
      <c r="O4" s="10" t="str">
        <f t="shared" si="3"/>
        <v/>
      </c>
      <c r="P4" s="10" t="str">
        <f t="shared" si="4"/>
        <v/>
      </c>
      <c r="Q4" s="2" t="str">
        <f t="shared" si="5"/>
        <v/>
      </c>
      <c r="R4" s="23">
        <v>1.4E-3</v>
      </c>
      <c r="S4" s="12">
        <v>2</v>
      </c>
      <c r="T4" s="13">
        <f t="shared" si="6"/>
        <v>6.9999999999999999E-4</v>
      </c>
      <c r="U4" s="14">
        <v>0</v>
      </c>
      <c r="V4" s="15">
        <f t="shared" si="7"/>
        <v>1.7320508075688772</v>
      </c>
      <c r="W4" s="2">
        <f t="shared" si="8"/>
        <v>0</v>
      </c>
      <c r="X4" s="16">
        <v>0.01</v>
      </c>
      <c r="Y4" s="16">
        <v>3.4641016151377544</v>
      </c>
      <c r="Z4" s="2">
        <f t="shared" si="9"/>
        <v>2.886751345948129E-3</v>
      </c>
      <c r="AA4" s="18" t="str">
        <f t="shared" si="10"/>
        <v/>
      </c>
      <c r="AB4" s="17">
        <f t="shared" si="11"/>
        <v>1.7320508075688772</v>
      </c>
      <c r="AC4" s="19" t="str">
        <f t="shared" si="12"/>
        <v/>
      </c>
      <c r="AD4" s="2">
        <f t="shared" si="13"/>
        <v>2.9704096238285611E-3</v>
      </c>
      <c r="AE4" s="20" t="str">
        <f t="shared" si="14"/>
        <v/>
      </c>
      <c r="AF4" s="21" t="str">
        <f t="shared" si="15"/>
        <v/>
      </c>
      <c r="AG4" s="19" t="str">
        <f t="shared" si="16"/>
        <v/>
      </c>
      <c r="AH4" s="29">
        <v>4.3E-3</v>
      </c>
      <c r="AI4" s="20">
        <f t="shared" si="17"/>
        <v>0</v>
      </c>
    </row>
    <row r="5" spans="1:35" x14ac:dyDescent="0.25">
      <c r="B5" s="3" t="s">
        <v>57</v>
      </c>
      <c r="C5" s="3">
        <v>-54</v>
      </c>
      <c r="D5" s="2" t="s">
        <v>62</v>
      </c>
      <c r="J5" s="8" t="str">
        <f t="shared" si="0"/>
        <v/>
      </c>
      <c r="K5" s="9" t="str">
        <f t="shared" si="1"/>
        <v/>
      </c>
      <c r="L5" s="4">
        <v>0.2</v>
      </c>
      <c r="M5" s="4">
        <v>4</v>
      </c>
      <c r="N5" s="9" t="str">
        <f t="shared" si="2"/>
        <v/>
      </c>
      <c r="O5" s="10" t="str">
        <f t="shared" si="3"/>
        <v/>
      </c>
      <c r="P5" s="10" t="str">
        <f t="shared" si="4"/>
        <v/>
      </c>
      <c r="Q5" s="2" t="str">
        <f t="shared" si="5"/>
        <v/>
      </c>
      <c r="R5" s="23">
        <v>1.4E-3</v>
      </c>
      <c r="S5" s="12">
        <v>2</v>
      </c>
      <c r="T5" s="13">
        <f t="shared" si="6"/>
        <v>6.9999999999999999E-4</v>
      </c>
      <c r="U5" s="14">
        <v>0</v>
      </c>
      <c r="V5" s="15">
        <f t="shared" si="7"/>
        <v>1.7320508075688772</v>
      </c>
      <c r="W5" s="2">
        <f t="shared" si="8"/>
        <v>0</v>
      </c>
      <c r="X5" s="16">
        <v>0.01</v>
      </c>
      <c r="Y5" s="16">
        <v>3.4641016151377544</v>
      </c>
      <c r="Z5" s="2">
        <f t="shared" si="9"/>
        <v>2.886751345948129E-3</v>
      </c>
      <c r="AA5" s="18" t="str">
        <f t="shared" si="10"/>
        <v/>
      </c>
      <c r="AB5" s="17">
        <f t="shared" si="11"/>
        <v>1.7320508075688772</v>
      </c>
      <c r="AC5" s="19" t="str">
        <f t="shared" si="12"/>
        <v/>
      </c>
      <c r="AD5" s="2">
        <f t="shared" si="13"/>
        <v>2.9704096238285611E-3</v>
      </c>
      <c r="AE5" s="20" t="str">
        <f t="shared" si="14"/>
        <v/>
      </c>
      <c r="AF5" s="21" t="str">
        <f t="shared" si="15"/>
        <v/>
      </c>
      <c r="AG5" s="19" t="str">
        <f t="shared" si="16"/>
        <v/>
      </c>
      <c r="AH5" s="29">
        <v>4.3E-3</v>
      </c>
      <c r="AI5" s="20">
        <f t="shared" si="17"/>
        <v>0</v>
      </c>
    </row>
    <row r="6" spans="1:35" x14ac:dyDescent="0.25">
      <c r="B6" s="3" t="s">
        <v>58</v>
      </c>
      <c r="C6" s="3">
        <v>360</v>
      </c>
      <c r="D6" s="2" t="s">
        <v>62</v>
      </c>
      <c r="J6" s="8" t="str">
        <f t="shared" si="0"/>
        <v/>
      </c>
      <c r="K6" s="9" t="str">
        <f t="shared" si="1"/>
        <v/>
      </c>
      <c r="L6" s="4">
        <v>0.2</v>
      </c>
      <c r="M6" s="4">
        <v>2</v>
      </c>
      <c r="N6" s="9" t="str">
        <f t="shared" si="2"/>
        <v/>
      </c>
      <c r="O6" s="10" t="str">
        <f t="shared" si="3"/>
        <v/>
      </c>
      <c r="P6" s="10" t="str">
        <f t="shared" si="4"/>
        <v/>
      </c>
      <c r="Q6" s="2" t="str">
        <f t="shared" si="5"/>
        <v/>
      </c>
      <c r="R6" s="23">
        <v>2.7E-2</v>
      </c>
      <c r="S6" s="12">
        <v>2</v>
      </c>
      <c r="T6" s="13">
        <f t="shared" si="6"/>
        <v>1.35E-2</v>
      </c>
      <c r="U6" s="14">
        <v>0</v>
      </c>
      <c r="V6" s="15">
        <f t="shared" si="7"/>
        <v>1.7320508075688772</v>
      </c>
      <c r="W6" s="2">
        <f t="shared" si="8"/>
        <v>0</v>
      </c>
      <c r="X6" s="16">
        <v>0.1</v>
      </c>
      <c r="Y6" s="16">
        <v>3.4641016151377544</v>
      </c>
      <c r="Z6" s="2">
        <f t="shared" si="9"/>
        <v>2.8867513459481291E-2</v>
      </c>
      <c r="AA6" s="18" t="str">
        <f t="shared" si="10"/>
        <v/>
      </c>
      <c r="AB6" s="17">
        <f t="shared" si="11"/>
        <v>1.7320508075688772</v>
      </c>
      <c r="AC6" s="19" t="str">
        <f t="shared" si="12"/>
        <v/>
      </c>
      <c r="AD6" s="2">
        <f t="shared" si="13"/>
        <v>3.1868218232799485E-2</v>
      </c>
      <c r="AE6" s="20" t="str">
        <f t="shared" si="14"/>
        <v/>
      </c>
      <c r="AF6" s="21" t="str">
        <f t="shared" si="15"/>
        <v/>
      </c>
      <c r="AG6" s="19" t="str">
        <f t="shared" si="16"/>
        <v/>
      </c>
      <c r="AH6" s="29">
        <v>8.2000000000000003E-2</v>
      </c>
      <c r="AI6" s="20">
        <f t="shared" si="17"/>
        <v>0</v>
      </c>
    </row>
    <row r="7" spans="1:35" x14ac:dyDescent="0.25">
      <c r="B7" s="3" t="s">
        <v>59</v>
      </c>
      <c r="C7" s="3">
        <v>3</v>
      </c>
      <c r="D7" s="2" t="s">
        <v>63</v>
      </c>
      <c r="J7" s="8" t="str">
        <f t="shared" si="0"/>
        <v/>
      </c>
      <c r="K7" s="9" t="str">
        <f t="shared" si="1"/>
        <v/>
      </c>
      <c r="L7" s="4">
        <v>0.2</v>
      </c>
      <c r="M7" s="4">
        <v>4</v>
      </c>
      <c r="N7" s="9" t="str">
        <f t="shared" si="2"/>
        <v/>
      </c>
      <c r="O7" s="10" t="str">
        <f t="shared" si="3"/>
        <v/>
      </c>
      <c r="P7" s="10" t="str">
        <f t="shared" si="4"/>
        <v/>
      </c>
      <c r="Q7" s="2" t="str">
        <f t="shared" si="5"/>
        <v/>
      </c>
      <c r="R7" s="23">
        <v>1.4E-3</v>
      </c>
      <c r="S7" s="12">
        <v>2</v>
      </c>
      <c r="T7" s="13">
        <f t="shared" si="6"/>
        <v>6.9999999999999999E-4</v>
      </c>
      <c r="U7" s="14">
        <v>0</v>
      </c>
      <c r="V7" s="15">
        <f t="shared" si="7"/>
        <v>1.7320508075688772</v>
      </c>
      <c r="W7" s="2">
        <f t="shared" si="8"/>
        <v>0</v>
      </c>
      <c r="X7" s="16">
        <v>1E-3</v>
      </c>
      <c r="Y7" s="16">
        <v>3.4641016151377544</v>
      </c>
      <c r="Z7" s="2">
        <f t="shared" si="9"/>
        <v>2.886751345948129E-4</v>
      </c>
      <c r="AA7" s="18" t="str">
        <f t="shared" si="10"/>
        <v/>
      </c>
      <c r="AB7" s="17">
        <f t="shared" si="11"/>
        <v>1.7320508075688772</v>
      </c>
      <c r="AC7" s="19" t="str">
        <f t="shared" si="12"/>
        <v/>
      </c>
      <c r="AD7" s="2">
        <f t="shared" si="13"/>
        <v>7.5718777944003648E-4</v>
      </c>
      <c r="AE7" s="20" t="str">
        <f t="shared" si="14"/>
        <v/>
      </c>
      <c r="AF7" s="21" t="str">
        <f t="shared" si="15"/>
        <v/>
      </c>
      <c r="AG7" s="19" t="str">
        <f t="shared" si="16"/>
        <v/>
      </c>
      <c r="AH7" s="29">
        <v>1.6000000000000001E-3</v>
      </c>
      <c r="AI7" s="20">
        <f t="shared" si="17"/>
        <v>0</v>
      </c>
    </row>
    <row r="8" spans="1:35" x14ac:dyDescent="0.25">
      <c r="B8" s="3" t="s">
        <v>59</v>
      </c>
      <c r="C8" s="3">
        <v>5.4</v>
      </c>
      <c r="D8" s="2" t="s">
        <v>63</v>
      </c>
      <c r="J8" s="8" t="str">
        <f t="shared" si="0"/>
        <v/>
      </c>
      <c r="K8" s="9" t="str">
        <f t="shared" si="1"/>
        <v/>
      </c>
      <c r="L8" s="4">
        <v>0.2</v>
      </c>
      <c r="M8" s="4">
        <v>4</v>
      </c>
      <c r="N8" s="9" t="str">
        <f t="shared" si="2"/>
        <v/>
      </c>
      <c r="O8" s="10" t="str">
        <f t="shared" si="3"/>
        <v/>
      </c>
      <c r="P8" s="10" t="str">
        <f t="shared" si="4"/>
        <v/>
      </c>
      <c r="Q8" s="2" t="str">
        <f t="shared" si="5"/>
        <v/>
      </c>
      <c r="R8" s="23">
        <v>1.4E-3</v>
      </c>
      <c r="S8" s="12">
        <v>2</v>
      </c>
      <c r="T8" s="13">
        <f t="shared" si="6"/>
        <v>6.9999999999999999E-4</v>
      </c>
      <c r="U8" s="14">
        <v>0</v>
      </c>
      <c r="V8" s="15">
        <f t="shared" si="7"/>
        <v>1.7320508075688772</v>
      </c>
      <c r="W8" s="2">
        <f t="shared" si="8"/>
        <v>0</v>
      </c>
      <c r="X8" s="16">
        <v>1E-3</v>
      </c>
      <c r="Y8" s="16">
        <v>3.4641016151377544</v>
      </c>
      <c r="Z8" s="2">
        <f t="shared" si="9"/>
        <v>2.886751345948129E-4</v>
      </c>
      <c r="AA8" s="18" t="str">
        <f t="shared" si="10"/>
        <v/>
      </c>
      <c r="AB8" s="17">
        <f t="shared" si="11"/>
        <v>1.7320508075688772</v>
      </c>
      <c r="AC8" s="19" t="str">
        <f t="shared" si="12"/>
        <v/>
      </c>
      <c r="AD8" s="2">
        <f t="shared" si="13"/>
        <v>7.5718777944003648E-4</v>
      </c>
      <c r="AE8" s="20" t="str">
        <f t="shared" si="14"/>
        <v/>
      </c>
      <c r="AF8" s="21" t="str">
        <f t="shared" si="15"/>
        <v/>
      </c>
      <c r="AG8" s="19" t="str">
        <f t="shared" si="16"/>
        <v/>
      </c>
      <c r="AH8" s="29">
        <v>1.6000000000000001E-3</v>
      </c>
      <c r="AI8" s="20">
        <f t="shared" si="17"/>
        <v>0</v>
      </c>
    </row>
    <row r="9" spans="1:35" x14ac:dyDescent="0.25">
      <c r="B9" s="3" t="s">
        <v>60</v>
      </c>
      <c r="C9" s="3">
        <v>5</v>
      </c>
      <c r="D9" s="2" t="s">
        <v>63</v>
      </c>
      <c r="J9" s="8" t="str">
        <f t="shared" si="0"/>
        <v/>
      </c>
      <c r="K9" s="9" t="str">
        <f t="shared" si="1"/>
        <v/>
      </c>
      <c r="L9" s="4">
        <v>0.2</v>
      </c>
      <c r="M9" s="4">
        <v>2</v>
      </c>
      <c r="N9" s="9" t="str">
        <f t="shared" si="2"/>
        <v/>
      </c>
      <c r="O9" s="10" t="str">
        <f t="shared" si="3"/>
        <v/>
      </c>
      <c r="P9" s="10" t="str">
        <f t="shared" si="4"/>
        <v/>
      </c>
      <c r="Q9" s="2" t="str">
        <f t="shared" si="5"/>
        <v/>
      </c>
      <c r="R9" s="23">
        <v>1.4E-3</v>
      </c>
      <c r="S9" s="12">
        <v>2</v>
      </c>
      <c r="T9" s="13">
        <f t="shared" si="6"/>
        <v>6.9999999999999999E-4</v>
      </c>
      <c r="U9" s="14">
        <v>0</v>
      </c>
      <c r="V9" s="15">
        <f t="shared" si="7"/>
        <v>1.7320508075688772</v>
      </c>
      <c r="W9" s="2">
        <f t="shared" si="8"/>
        <v>0</v>
      </c>
      <c r="X9" s="16">
        <v>0.01</v>
      </c>
      <c r="Y9" s="16">
        <v>3.4641016151377544</v>
      </c>
      <c r="Z9" s="2">
        <f t="shared" si="9"/>
        <v>2.886751345948129E-3</v>
      </c>
      <c r="AA9" s="18" t="str">
        <f t="shared" si="10"/>
        <v/>
      </c>
      <c r="AB9" s="17">
        <f t="shared" si="11"/>
        <v>1.7320508075688772</v>
      </c>
      <c r="AC9" s="19" t="str">
        <f t="shared" si="12"/>
        <v/>
      </c>
      <c r="AD9" s="2">
        <f t="shared" si="13"/>
        <v>2.9704096238285611E-3</v>
      </c>
      <c r="AE9" s="20" t="str">
        <f t="shared" si="14"/>
        <v/>
      </c>
      <c r="AF9" s="21" t="str">
        <f t="shared" si="15"/>
        <v/>
      </c>
      <c r="AG9" s="19" t="str">
        <f t="shared" si="16"/>
        <v/>
      </c>
      <c r="AH9" s="29">
        <v>1.6000000000000001E-3</v>
      </c>
      <c r="AI9" s="20">
        <f t="shared" si="17"/>
        <v>0</v>
      </c>
    </row>
    <row r="10" spans="1:35" x14ac:dyDescent="0.25">
      <c r="B10" s="3" t="s">
        <v>60</v>
      </c>
      <c r="C10" s="3">
        <v>9</v>
      </c>
      <c r="D10" s="2" t="s">
        <v>63</v>
      </c>
      <c r="J10" s="8" t="str">
        <f t="shared" si="0"/>
        <v/>
      </c>
      <c r="K10" s="9" t="str">
        <f t="shared" si="1"/>
        <v/>
      </c>
      <c r="L10" s="4">
        <v>0.2</v>
      </c>
      <c r="M10" s="4">
        <v>2</v>
      </c>
      <c r="N10" s="9" t="str">
        <f t="shared" si="2"/>
        <v/>
      </c>
      <c r="O10" s="10" t="str">
        <f t="shared" si="3"/>
        <v/>
      </c>
      <c r="P10" s="10" t="str">
        <f t="shared" si="4"/>
        <v/>
      </c>
      <c r="Q10" s="2" t="str">
        <f t="shared" si="5"/>
        <v/>
      </c>
      <c r="R10" s="23">
        <v>1.4E-3</v>
      </c>
      <c r="S10" s="12">
        <v>2</v>
      </c>
      <c r="T10" s="13">
        <f t="shared" si="6"/>
        <v>6.9999999999999999E-4</v>
      </c>
      <c r="U10" s="14">
        <v>0</v>
      </c>
      <c r="V10" s="15">
        <f t="shared" si="7"/>
        <v>1.7320508075688772</v>
      </c>
      <c r="W10" s="2">
        <f t="shared" si="8"/>
        <v>0</v>
      </c>
      <c r="X10" s="16">
        <v>0.01</v>
      </c>
      <c r="Y10" s="16">
        <v>3.4641016151377544</v>
      </c>
      <c r="Z10" s="2">
        <f t="shared" si="9"/>
        <v>2.886751345948129E-3</v>
      </c>
      <c r="AA10" s="18" t="str">
        <f t="shared" si="10"/>
        <v/>
      </c>
      <c r="AB10" s="17">
        <f t="shared" si="11"/>
        <v>1.7320508075688772</v>
      </c>
      <c r="AC10" s="19" t="str">
        <f t="shared" si="12"/>
        <v/>
      </c>
      <c r="AD10" s="2">
        <f t="shared" si="13"/>
        <v>2.9704096238285611E-3</v>
      </c>
      <c r="AE10" s="20" t="str">
        <f t="shared" si="14"/>
        <v/>
      </c>
      <c r="AF10" s="21" t="str">
        <f t="shared" si="15"/>
        <v/>
      </c>
      <c r="AG10" s="19" t="str">
        <f t="shared" si="16"/>
        <v/>
      </c>
      <c r="AH10" s="29">
        <v>1.6000000000000001E-3</v>
      </c>
      <c r="AI10" s="20">
        <f t="shared" si="17"/>
        <v>0</v>
      </c>
    </row>
    <row r="11" spans="1:35" x14ac:dyDescent="0.25">
      <c r="J11" s="8"/>
      <c r="K11" s="9"/>
      <c r="L11" s="4"/>
      <c r="M11" s="4"/>
      <c r="N11" s="9"/>
      <c r="O11" s="10"/>
      <c r="P11" s="10"/>
      <c r="R11" s="23"/>
      <c r="S11" s="12"/>
      <c r="T11" s="13"/>
      <c r="U11" s="14"/>
      <c r="V11" s="15"/>
      <c r="X11" s="16"/>
      <c r="Y11" s="16"/>
      <c r="AA11" s="18"/>
      <c r="AB11" s="17"/>
      <c r="AE11" s="20"/>
      <c r="AF11" s="21"/>
      <c r="AG11" s="19"/>
      <c r="AH11" s="22"/>
      <c r="AI11" s="20"/>
    </row>
    <row r="12" spans="1:35" x14ac:dyDescent="0.25">
      <c r="J12" s="8"/>
      <c r="K12" s="9"/>
      <c r="L12" s="4"/>
      <c r="M12" s="4"/>
      <c r="N12" s="9"/>
      <c r="O12" s="10"/>
      <c r="P12" s="10"/>
      <c r="R12" s="23"/>
      <c r="S12" s="12"/>
      <c r="T12" s="13"/>
      <c r="U12" s="14"/>
      <c r="V12" s="15"/>
      <c r="X12" s="16"/>
      <c r="Y12" s="16"/>
      <c r="AA12" s="18"/>
      <c r="AB12" s="17"/>
      <c r="AE12" s="20"/>
      <c r="AF12" s="21"/>
      <c r="AG12" s="19"/>
      <c r="AH12" s="22"/>
      <c r="AI12" s="20"/>
    </row>
    <row r="13" spans="1:35" x14ac:dyDescent="0.25">
      <c r="J13" s="8"/>
      <c r="K13" s="9"/>
      <c r="L13" s="4"/>
      <c r="M13" s="4"/>
      <c r="N13" s="9"/>
      <c r="O13" s="10"/>
      <c r="P13" s="10"/>
      <c r="R13" s="23"/>
      <c r="S13" s="12"/>
      <c r="T13" s="13"/>
      <c r="U13" s="14"/>
      <c r="V13" s="15"/>
      <c r="X13" s="16"/>
      <c r="Y13" s="16"/>
      <c r="AA13" s="18"/>
      <c r="AB13" s="17"/>
      <c r="AE13" s="20"/>
      <c r="AF13" s="21"/>
      <c r="AG13" s="19"/>
      <c r="AH13" s="22"/>
      <c r="AI13" s="20"/>
    </row>
    <row r="14" spans="1:35" x14ac:dyDescent="0.25">
      <c r="J14" s="8"/>
      <c r="K14" s="9"/>
      <c r="L14" s="4"/>
      <c r="M14" s="4"/>
      <c r="N14" s="9"/>
      <c r="O14" s="10"/>
      <c r="P14" s="10"/>
      <c r="R14" s="23"/>
      <c r="S14" s="12"/>
      <c r="T14" s="13"/>
      <c r="U14" s="14"/>
      <c r="V14" s="15"/>
      <c r="X14" s="16"/>
      <c r="Y14" s="16"/>
      <c r="AA14" s="18"/>
      <c r="AB14" s="17"/>
      <c r="AE14" s="20"/>
      <c r="AF14" s="21"/>
      <c r="AG14" s="19"/>
      <c r="AH14" s="22"/>
      <c r="AI14" s="20"/>
    </row>
    <row r="15" spans="1:35" x14ac:dyDescent="0.25">
      <c r="J15" s="8"/>
      <c r="K15" s="9"/>
      <c r="L15" s="4"/>
      <c r="M15" s="4"/>
      <c r="N15" s="9"/>
      <c r="O15" s="10"/>
      <c r="P15" s="10"/>
      <c r="R15" s="23"/>
      <c r="S15" s="12"/>
      <c r="T15" s="13"/>
      <c r="U15" s="14"/>
      <c r="V15" s="15"/>
      <c r="X15" s="16"/>
      <c r="Y15" s="16"/>
      <c r="AA15" s="18"/>
      <c r="AB15" s="17"/>
      <c r="AE15" s="20"/>
      <c r="AF15" s="21"/>
      <c r="AG15" s="19"/>
      <c r="AH15" s="22"/>
      <c r="AI15" s="20"/>
    </row>
    <row r="16" spans="1:35" x14ac:dyDescent="0.25">
      <c r="J16" s="8"/>
      <c r="K16" s="9"/>
      <c r="L16" s="4"/>
      <c r="M16" s="4"/>
      <c r="N16" s="9"/>
      <c r="O16" s="10"/>
      <c r="P16" s="10"/>
      <c r="R16" s="23"/>
      <c r="S16" s="12"/>
      <c r="T16" s="13"/>
      <c r="U16" s="14"/>
      <c r="V16" s="15"/>
      <c r="X16" s="16"/>
      <c r="Y16" s="16"/>
      <c r="AA16" s="18"/>
      <c r="AB16" s="17"/>
      <c r="AE16" s="20"/>
      <c r="AF16" s="21"/>
      <c r="AG16" s="19"/>
      <c r="AH16" s="22"/>
      <c r="AI16" s="20"/>
    </row>
    <row r="17" spans="10:35" x14ac:dyDescent="0.25">
      <c r="J17" s="8"/>
      <c r="K17" s="9"/>
      <c r="L17" s="4"/>
      <c r="M17" s="4"/>
      <c r="N17" s="9"/>
      <c r="O17" s="10"/>
      <c r="P17" s="10"/>
      <c r="R17" s="23"/>
      <c r="S17" s="12"/>
      <c r="T17" s="13"/>
      <c r="U17" s="14"/>
      <c r="V17" s="15"/>
      <c r="X17" s="16"/>
      <c r="Y17" s="16"/>
      <c r="AA17" s="18"/>
      <c r="AB17" s="17"/>
      <c r="AE17" s="20"/>
      <c r="AF17" s="21"/>
      <c r="AG17" s="19"/>
      <c r="AH17" s="22"/>
      <c r="AI17" s="20"/>
    </row>
    <row r="18" spans="10:35" x14ac:dyDescent="0.25">
      <c r="J18" s="8"/>
      <c r="K18" s="9"/>
      <c r="L18" s="4"/>
      <c r="M18" s="4"/>
      <c r="N18" s="9"/>
      <c r="O18" s="10"/>
      <c r="P18" s="10"/>
      <c r="R18" s="23"/>
      <c r="S18" s="12"/>
      <c r="T18" s="13"/>
      <c r="U18" s="14"/>
      <c r="V18" s="15"/>
      <c r="X18" s="16"/>
      <c r="Y18" s="16"/>
      <c r="AA18" s="18"/>
      <c r="AB18" s="17"/>
      <c r="AE18" s="20"/>
      <c r="AF18" s="21"/>
      <c r="AG18" s="19"/>
      <c r="AH18" s="22"/>
      <c r="AI18" s="20"/>
    </row>
    <row r="19" spans="10:35" x14ac:dyDescent="0.25">
      <c r="J19" s="8"/>
      <c r="K19" s="9"/>
      <c r="L19" s="4"/>
      <c r="M19" s="4"/>
      <c r="N19" s="9"/>
      <c r="O19" s="10"/>
      <c r="P19" s="10"/>
      <c r="R19" s="23"/>
      <c r="S19" s="12"/>
      <c r="T19" s="13"/>
      <c r="U19" s="14"/>
      <c r="V19" s="15"/>
      <c r="X19" s="16"/>
      <c r="Y19" s="16"/>
      <c r="AA19" s="18"/>
      <c r="AB19" s="17"/>
      <c r="AE19" s="20"/>
      <c r="AF19" s="21"/>
      <c r="AG19" s="19"/>
      <c r="AH19" s="22"/>
      <c r="AI19" s="20"/>
    </row>
    <row r="20" spans="10:35" x14ac:dyDescent="0.25">
      <c r="J20" s="8"/>
      <c r="K20" s="9"/>
      <c r="L20" s="4"/>
      <c r="M20" s="4"/>
      <c r="N20" s="9"/>
      <c r="O20" s="10"/>
      <c r="P20" s="10"/>
      <c r="R20" s="23"/>
      <c r="S20" s="12"/>
      <c r="T20" s="13"/>
      <c r="U20" s="14"/>
      <c r="V20" s="15"/>
      <c r="X20" s="16"/>
      <c r="Y20" s="16"/>
      <c r="AA20" s="18"/>
      <c r="AB20" s="17"/>
      <c r="AE20" s="20"/>
      <c r="AF20" s="21"/>
      <c r="AG20" s="19"/>
      <c r="AH20" s="22"/>
      <c r="AI20" s="20"/>
    </row>
    <row r="21" spans="10:35" x14ac:dyDescent="0.25">
      <c r="J21" s="8"/>
      <c r="K21" s="9"/>
      <c r="L21" s="4"/>
      <c r="M21" s="4"/>
      <c r="N21" s="9"/>
      <c r="O21" s="10"/>
      <c r="P21" s="10"/>
      <c r="R21" s="23"/>
      <c r="S21" s="12"/>
      <c r="T21" s="13"/>
      <c r="U21" s="14"/>
      <c r="V21" s="15"/>
      <c r="X21" s="16"/>
      <c r="Y21" s="16"/>
      <c r="AA21" s="18"/>
      <c r="AB21" s="17"/>
      <c r="AE21" s="20"/>
      <c r="AF21" s="21"/>
      <c r="AG21" s="19"/>
      <c r="AH21" s="22"/>
      <c r="AI21" s="20"/>
    </row>
    <row r="22" spans="10:35" x14ac:dyDescent="0.25">
      <c r="J22" s="8"/>
      <c r="K22" s="9"/>
      <c r="L22" s="4"/>
      <c r="M22" s="4"/>
      <c r="N22" s="9"/>
      <c r="O22" s="10"/>
      <c r="P22" s="10"/>
      <c r="R22" s="23"/>
      <c r="S22" s="12"/>
      <c r="T22" s="13"/>
      <c r="U22" s="14"/>
      <c r="V22" s="15"/>
      <c r="X22" s="16"/>
      <c r="Y22" s="16"/>
      <c r="AA22" s="18"/>
      <c r="AB22" s="17"/>
      <c r="AE22" s="20"/>
      <c r="AF22" s="21"/>
      <c r="AG22" s="19"/>
      <c r="AH22" s="22"/>
      <c r="AI22" s="20"/>
    </row>
    <row r="23" spans="10:35" x14ac:dyDescent="0.25">
      <c r="J23" s="8"/>
      <c r="K23" s="9"/>
      <c r="L23" s="4"/>
      <c r="M23" s="4"/>
      <c r="N23" s="9"/>
      <c r="O23" s="10"/>
      <c r="P23" s="10"/>
      <c r="R23" s="23"/>
      <c r="S23" s="12"/>
      <c r="T23" s="13"/>
      <c r="U23" s="14"/>
      <c r="V23" s="15"/>
      <c r="X23" s="16"/>
      <c r="Y23" s="16"/>
      <c r="AA23" s="18"/>
      <c r="AB23" s="17"/>
      <c r="AE23" s="20"/>
      <c r="AF23" s="21"/>
      <c r="AG23" s="19"/>
      <c r="AH23" s="22"/>
      <c r="AI23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"/>
  <sheetViews>
    <sheetView workbookViewId="0">
      <selection activeCell="H22" sqref="H22"/>
    </sheetView>
  </sheetViews>
  <sheetFormatPr defaultRowHeight="15" x14ac:dyDescent="0.25"/>
  <cols>
    <col min="1" max="1" width="8.7109375" style="2" customWidth="1"/>
    <col min="2" max="2" width="11.28515625" style="3" customWidth="1"/>
    <col min="3" max="3" width="8.5703125" style="3" customWidth="1"/>
    <col min="4" max="4" width="4.7109375" style="2" customWidth="1"/>
    <col min="5" max="5" width="10.42578125" style="3" customWidth="1"/>
    <col min="6" max="6" width="8.7109375" style="2" customWidth="1"/>
    <col min="7" max="9" width="9.42578125" style="3" customWidth="1"/>
    <col min="10" max="10" width="11" style="2" bestFit="1" customWidth="1"/>
    <col min="11" max="11" width="7.7109375" style="2" customWidth="1"/>
    <col min="12" max="12" width="13.5703125" style="3" customWidth="1"/>
    <col min="13" max="13" width="13.28515625" style="3" customWidth="1"/>
    <col min="14" max="14" width="9.7109375" style="2" customWidth="1"/>
    <col min="15" max="16" width="10.85546875" style="2" customWidth="1"/>
    <col min="17" max="17" width="8.5703125" style="2" customWidth="1"/>
    <col min="18" max="18" width="11.28515625" style="3" customWidth="1"/>
    <col min="19" max="19" width="8.28515625" style="3" customWidth="1"/>
    <col min="20" max="20" width="10.85546875" style="2" customWidth="1"/>
    <col min="21" max="21" width="9.7109375" style="3" customWidth="1"/>
    <col min="22" max="22" width="11.85546875" style="3" customWidth="1"/>
    <col min="23" max="23" width="10.28515625" style="2" customWidth="1"/>
    <col min="24" max="24" width="8.85546875" style="3" customWidth="1"/>
    <col min="25" max="25" width="9" style="3" customWidth="1"/>
    <col min="26" max="26" width="10.7109375" style="2" customWidth="1"/>
    <col min="27" max="27" width="11.28515625" style="26" customWidth="1"/>
    <col min="28" max="28" width="11.5703125" style="3" customWidth="1"/>
    <col min="29" max="29" width="10.7109375" style="19" customWidth="1"/>
    <col min="30" max="30" width="10.28515625" style="2" bestFit="1" customWidth="1"/>
    <col min="31" max="31" width="15.28515625" style="2" customWidth="1"/>
    <col min="32" max="32" width="10.42578125" style="2" bestFit="1" customWidth="1"/>
    <col min="33" max="33" width="12.28515625" style="2" bestFit="1" customWidth="1"/>
    <col min="34" max="34" width="12.5703125" style="3" customWidth="1"/>
    <col min="35" max="35" width="8.42578125" style="2" bestFit="1" customWidth="1"/>
    <col min="36" max="58" width="2.28515625" style="2" customWidth="1"/>
    <col min="59" max="59" width="6.42578125" style="2" bestFit="1" customWidth="1"/>
    <col min="60" max="60" width="9.7109375" style="2" bestFit="1" customWidth="1"/>
    <col min="61" max="61" width="4.140625" style="2" bestFit="1" customWidth="1"/>
    <col min="62" max="62" width="6.28515625" style="2" bestFit="1" customWidth="1"/>
    <col min="63" max="63" width="11.140625" style="2" customWidth="1"/>
    <col min="64" max="64" width="8.7109375" style="2" bestFit="1" customWidth="1"/>
    <col min="65" max="65" width="9.7109375" style="2" customWidth="1"/>
    <col min="66" max="66" width="4.140625" style="2" bestFit="1" customWidth="1"/>
    <col min="67" max="67" width="6.28515625" style="2" bestFit="1" customWidth="1"/>
    <col min="68" max="68" width="6.7109375" style="2" bestFit="1" customWidth="1"/>
    <col min="69" max="69" width="8.42578125" style="2" bestFit="1" customWidth="1"/>
    <col min="70" max="70" width="9.7109375" style="2" bestFit="1" customWidth="1"/>
    <col min="71" max="71" width="4.140625" style="2" bestFit="1" customWidth="1"/>
    <col min="72" max="72" width="6.28515625" style="2" bestFit="1" customWidth="1"/>
    <col min="73" max="73" width="10.140625" style="2" customWidth="1"/>
    <col min="74" max="74" width="9.5703125" style="2" bestFit="1" customWidth="1"/>
    <col min="75" max="75" width="9.7109375" style="2" bestFit="1" customWidth="1"/>
    <col min="76" max="76" width="4.140625" style="2" bestFit="1" customWidth="1"/>
    <col min="77" max="77" width="6.28515625" style="2" bestFit="1" customWidth="1"/>
    <col min="78" max="78" width="6.7109375" style="2" bestFit="1" customWidth="1"/>
    <col min="79" max="79" width="9.140625" style="2"/>
    <col min="80" max="80" width="19.28515625" style="2" bestFit="1" customWidth="1"/>
    <col min="81" max="81" width="18.28515625" style="2" bestFit="1" customWidth="1"/>
    <col min="82" max="82" width="20.5703125" style="2" bestFit="1" customWidth="1"/>
    <col min="83" max="83" width="4.85546875" style="2" bestFit="1" customWidth="1"/>
    <col min="84" max="84" width="3.28515625" style="2" bestFit="1" customWidth="1"/>
    <col min="85" max="85" width="9.140625" style="2"/>
    <col min="86" max="86" width="6.28515625" style="2" bestFit="1" customWidth="1"/>
    <col min="87" max="87" width="3.42578125" style="2" bestFit="1" customWidth="1"/>
    <col min="88" max="88" width="4.85546875" style="2" bestFit="1" customWidth="1"/>
    <col min="89" max="89" width="4.140625" style="2" bestFit="1" customWidth="1"/>
    <col min="90" max="16384" width="9.140625" style="2"/>
  </cols>
  <sheetData>
    <row r="1" spans="1:35" s="1" customFormat="1" ht="45" x14ac:dyDescent="0.25">
      <c r="A1" s="2" t="s">
        <v>8</v>
      </c>
      <c r="B1" s="3" t="s">
        <v>0</v>
      </c>
      <c r="C1" s="3" t="s">
        <v>1</v>
      </c>
      <c r="D1" s="2" t="s">
        <v>9</v>
      </c>
      <c r="E1" s="3" t="s">
        <v>2</v>
      </c>
      <c r="F1" s="2" t="s">
        <v>10</v>
      </c>
      <c r="G1" s="3" t="s">
        <v>3</v>
      </c>
      <c r="H1" s="3" t="s">
        <v>4</v>
      </c>
      <c r="I1" s="3" t="s">
        <v>5</v>
      </c>
      <c r="J1" s="1" t="s">
        <v>28</v>
      </c>
      <c r="K1" s="1" t="s">
        <v>29</v>
      </c>
      <c r="L1" s="4" t="s">
        <v>33</v>
      </c>
      <c r="M1" s="4" t="s">
        <v>34</v>
      </c>
      <c r="N1" s="1" t="s">
        <v>30</v>
      </c>
      <c r="O1" s="2" t="s">
        <v>6</v>
      </c>
      <c r="P1" s="2" t="s">
        <v>7</v>
      </c>
      <c r="Q1" s="1" t="s">
        <v>31</v>
      </c>
      <c r="R1" s="3" t="s">
        <v>11</v>
      </c>
      <c r="S1" s="4" t="s">
        <v>12</v>
      </c>
      <c r="T1" s="1" t="s">
        <v>13</v>
      </c>
      <c r="U1" s="4" t="s">
        <v>14</v>
      </c>
      <c r="V1" s="3" t="s">
        <v>15</v>
      </c>
      <c r="W1" s="1" t="s">
        <v>16</v>
      </c>
      <c r="X1" s="4" t="s">
        <v>17</v>
      </c>
      <c r="Y1" s="4" t="s">
        <v>18</v>
      </c>
      <c r="Z1" s="2" t="s">
        <v>19</v>
      </c>
      <c r="AA1" s="5" t="s">
        <v>20</v>
      </c>
      <c r="AB1" s="3" t="s">
        <v>21</v>
      </c>
      <c r="AC1" s="6" t="s">
        <v>22</v>
      </c>
      <c r="AD1" s="2" t="s">
        <v>23</v>
      </c>
      <c r="AE1" s="1" t="s">
        <v>32</v>
      </c>
      <c r="AF1" s="2" t="s">
        <v>24</v>
      </c>
      <c r="AG1" s="2" t="s">
        <v>25</v>
      </c>
      <c r="AH1" s="3" t="s">
        <v>26</v>
      </c>
      <c r="AI1" s="2" t="s">
        <v>27</v>
      </c>
    </row>
    <row r="2" spans="1:35" x14ac:dyDescent="0.25">
      <c r="B2" s="3" t="s">
        <v>55</v>
      </c>
      <c r="C2" s="3">
        <v>540</v>
      </c>
      <c r="D2" s="2" t="s">
        <v>61</v>
      </c>
      <c r="E2" s="3" t="s">
        <v>42</v>
      </c>
      <c r="J2" s="8" t="str">
        <f t="shared" ref="J2:J11" si="0">IF(ISBLANK(G2),"",IF(ISBLANK(H2),"",IF(ISBLANK(I2),"",(AVERAGE(G2:I2)))))</f>
        <v/>
      </c>
      <c r="K2" s="9" t="str">
        <f t="shared" ref="K2:K11" si="1">IF(ISBLANK(G2),"",IF(ISBLANK(H2),"",IF(ISBLANK(I2),"",J2-C2)))</f>
        <v/>
      </c>
      <c r="L2" s="4">
        <v>1</v>
      </c>
      <c r="M2" s="4">
        <v>2</v>
      </c>
      <c r="N2" s="9" t="str">
        <f t="shared" ref="N2:N11" si="2">IF(ISBLANK(G2),"",IF(ISBLANK(H2),"",IF(ISBLANK(I2),"",ABS(J2*L2%)+(M2*X2))))</f>
        <v/>
      </c>
      <c r="O2" s="10" t="str">
        <f t="shared" ref="O2:O11" si="3">IF(ISBLANK(G2),"",IF(ISBLANK(H2),"",IF(ISBLANK(I2),"",C2+N2)))</f>
        <v/>
      </c>
      <c r="P2" s="10" t="str">
        <f t="shared" ref="P2:P11" si="4">IF(ISBLANK(G2),"",IF(ISBLANK(H2),"",IF(ISBLANK(I2),"",C2-N2)))</f>
        <v/>
      </c>
      <c r="Q2" s="2" t="str">
        <f t="shared" ref="Q2:Q11" si="5">IF(ISBLANK(G2),"",IF(ISBLANK(H2),"",IF(ISBLANK(I2),"",IF(AND(J2&gt;=P2,J2&lt;=O2),"PASS","FAIL"))))</f>
        <v/>
      </c>
      <c r="R2" s="23">
        <v>1.7</v>
      </c>
      <c r="S2" s="12">
        <v>2</v>
      </c>
      <c r="T2" s="13">
        <f t="shared" ref="T2:T11" si="6">IFERROR(R2/S2,0)</f>
        <v>0.85</v>
      </c>
      <c r="U2" s="14">
        <v>0</v>
      </c>
      <c r="V2" s="15">
        <f t="shared" ref="V2:V11" si="7">SQRT(3)</f>
        <v>1.7320508075688772</v>
      </c>
      <c r="W2" s="2">
        <f t="shared" ref="W2:W11" si="8">IFERROR(U2/V2,0)</f>
        <v>0</v>
      </c>
      <c r="X2" s="16">
        <v>0.1</v>
      </c>
      <c r="Y2" s="16">
        <v>3.4641016151377544</v>
      </c>
      <c r="Z2" s="2">
        <f t="shared" ref="Z2:Z11" si="9">IFERROR(X2/Y2,0)</f>
        <v>2.8867513459481291E-2</v>
      </c>
      <c r="AA2" s="18" t="str">
        <f t="shared" ref="AA2:AA11" si="10">IF(ISBLANK(G2),"",IF(ISBLANK(H2),"",IF(ISBLANK(I2),"",STDEV(G2:I2))))</f>
        <v/>
      </c>
      <c r="AB2" s="17">
        <f t="shared" ref="AB2:AB11" si="11">SQRT(3)</f>
        <v>1.7320508075688772</v>
      </c>
      <c r="AC2" s="19" t="str">
        <f t="shared" ref="AC2:AC11" si="12">IF(ISBLANK(G2),"",IF(ISBLANK(H2),"",IF(ISBLANK(I2),"",AA2/AB2)))</f>
        <v/>
      </c>
      <c r="AD2" s="2">
        <f t="shared" ref="AD2:AD11" si="13">SQRT(SUMSQ(T2,W2,Z2,AC2))</f>
        <v>0.85049005481153817</v>
      </c>
      <c r="AE2" s="20" t="str">
        <f t="shared" ref="AE2:AE11" si="14">IF(ISBLANK(G2),"",IF(ISBLANK(H2),"",IF(ISBLANK(I2),"",IF(AD2=0,0,(AD2^4)/(((AC2^4)/2)+((Z2^4)/200)+((W2^4)/200)+((T2^4)/200))))))</f>
        <v/>
      </c>
      <c r="AF2" s="21" t="str">
        <f t="shared" ref="AF2:AF11" si="15">IF(ISBLANK(G2),"",IF(ISBLANK(H2),"",IF(ISBLANK(I2),"",ROUND(IF(AE2&gt;=30,2,_xlfn.T.INV.2T(0.05,AE2)),0))))</f>
        <v/>
      </c>
      <c r="AG2" s="19" t="str">
        <f t="shared" ref="AG2:AG11" si="16">IF(ISBLANK(G2),"",IF(ISBLANK(H2),"",IF(ISBLANK(I2),"",AF2*AD2)))</f>
        <v/>
      </c>
      <c r="AH2" s="22">
        <v>3.6999999999999999E-4</v>
      </c>
      <c r="AI2" s="20">
        <f t="shared" ref="AI2:AI11" si="17">IF(ISBLANK(G2),0,IF(ISBLANK(H2),0,IF(ISBLANK(I2),0,MAX(AG2,AH2))))</f>
        <v>0</v>
      </c>
    </row>
    <row r="3" spans="1:35" x14ac:dyDescent="0.25">
      <c r="B3" s="3" t="s">
        <v>55</v>
      </c>
      <c r="C3" s="3">
        <v>540</v>
      </c>
      <c r="D3" s="2" t="s">
        <v>61</v>
      </c>
      <c r="E3" s="3" t="s">
        <v>43</v>
      </c>
      <c r="J3" s="8" t="str">
        <f t="shared" si="0"/>
        <v/>
      </c>
      <c r="K3" s="9" t="str">
        <f t="shared" si="1"/>
        <v/>
      </c>
      <c r="L3" s="4">
        <v>1</v>
      </c>
      <c r="M3" s="4">
        <v>2</v>
      </c>
      <c r="N3" s="9" t="str">
        <f t="shared" si="2"/>
        <v/>
      </c>
      <c r="O3" s="10" t="str">
        <f t="shared" si="3"/>
        <v/>
      </c>
      <c r="P3" s="10" t="str">
        <f t="shared" si="4"/>
        <v/>
      </c>
      <c r="Q3" s="2" t="str">
        <f t="shared" si="5"/>
        <v/>
      </c>
      <c r="R3" s="23">
        <v>1.7</v>
      </c>
      <c r="S3" s="12">
        <v>2</v>
      </c>
      <c r="T3" s="13">
        <f t="shared" si="6"/>
        <v>0.85</v>
      </c>
      <c r="U3" s="14">
        <v>0</v>
      </c>
      <c r="V3" s="15">
        <f t="shared" si="7"/>
        <v>1.7320508075688772</v>
      </c>
      <c r="W3" s="2">
        <f t="shared" si="8"/>
        <v>0</v>
      </c>
      <c r="X3" s="16">
        <v>0.1</v>
      </c>
      <c r="Y3" s="16">
        <v>3.4641016151377544</v>
      </c>
      <c r="Z3" s="2">
        <f t="shared" si="9"/>
        <v>2.8867513459481291E-2</v>
      </c>
      <c r="AA3" s="18" t="str">
        <f t="shared" si="10"/>
        <v/>
      </c>
      <c r="AB3" s="17">
        <f t="shared" si="11"/>
        <v>1.7320508075688772</v>
      </c>
      <c r="AC3" s="19" t="str">
        <f t="shared" si="12"/>
        <v/>
      </c>
      <c r="AD3" s="2">
        <f t="shared" si="13"/>
        <v>0.85049005481153817</v>
      </c>
      <c r="AE3" s="20" t="str">
        <f t="shared" si="14"/>
        <v/>
      </c>
      <c r="AF3" s="21" t="str">
        <f t="shared" si="15"/>
        <v/>
      </c>
      <c r="AG3" s="19" t="str">
        <f t="shared" si="16"/>
        <v/>
      </c>
      <c r="AH3" s="22">
        <v>3.6999999999999999E-4</v>
      </c>
      <c r="AI3" s="20">
        <f t="shared" si="17"/>
        <v>0</v>
      </c>
    </row>
    <row r="4" spans="1:35" x14ac:dyDescent="0.25">
      <c r="B4" s="3" t="s">
        <v>56</v>
      </c>
      <c r="C4" s="3">
        <v>5400</v>
      </c>
      <c r="D4" s="2" t="s">
        <v>61</v>
      </c>
      <c r="E4" s="3" t="s">
        <v>42</v>
      </c>
      <c r="J4" s="8" t="str">
        <f t="shared" si="0"/>
        <v/>
      </c>
      <c r="K4" s="9" t="str">
        <f t="shared" si="1"/>
        <v/>
      </c>
      <c r="L4" s="4">
        <v>1</v>
      </c>
      <c r="M4" s="4">
        <v>2</v>
      </c>
      <c r="N4" s="9" t="str">
        <f t="shared" si="2"/>
        <v/>
      </c>
      <c r="O4" s="10" t="str">
        <f t="shared" si="3"/>
        <v/>
      </c>
      <c r="P4" s="10" t="str">
        <f t="shared" si="4"/>
        <v/>
      </c>
      <c r="Q4" s="2" t="str">
        <f t="shared" si="5"/>
        <v/>
      </c>
      <c r="R4" s="23">
        <v>13</v>
      </c>
      <c r="S4" s="12">
        <v>2</v>
      </c>
      <c r="T4" s="13">
        <f t="shared" si="6"/>
        <v>6.5</v>
      </c>
      <c r="U4" s="14">
        <v>0</v>
      </c>
      <c r="V4" s="15">
        <f t="shared" si="7"/>
        <v>1.7320508075688772</v>
      </c>
      <c r="W4" s="2">
        <f t="shared" si="8"/>
        <v>0</v>
      </c>
      <c r="X4" s="16">
        <v>1</v>
      </c>
      <c r="Y4" s="16">
        <v>3.4641016151377544</v>
      </c>
      <c r="Z4" s="2">
        <f t="shared" si="9"/>
        <v>0.28867513459481292</v>
      </c>
      <c r="AA4" s="18" t="str">
        <f t="shared" si="10"/>
        <v/>
      </c>
      <c r="AB4" s="17">
        <f t="shared" si="11"/>
        <v>1.7320508075688772</v>
      </c>
      <c r="AC4" s="19" t="str">
        <f t="shared" si="12"/>
        <v/>
      </c>
      <c r="AD4" s="2">
        <f t="shared" si="13"/>
        <v>6.5064070986477116</v>
      </c>
      <c r="AE4" s="20" t="str">
        <f t="shared" si="14"/>
        <v/>
      </c>
      <c r="AF4" s="21" t="str">
        <f t="shared" si="15"/>
        <v/>
      </c>
      <c r="AG4" s="19" t="str">
        <f t="shared" si="16"/>
        <v/>
      </c>
      <c r="AH4" s="22">
        <v>2.6</v>
      </c>
      <c r="AI4" s="20">
        <f t="shared" si="17"/>
        <v>0</v>
      </c>
    </row>
    <row r="5" spans="1:35" x14ac:dyDescent="0.25">
      <c r="B5" s="3" t="s">
        <v>56</v>
      </c>
      <c r="C5" s="3">
        <v>5400</v>
      </c>
      <c r="D5" s="2" t="s">
        <v>61</v>
      </c>
      <c r="E5" s="3" t="s">
        <v>43</v>
      </c>
      <c r="J5" s="8" t="str">
        <f t="shared" si="0"/>
        <v/>
      </c>
      <c r="K5" s="9" t="str">
        <f t="shared" si="1"/>
        <v/>
      </c>
      <c r="L5" s="4">
        <v>1</v>
      </c>
      <c r="M5" s="4">
        <v>2</v>
      </c>
      <c r="N5" s="9" t="str">
        <f t="shared" si="2"/>
        <v/>
      </c>
      <c r="O5" s="10" t="str">
        <f t="shared" si="3"/>
        <v/>
      </c>
      <c r="P5" s="10" t="str">
        <f t="shared" si="4"/>
        <v/>
      </c>
      <c r="Q5" s="2" t="str">
        <f t="shared" si="5"/>
        <v/>
      </c>
      <c r="R5" s="23">
        <v>13</v>
      </c>
      <c r="S5" s="12">
        <v>2</v>
      </c>
      <c r="T5" s="13">
        <f t="shared" si="6"/>
        <v>6.5</v>
      </c>
      <c r="U5" s="14">
        <v>0</v>
      </c>
      <c r="V5" s="15">
        <f t="shared" si="7"/>
        <v>1.7320508075688772</v>
      </c>
      <c r="W5" s="2">
        <f t="shared" si="8"/>
        <v>0</v>
      </c>
      <c r="X5" s="16">
        <v>1</v>
      </c>
      <c r="Y5" s="16">
        <v>3.4641016151377544</v>
      </c>
      <c r="Z5" s="2">
        <f t="shared" si="9"/>
        <v>0.28867513459481292</v>
      </c>
      <c r="AA5" s="18" t="str">
        <f t="shared" si="10"/>
        <v/>
      </c>
      <c r="AB5" s="17">
        <f t="shared" si="11"/>
        <v>1.7320508075688772</v>
      </c>
      <c r="AC5" s="19" t="str">
        <f t="shared" si="12"/>
        <v/>
      </c>
      <c r="AD5" s="2">
        <f t="shared" si="13"/>
        <v>6.5064070986477116</v>
      </c>
      <c r="AE5" s="20" t="str">
        <f t="shared" si="14"/>
        <v/>
      </c>
      <c r="AF5" s="21" t="str">
        <f t="shared" si="15"/>
        <v/>
      </c>
      <c r="AG5" s="19" t="str">
        <f t="shared" si="16"/>
        <v/>
      </c>
      <c r="AH5" s="22">
        <v>2.6</v>
      </c>
      <c r="AI5" s="20">
        <f t="shared" si="17"/>
        <v>0</v>
      </c>
    </row>
    <row r="6" spans="1:35" x14ac:dyDescent="0.25">
      <c r="B6" s="3" t="s">
        <v>57</v>
      </c>
      <c r="C6" s="3">
        <v>54</v>
      </c>
      <c r="D6" s="2" t="s">
        <v>62</v>
      </c>
      <c r="E6" s="3" t="s">
        <v>42</v>
      </c>
      <c r="J6" s="8" t="str">
        <f t="shared" si="0"/>
        <v/>
      </c>
      <c r="K6" s="9" t="str">
        <f t="shared" si="1"/>
        <v/>
      </c>
      <c r="L6" s="4">
        <v>1</v>
      </c>
      <c r="M6" s="4">
        <v>2</v>
      </c>
      <c r="N6" s="9" t="str">
        <f t="shared" si="2"/>
        <v/>
      </c>
      <c r="O6" s="10" t="str">
        <f t="shared" si="3"/>
        <v/>
      </c>
      <c r="P6" s="10" t="str">
        <f t="shared" si="4"/>
        <v/>
      </c>
      <c r="Q6" s="2" t="str">
        <f t="shared" si="5"/>
        <v/>
      </c>
      <c r="R6" s="23">
        <v>0.22</v>
      </c>
      <c r="S6" s="12">
        <v>2</v>
      </c>
      <c r="T6" s="13">
        <f t="shared" si="6"/>
        <v>0.11</v>
      </c>
      <c r="U6" s="14">
        <v>0</v>
      </c>
      <c r="V6" s="15">
        <f t="shared" si="7"/>
        <v>1.7320508075688772</v>
      </c>
      <c r="W6" s="2">
        <f t="shared" si="8"/>
        <v>0</v>
      </c>
      <c r="X6" s="16">
        <v>0.01</v>
      </c>
      <c r="Y6" s="16">
        <v>3.4641016151377544</v>
      </c>
      <c r="Z6" s="2">
        <f t="shared" si="9"/>
        <v>2.886751345948129E-3</v>
      </c>
      <c r="AA6" s="18" t="str">
        <f t="shared" si="10"/>
        <v/>
      </c>
      <c r="AB6" s="17">
        <f t="shared" si="11"/>
        <v>1.7320508075688772</v>
      </c>
      <c r="AC6" s="19" t="str">
        <f t="shared" si="12"/>
        <v/>
      </c>
      <c r="AD6" s="2">
        <f t="shared" si="13"/>
        <v>0.11003787226829376</v>
      </c>
      <c r="AE6" s="20" t="str">
        <f t="shared" si="14"/>
        <v/>
      </c>
      <c r="AF6" s="21" t="str">
        <f t="shared" si="15"/>
        <v/>
      </c>
      <c r="AG6" s="19" t="str">
        <f t="shared" si="16"/>
        <v/>
      </c>
      <c r="AH6" s="22">
        <v>2.5999999999999999E-2</v>
      </c>
      <c r="AI6" s="20">
        <f t="shared" si="17"/>
        <v>0</v>
      </c>
    </row>
    <row r="7" spans="1:35" x14ac:dyDescent="0.25">
      <c r="B7" s="3" t="s">
        <v>57</v>
      </c>
      <c r="C7" s="3">
        <v>54</v>
      </c>
      <c r="D7" s="2" t="s">
        <v>62</v>
      </c>
      <c r="E7" s="3" t="s">
        <v>43</v>
      </c>
      <c r="J7" s="8" t="str">
        <f t="shared" si="0"/>
        <v/>
      </c>
      <c r="K7" s="9" t="str">
        <f t="shared" si="1"/>
        <v/>
      </c>
      <c r="L7" s="4">
        <v>1</v>
      </c>
      <c r="M7" s="4">
        <v>2</v>
      </c>
      <c r="N7" s="9" t="str">
        <f t="shared" si="2"/>
        <v/>
      </c>
      <c r="O7" s="10" t="str">
        <f t="shared" si="3"/>
        <v/>
      </c>
      <c r="P7" s="10" t="str">
        <f t="shared" si="4"/>
        <v/>
      </c>
      <c r="Q7" s="2" t="str">
        <f t="shared" si="5"/>
        <v/>
      </c>
      <c r="R7" s="23">
        <v>0.22</v>
      </c>
      <c r="S7" s="12">
        <v>2</v>
      </c>
      <c r="T7" s="13">
        <f t="shared" si="6"/>
        <v>0.11</v>
      </c>
      <c r="U7" s="14">
        <v>0</v>
      </c>
      <c r="V7" s="15">
        <f t="shared" si="7"/>
        <v>1.7320508075688772</v>
      </c>
      <c r="W7" s="2">
        <f t="shared" si="8"/>
        <v>0</v>
      </c>
      <c r="X7" s="16">
        <v>0.01</v>
      </c>
      <c r="Y7" s="16">
        <v>3.4641016151377544</v>
      </c>
      <c r="Z7" s="2">
        <f t="shared" si="9"/>
        <v>2.886751345948129E-3</v>
      </c>
      <c r="AA7" s="18" t="str">
        <f t="shared" si="10"/>
        <v/>
      </c>
      <c r="AB7" s="17">
        <f t="shared" si="11"/>
        <v>1.7320508075688772</v>
      </c>
      <c r="AC7" s="19" t="str">
        <f t="shared" si="12"/>
        <v/>
      </c>
      <c r="AD7" s="2">
        <f t="shared" si="13"/>
        <v>0.11003787226829376</v>
      </c>
      <c r="AE7" s="20" t="str">
        <f t="shared" si="14"/>
        <v/>
      </c>
      <c r="AF7" s="21" t="str">
        <f t="shared" si="15"/>
        <v/>
      </c>
      <c r="AG7" s="19" t="str">
        <f t="shared" si="16"/>
        <v/>
      </c>
      <c r="AH7" s="22">
        <v>2.5999999999999999E-2</v>
      </c>
      <c r="AI7" s="20">
        <f t="shared" si="17"/>
        <v>0</v>
      </c>
    </row>
    <row r="8" spans="1:35" x14ac:dyDescent="0.25">
      <c r="B8" s="3" t="s">
        <v>58</v>
      </c>
      <c r="C8" s="3">
        <v>360</v>
      </c>
      <c r="D8" s="2" t="s">
        <v>62</v>
      </c>
      <c r="E8" s="3" t="s">
        <v>42</v>
      </c>
      <c r="J8" s="8" t="str">
        <f t="shared" si="0"/>
        <v/>
      </c>
      <c r="K8" s="9" t="str">
        <f t="shared" si="1"/>
        <v/>
      </c>
      <c r="L8" s="4">
        <v>1</v>
      </c>
      <c r="M8" s="4">
        <v>2</v>
      </c>
      <c r="N8" s="9" t="str">
        <f t="shared" si="2"/>
        <v/>
      </c>
      <c r="O8" s="10" t="str">
        <f t="shared" si="3"/>
        <v/>
      </c>
      <c r="P8" s="10" t="str">
        <f t="shared" si="4"/>
        <v/>
      </c>
      <c r="Q8" s="2" t="str">
        <f t="shared" si="5"/>
        <v/>
      </c>
      <c r="R8" s="23">
        <v>0.72</v>
      </c>
      <c r="S8" s="12">
        <v>2</v>
      </c>
      <c r="T8" s="13">
        <f t="shared" si="6"/>
        <v>0.36</v>
      </c>
      <c r="U8" s="14">
        <v>0</v>
      </c>
      <c r="V8" s="15">
        <f t="shared" si="7"/>
        <v>1.7320508075688772</v>
      </c>
      <c r="W8" s="2">
        <f t="shared" si="8"/>
        <v>0</v>
      </c>
      <c r="X8" s="16">
        <v>0.1</v>
      </c>
      <c r="Y8" s="16">
        <v>3.4641016151377544</v>
      </c>
      <c r="Z8" s="2">
        <f t="shared" si="9"/>
        <v>2.8867513459481291E-2</v>
      </c>
      <c r="AA8" s="18" t="str">
        <f t="shared" si="10"/>
        <v/>
      </c>
      <c r="AB8" s="17">
        <f t="shared" si="11"/>
        <v>1.7320508075688772</v>
      </c>
      <c r="AC8" s="19" t="str">
        <f t="shared" si="12"/>
        <v/>
      </c>
      <c r="AD8" s="2">
        <f t="shared" si="13"/>
        <v>0.36115555282084938</v>
      </c>
      <c r="AE8" s="20" t="str">
        <f t="shared" si="14"/>
        <v/>
      </c>
      <c r="AF8" s="21" t="str">
        <f t="shared" si="15"/>
        <v/>
      </c>
      <c r="AG8" s="19" t="str">
        <f t="shared" si="16"/>
        <v/>
      </c>
      <c r="AH8" s="22">
        <v>0.21</v>
      </c>
      <c r="AI8" s="20">
        <f t="shared" si="17"/>
        <v>0</v>
      </c>
    </row>
    <row r="9" spans="1:35" x14ac:dyDescent="0.25">
      <c r="B9" s="3" t="s">
        <v>58</v>
      </c>
      <c r="C9" s="3">
        <v>360</v>
      </c>
      <c r="D9" s="2" t="s">
        <v>62</v>
      </c>
      <c r="E9" s="3" t="s">
        <v>43</v>
      </c>
      <c r="J9" s="8" t="str">
        <f t="shared" si="0"/>
        <v/>
      </c>
      <c r="K9" s="9" t="str">
        <f t="shared" si="1"/>
        <v/>
      </c>
      <c r="L9" s="4">
        <v>1</v>
      </c>
      <c r="M9" s="4">
        <v>2</v>
      </c>
      <c r="N9" s="9" t="str">
        <f t="shared" si="2"/>
        <v/>
      </c>
      <c r="O9" s="10" t="str">
        <f t="shared" si="3"/>
        <v/>
      </c>
      <c r="P9" s="10" t="str">
        <f t="shared" si="4"/>
        <v/>
      </c>
      <c r="Q9" s="2" t="str">
        <f t="shared" si="5"/>
        <v/>
      </c>
      <c r="R9" s="23">
        <v>0.72</v>
      </c>
      <c r="S9" s="12">
        <v>2</v>
      </c>
      <c r="T9" s="13">
        <f t="shared" si="6"/>
        <v>0.36</v>
      </c>
      <c r="U9" s="14">
        <v>0</v>
      </c>
      <c r="V9" s="15">
        <f t="shared" si="7"/>
        <v>1.7320508075688772</v>
      </c>
      <c r="W9" s="2">
        <f t="shared" si="8"/>
        <v>0</v>
      </c>
      <c r="X9" s="16">
        <v>0.1</v>
      </c>
      <c r="Y9" s="16">
        <v>3.4641016151377544</v>
      </c>
      <c r="Z9" s="2">
        <f t="shared" si="9"/>
        <v>2.8867513459481291E-2</v>
      </c>
      <c r="AA9" s="18" t="str">
        <f t="shared" si="10"/>
        <v/>
      </c>
      <c r="AB9" s="17">
        <f t="shared" si="11"/>
        <v>1.7320508075688772</v>
      </c>
      <c r="AC9" s="19" t="str">
        <f t="shared" si="12"/>
        <v/>
      </c>
      <c r="AD9" s="2">
        <f t="shared" si="13"/>
        <v>0.36115555282084938</v>
      </c>
      <c r="AE9" s="20" t="str">
        <f t="shared" si="14"/>
        <v/>
      </c>
      <c r="AF9" s="21" t="str">
        <f t="shared" si="15"/>
        <v/>
      </c>
      <c r="AG9" s="19" t="str">
        <f t="shared" si="16"/>
        <v/>
      </c>
      <c r="AH9" s="22">
        <v>0.21</v>
      </c>
      <c r="AI9" s="20">
        <f t="shared" si="17"/>
        <v>0</v>
      </c>
    </row>
    <row r="10" spans="1:35" x14ac:dyDescent="0.25">
      <c r="B10" s="3" t="s">
        <v>59</v>
      </c>
      <c r="C10" s="3">
        <v>5.4</v>
      </c>
      <c r="D10" s="2" t="s">
        <v>63</v>
      </c>
      <c r="E10" s="3" t="s">
        <v>42</v>
      </c>
      <c r="J10" s="8" t="str">
        <f t="shared" si="0"/>
        <v/>
      </c>
      <c r="K10" s="9" t="str">
        <f t="shared" si="1"/>
        <v/>
      </c>
      <c r="L10" s="4">
        <v>1</v>
      </c>
      <c r="M10" s="4">
        <v>2</v>
      </c>
      <c r="N10" s="9" t="str">
        <f t="shared" si="2"/>
        <v/>
      </c>
      <c r="O10" s="10" t="str">
        <f t="shared" si="3"/>
        <v/>
      </c>
      <c r="P10" s="10" t="str">
        <f t="shared" si="4"/>
        <v/>
      </c>
      <c r="Q10" s="2" t="str">
        <f t="shared" si="5"/>
        <v/>
      </c>
      <c r="R10" s="23">
        <v>0.01</v>
      </c>
      <c r="S10" s="12">
        <v>2</v>
      </c>
      <c r="T10" s="13">
        <f t="shared" si="6"/>
        <v>5.0000000000000001E-3</v>
      </c>
      <c r="U10" s="14">
        <v>0</v>
      </c>
      <c r="V10" s="15">
        <f t="shared" si="7"/>
        <v>1.7320508075688772</v>
      </c>
      <c r="W10" s="2">
        <f t="shared" si="8"/>
        <v>0</v>
      </c>
      <c r="X10" s="16">
        <v>1E-3</v>
      </c>
      <c r="Y10" s="16">
        <v>3.4641016151377544</v>
      </c>
      <c r="Z10" s="2">
        <f t="shared" si="9"/>
        <v>2.886751345948129E-4</v>
      </c>
      <c r="AA10" s="18" t="str">
        <f t="shared" si="10"/>
        <v/>
      </c>
      <c r="AB10" s="17">
        <f t="shared" si="11"/>
        <v>1.7320508075688772</v>
      </c>
      <c r="AC10" s="19" t="str">
        <f t="shared" si="12"/>
        <v/>
      </c>
      <c r="AD10" s="2">
        <f t="shared" si="13"/>
        <v>5.0083264004389064E-3</v>
      </c>
      <c r="AE10" s="20" t="str">
        <f t="shared" si="14"/>
        <v/>
      </c>
      <c r="AF10" s="21" t="str">
        <f t="shared" si="15"/>
        <v/>
      </c>
      <c r="AG10" s="19" t="str">
        <f t="shared" si="16"/>
        <v/>
      </c>
      <c r="AH10" s="22">
        <v>2.8999999999999998E-3</v>
      </c>
      <c r="AI10" s="20">
        <f t="shared" si="17"/>
        <v>0</v>
      </c>
    </row>
    <row r="11" spans="1:35" x14ac:dyDescent="0.25">
      <c r="B11" s="3" t="s">
        <v>59</v>
      </c>
      <c r="C11" s="3">
        <v>5.4</v>
      </c>
      <c r="D11" s="2" t="s">
        <v>63</v>
      </c>
      <c r="E11" s="3" t="s">
        <v>43</v>
      </c>
      <c r="J11" s="8" t="str">
        <f t="shared" si="0"/>
        <v/>
      </c>
      <c r="K11" s="9" t="str">
        <f t="shared" si="1"/>
        <v/>
      </c>
      <c r="L11" s="4">
        <v>1</v>
      </c>
      <c r="M11" s="4">
        <v>2</v>
      </c>
      <c r="N11" s="9" t="str">
        <f t="shared" si="2"/>
        <v/>
      </c>
      <c r="O11" s="10" t="str">
        <f t="shared" si="3"/>
        <v/>
      </c>
      <c r="P11" s="10" t="str">
        <f t="shared" si="4"/>
        <v/>
      </c>
      <c r="Q11" s="2" t="str">
        <f t="shared" si="5"/>
        <v/>
      </c>
      <c r="R11" s="23">
        <v>1.0999999999999999E-2</v>
      </c>
      <c r="S11" s="12">
        <v>2</v>
      </c>
      <c r="T11" s="13">
        <f t="shared" si="6"/>
        <v>5.4999999999999997E-3</v>
      </c>
      <c r="U11" s="14">
        <v>0</v>
      </c>
      <c r="V11" s="15">
        <f t="shared" si="7"/>
        <v>1.7320508075688772</v>
      </c>
      <c r="W11" s="2">
        <f t="shared" si="8"/>
        <v>0</v>
      </c>
      <c r="X11" s="16">
        <v>1E-3</v>
      </c>
      <c r="Y11" s="16">
        <v>3.4641016151377544</v>
      </c>
      <c r="Z11" s="2">
        <f t="shared" si="9"/>
        <v>2.886751345948129E-4</v>
      </c>
      <c r="AA11" s="18" t="str">
        <f t="shared" si="10"/>
        <v/>
      </c>
      <c r="AB11" s="17">
        <f t="shared" si="11"/>
        <v>1.7320508075688772</v>
      </c>
      <c r="AC11" s="19" t="str">
        <f t="shared" si="12"/>
        <v/>
      </c>
      <c r="AD11" s="2">
        <f t="shared" si="13"/>
        <v>5.5075705472861017E-3</v>
      </c>
      <c r="AE11" s="20" t="str">
        <f t="shared" si="14"/>
        <v/>
      </c>
      <c r="AF11" s="21" t="str">
        <f t="shared" si="15"/>
        <v/>
      </c>
      <c r="AG11" s="19" t="str">
        <f t="shared" si="16"/>
        <v/>
      </c>
      <c r="AH11" s="22">
        <v>3.8999999999999998E-3</v>
      </c>
      <c r="AI11" s="20">
        <f t="shared" si="17"/>
        <v>0</v>
      </c>
    </row>
    <row r="12" spans="1:35" x14ac:dyDescent="0.25">
      <c r="B12" s="3" t="s">
        <v>60</v>
      </c>
      <c r="C12" s="3">
        <v>9</v>
      </c>
      <c r="D12" s="2" t="s">
        <v>63</v>
      </c>
      <c r="E12" s="3" t="s">
        <v>42</v>
      </c>
      <c r="J12" s="8" t="str">
        <f t="shared" ref="J12:J13" si="18">IF(ISBLANK(G12),"",IF(ISBLANK(H12),"",IF(ISBLANK(I12),"",(AVERAGE(G12:I12)))))</f>
        <v/>
      </c>
      <c r="K12" s="9" t="str">
        <f t="shared" ref="K12:K13" si="19">IF(ISBLANK(G12),"",IF(ISBLANK(H12),"",IF(ISBLANK(I12),"",J12-C12)))</f>
        <v/>
      </c>
      <c r="L12" s="4">
        <v>1</v>
      </c>
      <c r="M12" s="4">
        <v>2</v>
      </c>
      <c r="N12" s="9" t="str">
        <f t="shared" ref="N12:N13" si="20">IF(ISBLANK(G12),"",IF(ISBLANK(H12),"",IF(ISBLANK(I12),"",ABS(J12*L12%)+(M12*X12))))</f>
        <v/>
      </c>
      <c r="O12" s="10" t="str">
        <f t="shared" ref="O12:O13" si="21">IF(ISBLANK(G12),"",IF(ISBLANK(H12),"",IF(ISBLANK(I12),"",C12+N12)))</f>
        <v/>
      </c>
      <c r="P12" s="10" t="str">
        <f t="shared" ref="P12:P13" si="22">IF(ISBLANK(G12),"",IF(ISBLANK(H12),"",IF(ISBLANK(I12),"",C12-N12)))</f>
        <v/>
      </c>
      <c r="Q12" s="2" t="str">
        <f t="shared" ref="Q12:Q13" si="23">IF(ISBLANK(G12),"",IF(ISBLANK(H12),"",IF(ISBLANK(I12),"",IF(AND(J12&gt;=P12,J12&lt;=O12),"PASS","FAIL"))))</f>
        <v/>
      </c>
      <c r="R12" s="23">
        <v>0.01</v>
      </c>
      <c r="S12" s="12">
        <v>2</v>
      </c>
      <c r="T12" s="13">
        <f t="shared" ref="T12:T13" si="24">IFERROR(R12/S12,0)</f>
        <v>5.0000000000000001E-3</v>
      </c>
      <c r="U12" s="14">
        <v>0</v>
      </c>
      <c r="V12" s="15">
        <f t="shared" ref="V12:V13" si="25">SQRT(3)</f>
        <v>1.7320508075688772</v>
      </c>
      <c r="W12" s="2">
        <f t="shared" ref="W12:W13" si="26">IFERROR(U12/V12,0)</f>
        <v>0</v>
      </c>
      <c r="X12" s="16">
        <v>0.01</v>
      </c>
      <c r="Y12" s="16">
        <v>3.4641016151377544</v>
      </c>
      <c r="Z12" s="2">
        <f t="shared" ref="Z12:Z13" si="27">IFERROR(X12/Y12,0)</f>
        <v>2.886751345948129E-3</v>
      </c>
      <c r="AA12" s="18" t="str">
        <f t="shared" ref="AA12:AA13" si="28">IF(ISBLANK(G12),"",IF(ISBLANK(H12),"",IF(ISBLANK(I12),"",STDEV(G12:I12))))</f>
        <v/>
      </c>
      <c r="AB12" s="17">
        <f t="shared" ref="AB12:AB13" si="29">SQRT(3)</f>
        <v>1.7320508075688772</v>
      </c>
      <c r="AC12" s="19" t="str">
        <f t="shared" ref="AC12:AC13" si="30">IF(ISBLANK(G12),"",IF(ISBLANK(H12),"",IF(ISBLANK(I12),"",AA12/AB12)))</f>
        <v/>
      </c>
      <c r="AD12" s="2">
        <f t="shared" ref="AD12:AD13" si="31">SQRT(SUMSQ(T12,W12,Z12,AC12))</f>
        <v>5.773502691896258E-3</v>
      </c>
      <c r="AE12" s="20" t="str">
        <f t="shared" ref="AE12:AE13" si="32">IF(ISBLANK(G12),"",IF(ISBLANK(H12),"",IF(ISBLANK(I12),"",IF(AD12=0,0,(AD12^4)/(((AC12^4)/2)+((Z12^4)/200)+((W12^4)/200)+((T12^4)/200))))))</f>
        <v/>
      </c>
      <c r="AF12" s="21" t="str">
        <f t="shared" ref="AF12:AF13" si="33">IF(ISBLANK(G12),"",IF(ISBLANK(H12),"",IF(ISBLANK(I12),"",ROUND(IF(AE12&gt;=30,2,_xlfn.T.INV.2T(0.05,AE12)),0))))</f>
        <v/>
      </c>
      <c r="AG12" s="19" t="str">
        <f t="shared" ref="AG12:AG13" si="34">IF(ISBLANK(G12),"",IF(ISBLANK(H12),"",IF(ISBLANK(I12),"",AF12*AD12)))</f>
        <v/>
      </c>
      <c r="AH12" s="22">
        <v>2.8999999999999998E-3</v>
      </c>
      <c r="AI12" s="20">
        <f t="shared" ref="AI12:AI13" si="35">IF(ISBLANK(G12),0,IF(ISBLANK(H12),0,IF(ISBLANK(I12),0,MAX(AG12,AH12))))</f>
        <v>0</v>
      </c>
    </row>
    <row r="13" spans="1:35" x14ac:dyDescent="0.25">
      <c r="B13" s="3" t="s">
        <v>60</v>
      </c>
      <c r="C13" s="3">
        <v>9</v>
      </c>
      <c r="D13" s="2" t="s">
        <v>63</v>
      </c>
      <c r="E13" s="3" t="s">
        <v>43</v>
      </c>
      <c r="J13" s="8" t="str">
        <f t="shared" si="18"/>
        <v/>
      </c>
      <c r="K13" s="9" t="str">
        <f t="shared" si="19"/>
        <v/>
      </c>
      <c r="L13" s="4">
        <v>1</v>
      </c>
      <c r="M13" s="4">
        <v>2</v>
      </c>
      <c r="N13" s="9" t="str">
        <f t="shared" si="20"/>
        <v/>
      </c>
      <c r="O13" s="10" t="str">
        <f t="shared" si="21"/>
        <v/>
      </c>
      <c r="P13" s="10" t="str">
        <f t="shared" si="22"/>
        <v/>
      </c>
      <c r="Q13" s="2" t="str">
        <f t="shared" si="23"/>
        <v/>
      </c>
      <c r="R13" s="23">
        <v>1.0999999999999999E-2</v>
      </c>
      <c r="S13" s="12">
        <v>2</v>
      </c>
      <c r="T13" s="13">
        <f t="shared" si="24"/>
        <v>5.4999999999999997E-3</v>
      </c>
      <c r="U13" s="14">
        <v>0</v>
      </c>
      <c r="V13" s="15">
        <f t="shared" si="25"/>
        <v>1.7320508075688772</v>
      </c>
      <c r="W13" s="2">
        <f t="shared" si="26"/>
        <v>0</v>
      </c>
      <c r="X13" s="16">
        <v>0.01</v>
      </c>
      <c r="Y13" s="16">
        <v>3.4641016151377544</v>
      </c>
      <c r="Z13" s="2">
        <f t="shared" si="27"/>
        <v>2.886751345948129E-3</v>
      </c>
      <c r="AA13" s="18" t="str">
        <f t="shared" si="28"/>
        <v/>
      </c>
      <c r="AB13" s="17">
        <f t="shared" si="29"/>
        <v>1.7320508075688772</v>
      </c>
      <c r="AC13" s="19" t="str">
        <f t="shared" si="30"/>
        <v/>
      </c>
      <c r="AD13" s="2">
        <f t="shared" si="31"/>
        <v>6.2115483845280742E-3</v>
      </c>
      <c r="AE13" s="20" t="str">
        <f t="shared" si="32"/>
        <v/>
      </c>
      <c r="AF13" s="21" t="str">
        <f t="shared" si="33"/>
        <v/>
      </c>
      <c r="AG13" s="19" t="str">
        <f t="shared" si="34"/>
        <v/>
      </c>
      <c r="AH13" s="22">
        <v>3.8999999999999998E-3</v>
      </c>
      <c r="AI13" s="20">
        <f t="shared" si="35"/>
        <v>0</v>
      </c>
    </row>
    <row r="14" spans="1:35" x14ac:dyDescent="0.25">
      <c r="J14" s="8"/>
      <c r="K14" s="9"/>
      <c r="L14" s="4"/>
      <c r="M14" s="4"/>
      <c r="N14" s="9"/>
      <c r="O14" s="10"/>
      <c r="P14" s="10"/>
      <c r="R14" s="23"/>
      <c r="S14" s="12"/>
      <c r="T14" s="13"/>
      <c r="U14" s="14"/>
      <c r="V14" s="15"/>
      <c r="X14" s="16"/>
      <c r="Y14" s="16"/>
      <c r="AA14" s="18"/>
      <c r="AB14" s="17"/>
      <c r="AE14" s="20"/>
      <c r="AF14" s="21"/>
      <c r="AG14" s="19"/>
      <c r="AH14" s="22"/>
      <c r="AI14" s="2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DCV</vt:lpstr>
      <vt:lpstr>ACV</vt:lpstr>
      <vt:lpstr>Res</vt:lpstr>
      <vt:lpstr>DCC</vt:lpstr>
      <vt:lpstr>ACC</vt:lpstr>
      <vt:lpstr>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Danica Bea B. Neri</dc:creator>
  <cp:lastModifiedBy>Danica Bea B. Neri</cp:lastModifiedBy>
  <dcterms:created xsi:type="dcterms:W3CDTF">2025-09-18T00:52:56Z</dcterms:created>
  <dcterms:modified xsi:type="dcterms:W3CDTF">2025-10-02T05:03:01Z</dcterms:modified>
</cp:coreProperties>
</file>