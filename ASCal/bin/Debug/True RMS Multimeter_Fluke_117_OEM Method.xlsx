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onju\Desktop\FOR CHECKING CAL CERT\DELIVERY FOR THIS WEEK\PRIORITY\MIRDC\"/>
    </mc:Choice>
  </mc:AlternateContent>
  <xr:revisionPtr revIDLastSave="0" documentId="8_{51116ED7-1BE8-4E9F-82EE-CC43805EB6F6}" xr6:coauthVersionLast="47" xr6:coauthVersionMax="47" xr10:uidLastSave="{00000000-0000-0000-0000-000000000000}"/>
  <bookViews>
    <workbookView xWindow="-120" yWindow="-120" windowWidth="20730" windowHeight="11160" tabRatio="682" activeTab="1" xr2:uid="{00000000-000D-0000-FFFF-FFFF00000000}"/>
  </bookViews>
  <sheets>
    <sheet name="Cal Certificate" sheetId="5" r:id="rId1"/>
    <sheet name="DataSheet" sheetId="6" r:id="rId2"/>
    <sheet name="Specification" sheetId="7" r:id="rId3"/>
  </sheets>
  <definedNames>
    <definedName name="DRY" localSheetId="0">#REF!</definedName>
    <definedName name="DRY">#REF!</definedName>
    <definedName name="dryx">#REF!</definedName>
    <definedName name="_xlnm.Print_Area" localSheetId="0">'Cal Certificate'!$B$1:$AA$223</definedName>
    <definedName name="_xlnm.Print_Area" localSheetId="1">DataSheet!$B$1:$AZ$138</definedName>
    <definedName name="_xlnm.Print_Titles" localSheetId="0">'Cal Certificate'!$1:$8</definedName>
    <definedName name="_xlnm.Print_Titles" localSheetId="1">DataSheet!$1:$5</definedName>
    <definedName name="WET" localSheetId="0">#REF!</definedName>
    <definedName name="WET" localSheetId="1">#REF!</definedName>
    <definedName name="WE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3" i="5" l="1"/>
  <c r="M83" i="5"/>
  <c r="Q83" i="5"/>
  <c r="U83" i="5"/>
  <c r="V7" i="5" l="1"/>
  <c r="CB113" i="6"/>
  <c r="B214" i="5" l="1"/>
  <c r="EL112" i="6"/>
  <c r="EK112" i="6"/>
  <c r="EM112" i="6" s="1"/>
  <c r="CB118" i="6" l="1"/>
  <c r="AH90" i="6" l="1"/>
  <c r="AH89" i="6"/>
  <c r="AH88" i="6"/>
  <c r="AH87" i="6"/>
  <c r="AH86" i="6"/>
  <c r="I176" i="5"/>
  <c r="M181" i="5"/>
  <c r="I181" i="5"/>
  <c r="E181" i="5"/>
  <c r="E178" i="5"/>
  <c r="E176" i="5"/>
  <c r="E173" i="5"/>
  <c r="I156" i="5"/>
  <c r="I151" i="5"/>
  <c r="I150" i="5"/>
  <c r="I98" i="5" l="1"/>
  <c r="BC87" i="6" l="1"/>
  <c r="BC88" i="6"/>
  <c r="BC89" i="6"/>
  <c r="BC90" i="6"/>
  <c r="BC86" i="6"/>
  <c r="P52" i="5" l="1"/>
  <c r="CP112" i="6" l="1"/>
  <c r="CQ128" i="6"/>
  <c r="CR128" i="6" s="1"/>
  <c r="CT128" i="6" s="1"/>
  <c r="CQ123" i="6"/>
  <c r="CR123" i="6" s="1"/>
  <c r="CT123" i="6" s="1"/>
  <c r="CQ118" i="6"/>
  <c r="CR118" i="6" s="1"/>
  <c r="CT118" i="6" s="1"/>
  <c r="CQ113" i="6"/>
  <c r="CR113" i="6" s="1"/>
  <c r="CT113" i="6" s="1"/>
  <c r="CQ112" i="6"/>
  <c r="CR112" i="6" s="1"/>
  <c r="CT112" i="6" s="1"/>
  <c r="CQ107" i="6"/>
  <c r="CR107" i="6" s="1"/>
  <c r="CT107" i="6" s="1"/>
  <c r="CQ102" i="6"/>
  <c r="CQ101" i="6"/>
  <c r="CQ96" i="6"/>
  <c r="CR96" i="6" s="1"/>
  <c r="CT96" i="6" s="1"/>
  <c r="CQ95" i="6"/>
  <c r="CR95" i="6" s="1"/>
  <c r="CT95" i="6" s="1"/>
  <c r="CQ90" i="6"/>
  <c r="CR90" i="6" s="1"/>
  <c r="CT90" i="6" s="1"/>
  <c r="CQ89" i="6"/>
  <c r="CQ88" i="6"/>
  <c r="CR88" i="6" s="1"/>
  <c r="CT88" i="6" s="1"/>
  <c r="CQ87" i="6"/>
  <c r="CR87" i="6" s="1"/>
  <c r="CT87" i="6" s="1"/>
  <c r="CQ86" i="6"/>
  <c r="CR86" i="6" s="1"/>
  <c r="CT86" i="6" s="1"/>
  <c r="CQ81" i="6"/>
  <c r="CR81" i="6" s="1"/>
  <c r="CT81" i="6" s="1"/>
  <c r="CQ76" i="6"/>
  <c r="CR76" i="6" s="1"/>
  <c r="CT76" i="6" s="1"/>
  <c r="CQ75" i="6"/>
  <c r="CR75" i="6" s="1"/>
  <c r="CT75" i="6" s="1"/>
  <c r="CQ74" i="6"/>
  <c r="CR74" i="6" s="1"/>
  <c r="CT74" i="6" s="1"/>
  <c r="CQ73" i="6"/>
  <c r="CR73" i="6" s="1"/>
  <c r="CT73" i="6" s="1"/>
  <c r="CQ72" i="6"/>
  <c r="CR72" i="6" s="1"/>
  <c r="CT72" i="6" s="1"/>
  <c r="CQ71" i="6"/>
  <c r="CQ60" i="6"/>
  <c r="CR60" i="6" s="1"/>
  <c r="CT60" i="6" s="1"/>
  <c r="CQ59" i="6"/>
  <c r="CR59" i="6" s="1"/>
  <c r="CT59" i="6" s="1"/>
  <c r="CQ58" i="6"/>
  <c r="CR58" i="6" s="1"/>
  <c r="CT58" i="6" s="1"/>
  <c r="CQ57" i="6"/>
  <c r="CR57" i="6" s="1"/>
  <c r="CT57" i="6" s="1"/>
  <c r="CQ56" i="6"/>
  <c r="CQ55" i="6"/>
  <c r="CR55" i="6" s="1"/>
  <c r="CT55" i="6" s="1"/>
  <c r="CQ54" i="6"/>
  <c r="CR54" i="6" s="1"/>
  <c r="CT54" i="6" s="1"/>
  <c r="CQ53" i="6"/>
  <c r="CR53" i="6" s="1"/>
  <c r="CT53" i="6" s="1"/>
  <c r="P11" i="5"/>
  <c r="H20" i="5"/>
  <c r="CR101" i="6" l="1"/>
  <c r="CT101" i="6" s="1"/>
  <c r="CW101" i="6" s="1"/>
  <c r="CR56" i="6"/>
  <c r="CT56" i="6" s="1"/>
  <c r="CW56" i="6" s="1"/>
  <c r="CR71" i="6"/>
  <c r="CT71" i="6" s="1"/>
  <c r="CW71" i="6" s="1"/>
  <c r="CR89" i="6"/>
  <c r="CT89" i="6" s="1"/>
  <c r="CW89" i="6" s="1"/>
  <c r="CR102" i="6"/>
  <c r="CT102" i="6" s="1"/>
  <c r="CU102" i="6" s="1"/>
  <c r="CW53" i="6"/>
  <c r="CU53" i="6"/>
  <c r="CW59" i="6"/>
  <c r="CU59" i="6"/>
  <c r="CU72" i="6"/>
  <c r="CW72" i="6"/>
  <c r="CW74" i="6"/>
  <c r="CU74" i="6"/>
  <c r="CW87" i="6"/>
  <c r="CU87" i="6"/>
  <c r="CW118" i="6"/>
  <c r="CU118" i="6"/>
  <c r="CU123" i="6"/>
  <c r="CW123" i="6"/>
  <c r="CW57" i="6"/>
  <c r="CU57" i="6"/>
  <c r="CW73" i="6"/>
  <c r="CU73" i="6"/>
  <c r="CU76" i="6"/>
  <c r="CW76" i="6"/>
  <c r="CW86" i="6"/>
  <c r="CU86" i="6"/>
  <c r="CW95" i="6"/>
  <c r="CU95" i="6"/>
  <c r="CW112" i="6"/>
  <c r="CU112" i="6"/>
  <c r="CW113" i="6"/>
  <c r="CU113" i="6"/>
  <c r="CW128" i="6"/>
  <c r="CU128" i="6"/>
  <c r="CU54" i="6"/>
  <c r="CW54" i="6"/>
  <c r="CW81" i="6"/>
  <c r="CU81" i="6"/>
  <c r="CU88" i="6"/>
  <c r="CW88" i="6"/>
  <c r="CW90" i="6"/>
  <c r="CU90" i="6"/>
  <c r="CW107" i="6"/>
  <c r="CU107" i="6"/>
  <c r="CW55" i="6"/>
  <c r="CU55" i="6"/>
  <c r="CU58" i="6"/>
  <c r="CW58" i="6"/>
  <c r="CW60" i="6"/>
  <c r="CU60" i="6"/>
  <c r="CW75" i="6"/>
  <c r="CU75" i="6"/>
  <c r="CU96" i="6"/>
  <c r="CW96" i="6"/>
  <c r="AH53" i="6"/>
  <c r="BC53" i="6" s="1"/>
  <c r="AH54" i="6"/>
  <c r="BC54" i="6" s="1"/>
  <c r="AH55" i="6"/>
  <c r="BC55" i="6" s="1"/>
  <c r="AH56" i="6"/>
  <c r="BC56" i="6" s="1"/>
  <c r="AH57" i="6"/>
  <c r="BC57" i="6" s="1"/>
  <c r="AH58" i="6"/>
  <c r="BC58" i="6" s="1"/>
  <c r="AH59" i="6"/>
  <c r="BC59" i="6" s="1"/>
  <c r="AH60" i="6"/>
  <c r="BC60" i="6" s="1"/>
  <c r="CU56" i="6" l="1"/>
  <c r="CU71" i="6"/>
  <c r="CU89" i="6"/>
  <c r="CW102" i="6"/>
  <c r="CU101" i="6"/>
  <c r="E54" i="5" l="1"/>
  <c r="T20" i="5" l="1"/>
  <c r="D10" i="5" l="1"/>
  <c r="P10" i="5" s="1"/>
  <c r="AK131" i="6" l="1"/>
  <c r="C23" i="5" l="1"/>
  <c r="DN72" i="6" l="1"/>
  <c r="DN73" i="6"/>
  <c r="DN74" i="6"/>
  <c r="DN75" i="6"/>
  <c r="DN76" i="6"/>
  <c r="DN71" i="6"/>
  <c r="DN54" i="6"/>
  <c r="DN55" i="6"/>
  <c r="DN56" i="6"/>
  <c r="DN57" i="6"/>
  <c r="DN58" i="6"/>
  <c r="DN59" i="6"/>
  <c r="DN60" i="6"/>
  <c r="DN53" i="6"/>
  <c r="AM128" i="6"/>
  <c r="AH123" i="6"/>
  <c r="AH118" i="6"/>
  <c r="BC118" i="6" s="1"/>
  <c r="AH113" i="6"/>
  <c r="AH112" i="6"/>
  <c r="AH107" i="6"/>
  <c r="BC107" i="6" s="1"/>
  <c r="AH102" i="6"/>
  <c r="BC102" i="6" s="1"/>
  <c r="AH101" i="6"/>
  <c r="BC101" i="6" s="1"/>
  <c r="AM96" i="6"/>
  <c r="AM95" i="6"/>
  <c r="AM81" i="6"/>
  <c r="AM72" i="6"/>
  <c r="AM73" i="6"/>
  <c r="AM74" i="6"/>
  <c r="AM75" i="6"/>
  <c r="AM76" i="6"/>
  <c r="AM71" i="6"/>
  <c r="EH128" i="6"/>
  <c r="EK128" i="6" s="1"/>
  <c r="EM128" i="6" s="1"/>
  <c r="DT128" i="6"/>
  <c r="DS128" i="6"/>
  <c r="DN128" i="6"/>
  <c r="DR128" i="6" s="1"/>
  <c r="DE128" i="6"/>
  <c r="DD128" i="6"/>
  <c r="DC128" i="6"/>
  <c r="CE128" i="6"/>
  <c r="CG128" i="6" s="1"/>
  <c r="CH128" i="6" s="1"/>
  <c r="CC128" i="6"/>
  <c r="CP128" i="6" s="1"/>
  <c r="EH123" i="6"/>
  <c r="EK123" i="6" s="1"/>
  <c r="EM123" i="6" s="1"/>
  <c r="DT123" i="6"/>
  <c r="DS123" i="6"/>
  <c r="DN123" i="6"/>
  <c r="DR123" i="6" s="1"/>
  <c r="DE123" i="6"/>
  <c r="DD123" i="6"/>
  <c r="DC123" i="6"/>
  <c r="CE123" i="6"/>
  <c r="CG123" i="6" s="1"/>
  <c r="CC123" i="6"/>
  <c r="CP123" i="6" s="1"/>
  <c r="E273" i="5"/>
  <c r="DN118" i="6"/>
  <c r="DR118" i="6" s="1"/>
  <c r="DN113" i="6"/>
  <c r="DR113" i="6" s="1"/>
  <c r="DN112" i="6"/>
  <c r="DR112" i="6" s="1"/>
  <c r="DN107" i="6"/>
  <c r="DR107" i="6" s="1"/>
  <c r="DN102" i="6"/>
  <c r="DR102" i="6" s="1"/>
  <c r="DN101" i="6"/>
  <c r="DR101" i="6" s="1"/>
  <c r="DN96" i="6"/>
  <c r="DR96" i="6" s="1"/>
  <c r="DN95" i="6"/>
  <c r="DR95" i="6" s="1"/>
  <c r="DN90" i="6"/>
  <c r="DR90" i="6" s="1"/>
  <c r="DN89" i="6"/>
  <c r="DR89" i="6" s="1"/>
  <c r="DN88" i="6"/>
  <c r="DR88" i="6" s="1"/>
  <c r="DN87" i="6"/>
  <c r="DR87" i="6" s="1"/>
  <c r="DN86" i="6"/>
  <c r="DR86" i="6" s="1"/>
  <c r="DN81" i="6"/>
  <c r="DD118" i="6"/>
  <c r="DD113" i="6"/>
  <c r="DD107" i="6"/>
  <c r="DD102" i="6"/>
  <c r="DD101" i="6"/>
  <c r="DD96" i="6"/>
  <c r="DD95" i="6"/>
  <c r="DD87" i="6"/>
  <c r="DD88" i="6"/>
  <c r="DD89" i="6"/>
  <c r="DD90" i="6"/>
  <c r="DD86" i="6"/>
  <c r="DD81" i="6"/>
  <c r="DD72" i="6"/>
  <c r="DD73" i="6"/>
  <c r="DD74" i="6"/>
  <c r="DD75" i="6"/>
  <c r="DD76" i="6"/>
  <c r="DD71" i="6"/>
  <c r="DD54" i="6"/>
  <c r="DD55" i="6"/>
  <c r="DD56" i="6"/>
  <c r="DD57" i="6"/>
  <c r="DD58" i="6"/>
  <c r="DD59" i="6"/>
  <c r="DD60" i="6"/>
  <c r="DD53" i="6"/>
  <c r="E156" i="5"/>
  <c r="E151" i="5"/>
  <c r="E150" i="5"/>
  <c r="I145" i="5"/>
  <c r="E145" i="5"/>
  <c r="E153" i="5"/>
  <c r="E147" i="5"/>
  <c r="E142" i="5"/>
  <c r="B160" i="5"/>
  <c r="I140" i="5"/>
  <c r="I139" i="5"/>
  <c r="E139" i="5"/>
  <c r="E136" i="5"/>
  <c r="I134" i="5"/>
  <c r="I133" i="5"/>
  <c r="E133" i="5"/>
  <c r="E130" i="5"/>
  <c r="I125" i="5"/>
  <c r="I126" i="5"/>
  <c r="I127" i="5"/>
  <c r="I128" i="5"/>
  <c r="I124" i="5"/>
  <c r="E126" i="5"/>
  <c r="E127" i="5"/>
  <c r="E124" i="5"/>
  <c r="E121" i="5"/>
  <c r="E98" i="5"/>
  <c r="E95" i="5"/>
  <c r="I89" i="5"/>
  <c r="I90" i="5"/>
  <c r="I91" i="5"/>
  <c r="I92" i="5"/>
  <c r="I93" i="5"/>
  <c r="I88" i="5"/>
  <c r="E90" i="5"/>
  <c r="E92" i="5"/>
  <c r="E88" i="5"/>
  <c r="E85" i="5"/>
  <c r="Q82" i="5"/>
  <c r="M82" i="5"/>
  <c r="I82" i="5"/>
  <c r="E82" i="5"/>
  <c r="E79" i="5"/>
  <c r="I71" i="5"/>
  <c r="I72" i="5"/>
  <c r="I73" i="5"/>
  <c r="I74" i="5"/>
  <c r="I75" i="5"/>
  <c r="I76" i="5"/>
  <c r="I77" i="5"/>
  <c r="I70" i="5"/>
  <c r="E72" i="5"/>
  <c r="E73" i="5"/>
  <c r="E74" i="5"/>
  <c r="E75" i="5"/>
  <c r="E76" i="5"/>
  <c r="E70" i="5"/>
  <c r="E67" i="5"/>
  <c r="EH118" i="6"/>
  <c r="EK118" i="6" s="1"/>
  <c r="EM118" i="6" s="1"/>
  <c r="DT118" i="6"/>
  <c r="DS118" i="6"/>
  <c r="DE118" i="6"/>
  <c r="DC118" i="6"/>
  <c r="CE118" i="6"/>
  <c r="CG118" i="6" s="1"/>
  <c r="CC118" i="6"/>
  <c r="CP118" i="6" s="1"/>
  <c r="EH113" i="6"/>
  <c r="EK113" i="6" s="1"/>
  <c r="EM113" i="6" s="1"/>
  <c r="DT113" i="6"/>
  <c r="DS113" i="6"/>
  <c r="DE113" i="6"/>
  <c r="DC113" i="6"/>
  <c r="CE113" i="6"/>
  <c r="CG113" i="6" s="1"/>
  <c r="CC113" i="6"/>
  <c r="CP113" i="6" s="1"/>
  <c r="DT112" i="6"/>
  <c r="DS112" i="6"/>
  <c r="DE112" i="6"/>
  <c r="DC112" i="6"/>
  <c r="CE112" i="6"/>
  <c r="CG112" i="6" s="1"/>
  <c r="EH107" i="6"/>
  <c r="EK107" i="6" s="1"/>
  <c r="EM107" i="6" s="1"/>
  <c r="DT107" i="6"/>
  <c r="DS107" i="6"/>
  <c r="DE107" i="6"/>
  <c r="DC107" i="6"/>
  <c r="CE107" i="6"/>
  <c r="CG107" i="6" s="1"/>
  <c r="CC107" i="6"/>
  <c r="CP107" i="6" s="1"/>
  <c r="EH102" i="6"/>
  <c r="EK102" i="6" s="1"/>
  <c r="EM102" i="6" s="1"/>
  <c r="DT102" i="6"/>
  <c r="DS102" i="6"/>
  <c r="DE102" i="6"/>
  <c r="DC102" i="6"/>
  <c r="CE102" i="6"/>
  <c r="CG102" i="6" s="1"/>
  <c r="CC102" i="6"/>
  <c r="CP102" i="6" s="1"/>
  <c r="EH101" i="6"/>
  <c r="EK101" i="6" s="1"/>
  <c r="EM101" i="6" s="1"/>
  <c r="DT101" i="6"/>
  <c r="DS101" i="6"/>
  <c r="DE101" i="6"/>
  <c r="DC101" i="6"/>
  <c r="CE101" i="6"/>
  <c r="CG101" i="6" s="1"/>
  <c r="CH101" i="6" s="1"/>
  <c r="CC101" i="6"/>
  <c r="CP101" i="6" s="1"/>
  <c r="EH96" i="6"/>
  <c r="EK96" i="6" s="1"/>
  <c r="EM96" i="6" s="1"/>
  <c r="DT96" i="6"/>
  <c r="DS96" i="6"/>
  <c r="DE96" i="6"/>
  <c r="DC96" i="6"/>
  <c r="CE96" i="6"/>
  <c r="CG96" i="6" s="1"/>
  <c r="CC96" i="6"/>
  <c r="CP96" i="6" s="1"/>
  <c r="EH95" i="6"/>
  <c r="EK95" i="6" s="1"/>
  <c r="EM95" i="6" s="1"/>
  <c r="DT95" i="6"/>
  <c r="DS95" i="6"/>
  <c r="DE95" i="6"/>
  <c r="DC95" i="6"/>
  <c r="CE95" i="6"/>
  <c r="CG95" i="6" s="1"/>
  <c r="CH95" i="6" s="1"/>
  <c r="CC95" i="6"/>
  <c r="CP95" i="6" s="1"/>
  <c r="EH90" i="6"/>
  <c r="EK90" i="6" s="1"/>
  <c r="EM90" i="6" s="1"/>
  <c r="DT90" i="6"/>
  <c r="DS90" i="6"/>
  <c r="DE90" i="6"/>
  <c r="DC90" i="6"/>
  <c r="CE90" i="6"/>
  <c r="CG90" i="6" s="1"/>
  <c r="CC90" i="6"/>
  <c r="CP90" i="6" s="1"/>
  <c r="EH89" i="6"/>
  <c r="EK89" i="6" s="1"/>
  <c r="EM89" i="6" s="1"/>
  <c r="DT89" i="6"/>
  <c r="DS89" i="6"/>
  <c r="DE89" i="6"/>
  <c r="DC89" i="6"/>
  <c r="CE89" i="6"/>
  <c r="CG89" i="6" s="1"/>
  <c r="CH89" i="6" s="1"/>
  <c r="CC89" i="6"/>
  <c r="CP89" i="6" s="1"/>
  <c r="EH88" i="6"/>
  <c r="EK88" i="6" s="1"/>
  <c r="EM88" i="6" s="1"/>
  <c r="DT88" i="6"/>
  <c r="DS88" i="6"/>
  <c r="DE88" i="6"/>
  <c r="DC88" i="6"/>
  <c r="CE88" i="6"/>
  <c r="CG88" i="6" s="1"/>
  <c r="CC88" i="6"/>
  <c r="CP88" i="6" s="1"/>
  <c r="EH87" i="6"/>
  <c r="EK87" i="6" s="1"/>
  <c r="EM87" i="6" s="1"/>
  <c r="DT87" i="6"/>
  <c r="DS87" i="6"/>
  <c r="DE87" i="6"/>
  <c r="DC87" i="6"/>
  <c r="CE87" i="6"/>
  <c r="CG87" i="6" s="1"/>
  <c r="CH87" i="6" s="1"/>
  <c r="CC87" i="6"/>
  <c r="CP87" i="6" s="1"/>
  <c r="EH86" i="6"/>
  <c r="EK86" i="6" s="1"/>
  <c r="EM86" i="6" s="1"/>
  <c r="DT86" i="6"/>
  <c r="DS86" i="6"/>
  <c r="DE86" i="6"/>
  <c r="DC86" i="6"/>
  <c r="CE86" i="6"/>
  <c r="CG86" i="6" s="1"/>
  <c r="CC86" i="6"/>
  <c r="CP86" i="6" s="1"/>
  <c r="BC81" i="6" l="1"/>
  <c r="BC95" i="6"/>
  <c r="BC96" i="6"/>
  <c r="BC76" i="6"/>
  <c r="BC75" i="6"/>
  <c r="BC74" i="6"/>
  <c r="BC73" i="6"/>
  <c r="BC72" i="6"/>
  <c r="BC71" i="6"/>
  <c r="BC123" i="6"/>
  <c r="BM123" i="6" s="1"/>
  <c r="M176" i="5"/>
  <c r="BC128" i="6"/>
  <c r="BH128" i="6" s="1"/>
  <c r="DU128" i="6"/>
  <c r="DW128" i="6" s="1"/>
  <c r="DZ128" i="6" s="1"/>
  <c r="M150" i="5"/>
  <c r="BC112" i="6"/>
  <c r="M98" i="5"/>
  <c r="M151" i="5"/>
  <c r="BC113" i="6"/>
  <c r="M145" i="5"/>
  <c r="AM118" i="6"/>
  <c r="Q156" i="5" s="1"/>
  <c r="AM102" i="6"/>
  <c r="Q140" i="5" s="1"/>
  <c r="AM101" i="6"/>
  <c r="Q139" i="5" s="1"/>
  <c r="AR96" i="6"/>
  <c r="Q134" i="5" s="1"/>
  <c r="AR95" i="6"/>
  <c r="Q133" i="5" s="1"/>
  <c r="M124" i="5"/>
  <c r="AM88" i="6"/>
  <c r="Q126" i="5" s="1"/>
  <c r="AM87" i="6"/>
  <c r="Q125" i="5" s="1"/>
  <c r="AM89" i="6"/>
  <c r="Q127" i="5" s="1"/>
  <c r="AM90" i="6"/>
  <c r="Q128" i="5" s="1"/>
  <c r="M88" i="5"/>
  <c r="AR73" i="6"/>
  <c r="Q90" i="5" s="1"/>
  <c r="AR74" i="6"/>
  <c r="Q91" i="5" s="1"/>
  <c r="AR75" i="6"/>
  <c r="Q92" i="5" s="1"/>
  <c r="AR76" i="6"/>
  <c r="Q93" i="5" s="1"/>
  <c r="AR72" i="6"/>
  <c r="Q89" i="5" s="1"/>
  <c r="AM58" i="6"/>
  <c r="Q75" i="5" s="1"/>
  <c r="AM55" i="6"/>
  <c r="Q72" i="5" s="1"/>
  <c r="AM60" i="6"/>
  <c r="Q77" i="5" s="1"/>
  <c r="AM56" i="6"/>
  <c r="Q73" i="5" s="1"/>
  <c r="AM54" i="6"/>
  <c r="Q71" i="5" s="1"/>
  <c r="AM59" i="6"/>
  <c r="Q76" i="5" s="1"/>
  <c r="M70" i="5"/>
  <c r="AM57" i="6"/>
  <c r="Q74" i="5" s="1"/>
  <c r="DF96" i="6"/>
  <c r="DH96" i="6" s="1"/>
  <c r="DI96" i="6" s="1"/>
  <c r="DU90" i="6"/>
  <c r="DW90" i="6" s="1"/>
  <c r="DZ90" i="6" s="1"/>
  <c r="AR128" i="6"/>
  <c r="Q181" i="5" s="1"/>
  <c r="DU89" i="6"/>
  <c r="DW89" i="6" s="1"/>
  <c r="DX89" i="6" s="1"/>
  <c r="AM123" i="6"/>
  <c r="Q176" i="5" s="1"/>
  <c r="DF101" i="6"/>
  <c r="DH101" i="6" s="1"/>
  <c r="DI101" i="6" s="1"/>
  <c r="DF102" i="6"/>
  <c r="DH102" i="6" s="1"/>
  <c r="DI102" i="6" s="1"/>
  <c r="DF113" i="6"/>
  <c r="DH113" i="6" s="1"/>
  <c r="DI113" i="6" s="1"/>
  <c r="DF118" i="6"/>
  <c r="DH118" i="6" s="1"/>
  <c r="DI118" i="6" s="1"/>
  <c r="DU88" i="6"/>
  <c r="DW88" i="6" s="1"/>
  <c r="DX88" i="6" s="1"/>
  <c r="DU96" i="6"/>
  <c r="DW96" i="6" s="1"/>
  <c r="DX96" i="6" s="1"/>
  <c r="DU112" i="6"/>
  <c r="DW112" i="6" s="1"/>
  <c r="DZ112" i="6" s="1"/>
  <c r="DF123" i="6"/>
  <c r="DH123" i="6" s="1"/>
  <c r="DK123" i="6" s="1"/>
  <c r="DU123" i="6"/>
  <c r="DW123" i="6" s="1"/>
  <c r="DZ123" i="6" s="1"/>
  <c r="DU86" i="6"/>
  <c r="DW86" i="6" s="1"/>
  <c r="DX86" i="6" s="1"/>
  <c r="DF89" i="6"/>
  <c r="DH89" i="6" s="1"/>
  <c r="DI89" i="6" s="1"/>
  <c r="DF90" i="6"/>
  <c r="DH90" i="6" s="1"/>
  <c r="DI90" i="6" s="1"/>
  <c r="DF95" i="6"/>
  <c r="DH95" i="6" s="1"/>
  <c r="DI95" i="6" s="1"/>
  <c r="DF128" i="6"/>
  <c r="DH128" i="6" s="1"/>
  <c r="DI128" i="6" s="1"/>
  <c r="DU87" i="6"/>
  <c r="DW87" i="6" s="1"/>
  <c r="DX87" i="6" s="1"/>
  <c r="DU95" i="6"/>
  <c r="DW95" i="6" s="1"/>
  <c r="DZ95" i="6" s="1"/>
  <c r="DF107" i="6"/>
  <c r="DH107" i="6" s="1"/>
  <c r="DI107" i="6" s="1"/>
  <c r="DU101" i="6"/>
  <c r="DW101" i="6" s="1"/>
  <c r="DX101" i="6" s="1"/>
  <c r="DF112" i="6"/>
  <c r="DH112" i="6" s="1"/>
  <c r="DK112" i="6" s="1"/>
  <c r="DU113" i="6"/>
  <c r="DW113" i="6" s="1"/>
  <c r="DZ113" i="6" s="1"/>
  <c r="DU102" i="6"/>
  <c r="DW102" i="6" s="1"/>
  <c r="DX102" i="6" s="1"/>
  <c r="DU118" i="6"/>
  <c r="DW118" i="6" s="1"/>
  <c r="DX118" i="6" s="1"/>
  <c r="DU107" i="6"/>
  <c r="DW107" i="6" s="1"/>
  <c r="DZ107" i="6" s="1"/>
  <c r="M140" i="5"/>
  <c r="M156" i="5"/>
  <c r="AM112" i="6"/>
  <c r="Q150" i="5" s="1"/>
  <c r="AM113" i="6"/>
  <c r="Q151" i="5" s="1"/>
  <c r="AM107" i="6"/>
  <c r="Q145" i="5" s="1"/>
  <c r="M139" i="5"/>
  <c r="M133" i="5"/>
  <c r="M134" i="5"/>
  <c r="AM86" i="6"/>
  <c r="Q124" i="5" s="1"/>
  <c r="M125" i="5"/>
  <c r="M128" i="5"/>
  <c r="M126" i="5"/>
  <c r="M127" i="5"/>
  <c r="AR81" i="6"/>
  <c r="Q98" i="5" s="1"/>
  <c r="M89" i="5"/>
  <c r="AR71" i="6"/>
  <c r="Q88" i="5" s="1"/>
  <c r="M90" i="5"/>
  <c r="M91" i="5"/>
  <c r="M92" i="5"/>
  <c r="M93" i="5"/>
  <c r="AM53" i="6"/>
  <c r="Q70" i="5" s="1"/>
  <c r="M73" i="5"/>
  <c r="M74" i="5"/>
  <c r="M76" i="5"/>
  <c r="M77" i="5"/>
  <c r="M75" i="5"/>
  <c r="M72" i="5"/>
  <c r="M71" i="5"/>
  <c r="CJ128" i="6"/>
  <c r="CH123" i="6"/>
  <c r="CJ123" i="6"/>
  <c r="DF86" i="6"/>
  <c r="DH86" i="6" s="1"/>
  <c r="DI86" i="6" s="1"/>
  <c r="DF87" i="6"/>
  <c r="DH87" i="6" s="1"/>
  <c r="DK87" i="6" s="1"/>
  <c r="DF88" i="6"/>
  <c r="DH88" i="6" s="1"/>
  <c r="DI88" i="6" s="1"/>
  <c r="CJ118" i="6"/>
  <c r="CH118" i="6"/>
  <c r="CJ113" i="6"/>
  <c r="CH113" i="6"/>
  <c r="CJ112" i="6"/>
  <c r="CH112" i="6"/>
  <c r="CJ107" i="6"/>
  <c r="CH107" i="6"/>
  <c r="CJ102" i="6"/>
  <c r="CH102" i="6"/>
  <c r="CJ101" i="6"/>
  <c r="CJ96" i="6"/>
  <c r="CH96" i="6"/>
  <c r="CJ95" i="6"/>
  <c r="CJ88" i="6"/>
  <c r="CH88" i="6"/>
  <c r="CJ90" i="6"/>
  <c r="CH90" i="6"/>
  <c r="CJ87" i="6"/>
  <c r="CJ89" i="6"/>
  <c r="CJ86" i="6"/>
  <c r="CH86" i="6"/>
  <c r="EH81" i="6"/>
  <c r="EK81" i="6" s="1"/>
  <c r="EM81" i="6" s="1"/>
  <c r="DT81" i="6"/>
  <c r="DS81" i="6"/>
  <c r="DR81" i="6"/>
  <c r="DE81" i="6"/>
  <c r="DC81" i="6"/>
  <c r="CE81" i="6"/>
  <c r="CG81" i="6" s="1"/>
  <c r="CC81" i="6"/>
  <c r="CP81" i="6" s="1"/>
  <c r="EH76" i="6"/>
  <c r="EK76" i="6" s="1"/>
  <c r="EM76" i="6" s="1"/>
  <c r="DT76" i="6"/>
  <c r="DS76" i="6"/>
  <c r="DR76" i="6"/>
  <c r="DE76" i="6"/>
  <c r="DC76" i="6"/>
  <c r="CE76" i="6"/>
  <c r="CG76" i="6" s="1"/>
  <c r="CC76" i="6"/>
  <c r="CP76" i="6" s="1"/>
  <c r="EH75" i="6"/>
  <c r="EK75" i="6" s="1"/>
  <c r="EM75" i="6" s="1"/>
  <c r="DT75" i="6"/>
  <c r="DS75" i="6"/>
  <c r="DR75" i="6"/>
  <c r="DE75" i="6"/>
  <c r="DC75" i="6"/>
  <c r="CE75" i="6"/>
  <c r="CG75" i="6" s="1"/>
  <c r="CH75" i="6" s="1"/>
  <c r="CC75" i="6"/>
  <c r="CP75" i="6" s="1"/>
  <c r="EH74" i="6"/>
  <c r="EK74" i="6" s="1"/>
  <c r="EM74" i="6" s="1"/>
  <c r="DT74" i="6"/>
  <c r="DS74" i="6"/>
  <c r="DR74" i="6"/>
  <c r="DE74" i="6"/>
  <c r="DC74" i="6"/>
  <c r="CE74" i="6"/>
  <c r="CG74" i="6" s="1"/>
  <c r="CC74" i="6"/>
  <c r="CP74" i="6" s="1"/>
  <c r="EH73" i="6"/>
  <c r="EK73" i="6" s="1"/>
  <c r="EM73" i="6" s="1"/>
  <c r="DT73" i="6"/>
  <c r="DS73" i="6"/>
  <c r="DR73" i="6"/>
  <c r="DE73" i="6"/>
  <c r="DC73" i="6"/>
  <c r="CE73" i="6"/>
  <c r="CG73" i="6" s="1"/>
  <c r="CH73" i="6" s="1"/>
  <c r="CC73" i="6"/>
  <c r="CP73" i="6" s="1"/>
  <c r="EH72" i="6"/>
  <c r="EK72" i="6" s="1"/>
  <c r="EM72" i="6" s="1"/>
  <c r="DT72" i="6"/>
  <c r="DS72" i="6"/>
  <c r="DR72" i="6"/>
  <c r="DE72" i="6"/>
  <c r="DC72" i="6"/>
  <c r="CE72" i="6"/>
  <c r="CG72" i="6" s="1"/>
  <c r="CC72" i="6"/>
  <c r="CP72" i="6" s="1"/>
  <c r="EH71" i="6"/>
  <c r="EK71" i="6" s="1"/>
  <c r="EM71" i="6" s="1"/>
  <c r="DT71" i="6"/>
  <c r="DS71" i="6"/>
  <c r="DR71" i="6"/>
  <c r="DE71" i="6"/>
  <c r="DC71" i="6"/>
  <c r="CE71" i="6"/>
  <c r="CG71" i="6" s="1"/>
  <c r="CC71" i="6"/>
  <c r="CP71" i="6" s="1"/>
  <c r="BM128" i="6" l="1"/>
  <c r="BH123" i="6"/>
  <c r="DX128" i="6"/>
  <c r="EB128" i="6" s="1"/>
  <c r="ED128" i="6" s="1"/>
  <c r="DK101" i="6"/>
  <c r="DK107" i="6"/>
  <c r="EC107" i="6" s="1"/>
  <c r="DK89" i="6"/>
  <c r="DK102" i="6"/>
  <c r="DK96" i="6"/>
  <c r="DK88" i="6"/>
  <c r="DZ89" i="6"/>
  <c r="BM113" i="6"/>
  <c r="BH113" i="6"/>
  <c r="BH112" i="6"/>
  <c r="BM112" i="6"/>
  <c r="DX107" i="6"/>
  <c r="EB107" i="6" s="1"/>
  <c r="ED107" i="6" s="1"/>
  <c r="DK128" i="6"/>
  <c r="EC128" i="6" s="1"/>
  <c r="BH107" i="6"/>
  <c r="BM107" i="6"/>
  <c r="BM81" i="6"/>
  <c r="BH81" i="6"/>
  <c r="DK113" i="6"/>
  <c r="EC113" i="6" s="1"/>
  <c r="BH118" i="6"/>
  <c r="BM118" i="6"/>
  <c r="BM102" i="6"/>
  <c r="BH102" i="6"/>
  <c r="BH101" i="6"/>
  <c r="BM101" i="6"/>
  <c r="BH96" i="6"/>
  <c r="BM96" i="6"/>
  <c r="BH95" i="6"/>
  <c r="BM95" i="6"/>
  <c r="BM90" i="6"/>
  <c r="BH90" i="6"/>
  <c r="BH87" i="6"/>
  <c r="BM87" i="6"/>
  <c r="BH86" i="6"/>
  <c r="BM86" i="6"/>
  <c r="BH89" i="6"/>
  <c r="BM89" i="6"/>
  <c r="BH88" i="6"/>
  <c r="BM88" i="6"/>
  <c r="BM72" i="6"/>
  <c r="BH72" i="6"/>
  <c r="BM75" i="6"/>
  <c r="BH75" i="6"/>
  <c r="BH73" i="6"/>
  <c r="BM73" i="6"/>
  <c r="BM76" i="6"/>
  <c r="BH76" i="6"/>
  <c r="BH74" i="6"/>
  <c r="BM74" i="6"/>
  <c r="BH71" i="6"/>
  <c r="BM71" i="6"/>
  <c r="BH60" i="6"/>
  <c r="BM60" i="6"/>
  <c r="BH53" i="6"/>
  <c r="BM53" i="6"/>
  <c r="BH54" i="6"/>
  <c r="BM54" i="6"/>
  <c r="BH58" i="6"/>
  <c r="BM58" i="6"/>
  <c r="BH57" i="6"/>
  <c r="BM57" i="6"/>
  <c r="BM59" i="6"/>
  <c r="BH59" i="6"/>
  <c r="BH56" i="6"/>
  <c r="BM56" i="6"/>
  <c r="BM55" i="6"/>
  <c r="BH55" i="6"/>
  <c r="DZ86" i="6"/>
  <c r="DZ96" i="6"/>
  <c r="DX112" i="6"/>
  <c r="DK90" i="6"/>
  <c r="EC90" i="6" s="1"/>
  <c r="DK118" i="6"/>
  <c r="DK95" i="6"/>
  <c r="EC95" i="6" s="1"/>
  <c r="DI112" i="6"/>
  <c r="DI123" i="6"/>
  <c r="DK86" i="6"/>
  <c r="DX90" i="6"/>
  <c r="EB90" i="6" s="1"/>
  <c r="ED90" i="6" s="1"/>
  <c r="EB101" i="6"/>
  <c r="ED101" i="6" s="1"/>
  <c r="DZ88" i="6"/>
  <c r="DZ101" i="6"/>
  <c r="DX123" i="6"/>
  <c r="DX113" i="6"/>
  <c r="EB113" i="6" s="1"/>
  <c r="ED113" i="6" s="1"/>
  <c r="DZ102" i="6"/>
  <c r="EC102" i="6" s="1"/>
  <c r="DX95" i="6"/>
  <c r="EB95" i="6" s="1"/>
  <c r="ED95" i="6" s="1"/>
  <c r="DZ87" i="6"/>
  <c r="EC87" i="6" s="1"/>
  <c r="DZ118" i="6"/>
  <c r="EB118" i="6"/>
  <c r="ED118" i="6" s="1"/>
  <c r="DU71" i="6"/>
  <c r="DW71" i="6" s="1"/>
  <c r="DX71" i="6" s="1"/>
  <c r="DU72" i="6"/>
  <c r="DW72" i="6" s="1"/>
  <c r="DX72" i="6" s="1"/>
  <c r="DU73" i="6"/>
  <c r="DW73" i="6" s="1"/>
  <c r="DZ73" i="6" s="1"/>
  <c r="DU74" i="6"/>
  <c r="DW74" i="6" s="1"/>
  <c r="DX74" i="6" s="1"/>
  <c r="DU75" i="6"/>
  <c r="DW75" i="6" s="1"/>
  <c r="DZ75" i="6" s="1"/>
  <c r="DU76" i="6"/>
  <c r="DW76" i="6" s="1"/>
  <c r="DX76" i="6" s="1"/>
  <c r="DU81" i="6"/>
  <c r="DW81" i="6" s="1"/>
  <c r="DX81" i="6" s="1"/>
  <c r="EB86" i="6"/>
  <c r="ED86" i="6" s="1"/>
  <c r="DI87" i="6"/>
  <c r="EB87" i="6" s="1"/>
  <c r="ED87" i="6" s="1"/>
  <c r="EB96" i="6"/>
  <c r="ED96" i="6" s="1"/>
  <c r="EC112" i="6"/>
  <c r="EB89" i="6"/>
  <c r="ED89" i="6" s="1"/>
  <c r="EB102" i="6"/>
  <c r="ED102" i="6" s="1"/>
  <c r="EB88" i="6"/>
  <c r="ED88" i="6" s="1"/>
  <c r="DF71" i="6"/>
  <c r="DH71" i="6" s="1"/>
  <c r="DI71" i="6" s="1"/>
  <c r="DF72" i="6"/>
  <c r="DH72" i="6" s="1"/>
  <c r="DK72" i="6" s="1"/>
  <c r="DF73" i="6"/>
  <c r="DH73" i="6" s="1"/>
  <c r="DK73" i="6" s="1"/>
  <c r="DF75" i="6"/>
  <c r="DH75" i="6" s="1"/>
  <c r="DI75" i="6" s="1"/>
  <c r="DF76" i="6"/>
  <c r="DH76" i="6" s="1"/>
  <c r="DI76" i="6" s="1"/>
  <c r="DF81" i="6"/>
  <c r="DH81" i="6" s="1"/>
  <c r="DK81" i="6" s="1"/>
  <c r="EC123" i="6"/>
  <c r="DF74" i="6"/>
  <c r="DH74" i="6" s="1"/>
  <c r="DI74" i="6" s="1"/>
  <c r="CJ81" i="6"/>
  <c r="CH81" i="6"/>
  <c r="CJ72" i="6"/>
  <c r="CH72" i="6"/>
  <c r="CJ74" i="6"/>
  <c r="CH74" i="6"/>
  <c r="CJ76" i="6"/>
  <c r="CH76" i="6"/>
  <c r="CJ73" i="6"/>
  <c r="CJ75" i="6"/>
  <c r="CJ71" i="6"/>
  <c r="CH71" i="6"/>
  <c r="BR128" i="6" l="1"/>
  <c r="BR71" i="6"/>
  <c r="BR81" i="6"/>
  <c r="BR86" i="6"/>
  <c r="BR95" i="6"/>
  <c r="BR96" i="6"/>
  <c r="BR76" i="6"/>
  <c r="BR75" i="6"/>
  <c r="BR74" i="6"/>
  <c r="BR73" i="6"/>
  <c r="BR72" i="6"/>
  <c r="BR123" i="6"/>
  <c r="EC101" i="6"/>
  <c r="EE101" i="6" s="1"/>
  <c r="EF101" i="6" s="1"/>
  <c r="BR56" i="6"/>
  <c r="BR57" i="6"/>
  <c r="BR54" i="6"/>
  <c r="BR60" i="6"/>
  <c r="BR89" i="6"/>
  <c r="BR87" i="6"/>
  <c r="BR101" i="6"/>
  <c r="BR118" i="6"/>
  <c r="BR55" i="6"/>
  <c r="BR59" i="6"/>
  <c r="BR90" i="6"/>
  <c r="BR102" i="6"/>
  <c r="BR107" i="6"/>
  <c r="BR112" i="6"/>
  <c r="BR58" i="6"/>
  <c r="BR88" i="6"/>
  <c r="BR113" i="6"/>
  <c r="EC89" i="6"/>
  <c r="EE89" i="6" s="1"/>
  <c r="EF89" i="6" s="1"/>
  <c r="EG89" i="6" s="1"/>
  <c r="EL89" i="6" s="1"/>
  <c r="U127" i="5" s="1"/>
  <c r="DK71" i="6"/>
  <c r="DK76" i="6"/>
  <c r="EC88" i="6"/>
  <c r="EE88" i="6" s="1"/>
  <c r="EF88" i="6" s="1"/>
  <c r="DI81" i="6"/>
  <c r="EB81" i="6" s="1"/>
  <c r="ED81" i="6" s="1"/>
  <c r="EC96" i="6"/>
  <c r="EE96" i="6" s="1"/>
  <c r="EF96" i="6" s="1"/>
  <c r="EC86" i="6"/>
  <c r="EE86" i="6" s="1"/>
  <c r="EF86" i="6" s="1"/>
  <c r="EG86" i="6" s="1"/>
  <c r="EL86" i="6" s="1"/>
  <c r="U124" i="5" s="1"/>
  <c r="EC118" i="6"/>
  <c r="EE118" i="6" s="1"/>
  <c r="EF118" i="6" s="1"/>
  <c r="EG118" i="6" s="1"/>
  <c r="EL118" i="6" s="1"/>
  <c r="U156" i="5" s="1"/>
  <c r="EB112" i="6"/>
  <c r="ED112" i="6" s="1"/>
  <c r="EE112" i="6" s="1"/>
  <c r="EF112" i="6" s="1"/>
  <c r="DZ81" i="6"/>
  <c r="EC81" i="6" s="1"/>
  <c r="DK75" i="6"/>
  <c r="EC75" i="6" s="1"/>
  <c r="EB123" i="6"/>
  <c r="ED123" i="6" s="1"/>
  <c r="EE123" i="6" s="1"/>
  <c r="EF123" i="6" s="1"/>
  <c r="EG123" i="6" s="1"/>
  <c r="EL123" i="6" s="1"/>
  <c r="U176" i="5" s="1"/>
  <c r="DI73" i="6"/>
  <c r="DZ76" i="6"/>
  <c r="DX75" i="6"/>
  <c r="EB75" i="6" s="1"/>
  <c r="ED75" i="6" s="1"/>
  <c r="DZ71" i="6"/>
  <c r="DZ72" i="6"/>
  <c r="EC72" i="6" s="1"/>
  <c r="DZ74" i="6"/>
  <c r="DI72" i="6"/>
  <c r="EB72" i="6" s="1"/>
  <c r="ED72" i="6" s="1"/>
  <c r="DX73" i="6"/>
  <c r="EE128" i="6"/>
  <c r="EF128" i="6" s="1"/>
  <c r="EG128" i="6" s="1"/>
  <c r="EL128" i="6" s="1"/>
  <c r="U181" i="5" s="1"/>
  <c r="EB71" i="6"/>
  <c r="ED71" i="6" s="1"/>
  <c r="EB74" i="6"/>
  <c r="ED74" i="6" s="1"/>
  <c r="DK74" i="6"/>
  <c r="EE87" i="6"/>
  <c r="EF87" i="6" s="1"/>
  <c r="EG87" i="6" s="1"/>
  <c r="EL87" i="6" s="1"/>
  <c r="U125" i="5" s="1"/>
  <c r="EB76" i="6"/>
  <c r="ED76" i="6" s="1"/>
  <c r="EC73" i="6"/>
  <c r="EE95" i="6"/>
  <c r="EF95" i="6" s="1"/>
  <c r="EG95" i="6" s="1"/>
  <c r="EL95" i="6" s="1"/>
  <c r="U133" i="5" s="1"/>
  <c r="EE113" i="6"/>
  <c r="EF113" i="6" s="1"/>
  <c r="EG113" i="6" s="1"/>
  <c r="EL113" i="6" s="1"/>
  <c r="U151" i="5" s="1"/>
  <c r="EE107" i="6"/>
  <c r="EF107" i="6" s="1"/>
  <c r="EG107" i="6" s="1"/>
  <c r="EL107" i="6" s="1"/>
  <c r="U145" i="5" s="1"/>
  <c r="EE102" i="6"/>
  <c r="EF102" i="6" s="1"/>
  <c r="EG102" i="6" s="1"/>
  <c r="EL102" i="6" s="1"/>
  <c r="U140" i="5" s="1"/>
  <c r="EE90" i="6"/>
  <c r="EF90" i="6" s="1"/>
  <c r="EG90" i="6" s="1"/>
  <c r="EL90" i="6" s="1"/>
  <c r="U128" i="5" s="1"/>
  <c r="EC71" i="6" l="1"/>
  <c r="EE71" i="6" s="1"/>
  <c r="EF71" i="6" s="1"/>
  <c r="EG71" i="6" s="1"/>
  <c r="EL71" i="6" s="1"/>
  <c r="U88" i="5" s="1"/>
  <c r="EC76" i="6"/>
  <c r="EE76" i="6" s="1"/>
  <c r="EF76" i="6" s="1"/>
  <c r="EB73" i="6"/>
  <c r="ED73" i="6" s="1"/>
  <c r="EE73" i="6" s="1"/>
  <c r="EF73" i="6" s="1"/>
  <c r="EG73" i="6" s="1"/>
  <c r="EL73" i="6" s="1"/>
  <c r="U90" i="5" s="1"/>
  <c r="EC74" i="6"/>
  <c r="EE74" i="6" s="1"/>
  <c r="EF74" i="6" s="1"/>
  <c r="EG74" i="6" s="1"/>
  <c r="EL74" i="6" s="1"/>
  <c r="U91" i="5" s="1"/>
  <c r="EG101" i="6"/>
  <c r="EL101" i="6" s="1"/>
  <c r="U139" i="5" s="1"/>
  <c r="EG96" i="6"/>
  <c r="EL96" i="6" s="1"/>
  <c r="U134" i="5" s="1"/>
  <c r="EG88" i="6"/>
  <c r="EL88" i="6" s="1"/>
  <c r="U126" i="5" s="1"/>
  <c r="EE75" i="6"/>
  <c r="EF75" i="6" s="1"/>
  <c r="EE81" i="6"/>
  <c r="EF81" i="6" s="1"/>
  <c r="EG81" i="6" s="1"/>
  <c r="EL81" i="6" s="1"/>
  <c r="U98" i="5" s="1"/>
  <c r="EE72" i="6"/>
  <c r="EF72" i="6" s="1"/>
  <c r="EG72" i="6" s="1"/>
  <c r="EL72" i="6" s="1"/>
  <c r="U89" i="5" s="1"/>
  <c r="EG76" i="6" l="1"/>
  <c r="EL76" i="6" s="1"/>
  <c r="U93" i="5" s="1"/>
  <c r="EG75" i="6"/>
  <c r="EL75" i="6" s="1"/>
  <c r="U92" i="5" s="1"/>
  <c r="EH54" i="6"/>
  <c r="EK54" i="6" s="1"/>
  <c r="EM54" i="6" s="1"/>
  <c r="EH55" i="6"/>
  <c r="EK55" i="6" s="1"/>
  <c r="EM55" i="6" s="1"/>
  <c r="EH56" i="6"/>
  <c r="EK56" i="6" s="1"/>
  <c r="EM56" i="6" s="1"/>
  <c r="EH57" i="6"/>
  <c r="EK57" i="6" s="1"/>
  <c r="EM57" i="6" s="1"/>
  <c r="EH58" i="6"/>
  <c r="EK58" i="6" s="1"/>
  <c r="EM58" i="6" s="1"/>
  <c r="EH59" i="6"/>
  <c r="EK59" i="6" s="1"/>
  <c r="EM59" i="6" s="1"/>
  <c r="EH60" i="6"/>
  <c r="EK60" i="6" s="1"/>
  <c r="EM60" i="6" s="1"/>
  <c r="EH53" i="6"/>
  <c r="EK53" i="6" s="1"/>
  <c r="EM53" i="6" s="1"/>
  <c r="B108" i="5"/>
  <c r="AI66" i="6"/>
  <c r="AI65" i="6"/>
  <c r="U82" i="5" s="1"/>
  <c r="D42" i="5" l="1"/>
  <c r="DE60" i="6"/>
  <c r="DC60" i="6"/>
  <c r="DE59" i="6"/>
  <c r="DC59" i="6"/>
  <c r="DE58" i="6"/>
  <c r="DC58" i="6"/>
  <c r="DE57" i="6"/>
  <c r="DC57" i="6"/>
  <c r="DE56" i="6"/>
  <c r="DC56" i="6"/>
  <c r="DE55" i="6"/>
  <c r="DC55" i="6"/>
  <c r="DE54" i="6"/>
  <c r="DC54" i="6"/>
  <c r="DE53" i="6"/>
  <c r="DC53" i="6"/>
  <c r="DF53" i="6" l="1"/>
  <c r="DH53" i="6" s="1"/>
  <c r="DK53" i="6" s="1"/>
  <c r="DF54" i="6"/>
  <c r="DH54" i="6" s="1"/>
  <c r="DK54" i="6" s="1"/>
  <c r="DF55" i="6"/>
  <c r="DH55" i="6" s="1"/>
  <c r="DK55" i="6" s="1"/>
  <c r="DF56" i="6"/>
  <c r="DH56" i="6" s="1"/>
  <c r="DK56" i="6" s="1"/>
  <c r="DF57" i="6"/>
  <c r="DH57" i="6" s="1"/>
  <c r="DK57" i="6" s="1"/>
  <c r="DF58" i="6"/>
  <c r="DH58" i="6" s="1"/>
  <c r="DK58" i="6" s="1"/>
  <c r="DF59" i="6"/>
  <c r="DH59" i="6" s="1"/>
  <c r="DK59" i="6" s="1"/>
  <c r="DF60" i="6"/>
  <c r="DH60" i="6" s="1"/>
  <c r="DK60" i="6" s="1"/>
  <c r="DI55" i="6" l="1"/>
  <c r="DI60" i="6"/>
  <c r="DI53" i="6"/>
  <c r="DI58" i="6"/>
  <c r="DI57" i="6"/>
  <c r="DI59" i="6"/>
  <c r="DI54" i="6"/>
  <c r="DI56" i="6"/>
  <c r="DR54" i="6"/>
  <c r="DR55" i="6"/>
  <c r="DR56" i="6"/>
  <c r="DR57" i="6"/>
  <c r="DR58" i="6"/>
  <c r="DR59" i="6"/>
  <c r="DR60" i="6"/>
  <c r="DR53" i="6"/>
  <c r="DS54" i="6"/>
  <c r="DS55" i="6"/>
  <c r="DS56" i="6"/>
  <c r="DS57" i="6"/>
  <c r="DS58" i="6"/>
  <c r="DS59" i="6"/>
  <c r="DS60" i="6"/>
  <c r="DS53" i="6"/>
  <c r="CC54" i="6"/>
  <c r="CP54" i="6" s="1"/>
  <c r="CC55" i="6"/>
  <c r="CP55" i="6" s="1"/>
  <c r="CC56" i="6"/>
  <c r="CP56" i="6" s="1"/>
  <c r="CC57" i="6"/>
  <c r="CP57" i="6" s="1"/>
  <c r="CC58" i="6"/>
  <c r="CP58" i="6" s="1"/>
  <c r="CC59" i="6"/>
  <c r="CP59" i="6" s="1"/>
  <c r="CC60" i="6"/>
  <c r="CP60" i="6" s="1"/>
  <c r="CC53" i="6"/>
  <c r="CP53" i="6" s="1"/>
  <c r="BR53" i="6"/>
  <c r="DT60" i="6"/>
  <c r="CE60" i="6"/>
  <c r="CG60" i="6" s="1"/>
  <c r="CJ60" i="6" s="1"/>
  <c r="DT59" i="6"/>
  <c r="CE59" i="6"/>
  <c r="CG59" i="6" s="1"/>
  <c r="CJ59" i="6" s="1"/>
  <c r="DT58" i="6"/>
  <c r="CE58" i="6"/>
  <c r="CG58" i="6" s="1"/>
  <c r="CJ58" i="6" s="1"/>
  <c r="DT57" i="6"/>
  <c r="CE57" i="6"/>
  <c r="CG57" i="6" s="1"/>
  <c r="CJ57" i="6" s="1"/>
  <c r="DT56" i="6"/>
  <c r="CE56" i="6"/>
  <c r="CG56" i="6" s="1"/>
  <c r="CJ56" i="6" s="1"/>
  <c r="DT55" i="6"/>
  <c r="CE55" i="6"/>
  <c r="CG55" i="6" s="1"/>
  <c r="CJ55" i="6" s="1"/>
  <c r="DT54" i="6"/>
  <c r="CE54" i="6"/>
  <c r="CG54" i="6" s="1"/>
  <c r="CJ54" i="6" s="1"/>
  <c r="DT53" i="6"/>
  <c r="CE53" i="6"/>
  <c r="CG53" i="6" s="1"/>
  <c r="CJ53" i="6" s="1"/>
  <c r="V42" i="5"/>
  <c r="O42" i="5"/>
  <c r="K42" i="5"/>
  <c r="T19" i="5"/>
  <c r="T18" i="5"/>
  <c r="T17" i="5"/>
  <c r="T16" i="5"/>
  <c r="T15" i="5"/>
  <c r="H19" i="5"/>
  <c r="H18" i="5"/>
  <c r="H17" i="5"/>
  <c r="H16" i="5"/>
  <c r="H15" i="5"/>
  <c r="D11" i="5"/>
  <c r="DU59" i="6" l="1"/>
  <c r="DW59" i="6" s="1"/>
  <c r="DZ59" i="6" s="1"/>
  <c r="EC59" i="6" s="1"/>
  <c r="DU55" i="6"/>
  <c r="DW55" i="6" s="1"/>
  <c r="DX55" i="6" s="1"/>
  <c r="DU53" i="6"/>
  <c r="DW53" i="6" s="1"/>
  <c r="DX53" i="6" s="1"/>
  <c r="DU57" i="6"/>
  <c r="DW57" i="6" s="1"/>
  <c r="DX57" i="6" s="1"/>
  <c r="DU54" i="6"/>
  <c r="DW54" i="6" s="1"/>
  <c r="DZ54" i="6" s="1"/>
  <c r="EC54" i="6" s="1"/>
  <c r="DU56" i="6"/>
  <c r="DW56" i="6" s="1"/>
  <c r="DZ56" i="6" s="1"/>
  <c r="EC56" i="6" s="1"/>
  <c r="DU58" i="6"/>
  <c r="DW58" i="6" s="1"/>
  <c r="DZ58" i="6" s="1"/>
  <c r="EC58" i="6" s="1"/>
  <c r="DU60" i="6"/>
  <c r="DW60" i="6" s="1"/>
  <c r="DZ60" i="6" s="1"/>
  <c r="EC60" i="6" s="1"/>
  <c r="CH53" i="6"/>
  <c r="CH54" i="6"/>
  <c r="CH55" i="6"/>
  <c r="CH56" i="6"/>
  <c r="CH57" i="6"/>
  <c r="CH58" i="6"/>
  <c r="CH59" i="6"/>
  <c r="CH60" i="6"/>
  <c r="EB57" i="6" l="1"/>
  <c r="ED57" i="6" s="1"/>
  <c r="EB55" i="6"/>
  <c r="ED55" i="6" s="1"/>
  <c r="EB53" i="6"/>
  <c r="ED53" i="6" s="1"/>
  <c r="DX59" i="6"/>
  <c r="EB59" i="6" s="1"/>
  <c r="ED59" i="6" s="1"/>
  <c r="DZ55" i="6"/>
  <c r="EC55" i="6" s="1"/>
  <c r="DZ57" i="6"/>
  <c r="EC57" i="6" s="1"/>
  <c r="DX60" i="6"/>
  <c r="DX56" i="6"/>
  <c r="DX54" i="6"/>
  <c r="EB54" i="6" s="1"/>
  <c r="DZ53" i="6"/>
  <c r="EC53" i="6" s="1"/>
  <c r="DX58" i="6"/>
  <c r="EB58" i="6" l="1"/>
  <c r="ED58" i="6" s="1"/>
  <c r="EB56" i="6"/>
  <c r="ED56" i="6" s="1"/>
  <c r="EB60" i="6"/>
  <c r="ED60" i="6" s="1"/>
  <c r="ED54" i="6"/>
  <c r="EE57" i="6"/>
  <c r="EF57" i="6" s="1"/>
  <c r="EG57" i="6" s="1"/>
  <c r="EL57" i="6" s="1"/>
  <c r="U74" i="5" s="1"/>
  <c r="EE55" i="6"/>
  <c r="EF55" i="6" s="1"/>
  <c r="EG55" i="6" s="1"/>
  <c r="EL55" i="6" s="1"/>
  <c r="U72" i="5" s="1"/>
  <c r="EE59" i="6"/>
  <c r="EF59" i="6" s="1"/>
  <c r="EG59" i="6" s="1"/>
  <c r="EL59" i="6" s="1"/>
  <c r="U76" i="5" s="1"/>
  <c r="EE53" i="6"/>
  <c r="EF53" i="6" s="1"/>
  <c r="EG53" i="6" s="1"/>
  <c r="EL53" i="6" s="1"/>
  <c r="U70" i="5" s="1"/>
  <c r="EE60" i="6" l="1"/>
  <c r="EF60" i="6" s="1"/>
  <c r="EG60" i="6" s="1"/>
  <c r="EL60" i="6" s="1"/>
  <c r="U77" i="5" s="1"/>
  <c r="EE58" i="6"/>
  <c r="EF58" i="6" s="1"/>
  <c r="EG58" i="6" s="1"/>
  <c r="EL58" i="6" s="1"/>
  <c r="U75" i="5" s="1"/>
  <c r="EE54" i="6"/>
  <c r="EF54" i="6" s="1"/>
  <c r="EG54" i="6" s="1"/>
  <c r="EL54" i="6" s="1"/>
  <c r="U71" i="5" s="1"/>
  <c r="EE56" i="6"/>
  <c r="EF56" i="6" s="1"/>
  <c r="EG56" i="6" s="1"/>
  <c r="EL56" i="6" s="1"/>
  <c r="U73" i="5" s="1"/>
</calcChain>
</file>

<file path=xl/sharedStrings.xml><?xml version="1.0" encoding="utf-8"?>
<sst xmlns="http://schemas.openxmlformats.org/spreadsheetml/2006/main" count="1583" uniqueCount="199">
  <si>
    <t>Certificate No.:</t>
  </si>
  <si>
    <t>Customer :</t>
  </si>
  <si>
    <t>Location of Calibration :</t>
  </si>
  <si>
    <t>Manufacturer:</t>
  </si>
  <si>
    <t>Model No:</t>
  </si>
  <si>
    <t>Serial No:</t>
  </si>
  <si>
    <t>Temperature:</t>
  </si>
  <si>
    <t>Description:</t>
  </si>
  <si>
    <t>Options Installed:</t>
  </si>
  <si>
    <t>Customer Asset No:</t>
  </si>
  <si>
    <t>Customer P.O.:</t>
  </si>
  <si>
    <t>Humidity:</t>
  </si>
  <si>
    <t>Cal Method / Procedure :</t>
  </si>
  <si>
    <t>Reference Standard Used:</t>
  </si>
  <si>
    <t>Description</t>
  </si>
  <si>
    <t>Serial No.</t>
  </si>
  <si>
    <t>Due Date</t>
  </si>
  <si>
    <t>Cal Report Ref.</t>
  </si>
  <si>
    <t>Remarks:</t>
  </si>
  <si>
    <t>Issue Date :</t>
  </si>
  <si>
    <t>Manufacturer</t>
  </si>
  <si>
    <t>Model</t>
  </si>
  <si>
    <t>Serial Number</t>
  </si>
  <si>
    <t>Options Installed</t>
  </si>
  <si>
    <t>Received Date</t>
  </si>
  <si>
    <t>Temperature</t>
  </si>
  <si>
    <t>Measurement Results:</t>
  </si>
  <si>
    <t>A</t>
  </si>
  <si>
    <t>Source</t>
  </si>
  <si>
    <t>Distribution</t>
  </si>
  <si>
    <t>Type</t>
  </si>
  <si>
    <t>or</t>
  </si>
  <si>
    <t>Unit</t>
  </si>
  <si>
    <t>Divisor</t>
  </si>
  <si>
    <t>Resolution</t>
  </si>
  <si>
    <t>No. of trial</t>
  </si>
  <si>
    <t>Std. Dev</t>
  </si>
  <si>
    <t>Sum of</t>
  </si>
  <si>
    <t xml:space="preserve">COMBINED STANDARD </t>
  </si>
  <si>
    <t xml:space="preserve">EFFECTIVE DEGREES </t>
  </si>
  <si>
    <t xml:space="preserve">EXPANDED UNCERTAINTY, </t>
  </si>
  <si>
    <t>(±)</t>
  </si>
  <si>
    <t>UNCERTAINTY, Uc</t>
  </si>
  <si>
    <t>OF FREEDOM, Veff</t>
  </si>
  <si>
    <t>t for Veff  and 95 % C.L.</t>
  </si>
  <si>
    <t xml:space="preserve">U @ 95 % C.L. ± </t>
  </si>
  <si>
    <t>COC</t>
  </si>
  <si>
    <t>Normal</t>
  </si>
  <si>
    <t>B</t>
  </si>
  <si>
    <t>Rectangular</t>
  </si>
  <si>
    <t>Std. Dev of Reading</t>
  </si>
  <si>
    <t>Ui</t>
  </si>
  <si>
    <t>Ci</t>
  </si>
  <si>
    <t>UiCi</t>
  </si>
  <si>
    <t>(UiCi)^2</t>
  </si>
  <si>
    <t>Vi</t>
  </si>
  <si>
    <t>(UiCi)^4 / Vi</t>
  </si>
  <si>
    <t>Repeatability</t>
  </si>
  <si>
    <t xml:space="preserve">Sum of </t>
  </si>
  <si>
    <t>(UiCi)^4</t>
  </si>
  <si>
    <t>Expanded Uncertainty</t>
  </si>
  <si>
    <t>C. FACTOR,  k = student's</t>
  </si>
  <si>
    <t>CALIBRATION DATASHEET</t>
  </si>
  <si>
    <t>Technical ID:</t>
  </si>
  <si>
    <t>Accessory Used</t>
  </si>
  <si>
    <t>Relative Humidity</t>
  </si>
  <si>
    <t>Start:</t>
  </si>
  <si>
    <t>End:</t>
  </si>
  <si>
    <t>Calibrated By</t>
  </si>
  <si>
    <t>Signature</t>
  </si>
  <si>
    <t>Date</t>
  </si>
  <si>
    <t>Checked By</t>
  </si>
  <si>
    <t xml:space="preserve">Standard </t>
  </si>
  <si>
    <t>Calibration Officer's Name</t>
  </si>
  <si>
    <t>Range</t>
  </si>
  <si>
    <t>2. The user should determine the suitability of this instrument for its intended use.</t>
  </si>
  <si>
    <t>mV</t>
  </si>
  <si>
    <t>V</t>
  </si>
  <si>
    <t>Ω</t>
  </si>
  <si>
    <t>MΩ</t>
  </si>
  <si>
    <t>Readability</t>
  </si>
  <si>
    <t>1 kHz</t>
  </si>
  <si>
    <t>kHz</t>
  </si>
  <si>
    <t>Nominal Value</t>
  </si>
  <si>
    <t>Calibration Officer</t>
  </si>
  <si>
    <t>Error</t>
  </si>
  <si>
    <t>Calibration Certificate</t>
  </si>
  <si>
    <t>Calibration Date:</t>
  </si>
  <si>
    <t>Work Order No.:</t>
  </si>
  <si>
    <t>This is to certify that the above Measuring and Test Equipment has been calibrated by SONJU Engineering Services in accordance with relevant calibration procedure defined for this instrument.</t>
  </si>
  <si>
    <t>Unit Under Calibration</t>
  </si>
  <si>
    <t>:</t>
  </si>
  <si>
    <t>Calibration Date</t>
  </si>
  <si>
    <t>Customer P.O.</t>
  </si>
  <si>
    <t>Asset Number</t>
  </si>
  <si>
    <t>Res/Readability</t>
  </si>
  <si>
    <t>Accuracy</t>
  </si>
  <si>
    <t>Prev. SES Cal Cert:</t>
  </si>
  <si>
    <t>Previous Technician</t>
  </si>
  <si>
    <t>Customer Details</t>
  </si>
  <si>
    <t>Calibration Location</t>
  </si>
  <si>
    <t>Company</t>
  </si>
  <si>
    <t>x</t>
  </si>
  <si>
    <t>In-House (SONJU Laboratory)</t>
  </si>
  <si>
    <t>Address</t>
  </si>
  <si>
    <t>On-Site Calibration (Please Specify)</t>
  </si>
  <si>
    <t>Reference Standard/s Used</t>
  </si>
  <si>
    <t>Environmental Condition</t>
  </si>
  <si>
    <t>Calibration Method</t>
  </si>
  <si>
    <t>Observations</t>
  </si>
  <si>
    <t>Adjustment</t>
  </si>
  <si>
    <t xml:space="preserve"> Needed?</t>
  </si>
  <si>
    <t>YES</t>
  </si>
  <si>
    <t>NO</t>
  </si>
  <si>
    <t>Measurement Results</t>
  </si>
  <si>
    <t>Encoded By</t>
  </si>
  <si>
    <t>Measured Value</t>
  </si>
  <si>
    <t>DC Voltage Test</t>
  </si>
  <si>
    <t>AC Voltage Test</t>
  </si>
  <si>
    <t>Remarks</t>
  </si>
  <si>
    <t>Upper Limit</t>
  </si>
  <si>
    <t>Lower Limit</t>
  </si>
  <si>
    <t>Digital Multimeter</t>
  </si>
  <si>
    <t>600 mV</t>
  </si>
  <si>
    <t>6 V</t>
  </si>
  <si>
    <t>60 V</t>
  </si>
  <si>
    <t>600 V</t>
  </si>
  <si>
    <t>Frequency</t>
  </si>
  <si>
    <t>Average</t>
  </si>
  <si>
    <t>45 Hz</t>
  </si>
  <si>
    <t>AC Voltage Frequency Test</t>
  </si>
  <si>
    <t>Voltage</t>
  </si>
  <si>
    <t>Resistance Test</t>
  </si>
  <si>
    <t>600 Ω</t>
  </si>
  <si>
    <t>nF</t>
  </si>
  <si>
    <t>Continuity Test</t>
  </si>
  <si>
    <t>Applied Value</t>
  </si>
  <si>
    <t>UUT Response</t>
  </si>
  <si>
    <t>Expected</t>
  </si>
  <si>
    <t>Actual</t>
  </si>
  <si>
    <t>Beep On</t>
  </si>
  <si>
    <t>Beep Off</t>
  </si>
  <si>
    <t>Diode Test</t>
  </si>
  <si>
    <t>-</t>
  </si>
  <si>
    <t>Fluke</t>
  </si>
  <si>
    <t>kΩ</t>
  </si>
  <si>
    <t>6 kΩ</t>
  </si>
  <si>
    <t>60 kΩ</t>
  </si>
  <si>
    <t>600 kΩ</t>
  </si>
  <si>
    <t>6 MΩ</t>
  </si>
  <si>
    <t>40 MΩ</t>
  </si>
  <si>
    <t>2 V</t>
  </si>
  <si>
    <t>AC milli Volt Test</t>
  </si>
  <si>
    <t>DC milli Volt Test</t>
  </si>
  <si>
    <t>LoZ Capacitance Test</t>
  </si>
  <si>
    <t>Tolerance</t>
  </si>
  <si>
    <t>Beeper On</t>
  </si>
  <si>
    <t>Beeper Off</t>
  </si>
  <si>
    <t>DC Current Test</t>
  </si>
  <si>
    <t>AC Current Test</t>
  </si>
  <si>
    <t>Capacitance Test</t>
  </si>
  <si>
    <t>Brand</t>
  </si>
  <si>
    <t>10 A</t>
  </si>
  <si>
    <t>6 A</t>
  </si>
  <si>
    <t>none</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</si>
  <si>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</si>
  <si>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Uncertainty</t>
  </si>
  <si>
    <t>µF</t>
  </si>
  <si>
    <t>As per Manufacturer's recommended performance tests procedure for Fluke 117 Digital Multimeters Calibration Information, 1st - rev., September 2006.</t>
  </si>
  <si>
    <t>10 µF</t>
  </si>
  <si>
    <t>1 000 nF</t>
  </si>
  <si>
    <t>9 999 µF</t>
  </si>
  <si>
    <t>%rh</t>
  </si>
  <si>
    <t>Drift</t>
  </si>
  <si>
    <t>Annual Drift</t>
  </si>
  <si>
    <t>X</t>
  </si>
  <si>
    <t>See specification sheet</t>
  </si>
  <si>
    <t>https://www.instrumart.com/assets/fluke115_116_117_manual.pdf</t>
  </si>
  <si>
    <t>Uncertainty :</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</si>
  <si>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</si>
  <si>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Open</t>
  </si>
  <si>
    <t>4. Nominal values marked with " * " are outside Scope of Accreditation.</t>
  </si>
  <si>
    <r>
      <t xml:space="preserve">3. </t>
    </r>
    <r>
      <rPr>
        <b/>
        <sz val="10.5"/>
        <color theme="1"/>
        <rFont val="Arial Narrow"/>
        <family val="2"/>
      </rPr>
      <t>Preliminary Inspection</t>
    </r>
    <r>
      <rPr>
        <sz val="10.5"/>
        <color theme="1"/>
        <rFont val="Arial Narrow"/>
        <family val="2"/>
      </rPr>
      <t>: Satisfactory</t>
    </r>
  </si>
  <si>
    <t>i</t>
  </si>
  <si>
    <r>
      <rPr>
        <vertAlign val="superscript"/>
        <sz val="9"/>
        <rFont val="Arial Narrow"/>
        <family val="2"/>
      </rPr>
      <t>o</t>
    </r>
    <r>
      <rPr>
        <sz val="9"/>
        <rFont val="Arial Narrow"/>
        <family val="2"/>
      </rPr>
      <t>C</t>
    </r>
  </si>
  <si>
    <t xml:space="preserve"> </t>
  </si>
  <si>
    <t>Electrical Calibration Area</t>
  </si>
  <si>
    <t>Jennefer S. Ilas</t>
  </si>
  <si>
    <t>MINIMUM  CMC</t>
  </si>
  <si>
    <t>FINAL UNCERTAINTY DECLARATION</t>
  </si>
  <si>
    <t>Specification</t>
  </si>
  <si>
    <t>Received Date:</t>
  </si>
  <si>
    <t>Interim Manager (Electrical)</t>
  </si>
  <si>
    <t>Approved Signatory</t>
  </si>
  <si>
    <t>Multiproduct Calibrator</t>
  </si>
  <si>
    <t>24-9973-01ALT Rev.00</t>
  </si>
  <si>
    <r>
      <rPr>
        <b/>
        <sz val="10.5"/>
        <color theme="1"/>
        <rFont val="Arial Narrow"/>
        <family val="2"/>
      </rPr>
      <t>Traceability:</t>
    </r>
    <r>
      <rPr>
        <sz val="10.5"/>
        <color theme="1"/>
        <rFont val="Arial Narrow"/>
        <family val="2"/>
      </rPr>
      <t xml:space="preserve"> 
The instrument was calibrated using reference standard/s traceable to SI Units as maintained by NML-ITDI (Philippines) through SONJU Engineering Services (Philippines).</t>
    </r>
  </si>
  <si>
    <t>5. A positve error is to subtracted to the UUT indication and negative error added to give true value.</t>
  </si>
  <si>
    <t>6. As per customer request the  next calibration due date is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</si>
</sst>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409]dd\-mmm\-yy;@"/>
    <numFmt numFmtId="166" formatCode="0.00000"/>
    <numFmt numFmtId="167" formatCode="0.0000000"/>
    <numFmt numFmtId="168" formatCode="0.0E+00"/>
    <numFmt numFmtId="169" formatCode="0.000000"/>
    <numFmt numFmtId="170" formatCode="0.000"/>
    <numFmt numFmtId="171" formatCode="0.000E+00"/>
    <numFmt numFmtId="172" formatCode="[$]dd\-mmm\-yy;@"/>
    <numFmt numFmtId="173" formatCode="0.0000"/>
    <numFmt numFmtId="174" formatCode="0.00000000"/>
  </numFmts>
  <fonts count="13" x14ac:knownFonts="1">
    <font>
      <sz val="11"/>
      <color theme="1"/>
      <name val="Calibri"/>
      <family val="2"/>
      <scheme val="minor"/>
    </font>
    <font>
      <b/>
      <sz val="20"/>
      <color theme="1"/>
      <name val="Arial"/>
      <family val="2"/>
    </font>
    <font>
      <sz val="10"/>
      <color theme="1"/>
      <name val="Arial Narrow"/>
      <family val="2"/>
    </font>
    <font>
      <sz val="10"/>
      <name val="Arial"/>
      <family val="2"/>
    </font>
    <font>
      <b/>
      <sz val="9"/>
      <name val="Arial Narrow"/>
      <family val="2"/>
    </font>
    <font>
      <sz val="9"/>
      <name val="Arial Narrow"/>
      <family val="2"/>
    </font>
    <font>
      <sz val="10.5"/>
      <color theme="1"/>
      <name val="Arial Narrow"/>
      <family val="2"/>
    </font>
    <font>
      <b/>
      <sz val="10.5"/>
      <color theme="1"/>
      <name val="Arial Narrow"/>
      <family val="2"/>
    </font>
    <font>
      <u/>
      <sz val="11"/>
      <color theme="10"/>
      <name val="Calibri"/>
      <family val="2"/>
      <scheme val="minor"/>
    </font>
    <font>
      <b/>
      <sz val="14"/>
      <name val="Times New Roman"/>
      <family val="1"/>
    </font>
    <font>
      <vertAlign val="superscript"/>
      <sz val="9"/>
      <name val="Arial Narrow"/>
      <family val="2"/>
    </font>
    <font>
      <b/>
      <sz val="9"/>
      <color rgb="FF7030A0"/>
      <name val="Arial Narrow"/>
      <family val="2"/>
    </font>
    <font>
      <sz val="9"/>
      <color rgb="FF7030A0"/>
      <name val="Arial Narrow"/>
      <family val="2"/>
    </font>
  </fonts>
  <fills count="7">
    <fill>
      <patternFill patternType="none"/>
    </fill>
    <fill>
      <patternFill patternType="gray125"/>
    </fill>
    <fill>
      <patternFill patternType="solid">
        <fgColor theme="1" tint="0.249977111117893"/>
        <bgColor indexed="64"/>
      </patternFill>
    </fill>
    <fill>
      <patternFill patternType="solid">
        <fgColor theme="3" tint="0.39997558519241921"/>
        <bgColor indexed="64"/>
      </patternFill>
    </fill>
    <fill>
      <patternFill patternType="solid">
        <fgColor theme="0"/>
        <bgColor indexed="64"/>
      </patternFill>
    </fill>
    <fill>
      <patternFill patternType="solid">
        <fgColor theme="3" tint="0.39991454817346722"/>
        <bgColor indexed="64"/>
      </patternFill>
    </fill>
    <fill>
      <patternFill patternType="solid">
        <fgColor theme="0" tint="-0.34998626667073579"/>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dashed">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right/>
      <top style="dashed">
        <color auto="1"/>
      </top>
      <bottom style="dashed">
        <color auto="1"/>
      </bottom>
      <diagonal/>
    </border>
    <border>
      <left/>
      <right/>
      <top style="thin">
        <color indexed="64"/>
      </top>
      <bottom/>
      <diagonal/>
    </border>
    <border>
      <left/>
      <right/>
      <top/>
      <bottom style="thin">
        <color theme="0" tint="-0.499984740745262"/>
      </bottom>
      <diagonal/>
    </border>
    <border>
      <left/>
      <right/>
      <top style="thin">
        <color theme="0" tint="-0.499984740745262"/>
      </top>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34998626667073579"/>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theme="0" tint="-0.34998626667073579"/>
      </left>
      <right/>
      <top/>
      <bottom/>
      <diagonal/>
    </border>
    <border>
      <left style="dashed">
        <color auto="1"/>
      </left>
      <right style="dotted">
        <color indexed="64"/>
      </right>
      <top style="dashed">
        <color auto="1"/>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style="medium">
        <color auto="1"/>
      </left>
      <right/>
      <top style="thin">
        <color theme="0" tint="-0.499984740745262"/>
      </top>
      <bottom/>
      <diagonal/>
    </border>
    <border>
      <left/>
      <right style="medium">
        <color auto="1"/>
      </right>
      <top style="thin">
        <color indexed="64"/>
      </top>
      <bottom/>
      <diagonal/>
    </border>
    <border>
      <left/>
      <right style="medium">
        <color auto="1"/>
      </right>
      <top/>
      <bottom style="thin">
        <color indexed="64"/>
      </bottom>
      <diagonal/>
    </border>
    <border>
      <left/>
      <right style="medium">
        <color auto="1"/>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theme="0" tint="-0.499984740745262"/>
      </right>
      <top style="medium">
        <color auto="1"/>
      </top>
      <bottom style="medium">
        <color auto="1"/>
      </bottom>
      <diagonal/>
    </border>
    <border>
      <left style="thin">
        <color theme="0" tint="-0.499984740745262"/>
      </left>
      <right/>
      <top style="medium">
        <color auto="1"/>
      </top>
      <bottom style="medium">
        <color auto="1"/>
      </bottom>
      <diagonal/>
    </border>
    <border>
      <left/>
      <right style="medium">
        <color auto="1"/>
      </right>
      <top style="medium">
        <color auto="1"/>
      </top>
      <bottom style="medium">
        <color auto="1"/>
      </bottom>
      <diagonal/>
    </border>
    <border>
      <left/>
      <right style="thin">
        <color theme="0" tint="-0.499984740745262"/>
      </right>
      <top style="thin">
        <color theme="0" tint="-0.499984740745262"/>
      </top>
      <bottom/>
      <diagonal/>
    </border>
    <border>
      <left style="dashed">
        <color auto="1"/>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style="dashed">
        <color auto="1"/>
      </right>
      <top/>
      <bottom style="dashed">
        <color auto="1"/>
      </bottom>
      <diagonal/>
    </border>
  </borders>
  <cellStyleXfs count="4">
    <xf numFmtId="0" fontId="0" fillId="0" borderId="0"/>
    <xf numFmtId="0" fontId="3" fillId="0" borderId="0"/>
    <xf numFmtId="0" fontId="3" fillId="0" borderId="0"/>
    <xf numFmtId="0" fontId="8" fillId="0" borderId="0" applyNumberFormat="0" applyFill="0" applyBorder="0" applyAlignment="0" applyProtection="0"/>
  </cellStyleXfs>
  <cellXfs count="282">
    <xf numFmtId="0" fontId="0" fillId="0" borderId="0" xfId="0"/>
    <xf numFmtId="0" fontId="5" fillId="0" borderId="0" xfId="0" applyFont="1"/>
    <xf numFmtId="0" fontId="4" fillId="0" borderId="6" xfId="1" applyFont="1" applyBorder="1" applyAlignment="1">
      <alignment horizontal="center"/>
    </xf>
    <xf numFmtId="0" fontId="5" fillId="0" borderId="0" xfId="1" applyFont="1"/>
    <xf numFmtId="167" fontId="4" fillId="0" borderId="6" xfId="1" applyNumberFormat="1" applyFont="1" applyBorder="1" applyAlignment="1">
      <alignment horizontal="center" vertical="center"/>
    </xf>
    <xf numFmtId="0" fontId="5" fillId="0" borderId="6" xfId="1" applyFont="1" applyBorder="1" applyAlignment="1">
      <alignment horizontal="center" vertical="center"/>
    </xf>
    <xf numFmtId="1" fontId="5" fillId="0" borderId="6" xfId="1" applyNumberFormat="1" applyFont="1" applyBorder="1" applyAlignment="1">
      <alignment horizontal="center" vertical="center"/>
    </xf>
    <xf numFmtId="168" fontId="5" fillId="0" borderId="6" xfId="1" applyNumberFormat="1" applyFont="1" applyBorder="1" applyAlignment="1">
      <alignment horizontal="center" vertical="center"/>
    </xf>
    <xf numFmtId="169" fontId="5" fillId="0" borderId="6" xfId="1" applyNumberFormat="1" applyFont="1" applyBorder="1" applyAlignment="1">
      <alignment horizontal="center" vertical="center"/>
    </xf>
    <xf numFmtId="170" fontId="5" fillId="0" borderId="6" xfId="1" applyNumberFormat="1" applyFont="1" applyBorder="1" applyAlignment="1">
      <alignment horizontal="center" vertical="center"/>
    </xf>
    <xf numFmtId="166" fontId="5" fillId="0" borderId="6" xfId="1" applyNumberFormat="1" applyFont="1" applyBorder="1" applyAlignment="1">
      <alignment horizontal="center" vertical="center"/>
    </xf>
    <xf numFmtId="171" fontId="5" fillId="0" borderId="6" xfId="1" applyNumberFormat="1" applyFont="1" applyBorder="1" applyAlignment="1">
      <alignment horizontal="center" vertical="center"/>
    </xf>
    <xf numFmtId="11" fontId="5" fillId="0" borderId="6" xfId="1" applyNumberFormat="1" applyFont="1" applyBorder="1" applyAlignment="1">
      <alignment horizontal="center" vertical="center"/>
    </xf>
    <xf numFmtId="0" fontId="5" fillId="0" borderId="0" xfId="1" applyFont="1" applyAlignment="1">
      <alignment vertical="center"/>
    </xf>
    <xf numFmtId="164" fontId="5" fillId="0" borderId="6" xfId="1" applyNumberFormat="1" applyFont="1" applyBorder="1" applyAlignment="1">
      <alignment horizontal="center" vertical="center"/>
    </xf>
    <xf numFmtId="1" fontId="5" fillId="0" borderId="8" xfId="1" applyNumberFormat="1" applyFont="1" applyBorder="1" applyAlignment="1">
      <alignment horizontal="left" vertical="center"/>
    </xf>
    <xf numFmtId="0" fontId="4" fillId="0" borderId="0" xfId="0" applyFont="1" applyAlignment="1">
      <alignment horizontal="center" vertical="center"/>
    </xf>
    <xf numFmtId="0" fontId="4" fillId="0" borderId="0" xfId="1" applyFont="1" applyAlignment="1">
      <alignment horizontal="center" vertical="center"/>
    </xf>
    <xf numFmtId="168" fontId="5" fillId="0" borderId="0" xfId="1" applyNumberFormat="1" applyFont="1" applyAlignment="1">
      <alignment horizontal="center" vertical="center"/>
    </xf>
    <xf numFmtId="0" fontId="5" fillId="0" borderId="0" xfId="1" applyFont="1" applyAlignment="1">
      <alignment horizontal="center" vertical="center"/>
    </xf>
    <xf numFmtId="1" fontId="5" fillId="0" borderId="0" xfId="1" applyNumberFormat="1" applyFont="1" applyAlignment="1">
      <alignment horizontal="center" vertical="center"/>
    </xf>
    <xf numFmtId="169" fontId="5" fillId="0" borderId="0" xfId="1" applyNumberFormat="1" applyFont="1" applyAlignment="1">
      <alignment horizontal="center" vertical="center"/>
    </xf>
    <xf numFmtId="170" fontId="5" fillId="0" borderId="0" xfId="1" applyNumberFormat="1" applyFont="1" applyAlignment="1">
      <alignment horizontal="center" vertical="center"/>
    </xf>
    <xf numFmtId="166" fontId="5" fillId="0" borderId="0" xfId="1" applyNumberFormat="1" applyFont="1" applyAlignment="1">
      <alignment horizontal="center" vertical="center"/>
    </xf>
    <xf numFmtId="171" fontId="5" fillId="0" borderId="0" xfId="1" applyNumberFormat="1" applyFont="1" applyAlignment="1">
      <alignment horizontal="center" vertical="center"/>
    </xf>
    <xf numFmtId="11" fontId="5" fillId="0" borderId="0" xfId="1" applyNumberFormat="1" applyFont="1" applyAlignment="1">
      <alignment horizontal="center" vertical="center"/>
    </xf>
    <xf numFmtId="164" fontId="5" fillId="0" borderId="0" xfId="1" applyNumberFormat="1" applyFont="1" applyAlignment="1">
      <alignment horizontal="center" vertical="center"/>
    </xf>
    <xf numFmtId="2" fontId="5" fillId="0" borderId="0" xfId="1" applyNumberFormat="1" applyFont="1" applyAlignment="1">
      <alignment horizontal="right" vertical="center"/>
    </xf>
    <xf numFmtId="1" fontId="5" fillId="0" borderId="0" xfId="1" applyNumberFormat="1" applyFont="1" applyAlignment="1">
      <alignment horizontal="left" vertical="center"/>
    </xf>
    <xf numFmtId="170" fontId="5" fillId="0" borderId="7" xfId="1" applyNumberFormat="1" applyFont="1" applyBorder="1" applyAlignment="1">
      <alignment horizontal="right" vertical="center"/>
    </xf>
    <xf numFmtId="173" fontId="5" fillId="0" borderId="7" xfId="1" applyNumberFormat="1" applyFont="1" applyBorder="1" applyAlignment="1">
      <alignment horizontal="right" vertical="center"/>
    </xf>
    <xf numFmtId="166" fontId="5" fillId="0" borderId="7" xfId="1" applyNumberFormat="1" applyFont="1" applyBorder="1" applyAlignment="1">
      <alignment horizontal="right" vertical="center"/>
    </xf>
    <xf numFmtId="170" fontId="5" fillId="0" borderId="0" xfId="1" applyNumberFormat="1" applyFont="1" applyAlignment="1">
      <alignment horizontal="right" vertical="center"/>
    </xf>
    <xf numFmtId="169" fontId="5" fillId="0" borderId="7" xfId="1" applyNumberFormat="1" applyFont="1" applyBorder="1" applyAlignment="1">
      <alignment horizontal="right" vertical="center"/>
    </xf>
    <xf numFmtId="167" fontId="5" fillId="0" borderId="7" xfId="1" applyNumberFormat="1" applyFont="1" applyBorder="1" applyAlignment="1">
      <alignment horizontal="right" vertical="center"/>
    </xf>
    <xf numFmtId="0" fontId="6" fillId="2" borderId="0" xfId="0" applyFont="1" applyFill="1"/>
    <xf numFmtId="0" fontId="6" fillId="0" borderId="0" xfId="0" applyFont="1"/>
    <xf numFmtId="0" fontId="7" fillId="0" borderId="0" xfId="0" applyFont="1"/>
    <xf numFmtId="0" fontId="7" fillId="0" borderId="0" xfId="0" applyFont="1" applyAlignment="1">
      <alignment vertical="center"/>
    </xf>
    <xf numFmtId="0" fontId="6" fillId="0" borderId="0" xfId="0" applyFont="1" applyAlignment="1">
      <alignment vertical="top" wrapText="1"/>
    </xf>
    <xf numFmtId="0" fontId="6" fillId="0" borderId="0" xfId="0" applyFont="1" applyAlignment="1">
      <alignment horizontal="left" vertical="top" wrapText="1"/>
    </xf>
    <xf numFmtId="0" fontId="6" fillId="0" borderId="0" xfId="0" applyFont="1" applyAlignment="1">
      <alignment vertical="center"/>
    </xf>
    <xf numFmtId="0" fontId="7" fillId="0" borderId="0" xfId="0" applyFont="1" applyAlignment="1">
      <alignment horizontal="left"/>
    </xf>
    <xf numFmtId="0" fontId="6" fillId="0" borderId="0" xfId="0" applyFont="1" applyAlignment="1">
      <alignment horizontal="center" vertical="center"/>
    </xf>
    <xf numFmtId="165" fontId="6" fillId="0" borderId="0" xfId="0" applyNumberFormat="1" applyFont="1" applyAlignment="1">
      <alignment horizontal="left" vertical="top"/>
    </xf>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left" vertical="center"/>
    </xf>
    <xf numFmtId="0" fontId="6" fillId="0" borderId="0" xfId="0" applyFont="1" applyAlignment="1">
      <alignment vertical="center" wrapText="1"/>
    </xf>
    <xf numFmtId="0" fontId="6" fillId="4" borderId="0" xfId="0" applyFont="1" applyFill="1"/>
    <xf numFmtId="0" fontId="6" fillId="0" borderId="0" xfId="0" applyFont="1" applyAlignment="1">
      <alignment horizontal="left" vertical="center"/>
    </xf>
    <xf numFmtId="0" fontId="2" fillId="0" borderId="0" xfId="0" applyFont="1" applyAlignment="1">
      <alignment vertical="top" wrapText="1"/>
    </xf>
    <xf numFmtId="0" fontId="6" fillId="0" borderId="0" xfId="0" applyFont="1" applyAlignment="1">
      <alignment horizontal="center" vertical="center" wrapText="1"/>
    </xf>
    <xf numFmtId="0" fontId="8" fillId="0" borderId="0" xfId="3"/>
    <xf numFmtId="0" fontId="4" fillId="0" borderId="6" xfId="1" applyFont="1" applyBorder="1" applyAlignment="1">
      <alignment horizontal="center" vertical="center"/>
    </xf>
    <xf numFmtId="0" fontId="6" fillId="0" borderId="0" xfId="0" applyFont="1" applyAlignment="1">
      <alignment vertical="top"/>
    </xf>
    <xf numFmtId="0" fontId="5" fillId="3" borderId="0" xfId="0" applyFont="1" applyFill="1"/>
    <xf numFmtId="166" fontId="5" fillId="3" borderId="0" xfId="0" applyNumberFormat="1" applyFont="1" applyFill="1" applyAlignment="1">
      <alignment horizontal="center"/>
    </xf>
    <xf numFmtId="0" fontId="5" fillId="5" borderId="0" xfId="0" applyFont="1" applyFill="1"/>
    <xf numFmtId="0" fontId="5" fillId="4" borderId="30" xfId="0" applyFont="1" applyFill="1" applyBorder="1"/>
    <xf numFmtId="0" fontId="5" fillId="4" borderId="31" xfId="0" applyFont="1" applyFill="1" applyBorder="1"/>
    <xf numFmtId="0" fontId="5" fillId="4" borderId="32" xfId="0" applyFont="1" applyFill="1" applyBorder="1"/>
    <xf numFmtId="0" fontId="5" fillId="4" borderId="33" xfId="0" applyFont="1" applyFill="1" applyBorder="1"/>
    <xf numFmtId="0" fontId="5" fillId="4" borderId="0" xfId="0" applyFont="1" applyFill="1"/>
    <xf numFmtId="0" fontId="5" fillId="4" borderId="34" xfId="0" applyFont="1" applyFill="1" applyBorder="1"/>
    <xf numFmtId="0" fontId="9" fillId="4" borderId="33" xfId="0" applyFont="1" applyFill="1" applyBorder="1"/>
    <xf numFmtId="0" fontId="5" fillId="4" borderId="35" xfId="0" applyFont="1" applyFill="1" applyBorder="1"/>
    <xf numFmtId="0" fontId="5" fillId="4" borderId="11" xfId="0" applyFont="1" applyFill="1" applyBorder="1"/>
    <xf numFmtId="0" fontId="5" fillId="4" borderId="36" xfId="0" applyFont="1" applyFill="1" applyBorder="1"/>
    <xf numFmtId="0" fontId="5" fillId="4" borderId="0" xfId="0" applyFont="1" applyFill="1" applyAlignment="1">
      <alignment vertical="center"/>
    </xf>
    <xf numFmtId="0" fontId="5" fillId="4" borderId="33" xfId="0" applyFont="1" applyFill="1" applyBorder="1" applyAlignment="1">
      <alignment horizontal="left"/>
    </xf>
    <xf numFmtId="0" fontId="5" fillId="4" borderId="0" xfId="0" applyFont="1" applyFill="1" applyAlignment="1">
      <alignment horizontal="left"/>
    </xf>
    <xf numFmtId="0" fontId="5" fillId="4" borderId="0" xfId="0" applyFont="1" applyFill="1" applyAlignment="1">
      <alignment horizontal="center"/>
    </xf>
    <xf numFmtId="0" fontId="5" fillId="4" borderId="34" xfId="0" applyFont="1" applyFill="1" applyBorder="1" applyAlignment="1">
      <alignment horizontal="left"/>
    </xf>
    <xf numFmtId="0" fontId="5" fillId="4" borderId="13" xfId="0" applyFont="1" applyFill="1" applyBorder="1"/>
    <xf numFmtId="0" fontId="5" fillId="4" borderId="14" xfId="0" applyFont="1" applyFill="1" applyBorder="1"/>
    <xf numFmtId="0" fontId="5" fillId="4" borderId="12" xfId="0" applyFont="1" applyFill="1" applyBorder="1"/>
    <xf numFmtId="0" fontId="5" fillId="4" borderId="0" xfId="0" applyFont="1" applyFill="1" applyAlignment="1">
      <alignment horizontal="right"/>
    </xf>
    <xf numFmtId="0" fontId="5" fillId="4" borderId="3" xfId="0" applyFont="1" applyFill="1" applyBorder="1"/>
    <xf numFmtId="0" fontId="5" fillId="4" borderId="3" xfId="0" applyFont="1" applyFill="1" applyBorder="1" applyAlignment="1">
      <alignment horizontal="right"/>
    </xf>
    <xf numFmtId="0" fontId="5" fillId="4" borderId="0" xfId="0" applyFont="1" applyFill="1" applyAlignment="1">
      <alignment vertical="top"/>
    </xf>
    <xf numFmtId="0" fontId="4" fillId="4" borderId="0" xfId="0" applyFont="1" applyFill="1"/>
    <xf numFmtId="0" fontId="5" fillId="4" borderId="5" xfId="0" applyFont="1" applyFill="1" applyBorder="1"/>
    <xf numFmtId="0" fontId="5" fillId="4" borderId="12" xfId="0" applyFont="1" applyFill="1" applyBorder="1" applyAlignment="1">
      <alignment vertical="center"/>
    </xf>
    <xf numFmtId="0" fontId="5" fillId="4" borderId="33" xfId="0" applyFont="1" applyFill="1" applyBorder="1" applyAlignment="1">
      <alignment vertical="center"/>
    </xf>
    <xf numFmtId="0" fontId="4" fillId="4" borderId="0" xfId="0" applyFont="1" applyFill="1" applyAlignment="1">
      <alignment vertical="center"/>
    </xf>
    <xf numFmtId="0" fontId="5" fillId="4" borderId="34" xfId="0" applyFont="1" applyFill="1" applyBorder="1" applyAlignment="1">
      <alignment vertical="center"/>
    </xf>
    <xf numFmtId="0" fontId="4" fillId="4" borderId="0" xfId="0" applyFont="1" applyFill="1" applyAlignment="1">
      <alignment horizontal="center" vertical="center"/>
    </xf>
    <xf numFmtId="170" fontId="5" fillId="4" borderId="0" xfId="0" applyNumberFormat="1" applyFont="1" applyFill="1" applyAlignment="1">
      <alignment horizontal="center"/>
    </xf>
    <xf numFmtId="2" fontId="5" fillId="4" borderId="0" xfId="0" applyNumberFormat="1" applyFont="1" applyFill="1" applyAlignment="1">
      <alignment horizontal="center"/>
    </xf>
    <xf numFmtId="0" fontId="5" fillId="4" borderId="0" xfId="0" applyFont="1" applyFill="1" applyAlignment="1">
      <alignment horizontal="center" vertical="center"/>
    </xf>
    <xf numFmtId="0" fontId="5" fillId="4" borderId="0" xfId="0" applyFont="1" applyFill="1" applyAlignment="1">
      <alignment horizontal="right" vertical="center"/>
    </xf>
    <xf numFmtId="0" fontId="5" fillId="4" borderId="0" xfId="0" applyFont="1" applyFill="1" applyAlignment="1">
      <alignment horizontal="left" vertical="center"/>
    </xf>
    <xf numFmtId="164" fontId="5" fillId="4" borderId="0" xfId="0" applyNumberFormat="1" applyFont="1" applyFill="1" applyAlignment="1">
      <alignment horizontal="center"/>
    </xf>
    <xf numFmtId="170" fontId="5" fillId="4" borderId="0" xfId="0" applyNumberFormat="1" applyFont="1" applyFill="1"/>
    <xf numFmtId="2" fontId="5" fillId="4" borderId="0" xfId="0" applyNumberFormat="1" applyFont="1" applyFill="1"/>
    <xf numFmtId="164" fontId="5" fillId="4" borderId="0" xfId="0" applyNumberFormat="1" applyFont="1" applyFill="1"/>
    <xf numFmtId="1" fontId="5" fillId="4" borderId="0" xfId="0" applyNumberFormat="1" applyFont="1" applyFill="1" applyAlignment="1">
      <alignment horizontal="center"/>
    </xf>
    <xf numFmtId="0" fontId="5" fillId="4" borderId="37" xfId="0" applyFont="1" applyFill="1" applyBorder="1" applyAlignment="1">
      <alignment horizontal="left"/>
    </xf>
    <xf numFmtId="0" fontId="5" fillId="4" borderId="12" xfId="0" applyFont="1" applyFill="1" applyBorder="1" applyAlignment="1">
      <alignment horizontal="center"/>
    </xf>
    <xf numFmtId="0" fontId="5" fillId="4" borderId="40" xfId="0" applyFont="1" applyFill="1" applyBorder="1" applyAlignment="1">
      <alignment horizontal="center"/>
    </xf>
    <xf numFmtId="0" fontId="5" fillId="4" borderId="34" xfId="0" applyFont="1" applyFill="1" applyBorder="1" applyAlignment="1">
      <alignment horizontal="center"/>
    </xf>
    <xf numFmtId="0" fontId="5" fillId="4" borderId="12" xfId="0" quotePrefix="1" applyFont="1" applyFill="1" applyBorder="1" applyAlignment="1">
      <alignment vertical="center"/>
    </xf>
    <xf numFmtId="0" fontId="5" fillId="4" borderId="5" xfId="0" applyFont="1" applyFill="1" applyBorder="1" applyAlignment="1">
      <alignment horizontal="left"/>
    </xf>
    <xf numFmtId="0" fontId="4" fillId="6" borderId="49" xfId="0" applyFont="1" applyFill="1" applyBorder="1"/>
    <xf numFmtId="0" fontId="4" fillId="6" borderId="50" xfId="0" applyFont="1" applyFill="1" applyBorder="1"/>
    <xf numFmtId="0" fontId="4" fillId="6" borderId="53" xfId="0" applyFont="1" applyFill="1" applyBorder="1"/>
    <xf numFmtId="167" fontId="5" fillId="0" borderId="6" xfId="1" applyNumberFormat="1" applyFont="1" applyBorder="1" applyAlignment="1">
      <alignment horizontal="center" vertical="center"/>
    </xf>
    <xf numFmtId="173" fontId="5" fillId="0" borderId="6" xfId="1" applyNumberFormat="1" applyFont="1" applyBorder="1" applyAlignment="1">
      <alignment horizontal="center" vertical="center"/>
    </xf>
    <xf numFmtId="0" fontId="12" fillId="0" borderId="6" xfId="0" applyFont="1" applyBorder="1"/>
    <xf numFmtId="1" fontId="12" fillId="0" borderId="6" xfId="0" applyNumberFormat="1" applyFont="1" applyBorder="1"/>
    <xf numFmtId="167" fontId="12" fillId="0" borderId="6" xfId="0" applyNumberFormat="1" applyFont="1" applyBorder="1" applyAlignment="1">
      <alignment horizontal="right"/>
    </xf>
    <xf numFmtId="174" fontId="5" fillId="0" borderId="6" xfId="1" applyNumberFormat="1" applyFont="1" applyBorder="1" applyAlignment="1">
      <alignment horizontal="center" vertical="center"/>
    </xf>
    <xf numFmtId="0" fontId="6" fillId="2" borderId="0" xfId="0" applyFont="1" applyFill="1" applyAlignment="1" applyProtection="1">
      <alignment vertical="center"/>
      <protection locked="0"/>
    </xf>
    <xf numFmtId="0" fontId="6" fillId="0" borderId="0" xfId="0" applyFont="1" applyAlignment="1" applyProtection="1">
      <alignment vertical="center"/>
      <protection locked="0"/>
    </xf>
    <xf numFmtId="0" fontId="6" fillId="0" borderId="0" xfId="0" applyFont="1" applyAlignment="1">
      <alignment horizontal="left" vertical="top" wrapText="1"/>
    </xf>
    <xf numFmtId="0" fontId="7" fillId="0" borderId="0" xfId="0" applyFont="1" applyAlignment="1">
      <alignment horizontal="center" vertical="center"/>
    </xf>
    <xf numFmtId="0" fontId="2" fillId="0" borderId="0" xfId="0" applyFont="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1" fillId="0" borderId="0" xfId="0" applyFont="1" applyAlignment="1">
      <alignment horizontal="left"/>
    </xf>
    <xf numFmtId="0" fontId="2" fillId="0" borderId="0" xfId="0" applyFont="1" applyAlignment="1">
      <alignment horizontal="left" vertical="center" wrapText="1"/>
    </xf>
    <xf numFmtId="0" fontId="7" fillId="0" borderId="0" xfId="0" applyFont="1" applyAlignment="1">
      <alignment horizontal="left"/>
    </xf>
    <xf numFmtId="165" fontId="6" fillId="0" borderId="0" xfId="0" applyNumberFormat="1" applyFont="1" applyAlignment="1">
      <alignment horizontal="left" vertical="center"/>
    </xf>
    <xf numFmtId="0" fontId="6" fillId="0" borderId="0" xfId="0" applyFont="1" applyAlignment="1">
      <alignment horizontal="left" vertical="center"/>
    </xf>
    <xf numFmtId="1" fontId="6" fillId="0" borderId="0" xfId="0" applyNumberFormat="1" applyFont="1" applyAlignment="1">
      <alignment horizontal="left" vertical="center"/>
    </xf>
    <xf numFmtId="172" fontId="6" fillId="0" borderId="0" xfId="0" quotePrefix="1" applyNumberFormat="1" applyFont="1" applyAlignment="1">
      <alignment horizontal="left" vertical="center"/>
    </xf>
    <xf numFmtId="0" fontId="6" fillId="0" borderId="26"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5" xfId="0" applyFont="1" applyBorder="1" applyAlignment="1">
      <alignment horizontal="center" vertical="center" wrapText="1"/>
    </xf>
    <xf numFmtId="0" fontId="6" fillId="0" borderId="29" xfId="0" applyFont="1" applyBorder="1" applyAlignment="1">
      <alignment horizontal="center" vertical="center" wrapText="1"/>
    </xf>
    <xf numFmtId="165" fontId="6" fillId="0" borderId="0" xfId="0" applyNumberFormat="1" applyFont="1" applyAlignment="1">
      <alignment horizontal="left" vertical="top"/>
    </xf>
    <xf numFmtId="1" fontId="6" fillId="0" borderId="1" xfId="0" applyNumberFormat="1" applyFont="1" applyBorder="1" applyAlignment="1">
      <alignment horizontal="center" vertical="center"/>
    </xf>
    <xf numFmtId="0" fontId="6" fillId="0" borderId="0" xfId="0" applyFont="1" applyAlignment="1">
      <alignment horizontal="left" vertical="center" wrapText="1"/>
    </xf>
    <xf numFmtId="165" fontId="6" fillId="0" borderId="1" xfId="0" applyNumberFormat="1" applyFont="1" applyBorder="1" applyAlignment="1">
      <alignment horizontal="center" vertical="center"/>
    </xf>
    <xf numFmtId="165" fontId="7" fillId="0" borderId="0" xfId="0" quotePrefix="1" applyNumberFormat="1" applyFont="1" applyAlignment="1">
      <alignment horizontal="center" vertical="center"/>
    </xf>
    <xf numFmtId="0" fontId="2" fillId="0" borderId="0" xfId="0" applyFont="1" applyAlignment="1">
      <alignment horizontal="left" vertical="top" wrapText="1"/>
    </xf>
    <xf numFmtId="0" fontId="7" fillId="0" borderId="26"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5" fillId="4" borderId="6" xfId="0" applyFont="1" applyFill="1" applyBorder="1" applyAlignment="1">
      <alignment horizontal="center" vertical="center"/>
    </xf>
    <xf numFmtId="0" fontId="5" fillId="4" borderId="7" xfId="0" applyFont="1" applyFill="1" applyBorder="1" applyAlignment="1">
      <alignment horizontal="right" vertical="center"/>
    </xf>
    <xf numFmtId="0" fontId="5" fillId="4" borderId="9" xfId="0" applyFont="1" applyFill="1" applyBorder="1" applyAlignment="1">
      <alignment horizontal="right" vertical="center"/>
    </xf>
    <xf numFmtId="0" fontId="5" fillId="4" borderId="10" xfId="0" applyFont="1" applyFill="1" applyBorder="1" applyAlignment="1">
      <alignment horizontal="center" vertical="center" wrapText="1"/>
    </xf>
    <xf numFmtId="0" fontId="5" fillId="4" borderId="0" xfId="0" applyFont="1" applyFill="1" applyAlignment="1">
      <alignment horizontal="center" vertical="center" wrapText="1"/>
    </xf>
    <xf numFmtId="170" fontId="5" fillId="4" borderId="7" xfId="0" applyNumberFormat="1" applyFont="1" applyFill="1" applyBorder="1" applyAlignment="1">
      <alignment horizontal="center"/>
    </xf>
    <xf numFmtId="170" fontId="5" fillId="4" borderId="9" xfId="0" applyNumberFormat="1" applyFont="1" applyFill="1" applyBorder="1" applyAlignment="1">
      <alignment horizontal="center"/>
    </xf>
    <xf numFmtId="170" fontId="5" fillId="4" borderId="8" xfId="0" applyNumberFormat="1" applyFont="1" applyFill="1" applyBorder="1" applyAlignment="1">
      <alignment horizontal="center"/>
    </xf>
    <xf numFmtId="0" fontId="5" fillId="4" borderId="9" xfId="0" applyFont="1" applyFill="1" applyBorder="1" applyAlignment="1">
      <alignment horizontal="left" vertical="center"/>
    </xf>
    <xf numFmtId="0" fontId="5" fillId="4" borderId="8" xfId="0" applyFont="1" applyFill="1" applyBorder="1" applyAlignment="1">
      <alignment horizontal="left" vertical="center"/>
    </xf>
    <xf numFmtId="170" fontId="5" fillId="4" borderId="6" xfId="0" applyNumberFormat="1" applyFont="1" applyFill="1" applyBorder="1" applyAlignment="1">
      <alignment horizontal="center"/>
    </xf>
    <xf numFmtId="0" fontId="4" fillId="4" borderId="6" xfId="0" applyFont="1" applyFill="1" applyBorder="1" applyAlignment="1">
      <alignment horizontal="center" vertical="center"/>
    </xf>
    <xf numFmtId="2" fontId="5" fillId="4" borderId="6" xfId="0" applyNumberFormat="1" applyFont="1" applyFill="1" applyBorder="1" applyAlignment="1">
      <alignment horizontal="center"/>
    </xf>
    <xf numFmtId="2" fontId="5" fillId="4" borderId="7" xfId="0" applyNumberFormat="1" applyFont="1" applyFill="1" applyBorder="1" applyAlignment="1">
      <alignment horizontal="center"/>
    </xf>
    <xf numFmtId="2" fontId="5" fillId="4" borderId="9" xfId="0" applyNumberFormat="1" applyFont="1" applyFill="1" applyBorder="1" applyAlignment="1">
      <alignment horizontal="center"/>
    </xf>
    <xf numFmtId="2" fontId="5" fillId="4" borderId="8" xfId="0" applyNumberFormat="1" applyFont="1" applyFill="1" applyBorder="1" applyAlignment="1">
      <alignment horizontal="center"/>
    </xf>
    <xf numFmtId="0" fontId="4" fillId="6" borderId="49" xfId="0" applyFont="1" applyFill="1" applyBorder="1" applyAlignment="1">
      <alignment horizontal="left"/>
    </xf>
    <xf numFmtId="0" fontId="4" fillId="6" borderId="50" xfId="0" applyFont="1" applyFill="1" applyBorder="1" applyAlignment="1">
      <alignment horizontal="left"/>
    </xf>
    <xf numFmtId="0" fontId="4" fillId="6" borderId="53" xfId="0" applyFont="1" applyFill="1" applyBorder="1" applyAlignment="1">
      <alignment horizontal="left"/>
    </xf>
    <xf numFmtId="0" fontId="4" fillId="4" borderId="35" xfId="0" applyFont="1" applyFill="1" applyBorder="1" applyAlignment="1">
      <alignment horizontal="center"/>
    </xf>
    <xf numFmtId="0" fontId="4" fillId="4" borderId="11" xfId="0" applyFont="1" applyFill="1" applyBorder="1" applyAlignment="1">
      <alignment horizontal="center"/>
    </xf>
    <xf numFmtId="0" fontId="4" fillId="4" borderId="15" xfId="0" applyFont="1" applyFill="1" applyBorder="1" applyAlignment="1">
      <alignment horizontal="center"/>
    </xf>
    <xf numFmtId="0" fontId="4" fillId="4" borderId="16" xfId="0" applyFont="1" applyFill="1" applyBorder="1" applyAlignment="1">
      <alignment horizontal="center"/>
    </xf>
    <xf numFmtId="0" fontId="4" fillId="6" borderId="51" xfId="0" applyFont="1" applyFill="1" applyBorder="1" applyAlignment="1">
      <alignment horizontal="left"/>
    </xf>
    <xf numFmtId="0" fontId="4" fillId="6" borderId="52" xfId="0" applyFont="1" applyFill="1" applyBorder="1" applyAlignment="1">
      <alignment horizontal="left"/>
    </xf>
    <xf numFmtId="0" fontId="5" fillId="4" borderId="14" xfId="0" applyFont="1" applyFill="1" applyBorder="1" applyAlignment="1">
      <alignment horizontal="center" vertical="center" wrapText="1"/>
    </xf>
    <xf numFmtId="0" fontId="5" fillId="4" borderId="34" xfId="0" applyFont="1" applyFill="1" applyBorder="1" applyAlignment="1">
      <alignment horizontal="center" vertical="center" wrapText="1"/>
    </xf>
    <xf numFmtId="164" fontId="5" fillId="4" borderId="5" xfId="0" applyNumberFormat="1" applyFont="1" applyFill="1" applyBorder="1" applyAlignment="1">
      <alignment horizontal="center" vertical="center"/>
    </xf>
    <xf numFmtId="0" fontId="5" fillId="4" borderId="3" xfId="0" applyFont="1" applyFill="1" applyBorder="1" applyAlignment="1">
      <alignment horizontal="center" vertical="center"/>
    </xf>
    <xf numFmtId="164" fontId="5" fillId="4" borderId="3" xfId="0" applyNumberFormat="1" applyFont="1" applyFill="1" applyBorder="1" applyAlignment="1">
      <alignment horizontal="center" vertical="center" wrapText="1"/>
    </xf>
    <xf numFmtId="0" fontId="5" fillId="4" borderId="41" xfId="0" applyFont="1" applyFill="1" applyBorder="1" applyAlignment="1">
      <alignment horizontal="center"/>
    </xf>
    <xf numFmtId="0" fontId="5" fillId="4" borderId="18" xfId="0" applyFont="1" applyFill="1" applyBorder="1" applyAlignment="1">
      <alignment horizontal="center"/>
    </xf>
    <xf numFmtId="0" fontId="5" fillId="4" borderId="19" xfId="0" applyFont="1" applyFill="1" applyBorder="1" applyAlignment="1">
      <alignment horizontal="center"/>
    </xf>
    <xf numFmtId="0" fontId="5" fillId="4" borderId="20" xfId="0" applyFont="1" applyFill="1" applyBorder="1" applyAlignment="1">
      <alignment horizontal="center"/>
    </xf>
    <xf numFmtId="164" fontId="5" fillId="4" borderId="7" xfId="0" applyNumberFormat="1" applyFont="1" applyFill="1" applyBorder="1" applyAlignment="1">
      <alignment horizontal="center"/>
    </xf>
    <xf numFmtId="164" fontId="5" fillId="4" borderId="9" xfId="0" applyNumberFormat="1" applyFont="1" applyFill="1" applyBorder="1" applyAlignment="1">
      <alignment horizontal="center"/>
    </xf>
    <xf numFmtId="164" fontId="5" fillId="4" borderId="8" xfId="0" applyNumberFormat="1" applyFont="1" applyFill="1" applyBorder="1" applyAlignment="1">
      <alignment horizontal="center"/>
    </xf>
    <xf numFmtId="164" fontId="5" fillId="4" borderId="6" xfId="0" applyNumberFormat="1" applyFont="1" applyFill="1" applyBorder="1" applyAlignment="1">
      <alignment horizontal="center"/>
    </xf>
    <xf numFmtId="164" fontId="5" fillId="4" borderId="1" xfId="0" applyNumberFormat="1" applyFont="1" applyFill="1" applyBorder="1" applyAlignment="1">
      <alignment horizontal="center"/>
    </xf>
    <xf numFmtId="170" fontId="5" fillId="4" borderId="1" xfId="0" applyNumberFormat="1" applyFont="1" applyFill="1" applyBorder="1" applyAlignment="1">
      <alignment horizontal="center"/>
    </xf>
    <xf numFmtId="2" fontId="5" fillId="4" borderId="1" xfId="0" applyNumberFormat="1" applyFont="1" applyFill="1" applyBorder="1" applyAlignment="1">
      <alignment horizontal="center"/>
    </xf>
    <xf numFmtId="0" fontId="5" fillId="4" borderId="6" xfId="0" applyFont="1" applyFill="1" applyBorder="1" applyAlignment="1">
      <alignment horizontal="center"/>
    </xf>
    <xf numFmtId="0" fontId="4" fillId="0" borderId="6" xfId="1" applyFont="1" applyBorder="1" applyAlignment="1">
      <alignment horizontal="center" vertical="center"/>
    </xf>
    <xf numFmtId="0" fontId="4" fillId="0" borderId="6" xfId="0" applyFont="1" applyBorder="1" applyAlignment="1">
      <alignment horizontal="center" vertical="center"/>
    </xf>
    <xf numFmtId="166" fontId="4" fillId="4" borderId="1" xfId="0" applyNumberFormat="1" applyFont="1" applyFill="1" applyBorder="1" applyAlignment="1">
      <alignment horizontal="center"/>
    </xf>
    <xf numFmtId="0" fontId="4" fillId="4" borderId="1" xfId="0" applyFont="1" applyFill="1" applyBorder="1" applyAlignment="1">
      <alignment horizontal="center" vertical="center"/>
    </xf>
    <xf numFmtId="0" fontId="4" fillId="4" borderId="36" xfId="0" applyFont="1" applyFill="1" applyBorder="1" applyAlignment="1">
      <alignment horizontal="center"/>
    </xf>
    <xf numFmtId="166" fontId="4" fillId="0" borderId="6" xfId="1" applyNumberFormat="1" applyFont="1" applyBorder="1" applyAlignment="1">
      <alignment horizontal="center" vertical="center"/>
    </xf>
    <xf numFmtId="0" fontId="5" fillId="4" borderId="33" xfId="0" applyFont="1" applyFill="1" applyBorder="1" applyAlignment="1">
      <alignment horizontal="left"/>
    </xf>
    <xf numFmtId="0" fontId="5" fillId="4" borderId="0" xfId="0" applyFont="1" applyFill="1" applyAlignment="1">
      <alignment horizontal="left"/>
    </xf>
    <xf numFmtId="0" fontId="5" fillId="4" borderId="0" xfId="0" applyFont="1" applyFill="1" applyAlignment="1">
      <alignment horizontal="center"/>
    </xf>
    <xf numFmtId="0" fontId="4" fillId="4" borderId="0" xfId="0" applyFont="1" applyFill="1" applyAlignment="1">
      <alignment horizontal="center"/>
    </xf>
    <xf numFmtId="0" fontId="4" fillId="4" borderId="5" xfId="0" applyFont="1" applyFill="1" applyBorder="1" applyAlignment="1">
      <alignment horizontal="center"/>
    </xf>
    <xf numFmtId="0" fontId="5" fillId="4" borderId="34" xfId="0" applyFont="1" applyFill="1" applyBorder="1" applyAlignment="1">
      <alignment horizontal="left"/>
    </xf>
    <xf numFmtId="0" fontId="5" fillId="4" borderId="5" xfId="0" applyFont="1" applyFill="1" applyBorder="1" applyAlignment="1">
      <alignment horizontal="left"/>
    </xf>
    <xf numFmtId="0" fontId="5" fillId="4" borderId="37" xfId="0" applyFont="1" applyFill="1" applyBorder="1" applyAlignment="1">
      <alignment horizontal="center"/>
    </xf>
    <xf numFmtId="0" fontId="5" fillId="4" borderId="12" xfId="0" applyFont="1" applyFill="1" applyBorder="1" applyAlignment="1">
      <alignment horizontal="center"/>
    </xf>
    <xf numFmtId="0" fontId="5" fillId="4" borderId="54" xfId="0" applyFont="1" applyFill="1" applyBorder="1" applyAlignment="1">
      <alignment horizontal="center"/>
    </xf>
    <xf numFmtId="0" fontId="5" fillId="4" borderId="17" xfId="0" applyFont="1" applyFill="1" applyBorder="1" applyAlignment="1">
      <alignment horizontal="center"/>
    </xf>
    <xf numFmtId="0" fontId="5" fillId="4" borderId="40" xfId="0" applyFont="1" applyFill="1" applyBorder="1" applyAlignment="1">
      <alignment horizontal="center"/>
    </xf>
    <xf numFmtId="0" fontId="5" fillId="4" borderId="10" xfId="0" applyFont="1" applyFill="1" applyBorder="1" applyAlignment="1">
      <alignment horizontal="left"/>
    </xf>
    <xf numFmtId="0" fontId="5" fillId="4" borderId="38" xfId="0" applyFont="1" applyFill="1" applyBorder="1" applyAlignment="1">
      <alignment horizontal="left"/>
    </xf>
    <xf numFmtId="0" fontId="5" fillId="4" borderId="39" xfId="0" applyFont="1" applyFill="1" applyBorder="1" applyAlignment="1">
      <alignment horizontal="left"/>
    </xf>
    <xf numFmtId="1" fontId="5" fillId="4" borderId="20" xfId="0" applyNumberFormat="1" applyFont="1" applyFill="1" applyBorder="1" applyAlignment="1">
      <alignment horizontal="center"/>
    </xf>
    <xf numFmtId="1" fontId="5" fillId="4" borderId="18" xfId="0" applyNumberFormat="1" applyFont="1" applyFill="1" applyBorder="1" applyAlignment="1">
      <alignment horizontal="center"/>
    </xf>
    <xf numFmtId="1" fontId="5" fillId="4" borderId="19" xfId="0" applyNumberFormat="1" applyFont="1" applyFill="1" applyBorder="1" applyAlignment="1">
      <alignment horizontal="center"/>
    </xf>
    <xf numFmtId="165" fontId="5" fillId="4" borderId="20" xfId="0" applyNumberFormat="1" applyFont="1" applyFill="1" applyBorder="1" applyAlignment="1">
      <alignment horizontal="center"/>
    </xf>
    <xf numFmtId="165" fontId="5" fillId="4" borderId="18" xfId="0" applyNumberFormat="1" applyFont="1" applyFill="1" applyBorder="1" applyAlignment="1">
      <alignment horizontal="center"/>
    </xf>
    <xf numFmtId="165" fontId="5" fillId="4" borderId="42" xfId="0" applyNumberFormat="1" applyFont="1" applyFill="1" applyBorder="1" applyAlignment="1">
      <alignment horizontal="center"/>
    </xf>
    <xf numFmtId="0" fontId="5" fillId="4" borderId="12" xfId="0" applyFont="1" applyFill="1" applyBorder="1" applyAlignment="1">
      <alignment horizontal="left" vertical="center"/>
    </xf>
    <xf numFmtId="0" fontId="4" fillId="4" borderId="0" xfId="0" applyFont="1" applyFill="1" applyAlignment="1">
      <alignment horizontal="left"/>
    </xf>
    <xf numFmtId="0" fontId="4" fillId="4" borderId="5" xfId="0" applyFont="1" applyFill="1" applyBorder="1" applyAlignment="1">
      <alignment horizontal="left"/>
    </xf>
    <xf numFmtId="165" fontId="5" fillId="4" borderId="0" xfId="0" applyNumberFormat="1" applyFont="1" applyFill="1" applyAlignment="1">
      <alignment horizontal="left"/>
    </xf>
    <xf numFmtId="165" fontId="5" fillId="4" borderId="34" xfId="0" applyNumberFormat="1" applyFont="1" applyFill="1" applyBorder="1" applyAlignment="1">
      <alignment horizontal="left"/>
    </xf>
    <xf numFmtId="165" fontId="5" fillId="4" borderId="5" xfId="0" applyNumberFormat="1" applyFont="1" applyFill="1" applyBorder="1" applyAlignment="1">
      <alignment horizontal="left"/>
    </xf>
    <xf numFmtId="165" fontId="5" fillId="4" borderId="39" xfId="0" applyNumberFormat="1" applyFont="1" applyFill="1" applyBorder="1" applyAlignment="1">
      <alignment horizontal="left"/>
    </xf>
    <xf numFmtId="0" fontId="5" fillId="4" borderId="12" xfId="0" applyFont="1" applyFill="1" applyBorder="1" applyAlignment="1">
      <alignment horizontal="center" vertical="center"/>
    </xf>
    <xf numFmtId="0" fontId="5" fillId="3" borderId="0" xfId="0" applyFont="1" applyFill="1" applyAlignment="1">
      <alignment horizontal="center"/>
    </xf>
    <xf numFmtId="165" fontId="5" fillId="4" borderId="10" xfId="0" applyNumberFormat="1" applyFont="1" applyFill="1" applyBorder="1" applyAlignment="1">
      <alignment horizontal="left"/>
    </xf>
    <xf numFmtId="165" fontId="5" fillId="4" borderId="38" xfId="0" applyNumberFormat="1" applyFont="1" applyFill="1" applyBorder="1" applyAlignment="1">
      <alignment horizontal="left"/>
    </xf>
    <xf numFmtId="0" fontId="5" fillId="4" borderId="42" xfId="0" applyFont="1" applyFill="1" applyBorder="1" applyAlignment="1">
      <alignment horizontal="center"/>
    </xf>
    <xf numFmtId="0" fontId="4" fillId="6" borderId="49" xfId="0" applyFont="1" applyFill="1" applyBorder="1" applyAlignment="1">
      <alignment horizontal="center"/>
    </xf>
    <xf numFmtId="0" fontId="4" fillId="6" borderId="50" xfId="0" applyFont="1" applyFill="1" applyBorder="1" applyAlignment="1">
      <alignment horizontal="center"/>
    </xf>
    <xf numFmtId="0" fontId="4" fillId="6" borderId="53" xfId="0" applyFont="1" applyFill="1" applyBorder="1" applyAlignment="1">
      <alignment horizontal="center"/>
    </xf>
    <xf numFmtId="2" fontId="5" fillId="4" borderId="25" xfId="0" applyNumberFormat="1" applyFont="1" applyFill="1" applyBorder="1" applyAlignment="1">
      <alignment horizontal="center"/>
    </xf>
    <xf numFmtId="0" fontId="5" fillId="4" borderId="3" xfId="0" applyFont="1" applyFill="1" applyBorder="1" applyAlignment="1">
      <alignment horizontal="center"/>
    </xf>
    <xf numFmtId="170" fontId="5" fillId="4" borderId="25" xfId="0" applyNumberFormat="1" applyFont="1" applyFill="1" applyBorder="1" applyAlignment="1">
      <alignment horizontal="center"/>
    </xf>
    <xf numFmtId="0" fontId="5" fillId="4" borderId="43" xfId="0" applyFont="1" applyFill="1" applyBorder="1" applyAlignment="1">
      <alignment horizontal="center"/>
    </xf>
    <xf numFmtId="0" fontId="5" fillId="4" borderId="44" xfId="0" applyFont="1" applyFill="1" applyBorder="1" applyAlignment="1">
      <alignment horizontal="center"/>
    </xf>
    <xf numFmtId="0" fontId="5" fillId="4" borderId="45" xfId="0" applyFont="1" applyFill="1" applyBorder="1" applyAlignment="1">
      <alignment horizontal="center"/>
    </xf>
    <xf numFmtId="0" fontId="5" fillId="4" borderId="46" xfId="0" applyFont="1" applyFill="1" applyBorder="1" applyAlignment="1">
      <alignment horizontal="center"/>
    </xf>
    <xf numFmtId="0" fontId="5" fillId="4" borderId="47" xfId="0" applyFont="1" applyFill="1" applyBorder="1" applyAlignment="1">
      <alignment horizontal="center"/>
    </xf>
    <xf numFmtId="0" fontId="5" fillId="4" borderId="48" xfId="0" applyFont="1" applyFill="1" applyBorder="1" applyAlignment="1">
      <alignment horizontal="center"/>
    </xf>
    <xf numFmtId="0" fontId="4" fillId="4" borderId="33" xfId="0" applyFont="1" applyFill="1" applyBorder="1" applyAlignment="1">
      <alignment horizontal="center"/>
    </xf>
    <xf numFmtId="0" fontId="4" fillId="4" borderId="13" xfId="0" applyFont="1" applyFill="1" applyBorder="1" applyAlignment="1">
      <alignment horizontal="center"/>
    </xf>
    <xf numFmtId="0" fontId="5" fillId="4" borderId="21" xfId="0" applyFont="1" applyFill="1" applyBorder="1" applyAlignment="1">
      <alignment horizontal="center"/>
    </xf>
    <xf numFmtId="0" fontId="5" fillId="4" borderId="35" xfId="0" applyFont="1" applyFill="1" applyBorder="1" applyAlignment="1">
      <alignment horizontal="center"/>
    </xf>
    <xf numFmtId="0" fontId="5" fillId="4" borderId="11" xfId="0" applyFont="1" applyFill="1" applyBorder="1" applyAlignment="1">
      <alignment horizontal="center"/>
    </xf>
    <xf numFmtId="0" fontId="5" fillId="4" borderId="15" xfId="0" applyFont="1" applyFill="1" applyBorder="1" applyAlignment="1">
      <alignment horizontal="center"/>
    </xf>
    <xf numFmtId="0" fontId="5" fillId="4" borderId="22" xfId="0" applyFont="1" applyFill="1" applyBorder="1" applyAlignment="1">
      <alignment horizontal="center"/>
    </xf>
    <xf numFmtId="0" fontId="5" fillId="4" borderId="23" xfId="0" applyFont="1" applyFill="1" applyBorder="1" applyAlignment="1">
      <alignment horizontal="center"/>
    </xf>
    <xf numFmtId="0" fontId="5" fillId="4" borderId="36" xfId="0" applyFont="1" applyFill="1" applyBorder="1" applyAlignment="1">
      <alignment horizontal="center"/>
    </xf>
    <xf numFmtId="2" fontId="5" fillId="4" borderId="6" xfId="0" quotePrefix="1" applyNumberFormat="1" applyFont="1" applyFill="1" applyBorder="1" applyAlignment="1">
      <alignment horizontal="center"/>
    </xf>
    <xf numFmtId="0" fontId="4" fillId="4" borderId="25"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8" xfId="0" applyFont="1" applyFill="1" applyBorder="1" applyAlignment="1">
      <alignment horizontal="center" vertical="center"/>
    </xf>
    <xf numFmtId="164" fontId="5" fillId="4" borderId="25" xfId="0" applyNumberFormat="1" applyFont="1" applyFill="1" applyBorder="1" applyAlignment="1">
      <alignment horizontal="center"/>
    </xf>
    <xf numFmtId="164" fontId="5" fillId="4" borderId="6" xfId="0" quotePrefix="1" applyNumberFormat="1" applyFont="1" applyFill="1" applyBorder="1" applyAlignment="1">
      <alignment horizontal="center"/>
    </xf>
    <xf numFmtId="170" fontId="5" fillId="4" borderId="6" xfId="0" quotePrefix="1" applyNumberFormat="1" applyFont="1" applyFill="1" applyBorder="1" applyAlignment="1">
      <alignment horizontal="center"/>
    </xf>
    <xf numFmtId="1" fontId="5" fillId="4" borderId="6" xfId="0" applyNumberFormat="1" applyFont="1" applyFill="1" applyBorder="1" applyAlignment="1">
      <alignment horizontal="center"/>
    </xf>
    <xf numFmtId="1" fontId="5" fillId="4" borderId="6" xfId="0" quotePrefix="1" applyNumberFormat="1" applyFont="1" applyFill="1" applyBorder="1" applyAlignment="1">
      <alignment horizontal="center"/>
    </xf>
    <xf numFmtId="1" fontId="5" fillId="4" borderId="1" xfId="0" applyNumberFormat="1" applyFont="1" applyFill="1" applyBorder="1" applyAlignment="1">
      <alignment horizontal="center"/>
    </xf>
    <xf numFmtId="0" fontId="5" fillId="4" borderId="33" xfId="0" applyFont="1" applyFill="1" applyBorder="1" applyAlignment="1">
      <alignment horizontal="center"/>
    </xf>
    <xf numFmtId="0" fontId="5" fillId="4" borderId="13" xfId="0" applyFont="1" applyFill="1" applyBorder="1" applyAlignment="1">
      <alignment horizontal="center"/>
    </xf>
    <xf numFmtId="0" fontId="5" fillId="4" borderId="0" xfId="0" quotePrefix="1" applyFont="1" applyFill="1" applyAlignment="1">
      <alignment horizontal="center"/>
    </xf>
    <xf numFmtId="165" fontId="5" fillId="4" borderId="24" xfId="0" quotePrefix="1" applyNumberFormat="1" applyFont="1" applyFill="1" applyBorder="1" applyAlignment="1">
      <alignment horizontal="center"/>
    </xf>
    <xf numFmtId="0" fontId="5" fillId="4" borderId="34" xfId="0" quotePrefix="1" applyFont="1" applyFill="1" applyBorder="1" applyAlignment="1">
      <alignment horizontal="center"/>
    </xf>
    <xf numFmtId="49" fontId="5" fillId="4" borderId="6" xfId="0" applyNumberFormat="1" applyFont="1" applyFill="1" applyBorder="1" applyAlignment="1">
      <alignment horizontal="center" vertical="center"/>
    </xf>
    <xf numFmtId="0" fontId="5" fillId="4" borderId="9" xfId="0" applyFont="1" applyFill="1" applyBorder="1"/>
    <xf numFmtId="0" fontId="5" fillId="4" borderId="8" xfId="0" applyFont="1" applyFill="1" applyBorder="1"/>
    <xf numFmtId="0" fontId="5" fillId="4" borderId="7" xfId="0" quotePrefix="1" applyFont="1" applyFill="1" applyBorder="1" applyAlignment="1">
      <alignment horizontal="right" vertical="center"/>
    </xf>
    <xf numFmtId="166" fontId="5" fillId="4" borderId="0" xfId="0" applyNumberFormat="1" applyFont="1" applyFill="1" applyAlignment="1">
      <alignment horizontal="center"/>
    </xf>
    <xf numFmtId="0" fontId="11" fillId="0" borderId="55" xfId="0" applyFont="1" applyBorder="1" applyAlignment="1">
      <alignment horizontal="center" vertical="center" wrapText="1"/>
    </xf>
    <xf numFmtId="0" fontId="11" fillId="0" borderId="56" xfId="0" applyFont="1" applyBorder="1" applyAlignment="1">
      <alignment horizontal="center" vertical="center" wrapText="1"/>
    </xf>
    <xf numFmtId="0" fontId="11" fillId="0" borderId="57" xfId="0" applyFont="1" applyBorder="1" applyAlignment="1">
      <alignment horizontal="center" vertical="center" wrapText="1"/>
    </xf>
    <xf numFmtId="0" fontId="11" fillId="0" borderId="58"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60" xfId="0" applyFont="1" applyBorder="1" applyAlignment="1">
      <alignment horizontal="center" vertical="center" wrapText="1"/>
    </xf>
  </cellXfs>
  <cellStyles count="4">
    <cellStyle name="Hyperlink" xfId="3" builtinId="8"/>
    <cellStyle name="Normal" xfId="0" builtinId="0"/>
    <cellStyle name="Normal 2" xfId="1" xr:uid="{00000000-0005-0000-0000-000002000000}"/>
    <cellStyle name="Normal 3" xfId="2" xr:uid="{00000000-0005-0000-0000-000003000000}"/>
  </cellStyles>
  <dxfs count="33">
    <dxf>
      <fill>
        <patternFill>
          <bgColor theme="9"/>
        </patternFill>
      </fill>
    </dxf>
    <dxf>
      <fill>
        <patternFill>
          <bgColor rgb="FFFF0000"/>
        </patternFill>
      </fill>
    </dxf>
    <dxf>
      <fill>
        <patternFill>
          <bgColor rgb="FF00B050"/>
        </patternFill>
      </fill>
    </dxf>
    <dxf>
      <fill>
        <patternFill>
          <bgColor theme="9"/>
        </patternFill>
      </fill>
    </dxf>
    <dxf>
      <fill>
        <patternFill>
          <bgColor rgb="FFFF0000"/>
        </patternFill>
      </fill>
    </dxf>
    <dxf>
      <fill>
        <patternFill>
          <bgColor rgb="FF00B050"/>
        </patternFill>
      </fill>
    </dxf>
    <dxf>
      <fill>
        <patternFill>
          <bgColor theme="9"/>
        </patternFill>
      </fill>
    </dxf>
    <dxf>
      <fill>
        <patternFill>
          <bgColor rgb="FFFF0000"/>
        </patternFill>
      </fill>
    </dxf>
    <dxf>
      <fill>
        <patternFill>
          <bgColor rgb="FF00B050"/>
        </patternFill>
      </fill>
    </dxf>
    <dxf>
      <fill>
        <patternFill>
          <bgColor theme="9"/>
        </patternFill>
      </fill>
    </dxf>
    <dxf>
      <fill>
        <patternFill>
          <bgColor rgb="FFFF0000"/>
        </patternFill>
      </fill>
    </dxf>
    <dxf>
      <fill>
        <patternFill>
          <bgColor rgb="FF00B050"/>
        </patternFill>
      </fill>
    </dxf>
    <dxf>
      <fill>
        <patternFill>
          <bgColor theme="9"/>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50"/>
        </patternFill>
      </fill>
    </dxf>
    <dxf>
      <fill>
        <patternFill>
          <bgColor theme="9"/>
        </patternFill>
      </fill>
    </dxf>
    <dxf>
      <fill>
        <patternFill>
          <bgColor rgb="FFFF0000"/>
        </patternFill>
      </fill>
    </dxf>
    <dxf>
      <fill>
        <patternFill>
          <bgColor rgb="FF00B050"/>
        </patternFill>
      </fill>
    </dxf>
    <dxf>
      <fill>
        <patternFill>
          <bgColor theme="9"/>
        </patternFill>
      </fill>
    </dxf>
    <dxf>
      <fill>
        <patternFill>
          <bgColor rgb="FFFF0000"/>
        </patternFill>
      </fill>
    </dxf>
    <dxf>
      <fill>
        <patternFill>
          <bgColor rgb="FF00B050"/>
        </patternFill>
      </fill>
    </dxf>
    <dxf>
      <fill>
        <patternFill>
          <bgColor theme="9"/>
        </patternFill>
      </fill>
    </dxf>
    <dxf>
      <fill>
        <patternFill>
          <bgColor rgb="FFFF0000"/>
        </patternFill>
      </fill>
    </dxf>
    <dxf>
      <fill>
        <patternFill>
          <bgColor rgb="FF00B050"/>
        </patternFill>
      </fill>
    </dxf>
    <dxf>
      <fill>
        <patternFill>
          <bgColor theme="9"/>
        </patternFill>
      </fill>
    </dxf>
    <dxf>
      <fill>
        <patternFill>
          <bgColor rgb="FFFF0000"/>
        </patternFill>
      </fill>
    </dxf>
    <dxf>
      <fill>
        <patternFill>
          <bgColor rgb="FF00B05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86590</xdr:colOff>
      <xdr:row>7</xdr:row>
      <xdr:rowOff>60613</xdr:rowOff>
    </xdr:from>
    <xdr:to>
      <xdr:col>25</xdr:col>
      <xdr:colOff>233795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bwMode="auto">
        <a:xfrm flipV="1">
          <a:off x="458065" y="1298863"/>
          <a:ext cx="6062230" cy="1"/>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twoCellAnchor editAs="oneCell">
    <xdr:from>
      <xdr:col>3</xdr:col>
      <xdr:colOff>74635</xdr:colOff>
      <xdr:row>0</xdr:row>
      <xdr:rowOff>149225</xdr:rowOff>
    </xdr:from>
    <xdr:to>
      <xdr:col>9</xdr:col>
      <xdr:colOff>76199</xdr:colOff>
      <xdr:row>4</xdr:row>
      <xdr:rowOff>107374</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bwMode="auto">
        <a:xfrm>
          <a:off x="703285" y="149225"/>
          <a:ext cx="1544615" cy="631826"/>
        </a:xfrm>
        <a:prstGeom prst="rect">
          <a:avLst/>
        </a:prstGeom>
        <a:noFill/>
        <a:ln w="9525">
          <a:noFill/>
          <a:miter lim="800000"/>
          <a:headEnd/>
          <a:tailEnd/>
        </a:ln>
      </xdr:spPr>
    </xdr:pic>
    <xdr:clientData/>
  </xdr:twoCellAnchor>
  <xdr:twoCellAnchor>
    <xdr:from>
      <xdr:col>2</xdr:col>
      <xdr:colOff>77932</xdr:colOff>
      <xdr:row>110</xdr:row>
      <xdr:rowOff>149795</xdr:rowOff>
    </xdr:from>
    <xdr:to>
      <xdr:col>25</xdr:col>
      <xdr:colOff>210417</xdr:colOff>
      <xdr:row>110</xdr:row>
      <xdr:rowOff>151383</xdr:rowOff>
    </xdr:to>
    <xdr:cxnSp macro="">
      <xdr:nvCxnSpPr>
        <xdr:cNvPr id="9" name="AutoShape 1">
          <a:extLst>
            <a:ext uri="{FF2B5EF4-FFF2-40B4-BE49-F238E27FC236}">
              <a16:creationId xmlns:a16="http://schemas.microsoft.com/office/drawing/2014/main" id="{00000000-0008-0000-0000-000009000000}"/>
            </a:ext>
          </a:extLst>
        </xdr:cNvPr>
        <xdr:cNvCxnSpPr>
          <a:cxnSpLocks noChangeShapeType="1"/>
        </xdr:cNvCxnSpPr>
      </xdr:nvCxnSpPr>
      <xdr:spPr bwMode="auto">
        <a:xfrm>
          <a:off x="450273" y="19104545"/>
          <a:ext cx="6107258" cy="1588"/>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twoCellAnchor>
    <xdr:from>
      <xdr:col>2</xdr:col>
      <xdr:colOff>77932</xdr:colOff>
      <xdr:row>162</xdr:row>
      <xdr:rowOff>149795</xdr:rowOff>
    </xdr:from>
    <xdr:to>
      <xdr:col>25</xdr:col>
      <xdr:colOff>210417</xdr:colOff>
      <xdr:row>162</xdr:row>
      <xdr:rowOff>151383</xdr:rowOff>
    </xdr:to>
    <xdr:cxnSp macro="">
      <xdr:nvCxnSpPr>
        <xdr:cNvPr id="18" name="AutoShape 1">
          <a:extLst>
            <a:ext uri="{FF2B5EF4-FFF2-40B4-BE49-F238E27FC236}">
              <a16:creationId xmlns:a16="http://schemas.microsoft.com/office/drawing/2014/main" id="{00000000-0008-0000-0000-000012000000}"/>
            </a:ext>
          </a:extLst>
        </xdr:cNvPr>
        <xdr:cNvCxnSpPr>
          <a:cxnSpLocks noChangeShapeType="1"/>
        </xdr:cNvCxnSpPr>
      </xdr:nvCxnSpPr>
      <xdr:spPr bwMode="auto">
        <a:xfrm>
          <a:off x="443057" y="18318733"/>
          <a:ext cx="5974485" cy="1588"/>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twoCellAnchor>
    <xdr:from>
      <xdr:col>2</xdr:col>
      <xdr:colOff>77932</xdr:colOff>
      <xdr:row>275</xdr:row>
      <xdr:rowOff>149795</xdr:rowOff>
    </xdr:from>
    <xdr:to>
      <xdr:col>25</xdr:col>
      <xdr:colOff>210417</xdr:colOff>
      <xdr:row>275</xdr:row>
      <xdr:rowOff>151383</xdr:rowOff>
    </xdr:to>
    <xdr:cxnSp macro="">
      <xdr:nvCxnSpPr>
        <xdr:cNvPr id="20" name="AutoShape 1">
          <a:extLst>
            <a:ext uri="{FF2B5EF4-FFF2-40B4-BE49-F238E27FC236}">
              <a16:creationId xmlns:a16="http://schemas.microsoft.com/office/drawing/2014/main" id="{00000000-0008-0000-0000-000014000000}"/>
            </a:ext>
          </a:extLst>
        </xdr:cNvPr>
        <xdr:cNvCxnSpPr>
          <a:cxnSpLocks noChangeShapeType="1"/>
        </xdr:cNvCxnSpPr>
      </xdr:nvCxnSpPr>
      <xdr:spPr bwMode="auto">
        <a:xfrm>
          <a:off x="443057" y="27669108"/>
          <a:ext cx="5974485" cy="1588"/>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oneCellAnchor>
    <xdr:from>
      <xdr:col>1</xdr:col>
      <xdr:colOff>372340</xdr:colOff>
      <xdr:row>111</xdr:row>
      <xdr:rowOff>0</xdr:rowOff>
    </xdr:from>
    <xdr:ext cx="2283317" cy="975267"/>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632113" y="19327091"/>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000">
              <a:latin typeface="Arial Narrow" pitchFamily="34" charset="0"/>
            </a:rPr>
            <a:t>Block 1 Lot 49, Jubilation Commercial Strip, </a:t>
          </a:r>
        </a:p>
        <a:p>
          <a:r>
            <a:rPr lang="en-US" sz="1000">
              <a:latin typeface="Arial Narrow" pitchFamily="34" charset="0"/>
            </a:rPr>
            <a:t>Brgy. Zapote, Biñan City, Laguna 4024 Phils.</a:t>
          </a:r>
        </a:p>
        <a:p>
          <a:r>
            <a:rPr lang="en-US" sz="1000">
              <a:latin typeface="Arial Narrow" pitchFamily="34" charset="0"/>
            </a:rPr>
            <a:t>Contact Nos.: (049) 513-5233/591-0807;</a:t>
          </a:r>
        </a:p>
        <a:p>
          <a:r>
            <a:rPr lang="en-US" sz="1000">
              <a:latin typeface="Arial Narrow" pitchFamily="34" charset="0"/>
            </a:rPr>
            <a:t>                 (02) 782-2153; 09236581107</a:t>
          </a:r>
        </a:p>
        <a:p>
          <a:r>
            <a:rPr lang="en-US" sz="1000">
              <a:latin typeface="Arial Narrow" pitchFamily="34" charset="0"/>
            </a:rPr>
            <a:t>Email: </a:t>
          </a:r>
          <a:r>
            <a:rPr lang="en-US" sz="1000" baseline="0">
              <a:latin typeface="Arial Narrow" pitchFamily="34" charset="0"/>
            </a:rPr>
            <a:t> </a:t>
          </a:r>
          <a:r>
            <a:rPr lang="en-US" sz="1000">
              <a:latin typeface="Arial Narrow" pitchFamily="34" charset="0"/>
            </a:rPr>
            <a:t>admin@sonjuengineering.com</a:t>
          </a:r>
        </a:p>
        <a:p>
          <a:r>
            <a:rPr lang="en-US" sz="1000">
              <a:latin typeface="Arial Narrow" pitchFamily="34" charset="0"/>
            </a:rPr>
            <a:t>Website:</a:t>
          </a:r>
          <a:r>
            <a:rPr lang="en-US" sz="1000" baseline="0">
              <a:latin typeface="Arial Narrow" pitchFamily="34" charset="0"/>
            </a:rPr>
            <a:t> www.sonjuengineering.com</a:t>
          </a:r>
          <a:endParaRPr lang="en-US" sz="1000">
            <a:latin typeface="Arial Narrow" pitchFamily="34" charset="0"/>
          </a:endParaRPr>
        </a:p>
      </xdr:txBody>
    </xdr:sp>
    <xdr:clientData/>
  </xdr:oneCellAnchor>
  <xdr:oneCellAnchor>
    <xdr:from>
      <xdr:col>9</xdr:col>
      <xdr:colOff>237502</xdr:colOff>
      <xdr:row>112</xdr:row>
      <xdr:rowOff>155498</xdr:rowOff>
    </xdr:from>
    <xdr:ext cx="2458494" cy="386644"/>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2696684" y="19647112"/>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itchFamily="34" charset="0"/>
            </a:rPr>
            <a:t>This report shall not be reproduced except in full,</a:t>
          </a:r>
        </a:p>
        <a:p>
          <a:pPr algn="ctr"/>
          <a:r>
            <a:rPr lang="en-US" sz="1000">
              <a:latin typeface="Arial Narrow" pitchFamily="34" charset="0"/>
            </a:rPr>
            <a:t>without the written approval from the laboratory</a:t>
          </a:r>
        </a:p>
      </xdr:txBody>
    </xdr:sp>
    <xdr:clientData/>
  </xdr:oneCellAnchor>
  <xdr:oneCellAnchor>
    <xdr:from>
      <xdr:col>1</xdr:col>
      <xdr:colOff>363681</xdr:colOff>
      <xdr:row>162</xdr:row>
      <xdr:rowOff>181840</xdr:rowOff>
    </xdr:from>
    <xdr:ext cx="2283317" cy="975267"/>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623454" y="28730863"/>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000">
              <a:latin typeface="Arial Narrow" pitchFamily="34" charset="0"/>
            </a:rPr>
            <a:t>Block 1 Lot 49, Jubilation Commercial Strip, </a:t>
          </a:r>
        </a:p>
        <a:p>
          <a:r>
            <a:rPr lang="en-US" sz="1000">
              <a:latin typeface="Arial Narrow" pitchFamily="34" charset="0"/>
            </a:rPr>
            <a:t>Brgy. Zapote, Biñan City, Laguna 4024 Phils.</a:t>
          </a:r>
        </a:p>
        <a:p>
          <a:r>
            <a:rPr lang="en-US" sz="1000">
              <a:latin typeface="Arial Narrow" pitchFamily="34" charset="0"/>
            </a:rPr>
            <a:t>Contact Nos.: (049) 513-5233/591-0807;</a:t>
          </a:r>
        </a:p>
        <a:p>
          <a:r>
            <a:rPr lang="en-US" sz="1000">
              <a:latin typeface="Arial Narrow" pitchFamily="34" charset="0"/>
            </a:rPr>
            <a:t>                 (02) 782-2153; 09236581107</a:t>
          </a:r>
        </a:p>
        <a:p>
          <a:r>
            <a:rPr lang="en-US" sz="1000">
              <a:latin typeface="Arial Narrow" pitchFamily="34" charset="0"/>
            </a:rPr>
            <a:t>Email: </a:t>
          </a:r>
          <a:r>
            <a:rPr lang="en-US" sz="1000" baseline="0">
              <a:latin typeface="Arial Narrow" pitchFamily="34" charset="0"/>
            </a:rPr>
            <a:t> </a:t>
          </a:r>
          <a:r>
            <a:rPr lang="en-US" sz="1000">
              <a:latin typeface="Arial Narrow" pitchFamily="34" charset="0"/>
            </a:rPr>
            <a:t>admin@sonjuengineering.com</a:t>
          </a:r>
        </a:p>
        <a:p>
          <a:r>
            <a:rPr lang="en-US" sz="1000">
              <a:latin typeface="Arial Narrow" pitchFamily="34" charset="0"/>
            </a:rPr>
            <a:t>Website:</a:t>
          </a:r>
          <a:r>
            <a:rPr lang="en-US" sz="1000" baseline="0">
              <a:latin typeface="Arial Narrow" pitchFamily="34" charset="0"/>
            </a:rPr>
            <a:t> www.sonjuengineering.com</a:t>
          </a:r>
          <a:endParaRPr lang="en-US" sz="1000">
            <a:latin typeface="Arial Narrow" pitchFamily="34" charset="0"/>
          </a:endParaRPr>
        </a:p>
      </xdr:txBody>
    </xdr:sp>
    <xdr:clientData/>
  </xdr:oneCellAnchor>
  <xdr:oneCellAnchor>
    <xdr:from>
      <xdr:col>9</xdr:col>
      <xdr:colOff>228843</xdr:colOff>
      <xdr:row>164</xdr:row>
      <xdr:rowOff>146839</xdr:rowOff>
    </xdr:from>
    <xdr:ext cx="2458494" cy="386644"/>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2688025" y="29050884"/>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itchFamily="34" charset="0"/>
            </a:rPr>
            <a:t>This report shall not be reproduced except in full,</a:t>
          </a:r>
        </a:p>
        <a:p>
          <a:pPr algn="ctr"/>
          <a:r>
            <a:rPr lang="en-US" sz="1000">
              <a:latin typeface="Arial Narrow" pitchFamily="34" charset="0"/>
            </a:rPr>
            <a:t>without the written approval from the laboratory</a:t>
          </a:r>
        </a:p>
      </xdr:txBody>
    </xdr:sp>
    <xdr:clientData/>
  </xdr:oneCellAnchor>
  <xdr:oneCellAnchor>
    <xdr:from>
      <xdr:col>2</xdr:col>
      <xdr:colOff>0</xdr:colOff>
      <xdr:row>276</xdr:row>
      <xdr:rowOff>0</xdr:rowOff>
    </xdr:from>
    <xdr:ext cx="2283317" cy="975267"/>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640773" y="38550273"/>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000">
              <a:latin typeface="Arial Narrow" pitchFamily="34" charset="0"/>
            </a:rPr>
            <a:t>Block 1 Lot 49, Jubilation Commercial Strip, </a:t>
          </a:r>
        </a:p>
        <a:p>
          <a:r>
            <a:rPr lang="en-US" sz="1000">
              <a:latin typeface="Arial Narrow" pitchFamily="34" charset="0"/>
            </a:rPr>
            <a:t>Brgy. Zapote, Biñan City, Laguna 4024 Phils.</a:t>
          </a:r>
        </a:p>
        <a:p>
          <a:r>
            <a:rPr lang="en-US" sz="1000">
              <a:latin typeface="Arial Narrow" pitchFamily="34" charset="0"/>
            </a:rPr>
            <a:t>Contact Nos.: (049) 513-5233/591-0807;</a:t>
          </a:r>
        </a:p>
        <a:p>
          <a:r>
            <a:rPr lang="en-US" sz="1000">
              <a:latin typeface="Arial Narrow" pitchFamily="34" charset="0"/>
            </a:rPr>
            <a:t>                 (02) 782-2153; 09236581107</a:t>
          </a:r>
        </a:p>
        <a:p>
          <a:r>
            <a:rPr lang="en-US" sz="1000">
              <a:latin typeface="Arial Narrow" pitchFamily="34" charset="0"/>
            </a:rPr>
            <a:t>Email: </a:t>
          </a:r>
          <a:r>
            <a:rPr lang="en-US" sz="1000" baseline="0">
              <a:latin typeface="Arial Narrow" pitchFamily="34" charset="0"/>
            </a:rPr>
            <a:t> </a:t>
          </a:r>
          <a:r>
            <a:rPr lang="en-US" sz="1000">
              <a:latin typeface="Arial Narrow" pitchFamily="34" charset="0"/>
            </a:rPr>
            <a:t>admin@sonjuengineering.com</a:t>
          </a:r>
        </a:p>
        <a:p>
          <a:r>
            <a:rPr lang="en-US" sz="1000">
              <a:latin typeface="Arial Narrow" pitchFamily="34" charset="0"/>
            </a:rPr>
            <a:t>Website:</a:t>
          </a:r>
          <a:r>
            <a:rPr lang="en-US" sz="1000" baseline="0">
              <a:latin typeface="Arial Narrow" pitchFamily="34" charset="0"/>
            </a:rPr>
            <a:t> www.sonjuengineering.com</a:t>
          </a:r>
          <a:endParaRPr lang="en-US" sz="1000">
            <a:latin typeface="Arial Narrow" pitchFamily="34" charset="0"/>
          </a:endParaRPr>
        </a:p>
      </xdr:txBody>
    </xdr:sp>
    <xdr:clientData/>
  </xdr:oneCellAnchor>
  <xdr:oneCellAnchor>
    <xdr:from>
      <xdr:col>9</xdr:col>
      <xdr:colOff>246162</xdr:colOff>
      <xdr:row>277</xdr:row>
      <xdr:rowOff>155499</xdr:rowOff>
    </xdr:from>
    <xdr:ext cx="2458494" cy="386644"/>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2705344" y="38870294"/>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itchFamily="34" charset="0"/>
            </a:rPr>
            <a:t>This report shall not be reproduced except in full,</a:t>
          </a:r>
        </a:p>
        <a:p>
          <a:pPr algn="ctr"/>
          <a:r>
            <a:rPr lang="en-US" sz="1000">
              <a:latin typeface="Arial Narrow" pitchFamily="34" charset="0"/>
            </a:rPr>
            <a:t>without the written approval from the laboratory</a:t>
          </a:r>
        </a:p>
      </xdr:txBody>
    </xdr:sp>
    <xdr:clientData/>
  </xdr:oneCellAnchor>
  <xdr:twoCellAnchor>
    <xdr:from>
      <xdr:col>2</xdr:col>
      <xdr:colOff>68550</xdr:colOff>
      <xdr:row>57</xdr:row>
      <xdr:rowOff>0</xdr:rowOff>
    </xdr:from>
    <xdr:to>
      <xdr:col>25</xdr:col>
      <xdr:colOff>201035</xdr:colOff>
      <xdr:row>57</xdr:row>
      <xdr:rowOff>33338</xdr:rowOff>
    </xdr:to>
    <xdr:cxnSp macro="">
      <xdr:nvCxnSpPr>
        <xdr:cNvPr id="21" name="AutoShape 1">
          <a:extLst>
            <a:ext uri="{FF2B5EF4-FFF2-40B4-BE49-F238E27FC236}">
              <a16:creationId xmlns:a16="http://schemas.microsoft.com/office/drawing/2014/main" id="{00000000-0008-0000-0000-000015000000}"/>
            </a:ext>
          </a:extLst>
        </xdr:cNvPr>
        <xdr:cNvCxnSpPr>
          <a:cxnSpLocks noChangeShapeType="1"/>
        </xdr:cNvCxnSpPr>
      </xdr:nvCxnSpPr>
      <xdr:spPr bwMode="auto">
        <a:xfrm>
          <a:off x="703550" y="10898188"/>
          <a:ext cx="5974485" cy="33338"/>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oneCellAnchor>
    <xdr:from>
      <xdr:col>2</xdr:col>
      <xdr:colOff>0</xdr:colOff>
      <xdr:row>57</xdr:row>
      <xdr:rowOff>57731</xdr:rowOff>
    </xdr:from>
    <xdr:ext cx="2283317" cy="975267"/>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635000" y="10955919"/>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000">
              <a:latin typeface="Arial Narrow" pitchFamily="34" charset="0"/>
            </a:rPr>
            <a:t>Block 1 Lot 49, Jubilation Commercial Strip, </a:t>
          </a:r>
        </a:p>
        <a:p>
          <a:r>
            <a:rPr lang="en-US" sz="1000">
              <a:latin typeface="Arial Narrow" pitchFamily="34" charset="0"/>
            </a:rPr>
            <a:t>Brgy. Zapote, Biñan City, Laguna 4024 Phils.</a:t>
          </a:r>
        </a:p>
        <a:p>
          <a:r>
            <a:rPr lang="en-US" sz="1000">
              <a:latin typeface="Arial Narrow" pitchFamily="34" charset="0"/>
            </a:rPr>
            <a:t>Contact Nos.: (049) 513-5233/591-0807;</a:t>
          </a:r>
        </a:p>
        <a:p>
          <a:r>
            <a:rPr lang="en-US" sz="1000">
              <a:latin typeface="Arial Narrow" pitchFamily="34" charset="0"/>
            </a:rPr>
            <a:t>                 (02) 782-2153; 09236581107</a:t>
          </a:r>
        </a:p>
        <a:p>
          <a:r>
            <a:rPr lang="en-US" sz="1000">
              <a:latin typeface="Arial Narrow" pitchFamily="34" charset="0"/>
            </a:rPr>
            <a:t>Email: </a:t>
          </a:r>
          <a:r>
            <a:rPr lang="en-US" sz="1000" baseline="0">
              <a:latin typeface="Arial Narrow" pitchFamily="34" charset="0"/>
            </a:rPr>
            <a:t> </a:t>
          </a:r>
          <a:r>
            <a:rPr lang="en-US" sz="1000">
              <a:latin typeface="Arial Narrow" pitchFamily="34" charset="0"/>
            </a:rPr>
            <a:t>admin@sonjuengineering.com</a:t>
          </a:r>
        </a:p>
        <a:p>
          <a:r>
            <a:rPr lang="en-US" sz="1000">
              <a:latin typeface="Arial Narrow" pitchFamily="34" charset="0"/>
            </a:rPr>
            <a:t>Website:</a:t>
          </a:r>
          <a:r>
            <a:rPr lang="en-US" sz="1000" baseline="0">
              <a:latin typeface="Arial Narrow" pitchFamily="34" charset="0"/>
            </a:rPr>
            <a:t> www.sonjuengineering.com</a:t>
          </a:r>
          <a:endParaRPr lang="en-US" sz="1000">
            <a:latin typeface="Arial Narrow" pitchFamily="34" charset="0"/>
          </a:endParaRPr>
        </a:p>
      </xdr:txBody>
    </xdr:sp>
    <xdr:clientData/>
  </xdr:oneCellAnchor>
  <xdr:oneCellAnchor>
    <xdr:from>
      <xdr:col>9</xdr:col>
      <xdr:colOff>240389</xdr:colOff>
      <xdr:row>59</xdr:row>
      <xdr:rowOff>48707</xdr:rowOff>
    </xdr:from>
    <xdr:ext cx="2458494" cy="386644"/>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2653389" y="11327895"/>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itchFamily="34" charset="0"/>
            </a:rPr>
            <a:t>This report shall not be reproduced except in full,</a:t>
          </a:r>
        </a:p>
        <a:p>
          <a:pPr algn="ctr"/>
          <a:r>
            <a:rPr lang="en-US" sz="1000">
              <a:latin typeface="Arial Narrow" pitchFamily="34" charset="0"/>
            </a:rPr>
            <a:t>without the written approval from the laboratory</a:t>
          </a:r>
        </a:p>
      </xdr:txBody>
    </xdr:sp>
    <xdr:clientData/>
  </xdr:oneCellAnchor>
  <xdr:twoCellAnchor>
    <xdr:from>
      <xdr:col>17</xdr:col>
      <xdr:colOff>238140</xdr:colOff>
      <xdr:row>0</xdr:row>
      <xdr:rowOff>111132</xdr:rowOff>
    </xdr:from>
    <xdr:to>
      <xdr:col>25</xdr:col>
      <xdr:colOff>227102</xdr:colOff>
      <xdr:row>5</xdr:row>
      <xdr:rowOff>146057</xdr:rowOff>
    </xdr:to>
    <xdr:grpSp>
      <xdr:nvGrpSpPr>
        <xdr:cNvPr id="19" name="Group 18">
          <a:extLst>
            <a:ext uri="{FF2B5EF4-FFF2-40B4-BE49-F238E27FC236}">
              <a16:creationId xmlns:a16="http://schemas.microsoft.com/office/drawing/2014/main" id="{00000000-0008-0000-0000-000013000000}"/>
            </a:ext>
          </a:extLst>
        </xdr:cNvPr>
        <xdr:cNvGrpSpPr/>
      </xdr:nvGrpSpPr>
      <xdr:grpSpPr>
        <a:xfrm>
          <a:off x="4733940" y="111132"/>
          <a:ext cx="2046362" cy="977900"/>
          <a:chOff x="4701890" y="86590"/>
          <a:chExt cx="2020962" cy="987425"/>
        </a:xfrm>
      </xdr:grpSpPr>
      <xdr:pic>
        <xdr:nvPicPr>
          <xdr:cNvPr id="25" name="Picture 2">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6" name="Picture 25">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77932</xdr:colOff>
      <xdr:row>216</xdr:row>
      <xdr:rowOff>149795</xdr:rowOff>
    </xdr:from>
    <xdr:to>
      <xdr:col>25</xdr:col>
      <xdr:colOff>210417</xdr:colOff>
      <xdr:row>216</xdr:row>
      <xdr:rowOff>151383</xdr:rowOff>
    </xdr:to>
    <xdr:cxnSp macro="">
      <xdr:nvCxnSpPr>
        <xdr:cNvPr id="35" name="AutoShape 1">
          <a:extLst>
            <a:ext uri="{FF2B5EF4-FFF2-40B4-BE49-F238E27FC236}">
              <a16:creationId xmlns:a16="http://schemas.microsoft.com/office/drawing/2014/main" id="{00000000-0008-0000-0000-000023000000}"/>
            </a:ext>
          </a:extLst>
        </xdr:cNvPr>
        <xdr:cNvCxnSpPr>
          <a:cxnSpLocks noChangeShapeType="1"/>
        </xdr:cNvCxnSpPr>
      </xdr:nvCxnSpPr>
      <xdr:spPr bwMode="auto">
        <a:xfrm>
          <a:off x="712932" y="30963170"/>
          <a:ext cx="5974485" cy="1588"/>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oneCellAnchor>
    <xdr:from>
      <xdr:col>1</xdr:col>
      <xdr:colOff>363681</xdr:colOff>
      <xdr:row>216</xdr:row>
      <xdr:rowOff>181840</xdr:rowOff>
    </xdr:from>
    <xdr:ext cx="2283317" cy="975267"/>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617681" y="30995215"/>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000">
              <a:latin typeface="Arial Narrow" pitchFamily="34" charset="0"/>
            </a:rPr>
            <a:t>Block 1 Lot 49, Jubilation Commercial Strip, </a:t>
          </a:r>
        </a:p>
        <a:p>
          <a:r>
            <a:rPr lang="en-US" sz="1000">
              <a:latin typeface="Arial Narrow" pitchFamily="34" charset="0"/>
            </a:rPr>
            <a:t>Brgy. Zapote, Biñan City, Laguna 4024 Phils.</a:t>
          </a:r>
        </a:p>
        <a:p>
          <a:r>
            <a:rPr lang="en-US" sz="1000">
              <a:latin typeface="Arial Narrow" pitchFamily="34" charset="0"/>
            </a:rPr>
            <a:t>Contact Nos.: (049) 513-5233/591-0807;</a:t>
          </a:r>
        </a:p>
        <a:p>
          <a:r>
            <a:rPr lang="en-US" sz="1000">
              <a:latin typeface="Arial Narrow" pitchFamily="34" charset="0"/>
            </a:rPr>
            <a:t>                 (02) 782-2153; 09236581107</a:t>
          </a:r>
        </a:p>
        <a:p>
          <a:r>
            <a:rPr lang="en-US" sz="1000">
              <a:latin typeface="Arial Narrow" pitchFamily="34" charset="0"/>
            </a:rPr>
            <a:t>Email: </a:t>
          </a:r>
          <a:r>
            <a:rPr lang="en-US" sz="1000" baseline="0">
              <a:latin typeface="Arial Narrow" pitchFamily="34" charset="0"/>
            </a:rPr>
            <a:t> </a:t>
          </a:r>
          <a:r>
            <a:rPr lang="en-US" sz="1000">
              <a:latin typeface="Arial Narrow" pitchFamily="34" charset="0"/>
            </a:rPr>
            <a:t>admin@sonjuengineering.com</a:t>
          </a:r>
        </a:p>
        <a:p>
          <a:r>
            <a:rPr lang="en-US" sz="1000">
              <a:latin typeface="Arial Narrow" pitchFamily="34" charset="0"/>
            </a:rPr>
            <a:t>Website:</a:t>
          </a:r>
          <a:r>
            <a:rPr lang="en-US" sz="1000" baseline="0">
              <a:latin typeface="Arial Narrow" pitchFamily="34" charset="0"/>
            </a:rPr>
            <a:t> www.sonjuengineering.com</a:t>
          </a:r>
          <a:endParaRPr lang="en-US" sz="1000">
            <a:latin typeface="Arial Narrow" pitchFamily="34" charset="0"/>
          </a:endParaRPr>
        </a:p>
      </xdr:txBody>
    </xdr:sp>
    <xdr:clientData/>
  </xdr:oneCellAnchor>
  <xdr:oneCellAnchor>
    <xdr:from>
      <xdr:col>9</xdr:col>
      <xdr:colOff>228843</xdr:colOff>
      <xdr:row>218</xdr:row>
      <xdr:rowOff>146839</xdr:rowOff>
    </xdr:from>
    <xdr:ext cx="2458494" cy="386644"/>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2641843" y="31341214"/>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itchFamily="34" charset="0"/>
            </a:rPr>
            <a:t>This report shall not be reproduced except in full,</a:t>
          </a:r>
        </a:p>
        <a:p>
          <a:pPr algn="ctr"/>
          <a:r>
            <a:rPr lang="en-US" sz="1000">
              <a:latin typeface="Arial Narrow" pitchFamily="34" charset="0"/>
            </a:rPr>
            <a:t>without the written approval from the laboratory</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9525</xdr:colOff>
      <xdr:row>0</xdr:row>
      <xdr:rowOff>28575</xdr:rowOff>
    </xdr:from>
    <xdr:to>
      <xdr:col>50</xdr:col>
      <xdr:colOff>47626</xdr:colOff>
      <xdr:row>3</xdr:row>
      <xdr:rowOff>47625</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bwMode="auto">
        <a:xfrm>
          <a:off x="5753100" y="28575"/>
          <a:ext cx="1504951" cy="600075"/>
        </a:xfrm>
        <a:prstGeom prst="rect">
          <a:avLst/>
        </a:prstGeom>
        <a:noFill/>
        <a:ln w="9525">
          <a:noFill/>
          <a:miter lim="800000"/>
          <a:headEnd/>
          <a:tailEnd/>
        </a:ln>
      </xdr:spPr>
    </xdr:pic>
    <xdr:clientData/>
  </xdr:twoCellAnchor>
  <xdr:twoCellAnchor>
    <xdr:from>
      <xdr:col>47</xdr:col>
      <xdr:colOff>95250</xdr:colOff>
      <xdr:row>44</xdr:row>
      <xdr:rowOff>47625</xdr:rowOff>
    </xdr:from>
    <xdr:to>
      <xdr:col>48</xdr:col>
      <xdr:colOff>114300</xdr:colOff>
      <xdr:row>44</xdr:row>
      <xdr:rowOff>180975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72175"/>
          <a:ext cx="152400" cy="12382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45</xdr:row>
      <xdr:rowOff>28575</xdr:rowOff>
    </xdr:from>
    <xdr:to>
      <xdr:col>48</xdr:col>
      <xdr:colOff>114300</xdr:colOff>
      <xdr:row>45</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905625" y="6124575"/>
          <a:ext cx="15240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24</xdr:row>
      <xdr:rowOff>53957</xdr:rowOff>
    </xdr:from>
    <xdr:to>
      <xdr:col>31</xdr:col>
      <xdr:colOff>14269</xdr:colOff>
      <xdr:row>25</xdr:row>
      <xdr:rowOff>92057</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a:off x="4540231" y="2873357"/>
          <a:ext cx="150813"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22</xdr:row>
      <xdr:rowOff>50495</xdr:rowOff>
    </xdr:from>
    <xdr:to>
      <xdr:col>31</xdr:col>
      <xdr:colOff>16868</xdr:colOff>
      <xdr:row>23</xdr:row>
      <xdr:rowOff>88595</xdr:rowOff>
    </xdr:to>
    <xdr:sp macro="" textlink="">
      <xdr:nvSpPr>
        <xdr:cNvPr id="9" name="Rectangle 8">
          <a:extLst>
            <a:ext uri="{FF2B5EF4-FFF2-40B4-BE49-F238E27FC236}">
              <a16:creationId xmlns:a16="http://schemas.microsoft.com/office/drawing/2014/main" id="{00000000-0008-0000-0100-000009000000}"/>
            </a:ext>
          </a:extLst>
        </xdr:cNvPr>
        <xdr:cNvSpPr/>
      </xdr:nvSpPr>
      <xdr:spPr>
        <a:xfrm>
          <a:off x="4546293" y="2679395"/>
          <a:ext cx="14735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24</xdr:row>
      <xdr:rowOff>53957</xdr:rowOff>
    </xdr:from>
    <xdr:to>
      <xdr:col>31</xdr:col>
      <xdr:colOff>14269</xdr:colOff>
      <xdr:row>25</xdr:row>
      <xdr:rowOff>92057</xdr:rowOff>
    </xdr:to>
    <xdr:sp macro="" textlink="">
      <xdr:nvSpPr>
        <xdr:cNvPr id="10" name="Rectangle 9">
          <a:extLst>
            <a:ext uri="{FF2B5EF4-FFF2-40B4-BE49-F238E27FC236}">
              <a16:creationId xmlns:a16="http://schemas.microsoft.com/office/drawing/2014/main" id="{00000000-0008-0000-0100-00000A000000}"/>
            </a:ext>
          </a:extLst>
        </xdr:cNvPr>
        <xdr:cNvSpPr/>
      </xdr:nvSpPr>
      <xdr:spPr>
        <a:xfrm>
          <a:off x="4540231" y="2873357"/>
          <a:ext cx="150813"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22</xdr:row>
      <xdr:rowOff>50495</xdr:rowOff>
    </xdr:from>
    <xdr:to>
      <xdr:col>31</xdr:col>
      <xdr:colOff>16868</xdr:colOff>
      <xdr:row>23</xdr:row>
      <xdr:rowOff>88595</xdr:rowOff>
    </xdr:to>
    <xdr:sp macro="" textlink="">
      <xdr:nvSpPr>
        <xdr:cNvPr id="11" name="Rectangle 10">
          <a:extLst>
            <a:ext uri="{FF2B5EF4-FFF2-40B4-BE49-F238E27FC236}">
              <a16:creationId xmlns:a16="http://schemas.microsoft.com/office/drawing/2014/main" id="{00000000-0008-0000-0100-00000B000000}"/>
            </a:ext>
          </a:extLst>
        </xdr:cNvPr>
        <xdr:cNvSpPr/>
      </xdr:nvSpPr>
      <xdr:spPr>
        <a:xfrm>
          <a:off x="4546293" y="2679395"/>
          <a:ext cx="14735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24</xdr:row>
      <xdr:rowOff>53957</xdr:rowOff>
    </xdr:from>
    <xdr:to>
      <xdr:col>31</xdr:col>
      <xdr:colOff>14269</xdr:colOff>
      <xdr:row>25</xdr:row>
      <xdr:rowOff>92057</xdr:rowOff>
    </xdr:to>
    <xdr:sp macro="" textlink="">
      <xdr:nvSpPr>
        <xdr:cNvPr id="12" name="Rectangle 11">
          <a:extLst>
            <a:ext uri="{FF2B5EF4-FFF2-40B4-BE49-F238E27FC236}">
              <a16:creationId xmlns:a16="http://schemas.microsoft.com/office/drawing/2014/main" id="{00000000-0008-0000-0100-00000C000000}"/>
            </a:ext>
          </a:extLst>
        </xdr:cNvPr>
        <xdr:cNvSpPr/>
      </xdr:nvSpPr>
      <xdr:spPr>
        <a:xfrm>
          <a:off x="4540231" y="2873357"/>
          <a:ext cx="150813"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22</xdr:row>
      <xdr:rowOff>50495</xdr:rowOff>
    </xdr:from>
    <xdr:to>
      <xdr:col>31</xdr:col>
      <xdr:colOff>16868</xdr:colOff>
      <xdr:row>23</xdr:row>
      <xdr:rowOff>88595</xdr:rowOff>
    </xdr:to>
    <xdr:sp macro="" textlink="">
      <xdr:nvSpPr>
        <xdr:cNvPr id="13" name="Rectangle 12">
          <a:extLst>
            <a:ext uri="{FF2B5EF4-FFF2-40B4-BE49-F238E27FC236}">
              <a16:creationId xmlns:a16="http://schemas.microsoft.com/office/drawing/2014/main" id="{00000000-0008-0000-0100-00000D000000}"/>
            </a:ext>
          </a:extLst>
        </xdr:cNvPr>
        <xdr:cNvSpPr/>
      </xdr:nvSpPr>
      <xdr:spPr>
        <a:xfrm>
          <a:off x="4546293" y="2679395"/>
          <a:ext cx="14735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24</xdr:row>
      <xdr:rowOff>53957</xdr:rowOff>
    </xdr:from>
    <xdr:to>
      <xdr:col>31</xdr:col>
      <xdr:colOff>14269</xdr:colOff>
      <xdr:row>25</xdr:row>
      <xdr:rowOff>92057</xdr:rowOff>
    </xdr:to>
    <xdr:sp macro="" textlink="">
      <xdr:nvSpPr>
        <xdr:cNvPr id="14" name="Rectangle 13">
          <a:extLst>
            <a:ext uri="{FF2B5EF4-FFF2-40B4-BE49-F238E27FC236}">
              <a16:creationId xmlns:a16="http://schemas.microsoft.com/office/drawing/2014/main" id="{00000000-0008-0000-0100-00000E000000}"/>
            </a:ext>
          </a:extLst>
        </xdr:cNvPr>
        <xdr:cNvSpPr/>
      </xdr:nvSpPr>
      <xdr:spPr>
        <a:xfrm>
          <a:off x="4540231" y="2873357"/>
          <a:ext cx="150813"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22</xdr:row>
      <xdr:rowOff>50495</xdr:rowOff>
    </xdr:from>
    <xdr:to>
      <xdr:col>31</xdr:col>
      <xdr:colOff>16868</xdr:colOff>
      <xdr:row>23</xdr:row>
      <xdr:rowOff>88595</xdr:rowOff>
    </xdr:to>
    <xdr:sp macro="" textlink="">
      <xdr:nvSpPr>
        <xdr:cNvPr id="15" name="Rectangle 14">
          <a:extLst>
            <a:ext uri="{FF2B5EF4-FFF2-40B4-BE49-F238E27FC236}">
              <a16:creationId xmlns:a16="http://schemas.microsoft.com/office/drawing/2014/main" id="{00000000-0008-0000-0100-00000F000000}"/>
            </a:ext>
          </a:extLst>
        </xdr:cNvPr>
        <xdr:cNvSpPr/>
      </xdr:nvSpPr>
      <xdr:spPr>
        <a:xfrm>
          <a:off x="4546293" y="2679395"/>
          <a:ext cx="14735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24</xdr:row>
      <xdr:rowOff>53957</xdr:rowOff>
    </xdr:from>
    <xdr:to>
      <xdr:col>31</xdr:col>
      <xdr:colOff>14269</xdr:colOff>
      <xdr:row>25</xdr:row>
      <xdr:rowOff>92057</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a:off x="4540231" y="2873357"/>
          <a:ext cx="150813"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22</xdr:row>
      <xdr:rowOff>50495</xdr:rowOff>
    </xdr:from>
    <xdr:to>
      <xdr:col>31</xdr:col>
      <xdr:colOff>16868</xdr:colOff>
      <xdr:row>23</xdr:row>
      <xdr:rowOff>88595</xdr:rowOff>
    </xdr:to>
    <xdr:sp macro="" textlink="">
      <xdr:nvSpPr>
        <xdr:cNvPr id="17" name="Rectangle 16">
          <a:extLst>
            <a:ext uri="{FF2B5EF4-FFF2-40B4-BE49-F238E27FC236}">
              <a16:creationId xmlns:a16="http://schemas.microsoft.com/office/drawing/2014/main" id="{00000000-0008-0000-0100-000011000000}"/>
            </a:ext>
          </a:extLst>
        </xdr:cNvPr>
        <xdr:cNvSpPr/>
      </xdr:nvSpPr>
      <xdr:spPr>
        <a:xfrm>
          <a:off x="4546293" y="2679395"/>
          <a:ext cx="14735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269</xdr:colOff>
      <xdr:row>24</xdr:row>
      <xdr:rowOff>53957</xdr:rowOff>
    </xdr:from>
    <xdr:to>
      <xdr:col>31</xdr:col>
      <xdr:colOff>14269</xdr:colOff>
      <xdr:row>25</xdr:row>
      <xdr:rowOff>92057</xdr:rowOff>
    </xdr:to>
    <xdr:sp macro="" textlink="">
      <xdr:nvSpPr>
        <xdr:cNvPr id="18" name="Rectangle 17">
          <a:extLst>
            <a:ext uri="{FF2B5EF4-FFF2-40B4-BE49-F238E27FC236}">
              <a16:creationId xmlns:a16="http://schemas.microsoft.com/office/drawing/2014/main" id="{00000000-0008-0000-0100-000012000000}"/>
            </a:ext>
          </a:extLst>
        </xdr:cNvPr>
        <xdr:cNvSpPr/>
      </xdr:nvSpPr>
      <xdr:spPr>
        <a:xfrm>
          <a:off x="4540231" y="2873357"/>
          <a:ext cx="150813"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2</xdr:row>
      <xdr:rowOff>0</xdr:rowOff>
    </xdr:from>
    <xdr:to>
      <xdr:col>14</xdr:col>
      <xdr:colOff>189488</xdr:colOff>
      <xdr:row>23</xdr:row>
      <xdr:rowOff>94738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8650" y="381000"/>
          <a:ext cx="8095238" cy="4095238"/>
        </a:xfrm>
        <a:prstGeom prst="rect">
          <a:avLst/>
        </a:prstGeom>
      </xdr:spPr>
    </xdr:pic>
    <xdr:clientData/>
  </xdr:twoCellAnchor>
  <xdr:twoCellAnchor editAs="oneCell">
    <xdr:from>
      <xdr:col>1</xdr:col>
      <xdr:colOff>0</xdr:colOff>
      <xdr:row>25</xdr:row>
      <xdr:rowOff>0</xdr:rowOff>
    </xdr:from>
    <xdr:to>
      <xdr:col>14</xdr:col>
      <xdr:colOff>122819</xdr:colOff>
      <xdr:row>48</xdr:row>
      <xdr:rowOff>180405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09600" y="4762500"/>
          <a:ext cx="8047619" cy="4561905"/>
        </a:xfrm>
        <a:prstGeom prst="rect">
          <a:avLst/>
        </a:prstGeom>
      </xdr:spPr>
    </xdr:pic>
    <xdr:clientData/>
  </xdr:twoCellAnchor>
  <xdr:twoCellAnchor editAs="oneCell">
    <xdr:from>
      <xdr:col>1</xdr:col>
      <xdr:colOff>0</xdr:colOff>
      <xdr:row>50</xdr:row>
      <xdr:rowOff>0</xdr:rowOff>
    </xdr:from>
    <xdr:to>
      <xdr:col>14</xdr:col>
      <xdr:colOff>189486</xdr:colOff>
      <xdr:row>75</xdr:row>
      <xdr:rowOff>18452</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09600" y="9525000"/>
          <a:ext cx="8114286" cy="478095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instrumart.com/assets/fluke115_116_117_manu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78"/>
  <sheetViews>
    <sheetView showGridLines="0" view="pageBreakPreview" zoomScaleNormal="120" zoomScaleSheetLayoutView="100" zoomScalePageLayoutView="110" workbookViewId="0">
      <selection activeCell="P3" sqref="P3"/>
    </sheetView>
  </sheetViews>
  <sheetFormatPr defaultColWidth="0" defaultRowHeight="13.5" x14ac:dyDescent="0.2"/>
  <cols>
    <col min="1" max="1" width="3.85546875" style="35" customWidth="1"/>
    <col min="2" max="2" width="5.7109375" style="36" customWidth="1"/>
    <col min="3" max="26" width="3.85546875" style="36" customWidth="1"/>
    <col min="27" max="27" width="3" style="36" customWidth="1"/>
    <col min="28" max="48" width="3.85546875" style="36" hidden="1" customWidth="1"/>
    <col min="49" max="16384" width="9.140625" style="36" hidden="1"/>
  </cols>
  <sheetData>
    <row r="1" spans="3:26" ht="12.75" customHeight="1" x14ac:dyDescent="0.2"/>
    <row r="5" spans="3:26" ht="21" customHeight="1" x14ac:dyDescent="0.2">
      <c r="C5" s="125" t="s">
        <v>86</v>
      </c>
      <c r="D5" s="125"/>
      <c r="E5" s="125"/>
      <c r="F5" s="125"/>
      <c r="G5" s="125"/>
      <c r="H5" s="125"/>
      <c r="I5" s="125"/>
      <c r="J5" s="125"/>
      <c r="K5" s="125"/>
      <c r="L5" s="125"/>
      <c r="M5" s="125"/>
      <c r="N5" s="125"/>
      <c r="O5" s="125"/>
      <c r="P5" s="125"/>
      <c r="Q5" s="125"/>
      <c r="R5" s="125"/>
      <c r="S5" s="125"/>
      <c r="T5" s="125"/>
      <c r="U5" s="125"/>
      <c r="V5" s="125"/>
      <c r="W5" s="125"/>
      <c r="X5" s="125"/>
      <c r="Y5" s="125"/>
      <c r="Z5" s="125"/>
    </row>
    <row r="6" spans="3:26" ht="12.75" customHeight="1" x14ac:dyDescent="0.2">
      <c r="C6" s="125"/>
      <c r="D6" s="125"/>
      <c r="E6" s="125"/>
      <c r="F6" s="125"/>
      <c r="G6" s="125"/>
      <c r="H6" s="125"/>
      <c r="I6" s="125"/>
      <c r="J6" s="125"/>
      <c r="K6" s="125"/>
      <c r="L6" s="125"/>
      <c r="M6" s="125"/>
      <c r="N6" s="125"/>
      <c r="O6" s="125"/>
      <c r="P6" s="125"/>
      <c r="Q6" s="125"/>
      <c r="R6" s="125"/>
      <c r="S6" s="125"/>
      <c r="T6" s="125"/>
      <c r="U6" s="125"/>
      <c r="V6" s="125"/>
      <c r="W6" s="125"/>
      <c r="X6" s="125"/>
      <c r="Y6" s="125"/>
      <c r="Z6" s="125"/>
    </row>
    <row r="7" spans="3:26" ht="12.75" customHeight="1" x14ac:dyDescent="0.2">
      <c r="R7" s="117" t="s">
        <v>0</v>
      </c>
      <c r="S7" s="117"/>
      <c r="T7" s="117"/>
      <c r="U7" s="117"/>
      <c r="V7" s="126" t="str">
        <f>CONCATENATE("25-",DataSheet!L5,DataSheet!N5,DataSheet!O5,DataSheet!AN5," ","Rev.00")</f>
        <v>25- Rev.00</v>
      </c>
      <c r="W7" s="126"/>
      <c r="X7" s="126"/>
      <c r="Y7" s="126"/>
      <c r="Z7" s="126"/>
    </row>
    <row r="9" spans="3:26" ht="15" customHeight="1" x14ac:dyDescent="0.2">
      <c r="C9" s="37" t="s">
        <v>1</v>
      </c>
      <c r="O9" s="37" t="s">
        <v>2</v>
      </c>
    </row>
    <row r="10" spans="3:26" ht="15" customHeight="1" x14ac:dyDescent="0.2">
      <c r="D10" s="127">
        <f>DataSheet!H23</f>
        <v>0</v>
      </c>
      <c r="E10" s="127"/>
      <c r="F10" s="127"/>
      <c r="G10" s="127"/>
      <c r="H10" s="127"/>
      <c r="I10" s="127"/>
      <c r="J10" s="127"/>
      <c r="K10" s="127"/>
      <c r="L10" s="127"/>
      <c r="M10" s="127"/>
      <c r="N10" s="127"/>
      <c r="P10" s="127" t="str">
        <f>IF(DataSheet!AE23="x","SONJU ENGINEERING SERVICES",D10)</f>
        <v>SONJU ENGINEERING SERVICES</v>
      </c>
      <c r="Q10" s="127"/>
      <c r="R10" s="127"/>
      <c r="S10" s="127"/>
      <c r="T10" s="127"/>
      <c r="U10" s="127"/>
      <c r="V10" s="127"/>
      <c r="W10" s="127"/>
      <c r="X10" s="127"/>
      <c r="Y10" s="127"/>
      <c r="Z10" s="38"/>
    </row>
    <row r="11" spans="3:26" ht="12.95" customHeight="1" x14ac:dyDescent="0.2">
      <c r="C11" s="37"/>
      <c r="D11" s="143">
        <f>DataSheet!H25</f>
        <v>0</v>
      </c>
      <c r="E11" s="143"/>
      <c r="F11" s="143"/>
      <c r="G11" s="143"/>
      <c r="H11" s="143"/>
      <c r="I11" s="143"/>
      <c r="J11" s="143"/>
      <c r="K11" s="143"/>
      <c r="L11" s="143"/>
      <c r="M11" s="143"/>
      <c r="N11" s="143"/>
      <c r="O11" s="39"/>
      <c r="P11" s="143" t="str">
        <f>DataSheet!AG27</f>
        <v>Electrical Calibration Area</v>
      </c>
      <c r="Q11" s="143"/>
      <c r="R11" s="143"/>
      <c r="S11" s="143"/>
      <c r="T11" s="143"/>
      <c r="U11" s="143"/>
      <c r="V11" s="143"/>
      <c r="W11" s="143"/>
      <c r="X11" s="143"/>
      <c r="Y11" s="143"/>
      <c r="Z11" s="143"/>
    </row>
    <row r="12" spans="3:26" ht="12.95" customHeight="1" x14ac:dyDescent="0.2">
      <c r="D12" s="143"/>
      <c r="E12" s="143"/>
      <c r="F12" s="143"/>
      <c r="G12" s="143"/>
      <c r="H12" s="143"/>
      <c r="I12" s="143"/>
      <c r="J12" s="143"/>
      <c r="K12" s="143"/>
      <c r="L12" s="143"/>
      <c r="M12" s="143"/>
      <c r="N12" s="143"/>
      <c r="O12" s="39"/>
      <c r="P12" s="143"/>
      <c r="Q12" s="143"/>
      <c r="R12" s="143"/>
      <c r="S12" s="143"/>
      <c r="T12" s="143"/>
      <c r="U12" s="143"/>
      <c r="V12" s="143"/>
      <c r="W12" s="143"/>
      <c r="X12" s="143"/>
      <c r="Y12" s="143"/>
      <c r="Z12" s="143"/>
    </row>
    <row r="13" spans="3:26" ht="12.95" customHeight="1" x14ac:dyDescent="0.2">
      <c r="D13" s="51"/>
      <c r="E13" s="51"/>
      <c r="F13" s="51"/>
      <c r="G13" s="51"/>
      <c r="H13" s="51"/>
      <c r="I13" s="51"/>
      <c r="J13" s="51"/>
      <c r="K13" s="51"/>
      <c r="L13" s="51"/>
      <c r="M13" s="51"/>
      <c r="N13" s="51"/>
      <c r="O13" s="39"/>
      <c r="P13" s="51"/>
      <c r="Q13" s="51"/>
      <c r="R13" s="51"/>
      <c r="S13" s="51"/>
      <c r="T13" s="51"/>
      <c r="U13" s="51"/>
      <c r="V13" s="51"/>
      <c r="W13" s="51"/>
      <c r="X13" s="51"/>
      <c r="Y13" s="51"/>
      <c r="Z13" s="40"/>
    </row>
    <row r="14" spans="3:26" ht="12.95" customHeight="1" x14ac:dyDescent="0.2">
      <c r="D14" s="39"/>
      <c r="E14" s="39"/>
      <c r="F14" s="39"/>
      <c r="G14" s="39"/>
      <c r="H14" s="39"/>
      <c r="I14" s="39"/>
      <c r="J14" s="39"/>
      <c r="K14" s="39"/>
      <c r="L14" s="39"/>
      <c r="M14" s="39"/>
      <c r="N14" s="39"/>
      <c r="O14" s="39"/>
      <c r="P14" s="40"/>
      <c r="Q14" s="40"/>
      <c r="R14" s="40"/>
      <c r="S14" s="40"/>
      <c r="T14" s="40"/>
      <c r="U14" s="40"/>
      <c r="V14" s="40"/>
      <c r="W14" s="40"/>
      <c r="X14" s="40"/>
      <c r="Y14" s="40"/>
      <c r="Z14" s="40"/>
    </row>
    <row r="15" spans="3:26" ht="15" customHeight="1" x14ac:dyDescent="0.2">
      <c r="C15" s="37" t="s">
        <v>3</v>
      </c>
      <c r="H15" s="129" t="str">
        <f>DataSheet!K9</f>
        <v>Fluke</v>
      </c>
      <c r="I15" s="129"/>
      <c r="J15" s="129"/>
      <c r="K15" s="129"/>
      <c r="L15" s="129"/>
      <c r="M15" s="129"/>
      <c r="N15" s="41"/>
      <c r="O15" s="37" t="s">
        <v>7</v>
      </c>
      <c r="T15" s="36" t="str">
        <f>DataSheet!K7</f>
        <v>Digital Multimeter</v>
      </c>
    </row>
    <row r="16" spans="3:26" ht="15" customHeight="1" x14ac:dyDescent="0.2">
      <c r="C16" s="37" t="s">
        <v>4</v>
      </c>
      <c r="H16" s="129">
        <f>DataSheet!K11</f>
        <v>117</v>
      </c>
      <c r="I16" s="129"/>
      <c r="J16" s="129"/>
      <c r="K16" s="129"/>
      <c r="L16" s="129"/>
      <c r="M16" s="129"/>
      <c r="N16" s="41"/>
      <c r="O16" s="37" t="s">
        <v>8</v>
      </c>
      <c r="T16" s="129" t="str">
        <f>DataSheet!AL11</f>
        <v>none</v>
      </c>
      <c r="U16" s="129"/>
      <c r="V16" s="129"/>
      <c r="W16" s="129"/>
      <c r="X16" s="129"/>
      <c r="Y16" s="129"/>
      <c r="Z16" s="129"/>
    </row>
    <row r="17" spans="1:27" ht="15" customHeight="1" x14ac:dyDescent="0.2">
      <c r="C17" s="42" t="s">
        <v>5</v>
      </c>
      <c r="H17" s="130">
        <f>DataSheet!K13</f>
        <v>0</v>
      </c>
      <c r="I17" s="129"/>
      <c r="J17" s="129"/>
      <c r="K17" s="129"/>
      <c r="L17" s="129"/>
      <c r="M17" s="129"/>
      <c r="N17" s="41"/>
      <c r="O17" s="37" t="s">
        <v>9</v>
      </c>
      <c r="T17" s="129" t="str">
        <f>DataSheet!AL15</f>
        <v>none</v>
      </c>
      <c r="U17" s="129"/>
      <c r="V17" s="129"/>
      <c r="W17" s="129"/>
      <c r="X17" s="129"/>
      <c r="Y17" s="129"/>
      <c r="Z17" s="129"/>
    </row>
    <row r="18" spans="1:27" ht="15" customHeight="1" x14ac:dyDescent="0.2">
      <c r="C18" s="37" t="s">
        <v>87</v>
      </c>
      <c r="H18" s="131">
        <f>DataSheet!AL9</f>
        <v>0</v>
      </c>
      <c r="I18" s="131"/>
      <c r="J18" s="131"/>
      <c r="K18" s="131"/>
      <c r="L18" s="131"/>
      <c r="M18" s="131"/>
      <c r="N18" s="41"/>
      <c r="O18" s="37" t="s">
        <v>88</v>
      </c>
      <c r="T18" s="129">
        <f>DataSheet!L5</f>
        <v>0</v>
      </c>
      <c r="U18" s="129"/>
      <c r="V18" s="129"/>
      <c r="W18" s="129"/>
      <c r="X18" s="129"/>
      <c r="Y18" s="129"/>
      <c r="Z18" s="129"/>
    </row>
    <row r="19" spans="1:27" ht="15" customHeight="1" x14ac:dyDescent="0.2">
      <c r="C19" s="37" t="s">
        <v>191</v>
      </c>
      <c r="H19" s="128">
        <f>DataSheet!AL7</f>
        <v>0</v>
      </c>
      <c r="I19" s="128"/>
      <c r="J19" s="128"/>
      <c r="K19" s="128"/>
      <c r="L19" s="128"/>
      <c r="M19" s="128"/>
      <c r="N19" s="128"/>
      <c r="O19" s="37" t="s">
        <v>10</v>
      </c>
      <c r="T19" s="129" t="str">
        <f>DataSheet!AL13</f>
        <v>none</v>
      </c>
      <c r="U19" s="129"/>
      <c r="V19" s="129"/>
      <c r="W19" s="129"/>
      <c r="X19" s="129"/>
      <c r="Y19" s="129"/>
      <c r="Z19" s="129"/>
    </row>
    <row r="20" spans="1:27" ht="15" customHeight="1" x14ac:dyDescent="0.2">
      <c r="C20" s="37" t="s">
        <v>6</v>
      </c>
      <c r="H20" s="129" t="str">
        <f>IF(DataSheet!AE23="x","23 °C ± 5 °C",CONCATENATE(ROUND(AVERAGE(DataSheet!I39:J40),1)," ","°C"))</f>
        <v>23 °C ± 5 °C</v>
      </c>
      <c r="I20" s="129"/>
      <c r="J20" s="129"/>
      <c r="K20" s="129"/>
      <c r="L20" s="129"/>
      <c r="M20" s="129"/>
      <c r="N20" s="41"/>
      <c r="O20" s="37" t="s">
        <v>11</v>
      </c>
      <c r="T20" s="129" t="str">
        <f>IF(DataSheet!AE23="x","55 %rh ± 15 %rh",CONCATENATE(ROUND(AVERAGE(DataSheet!R39:S40),1)," ","%rh"))</f>
        <v>55 %rh ± 15 %rh</v>
      </c>
      <c r="U20" s="129"/>
      <c r="V20" s="129"/>
      <c r="W20" s="129"/>
      <c r="X20" s="129"/>
      <c r="Y20" s="129"/>
      <c r="Z20" s="129"/>
    </row>
    <row r="21" spans="1:27" ht="12.95" customHeight="1" x14ac:dyDescent="0.2">
      <c r="C21" s="37"/>
      <c r="H21" s="50"/>
      <c r="I21" s="50"/>
      <c r="J21" s="50"/>
      <c r="K21" s="50"/>
      <c r="L21" s="50"/>
      <c r="M21" s="50"/>
      <c r="N21" s="41"/>
      <c r="O21" s="37"/>
      <c r="T21" s="50"/>
      <c r="U21" s="50"/>
      <c r="V21" s="50"/>
      <c r="W21" s="50"/>
      <c r="X21" s="50"/>
      <c r="Y21" s="50"/>
      <c r="Z21" s="50"/>
    </row>
    <row r="22" spans="1:27" ht="15" customHeight="1" x14ac:dyDescent="0.2">
      <c r="C22" s="37" t="s">
        <v>12</v>
      </c>
      <c r="J22" s="55"/>
      <c r="K22" s="55"/>
      <c r="L22" s="55"/>
      <c r="M22" s="55"/>
      <c r="N22" s="55"/>
      <c r="O22" s="55"/>
      <c r="P22" s="55"/>
      <c r="Q22" s="55"/>
      <c r="R22" s="55"/>
      <c r="S22" s="55"/>
      <c r="T22" s="55"/>
      <c r="U22" s="55"/>
      <c r="V22" s="55"/>
      <c r="W22" s="55"/>
      <c r="X22" s="55"/>
      <c r="Y22" s="55"/>
      <c r="Z22" s="55"/>
    </row>
    <row r="23" spans="1:27" ht="15" customHeight="1" x14ac:dyDescent="0.2">
      <c r="C23" s="115" t="str">
        <f>DataSheet!AB38</f>
        <v>As per Manufacturer's recommended performance tests procedure for Fluke 117 Digital Multimeters Calibration Information, 1st - rev., September 2006.</v>
      </c>
      <c r="D23" s="115"/>
      <c r="E23" s="115"/>
      <c r="F23" s="115"/>
      <c r="G23" s="115"/>
      <c r="H23" s="115"/>
      <c r="I23" s="115"/>
      <c r="J23" s="115"/>
      <c r="K23" s="115"/>
      <c r="L23" s="115"/>
      <c r="M23" s="115"/>
      <c r="N23" s="115"/>
      <c r="O23" s="115"/>
      <c r="P23" s="115"/>
      <c r="Q23" s="115"/>
      <c r="R23" s="115"/>
      <c r="S23" s="115"/>
      <c r="T23" s="115"/>
      <c r="U23" s="115"/>
      <c r="V23" s="115"/>
      <c r="W23" s="115"/>
      <c r="X23" s="115"/>
      <c r="Y23" s="115"/>
      <c r="Z23" s="115"/>
    </row>
    <row r="24" spans="1:27" ht="15" customHeight="1" x14ac:dyDescent="0.2">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row>
    <row r="25" spans="1:27" ht="9.9499999999999993" customHeight="1" x14ac:dyDescent="0.2"/>
    <row r="26" spans="1:27" ht="15" customHeight="1" x14ac:dyDescent="0.2">
      <c r="C26" s="115" t="s">
        <v>89</v>
      </c>
      <c r="D26" s="115"/>
      <c r="E26" s="115"/>
      <c r="F26" s="115"/>
      <c r="G26" s="115"/>
      <c r="H26" s="115"/>
      <c r="I26" s="115"/>
      <c r="J26" s="115"/>
      <c r="K26" s="115"/>
      <c r="L26" s="115"/>
      <c r="M26" s="115"/>
      <c r="N26" s="115"/>
      <c r="O26" s="115"/>
      <c r="P26" s="115"/>
      <c r="Q26" s="115"/>
      <c r="R26" s="115"/>
      <c r="S26" s="115"/>
      <c r="T26" s="115"/>
      <c r="U26" s="115"/>
      <c r="V26" s="115"/>
      <c r="W26" s="115"/>
      <c r="X26" s="115"/>
      <c r="Y26" s="115"/>
      <c r="Z26" s="115"/>
    </row>
    <row r="27" spans="1:27" ht="15" customHeight="1" x14ac:dyDescent="0.2">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row>
    <row r="28" spans="1:27" ht="9.9499999999999993" customHeight="1" x14ac:dyDescent="0.2"/>
    <row r="29" spans="1:27" ht="15" customHeight="1" x14ac:dyDescent="0.2">
      <c r="A29" s="49"/>
      <c r="C29" s="37" t="s">
        <v>178</v>
      </c>
      <c r="D29" s="39"/>
      <c r="E29" s="39"/>
      <c r="F29" s="39"/>
      <c r="G29" s="39"/>
      <c r="H29" s="39"/>
      <c r="I29" s="39"/>
      <c r="J29" s="39"/>
      <c r="K29" s="39"/>
      <c r="L29" s="39"/>
      <c r="M29" s="39"/>
      <c r="N29" s="39"/>
      <c r="O29" s="39"/>
      <c r="P29" s="39"/>
      <c r="Q29" s="39"/>
      <c r="R29" s="39"/>
      <c r="S29" s="39"/>
      <c r="T29" s="39"/>
      <c r="U29" s="39"/>
      <c r="V29" s="39"/>
      <c r="W29" s="39"/>
      <c r="X29" s="39"/>
      <c r="Y29" s="39"/>
      <c r="Z29" s="39"/>
      <c r="AA29" s="49"/>
    </row>
    <row r="30" spans="1:27" ht="15" customHeight="1" x14ac:dyDescent="0.2">
      <c r="A30" s="49"/>
      <c r="C30" s="115" t="s">
        <v>179</v>
      </c>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49"/>
    </row>
    <row r="31" spans="1:27" ht="15" customHeight="1" x14ac:dyDescent="0.2">
      <c r="A31" s="49"/>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49"/>
    </row>
    <row r="32" spans="1:27" ht="15" customHeight="1" x14ac:dyDescent="0.2">
      <c r="A32" s="49"/>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49"/>
    </row>
    <row r="33" spans="3:27" ht="9.9499999999999993" customHeight="1" x14ac:dyDescent="0.2"/>
    <row r="34" spans="3:27" ht="15" customHeight="1" x14ac:dyDescent="0.2">
      <c r="C34" s="115" t="s">
        <v>196</v>
      </c>
      <c r="D34" s="115"/>
      <c r="E34" s="115"/>
      <c r="F34" s="115"/>
      <c r="G34" s="115"/>
      <c r="H34" s="115"/>
      <c r="I34" s="115"/>
      <c r="J34" s="115"/>
      <c r="K34" s="115"/>
      <c r="L34" s="115"/>
      <c r="M34" s="115"/>
      <c r="N34" s="115"/>
      <c r="O34" s="115"/>
      <c r="P34" s="115"/>
      <c r="Q34" s="115"/>
      <c r="R34" s="115"/>
      <c r="S34" s="115"/>
      <c r="T34" s="115"/>
      <c r="U34" s="115"/>
      <c r="V34" s="115"/>
      <c r="W34" s="115"/>
      <c r="X34" s="115"/>
      <c r="Y34" s="115"/>
      <c r="Z34" s="115"/>
    </row>
    <row r="35" spans="3:27" ht="15" customHeight="1" x14ac:dyDescent="0.2">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row>
    <row r="36" spans="3:27" ht="15" customHeight="1" x14ac:dyDescent="0.2">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row>
    <row r="37" spans="3:27" ht="9.9499999999999993" customHeight="1" x14ac:dyDescent="0.2">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3:27" ht="15" customHeight="1" x14ac:dyDescent="0.2">
      <c r="C38" s="37" t="s">
        <v>13</v>
      </c>
    </row>
    <row r="39" spans="3:27" ht="9.9499999999999993" customHeight="1" x14ac:dyDescent="0.2"/>
    <row r="40" spans="3:27" ht="15" customHeight="1" x14ac:dyDescent="0.2">
      <c r="D40" s="124" t="s">
        <v>14</v>
      </c>
      <c r="E40" s="124"/>
      <c r="F40" s="124"/>
      <c r="G40" s="124"/>
      <c r="H40" s="124"/>
      <c r="I40" s="124"/>
      <c r="J40" s="124"/>
      <c r="K40" s="124" t="s">
        <v>15</v>
      </c>
      <c r="L40" s="124"/>
      <c r="M40" s="124"/>
      <c r="N40" s="124"/>
      <c r="O40" s="124" t="s">
        <v>17</v>
      </c>
      <c r="P40" s="124"/>
      <c r="Q40" s="124"/>
      <c r="R40" s="124"/>
      <c r="S40" s="124"/>
      <c r="T40" s="124"/>
      <c r="U40" s="124"/>
      <c r="V40" s="124" t="s">
        <v>16</v>
      </c>
      <c r="W40" s="124"/>
      <c r="X40" s="124"/>
      <c r="Y40" s="124"/>
    </row>
    <row r="41" spans="3:27" ht="15" customHeight="1" x14ac:dyDescent="0.2">
      <c r="D41" s="124"/>
      <c r="E41" s="124"/>
      <c r="F41" s="124"/>
      <c r="G41" s="124"/>
      <c r="H41" s="124"/>
      <c r="I41" s="124"/>
      <c r="J41" s="124"/>
      <c r="K41" s="124"/>
      <c r="L41" s="124"/>
      <c r="M41" s="124"/>
      <c r="N41" s="124"/>
      <c r="O41" s="124"/>
      <c r="P41" s="124"/>
      <c r="Q41" s="124"/>
      <c r="R41" s="124"/>
      <c r="S41" s="124"/>
      <c r="T41" s="124"/>
      <c r="U41" s="124"/>
      <c r="V41" s="124"/>
      <c r="W41" s="124"/>
      <c r="X41" s="124"/>
      <c r="Y41" s="124"/>
    </row>
    <row r="42" spans="3:27" ht="15" customHeight="1" x14ac:dyDescent="0.2">
      <c r="D42" s="123" t="str">
        <f>DataSheet!B31</f>
        <v>Multiproduct Calibrator</v>
      </c>
      <c r="E42" s="123"/>
      <c r="F42" s="123"/>
      <c r="G42" s="123"/>
      <c r="H42" s="123"/>
      <c r="I42" s="123"/>
      <c r="J42" s="123"/>
      <c r="K42" s="123">
        <f>DataSheet!Q31</f>
        <v>8100021</v>
      </c>
      <c r="L42" s="123"/>
      <c r="M42" s="123"/>
      <c r="N42" s="123"/>
      <c r="O42" s="139" t="str">
        <f>DataSheet!AB31</f>
        <v>24-9973-01ALT Rev.00</v>
      </c>
      <c r="P42" s="139"/>
      <c r="Q42" s="139"/>
      <c r="R42" s="139"/>
      <c r="S42" s="139"/>
      <c r="T42" s="139"/>
      <c r="U42" s="139"/>
      <c r="V42" s="141">
        <f>DataSheet!AO31</f>
        <v>0</v>
      </c>
      <c r="W42" s="141"/>
      <c r="X42" s="141"/>
      <c r="Y42" s="141"/>
    </row>
    <row r="43" spans="3:27" ht="9.9499999999999993" customHeight="1" x14ac:dyDescent="0.2"/>
    <row r="44" spans="3:27" ht="15" customHeight="1" x14ac:dyDescent="0.2">
      <c r="C44" s="37" t="s">
        <v>18</v>
      </c>
    </row>
    <row r="45" spans="3:27" ht="15" customHeight="1" x14ac:dyDescent="0.2">
      <c r="C45" s="140" t="s">
        <v>165</v>
      </c>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39"/>
    </row>
    <row r="46" spans="3:27" ht="15" customHeight="1" x14ac:dyDescent="0.2">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39"/>
    </row>
    <row r="47" spans="3:27" ht="15" customHeight="1" x14ac:dyDescent="0.2">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39"/>
    </row>
    <row r="48" spans="3:27" ht="15" customHeight="1" x14ac:dyDescent="0.2">
      <c r="C48" s="41" t="s">
        <v>75</v>
      </c>
      <c r="D48" s="41"/>
      <c r="E48" s="41"/>
      <c r="F48" s="41"/>
      <c r="G48" s="41"/>
      <c r="H48" s="41"/>
      <c r="I48" s="41"/>
      <c r="J48" s="41"/>
      <c r="K48" s="41"/>
      <c r="L48" s="41"/>
      <c r="M48" s="41"/>
      <c r="N48" s="41"/>
      <c r="O48" s="41"/>
      <c r="P48" s="41"/>
      <c r="Q48" s="41"/>
      <c r="R48" s="41"/>
      <c r="S48" s="41"/>
      <c r="T48" s="41"/>
      <c r="U48" s="41"/>
      <c r="V48" s="41"/>
      <c r="W48" s="41"/>
      <c r="X48" s="41"/>
      <c r="Y48" s="41"/>
      <c r="Z48" s="41"/>
    </row>
    <row r="49" spans="1:26" ht="15" customHeight="1" x14ac:dyDescent="0.2">
      <c r="C49" s="41" t="s">
        <v>182</v>
      </c>
    </row>
    <row r="50" spans="1:26" ht="15" customHeight="1" x14ac:dyDescent="0.2">
      <c r="C50" s="36" t="s">
        <v>181</v>
      </c>
      <c r="D50" s="41"/>
      <c r="E50" s="41"/>
      <c r="F50" s="41"/>
      <c r="G50" s="41"/>
      <c r="H50" s="41"/>
      <c r="I50" s="41"/>
      <c r="J50" s="41"/>
      <c r="K50" s="41"/>
      <c r="L50" s="41"/>
      <c r="M50" s="41"/>
      <c r="N50" s="41"/>
      <c r="O50" s="41"/>
      <c r="P50" s="41"/>
      <c r="T50" s="41"/>
      <c r="U50" s="41"/>
      <c r="V50" s="41"/>
      <c r="W50" s="41"/>
      <c r="X50" s="41"/>
      <c r="Y50" s="41"/>
      <c r="Z50" s="41"/>
    </row>
    <row r="51" spans="1:26" s="114" customFormat="1" ht="15" customHeight="1" x14ac:dyDescent="0.25">
      <c r="A51" s="113"/>
      <c r="C51" s="41" t="s">
        <v>197</v>
      </c>
    </row>
    <row r="52" spans="1:26" ht="15" customHeight="1" x14ac:dyDescent="0.2">
      <c r="C52" s="41" t="s">
        <v>198</v>
      </c>
      <c r="D52" s="41"/>
      <c r="E52" s="41"/>
      <c r="F52" s="41"/>
      <c r="G52" s="41"/>
      <c r="H52" s="41"/>
      <c r="I52" s="41"/>
      <c r="J52" s="41"/>
      <c r="K52" s="41"/>
      <c r="L52" s="41"/>
      <c r="M52" s="41"/>
      <c r="N52" s="41"/>
      <c r="P52" s="142">
        <f>EDATE(DataSheet!AL9,12)</f>
        <v>366</v>
      </c>
      <c r="Q52" s="142"/>
      <c r="R52" s="142"/>
    </row>
    <row r="53" spans="1:26" ht="15" customHeight="1" x14ac:dyDescent="0.2">
      <c r="C53" s="41"/>
    </row>
    <row r="54" spans="1:26" ht="15" customHeight="1" x14ac:dyDescent="0.2">
      <c r="E54" s="116">
        <f>DataSheet!B131</f>
        <v>0</v>
      </c>
      <c r="F54" s="116"/>
      <c r="G54" s="116"/>
      <c r="H54" s="116"/>
      <c r="I54" s="116"/>
      <c r="J54" s="116"/>
      <c r="K54" s="116"/>
      <c r="S54" s="116" t="s">
        <v>187</v>
      </c>
      <c r="T54" s="116"/>
      <c r="U54" s="116"/>
      <c r="V54" s="116"/>
      <c r="W54" s="116"/>
    </row>
    <row r="55" spans="1:26" ht="15" customHeight="1" x14ac:dyDescent="0.2">
      <c r="E55" s="117" t="s">
        <v>84</v>
      </c>
      <c r="F55" s="117"/>
      <c r="G55" s="117"/>
      <c r="H55" s="117"/>
      <c r="I55" s="117"/>
      <c r="J55" s="117"/>
      <c r="K55" s="117"/>
      <c r="S55" s="117" t="s">
        <v>193</v>
      </c>
      <c r="T55" s="117"/>
      <c r="U55" s="117"/>
      <c r="V55" s="117"/>
      <c r="W55" s="117"/>
    </row>
    <row r="56" spans="1:26" ht="15" customHeight="1" x14ac:dyDescent="0.2">
      <c r="E56" s="43"/>
      <c r="F56" s="43"/>
      <c r="G56" s="43"/>
      <c r="H56" s="43"/>
      <c r="I56" s="43"/>
      <c r="J56" s="43"/>
      <c r="K56" s="43"/>
      <c r="S56" s="43"/>
      <c r="T56" s="43"/>
      <c r="U56" s="43"/>
      <c r="V56" s="43"/>
      <c r="W56" s="43"/>
    </row>
    <row r="57" spans="1:26" ht="15" customHeight="1" x14ac:dyDescent="0.2">
      <c r="D57" s="37" t="s">
        <v>19</v>
      </c>
      <c r="G57" s="138"/>
      <c r="H57" s="138"/>
      <c r="I57" s="138"/>
      <c r="J57" s="138"/>
    </row>
    <row r="58" spans="1:26" ht="15" customHeight="1" x14ac:dyDescent="0.2">
      <c r="D58" s="37"/>
      <c r="G58" s="44"/>
      <c r="H58" s="44"/>
      <c r="I58" s="44"/>
      <c r="J58" s="44"/>
    </row>
    <row r="59" spans="1:26" ht="15" customHeight="1" x14ac:dyDescent="0.2"/>
    <row r="60" spans="1:26" ht="15" customHeight="1" x14ac:dyDescent="0.2"/>
    <row r="61" spans="1:26" ht="15" customHeight="1" x14ac:dyDescent="0.2"/>
    <row r="62" spans="1:26" ht="15" customHeight="1" x14ac:dyDescent="0.2"/>
    <row r="63" spans="1:26" ht="15" customHeight="1" x14ac:dyDescent="0.2"/>
    <row r="64" spans="1:26" ht="15" customHeight="1" x14ac:dyDescent="0.2"/>
    <row r="65" spans="3:31" ht="15" customHeight="1" x14ac:dyDescent="0.2">
      <c r="C65" s="37" t="s">
        <v>26</v>
      </c>
    </row>
    <row r="66" spans="3:31" ht="15" customHeight="1" x14ac:dyDescent="0.2"/>
    <row r="67" spans="3:31" ht="15" customHeight="1" x14ac:dyDescent="0.2">
      <c r="E67" s="37" t="str">
        <f>DataSheet!F50</f>
        <v>Resistance Test</v>
      </c>
    </row>
    <row r="68" spans="3:31" ht="15" customHeight="1" x14ac:dyDescent="0.2">
      <c r="E68" s="121" t="s">
        <v>74</v>
      </c>
      <c r="F68" s="121"/>
      <c r="G68" s="121"/>
      <c r="H68" s="121"/>
      <c r="I68" s="121" t="s">
        <v>83</v>
      </c>
      <c r="J68" s="121"/>
      <c r="K68" s="121"/>
      <c r="L68" s="121"/>
      <c r="M68" s="121" t="s">
        <v>116</v>
      </c>
      <c r="N68" s="121"/>
      <c r="O68" s="121"/>
      <c r="P68" s="121"/>
      <c r="Q68" s="121" t="s">
        <v>85</v>
      </c>
      <c r="R68" s="121"/>
      <c r="S68" s="121"/>
      <c r="T68" s="121"/>
      <c r="U68" s="121" t="s">
        <v>166</v>
      </c>
      <c r="V68" s="121"/>
      <c r="W68" s="121"/>
      <c r="X68" s="121"/>
      <c r="Z68" s="41"/>
      <c r="AA68" s="45"/>
    </row>
    <row r="69" spans="3:31" ht="15" customHeight="1" x14ac:dyDescent="0.2">
      <c r="E69" s="121"/>
      <c r="F69" s="121"/>
      <c r="G69" s="121"/>
      <c r="H69" s="121"/>
      <c r="I69" s="121"/>
      <c r="J69" s="121"/>
      <c r="K69" s="121"/>
      <c r="L69" s="121"/>
      <c r="M69" s="121"/>
      <c r="N69" s="121"/>
      <c r="O69" s="121"/>
      <c r="P69" s="121"/>
      <c r="Q69" s="121"/>
      <c r="R69" s="121"/>
      <c r="S69" s="121"/>
      <c r="T69" s="121"/>
      <c r="U69" s="121"/>
      <c r="V69" s="121"/>
      <c r="W69" s="121"/>
      <c r="X69" s="121"/>
      <c r="Z69" s="41"/>
      <c r="AA69" s="45"/>
    </row>
    <row r="70" spans="3:31" ht="15" customHeight="1" x14ac:dyDescent="0.2">
      <c r="E70" s="132" t="str">
        <f>DataSheet!F53</f>
        <v>600 Ω</v>
      </c>
      <c r="F70" s="133"/>
      <c r="G70" s="133"/>
      <c r="H70" s="134"/>
      <c r="I70" s="118" t="str">
        <f>CONCATENATE(DataSheet!L53," ",DataSheet!P53)</f>
        <v>0 Ω</v>
      </c>
      <c r="J70" s="119"/>
      <c r="K70" s="119"/>
      <c r="L70" s="120"/>
      <c r="M70" s="118" t="e">
        <f>CONCATENATE(TEXT(DataSheet!AH53,"0.0")," ",DataSheet!P53)</f>
        <v>#DIV/0!</v>
      </c>
      <c r="N70" s="119"/>
      <c r="O70" s="119"/>
      <c r="P70" s="120"/>
      <c r="Q70" s="118" t="e">
        <f>CONCATENATE(TEXT(DataSheet!AM53,"0.0")," ",DataSheet!P53)</f>
        <v>#DIV/0!</v>
      </c>
      <c r="R70" s="119"/>
      <c r="S70" s="119"/>
      <c r="T70" s="120"/>
      <c r="U70" s="118" t="e">
        <f>CONCATENATE(TEXT(DataSheet!EL53,"0.000")," ",DataSheet!EH53)</f>
        <v>#DIV/0!</v>
      </c>
      <c r="V70" s="119"/>
      <c r="W70" s="119"/>
      <c r="X70" s="120"/>
      <c r="Z70" s="41"/>
      <c r="AA70" s="45"/>
    </row>
    <row r="71" spans="3:31" ht="15" customHeight="1" x14ac:dyDescent="0.2">
      <c r="E71" s="135"/>
      <c r="F71" s="136"/>
      <c r="G71" s="136"/>
      <c r="H71" s="137"/>
      <c r="I71" s="118" t="str">
        <f>CONCATENATE(DataSheet!L54," ",DataSheet!P54)</f>
        <v>500 Ω</v>
      </c>
      <c r="J71" s="119"/>
      <c r="K71" s="119"/>
      <c r="L71" s="120"/>
      <c r="M71" s="118" t="e">
        <f>CONCATENATE(TEXT(DataSheet!AH54,"0.0")," ",DataSheet!P54)</f>
        <v>#DIV/0!</v>
      </c>
      <c r="N71" s="119"/>
      <c r="O71" s="119"/>
      <c r="P71" s="120"/>
      <c r="Q71" s="118" t="e">
        <f>CONCATENATE(TEXT(DataSheet!AM54,"0.0")," ",DataSheet!P54)</f>
        <v>#DIV/0!</v>
      </c>
      <c r="R71" s="119"/>
      <c r="S71" s="119"/>
      <c r="T71" s="120"/>
      <c r="U71" s="118" t="e">
        <f>CONCATENATE(TEXT(DataSheet!EL54,"0.000")," ",DataSheet!EH54)</f>
        <v>#DIV/0!</v>
      </c>
      <c r="V71" s="119"/>
      <c r="W71" s="119"/>
      <c r="X71" s="120"/>
      <c r="Z71" s="41"/>
      <c r="AA71" s="45"/>
    </row>
    <row r="72" spans="3:31" ht="15" customHeight="1" x14ac:dyDescent="0.2">
      <c r="E72" s="118" t="str">
        <f>DataSheet!F55</f>
        <v>6 kΩ</v>
      </c>
      <c r="F72" s="119"/>
      <c r="G72" s="119"/>
      <c r="H72" s="120"/>
      <c r="I72" s="118" t="str">
        <f>CONCATENATE(DataSheet!L55," ",DataSheet!P55)</f>
        <v>5 kΩ</v>
      </c>
      <c r="J72" s="119"/>
      <c r="K72" s="119"/>
      <c r="L72" s="120"/>
      <c r="M72" s="118" t="e">
        <f>CONCATENATE(TEXT(DataSheet!AH55,"0.000")," ",DataSheet!P55)</f>
        <v>#DIV/0!</v>
      </c>
      <c r="N72" s="119"/>
      <c r="O72" s="119"/>
      <c r="P72" s="120"/>
      <c r="Q72" s="118" t="e">
        <f>CONCATENATE(TEXT(DataSheet!AM55,"0.000")," ",DataSheet!P55)</f>
        <v>#DIV/0!</v>
      </c>
      <c r="R72" s="119"/>
      <c r="S72" s="119"/>
      <c r="T72" s="120"/>
      <c r="U72" s="118" t="e">
        <f>CONCATENATE(TEXT(DataSheet!EL55,"0.000 00")," ",DataSheet!EH55)</f>
        <v>#DIV/0!</v>
      </c>
      <c r="V72" s="119"/>
      <c r="W72" s="119"/>
      <c r="X72" s="120"/>
      <c r="Z72" s="41"/>
      <c r="AA72" s="45"/>
    </row>
    <row r="73" spans="3:31" ht="15" customHeight="1" x14ac:dyDescent="0.2">
      <c r="E73" s="118" t="str">
        <f>DataSheet!F56</f>
        <v>60 kΩ</v>
      </c>
      <c r="F73" s="119"/>
      <c r="G73" s="119"/>
      <c r="H73" s="120"/>
      <c r="I73" s="118" t="str">
        <f>CONCATENATE(DataSheet!L56," ",DataSheet!P56)</f>
        <v>50 kΩ</v>
      </c>
      <c r="J73" s="119"/>
      <c r="K73" s="119"/>
      <c r="L73" s="120"/>
      <c r="M73" s="118" t="e">
        <f>CONCATENATE(TEXT(DataSheet!AH56,"0.00")," ",DataSheet!P56)</f>
        <v>#DIV/0!</v>
      </c>
      <c r="N73" s="119"/>
      <c r="O73" s="119"/>
      <c r="P73" s="120"/>
      <c r="Q73" s="118" t="e">
        <f>CONCATENATE(TEXT(DataSheet!AM56,"0.00")," ",DataSheet!P56)</f>
        <v>#DIV/0!</v>
      </c>
      <c r="R73" s="119"/>
      <c r="S73" s="119"/>
      <c r="T73" s="120"/>
      <c r="U73" s="118" t="e">
        <f>CONCATENATE(TEXT(DataSheet!EL56,"0.000 0")," ",DataSheet!EH56)</f>
        <v>#DIV/0!</v>
      </c>
      <c r="V73" s="119"/>
      <c r="W73" s="119"/>
      <c r="X73" s="120"/>
      <c r="Z73" s="41"/>
      <c r="AA73" s="45"/>
    </row>
    <row r="74" spans="3:31" ht="15" customHeight="1" x14ac:dyDescent="0.2">
      <c r="E74" s="118" t="str">
        <f>DataSheet!F57</f>
        <v>600 kΩ</v>
      </c>
      <c r="F74" s="119"/>
      <c r="G74" s="119"/>
      <c r="H74" s="120"/>
      <c r="I74" s="118" t="str">
        <f>CONCATENATE(DataSheet!L57," ",DataSheet!P57)</f>
        <v>500 kΩ</v>
      </c>
      <c r="J74" s="119"/>
      <c r="K74" s="119"/>
      <c r="L74" s="120"/>
      <c r="M74" s="118" t="e">
        <f>CONCATENATE(TEXT(DataSheet!AH57,"0.0")," ",DataSheet!P57)</f>
        <v>#DIV/0!</v>
      </c>
      <c r="N74" s="119"/>
      <c r="O74" s="119"/>
      <c r="P74" s="120"/>
      <c r="Q74" s="118" t="e">
        <f>CONCATENATE(TEXT(DataSheet!AM57,"0.0")," ",DataSheet!P57)</f>
        <v>#DIV/0!</v>
      </c>
      <c r="R74" s="119"/>
      <c r="S74" s="119"/>
      <c r="T74" s="120"/>
      <c r="U74" s="118" t="e">
        <f>CONCATENATE(TEXT(DataSheet!EL57,"0.000")," ",DataSheet!EH57)</f>
        <v>#DIV/0!</v>
      </c>
      <c r="V74" s="119"/>
      <c r="W74" s="119"/>
      <c r="X74" s="120"/>
      <c r="Z74" s="41"/>
      <c r="AA74" s="45"/>
    </row>
    <row r="75" spans="3:31" ht="15" customHeight="1" x14ac:dyDescent="0.2">
      <c r="E75" s="118" t="str">
        <f>DataSheet!F58</f>
        <v>6 MΩ</v>
      </c>
      <c r="F75" s="119"/>
      <c r="G75" s="119"/>
      <c r="H75" s="120"/>
      <c r="I75" s="118" t="str">
        <f>CONCATENATE(DataSheet!L58," ",DataSheet!P58)</f>
        <v>5 MΩ</v>
      </c>
      <c r="J75" s="119"/>
      <c r="K75" s="119"/>
      <c r="L75" s="120"/>
      <c r="M75" s="118" t="e">
        <f>CONCATENATE(TEXT(DataSheet!AH58,"0.000")," ",DataSheet!P58)</f>
        <v>#DIV/0!</v>
      </c>
      <c r="N75" s="119"/>
      <c r="O75" s="119"/>
      <c r="P75" s="120"/>
      <c r="Q75" s="118" t="e">
        <f>CONCATENATE(TEXT(DataSheet!AM58,"0.000")," ",DataSheet!P58)</f>
        <v>#DIV/0!</v>
      </c>
      <c r="R75" s="119"/>
      <c r="S75" s="119"/>
      <c r="T75" s="120"/>
      <c r="U75" s="118" t="e">
        <f>CONCATENATE(TEXT(DataSheet!EL58,"0.000 0")," ",DataSheet!EH58)</f>
        <v>#DIV/0!</v>
      </c>
      <c r="V75" s="119"/>
      <c r="W75" s="119"/>
      <c r="X75" s="120"/>
      <c r="Z75" s="41"/>
      <c r="AA75" s="45"/>
    </row>
    <row r="76" spans="3:31" ht="15" customHeight="1" x14ac:dyDescent="0.2">
      <c r="E76" s="132" t="str">
        <f>DataSheet!F59</f>
        <v>40 MΩ</v>
      </c>
      <c r="F76" s="133"/>
      <c r="G76" s="133"/>
      <c r="H76" s="134"/>
      <c r="I76" s="118" t="str">
        <f>CONCATENATE(DataSheet!L59," ",DataSheet!P59)</f>
        <v>10 MΩ</v>
      </c>
      <c r="J76" s="119"/>
      <c r="K76" s="119"/>
      <c r="L76" s="120"/>
      <c r="M76" s="118" t="e">
        <f>CONCATENATE(TEXT(DataSheet!AH59,"0.00")," ",DataSheet!P59)</f>
        <v>#DIV/0!</v>
      </c>
      <c r="N76" s="119"/>
      <c r="O76" s="119"/>
      <c r="P76" s="120"/>
      <c r="Q76" s="118" t="e">
        <f>CONCATENATE(TEXT(DataSheet!AM59,"0.00")," ",DataSheet!P59)</f>
        <v>#DIV/0!</v>
      </c>
      <c r="R76" s="119"/>
      <c r="S76" s="119"/>
      <c r="T76" s="120"/>
      <c r="U76" s="118" t="e">
        <f>CONCATENATE(TEXT(DataSheet!EL59,"0.000 0")," ",DataSheet!EH59)</f>
        <v>#DIV/0!</v>
      </c>
      <c r="V76" s="119"/>
      <c r="W76" s="119"/>
      <c r="X76" s="120"/>
      <c r="Z76" s="41"/>
      <c r="AA76" s="45"/>
    </row>
    <row r="77" spans="3:31" ht="15" customHeight="1" x14ac:dyDescent="0.2">
      <c r="E77" s="135"/>
      <c r="F77" s="136"/>
      <c r="G77" s="136"/>
      <c r="H77" s="137"/>
      <c r="I77" s="118" t="str">
        <f>CONCATENATE(DataSheet!L60," ",DataSheet!P60)</f>
        <v>30 MΩ</v>
      </c>
      <c r="J77" s="119"/>
      <c r="K77" s="119"/>
      <c r="L77" s="120"/>
      <c r="M77" s="118" t="e">
        <f>CONCATENATE(TEXT(DataSheet!AH60,"0.00")," ",DataSheet!P60)</f>
        <v>#DIV/0!</v>
      </c>
      <c r="N77" s="119"/>
      <c r="O77" s="119"/>
      <c r="P77" s="120"/>
      <c r="Q77" s="118" t="e">
        <f>CONCATENATE(TEXT(DataSheet!AM60,"0.00")," ",DataSheet!P60)</f>
        <v>#DIV/0!</v>
      </c>
      <c r="R77" s="119"/>
      <c r="S77" s="119"/>
      <c r="T77" s="120"/>
      <c r="U77" s="118" t="e">
        <f>CONCATENATE(TEXT(DataSheet!EL60,"0.000 0")," ",DataSheet!EH60)</f>
        <v>#DIV/0!</v>
      </c>
      <c r="V77" s="119"/>
      <c r="W77" s="119"/>
      <c r="X77" s="120"/>
      <c r="Z77" s="41"/>
      <c r="AA77" s="45"/>
    </row>
    <row r="78" spans="3:31" ht="15" customHeight="1" x14ac:dyDescent="0.2">
      <c r="C78" s="46"/>
      <c r="D78" s="46"/>
      <c r="E78" s="46"/>
      <c r="F78" s="46"/>
      <c r="G78" s="46"/>
      <c r="H78" s="46"/>
      <c r="I78" s="46"/>
      <c r="J78" s="46"/>
      <c r="M78" s="38"/>
      <c r="O78" s="46"/>
      <c r="P78" s="46"/>
      <c r="Q78" s="46"/>
      <c r="R78" s="46"/>
      <c r="S78" s="46"/>
      <c r="T78" s="46"/>
      <c r="U78" s="46"/>
      <c r="V78" s="46"/>
      <c r="W78" s="46"/>
      <c r="X78" s="46"/>
      <c r="Y78" s="46"/>
      <c r="Z78" s="46"/>
      <c r="AB78" s="41"/>
      <c r="AC78" s="45"/>
    </row>
    <row r="79" spans="3:31" ht="15" customHeight="1" x14ac:dyDescent="0.2">
      <c r="C79" s="46"/>
      <c r="E79" s="47" t="str">
        <f>DataSheet!F62</f>
        <v>Continuity Test</v>
      </c>
      <c r="F79" s="46"/>
      <c r="G79" s="46"/>
      <c r="H79" s="46"/>
      <c r="I79" s="46"/>
      <c r="J79" s="46"/>
      <c r="K79" s="46"/>
      <c r="L79" s="46"/>
      <c r="O79" s="38"/>
      <c r="Q79" s="46"/>
      <c r="R79" s="46"/>
      <c r="S79" s="46"/>
      <c r="T79" s="46"/>
      <c r="U79" s="46"/>
      <c r="V79" s="46"/>
      <c r="W79" s="46"/>
      <c r="X79" s="46"/>
      <c r="Y79" s="46"/>
      <c r="Z79" s="46"/>
      <c r="AA79" s="46"/>
      <c r="AB79" s="46"/>
      <c r="AD79" s="41"/>
      <c r="AE79" s="45"/>
    </row>
    <row r="80" spans="3:31" ht="15" customHeight="1" x14ac:dyDescent="0.2">
      <c r="C80" s="46"/>
      <c r="E80" s="121" t="s">
        <v>74</v>
      </c>
      <c r="F80" s="121"/>
      <c r="G80" s="121"/>
      <c r="H80" s="121"/>
      <c r="I80" s="144" t="s">
        <v>136</v>
      </c>
      <c r="J80" s="145"/>
      <c r="K80" s="145"/>
      <c r="L80" s="146"/>
      <c r="M80" s="150" t="s">
        <v>137</v>
      </c>
      <c r="N80" s="151"/>
      <c r="O80" s="151"/>
      <c r="P80" s="151"/>
      <c r="Q80" s="151"/>
      <c r="R80" s="151"/>
      <c r="S80" s="151"/>
      <c r="T80" s="152"/>
      <c r="U80" s="144" t="s">
        <v>119</v>
      </c>
      <c r="V80" s="145"/>
      <c r="W80" s="145"/>
      <c r="X80" s="146"/>
      <c r="Z80" s="45"/>
      <c r="AA80" s="41"/>
      <c r="AB80" s="45"/>
    </row>
    <row r="81" spans="3:31" ht="15" customHeight="1" x14ac:dyDescent="0.2">
      <c r="C81" s="46"/>
      <c r="E81" s="121"/>
      <c r="F81" s="121"/>
      <c r="G81" s="121"/>
      <c r="H81" s="121"/>
      <c r="I81" s="147"/>
      <c r="J81" s="148"/>
      <c r="K81" s="148"/>
      <c r="L81" s="149"/>
      <c r="M81" s="150" t="s">
        <v>138</v>
      </c>
      <c r="N81" s="151"/>
      <c r="O81" s="151"/>
      <c r="P81" s="152"/>
      <c r="Q81" s="150" t="s">
        <v>139</v>
      </c>
      <c r="R81" s="151"/>
      <c r="S81" s="151"/>
      <c r="T81" s="152"/>
      <c r="U81" s="147"/>
      <c r="V81" s="148"/>
      <c r="W81" s="148"/>
      <c r="X81" s="149"/>
      <c r="Z81" s="45"/>
      <c r="AA81" s="41"/>
      <c r="AB81" s="45"/>
    </row>
    <row r="82" spans="3:31" ht="15" customHeight="1" x14ac:dyDescent="0.2">
      <c r="C82" s="46"/>
      <c r="E82" s="122" t="str">
        <f>DataSheet!F65</f>
        <v>600 Ω</v>
      </c>
      <c r="F82" s="122"/>
      <c r="G82" s="122"/>
      <c r="H82" s="122"/>
      <c r="I82" s="118" t="str">
        <f>CONCATENATE(DataSheet!L65," ",DataSheet!P65)</f>
        <v>25 Ω</v>
      </c>
      <c r="J82" s="119"/>
      <c r="K82" s="119"/>
      <c r="L82" s="120"/>
      <c r="M82" s="118" t="str">
        <f>DataSheet!AA65</f>
        <v>Beep On</v>
      </c>
      <c r="N82" s="119"/>
      <c r="O82" s="119"/>
      <c r="P82" s="120"/>
      <c r="Q82" s="118" t="str">
        <f>DataSheet!S65</f>
        <v>Beep On</v>
      </c>
      <c r="R82" s="119"/>
      <c r="S82" s="119"/>
      <c r="T82" s="120"/>
      <c r="U82" s="118" t="str">
        <f>DataSheet!AI65</f>
        <v>PASS</v>
      </c>
      <c r="V82" s="119"/>
      <c r="W82" s="119"/>
      <c r="X82" s="120"/>
      <c r="Z82" s="48"/>
      <c r="AA82" s="41"/>
      <c r="AB82" s="45"/>
    </row>
    <row r="83" spans="3:31" ht="15" customHeight="1" x14ac:dyDescent="0.2">
      <c r="C83" s="46"/>
      <c r="E83" s="122"/>
      <c r="F83" s="122"/>
      <c r="G83" s="122"/>
      <c r="H83" s="122"/>
      <c r="I83" s="118" t="str">
        <f>CONCATENATE(DataSheet!L66," ",DataSheet!P66)</f>
        <v>250 Ω</v>
      </c>
      <c r="J83" s="119"/>
      <c r="K83" s="119"/>
      <c r="L83" s="120"/>
      <c r="M83" s="118" t="str">
        <f>DataSheet!AA66</f>
        <v>Beep Off</v>
      </c>
      <c r="N83" s="119"/>
      <c r="O83" s="119"/>
      <c r="P83" s="120"/>
      <c r="Q83" s="118" t="str">
        <f>DataSheet!S66</f>
        <v>Beep Off</v>
      </c>
      <c r="R83" s="119"/>
      <c r="S83" s="119"/>
      <c r="T83" s="120"/>
      <c r="U83" s="118" t="str">
        <f>DataSheet!AI66</f>
        <v>PASS</v>
      </c>
      <c r="V83" s="119"/>
      <c r="W83" s="119"/>
      <c r="X83" s="120"/>
      <c r="Z83" s="48"/>
      <c r="AA83" s="41"/>
      <c r="AB83" s="45"/>
    </row>
    <row r="84" spans="3:31" ht="15" customHeight="1" x14ac:dyDescent="0.2">
      <c r="C84" s="46"/>
      <c r="D84" s="46"/>
      <c r="E84" s="46"/>
      <c r="F84" s="46"/>
      <c r="G84" s="46"/>
      <c r="H84" s="46"/>
      <c r="I84" s="46"/>
      <c r="J84" s="46"/>
      <c r="M84" s="38"/>
      <c r="O84" s="46"/>
      <c r="P84" s="46"/>
      <c r="Q84" s="46"/>
      <c r="R84" s="46"/>
      <c r="S84" s="46"/>
      <c r="T84" s="46"/>
      <c r="U84" s="46"/>
      <c r="V84" s="46"/>
      <c r="W84" s="46"/>
      <c r="X84" s="46"/>
      <c r="Y84" s="46"/>
      <c r="Z84" s="46"/>
      <c r="AB84" s="41"/>
      <c r="AC84" s="45"/>
    </row>
    <row r="85" spans="3:31" ht="15" customHeight="1" x14ac:dyDescent="0.2">
      <c r="C85" s="46"/>
      <c r="E85" s="47" t="str">
        <f>DataSheet!F68</f>
        <v>AC Voltage Test</v>
      </c>
      <c r="F85" s="46"/>
      <c r="G85" s="46"/>
      <c r="H85" s="46"/>
      <c r="I85" s="46"/>
      <c r="J85" s="46"/>
      <c r="K85" s="46"/>
      <c r="L85" s="46"/>
      <c r="O85" s="38"/>
      <c r="Q85" s="46"/>
      <c r="R85" s="46"/>
      <c r="S85" s="46"/>
      <c r="T85" s="46"/>
      <c r="U85" s="46"/>
      <c r="V85" s="46"/>
      <c r="W85" s="46"/>
      <c r="X85" s="46"/>
      <c r="Y85" s="46"/>
      <c r="Z85" s="46"/>
      <c r="AA85" s="46"/>
      <c r="AB85" s="46"/>
      <c r="AD85" s="41"/>
      <c r="AE85" s="45"/>
    </row>
    <row r="86" spans="3:31" ht="15" customHeight="1" x14ac:dyDescent="0.2">
      <c r="C86" s="46"/>
      <c r="E86" s="121" t="s">
        <v>74</v>
      </c>
      <c r="F86" s="121"/>
      <c r="G86" s="121"/>
      <c r="H86" s="121"/>
      <c r="I86" s="121" t="s">
        <v>83</v>
      </c>
      <c r="J86" s="121"/>
      <c r="K86" s="121"/>
      <c r="L86" s="121"/>
      <c r="M86" s="121" t="s">
        <v>116</v>
      </c>
      <c r="N86" s="121"/>
      <c r="O86" s="121"/>
      <c r="P86" s="121"/>
      <c r="Q86" s="121" t="s">
        <v>85</v>
      </c>
      <c r="R86" s="121"/>
      <c r="S86" s="121"/>
      <c r="T86" s="121"/>
      <c r="U86" s="121" t="s">
        <v>166</v>
      </c>
      <c r="V86" s="121"/>
      <c r="W86" s="121"/>
      <c r="X86" s="121"/>
      <c r="Z86" s="41"/>
      <c r="AA86" s="45"/>
    </row>
    <row r="87" spans="3:31" ht="15" customHeight="1" x14ac:dyDescent="0.2">
      <c r="C87" s="46"/>
      <c r="E87" s="121"/>
      <c r="F87" s="121"/>
      <c r="G87" s="121"/>
      <c r="H87" s="121"/>
      <c r="I87" s="121"/>
      <c r="J87" s="121"/>
      <c r="K87" s="121"/>
      <c r="L87" s="121"/>
      <c r="M87" s="121"/>
      <c r="N87" s="121"/>
      <c r="O87" s="121"/>
      <c r="P87" s="121"/>
      <c r="Q87" s="121"/>
      <c r="R87" s="121"/>
      <c r="S87" s="121"/>
      <c r="T87" s="121"/>
      <c r="U87" s="121"/>
      <c r="V87" s="121"/>
      <c r="W87" s="121"/>
      <c r="X87" s="121"/>
      <c r="Z87" s="41"/>
      <c r="AA87" s="45"/>
    </row>
    <row r="88" spans="3:31" ht="15" customHeight="1" x14ac:dyDescent="0.2">
      <c r="C88" s="46"/>
      <c r="E88" s="132" t="str">
        <f>DataSheet!F71</f>
        <v>6 V</v>
      </c>
      <c r="F88" s="133"/>
      <c r="G88" s="133"/>
      <c r="H88" s="134"/>
      <c r="I88" s="118" t="str">
        <f>CONCATENATE(DataSheet!L71," ",DataSheet!P71," / ",DataSheet!S71)</f>
        <v>5 V / 45 Hz</v>
      </c>
      <c r="J88" s="119"/>
      <c r="K88" s="119"/>
      <c r="L88" s="120"/>
      <c r="M88" s="118" t="e">
        <f>CONCATENATE(TEXT(DataSheet!AM71,"0.000")," ",DataSheet!P71)</f>
        <v>#DIV/0!</v>
      </c>
      <c r="N88" s="119"/>
      <c r="O88" s="119"/>
      <c r="P88" s="120"/>
      <c r="Q88" s="118" t="e">
        <f>CONCATENATE(TEXT(DataSheet!AR71,"0.000")," ",DataSheet!P71)</f>
        <v>#DIV/0!</v>
      </c>
      <c r="R88" s="119"/>
      <c r="S88" s="119"/>
      <c r="T88" s="120"/>
      <c r="U88" s="118" t="e">
        <f>CONCATENATE(,TEXT(DataSheet!EL71,"0.000 0")," ",DataSheet!EH71)</f>
        <v>#DIV/0!</v>
      </c>
      <c r="V88" s="119"/>
      <c r="W88" s="119"/>
      <c r="X88" s="120"/>
      <c r="Z88" s="41"/>
      <c r="AA88" s="45"/>
    </row>
    <row r="89" spans="3:31" ht="15" customHeight="1" x14ac:dyDescent="0.2">
      <c r="C89" s="46"/>
      <c r="E89" s="135"/>
      <c r="F89" s="136"/>
      <c r="G89" s="136"/>
      <c r="H89" s="137"/>
      <c r="I89" s="118" t="str">
        <f>CONCATENATE(DataSheet!L72," ",DataSheet!P72," / ",DataSheet!S72)</f>
        <v>5 V / 1 kHz</v>
      </c>
      <c r="J89" s="119"/>
      <c r="K89" s="119"/>
      <c r="L89" s="120"/>
      <c r="M89" s="118" t="e">
        <f>CONCATENATE(TEXT(DataSheet!AM72,"0.000")," ",DataSheet!P72)</f>
        <v>#DIV/0!</v>
      </c>
      <c r="N89" s="119"/>
      <c r="O89" s="119"/>
      <c r="P89" s="120"/>
      <c r="Q89" s="118" t="e">
        <f>CONCATENATE(TEXT(DataSheet!AR72,"0.000")," ",DataSheet!P72)</f>
        <v>#DIV/0!</v>
      </c>
      <c r="R89" s="119"/>
      <c r="S89" s="119"/>
      <c r="T89" s="120"/>
      <c r="U89" s="118" t="e">
        <f>CONCATENATE(,TEXT(DataSheet!EL72,"0.000 0")," ",DataSheet!EH72)</f>
        <v>#DIV/0!</v>
      </c>
      <c r="V89" s="119"/>
      <c r="W89" s="119"/>
      <c r="X89" s="120"/>
      <c r="Z89" s="41"/>
      <c r="AA89" s="45"/>
    </row>
    <row r="90" spans="3:31" ht="15" customHeight="1" x14ac:dyDescent="0.2">
      <c r="C90" s="46"/>
      <c r="E90" s="132" t="str">
        <f>DataSheet!F73</f>
        <v>60 V</v>
      </c>
      <c r="F90" s="133"/>
      <c r="G90" s="133"/>
      <c r="H90" s="134"/>
      <c r="I90" s="118" t="str">
        <f>CONCATENATE(DataSheet!L73," ",DataSheet!P73," / ",DataSheet!S73)</f>
        <v>50 V / 45 Hz</v>
      </c>
      <c r="J90" s="119"/>
      <c r="K90" s="119"/>
      <c r="L90" s="120"/>
      <c r="M90" s="118" t="e">
        <f>CONCATENATE(TEXT(DataSheet!AM73,"0.00")," ",DataSheet!P73)</f>
        <v>#DIV/0!</v>
      </c>
      <c r="N90" s="119"/>
      <c r="O90" s="119"/>
      <c r="P90" s="120"/>
      <c r="Q90" s="118" t="e">
        <f>CONCATENATE(TEXT(DataSheet!AR73,"0.00")," ",DataSheet!P73)</f>
        <v>#DIV/0!</v>
      </c>
      <c r="R90" s="119"/>
      <c r="S90" s="119"/>
      <c r="T90" s="120"/>
      <c r="U90" s="118" t="e">
        <f>CONCATENATE(,TEXT(DataSheet!EL73,"0.000")," ",DataSheet!EH73)</f>
        <v>#DIV/0!</v>
      </c>
      <c r="V90" s="119"/>
      <c r="W90" s="119"/>
      <c r="X90" s="120"/>
      <c r="Z90" s="41"/>
      <c r="AA90" s="45"/>
    </row>
    <row r="91" spans="3:31" ht="15" customHeight="1" x14ac:dyDescent="0.2">
      <c r="C91" s="46"/>
      <c r="E91" s="135"/>
      <c r="F91" s="136"/>
      <c r="G91" s="136"/>
      <c r="H91" s="137"/>
      <c r="I91" s="118" t="str">
        <f>CONCATENATE(DataSheet!L74," ",DataSheet!P74," / ",DataSheet!S74)</f>
        <v>50 V / 1 kHz</v>
      </c>
      <c r="J91" s="119"/>
      <c r="K91" s="119"/>
      <c r="L91" s="120"/>
      <c r="M91" s="118" t="e">
        <f>CONCATENATE(TEXT(DataSheet!AM74,"0.00")," ",DataSheet!P74)</f>
        <v>#DIV/0!</v>
      </c>
      <c r="N91" s="119"/>
      <c r="O91" s="119"/>
      <c r="P91" s="120"/>
      <c r="Q91" s="118" t="e">
        <f>CONCATENATE(TEXT(DataSheet!AR74,"0.00")," ",DataSheet!P74)</f>
        <v>#DIV/0!</v>
      </c>
      <c r="R91" s="119"/>
      <c r="S91" s="119"/>
      <c r="T91" s="120"/>
      <c r="U91" s="118" t="e">
        <f>CONCATENATE(,TEXT(DataSheet!EL74,"0.000")," ",DataSheet!EH74)</f>
        <v>#DIV/0!</v>
      </c>
      <c r="V91" s="119"/>
      <c r="W91" s="119"/>
      <c r="X91" s="120"/>
      <c r="Z91" s="41"/>
      <c r="AA91" s="45"/>
    </row>
    <row r="92" spans="3:31" ht="15" customHeight="1" x14ac:dyDescent="0.2">
      <c r="C92" s="46"/>
      <c r="E92" s="132" t="str">
        <f>DataSheet!F75</f>
        <v>600 V</v>
      </c>
      <c r="F92" s="133"/>
      <c r="G92" s="133"/>
      <c r="H92" s="134"/>
      <c r="I92" s="118" t="str">
        <f>CONCATENATE(DataSheet!L75," ",DataSheet!P75," / ",DataSheet!S75)</f>
        <v>600 V / 45 Hz</v>
      </c>
      <c r="J92" s="119"/>
      <c r="K92" s="119"/>
      <c r="L92" s="120"/>
      <c r="M92" s="118" t="e">
        <f>CONCATENATE(TEXT(DataSheet!AM75,"0.0")," ",DataSheet!P75)</f>
        <v>#DIV/0!</v>
      </c>
      <c r="N92" s="119"/>
      <c r="O92" s="119"/>
      <c r="P92" s="120"/>
      <c r="Q92" s="118" t="e">
        <f>CONCATENATE(TEXT(DataSheet!AR75,"0.0")," ",DataSheet!P75)</f>
        <v>#DIV/0!</v>
      </c>
      <c r="R92" s="119"/>
      <c r="S92" s="119"/>
      <c r="T92" s="120"/>
      <c r="U92" s="118" t="e">
        <f>CONCATENATE(,TEXT(DataSheet!EL75,"0.00")," ",DataSheet!EH75)</f>
        <v>#DIV/0!</v>
      </c>
      <c r="V92" s="119"/>
      <c r="W92" s="119"/>
      <c r="X92" s="120"/>
      <c r="Z92" s="41"/>
      <c r="AA92" s="45"/>
    </row>
    <row r="93" spans="3:31" ht="15" customHeight="1" x14ac:dyDescent="0.2">
      <c r="C93" s="46"/>
      <c r="E93" s="135"/>
      <c r="F93" s="136"/>
      <c r="G93" s="136"/>
      <c r="H93" s="137"/>
      <c r="I93" s="118" t="str">
        <f>CONCATENATE(DataSheet!L76," ",DataSheet!P76," / ",DataSheet!S76)</f>
        <v>600 V / 1 kHz</v>
      </c>
      <c r="J93" s="119"/>
      <c r="K93" s="119"/>
      <c r="L93" s="120"/>
      <c r="M93" s="118" t="e">
        <f>CONCATENATE(TEXT(DataSheet!AM76,"0.0")," ",DataSheet!P76)</f>
        <v>#DIV/0!</v>
      </c>
      <c r="N93" s="119"/>
      <c r="O93" s="119"/>
      <c r="P93" s="120"/>
      <c r="Q93" s="118" t="e">
        <f>CONCATENATE(TEXT(DataSheet!AR76,"0.0")," ",DataSheet!P76)</f>
        <v>#DIV/0!</v>
      </c>
      <c r="R93" s="119"/>
      <c r="S93" s="119"/>
      <c r="T93" s="120"/>
      <c r="U93" s="118" t="e">
        <f>CONCATENATE(,TEXT(DataSheet!EL76,"0.000")," ",DataSheet!EH76)</f>
        <v>#DIV/0!</v>
      </c>
      <c r="V93" s="119"/>
      <c r="W93" s="119"/>
      <c r="X93" s="120"/>
      <c r="Z93" s="41"/>
      <c r="AA93" s="45"/>
    </row>
    <row r="94" spans="3:31" ht="15" customHeight="1" x14ac:dyDescent="0.2">
      <c r="C94" s="46"/>
      <c r="E94" s="46"/>
      <c r="F94" s="46"/>
      <c r="G94" s="46"/>
      <c r="H94" s="46"/>
      <c r="I94" s="46"/>
      <c r="J94" s="46"/>
      <c r="K94" s="46"/>
      <c r="L94" s="46"/>
      <c r="O94" s="38"/>
      <c r="Q94" s="46"/>
      <c r="R94" s="46"/>
      <c r="S94" s="46"/>
      <c r="T94" s="46"/>
      <c r="U94" s="46"/>
      <c r="V94" s="46"/>
      <c r="W94" s="46"/>
      <c r="X94" s="46"/>
      <c r="Y94" s="46"/>
      <c r="Z94" s="46"/>
      <c r="AA94" s="46"/>
      <c r="AB94" s="46"/>
      <c r="AD94" s="41"/>
      <c r="AE94" s="45"/>
    </row>
    <row r="95" spans="3:31" ht="15" customHeight="1" x14ac:dyDescent="0.2">
      <c r="C95" s="46"/>
      <c r="E95" s="37" t="str">
        <f>DataSheet!F78</f>
        <v>AC Voltage Frequency Test</v>
      </c>
      <c r="O95" s="38"/>
    </row>
    <row r="96" spans="3:31" ht="15" customHeight="1" x14ac:dyDescent="0.2">
      <c r="C96" s="46"/>
      <c r="E96" s="121" t="s">
        <v>74</v>
      </c>
      <c r="F96" s="121"/>
      <c r="G96" s="121"/>
      <c r="H96" s="121"/>
      <c r="I96" s="121" t="s">
        <v>83</v>
      </c>
      <c r="J96" s="121"/>
      <c r="K96" s="121"/>
      <c r="L96" s="121"/>
      <c r="M96" s="121" t="s">
        <v>116</v>
      </c>
      <c r="N96" s="121"/>
      <c r="O96" s="121"/>
      <c r="P96" s="121"/>
      <c r="Q96" s="121" t="s">
        <v>85</v>
      </c>
      <c r="R96" s="121"/>
      <c r="S96" s="121"/>
      <c r="T96" s="121"/>
      <c r="U96" s="121" t="s">
        <v>166</v>
      </c>
      <c r="V96" s="121"/>
      <c r="W96" s="121"/>
      <c r="X96" s="121"/>
      <c r="Z96" s="41"/>
      <c r="AA96" s="45"/>
    </row>
    <row r="97" spans="2:29" ht="15" customHeight="1" x14ac:dyDescent="0.2">
      <c r="C97" s="46"/>
      <c r="E97" s="121"/>
      <c r="F97" s="121"/>
      <c r="G97" s="121"/>
      <c r="H97" s="121"/>
      <c r="I97" s="121"/>
      <c r="J97" s="121"/>
      <c r="K97" s="121"/>
      <c r="L97" s="121"/>
      <c r="M97" s="121"/>
      <c r="N97" s="121"/>
      <c r="O97" s="121"/>
      <c r="P97" s="121"/>
      <c r="Q97" s="121"/>
      <c r="R97" s="121"/>
      <c r="S97" s="121"/>
      <c r="T97" s="121"/>
      <c r="U97" s="121"/>
      <c r="V97" s="121"/>
      <c r="W97" s="121"/>
      <c r="X97" s="121"/>
      <c r="Z97" s="41"/>
      <c r="AA97" s="45"/>
    </row>
    <row r="98" spans="2:29" ht="15" customHeight="1" x14ac:dyDescent="0.2">
      <c r="C98" s="46"/>
      <c r="E98" s="118" t="str">
        <f>DataSheet!F81</f>
        <v>6 V</v>
      </c>
      <c r="F98" s="119"/>
      <c r="G98" s="119"/>
      <c r="H98" s="120"/>
      <c r="I98" s="118" t="str">
        <f>CONCATENATE(DataSheet!L81," ",DataSheet!P81," / ",DataSheet!S81)</f>
        <v>50 kHz / 2 V</v>
      </c>
      <c r="J98" s="119"/>
      <c r="K98" s="119"/>
      <c r="L98" s="120"/>
      <c r="M98" s="118" t="e">
        <f>CONCATENATE(TEXT(DataSheet!AM81,"0.00")," ",DataSheet!P81)</f>
        <v>#DIV/0!</v>
      </c>
      <c r="N98" s="119"/>
      <c r="O98" s="119"/>
      <c r="P98" s="120"/>
      <c r="Q98" s="118" t="e">
        <f>CONCATENATE(TEXT(DataSheet!AR81,"0.00")," ",DataSheet!P81)</f>
        <v>#DIV/0!</v>
      </c>
      <c r="R98" s="119"/>
      <c r="S98" s="119"/>
      <c r="T98" s="120"/>
      <c r="U98" s="118" t="e">
        <f>CONCATENATE(,TEXT(DataSheet!EL81,"0.000 0")," ",DataSheet!EH81)</f>
        <v>#DIV/0!</v>
      </c>
      <c r="V98" s="119"/>
      <c r="W98" s="119"/>
      <c r="X98" s="120"/>
      <c r="Z98" s="41"/>
      <c r="AA98" s="45"/>
    </row>
    <row r="99" spans="2:29" ht="15" customHeight="1" x14ac:dyDescent="0.2">
      <c r="C99" s="52"/>
      <c r="D99" s="52"/>
      <c r="E99" s="52"/>
      <c r="F99" s="52"/>
      <c r="G99" s="52"/>
      <c r="H99" s="52"/>
      <c r="I99" s="52"/>
      <c r="J99" s="52"/>
      <c r="K99" s="52"/>
      <c r="L99" s="52"/>
      <c r="M99" s="52"/>
      <c r="N99" s="52"/>
      <c r="O99" s="52"/>
      <c r="P99" s="52"/>
      <c r="Q99" s="52"/>
      <c r="R99" s="52"/>
      <c r="S99" s="52"/>
      <c r="T99" s="52"/>
      <c r="U99" s="52"/>
      <c r="V99" s="52"/>
      <c r="W99" s="52"/>
      <c r="X99" s="52"/>
      <c r="Y99" s="52"/>
      <c r="Z99" s="52"/>
      <c r="AB99" s="41"/>
      <c r="AC99" s="45"/>
    </row>
    <row r="100" spans="2:29" ht="15" customHeight="1" x14ac:dyDescent="0.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B100" s="41"/>
      <c r="AC100" s="45"/>
    </row>
    <row r="101" spans="2:29" ht="15" customHeight="1" x14ac:dyDescent="0.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B101" s="41"/>
      <c r="AC101" s="45"/>
    </row>
    <row r="102" spans="2:29" ht="15" customHeight="1" x14ac:dyDescent="0.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B102" s="41"/>
      <c r="AC102" s="45"/>
    </row>
    <row r="103" spans="2:29" ht="15" customHeight="1" x14ac:dyDescent="0.2">
      <c r="C103" s="38"/>
      <c r="E103" s="46"/>
      <c r="F103" s="46"/>
      <c r="G103" s="46"/>
      <c r="H103" s="46"/>
      <c r="I103" s="46"/>
      <c r="J103" s="46"/>
      <c r="K103" s="46"/>
      <c r="M103" s="46"/>
      <c r="N103" s="38"/>
      <c r="P103" s="46"/>
      <c r="Q103" s="46"/>
      <c r="R103" s="46"/>
      <c r="S103" s="46"/>
      <c r="T103" s="46"/>
      <c r="U103" s="46"/>
      <c r="V103" s="46"/>
      <c r="W103" s="46"/>
      <c r="X103" s="46"/>
      <c r="Y103" s="46"/>
      <c r="Z103" s="46"/>
      <c r="AA103" s="46"/>
      <c r="AB103" s="41"/>
      <c r="AC103" s="45"/>
    </row>
    <row r="104" spans="2:29" ht="15" customHeight="1" x14ac:dyDescent="0.2">
      <c r="C104" s="38"/>
      <c r="E104" s="46"/>
      <c r="F104" s="46"/>
      <c r="G104" s="46"/>
      <c r="H104" s="46"/>
      <c r="I104" s="46"/>
      <c r="J104" s="46"/>
      <c r="K104" s="46"/>
      <c r="L104" s="46"/>
      <c r="M104" s="46"/>
      <c r="N104" s="46"/>
      <c r="O104" s="46"/>
      <c r="P104" s="46"/>
      <c r="Q104" s="46"/>
      <c r="R104" s="46"/>
      <c r="S104" s="46"/>
      <c r="T104" s="46"/>
      <c r="U104" s="46"/>
      <c r="V104" s="46"/>
      <c r="W104" s="46"/>
      <c r="X104" s="46"/>
      <c r="Y104" s="41"/>
      <c r="Z104" s="45"/>
    </row>
    <row r="105" spans="2:29" ht="15" customHeight="1" x14ac:dyDescent="0.2">
      <c r="C105" s="38"/>
      <c r="E105" s="46"/>
      <c r="F105" s="46"/>
      <c r="G105" s="46"/>
      <c r="H105" s="46"/>
      <c r="I105" s="46"/>
      <c r="J105" s="46"/>
      <c r="K105" s="46"/>
      <c r="L105" s="46"/>
      <c r="M105" s="46"/>
      <c r="N105" s="46"/>
      <c r="O105" s="46"/>
      <c r="P105" s="46"/>
      <c r="Q105" s="46"/>
      <c r="R105" s="46"/>
      <c r="S105" s="46"/>
      <c r="T105" s="46"/>
      <c r="U105" s="46"/>
      <c r="V105" s="46"/>
      <c r="W105" s="46"/>
      <c r="X105" s="46"/>
      <c r="Y105" s="41"/>
      <c r="Z105" s="45"/>
    </row>
    <row r="106" spans="2:29" ht="15" customHeight="1" x14ac:dyDescent="0.2">
      <c r="C106" s="38"/>
      <c r="E106" s="46"/>
      <c r="F106" s="46"/>
      <c r="G106" s="46"/>
      <c r="H106" s="46"/>
      <c r="I106" s="46"/>
      <c r="J106" s="46"/>
      <c r="K106" s="46"/>
      <c r="L106" s="46"/>
      <c r="M106" s="46"/>
      <c r="N106" s="46"/>
      <c r="O106" s="46"/>
      <c r="P106" s="46"/>
      <c r="Q106" s="46"/>
      <c r="R106" s="46"/>
      <c r="S106" s="46"/>
      <c r="T106" s="46"/>
      <c r="U106" s="46"/>
      <c r="V106" s="46"/>
      <c r="W106" s="46"/>
      <c r="X106" s="46"/>
      <c r="Y106" s="41"/>
      <c r="Z106" s="45"/>
    </row>
    <row r="107" spans="2:29" ht="15" customHeight="1" x14ac:dyDescent="0.2"/>
    <row r="108" spans="2:29" ht="15" customHeight="1" x14ac:dyDescent="0.2">
      <c r="B108" s="116">
        <f>DataSheet!B131</f>
        <v>0</v>
      </c>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row>
    <row r="109" spans="2:29" ht="15" customHeight="1" x14ac:dyDescent="0.2">
      <c r="B109" s="117" t="s">
        <v>84</v>
      </c>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row>
    <row r="110" spans="2:29" ht="15" customHeight="1" x14ac:dyDescent="0.2">
      <c r="AA110" s="41"/>
    </row>
    <row r="111" spans="2:29" ht="15" customHeight="1" x14ac:dyDescent="0.2">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1"/>
    </row>
    <row r="112" spans="2:29" ht="15" customHeight="1" x14ac:dyDescent="0.2">
      <c r="D112" s="41"/>
      <c r="F112" s="41"/>
      <c r="G112" s="43"/>
      <c r="H112" s="43"/>
      <c r="I112" s="43"/>
      <c r="J112" s="43"/>
      <c r="K112" s="41"/>
      <c r="L112" s="41"/>
      <c r="M112" s="41"/>
      <c r="N112" s="41"/>
      <c r="O112" s="41"/>
      <c r="P112" s="41"/>
      <c r="Q112" s="41"/>
      <c r="R112" s="43"/>
      <c r="S112" s="43"/>
      <c r="T112" s="43"/>
      <c r="U112" s="43"/>
      <c r="V112" s="43"/>
      <c r="W112" s="41"/>
      <c r="X112" s="41"/>
      <c r="Y112" s="41"/>
      <c r="Z112" s="41"/>
      <c r="AA112" s="41"/>
    </row>
    <row r="113" spans="3:25" ht="15" customHeight="1" x14ac:dyDescent="0.2">
      <c r="E113" s="48"/>
      <c r="F113" s="48"/>
      <c r="G113" s="48"/>
      <c r="H113" s="48"/>
      <c r="L113" s="41"/>
      <c r="M113" s="41"/>
      <c r="N113" s="41"/>
      <c r="R113" s="41"/>
      <c r="S113" s="41"/>
      <c r="T113" s="41"/>
      <c r="U113" s="41"/>
      <c r="V113" s="41"/>
      <c r="W113" s="41"/>
      <c r="X113" s="41"/>
      <c r="Y113" s="41"/>
    </row>
    <row r="114" spans="3:25" ht="15" customHeight="1" x14ac:dyDescent="0.2"/>
    <row r="115" spans="3:25" ht="15" customHeight="1" x14ac:dyDescent="0.2"/>
    <row r="116" spans="3:25" ht="15" customHeight="1" x14ac:dyDescent="0.2"/>
    <row r="117" spans="3:25" ht="15" customHeight="1" x14ac:dyDescent="0.2"/>
    <row r="118" spans="3:25" ht="15" customHeight="1" x14ac:dyDescent="0.2"/>
    <row r="119" spans="3:25" ht="15" customHeight="1" x14ac:dyDescent="0.2">
      <c r="C119" s="37" t="s">
        <v>26</v>
      </c>
    </row>
    <row r="120" spans="3:25" ht="15" customHeight="1" x14ac:dyDescent="0.2"/>
    <row r="121" spans="3:25" ht="15" customHeight="1" x14ac:dyDescent="0.2">
      <c r="E121" s="37" t="str">
        <f>DataSheet!F83</f>
        <v>DC Voltage Test</v>
      </c>
    </row>
    <row r="122" spans="3:25" ht="15" customHeight="1" x14ac:dyDescent="0.2">
      <c r="E122" s="121" t="s">
        <v>74</v>
      </c>
      <c r="F122" s="121"/>
      <c r="G122" s="121"/>
      <c r="H122" s="121"/>
      <c r="I122" s="121" t="s">
        <v>83</v>
      </c>
      <c r="J122" s="121"/>
      <c r="K122" s="121"/>
      <c r="L122" s="121"/>
      <c r="M122" s="121" t="s">
        <v>116</v>
      </c>
      <c r="N122" s="121"/>
      <c r="O122" s="121"/>
      <c r="P122" s="121"/>
      <c r="Q122" s="121" t="s">
        <v>85</v>
      </c>
      <c r="R122" s="121"/>
      <c r="S122" s="121"/>
      <c r="T122" s="121"/>
      <c r="U122" s="121" t="s">
        <v>166</v>
      </c>
      <c r="V122" s="121"/>
      <c r="W122" s="121"/>
      <c r="X122" s="121"/>
    </row>
    <row r="123" spans="3:25" ht="15" customHeight="1" x14ac:dyDescent="0.2">
      <c r="E123" s="121"/>
      <c r="F123" s="121"/>
      <c r="G123" s="121"/>
      <c r="H123" s="121"/>
      <c r="I123" s="121"/>
      <c r="J123" s="121"/>
      <c r="K123" s="121"/>
      <c r="L123" s="121"/>
      <c r="M123" s="121"/>
      <c r="N123" s="121"/>
      <c r="O123" s="121"/>
      <c r="P123" s="121"/>
      <c r="Q123" s="121"/>
      <c r="R123" s="121"/>
      <c r="S123" s="121"/>
      <c r="T123" s="121"/>
      <c r="U123" s="121"/>
      <c r="V123" s="121"/>
      <c r="W123" s="121"/>
      <c r="X123" s="121"/>
    </row>
    <row r="124" spans="3:25" ht="15" customHeight="1" x14ac:dyDescent="0.2">
      <c r="E124" s="132" t="str">
        <f>DataSheet!F86</f>
        <v>6 V</v>
      </c>
      <c r="F124" s="133"/>
      <c r="G124" s="133"/>
      <c r="H124" s="134"/>
      <c r="I124" s="122" t="str">
        <f>CONCATENATE(DataSheet!L86," ",DataSheet!P86)</f>
        <v>0 V</v>
      </c>
      <c r="J124" s="122"/>
      <c r="K124" s="122"/>
      <c r="L124" s="122"/>
      <c r="M124" s="122" t="e">
        <f>CONCATENATE(TEXT(DataSheet!AH86,"0.000")," ",DataSheet!P86)</f>
        <v>#DIV/0!</v>
      </c>
      <c r="N124" s="122"/>
      <c r="O124" s="122"/>
      <c r="P124" s="122"/>
      <c r="Q124" s="122" t="e">
        <f>CONCATENATE(TEXT(DataSheet!AM86,"0.000")," ",DataSheet!P86)</f>
        <v>#DIV/0!</v>
      </c>
      <c r="R124" s="122"/>
      <c r="S124" s="122"/>
      <c r="T124" s="122"/>
      <c r="U124" s="122" t="e">
        <f>CONCATENATE(TEXT(DataSheet!EL86,"0.000 00")," ",DataSheet!EH86)</f>
        <v>#DIV/0!</v>
      </c>
      <c r="V124" s="122"/>
      <c r="W124" s="122"/>
      <c r="X124" s="122"/>
    </row>
    <row r="125" spans="3:25" ht="15" customHeight="1" x14ac:dyDescent="0.2">
      <c r="E125" s="135"/>
      <c r="F125" s="136"/>
      <c r="G125" s="136"/>
      <c r="H125" s="137"/>
      <c r="I125" s="122" t="str">
        <f>CONCATENATE(DataSheet!L87," ",DataSheet!P87)</f>
        <v>5 V</v>
      </c>
      <c r="J125" s="122"/>
      <c r="K125" s="122"/>
      <c r="L125" s="122"/>
      <c r="M125" s="122" t="e">
        <f>CONCATENATE(TEXT(DataSheet!AH87,"0.000")," ",DataSheet!P87)</f>
        <v>#DIV/0!</v>
      </c>
      <c r="N125" s="122"/>
      <c r="O125" s="122"/>
      <c r="P125" s="122"/>
      <c r="Q125" s="122" t="e">
        <f>CONCATENATE(TEXT(DataSheet!AM87,"0.000")," ",DataSheet!P87)</f>
        <v>#DIV/0!</v>
      </c>
      <c r="R125" s="122"/>
      <c r="S125" s="122"/>
      <c r="T125" s="122"/>
      <c r="U125" s="122" t="e">
        <f>CONCATENATE(TEXT(DataSheet!EL87,"0.000 00")," ",DataSheet!EH87)</f>
        <v>#DIV/0!</v>
      </c>
      <c r="V125" s="122"/>
      <c r="W125" s="122"/>
      <c r="X125" s="122"/>
    </row>
    <row r="126" spans="3:25" ht="15" customHeight="1" x14ac:dyDescent="0.2">
      <c r="E126" s="122" t="str">
        <f>DataSheet!F88</f>
        <v>60 V</v>
      </c>
      <c r="F126" s="122"/>
      <c r="G126" s="122"/>
      <c r="H126" s="122"/>
      <c r="I126" s="122" t="str">
        <f>CONCATENATE(DataSheet!L88," ",DataSheet!P88)</f>
        <v>50 V</v>
      </c>
      <c r="J126" s="122"/>
      <c r="K126" s="122"/>
      <c r="L126" s="122"/>
      <c r="M126" s="122" t="e">
        <f>CONCATENATE(TEXT(DataSheet!AH88,"0.00")," ",DataSheet!P88)</f>
        <v>#DIV/0!</v>
      </c>
      <c r="N126" s="122"/>
      <c r="O126" s="122"/>
      <c r="P126" s="122"/>
      <c r="Q126" s="122" t="e">
        <f>CONCATENATE(TEXT(DataSheet!AM88,"0.00")," ",DataSheet!P88)</f>
        <v>#DIV/0!</v>
      </c>
      <c r="R126" s="122"/>
      <c r="S126" s="122"/>
      <c r="T126" s="122"/>
      <c r="U126" s="122" t="e">
        <f>CONCATENATE(TEXT(DataSheet!EL88,"0.000 0")," ",DataSheet!EH88)</f>
        <v>#DIV/0!</v>
      </c>
      <c r="V126" s="122"/>
      <c r="W126" s="122"/>
      <c r="X126" s="122"/>
    </row>
    <row r="127" spans="3:25" ht="15" customHeight="1" x14ac:dyDescent="0.2">
      <c r="E127" s="132" t="str">
        <f>DataSheet!F89</f>
        <v>600 V</v>
      </c>
      <c r="F127" s="133"/>
      <c r="G127" s="133"/>
      <c r="H127" s="134"/>
      <c r="I127" s="122" t="str">
        <f>CONCATENATE(DataSheet!L89," ",DataSheet!P89)</f>
        <v>600 V</v>
      </c>
      <c r="J127" s="122"/>
      <c r="K127" s="122"/>
      <c r="L127" s="122"/>
      <c r="M127" s="122" t="e">
        <f>CONCATENATE(TEXT(DataSheet!AH89,"0.0")," ",DataSheet!P89)</f>
        <v>#DIV/0!</v>
      </c>
      <c r="N127" s="122"/>
      <c r="O127" s="122"/>
      <c r="P127" s="122"/>
      <c r="Q127" s="122" t="e">
        <f>CONCATENATE(TEXT(DataSheet!AM89,"0.0")," ",DataSheet!P89)</f>
        <v>#DIV/0!</v>
      </c>
      <c r="R127" s="122"/>
      <c r="S127" s="122"/>
      <c r="T127" s="122"/>
      <c r="U127" s="122" t="e">
        <f>CONCATENATE(TEXT(DataSheet!EL89,"0.000")," ",DataSheet!EH89)</f>
        <v>#DIV/0!</v>
      </c>
      <c r="V127" s="122"/>
      <c r="W127" s="122"/>
      <c r="X127" s="122"/>
    </row>
    <row r="128" spans="3:25" ht="15" customHeight="1" x14ac:dyDescent="0.2">
      <c r="E128" s="135"/>
      <c r="F128" s="136"/>
      <c r="G128" s="136"/>
      <c r="H128" s="137"/>
      <c r="I128" s="122" t="str">
        <f>CONCATENATE(DataSheet!L90," ",DataSheet!P90)</f>
        <v>-600 V</v>
      </c>
      <c r="J128" s="122"/>
      <c r="K128" s="122"/>
      <c r="L128" s="122"/>
      <c r="M128" s="122" t="e">
        <f>CONCATENATE(TEXT(DataSheet!AH90,"0.0")," ",DataSheet!P90)</f>
        <v>#DIV/0!</v>
      </c>
      <c r="N128" s="122"/>
      <c r="O128" s="122"/>
      <c r="P128" s="122"/>
      <c r="Q128" s="122" t="e">
        <f>CONCATENATE(TEXT(DataSheet!AM90,"0.0")," ",DataSheet!P90)</f>
        <v>#DIV/0!</v>
      </c>
      <c r="R128" s="122"/>
      <c r="S128" s="122"/>
      <c r="T128" s="122"/>
      <c r="U128" s="122" t="e">
        <f>CONCATENATE(TEXT(DataSheet!EL90,"0.000")," ",DataSheet!EH90)</f>
        <v>#DIV/0!</v>
      </c>
      <c r="V128" s="122"/>
      <c r="W128" s="122"/>
      <c r="X128" s="122"/>
    </row>
    <row r="129" spans="5:24" ht="15" customHeight="1" x14ac:dyDescent="0.2"/>
    <row r="130" spans="5:24" ht="15" customHeight="1" x14ac:dyDescent="0.2">
      <c r="E130" s="37" t="str">
        <f>DataSheet!F92</f>
        <v>AC milli Volt Test</v>
      </c>
    </row>
    <row r="131" spans="5:24" ht="15" customHeight="1" x14ac:dyDescent="0.2">
      <c r="E131" s="121" t="s">
        <v>74</v>
      </c>
      <c r="F131" s="121"/>
      <c r="G131" s="121"/>
      <c r="H131" s="121"/>
      <c r="I131" s="121" t="s">
        <v>83</v>
      </c>
      <c r="J131" s="121"/>
      <c r="K131" s="121"/>
      <c r="L131" s="121"/>
      <c r="M131" s="121" t="s">
        <v>116</v>
      </c>
      <c r="N131" s="121"/>
      <c r="O131" s="121"/>
      <c r="P131" s="121"/>
      <c r="Q131" s="121" t="s">
        <v>85</v>
      </c>
      <c r="R131" s="121"/>
      <c r="S131" s="121"/>
      <c r="T131" s="121"/>
      <c r="U131" s="121" t="s">
        <v>166</v>
      </c>
      <c r="V131" s="121"/>
      <c r="W131" s="121"/>
      <c r="X131" s="121"/>
    </row>
    <row r="132" spans="5:24" ht="15" customHeight="1" x14ac:dyDescent="0.2">
      <c r="E132" s="121"/>
      <c r="F132" s="121"/>
      <c r="G132" s="121"/>
      <c r="H132" s="121"/>
      <c r="I132" s="121"/>
      <c r="J132" s="121"/>
      <c r="K132" s="121"/>
      <c r="L132" s="121"/>
      <c r="M132" s="121"/>
      <c r="N132" s="121"/>
      <c r="O132" s="121"/>
      <c r="P132" s="121"/>
      <c r="Q132" s="121"/>
      <c r="R132" s="121"/>
      <c r="S132" s="121"/>
      <c r="T132" s="121"/>
      <c r="U132" s="121"/>
      <c r="V132" s="121"/>
      <c r="W132" s="121"/>
      <c r="X132" s="121"/>
    </row>
    <row r="133" spans="5:24" ht="15" customHeight="1" x14ac:dyDescent="0.2">
      <c r="E133" s="132" t="str">
        <f>DataSheet!F95</f>
        <v>600 mV</v>
      </c>
      <c r="F133" s="133"/>
      <c r="G133" s="133"/>
      <c r="H133" s="134"/>
      <c r="I133" s="122" t="str">
        <f>CONCATENATE(DataSheet!L95," ",DataSheet!P95," / ",DataSheet!S95)</f>
        <v>6 mV / 45 Hz</v>
      </c>
      <c r="J133" s="122"/>
      <c r="K133" s="122"/>
      <c r="L133" s="122"/>
      <c r="M133" s="122" t="e">
        <f>CONCATENATE(TEXT(DataSheet!AM95,"0.0")," ",DataSheet!P95)</f>
        <v>#DIV/0!</v>
      </c>
      <c r="N133" s="122"/>
      <c r="O133" s="122"/>
      <c r="P133" s="122"/>
      <c r="Q133" s="122" t="e">
        <f>CONCATENATE(TEXT(DataSheet!AR95,"0.0")," ",DataSheet!P95)</f>
        <v>#DIV/0!</v>
      </c>
      <c r="R133" s="122"/>
      <c r="S133" s="122"/>
      <c r="T133" s="122"/>
      <c r="U133" s="122" t="e">
        <f>CONCATENATE(,TEXT(DataSheet!EL95,"0.000")," ",DataSheet!EH95)</f>
        <v>#DIV/0!</v>
      </c>
      <c r="V133" s="122"/>
      <c r="W133" s="122"/>
      <c r="X133" s="122"/>
    </row>
    <row r="134" spans="5:24" ht="15" customHeight="1" x14ac:dyDescent="0.2">
      <c r="E134" s="135"/>
      <c r="F134" s="136"/>
      <c r="G134" s="136"/>
      <c r="H134" s="137"/>
      <c r="I134" s="122" t="str">
        <f>CONCATENATE(DataSheet!L96," ",DataSheet!P96," / ",DataSheet!S96)</f>
        <v>600 mV / 1 kHz</v>
      </c>
      <c r="J134" s="122"/>
      <c r="K134" s="122"/>
      <c r="L134" s="122"/>
      <c r="M134" s="122" t="e">
        <f>CONCATENATE(TEXT(DataSheet!AM96,"0.0")," ",DataSheet!P96)</f>
        <v>#DIV/0!</v>
      </c>
      <c r="N134" s="122"/>
      <c r="O134" s="122"/>
      <c r="P134" s="122"/>
      <c r="Q134" s="122" t="e">
        <f>CONCATENATE(TEXT(DataSheet!AR96,"0.0")," ",DataSheet!P96)</f>
        <v>#DIV/0!</v>
      </c>
      <c r="R134" s="122"/>
      <c r="S134" s="122"/>
      <c r="T134" s="122"/>
      <c r="U134" s="122" t="e">
        <f>CONCATENATE(,TEXT(DataSheet!EL96,"0.00")," ",DataSheet!EH96)</f>
        <v>#DIV/0!</v>
      </c>
      <c r="V134" s="122"/>
      <c r="W134" s="122"/>
      <c r="X134" s="122"/>
    </row>
    <row r="135" spans="5:24" ht="15" customHeight="1" x14ac:dyDescent="0.2"/>
    <row r="136" spans="5:24" ht="15" customHeight="1" x14ac:dyDescent="0.2">
      <c r="E136" s="37" t="str">
        <f>DataSheet!F98</f>
        <v>DC milli Volt Test</v>
      </c>
    </row>
    <row r="137" spans="5:24" ht="15" customHeight="1" x14ac:dyDescent="0.2">
      <c r="E137" s="121" t="s">
        <v>74</v>
      </c>
      <c r="F137" s="121"/>
      <c r="G137" s="121"/>
      <c r="H137" s="121"/>
      <c r="I137" s="121" t="s">
        <v>83</v>
      </c>
      <c r="J137" s="121"/>
      <c r="K137" s="121"/>
      <c r="L137" s="121"/>
      <c r="M137" s="121" t="s">
        <v>116</v>
      </c>
      <c r="N137" s="121"/>
      <c r="O137" s="121"/>
      <c r="P137" s="121"/>
      <c r="Q137" s="121" t="s">
        <v>85</v>
      </c>
      <c r="R137" s="121"/>
      <c r="S137" s="121"/>
      <c r="T137" s="121"/>
      <c r="U137" s="121" t="s">
        <v>166</v>
      </c>
      <c r="V137" s="121"/>
      <c r="W137" s="121"/>
      <c r="X137" s="121"/>
    </row>
    <row r="138" spans="5:24" ht="15" customHeight="1" x14ac:dyDescent="0.2">
      <c r="E138" s="121"/>
      <c r="F138" s="121"/>
      <c r="G138" s="121"/>
      <c r="H138" s="121"/>
      <c r="I138" s="121"/>
      <c r="J138" s="121"/>
      <c r="K138" s="121"/>
      <c r="L138" s="121"/>
      <c r="M138" s="121"/>
      <c r="N138" s="121"/>
      <c r="O138" s="121"/>
      <c r="P138" s="121"/>
      <c r="Q138" s="121"/>
      <c r="R138" s="121"/>
      <c r="S138" s="121"/>
      <c r="T138" s="121"/>
      <c r="U138" s="121"/>
      <c r="V138" s="121"/>
      <c r="W138" s="121"/>
      <c r="X138" s="121"/>
    </row>
    <row r="139" spans="5:24" ht="15" customHeight="1" x14ac:dyDescent="0.2">
      <c r="E139" s="132" t="str">
        <f>DataSheet!F101</f>
        <v>600 mV</v>
      </c>
      <c r="F139" s="133"/>
      <c r="G139" s="133"/>
      <c r="H139" s="134"/>
      <c r="I139" s="122" t="str">
        <f>CONCATENATE(DataSheet!L101," ",DataSheet!P101)</f>
        <v>10 mV</v>
      </c>
      <c r="J139" s="122"/>
      <c r="K139" s="122"/>
      <c r="L139" s="122"/>
      <c r="M139" s="122" t="e">
        <f>CONCATENATE(TEXT(DataSheet!AH101,"0.0")," ",DataSheet!P101)</f>
        <v>#DIV/0!</v>
      </c>
      <c r="N139" s="122"/>
      <c r="O139" s="122"/>
      <c r="P139" s="122"/>
      <c r="Q139" s="122" t="e">
        <f>CONCATENATE(TEXT(DataSheet!AM101,"0.0")," ",DataSheet!P101)</f>
        <v>#DIV/0!</v>
      </c>
      <c r="R139" s="122"/>
      <c r="S139" s="122"/>
      <c r="T139" s="122"/>
      <c r="U139" s="122" t="e">
        <f>CONCATENATE(,TEXT(DataSheet!EL101,"0.000")," ",DataSheet!EH101)</f>
        <v>#DIV/0!</v>
      </c>
      <c r="V139" s="122"/>
      <c r="W139" s="122"/>
      <c r="X139" s="122"/>
    </row>
    <row r="140" spans="5:24" ht="15" customHeight="1" x14ac:dyDescent="0.2">
      <c r="E140" s="135"/>
      <c r="F140" s="136"/>
      <c r="G140" s="136"/>
      <c r="H140" s="137"/>
      <c r="I140" s="122" t="str">
        <f>CONCATENATE(DataSheet!L102," ",DataSheet!P102)</f>
        <v>600 mV</v>
      </c>
      <c r="J140" s="122"/>
      <c r="K140" s="122"/>
      <c r="L140" s="122"/>
      <c r="M140" s="122" t="e">
        <f>CONCATENATE(TEXT(DataSheet!AH102,"0.0")," ",DataSheet!P102)</f>
        <v>#DIV/0!</v>
      </c>
      <c r="N140" s="122"/>
      <c r="O140" s="122"/>
      <c r="P140" s="122"/>
      <c r="Q140" s="122" t="e">
        <f>CONCATENATE(TEXT(DataSheet!AM102,"0.0")," ",DataSheet!P102)</f>
        <v>#DIV/0!</v>
      </c>
      <c r="R140" s="122"/>
      <c r="S140" s="122"/>
      <c r="T140" s="122"/>
      <c r="U140" s="122" t="e">
        <f>CONCATENATE(,TEXT(DataSheet!EL102,"0.000")," ",DataSheet!EH102)</f>
        <v>#DIV/0!</v>
      </c>
      <c r="V140" s="122"/>
      <c r="W140" s="122"/>
      <c r="X140" s="122"/>
    </row>
    <row r="141" spans="5:24" ht="15" customHeight="1" x14ac:dyDescent="0.2"/>
    <row r="142" spans="5:24" ht="15" customHeight="1" x14ac:dyDescent="0.2">
      <c r="E142" s="37" t="str">
        <f>DataSheet!F104</f>
        <v>Diode Test</v>
      </c>
    </row>
    <row r="143" spans="5:24" ht="15" customHeight="1" x14ac:dyDescent="0.2">
      <c r="E143" s="121" t="s">
        <v>74</v>
      </c>
      <c r="F143" s="121"/>
      <c r="G143" s="121"/>
      <c r="H143" s="121"/>
      <c r="I143" s="121" t="s">
        <v>83</v>
      </c>
      <c r="J143" s="121"/>
      <c r="K143" s="121"/>
      <c r="L143" s="121"/>
      <c r="M143" s="121" t="s">
        <v>116</v>
      </c>
      <c r="N143" s="121"/>
      <c r="O143" s="121"/>
      <c r="P143" s="121"/>
      <c r="Q143" s="121" t="s">
        <v>85</v>
      </c>
      <c r="R143" s="121"/>
      <c r="S143" s="121"/>
      <c r="T143" s="121"/>
      <c r="U143" s="121" t="s">
        <v>166</v>
      </c>
      <c r="V143" s="121"/>
      <c r="W143" s="121"/>
      <c r="X143" s="121"/>
    </row>
    <row r="144" spans="5:24" ht="15" customHeight="1" x14ac:dyDescent="0.2">
      <c r="E144" s="121"/>
      <c r="F144" s="121"/>
      <c r="G144" s="121"/>
      <c r="H144" s="121"/>
      <c r="I144" s="121"/>
      <c r="J144" s="121"/>
      <c r="K144" s="121"/>
      <c r="L144" s="121"/>
      <c r="M144" s="121"/>
      <c r="N144" s="121"/>
      <c r="O144" s="121"/>
      <c r="P144" s="121"/>
      <c r="Q144" s="121"/>
      <c r="R144" s="121"/>
      <c r="S144" s="121"/>
      <c r="T144" s="121"/>
      <c r="U144" s="121"/>
      <c r="V144" s="121"/>
      <c r="W144" s="121"/>
      <c r="X144" s="121"/>
    </row>
    <row r="145" spans="2:27" ht="15" customHeight="1" x14ac:dyDescent="0.2">
      <c r="E145" s="122" t="str">
        <f>DataSheet!F107</f>
        <v>2 V</v>
      </c>
      <c r="F145" s="122"/>
      <c r="G145" s="122"/>
      <c r="H145" s="122"/>
      <c r="I145" s="122" t="str">
        <f>CONCATENATE(DataSheet!L107," ",DataSheet!P107)</f>
        <v>1.9 V</v>
      </c>
      <c r="J145" s="122"/>
      <c r="K145" s="122"/>
      <c r="L145" s="122"/>
      <c r="M145" s="122" t="e">
        <f>CONCATENATE(TEXT(DataSheet!AH107,"0.000")," ",DataSheet!P107)</f>
        <v>#DIV/0!</v>
      </c>
      <c r="N145" s="122"/>
      <c r="O145" s="122"/>
      <c r="P145" s="122"/>
      <c r="Q145" s="122" t="e">
        <f>CONCATENATE(TEXT(DataSheet!AM107,"0.000")," ",DataSheet!P107)</f>
        <v>#DIV/0!</v>
      </c>
      <c r="R145" s="122"/>
      <c r="S145" s="122"/>
      <c r="T145" s="122"/>
      <c r="U145" s="122" t="e">
        <f>CONCATENATE(,TEXT(DataSheet!EL107,"0.000 00")," ",DataSheet!EH107)</f>
        <v>#DIV/0!</v>
      </c>
      <c r="V145" s="122"/>
      <c r="W145" s="122"/>
      <c r="X145" s="122"/>
    </row>
    <row r="146" spans="2:27" ht="15" customHeight="1" x14ac:dyDescent="0.2"/>
    <row r="147" spans="2:27" ht="15" customHeight="1" x14ac:dyDescent="0.2">
      <c r="E147" s="37" t="str">
        <f>DataSheet!F109</f>
        <v>Capacitance Test</v>
      </c>
    </row>
    <row r="148" spans="2:27" ht="15" customHeight="1" x14ac:dyDescent="0.2">
      <c r="E148" s="121" t="s">
        <v>74</v>
      </c>
      <c r="F148" s="121"/>
      <c r="G148" s="121"/>
      <c r="H148" s="121"/>
      <c r="I148" s="121" t="s">
        <v>83</v>
      </c>
      <c r="J148" s="121"/>
      <c r="K148" s="121"/>
      <c r="L148" s="121"/>
      <c r="M148" s="121" t="s">
        <v>116</v>
      </c>
      <c r="N148" s="121"/>
      <c r="O148" s="121"/>
      <c r="P148" s="121"/>
      <c r="Q148" s="121" t="s">
        <v>85</v>
      </c>
      <c r="R148" s="121"/>
      <c r="S148" s="121"/>
      <c r="T148" s="121"/>
      <c r="U148" s="121" t="s">
        <v>166</v>
      </c>
      <c r="V148" s="121"/>
      <c r="W148" s="121"/>
      <c r="X148" s="121"/>
    </row>
    <row r="149" spans="2:27" ht="15" customHeight="1" x14ac:dyDescent="0.2">
      <c r="E149" s="121"/>
      <c r="F149" s="121"/>
      <c r="G149" s="121"/>
      <c r="H149" s="121"/>
      <c r="I149" s="121"/>
      <c r="J149" s="121"/>
      <c r="K149" s="121"/>
      <c r="L149" s="121"/>
      <c r="M149" s="121"/>
      <c r="N149" s="121"/>
      <c r="O149" s="121"/>
      <c r="P149" s="121"/>
      <c r="Q149" s="121"/>
      <c r="R149" s="121"/>
      <c r="S149" s="121"/>
      <c r="T149" s="121"/>
      <c r="U149" s="121"/>
      <c r="V149" s="121"/>
      <c r="W149" s="121"/>
      <c r="X149" s="121"/>
    </row>
    <row r="150" spans="2:27" ht="15" customHeight="1" x14ac:dyDescent="0.2">
      <c r="E150" s="118" t="str">
        <f>DataSheet!F112</f>
        <v>1 000 nF</v>
      </c>
      <c r="F150" s="119"/>
      <c r="G150" s="119"/>
      <c r="H150" s="120"/>
      <c r="I150" s="118" t="str">
        <f>DataSheet!L112&amp;" *"</f>
        <v>Open *</v>
      </c>
      <c r="J150" s="119"/>
      <c r="K150" s="119"/>
      <c r="L150" s="120"/>
      <c r="M150" s="122" t="e">
        <f>CONCATENATE(TEXT(DataSheet!AH112,"0")," ",DataSheet!P112)</f>
        <v>#DIV/0!</v>
      </c>
      <c r="N150" s="122"/>
      <c r="O150" s="122"/>
      <c r="P150" s="122"/>
      <c r="Q150" s="122" t="e">
        <f>CONCATENATE(TEXT(DataSheet!AM112,"0")," ",DataSheet!P112)</f>
        <v>#DIV/0!</v>
      </c>
      <c r="R150" s="122"/>
      <c r="S150" s="122"/>
      <c r="T150" s="122"/>
      <c r="U150" s="122" t="s">
        <v>143</v>
      </c>
      <c r="V150" s="122"/>
      <c r="W150" s="122"/>
      <c r="X150" s="122"/>
    </row>
    <row r="151" spans="2:27" ht="15" customHeight="1" x14ac:dyDescent="0.2">
      <c r="E151" s="118" t="str">
        <f>DataSheet!F113</f>
        <v>9 999 µF</v>
      </c>
      <c r="F151" s="119"/>
      <c r="G151" s="119"/>
      <c r="H151" s="120"/>
      <c r="I151" s="118" t="str">
        <f>CONCATENATE(DataSheet!L113," ",DataSheet!P113,)&amp;" *"</f>
        <v>900 µF *</v>
      </c>
      <c r="J151" s="119"/>
      <c r="K151" s="119"/>
      <c r="L151" s="120"/>
      <c r="M151" s="122" t="e">
        <f>CONCATENATE(TEXT(DataSheet!AH113,"0")," ",DataSheet!P113)</f>
        <v>#DIV/0!</v>
      </c>
      <c r="N151" s="122"/>
      <c r="O151" s="122"/>
      <c r="P151" s="122"/>
      <c r="Q151" s="122" t="e">
        <f>CONCATENATE(TEXT(DataSheet!AM113,"0")," ",DataSheet!P113)</f>
        <v>#DIV/0!</v>
      </c>
      <c r="R151" s="122"/>
      <c r="S151" s="122"/>
      <c r="T151" s="122"/>
      <c r="U151" s="122" t="e">
        <f>CONCATENATE(TEXT(DataSheet!EL113,"0.0")," ",DataSheet!EH113)</f>
        <v>#DIV/0!</v>
      </c>
      <c r="V151" s="122"/>
      <c r="W151" s="122"/>
      <c r="X151" s="122"/>
    </row>
    <row r="152" spans="2:27" ht="15" customHeight="1" x14ac:dyDescent="0.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2:27" ht="15" customHeight="1" x14ac:dyDescent="0.2">
      <c r="C153" s="52"/>
      <c r="E153" s="37" t="str">
        <f>DataSheet!F115</f>
        <v>LoZ Capacitance Test</v>
      </c>
    </row>
    <row r="154" spans="2:27" ht="15" customHeight="1" x14ac:dyDescent="0.2">
      <c r="C154" s="52"/>
      <c r="E154" s="121" t="s">
        <v>74</v>
      </c>
      <c r="F154" s="121"/>
      <c r="G154" s="121"/>
      <c r="H154" s="121"/>
      <c r="I154" s="121" t="s">
        <v>83</v>
      </c>
      <c r="J154" s="121"/>
      <c r="K154" s="121"/>
      <c r="L154" s="121"/>
      <c r="M154" s="121" t="s">
        <v>116</v>
      </c>
      <c r="N154" s="121"/>
      <c r="O154" s="121"/>
      <c r="P154" s="121"/>
      <c r="Q154" s="121" t="s">
        <v>85</v>
      </c>
      <c r="R154" s="121"/>
      <c r="S154" s="121"/>
      <c r="T154" s="121"/>
      <c r="U154" s="121" t="s">
        <v>166</v>
      </c>
      <c r="V154" s="121"/>
      <c r="W154" s="121"/>
      <c r="X154" s="121"/>
    </row>
    <row r="155" spans="2:27" ht="15" customHeight="1" x14ac:dyDescent="0.2">
      <c r="C155" s="52"/>
      <c r="E155" s="121"/>
      <c r="F155" s="121"/>
      <c r="G155" s="121"/>
      <c r="H155" s="121"/>
      <c r="I155" s="121"/>
      <c r="J155" s="121"/>
      <c r="K155" s="121"/>
      <c r="L155" s="121"/>
      <c r="M155" s="121"/>
      <c r="N155" s="121"/>
      <c r="O155" s="121"/>
      <c r="P155" s="121"/>
      <c r="Q155" s="121"/>
      <c r="R155" s="121"/>
      <c r="S155" s="121"/>
      <c r="T155" s="121"/>
      <c r="U155" s="121"/>
      <c r="V155" s="121"/>
      <c r="W155" s="121"/>
      <c r="X155" s="121"/>
    </row>
    <row r="156" spans="2:27" ht="15" customHeight="1" x14ac:dyDescent="0.2">
      <c r="C156" s="52"/>
      <c r="E156" s="118" t="str">
        <f>DataSheet!F118</f>
        <v>10 µF</v>
      </c>
      <c r="F156" s="119"/>
      <c r="G156" s="119"/>
      <c r="H156" s="120"/>
      <c r="I156" s="118" t="str">
        <f>CONCATENATE(DataSheet!L118," ",DataSheet!P118)&amp;" *"</f>
        <v>9 µF *</v>
      </c>
      <c r="J156" s="119"/>
      <c r="K156" s="119"/>
      <c r="L156" s="120"/>
      <c r="M156" s="118" t="e">
        <f>CONCATENATE(TEXT(DataSheet!AH118,"0.00")," ",DataSheet!P118)</f>
        <v>#DIV/0!</v>
      </c>
      <c r="N156" s="119"/>
      <c r="O156" s="119"/>
      <c r="P156" s="120"/>
      <c r="Q156" s="118" t="e">
        <f>CONCATENATE(TEXT(DataSheet!AM118,"0.00")," ",DataSheet!P118)</f>
        <v>#DIV/0!</v>
      </c>
      <c r="R156" s="119"/>
      <c r="S156" s="119"/>
      <c r="T156" s="120"/>
      <c r="U156" s="118" t="e">
        <f>CONCATENATE(,TEXT(DataSheet!EL118,"0.000")," ",DataSheet!EH118)</f>
        <v>#DIV/0!</v>
      </c>
      <c r="V156" s="119"/>
      <c r="W156" s="119"/>
      <c r="X156" s="120"/>
    </row>
    <row r="157" spans="2:27" ht="15" customHeight="1" x14ac:dyDescent="0.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2:27" ht="15" customHeight="1" x14ac:dyDescent="0.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2:27" ht="15" customHeight="1" x14ac:dyDescent="0.2"/>
    <row r="160" spans="2:27" ht="15" customHeight="1" x14ac:dyDescent="0.2">
      <c r="B160" s="116">
        <f>DataSheet!B131</f>
        <v>0</v>
      </c>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row>
    <row r="161" spans="2:27" ht="15" customHeight="1" x14ac:dyDescent="0.2">
      <c r="B161" s="117" t="s">
        <v>84</v>
      </c>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row>
    <row r="162" spans="2:27" ht="15" customHeight="1" x14ac:dyDescent="0.2">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1"/>
    </row>
    <row r="163" spans="2:27" ht="15" customHeight="1" x14ac:dyDescent="0.2">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1"/>
    </row>
    <row r="164" spans="2:27" ht="15" customHeight="1" x14ac:dyDescent="0.2">
      <c r="D164" s="41"/>
      <c r="F164" s="41"/>
      <c r="G164" s="43"/>
      <c r="H164" s="43"/>
      <c r="I164" s="43"/>
      <c r="J164" s="43"/>
      <c r="K164" s="41"/>
      <c r="L164" s="41"/>
      <c r="M164" s="41"/>
      <c r="N164" s="41"/>
      <c r="O164" s="41"/>
      <c r="P164" s="41"/>
      <c r="Q164" s="41"/>
      <c r="R164" s="43"/>
      <c r="S164" s="43"/>
      <c r="T164" s="43"/>
      <c r="U164" s="43"/>
      <c r="V164" s="43"/>
      <c r="W164" s="41"/>
      <c r="X164" s="41"/>
      <c r="Y164" s="41"/>
      <c r="Z164" s="41"/>
      <c r="AA164" s="41"/>
    </row>
    <row r="165" spans="2:27" ht="15" customHeight="1" x14ac:dyDescent="0.2">
      <c r="E165" s="48"/>
      <c r="F165" s="48"/>
      <c r="G165" s="48"/>
      <c r="H165" s="48"/>
      <c r="L165" s="41"/>
      <c r="M165" s="41"/>
      <c r="N165" s="41"/>
      <c r="R165" s="41"/>
      <c r="S165" s="41"/>
      <c r="T165" s="41"/>
      <c r="U165" s="41"/>
      <c r="V165" s="41"/>
      <c r="W165" s="41"/>
      <c r="X165" s="41"/>
      <c r="Y165" s="41"/>
    </row>
    <row r="166" spans="2:27" ht="15" customHeight="1" x14ac:dyDescent="0.2"/>
    <row r="167" spans="2:27" ht="15" customHeight="1" x14ac:dyDescent="0.2"/>
    <row r="168" spans="2:27" ht="15" customHeight="1" x14ac:dyDescent="0.2"/>
    <row r="169" spans="2:27" ht="15" customHeight="1" x14ac:dyDescent="0.2"/>
    <row r="170" spans="2:27" ht="15" customHeight="1" x14ac:dyDescent="0.2"/>
    <row r="171" spans="2:27" ht="15" customHeight="1" x14ac:dyDescent="0.2">
      <c r="C171" s="37" t="s">
        <v>26</v>
      </c>
    </row>
    <row r="172" spans="2:27" ht="15" customHeight="1" x14ac:dyDescent="0.2"/>
    <row r="173" spans="2:27" ht="15" customHeight="1" x14ac:dyDescent="0.2">
      <c r="E173" s="37" t="str">
        <f>DataSheet!F120</f>
        <v>DC Current Test</v>
      </c>
    </row>
    <row r="174" spans="2:27" ht="15" customHeight="1" x14ac:dyDescent="0.2">
      <c r="E174" s="121" t="s">
        <v>74</v>
      </c>
      <c r="F174" s="121"/>
      <c r="G174" s="121"/>
      <c r="H174" s="121"/>
      <c r="I174" s="121" t="s">
        <v>83</v>
      </c>
      <c r="J174" s="121"/>
      <c r="K174" s="121"/>
      <c r="L174" s="121"/>
      <c r="M174" s="121" t="s">
        <v>116</v>
      </c>
      <c r="N174" s="121"/>
      <c r="O174" s="121"/>
      <c r="P174" s="121"/>
      <c r="Q174" s="121" t="s">
        <v>85</v>
      </c>
      <c r="R174" s="121"/>
      <c r="S174" s="121"/>
      <c r="T174" s="121"/>
      <c r="U174" s="121" t="s">
        <v>166</v>
      </c>
      <c r="V174" s="121"/>
      <c r="W174" s="121"/>
      <c r="X174" s="121"/>
    </row>
    <row r="175" spans="2:27" ht="15" customHeight="1" x14ac:dyDescent="0.2">
      <c r="E175" s="121"/>
      <c r="F175" s="121"/>
      <c r="G175" s="121"/>
      <c r="H175" s="121"/>
      <c r="I175" s="121"/>
      <c r="J175" s="121"/>
      <c r="K175" s="121"/>
      <c r="L175" s="121"/>
      <c r="M175" s="121"/>
      <c r="N175" s="121"/>
      <c r="O175" s="121"/>
      <c r="P175" s="121"/>
      <c r="Q175" s="121"/>
      <c r="R175" s="121"/>
      <c r="S175" s="121"/>
      <c r="T175" s="121"/>
      <c r="U175" s="121"/>
      <c r="V175" s="121"/>
      <c r="W175" s="121"/>
      <c r="X175" s="121"/>
    </row>
    <row r="176" spans="2:27" ht="15" customHeight="1" x14ac:dyDescent="0.2">
      <c r="E176" s="118" t="str">
        <f>DataSheet!F123</f>
        <v>10 A</v>
      </c>
      <c r="F176" s="119"/>
      <c r="G176" s="119"/>
      <c r="H176" s="120"/>
      <c r="I176" s="118" t="str">
        <f>CONCATENATE(DataSheet!L123," ",DataSheet!P123)</f>
        <v>10 A</v>
      </c>
      <c r="J176" s="119"/>
      <c r="K176" s="119"/>
      <c r="L176" s="120"/>
      <c r="M176" s="118" t="e">
        <f>CONCATENATE(TEXT(DataSheet!AH123,"0.00")," ",DataSheet!P123)</f>
        <v>#DIV/0!</v>
      </c>
      <c r="N176" s="119"/>
      <c r="O176" s="119"/>
      <c r="P176" s="120"/>
      <c r="Q176" s="118" t="e">
        <f>CONCATENATE(TEXT(DataSheet!AM123,"0.00")," ",DataSheet!P123)</f>
        <v>#DIV/0!</v>
      </c>
      <c r="R176" s="119"/>
      <c r="S176" s="119"/>
      <c r="T176" s="120"/>
      <c r="U176" s="118" t="e">
        <f>CONCATENATE(,TEXT(DataSheet!EL123,"0.000 0")," ",DataSheet!EH123)</f>
        <v>#DIV/0!</v>
      </c>
      <c r="V176" s="119"/>
      <c r="W176" s="119"/>
      <c r="X176" s="120"/>
    </row>
    <row r="177" spans="1:28" ht="15" customHeight="1" x14ac:dyDescent="0.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row>
    <row r="178" spans="1:28" ht="15" customHeight="1" x14ac:dyDescent="0.2">
      <c r="E178" s="37" t="str">
        <f>DataSheet!F125</f>
        <v>AC Current Test</v>
      </c>
    </row>
    <row r="179" spans="1:28" ht="15" customHeight="1" x14ac:dyDescent="0.2">
      <c r="E179" s="121" t="s">
        <v>74</v>
      </c>
      <c r="F179" s="121"/>
      <c r="G179" s="121"/>
      <c r="H179" s="121"/>
      <c r="I179" s="121" t="s">
        <v>83</v>
      </c>
      <c r="J179" s="121"/>
      <c r="K179" s="121"/>
      <c r="L179" s="121"/>
      <c r="M179" s="121" t="s">
        <v>116</v>
      </c>
      <c r="N179" s="121"/>
      <c r="O179" s="121"/>
      <c r="P179" s="121"/>
      <c r="Q179" s="121" t="s">
        <v>85</v>
      </c>
      <c r="R179" s="121"/>
      <c r="S179" s="121"/>
      <c r="T179" s="121"/>
      <c r="U179" s="121" t="s">
        <v>166</v>
      </c>
      <c r="V179" s="121"/>
      <c r="W179" s="121"/>
      <c r="X179" s="121"/>
    </row>
    <row r="180" spans="1:28" ht="15" customHeight="1" x14ac:dyDescent="0.2">
      <c r="E180" s="121"/>
      <c r="F180" s="121"/>
      <c r="G180" s="121"/>
      <c r="H180" s="121"/>
      <c r="I180" s="121"/>
      <c r="J180" s="121"/>
      <c r="K180" s="121"/>
      <c r="L180" s="121"/>
      <c r="M180" s="121"/>
      <c r="N180" s="121"/>
      <c r="O180" s="121"/>
      <c r="P180" s="121"/>
      <c r="Q180" s="121"/>
      <c r="R180" s="121"/>
      <c r="S180" s="121"/>
      <c r="T180" s="121"/>
      <c r="U180" s="121"/>
      <c r="V180" s="121"/>
      <c r="W180" s="121"/>
      <c r="X180" s="121"/>
    </row>
    <row r="181" spans="1:28" ht="15" customHeight="1" x14ac:dyDescent="0.2">
      <c r="E181" s="122" t="str">
        <f>DataSheet!F128</f>
        <v>6 A</v>
      </c>
      <c r="F181" s="122"/>
      <c r="G181" s="122"/>
      <c r="H181" s="122"/>
      <c r="I181" s="122" t="str">
        <f>CONCATENATE(DataSheet!L128," ",DataSheet!P128," / ",DataSheet!S128)</f>
        <v>5 A / 45 Hz</v>
      </c>
      <c r="J181" s="122"/>
      <c r="K181" s="122"/>
      <c r="L181" s="122"/>
      <c r="M181" s="118" t="str">
        <f>CONCATENATE(TEXT(DataSheet!AH128,"0.00")," ",DataSheet!P128)</f>
        <v>0.00 A</v>
      </c>
      <c r="N181" s="119"/>
      <c r="O181" s="119"/>
      <c r="P181" s="120"/>
      <c r="Q181" s="118" t="e">
        <f>CONCATENATE(TEXT(DataSheet!AR128,"0.00")," ",DataSheet!P128)</f>
        <v>#DIV/0!</v>
      </c>
      <c r="R181" s="119"/>
      <c r="S181" s="119"/>
      <c r="T181" s="120"/>
      <c r="U181" s="122" t="e">
        <f>CONCATENATE(,TEXT(DataSheet!EL128,"0.000")," ",DataSheet!EH128)</f>
        <v>#DIV/0!</v>
      </c>
      <c r="V181" s="122"/>
      <c r="W181" s="122"/>
      <c r="X181" s="122"/>
    </row>
    <row r="182" spans="1:28" ht="15" customHeight="1" x14ac:dyDescent="0.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8" ht="15" customHeight="1" x14ac:dyDescent="0.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8" ht="15" customHeight="1" x14ac:dyDescent="0.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8" ht="15" customHeight="1" x14ac:dyDescent="0.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8" ht="15" customHeight="1" x14ac:dyDescent="0.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8" ht="15" customHeight="1" x14ac:dyDescent="0.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8" ht="15" customHeight="1" x14ac:dyDescent="0.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8" ht="15" customHeight="1" x14ac:dyDescent="0.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8" ht="15" customHeight="1" x14ac:dyDescent="0.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8" ht="15" customHeight="1" x14ac:dyDescent="0.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8" ht="15" customHeight="1" x14ac:dyDescent="0.2">
      <c r="A192" s="35" t="s">
        <v>183</v>
      </c>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 customHeight="1" x14ac:dyDescent="0.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 customHeight="1" x14ac:dyDescent="0.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 customHeight="1" x14ac:dyDescent="0.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 customHeight="1" x14ac:dyDescent="0.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 customHeight="1" x14ac:dyDescent="0.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 customHeight="1" x14ac:dyDescent="0.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 customHeight="1" x14ac:dyDescent="0.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 customHeight="1" x14ac:dyDescent="0.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 customHeight="1" x14ac:dyDescent="0.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 customHeight="1" x14ac:dyDescent="0.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 customHeight="1" x14ac:dyDescent="0.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 customHeight="1" x14ac:dyDescent="0.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 customHeight="1" x14ac:dyDescent="0.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 customHeight="1" x14ac:dyDescent="0.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 customHeight="1" x14ac:dyDescent="0.2">
      <c r="A207" s="35" t="s">
        <v>183</v>
      </c>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 customHeight="1" x14ac:dyDescent="0.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2:27" ht="15" customHeight="1" x14ac:dyDescent="0.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2:27" ht="15" customHeight="1" x14ac:dyDescent="0.2"/>
    <row r="211" spans="2:27" ht="15" customHeight="1" x14ac:dyDescent="0.2"/>
    <row r="212" spans="2:27" ht="15" customHeight="1" x14ac:dyDescent="0.2"/>
    <row r="213" spans="2:27" ht="15" customHeight="1" x14ac:dyDescent="0.2"/>
    <row r="214" spans="2:27" ht="15" customHeight="1" x14ac:dyDescent="0.2">
      <c r="B214" s="116">
        <f>DataSheet!B131</f>
        <v>0</v>
      </c>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row>
    <row r="215" spans="2:27" ht="15" customHeight="1" x14ac:dyDescent="0.2">
      <c r="B215" s="117" t="s">
        <v>84</v>
      </c>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row>
    <row r="216" spans="2:27" ht="15" customHeight="1" x14ac:dyDescent="0.2">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1"/>
    </row>
    <row r="217" spans="2:27" ht="15" customHeight="1" x14ac:dyDescent="0.2">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1"/>
    </row>
    <row r="218" spans="2:27" ht="15" customHeight="1" x14ac:dyDescent="0.2">
      <c r="D218" s="41"/>
      <c r="F218" s="41"/>
      <c r="G218" s="43"/>
      <c r="H218" s="43"/>
      <c r="I218" s="43"/>
      <c r="J218" s="43"/>
      <c r="K218" s="41"/>
      <c r="L218" s="41"/>
      <c r="M218" s="41"/>
      <c r="N218" s="41"/>
      <c r="O218" s="41"/>
      <c r="P218" s="41"/>
      <c r="Q218" s="41"/>
      <c r="R218" s="43"/>
      <c r="S218" s="43"/>
      <c r="T218" s="43"/>
      <c r="U218" s="43"/>
      <c r="V218" s="43"/>
      <c r="W218" s="41"/>
      <c r="X218" s="41"/>
      <c r="Y218" s="41"/>
      <c r="Z218" s="41"/>
      <c r="AA218" s="41"/>
    </row>
    <row r="219" spans="2:27" ht="15" customHeight="1" x14ac:dyDescent="0.2">
      <c r="E219" s="48"/>
      <c r="F219" s="48"/>
      <c r="G219" s="48"/>
      <c r="H219" s="48"/>
      <c r="L219" s="41"/>
      <c r="M219" s="41"/>
      <c r="N219" s="41"/>
      <c r="R219" s="41"/>
      <c r="S219" s="41"/>
      <c r="T219" s="41"/>
      <c r="U219" s="41"/>
      <c r="V219" s="41"/>
      <c r="W219" s="41"/>
      <c r="X219" s="41"/>
      <c r="Y219" s="41"/>
    </row>
    <row r="220" spans="2:27" ht="15" customHeight="1" x14ac:dyDescent="0.2"/>
    <row r="221" spans="2:27" ht="15" customHeight="1" x14ac:dyDescent="0.2"/>
    <row r="222" spans="2:27" ht="15" customHeight="1" x14ac:dyDescent="0.2"/>
    <row r="223" spans="2:27" ht="15" customHeight="1" x14ac:dyDescent="0.2"/>
    <row r="225" spans="3:3" x14ac:dyDescent="0.2">
      <c r="C225" s="37"/>
    </row>
    <row r="273" spans="3:27" ht="15" customHeight="1" x14ac:dyDescent="0.2">
      <c r="D273" s="38"/>
      <c r="E273" s="116">
        <f>DataSheet!B131</f>
        <v>0</v>
      </c>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38"/>
    </row>
    <row r="274" spans="3:27" ht="15" customHeight="1" x14ac:dyDescent="0.2">
      <c r="D274" s="41"/>
      <c r="E274" s="117" t="s">
        <v>84</v>
      </c>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41"/>
    </row>
    <row r="275" spans="3:27" ht="15" customHeight="1" x14ac:dyDescent="0.2">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1"/>
    </row>
    <row r="276" spans="3:27" ht="15" customHeight="1" x14ac:dyDescent="0.2">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1"/>
    </row>
    <row r="277" spans="3:27" x14ac:dyDescent="0.2">
      <c r="D277" s="41"/>
      <c r="F277" s="41"/>
      <c r="G277" s="43"/>
      <c r="H277" s="43"/>
      <c r="I277" s="43"/>
      <c r="J277" s="43"/>
      <c r="K277" s="41"/>
      <c r="L277" s="41"/>
      <c r="M277" s="41"/>
      <c r="N277" s="41"/>
      <c r="O277" s="41"/>
      <c r="P277" s="41"/>
      <c r="Q277" s="41"/>
      <c r="R277" s="43"/>
      <c r="S277" s="43"/>
      <c r="T277" s="43"/>
      <c r="U277" s="43"/>
      <c r="V277" s="43"/>
      <c r="W277" s="41"/>
      <c r="X277" s="41"/>
      <c r="Y277" s="41"/>
      <c r="Z277" s="41"/>
      <c r="AA277" s="41"/>
    </row>
    <row r="278" spans="3:27" x14ac:dyDescent="0.2">
      <c r="E278" s="48"/>
      <c r="F278" s="48"/>
      <c r="G278" s="48"/>
      <c r="H278" s="48"/>
      <c r="L278" s="41"/>
      <c r="M278" s="41"/>
      <c r="N278" s="41"/>
      <c r="R278" s="41"/>
      <c r="S278" s="41"/>
      <c r="T278" s="41"/>
      <c r="U278" s="41"/>
      <c r="V278" s="41"/>
      <c r="W278" s="41"/>
      <c r="X278" s="41"/>
      <c r="Y278" s="41"/>
    </row>
  </sheetData>
  <mergeCells count="256">
    <mergeCell ref="E92:H93"/>
    <mergeCell ref="E90:H91"/>
    <mergeCell ref="E88:H89"/>
    <mergeCell ref="E133:H134"/>
    <mergeCell ref="E127:H128"/>
    <mergeCell ref="E124:H125"/>
    <mergeCell ref="Q89:T89"/>
    <mergeCell ref="Q88:T88"/>
    <mergeCell ref="U88:X88"/>
    <mergeCell ref="I134:L134"/>
    <mergeCell ref="M134:P134"/>
    <mergeCell ref="Q134:T134"/>
    <mergeCell ref="U134:X134"/>
    <mergeCell ref="I127:L127"/>
    <mergeCell ref="M127:P127"/>
    <mergeCell ref="Q127:T127"/>
    <mergeCell ref="U127:X127"/>
    <mergeCell ref="I128:L128"/>
    <mergeCell ref="M128:P128"/>
    <mergeCell ref="M148:P149"/>
    <mergeCell ref="Q148:T149"/>
    <mergeCell ref="U148:X149"/>
    <mergeCell ref="Q181:T181"/>
    <mergeCell ref="U181:X181"/>
    <mergeCell ref="B214:AA214"/>
    <mergeCell ref="B215:AA215"/>
    <mergeCell ref="E174:H175"/>
    <mergeCell ref="I174:L175"/>
    <mergeCell ref="M174:P175"/>
    <mergeCell ref="Q174:T175"/>
    <mergeCell ref="U174:X175"/>
    <mergeCell ref="E176:H176"/>
    <mergeCell ref="I176:L176"/>
    <mergeCell ref="M176:P176"/>
    <mergeCell ref="Q176:T176"/>
    <mergeCell ref="U176:X176"/>
    <mergeCell ref="E179:H180"/>
    <mergeCell ref="I179:L180"/>
    <mergeCell ref="M179:P180"/>
    <mergeCell ref="Q179:T180"/>
    <mergeCell ref="U179:X180"/>
    <mergeCell ref="E181:H181"/>
    <mergeCell ref="I181:L181"/>
    <mergeCell ref="E143:H144"/>
    <mergeCell ref="Q139:T139"/>
    <mergeCell ref="E139:H140"/>
    <mergeCell ref="I143:L144"/>
    <mergeCell ref="E273:Z273"/>
    <mergeCell ref="E274:Z274"/>
    <mergeCell ref="M151:P151"/>
    <mergeCell ref="Q151:T151"/>
    <mergeCell ref="U151:X151"/>
    <mergeCell ref="E154:H155"/>
    <mergeCell ref="I154:L155"/>
    <mergeCell ref="M154:P155"/>
    <mergeCell ref="Q154:T155"/>
    <mergeCell ref="U154:X155"/>
    <mergeCell ref="E156:H156"/>
    <mergeCell ref="I156:L156"/>
    <mergeCell ref="M156:P156"/>
    <mergeCell ref="Q156:T156"/>
    <mergeCell ref="U156:X156"/>
    <mergeCell ref="E151:H151"/>
    <mergeCell ref="I151:L151"/>
    <mergeCell ref="M181:P181"/>
    <mergeCell ref="Q150:T150"/>
    <mergeCell ref="E145:H145"/>
    <mergeCell ref="M145:P145"/>
    <mergeCell ref="Q145:T145"/>
    <mergeCell ref="U145:X145"/>
    <mergeCell ref="I139:L139"/>
    <mergeCell ref="M139:P139"/>
    <mergeCell ref="U139:X139"/>
    <mergeCell ref="I140:L140"/>
    <mergeCell ref="M140:P140"/>
    <mergeCell ref="Q140:T140"/>
    <mergeCell ref="U140:X140"/>
    <mergeCell ref="E150:H150"/>
    <mergeCell ref="I150:L150"/>
    <mergeCell ref="M150:P150"/>
    <mergeCell ref="E148:H149"/>
    <mergeCell ref="I148:L149"/>
    <mergeCell ref="U150:X150"/>
    <mergeCell ref="E131:H132"/>
    <mergeCell ref="I131:L132"/>
    <mergeCell ref="M131:P132"/>
    <mergeCell ref="Q131:T132"/>
    <mergeCell ref="U131:X132"/>
    <mergeCell ref="I133:L133"/>
    <mergeCell ref="M133:P133"/>
    <mergeCell ref="Q133:T133"/>
    <mergeCell ref="U133:X133"/>
    <mergeCell ref="E137:H138"/>
    <mergeCell ref="I137:L138"/>
    <mergeCell ref="M137:P138"/>
    <mergeCell ref="Q137:T138"/>
    <mergeCell ref="U137:X138"/>
    <mergeCell ref="M143:P144"/>
    <mergeCell ref="Q143:T144"/>
    <mergeCell ref="U143:X144"/>
    <mergeCell ref="I145:L145"/>
    <mergeCell ref="Q128:T128"/>
    <mergeCell ref="U128:X128"/>
    <mergeCell ref="I125:L125"/>
    <mergeCell ref="M125:P125"/>
    <mergeCell ref="Q125:T125"/>
    <mergeCell ref="U125:X125"/>
    <mergeCell ref="E126:H126"/>
    <mergeCell ref="I126:L126"/>
    <mergeCell ref="M126:P126"/>
    <mergeCell ref="Q126:T126"/>
    <mergeCell ref="U126:X126"/>
    <mergeCell ref="E122:H123"/>
    <mergeCell ref="I122:L123"/>
    <mergeCell ref="M122:P123"/>
    <mergeCell ref="Q122:T123"/>
    <mergeCell ref="U122:X123"/>
    <mergeCell ref="I124:L124"/>
    <mergeCell ref="M124:P124"/>
    <mergeCell ref="Q124:T124"/>
    <mergeCell ref="U124:X124"/>
    <mergeCell ref="H20:M20"/>
    <mergeCell ref="T20:Z20"/>
    <mergeCell ref="E98:H98"/>
    <mergeCell ref="I98:L98"/>
    <mergeCell ref="M98:P98"/>
    <mergeCell ref="Q98:T98"/>
    <mergeCell ref="U98:X98"/>
    <mergeCell ref="U96:X97"/>
    <mergeCell ref="M96:P97"/>
    <mergeCell ref="Q96:T97"/>
    <mergeCell ref="I92:L92"/>
    <mergeCell ref="M92:P92"/>
    <mergeCell ref="Q92:T92"/>
    <mergeCell ref="U92:X92"/>
    <mergeCell ref="I93:L93"/>
    <mergeCell ref="M93:P93"/>
    <mergeCell ref="Q93:T93"/>
    <mergeCell ref="U93:X93"/>
    <mergeCell ref="I96:L97"/>
    <mergeCell ref="U80:X81"/>
    <mergeCell ref="Q81:T81"/>
    <mergeCell ref="M81:P81"/>
    <mergeCell ref="M80:T80"/>
    <mergeCell ref="I80:L81"/>
    <mergeCell ref="E73:H73"/>
    <mergeCell ref="I75:L75"/>
    <mergeCell ref="M74:P74"/>
    <mergeCell ref="I74:L74"/>
    <mergeCell ref="M73:P73"/>
    <mergeCell ref="I73:L73"/>
    <mergeCell ref="E76:H77"/>
    <mergeCell ref="I76:L76"/>
    <mergeCell ref="M76:P76"/>
    <mergeCell ref="I90:L90"/>
    <mergeCell ref="M90:P90"/>
    <mergeCell ref="Q90:T90"/>
    <mergeCell ref="U90:X90"/>
    <mergeCell ref="I91:L91"/>
    <mergeCell ref="M91:P91"/>
    <mergeCell ref="Q91:T91"/>
    <mergeCell ref="U91:X91"/>
    <mergeCell ref="M77:P77"/>
    <mergeCell ref="I77:L77"/>
    <mergeCell ref="U82:X82"/>
    <mergeCell ref="Q82:T82"/>
    <mergeCell ref="M82:P82"/>
    <mergeCell ref="I82:L82"/>
    <mergeCell ref="I83:L83"/>
    <mergeCell ref="M83:P83"/>
    <mergeCell ref="Q83:T83"/>
    <mergeCell ref="U83:X83"/>
    <mergeCell ref="M86:P87"/>
    <mergeCell ref="E68:H69"/>
    <mergeCell ref="E70:H71"/>
    <mergeCell ref="E72:H72"/>
    <mergeCell ref="C26:Z27"/>
    <mergeCell ref="E55:K55"/>
    <mergeCell ref="S55:W55"/>
    <mergeCell ref="G57:J57"/>
    <mergeCell ref="V40:Y41"/>
    <mergeCell ref="E54:K54"/>
    <mergeCell ref="O42:U42"/>
    <mergeCell ref="D40:J41"/>
    <mergeCell ref="D42:J42"/>
    <mergeCell ref="C45:Z47"/>
    <mergeCell ref="S54:W54"/>
    <mergeCell ref="C30:Z32"/>
    <mergeCell ref="V42:Y42"/>
    <mergeCell ref="P52:R52"/>
    <mergeCell ref="K40:N41"/>
    <mergeCell ref="I71:L71"/>
    <mergeCell ref="C5:Z6"/>
    <mergeCell ref="R7:U7"/>
    <mergeCell ref="V7:Z7"/>
    <mergeCell ref="D10:N10"/>
    <mergeCell ref="P10:Y10"/>
    <mergeCell ref="H19:N19"/>
    <mergeCell ref="T19:Z19"/>
    <mergeCell ref="H15:M15"/>
    <mergeCell ref="H16:M16"/>
    <mergeCell ref="T16:Z16"/>
    <mergeCell ref="H17:M17"/>
    <mergeCell ref="T17:Z17"/>
    <mergeCell ref="H18:M18"/>
    <mergeCell ref="T18:Z18"/>
    <mergeCell ref="D11:N12"/>
    <mergeCell ref="P11:Z12"/>
    <mergeCell ref="C34:Z36"/>
    <mergeCell ref="U71:X71"/>
    <mergeCell ref="Q72:T72"/>
    <mergeCell ref="U72:X72"/>
    <mergeCell ref="M71:P71"/>
    <mergeCell ref="I72:L72"/>
    <mergeCell ref="M72:P72"/>
    <mergeCell ref="U77:X77"/>
    <mergeCell ref="I89:L89"/>
    <mergeCell ref="M89:P89"/>
    <mergeCell ref="Q86:T87"/>
    <mergeCell ref="U86:X87"/>
    <mergeCell ref="U73:X73"/>
    <mergeCell ref="Q74:T74"/>
    <mergeCell ref="U74:X74"/>
    <mergeCell ref="U89:X89"/>
    <mergeCell ref="Q76:T76"/>
    <mergeCell ref="M75:P75"/>
    <mergeCell ref="E75:H75"/>
    <mergeCell ref="E74:H74"/>
    <mergeCell ref="U68:X69"/>
    <mergeCell ref="Q68:T69"/>
    <mergeCell ref="M68:P69"/>
    <mergeCell ref="I68:L69"/>
    <mergeCell ref="C23:Z24"/>
    <mergeCell ref="B160:AA160"/>
    <mergeCell ref="B161:AA161"/>
    <mergeCell ref="B108:AA108"/>
    <mergeCell ref="B109:AA109"/>
    <mergeCell ref="I88:L88"/>
    <mergeCell ref="M88:P88"/>
    <mergeCell ref="Q70:T70"/>
    <mergeCell ref="U70:X70"/>
    <mergeCell ref="U76:X76"/>
    <mergeCell ref="I70:L70"/>
    <mergeCell ref="M70:P70"/>
    <mergeCell ref="E80:H81"/>
    <mergeCell ref="E82:H83"/>
    <mergeCell ref="Q77:T77"/>
    <mergeCell ref="E96:H97"/>
    <mergeCell ref="E86:H87"/>
    <mergeCell ref="I86:L87"/>
    <mergeCell ref="Q75:T75"/>
    <mergeCell ref="U75:X75"/>
    <mergeCell ref="Q71:T71"/>
    <mergeCell ref="Q73:T73"/>
    <mergeCell ref="K42:N42"/>
    <mergeCell ref="O40:U41"/>
  </mergeCells>
  <printOptions horizontalCentered="1"/>
  <pageMargins left="0" right="0" top="0.2" bottom="0" header="0.2" footer="0.55000000000000004"/>
  <pageSetup paperSize="10000" scale="93" orientation="portrait" horizontalDpi="4294967293" verticalDpi="4294967293" r:id="rId1"/>
  <headerFooter alignWithMargins="0">
    <oddFooter>&amp;R&amp;"Arial Narrow,Regular"&amp;10Page &amp;P of &amp;N
7F-04-02 Rev. 02&amp;9
Effectivity Date: August 01, 2019</oddFooter>
  </headerFooter>
  <rowBreaks count="4" manualBreakCount="4">
    <brk id="63" min="1" max="26" man="1"/>
    <brk id="117" min="1" max="26" man="1"/>
    <brk id="169" min="1" max="26" man="1"/>
    <brk id="223"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M178"/>
  <sheetViews>
    <sheetView tabSelected="1" zoomScaleNormal="100" workbookViewId="0">
      <selection activeCell="AK134" sqref="AK134:AZ134"/>
    </sheetView>
  </sheetViews>
  <sheetFormatPr defaultColWidth="9.140625" defaultRowHeight="0" customHeight="1" zeroHeight="1" x14ac:dyDescent="0.25"/>
  <cols>
    <col min="1" max="1" width="10.140625" style="56" customWidth="1"/>
    <col min="2" max="52" width="2" style="1" customWidth="1"/>
    <col min="53" max="75" width="2" style="56" customWidth="1"/>
    <col min="76" max="76" width="2" style="1" customWidth="1"/>
    <col min="77" max="77" width="11.5703125" style="1" customWidth="1"/>
    <col min="78" max="78" width="10.140625" style="1" hidden="1" customWidth="1"/>
    <col min="79" max="79" width="5" style="1" hidden="1" customWidth="1"/>
    <col min="80" max="80" width="10.28515625" style="1" customWidth="1"/>
    <col min="81" max="81" width="6.7109375" style="1" customWidth="1"/>
    <col min="82" max="82" width="5.28515625" style="1" customWidth="1"/>
    <col min="83" max="83" width="10.7109375" style="1" customWidth="1"/>
    <col min="84" max="84" width="4.42578125" style="1" hidden="1" customWidth="1"/>
    <col min="85" max="85" width="10.42578125" style="1" hidden="1" customWidth="1"/>
    <col min="86" max="86" width="10" style="1" hidden="1" customWidth="1"/>
    <col min="87" max="87" width="5.42578125" style="1" hidden="1" customWidth="1"/>
    <col min="88" max="88" width="12.7109375" style="1" hidden="1" customWidth="1"/>
    <col min="89" max="89" width="2.28515625" style="1" customWidth="1"/>
    <col min="90" max="90" width="10.7109375" style="1" customWidth="1"/>
    <col min="91" max="91" width="10.7109375" style="1" hidden="1" customWidth="1"/>
    <col min="92" max="92" width="5.28515625" style="1" hidden="1" customWidth="1"/>
    <col min="93" max="93" width="10.7109375" style="1" customWidth="1"/>
    <col min="94" max="94" width="5.28515625" style="1" customWidth="1"/>
    <col min="95" max="95" width="7.85546875" style="1" customWidth="1"/>
    <col min="96" max="96" width="9.42578125" style="1" customWidth="1"/>
    <col min="97" max="97" width="4.28515625" style="1" hidden="1" customWidth="1"/>
    <col min="98" max="98" width="9.5703125" style="1" hidden="1" customWidth="1"/>
    <col min="99" max="99" width="8.85546875" style="1" hidden="1" customWidth="1"/>
    <col min="100" max="100" width="4.5703125" style="1" hidden="1" customWidth="1"/>
    <col min="101" max="101" width="11.28515625" style="1" hidden="1" customWidth="1"/>
    <col min="102" max="102" width="2.28515625" style="1" customWidth="1"/>
    <col min="103" max="103" width="10.7109375" style="1" hidden="1" customWidth="1"/>
    <col min="104" max="104" width="10.7109375" style="1" customWidth="1"/>
    <col min="105" max="105" width="10.7109375" style="1" hidden="1" customWidth="1"/>
    <col min="106" max="106" width="5.28515625" style="1" hidden="1" customWidth="1"/>
    <col min="107" max="107" width="10.7109375" style="1" customWidth="1"/>
    <col min="108" max="108" width="5.28515625" style="1" customWidth="1"/>
    <col min="109" max="109" width="7.85546875" style="1" customWidth="1"/>
    <col min="110" max="110" width="9.42578125" style="1" customWidth="1"/>
    <col min="111" max="111" width="3.42578125" style="1" hidden="1" customWidth="1"/>
    <col min="112" max="112" width="9.5703125" style="1" hidden="1" customWidth="1"/>
    <col min="113" max="113" width="8.85546875" style="1" hidden="1" customWidth="1"/>
    <col min="114" max="114" width="4.5703125" style="1" hidden="1" customWidth="1"/>
    <col min="115" max="115" width="11.28515625" style="1" hidden="1" customWidth="1"/>
    <col min="116" max="116" width="2.42578125" style="1" customWidth="1"/>
    <col min="117" max="117" width="0" style="1" hidden="1" customWidth="1"/>
    <col min="118" max="118" width="11.28515625" style="1" hidden="1" customWidth="1"/>
    <col min="119" max="119" width="14" style="1" customWidth="1"/>
    <col min="120" max="120" width="8.7109375" style="1" customWidth="1"/>
    <col min="121" max="121" width="5.7109375" style="1" customWidth="1"/>
    <col min="122" max="122" width="9.5703125" style="1" customWidth="1"/>
    <col min="123" max="123" width="5.42578125" style="1" customWidth="1"/>
    <col min="124" max="124" width="8" style="1" customWidth="1"/>
    <col min="125" max="125" width="9.42578125" style="1" customWidth="1"/>
    <col min="126" max="126" width="4.5703125" style="1" hidden="1" customWidth="1"/>
    <col min="127" max="127" width="10.140625" style="1" hidden="1" customWidth="1"/>
    <col min="128" max="128" width="10" style="1" hidden="1" customWidth="1"/>
    <col min="129" max="129" width="4.5703125" style="1" hidden="1" customWidth="1"/>
    <col min="130" max="130" width="10.7109375" style="1" hidden="1" customWidth="1"/>
    <col min="131" max="131" width="2.42578125" style="1" customWidth="1"/>
    <col min="132" max="133" width="10.42578125" style="1" hidden="1" customWidth="1"/>
    <col min="134" max="134" width="13.5703125" style="1" customWidth="1"/>
    <col min="135" max="135" width="14.7109375" style="1" customWidth="1"/>
    <col min="136" max="136" width="17.42578125" style="1" customWidth="1"/>
    <col min="137" max="137" width="11.140625" style="1" customWidth="1"/>
    <col min="138" max="138" width="8.28515625" style="1" customWidth="1"/>
    <col min="139" max="139" width="2.85546875" style="1" customWidth="1"/>
    <col min="140" max="16384" width="9.140625" style="1"/>
  </cols>
  <sheetData>
    <row r="1" spans="2:53" ht="13.5" x14ac:dyDescent="0.25">
      <c r="B1" s="59"/>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1"/>
    </row>
    <row r="2" spans="2:53" ht="13.5" x14ac:dyDescent="0.25">
      <c r="B2" s="62"/>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4"/>
    </row>
    <row r="3" spans="2:53" ht="18.75" x14ac:dyDescent="0.3">
      <c r="B3" s="65" t="s">
        <v>62</v>
      </c>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4"/>
    </row>
    <row r="4" spans="2:53" ht="6" customHeight="1" x14ac:dyDescent="0.25">
      <c r="B4" s="66"/>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8"/>
    </row>
    <row r="5" spans="2:53" ht="17.25" customHeight="1" thickBot="1" x14ac:dyDescent="0.3">
      <c r="B5" s="62"/>
      <c r="C5" s="63"/>
      <c r="D5" s="63"/>
      <c r="E5" s="63"/>
      <c r="F5" s="69" t="s">
        <v>88</v>
      </c>
      <c r="G5" s="69"/>
      <c r="H5" s="69"/>
      <c r="I5" s="69"/>
      <c r="J5" s="69"/>
      <c r="K5" s="69"/>
      <c r="L5" s="229"/>
      <c r="M5" s="229"/>
      <c r="N5" s="229"/>
      <c r="O5" s="102"/>
      <c r="P5" s="102"/>
      <c r="Q5" s="63"/>
      <c r="R5" s="63"/>
      <c r="S5" s="63"/>
      <c r="T5" s="63"/>
      <c r="U5" s="63"/>
      <c r="V5" s="63"/>
      <c r="W5" s="63"/>
      <c r="X5" s="63"/>
      <c r="Y5" s="63"/>
      <c r="Z5" s="63"/>
      <c r="AA5" s="63"/>
      <c r="AB5" s="63"/>
      <c r="AC5" s="63"/>
      <c r="AD5" s="63"/>
      <c r="AE5" s="63"/>
      <c r="AF5" s="63"/>
      <c r="AG5" s="63"/>
      <c r="AH5" s="63"/>
      <c r="AI5" s="69" t="s">
        <v>63</v>
      </c>
      <c r="AJ5" s="69"/>
      <c r="AK5" s="69"/>
      <c r="AL5" s="69"/>
      <c r="AM5" s="69"/>
      <c r="AN5" s="222"/>
      <c r="AO5" s="222"/>
      <c r="AP5" s="222"/>
      <c r="AQ5" s="83"/>
      <c r="AR5" s="63"/>
      <c r="AS5" s="63"/>
      <c r="AT5" s="63"/>
      <c r="AU5" s="63"/>
      <c r="AV5" s="63"/>
      <c r="AW5" s="63"/>
      <c r="AX5" s="63"/>
      <c r="AY5" s="63"/>
      <c r="AZ5" s="64"/>
    </row>
    <row r="6" spans="2:53" ht="14.25" thickBot="1" x14ac:dyDescent="0.3">
      <c r="B6" s="169" t="s">
        <v>90</v>
      </c>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1"/>
    </row>
    <row r="7" spans="2:53" ht="8.1" customHeight="1" x14ac:dyDescent="0.25">
      <c r="B7" s="201" t="s">
        <v>14</v>
      </c>
      <c r="C7" s="202"/>
      <c r="D7" s="202"/>
      <c r="E7" s="202"/>
      <c r="F7" s="202"/>
      <c r="G7" s="202"/>
      <c r="H7" s="202"/>
      <c r="I7" s="202"/>
      <c r="J7" s="203" t="s">
        <v>91</v>
      </c>
      <c r="K7" s="223" t="s">
        <v>122</v>
      </c>
      <c r="L7" s="223"/>
      <c r="M7" s="223"/>
      <c r="N7" s="223"/>
      <c r="O7" s="223"/>
      <c r="P7" s="223"/>
      <c r="Q7" s="223"/>
      <c r="R7" s="223"/>
      <c r="S7" s="223"/>
      <c r="T7" s="223"/>
      <c r="U7" s="223"/>
      <c r="V7" s="223"/>
      <c r="W7" s="223"/>
      <c r="X7" s="223"/>
      <c r="Y7" s="223"/>
      <c r="Z7" s="223"/>
      <c r="AA7" s="223"/>
      <c r="AB7" s="202" t="s">
        <v>24</v>
      </c>
      <c r="AC7" s="202"/>
      <c r="AD7" s="202"/>
      <c r="AE7" s="202"/>
      <c r="AF7" s="202"/>
      <c r="AG7" s="202"/>
      <c r="AH7" s="202"/>
      <c r="AI7" s="202"/>
      <c r="AJ7" s="202"/>
      <c r="AK7" s="203" t="s">
        <v>91</v>
      </c>
      <c r="AL7" s="225"/>
      <c r="AM7" s="225"/>
      <c r="AN7" s="225"/>
      <c r="AO7" s="225"/>
      <c r="AP7" s="225"/>
      <c r="AQ7" s="225"/>
      <c r="AR7" s="225"/>
      <c r="AS7" s="225"/>
      <c r="AT7" s="225"/>
      <c r="AU7" s="225"/>
      <c r="AV7" s="225"/>
      <c r="AW7" s="225"/>
      <c r="AX7" s="225"/>
      <c r="AY7" s="225"/>
      <c r="AZ7" s="226"/>
      <c r="BA7" s="58"/>
    </row>
    <row r="8" spans="2:53" ht="8.1" customHeight="1" x14ac:dyDescent="0.25">
      <c r="B8" s="201"/>
      <c r="C8" s="202"/>
      <c r="D8" s="202"/>
      <c r="E8" s="202"/>
      <c r="F8" s="202"/>
      <c r="G8" s="202"/>
      <c r="H8" s="202"/>
      <c r="I8" s="202"/>
      <c r="J8" s="203"/>
      <c r="K8" s="224"/>
      <c r="L8" s="224"/>
      <c r="M8" s="224"/>
      <c r="N8" s="224"/>
      <c r="O8" s="224"/>
      <c r="P8" s="224"/>
      <c r="Q8" s="224"/>
      <c r="R8" s="224"/>
      <c r="S8" s="224"/>
      <c r="T8" s="224"/>
      <c r="U8" s="224"/>
      <c r="V8" s="224"/>
      <c r="W8" s="224"/>
      <c r="X8" s="224"/>
      <c r="Y8" s="224"/>
      <c r="Z8" s="224"/>
      <c r="AA8" s="224"/>
      <c r="AB8" s="202"/>
      <c r="AC8" s="202"/>
      <c r="AD8" s="202"/>
      <c r="AE8" s="202"/>
      <c r="AF8" s="202"/>
      <c r="AG8" s="202"/>
      <c r="AH8" s="202"/>
      <c r="AI8" s="202"/>
      <c r="AJ8" s="202"/>
      <c r="AK8" s="203"/>
      <c r="AL8" s="227"/>
      <c r="AM8" s="227"/>
      <c r="AN8" s="227"/>
      <c r="AO8" s="227"/>
      <c r="AP8" s="227"/>
      <c r="AQ8" s="227"/>
      <c r="AR8" s="227"/>
      <c r="AS8" s="227"/>
      <c r="AT8" s="227"/>
      <c r="AU8" s="227"/>
      <c r="AV8" s="227"/>
      <c r="AW8" s="227"/>
      <c r="AX8" s="227"/>
      <c r="AY8" s="227"/>
      <c r="AZ8" s="228"/>
      <c r="BA8" s="58"/>
    </row>
    <row r="9" spans="2:53" ht="8.1" customHeight="1" x14ac:dyDescent="0.25">
      <c r="B9" s="201" t="s">
        <v>20</v>
      </c>
      <c r="C9" s="202"/>
      <c r="D9" s="202"/>
      <c r="E9" s="202"/>
      <c r="F9" s="202"/>
      <c r="G9" s="202"/>
      <c r="H9" s="202"/>
      <c r="I9" s="202"/>
      <c r="J9" s="203" t="s">
        <v>91</v>
      </c>
      <c r="K9" s="213" t="s">
        <v>144</v>
      </c>
      <c r="L9" s="213"/>
      <c r="M9" s="213"/>
      <c r="N9" s="213"/>
      <c r="O9" s="213"/>
      <c r="P9" s="213"/>
      <c r="Q9" s="213"/>
      <c r="R9" s="213"/>
      <c r="S9" s="213"/>
      <c r="T9" s="213"/>
      <c r="U9" s="213"/>
      <c r="V9" s="213"/>
      <c r="W9" s="213"/>
      <c r="X9" s="213"/>
      <c r="Y9" s="213"/>
      <c r="Z9" s="213"/>
      <c r="AA9" s="213"/>
      <c r="AB9" s="202" t="s">
        <v>92</v>
      </c>
      <c r="AC9" s="202"/>
      <c r="AD9" s="202"/>
      <c r="AE9" s="202"/>
      <c r="AF9" s="202"/>
      <c r="AG9" s="202"/>
      <c r="AH9" s="202"/>
      <c r="AI9" s="202"/>
      <c r="AJ9" s="202"/>
      <c r="AK9" s="203" t="s">
        <v>91</v>
      </c>
      <c r="AL9" s="231"/>
      <c r="AM9" s="231"/>
      <c r="AN9" s="231"/>
      <c r="AO9" s="231"/>
      <c r="AP9" s="231"/>
      <c r="AQ9" s="231"/>
      <c r="AR9" s="231"/>
      <c r="AS9" s="231"/>
      <c r="AT9" s="231"/>
      <c r="AU9" s="231"/>
      <c r="AV9" s="231"/>
      <c r="AW9" s="231"/>
      <c r="AX9" s="231"/>
      <c r="AY9" s="231"/>
      <c r="AZ9" s="232"/>
      <c r="BA9" s="58"/>
    </row>
    <row r="10" spans="2:53" ht="8.1" customHeight="1" x14ac:dyDescent="0.25">
      <c r="B10" s="201"/>
      <c r="C10" s="202"/>
      <c r="D10" s="202"/>
      <c r="E10" s="202"/>
      <c r="F10" s="202"/>
      <c r="G10" s="202"/>
      <c r="H10" s="202"/>
      <c r="I10" s="202"/>
      <c r="J10" s="203"/>
      <c r="K10" s="207"/>
      <c r="L10" s="207"/>
      <c r="M10" s="207"/>
      <c r="N10" s="207"/>
      <c r="O10" s="207"/>
      <c r="P10" s="207"/>
      <c r="Q10" s="207"/>
      <c r="R10" s="207"/>
      <c r="S10" s="207"/>
      <c r="T10" s="207"/>
      <c r="U10" s="207"/>
      <c r="V10" s="207"/>
      <c r="W10" s="207"/>
      <c r="X10" s="207"/>
      <c r="Y10" s="207"/>
      <c r="Z10" s="207"/>
      <c r="AA10" s="207"/>
      <c r="AB10" s="202"/>
      <c r="AC10" s="202"/>
      <c r="AD10" s="202"/>
      <c r="AE10" s="202"/>
      <c r="AF10" s="202"/>
      <c r="AG10" s="202"/>
      <c r="AH10" s="202"/>
      <c r="AI10" s="202"/>
      <c r="AJ10" s="202"/>
      <c r="AK10" s="203"/>
      <c r="AL10" s="227"/>
      <c r="AM10" s="227"/>
      <c r="AN10" s="227"/>
      <c r="AO10" s="227"/>
      <c r="AP10" s="227"/>
      <c r="AQ10" s="227"/>
      <c r="AR10" s="227"/>
      <c r="AS10" s="227"/>
      <c r="AT10" s="227"/>
      <c r="AU10" s="227"/>
      <c r="AV10" s="227"/>
      <c r="AW10" s="227"/>
      <c r="AX10" s="227"/>
      <c r="AY10" s="227"/>
      <c r="AZ10" s="228"/>
      <c r="BA10" s="58"/>
    </row>
    <row r="11" spans="2:53" ht="8.1" customHeight="1" x14ac:dyDescent="0.25">
      <c r="B11" s="201" t="s">
        <v>21</v>
      </c>
      <c r="C11" s="202"/>
      <c r="D11" s="202"/>
      <c r="E11" s="202"/>
      <c r="F11" s="202"/>
      <c r="G11" s="202"/>
      <c r="H11" s="202"/>
      <c r="I11" s="202"/>
      <c r="J11" s="203" t="s">
        <v>91</v>
      </c>
      <c r="K11" s="213">
        <v>117</v>
      </c>
      <c r="L11" s="213"/>
      <c r="M11" s="213"/>
      <c r="N11" s="213"/>
      <c r="O11" s="213"/>
      <c r="P11" s="213"/>
      <c r="Q11" s="213"/>
      <c r="R11" s="213"/>
      <c r="S11" s="213"/>
      <c r="T11" s="213"/>
      <c r="U11" s="213"/>
      <c r="V11" s="213"/>
      <c r="W11" s="213"/>
      <c r="X11" s="213"/>
      <c r="Y11" s="213"/>
      <c r="Z11" s="213"/>
      <c r="AA11" s="213"/>
      <c r="AB11" s="202" t="s">
        <v>23</v>
      </c>
      <c r="AC11" s="202"/>
      <c r="AD11" s="202"/>
      <c r="AE11" s="202"/>
      <c r="AF11" s="202"/>
      <c r="AG11" s="202"/>
      <c r="AH11" s="202"/>
      <c r="AI11" s="202"/>
      <c r="AJ11" s="202"/>
      <c r="AK11" s="203" t="s">
        <v>91</v>
      </c>
      <c r="AL11" s="213" t="s">
        <v>164</v>
      </c>
      <c r="AM11" s="213"/>
      <c r="AN11" s="213"/>
      <c r="AO11" s="213"/>
      <c r="AP11" s="213"/>
      <c r="AQ11" s="213"/>
      <c r="AR11" s="213"/>
      <c r="AS11" s="213"/>
      <c r="AT11" s="213"/>
      <c r="AU11" s="213"/>
      <c r="AV11" s="213"/>
      <c r="AW11" s="213"/>
      <c r="AX11" s="213"/>
      <c r="AY11" s="213"/>
      <c r="AZ11" s="214"/>
      <c r="BA11" s="58"/>
    </row>
    <row r="12" spans="2:53" ht="8.1" customHeight="1" x14ac:dyDescent="0.25">
      <c r="B12" s="201"/>
      <c r="C12" s="202"/>
      <c r="D12" s="202"/>
      <c r="E12" s="202"/>
      <c r="F12" s="202"/>
      <c r="G12" s="202"/>
      <c r="H12" s="202"/>
      <c r="I12" s="202"/>
      <c r="J12" s="203"/>
      <c r="K12" s="207"/>
      <c r="L12" s="207"/>
      <c r="M12" s="207"/>
      <c r="N12" s="207"/>
      <c r="O12" s="207"/>
      <c r="P12" s="207"/>
      <c r="Q12" s="207"/>
      <c r="R12" s="207"/>
      <c r="S12" s="207"/>
      <c r="T12" s="207"/>
      <c r="U12" s="207"/>
      <c r="V12" s="207"/>
      <c r="W12" s="207"/>
      <c r="X12" s="207"/>
      <c r="Y12" s="207"/>
      <c r="Z12" s="207"/>
      <c r="AA12" s="207"/>
      <c r="AB12" s="202"/>
      <c r="AC12" s="202"/>
      <c r="AD12" s="202"/>
      <c r="AE12" s="202"/>
      <c r="AF12" s="202"/>
      <c r="AG12" s="202"/>
      <c r="AH12" s="202"/>
      <c r="AI12" s="202"/>
      <c r="AJ12" s="202"/>
      <c r="AK12" s="203"/>
      <c r="AL12" s="207"/>
      <c r="AM12" s="207"/>
      <c r="AN12" s="207"/>
      <c r="AO12" s="207"/>
      <c r="AP12" s="207"/>
      <c r="AQ12" s="207"/>
      <c r="AR12" s="207"/>
      <c r="AS12" s="207"/>
      <c r="AT12" s="207"/>
      <c r="AU12" s="207"/>
      <c r="AV12" s="207"/>
      <c r="AW12" s="207"/>
      <c r="AX12" s="207"/>
      <c r="AY12" s="207"/>
      <c r="AZ12" s="215"/>
      <c r="BA12" s="58"/>
    </row>
    <row r="13" spans="2:53" ht="8.1" customHeight="1" x14ac:dyDescent="0.25">
      <c r="B13" s="201" t="s">
        <v>22</v>
      </c>
      <c r="C13" s="202"/>
      <c r="D13" s="202"/>
      <c r="E13" s="202"/>
      <c r="F13" s="202"/>
      <c r="G13" s="202"/>
      <c r="H13" s="202"/>
      <c r="I13" s="202"/>
      <c r="J13" s="203" t="s">
        <v>91</v>
      </c>
      <c r="K13" s="213"/>
      <c r="L13" s="213"/>
      <c r="M13" s="213"/>
      <c r="N13" s="213"/>
      <c r="O13" s="213"/>
      <c r="P13" s="213"/>
      <c r="Q13" s="213"/>
      <c r="R13" s="213"/>
      <c r="S13" s="213"/>
      <c r="T13" s="213"/>
      <c r="U13" s="213"/>
      <c r="V13" s="213"/>
      <c r="W13" s="213"/>
      <c r="X13" s="213"/>
      <c r="Y13" s="213"/>
      <c r="Z13" s="213"/>
      <c r="AA13" s="213"/>
      <c r="AB13" s="202" t="s">
        <v>93</v>
      </c>
      <c r="AC13" s="202"/>
      <c r="AD13" s="202"/>
      <c r="AE13" s="202"/>
      <c r="AF13" s="202"/>
      <c r="AG13" s="202"/>
      <c r="AH13" s="202"/>
      <c r="AI13" s="202"/>
      <c r="AJ13" s="202"/>
      <c r="AK13" s="203" t="s">
        <v>91</v>
      </c>
      <c r="AL13" s="213" t="s">
        <v>164</v>
      </c>
      <c r="AM13" s="213"/>
      <c r="AN13" s="213"/>
      <c r="AO13" s="213"/>
      <c r="AP13" s="213"/>
      <c r="AQ13" s="213"/>
      <c r="AR13" s="213"/>
      <c r="AS13" s="213"/>
      <c r="AT13" s="213"/>
      <c r="AU13" s="213"/>
      <c r="AV13" s="213"/>
      <c r="AW13" s="213"/>
      <c r="AX13" s="213"/>
      <c r="AY13" s="213"/>
      <c r="AZ13" s="214"/>
      <c r="BA13" s="58"/>
    </row>
    <row r="14" spans="2:53" ht="8.1" customHeight="1" x14ac:dyDescent="0.25">
      <c r="B14" s="201"/>
      <c r="C14" s="202"/>
      <c r="D14" s="202"/>
      <c r="E14" s="202"/>
      <c r="F14" s="202"/>
      <c r="G14" s="202"/>
      <c r="H14" s="202"/>
      <c r="I14" s="202"/>
      <c r="J14" s="203"/>
      <c r="K14" s="207"/>
      <c r="L14" s="207"/>
      <c r="M14" s="207"/>
      <c r="N14" s="207"/>
      <c r="O14" s="207"/>
      <c r="P14" s="207"/>
      <c r="Q14" s="207"/>
      <c r="R14" s="207"/>
      <c r="S14" s="207"/>
      <c r="T14" s="207"/>
      <c r="U14" s="207"/>
      <c r="V14" s="207"/>
      <c r="W14" s="207"/>
      <c r="X14" s="207"/>
      <c r="Y14" s="207"/>
      <c r="Z14" s="207"/>
      <c r="AA14" s="207"/>
      <c r="AB14" s="202"/>
      <c r="AC14" s="202"/>
      <c r="AD14" s="202"/>
      <c r="AE14" s="202"/>
      <c r="AF14" s="202"/>
      <c r="AG14" s="202"/>
      <c r="AH14" s="202"/>
      <c r="AI14" s="202"/>
      <c r="AJ14" s="202"/>
      <c r="AK14" s="203"/>
      <c r="AL14" s="207"/>
      <c r="AM14" s="207"/>
      <c r="AN14" s="207"/>
      <c r="AO14" s="207"/>
      <c r="AP14" s="207"/>
      <c r="AQ14" s="207"/>
      <c r="AR14" s="207"/>
      <c r="AS14" s="207"/>
      <c r="AT14" s="207"/>
      <c r="AU14" s="207"/>
      <c r="AV14" s="207"/>
      <c r="AW14" s="207"/>
      <c r="AX14" s="207"/>
      <c r="AY14" s="207"/>
      <c r="AZ14" s="215"/>
      <c r="BA14" s="58"/>
    </row>
    <row r="15" spans="2:53" ht="8.1" customHeight="1" x14ac:dyDescent="0.25">
      <c r="B15" s="201" t="s">
        <v>74</v>
      </c>
      <c r="C15" s="202"/>
      <c r="D15" s="202"/>
      <c r="E15" s="202"/>
      <c r="F15" s="202"/>
      <c r="G15" s="202"/>
      <c r="H15" s="202"/>
      <c r="I15" s="202"/>
      <c r="J15" s="203" t="s">
        <v>91</v>
      </c>
      <c r="K15" s="213" t="s">
        <v>176</v>
      </c>
      <c r="L15" s="213"/>
      <c r="M15" s="213"/>
      <c r="N15" s="213"/>
      <c r="O15" s="213"/>
      <c r="P15" s="213"/>
      <c r="Q15" s="213"/>
      <c r="R15" s="213"/>
      <c r="S15" s="213"/>
      <c r="T15" s="213"/>
      <c r="U15" s="213"/>
      <c r="V15" s="213"/>
      <c r="W15" s="213"/>
      <c r="X15" s="213"/>
      <c r="Y15" s="213"/>
      <c r="Z15" s="213"/>
      <c r="AA15" s="213"/>
      <c r="AB15" s="202" t="s">
        <v>94</v>
      </c>
      <c r="AC15" s="202"/>
      <c r="AD15" s="202"/>
      <c r="AE15" s="202"/>
      <c r="AF15" s="202"/>
      <c r="AG15" s="202"/>
      <c r="AH15" s="202"/>
      <c r="AI15" s="202"/>
      <c r="AJ15" s="63"/>
      <c r="AK15" s="203" t="s">
        <v>91</v>
      </c>
      <c r="AL15" s="213" t="s">
        <v>164</v>
      </c>
      <c r="AM15" s="213"/>
      <c r="AN15" s="213"/>
      <c r="AO15" s="213"/>
      <c r="AP15" s="213"/>
      <c r="AQ15" s="213"/>
      <c r="AR15" s="213"/>
      <c r="AS15" s="213"/>
      <c r="AT15" s="213"/>
      <c r="AU15" s="213"/>
      <c r="AV15" s="213"/>
      <c r="AW15" s="213"/>
      <c r="AX15" s="213"/>
      <c r="AY15" s="213"/>
      <c r="AZ15" s="214"/>
      <c r="BA15" s="58"/>
    </row>
    <row r="16" spans="2:53" ht="8.1" customHeight="1" x14ac:dyDescent="0.25">
      <c r="B16" s="201"/>
      <c r="C16" s="202"/>
      <c r="D16" s="202"/>
      <c r="E16" s="202"/>
      <c r="F16" s="202"/>
      <c r="G16" s="202"/>
      <c r="H16" s="202"/>
      <c r="I16" s="202"/>
      <c r="J16" s="203"/>
      <c r="K16" s="207"/>
      <c r="L16" s="207"/>
      <c r="M16" s="207"/>
      <c r="N16" s="207"/>
      <c r="O16" s="207"/>
      <c r="P16" s="207"/>
      <c r="Q16" s="207"/>
      <c r="R16" s="207"/>
      <c r="S16" s="207"/>
      <c r="T16" s="207"/>
      <c r="U16" s="207"/>
      <c r="V16" s="207"/>
      <c r="W16" s="207"/>
      <c r="X16" s="207"/>
      <c r="Y16" s="207"/>
      <c r="Z16" s="207"/>
      <c r="AA16" s="207"/>
      <c r="AB16" s="202"/>
      <c r="AC16" s="202"/>
      <c r="AD16" s="202"/>
      <c r="AE16" s="202"/>
      <c r="AF16" s="202"/>
      <c r="AG16" s="202"/>
      <c r="AH16" s="202"/>
      <c r="AI16" s="202"/>
      <c r="AJ16" s="63"/>
      <c r="AK16" s="203"/>
      <c r="AL16" s="207"/>
      <c r="AM16" s="207"/>
      <c r="AN16" s="207"/>
      <c r="AO16" s="207"/>
      <c r="AP16" s="207"/>
      <c r="AQ16" s="207"/>
      <c r="AR16" s="207"/>
      <c r="AS16" s="207"/>
      <c r="AT16" s="207"/>
      <c r="AU16" s="207"/>
      <c r="AV16" s="207"/>
      <c r="AW16" s="207"/>
      <c r="AX16" s="207"/>
      <c r="AY16" s="207"/>
      <c r="AZ16" s="215"/>
      <c r="BA16" s="58"/>
    </row>
    <row r="17" spans="2:69" ht="8.1" customHeight="1" x14ac:dyDescent="0.25">
      <c r="B17" s="201" t="s">
        <v>95</v>
      </c>
      <c r="C17" s="202"/>
      <c r="D17" s="202"/>
      <c r="E17" s="202"/>
      <c r="F17" s="202"/>
      <c r="G17" s="202"/>
      <c r="H17" s="202"/>
      <c r="I17" s="202"/>
      <c r="J17" s="203" t="s">
        <v>91</v>
      </c>
      <c r="K17" s="213" t="s">
        <v>176</v>
      </c>
      <c r="L17" s="213"/>
      <c r="M17" s="213"/>
      <c r="N17" s="213"/>
      <c r="O17" s="213"/>
      <c r="P17" s="213"/>
      <c r="Q17" s="213"/>
      <c r="R17" s="213"/>
      <c r="S17" s="213"/>
      <c r="T17" s="213"/>
      <c r="U17" s="213"/>
      <c r="V17" s="213"/>
      <c r="W17" s="213"/>
      <c r="X17" s="213"/>
      <c r="Y17" s="213"/>
      <c r="Z17" s="213"/>
      <c r="AA17" s="213"/>
      <c r="AB17" s="202" t="s">
        <v>96</v>
      </c>
      <c r="AC17" s="202"/>
      <c r="AD17" s="202"/>
      <c r="AE17" s="202"/>
      <c r="AF17" s="202"/>
      <c r="AG17" s="202"/>
      <c r="AH17" s="202"/>
      <c r="AI17" s="202"/>
      <c r="AJ17" s="202"/>
      <c r="AK17" s="203" t="s">
        <v>91</v>
      </c>
      <c r="AL17" s="213" t="s">
        <v>176</v>
      </c>
      <c r="AM17" s="213"/>
      <c r="AN17" s="213"/>
      <c r="AO17" s="213"/>
      <c r="AP17" s="213"/>
      <c r="AQ17" s="213"/>
      <c r="AR17" s="213"/>
      <c r="AS17" s="213"/>
      <c r="AT17" s="213"/>
      <c r="AU17" s="213"/>
      <c r="AV17" s="213"/>
      <c r="AW17" s="213"/>
      <c r="AX17" s="213"/>
      <c r="AY17" s="213"/>
      <c r="AZ17" s="214"/>
      <c r="BA17" s="58"/>
    </row>
    <row r="18" spans="2:69" ht="8.1" customHeight="1" x14ac:dyDescent="0.25">
      <c r="B18" s="201"/>
      <c r="C18" s="202"/>
      <c r="D18" s="202"/>
      <c r="E18" s="202"/>
      <c r="F18" s="202"/>
      <c r="G18" s="202"/>
      <c r="H18" s="202"/>
      <c r="I18" s="202"/>
      <c r="J18" s="203"/>
      <c r="K18" s="207"/>
      <c r="L18" s="207"/>
      <c r="M18" s="207"/>
      <c r="N18" s="207"/>
      <c r="O18" s="207"/>
      <c r="P18" s="207"/>
      <c r="Q18" s="207"/>
      <c r="R18" s="207"/>
      <c r="S18" s="207"/>
      <c r="T18" s="207"/>
      <c r="U18" s="207"/>
      <c r="V18" s="207"/>
      <c r="W18" s="207"/>
      <c r="X18" s="207"/>
      <c r="Y18" s="207"/>
      <c r="Z18" s="207"/>
      <c r="AA18" s="207"/>
      <c r="AB18" s="202"/>
      <c r="AC18" s="202"/>
      <c r="AD18" s="202"/>
      <c r="AE18" s="202"/>
      <c r="AF18" s="202"/>
      <c r="AG18" s="202"/>
      <c r="AH18" s="202"/>
      <c r="AI18" s="202"/>
      <c r="AJ18" s="202"/>
      <c r="AK18" s="203"/>
      <c r="AL18" s="207"/>
      <c r="AM18" s="207"/>
      <c r="AN18" s="207"/>
      <c r="AO18" s="207"/>
      <c r="AP18" s="207"/>
      <c r="AQ18" s="207"/>
      <c r="AR18" s="207"/>
      <c r="AS18" s="207"/>
      <c r="AT18" s="207"/>
      <c r="AU18" s="207"/>
      <c r="AV18" s="207"/>
      <c r="AW18" s="207"/>
      <c r="AX18" s="207"/>
      <c r="AY18" s="207"/>
      <c r="AZ18" s="215"/>
      <c r="BA18" s="58"/>
    </row>
    <row r="19" spans="2:69" ht="8.1" customHeight="1" x14ac:dyDescent="0.25">
      <c r="B19" s="201" t="s">
        <v>97</v>
      </c>
      <c r="C19" s="202"/>
      <c r="D19" s="202"/>
      <c r="E19" s="202"/>
      <c r="F19" s="202"/>
      <c r="G19" s="202"/>
      <c r="H19" s="202"/>
      <c r="I19" s="202"/>
      <c r="J19" s="203" t="s">
        <v>91</v>
      </c>
      <c r="K19" s="213" t="s">
        <v>164</v>
      </c>
      <c r="L19" s="213"/>
      <c r="M19" s="213"/>
      <c r="N19" s="213"/>
      <c r="O19" s="213"/>
      <c r="P19" s="213"/>
      <c r="Q19" s="213"/>
      <c r="R19" s="213"/>
      <c r="S19" s="213"/>
      <c r="T19" s="213"/>
      <c r="U19" s="213"/>
      <c r="V19" s="213"/>
      <c r="W19" s="213"/>
      <c r="X19" s="213"/>
      <c r="Y19" s="213"/>
      <c r="Z19" s="213"/>
      <c r="AA19" s="213"/>
      <c r="AB19" s="202" t="s">
        <v>98</v>
      </c>
      <c r="AC19" s="202"/>
      <c r="AD19" s="202"/>
      <c r="AE19" s="202"/>
      <c r="AF19" s="202"/>
      <c r="AG19" s="202"/>
      <c r="AH19" s="202"/>
      <c r="AI19" s="202"/>
      <c r="AJ19" s="202"/>
      <c r="AK19" s="203" t="s">
        <v>91</v>
      </c>
      <c r="AL19" s="213" t="s">
        <v>164</v>
      </c>
      <c r="AM19" s="213"/>
      <c r="AN19" s="213"/>
      <c r="AO19" s="213"/>
      <c r="AP19" s="213"/>
      <c r="AQ19" s="213"/>
      <c r="AR19" s="213"/>
      <c r="AS19" s="213"/>
      <c r="AT19" s="213"/>
      <c r="AU19" s="213"/>
      <c r="AV19" s="213"/>
      <c r="AW19" s="213"/>
      <c r="AX19" s="213"/>
      <c r="AY19" s="213"/>
      <c r="AZ19" s="214"/>
      <c r="BA19" s="58"/>
    </row>
    <row r="20" spans="2:69" ht="7.5" customHeight="1" x14ac:dyDescent="0.25">
      <c r="B20" s="201"/>
      <c r="C20" s="202"/>
      <c r="D20" s="202"/>
      <c r="E20" s="202"/>
      <c r="F20" s="202"/>
      <c r="G20" s="202"/>
      <c r="H20" s="202"/>
      <c r="I20" s="202"/>
      <c r="J20" s="203"/>
      <c r="K20" s="207"/>
      <c r="L20" s="207"/>
      <c r="M20" s="207"/>
      <c r="N20" s="207"/>
      <c r="O20" s="207"/>
      <c r="P20" s="207"/>
      <c r="Q20" s="207"/>
      <c r="R20" s="207"/>
      <c r="S20" s="207"/>
      <c r="T20" s="207"/>
      <c r="U20" s="207"/>
      <c r="V20" s="207"/>
      <c r="W20" s="207"/>
      <c r="X20" s="207"/>
      <c r="Y20" s="207"/>
      <c r="Z20" s="207"/>
      <c r="AA20" s="207"/>
      <c r="AB20" s="202"/>
      <c r="AC20" s="202"/>
      <c r="AD20" s="202"/>
      <c r="AE20" s="202"/>
      <c r="AF20" s="202"/>
      <c r="AG20" s="202"/>
      <c r="AH20" s="202"/>
      <c r="AI20" s="202"/>
      <c r="AJ20" s="202"/>
      <c r="AK20" s="203"/>
      <c r="AL20" s="207"/>
      <c r="AM20" s="207"/>
      <c r="AN20" s="207"/>
      <c r="AO20" s="207"/>
      <c r="AP20" s="207"/>
      <c r="AQ20" s="207"/>
      <c r="AR20" s="207"/>
      <c r="AS20" s="207"/>
      <c r="AT20" s="207"/>
      <c r="AU20" s="207"/>
      <c r="AV20" s="207"/>
      <c r="AW20" s="207"/>
      <c r="AX20" s="207"/>
      <c r="AY20" s="207"/>
      <c r="AZ20" s="215"/>
      <c r="BA20" s="58"/>
    </row>
    <row r="21" spans="2:69" ht="3" customHeight="1" thickBot="1" x14ac:dyDescent="0.3">
      <c r="B21" s="70"/>
      <c r="C21" s="71"/>
      <c r="D21" s="71"/>
      <c r="E21" s="71"/>
      <c r="F21" s="71"/>
      <c r="G21" s="71"/>
      <c r="H21" s="71"/>
      <c r="I21" s="71"/>
      <c r="J21" s="72"/>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2"/>
      <c r="AL21" s="71"/>
      <c r="AM21" s="71"/>
      <c r="AN21" s="71"/>
      <c r="AO21" s="71"/>
      <c r="AP21" s="71"/>
      <c r="AQ21" s="71"/>
      <c r="AR21" s="71"/>
      <c r="AS21" s="71"/>
      <c r="AT21" s="71"/>
      <c r="AU21" s="71"/>
      <c r="AV21" s="71"/>
      <c r="AW21" s="71"/>
      <c r="AX21" s="71"/>
      <c r="AY21" s="71"/>
      <c r="AZ21" s="73"/>
      <c r="BA21" s="58"/>
    </row>
    <row r="22" spans="2:69" ht="14.25" thickBot="1" x14ac:dyDescent="0.3">
      <c r="B22" s="169" t="s">
        <v>99</v>
      </c>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6"/>
      <c r="AB22" s="177" t="s">
        <v>100</v>
      </c>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1"/>
      <c r="BA22" s="58"/>
    </row>
    <row r="23" spans="2:69" ht="7.5" customHeight="1" x14ac:dyDescent="0.25">
      <c r="B23" s="201" t="s">
        <v>101</v>
      </c>
      <c r="C23" s="202"/>
      <c r="D23" s="202"/>
      <c r="E23" s="202"/>
      <c r="F23" s="202"/>
      <c r="G23" s="203" t="s">
        <v>91</v>
      </c>
      <c r="H23" s="204"/>
      <c r="I23" s="204"/>
      <c r="J23" s="204"/>
      <c r="K23" s="204"/>
      <c r="L23" s="204"/>
      <c r="M23" s="204"/>
      <c r="N23" s="204"/>
      <c r="O23" s="204"/>
      <c r="P23" s="204"/>
      <c r="Q23" s="204"/>
      <c r="R23" s="204"/>
      <c r="S23" s="204"/>
      <c r="T23" s="204"/>
      <c r="U23" s="204"/>
      <c r="V23" s="204"/>
      <c r="W23" s="204"/>
      <c r="X23" s="204"/>
      <c r="Y23" s="204"/>
      <c r="Z23" s="204"/>
      <c r="AA23" s="74"/>
      <c r="AB23" s="75"/>
      <c r="AC23" s="63"/>
      <c r="AD23" s="63"/>
      <c r="AE23" s="204" t="s">
        <v>175</v>
      </c>
      <c r="AF23" s="63"/>
      <c r="AG23" s="202" t="s">
        <v>103</v>
      </c>
      <c r="AH23" s="202"/>
      <c r="AI23" s="202"/>
      <c r="AJ23" s="202"/>
      <c r="AK23" s="202"/>
      <c r="AL23" s="202"/>
      <c r="AM23" s="202"/>
      <c r="AN23" s="202"/>
      <c r="AO23" s="202"/>
      <c r="AP23" s="202"/>
      <c r="AQ23" s="202"/>
      <c r="AR23" s="202"/>
      <c r="AS23" s="202"/>
      <c r="AT23" s="202"/>
      <c r="AU23" s="202"/>
      <c r="AV23" s="202"/>
      <c r="AW23" s="202"/>
      <c r="AX23" s="202"/>
      <c r="AY23" s="202"/>
      <c r="AZ23" s="206"/>
      <c r="BA23" s="58"/>
    </row>
    <row r="24" spans="2:69" ht="7.5" customHeight="1" x14ac:dyDescent="0.25">
      <c r="B24" s="201"/>
      <c r="C24" s="202"/>
      <c r="D24" s="202"/>
      <c r="E24" s="202"/>
      <c r="F24" s="202"/>
      <c r="G24" s="203"/>
      <c r="H24" s="205"/>
      <c r="I24" s="205"/>
      <c r="J24" s="205"/>
      <c r="K24" s="205"/>
      <c r="L24" s="205"/>
      <c r="M24" s="205"/>
      <c r="N24" s="205"/>
      <c r="O24" s="205"/>
      <c r="P24" s="205"/>
      <c r="Q24" s="205"/>
      <c r="R24" s="205"/>
      <c r="S24" s="205"/>
      <c r="T24" s="205"/>
      <c r="U24" s="205"/>
      <c r="V24" s="205"/>
      <c r="W24" s="205"/>
      <c r="X24" s="205"/>
      <c r="Y24" s="205"/>
      <c r="Z24" s="205"/>
      <c r="AA24" s="74"/>
      <c r="AB24" s="75"/>
      <c r="AC24" s="63"/>
      <c r="AD24" s="63"/>
      <c r="AE24" s="204"/>
      <c r="AF24" s="63"/>
      <c r="AG24" s="202"/>
      <c r="AH24" s="202"/>
      <c r="AI24" s="202"/>
      <c r="AJ24" s="202"/>
      <c r="AK24" s="202"/>
      <c r="AL24" s="202"/>
      <c r="AM24" s="202"/>
      <c r="AN24" s="202"/>
      <c r="AO24" s="202"/>
      <c r="AP24" s="202"/>
      <c r="AQ24" s="202"/>
      <c r="AR24" s="202"/>
      <c r="AS24" s="202"/>
      <c r="AT24" s="202"/>
      <c r="AU24" s="202"/>
      <c r="AV24" s="202"/>
      <c r="AW24" s="202"/>
      <c r="AX24" s="202"/>
      <c r="AY24" s="202"/>
      <c r="AZ24" s="206"/>
      <c r="BA24" s="58"/>
    </row>
    <row r="25" spans="2:69" ht="7.5" customHeight="1" x14ac:dyDescent="0.25">
      <c r="B25" s="201" t="s">
        <v>104</v>
      </c>
      <c r="C25" s="202"/>
      <c r="D25" s="202"/>
      <c r="E25" s="202"/>
      <c r="F25" s="202"/>
      <c r="G25" s="203" t="s">
        <v>91</v>
      </c>
      <c r="H25" s="156"/>
      <c r="I25" s="156"/>
      <c r="J25" s="156"/>
      <c r="K25" s="156"/>
      <c r="L25" s="156"/>
      <c r="M25" s="156"/>
      <c r="N25" s="156"/>
      <c r="O25" s="156"/>
      <c r="P25" s="156"/>
      <c r="Q25" s="156"/>
      <c r="R25" s="156"/>
      <c r="S25" s="156"/>
      <c r="T25" s="156"/>
      <c r="U25" s="156"/>
      <c r="V25" s="156"/>
      <c r="W25" s="156"/>
      <c r="X25" s="156"/>
      <c r="Y25" s="156"/>
      <c r="Z25" s="156"/>
      <c r="AA25" s="74"/>
      <c r="AB25" s="75"/>
      <c r="AC25" s="63"/>
      <c r="AD25" s="63"/>
      <c r="AE25" s="204"/>
      <c r="AF25" s="63"/>
      <c r="AG25" s="202" t="s">
        <v>105</v>
      </c>
      <c r="AH25" s="202"/>
      <c r="AI25" s="202"/>
      <c r="AJ25" s="202"/>
      <c r="AK25" s="202"/>
      <c r="AL25" s="202"/>
      <c r="AM25" s="202"/>
      <c r="AN25" s="202"/>
      <c r="AO25" s="202"/>
      <c r="AP25" s="202"/>
      <c r="AQ25" s="202"/>
      <c r="AR25" s="202"/>
      <c r="AS25" s="202"/>
      <c r="AT25" s="202"/>
      <c r="AU25" s="202"/>
      <c r="AV25" s="202"/>
      <c r="AW25" s="202"/>
      <c r="AX25" s="202"/>
      <c r="AY25" s="202"/>
      <c r="AZ25" s="206"/>
      <c r="BA25" s="58"/>
      <c r="BP25" s="230"/>
      <c r="BQ25" s="230"/>
    </row>
    <row r="26" spans="2:69" ht="7.5" customHeight="1" x14ac:dyDescent="0.25">
      <c r="B26" s="201"/>
      <c r="C26" s="202"/>
      <c r="D26" s="202"/>
      <c r="E26" s="202"/>
      <c r="F26" s="202"/>
      <c r="G26" s="203"/>
      <c r="H26" s="157"/>
      <c r="I26" s="157"/>
      <c r="J26" s="157"/>
      <c r="K26" s="157"/>
      <c r="L26" s="157"/>
      <c r="M26" s="157"/>
      <c r="N26" s="157"/>
      <c r="O26" s="157"/>
      <c r="P26" s="157"/>
      <c r="Q26" s="157"/>
      <c r="R26" s="157"/>
      <c r="S26" s="157"/>
      <c r="T26" s="157"/>
      <c r="U26" s="157"/>
      <c r="V26" s="157"/>
      <c r="W26" s="157"/>
      <c r="X26" s="157"/>
      <c r="Y26" s="157"/>
      <c r="Z26" s="157"/>
      <c r="AA26" s="74"/>
      <c r="AB26" s="75"/>
      <c r="AC26" s="63"/>
      <c r="AD26" s="63"/>
      <c r="AE26" s="204"/>
      <c r="AF26" s="63"/>
      <c r="AG26" s="202"/>
      <c r="AH26" s="202"/>
      <c r="AI26" s="202"/>
      <c r="AJ26" s="202"/>
      <c r="AK26" s="202"/>
      <c r="AL26" s="202"/>
      <c r="AM26" s="202"/>
      <c r="AN26" s="202"/>
      <c r="AO26" s="202"/>
      <c r="AP26" s="202"/>
      <c r="AQ26" s="202"/>
      <c r="AR26" s="202"/>
      <c r="AS26" s="202"/>
      <c r="AT26" s="202"/>
      <c r="AU26" s="202"/>
      <c r="AV26" s="202"/>
      <c r="AW26" s="202"/>
      <c r="AX26" s="202"/>
      <c r="AY26" s="202"/>
      <c r="AZ26" s="206"/>
      <c r="BA26" s="58"/>
      <c r="BP26" s="230"/>
      <c r="BQ26" s="230"/>
    </row>
    <row r="27" spans="2:69" ht="13.5" customHeight="1" x14ac:dyDescent="0.25">
      <c r="B27" s="62"/>
      <c r="C27" s="63"/>
      <c r="D27" s="63"/>
      <c r="E27" s="63"/>
      <c r="F27" s="63"/>
      <c r="G27" s="63"/>
      <c r="H27" s="157"/>
      <c r="I27" s="157"/>
      <c r="J27" s="157"/>
      <c r="K27" s="157"/>
      <c r="L27" s="157"/>
      <c r="M27" s="157"/>
      <c r="N27" s="157"/>
      <c r="O27" s="157"/>
      <c r="P27" s="157"/>
      <c r="Q27" s="157"/>
      <c r="R27" s="157"/>
      <c r="S27" s="157"/>
      <c r="T27" s="157"/>
      <c r="U27" s="157"/>
      <c r="V27" s="157"/>
      <c r="W27" s="157"/>
      <c r="X27" s="157"/>
      <c r="Y27" s="157"/>
      <c r="Z27" s="157"/>
      <c r="AA27" s="74"/>
      <c r="AB27" s="75"/>
      <c r="AC27" s="63" t="s">
        <v>185</v>
      </c>
      <c r="AD27" s="63"/>
      <c r="AE27" s="63"/>
      <c r="AF27" s="63"/>
      <c r="AG27" s="207" t="s">
        <v>186</v>
      </c>
      <c r="AH27" s="207"/>
      <c r="AI27" s="207"/>
      <c r="AJ27" s="207"/>
      <c r="AK27" s="207"/>
      <c r="AL27" s="207"/>
      <c r="AM27" s="207"/>
      <c r="AN27" s="207"/>
      <c r="AO27" s="207"/>
      <c r="AP27" s="207"/>
      <c r="AQ27" s="207"/>
      <c r="AR27" s="207"/>
      <c r="AS27" s="207"/>
      <c r="AT27" s="207"/>
      <c r="AU27" s="207"/>
      <c r="AV27" s="207"/>
      <c r="AW27" s="207"/>
      <c r="AX27" s="207"/>
      <c r="AY27" s="63"/>
      <c r="AZ27" s="64"/>
      <c r="BA27" s="58"/>
    </row>
    <row r="28" spans="2:69" ht="2.25" customHeight="1" thickBot="1" x14ac:dyDescent="0.3">
      <c r="B28" s="62"/>
      <c r="C28" s="63"/>
      <c r="D28" s="63"/>
      <c r="E28" s="63"/>
      <c r="F28" s="63"/>
      <c r="G28" s="63"/>
      <c r="H28" s="157"/>
      <c r="I28" s="157"/>
      <c r="J28" s="157"/>
      <c r="K28" s="157"/>
      <c r="L28" s="157"/>
      <c r="M28" s="157"/>
      <c r="N28" s="157"/>
      <c r="O28" s="157"/>
      <c r="P28" s="157"/>
      <c r="Q28" s="157"/>
      <c r="R28" s="157"/>
      <c r="S28" s="157"/>
      <c r="T28" s="157"/>
      <c r="U28" s="157"/>
      <c r="V28" s="157"/>
      <c r="W28" s="157"/>
      <c r="X28" s="157"/>
      <c r="Y28" s="157"/>
      <c r="Z28" s="157"/>
      <c r="AA28" s="74"/>
      <c r="AB28" s="75"/>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4"/>
      <c r="BA28" s="58"/>
    </row>
    <row r="29" spans="2:69" ht="14.25" thickBot="1" x14ac:dyDescent="0.3">
      <c r="B29" s="169" t="s">
        <v>106</v>
      </c>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1"/>
    </row>
    <row r="30" spans="2:69" ht="13.5" x14ac:dyDescent="0.25">
      <c r="B30" s="172" t="s">
        <v>14</v>
      </c>
      <c r="C30" s="173"/>
      <c r="D30" s="173"/>
      <c r="E30" s="173"/>
      <c r="F30" s="173"/>
      <c r="G30" s="173"/>
      <c r="H30" s="173"/>
      <c r="I30" s="173"/>
      <c r="J30" s="173"/>
      <c r="K30" s="173"/>
      <c r="L30" s="173"/>
      <c r="M30" s="173"/>
      <c r="N30" s="173"/>
      <c r="O30" s="173"/>
      <c r="P30" s="174"/>
      <c r="Q30" s="175" t="s">
        <v>15</v>
      </c>
      <c r="R30" s="173"/>
      <c r="S30" s="173"/>
      <c r="T30" s="173"/>
      <c r="U30" s="173"/>
      <c r="V30" s="173"/>
      <c r="W30" s="173"/>
      <c r="X30" s="173"/>
      <c r="Y30" s="173"/>
      <c r="Z30" s="173"/>
      <c r="AA30" s="174"/>
      <c r="AB30" s="175" t="s">
        <v>17</v>
      </c>
      <c r="AC30" s="173"/>
      <c r="AD30" s="173"/>
      <c r="AE30" s="173"/>
      <c r="AF30" s="173"/>
      <c r="AG30" s="173"/>
      <c r="AH30" s="173"/>
      <c r="AI30" s="173"/>
      <c r="AJ30" s="173"/>
      <c r="AK30" s="173"/>
      <c r="AL30" s="173"/>
      <c r="AM30" s="173"/>
      <c r="AN30" s="174"/>
      <c r="AO30" s="175" t="s">
        <v>16</v>
      </c>
      <c r="AP30" s="173"/>
      <c r="AQ30" s="173"/>
      <c r="AR30" s="173"/>
      <c r="AS30" s="173"/>
      <c r="AT30" s="173"/>
      <c r="AU30" s="173"/>
      <c r="AV30" s="173"/>
      <c r="AW30" s="173"/>
      <c r="AX30" s="173"/>
      <c r="AY30" s="173"/>
      <c r="AZ30" s="199"/>
    </row>
    <row r="31" spans="2:69" ht="13.5" x14ac:dyDescent="0.25">
      <c r="B31" s="183" t="s">
        <v>194</v>
      </c>
      <c r="C31" s="184"/>
      <c r="D31" s="184"/>
      <c r="E31" s="184"/>
      <c r="F31" s="184"/>
      <c r="G31" s="184"/>
      <c r="H31" s="184"/>
      <c r="I31" s="184"/>
      <c r="J31" s="184"/>
      <c r="K31" s="184"/>
      <c r="L31" s="184"/>
      <c r="M31" s="184"/>
      <c r="N31" s="184"/>
      <c r="O31" s="184"/>
      <c r="P31" s="185"/>
      <c r="Q31" s="186">
        <v>8100021</v>
      </c>
      <c r="R31" s="184"/>
      <c r="S31" s="184"/>
      <c r="T31" s="184"/>
      <c r="U31" s="184"/>
      <c r="V31" s="184"/>
      <c r="W31" s="184"/>
      <c r="X31" s="184"/>
      <c r="Y31" s="184"/>
      <c r="Z31" s="184"/>
      <c r="AA31" s="185"/>
      <c r="AB31" s="216" t="s">
        <v>195</v>
      </c>
      <c r="AC31" s="217"/>
      <c r="AD31" s="217"/>
      <c r="AE31" s="217"/>
      <c r="AF31" s="217"/>
      <c r="AG31" s="217"/>
      <c r="AH31" s="217"/>
      <c r="AI31" s="217"/>
      <c r="AJ31" s="217"/>
      <c r="AK31" s="217"/>
      <c r="AL31" s="217"/>
      <c r="AM31" s="217"/>
      <c r="AN31" s="218"/>
      <c r="AO31" s="219"/>
      <c r="AP31" s="220"/>
      <c r="AQ31" s="220"/>
      <c r="AR31" s="220"/>
      <c r="AS31" s="220"/>
      <c r="AT31" s="220"/>
      <c r="AU31" s="220"/>
      <c r="AV31" s="220"/>
      <c r="AW31" s="220"/>
      <c r="AX31" s="220"/>
      <c r="AY31" s="220"/>
      <c r="AZ31" s="221"/>
    </row>
    <row r="32" spans="2:69" ht="14.25" thickBot="1" x14ac:dyDescent="0.3">
      <c r="B32" s="208"/>
      <c r="C32" s="209"/>
      <c r="D32" s="209"/>
      <c r="E32" s="209"/>
      <c r="F32" s="209"/>
      <c r="G32" s="209"/>
      <c r="H32" s="209"/>
      <c r="I32" s="209"/>
      <c r="J32" s="209"/>
      <c r="K32" s="209"/>
      <c r="L32" s="209"/>
      <c r="M32" s="209"/>
      <c r="N32" s="209"/>
      <c r="O32" s="209"/>
      <c r="P32" s="210"/>
      <c r="Q32" s="211"/>
      <c r="R32" s="209"/>
      <c r="S32" s="209"/>
      <c r="T32" s="209"/>
      <c r="U32" s="209"/>
      <c r="V32" s="209"/>
      <c r="W32" s="209"/>
      <c r="X32" s="209"/>
      <c r="Y32" s="209"/>
      <c r="Z32" s="209"/>
      <c r="AA32" s="210"/>
      <c r="AB32" s="211"/>
      <c r="AC32" s="209"/>
      <c r="AD32" s="209"/>
      <c r="AE32" s="209"/>
      <c r="AF32" s="209"/>
      <c r="AG32" s="209"/>
      <c r="AH32" s="209"/>
      <c r="AI32" s="209"/>
      <c r="AJ32" s="209"/>
      <c r="AK32" s="209"/>
      <c r="AL32" s="209"/>
      <c r="AM32" s="209"/>
      <c r="AN32" s="210"/>
      <c r="AO32" s="211"/>
      <c r="AP32" s="209"/>
      <c r="AQ32" s="209"/>
      <c r="AR32" s="209"/>
      <c r="AS32" s="209"/>
      <c r="AT32" s="209"/>
      <c r="AU32" s="209"/>
      <c r="AV32" s="209"/>
      <c r="AW32" s="209"/>
      <c r="AX32" s="209"/>
      <c r="AY32" s="209"/>
      <c r="AZ32" s="212"/>
    </row>
    <row r="33" spans="2:52" ht="14.25" thickBot="1" x14ac:dyDescent="0.3">
      <c r="B33" s="169" t="s">
        <v>64</v>
      </c>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1"/>
    </row>
    <row r="34" spans="2:52" ht="13.5" x14ac:dyDescent="0.25">
      <c r="B34" s="172" t="s">
        <v>14</v>
      </c>
      <c r="C34" s="173"/>
      <c r="D34" s="173"/>
      <c r="E34" s="173"/>
      <c r="F34" s="173"/>
      <c r="G34" s="173"/>
      <c r="H34" s="173"/>
      <c r="I34" s="173"/>
      <c r="J34" s="173"/>
      <c r="K34" s="173"/>
      <c r="L34" s="173"/>
      <c r="M34" s="173"/>
      <c r="N34" s="173"/>
      <c r="O34" s="173"/>
      <c r="P34" s="174"/>
      <c r="Q34" s="175" t="s">
        <v>15</v>
      </c>
      <c r="R34" s="173"/>
      <c r="S34" s="173"/>
      <c r="T34" s="173"/>
      <c r="U34" s="173"/>
      <c r="V34" s="173"/>
      <c r="W34" s="173"/>
      <c r="X34" s="173"/>
      <c r="Y34" s="173"/>
      <c r="Z34" s="173"/>
      <c r="AA34" s="174"/>
      <c r="AB34" s="175" t="s">
        <v>161</v>
      </c>
      <c r="AC34" s="173"/>
      <c r="AD34" s="173"/>
      <c r="AE34" s="173"/>
      <c r="AF34" s="173"/>
      <c r="AG34" s="173"/>
      <c r="AH34" s="173"/>
      <c r="AI34" s="173"/>
      <c r="AJ34" s="173"/>
      <c r="AK34" s="173"/>
      <c r="AL34" s="173"/>
      <c r="AM34" s="173"/>
      <c r="AN34" s="174"/>
      <c r="AO34" s="175" t="s">
        <v>21</v>
      </c>
      <c r="AP34" s="173"/>
      <c r="AQ34" s="173"/>
      <c r="AR34" s="173"/>
      <c r="AS34" s="173"/>
      <c r="AT34" s="173"/>
      <c r="AU34" s="173"/>
      <c r="AV34" s="173"/>
      <c r="AW34" s="173"/>
      <c r="AX34" s="173"/>
      <c r="AY34" s="173"/>
      <c r="AZ34" s="199"/>
    </row>
    <row r="35" spans="2:52" ht="13.5" x14ac:dyDescent="0.25">
      <c r="B35" s="183" t="s">
        <v>164</v>
      </c>
      <c r="C35" s="184"/>
      <c r="D35" s="184"/>
      <c r="E35" s="184"/>
      <c r="F35" s="184"/>
      <c r="G35" s="184"/>
      <c r="H35" s="184"/>
      <c r="I35" s="184"/>
      <c r="J35" s="184"/>
      <c r="K35" s="184"/>
      <c r="L35" s="184"/>
      <c r="M35" s="184"/>
      <c r="N35" s="184"/>
      <c r="O35" s="184"/>
      <c r="P35" s="185"/>
      <c r="Q35" s="186" t="s">
        <v>164</v>
      </c>
      <c r="R35" s="184"/>
      <c r="S35" s="184"/>
      <c r="T35" s="184"/>
      <c r="U35" s="184"/>
      <c r="V35" s="184"/>
      <c r="W35" s="184"/>
      <c r="X35" s="184"/>
      <c r="Y35" s="184"/>
      <c r="Z35" s="184"/>
      <c r="AA35" s="185"/>
      <c r="AB35" s="186" t="s">
        <v>164</v>
      </c>
      <c r="AC35" s="184"/>
      <c r="AD35" s="184"/>
      <c r="AE35" s="184"/>
      <c r="AF35" s="184"/>
      <c r="AG35" s="184"/>
      <c r="AH35" s="184"/>
      <c r="AI35" s="184"/>
      <c r="AJ35" s="184"/>
      <c r="AK35" s="184"/>
      <c r="AL35" s="184"/>
      <c r="AM35" s="184"/>
      <c r="AN35" s="185"/>
      <c r="AO35" s="186" t="s">
        <v>164</v>
      </c>
      <c r="AP35" s="184"/>
      <c r="AQ35" s="184"/>
      <c r="AR35" s="184"/>
      <c r="AS35" s="184"/>
      <c r="AT35" s="184"/>
      <c r="AU35" s="184"/>
      <c r="AV35" s="184"/>
      <c r="AW35" s="184"/>
      <c r="AX35" s="184"/>
      <c r="AY35" s="184"/>
      <c r="AZ35" s="233"/>
    </row>
    <row r="36" spans="2:52" ht="14.25" thickBot="1" x14ac:dyDescent="0.3">
      <c r="B36" s="208"/>
      <c r="C36" s="209"/>
      <c r="D36" s="209"/>
      <c r="E36" s="209"/>
      <c r="F36" s="209"/>
      <c r="G36" s="209"/>
      <c r="H36" s="209"/>
      <c r="I36" s="209"/>
      <c r="J36" s="209"/>
      <c r="K36" s="209"/>
      <c r="L36" s="209"/>
      <c r="M36" s="209"/>
      <c r="N36" s="209"/>
      <c r="O36" s="209"/>
      <c r="P36" s="210"/>
      <c r="Q36" s="211"/>
      <c r="R36" s="209"/>
      <c r="S36" s="209"/>
      <c r="T36" s="209"/>
      <c r="U36" s="209"/>
      <c r="V36" s="209"/>
      <c r="W36" s="209"/>
      <c r="X36" s="209"/>
      <c r="Y36" s="209"/>
      <c r="Z36" s="209"/>
      <c r="AA36" s="210"/>
      <c r="AB36" s="211"/>
      <c r="AC36" s="209"/>
      <c r="AD36" s="209"/>
      <c r="AE36" s="209"/>
      <c r="AF36" s="209"/>
      <c r="AG36" s="209"/>
      <c r="AH36" s="209"/>
      <c r="AI36" s="209"/>
      <c r="AJ36" s="209"/>
      <c r="AK36" s="209"/>
      <c r="AL36" s="209"/>
      <c r="AM36" s="209"/>
      <c r="AN36" s="210"/>
      <c r="AO36" s="211"/>
      <c r="AP36" s="209"/>
      <c r="AQ36" s="209"/>
      <c r="AR36" s="209"/>
      <c r="AS36" s="209"/>
      <c r="AT36" s="209"/>
      <c r="AU36" s="209"/>
      <c r="AV36" s="209"/>
      <c r="AW36" s="209"/>
      <c r="AX36" s="209"/>
      <c r="AY36" s="209"/>
      <c r="AZ36" s="212"/>
    </row>
    <row r="37" spans="2:52" ht="15" customHeight="1" thickBot="1" x14ac:dyDescent="0.3">
      <c r="B37" s="169" t="s">
        <v>107</v>
      </c>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6"/>
      <c r="AB37" s="177" t="s">
        <v>108</v>
      </c>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1"/>
    </row>
    <row r="38" spans="2:52" ht="13.5" customHeight="1" x14ac:dyDescent="0.25">
      <c r="B38" s="62"/>
      <c r="C38" s="63"/>
      <c r="D38" s="63"/>
      <c r="E38" s="63"/>
      <c r="F38" s="71" t="s">
        <v>25</v>
      </c>
      <c r="G38" s="63"/>
      <c r="H38" s="63"/>
      <c r="I38" s="63"/>
      <c r="J38" s="63"/>
      <c r="K38" s="63"/>
      <c r="L38" s="63"/>
      <c r="M38" s="63"/>
      <c r="N38" s="63"/>
      <c r="O38" s="63" t="s">
        <v>65</v>
      </c>
      <c r="P38" s="63"/>
      <c r="Q38" s="63"/>
      <c r="R38" s="63"/>
      <c r="S38" s="63"/>
      <c r="T38" s="63"/>
      <c r="U38" s="63"/>
      <c r="V38" s="63"/>
      <c r="W38" s="63"/>
      <c r="X38" s="63"/>
      <c r="Y38" s="63"/>
      <c r="Z38" s="63"/>
      <c r="AA38" s="63"/>
      <c r="AB38" s="178" t="s">
        <v>168</v>
      </c>
      <c r="AC38" s="157"/>
      <c r="AD38" s="157"/>
      <c r="AE38" s="157"/>
      <c r="AF38" s="157"/>
      <c r="AG38" s="157"/>
      <c r="AH38" s="157"/>
      <c r="AI38" s="157"/>
      <c r="AJ38" s="157"/>
      <c r="AK38" s="157"/>
      <c r="AL38" s="157"/>
      <c r="AM38" s="157"/>
      <c r="AN38" s="157"/>
      <c r="AO38" s="157"/>
      <c r="AP38" s="157"/>
      <c r="AQ38" s="157"/>
      <c r="AR38" s="157"/>
      <c r="AS38" s="157"/>
      <c r="AT38" s="157"/>
      <c r="AU38" s="157"/>
      <c r="AV38" s="157"/>
      <c r="AW38" s="157"/>
      <c r="AX38" s="157"/>
      <c r="AY38" s="157"/>
      <c r="AZ38" s="179"/>
    </row>
    <row r="39" spans="2:52" ht="15.75" x14ac:dyDescent="0.25">
      <c r="B39" s="62"/>
      <c r="C39" s="63"/>
      <c r="D39" s="63"/>
      <c r="E39" s="63"/>
      <c r="F39" s="63"/>
      <c r="G39" s="63"/>
      <c r="H39" s="77" t="s">
        <v>66</v>
      </c>
      <c r="I39" s="180"/>
      <c r="J39" s="180"/>
      <c r="K39" s="63" t="s">
        <v>184</v>
      </c>
      <c r="L39" s="63"/>
      <c r="M39" s="63"/>
      <c r="N39" s="63"/>
      <c r="O39" s="63"/>
      <c r="P39" s="63"/>
      <c r="Q39" s="77" t="s">
        <v>66</v>
      </c>
      <c r="R39" s="180"/>
      <c r="S39" s="180"/>
      <c r="T39" s="63" t="s">
        <v>172</v>
      </c>
      <c r="U39" s="63"/>
      <c r="V39" s="63"/>
      <c r="W39" s="63"/>
      <c r="X39" s="63"/>
      <c r="Y39" s="63"/>
      <c r="Z39" s="63"/>
      <c r="AA39" s="63"/>
      <c r="AB39" s="178"/>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79"/>
    </row>
    <row r="40" spans="2:52" ht="15.75" customHeight="1" x14ac:dyDescent="0.25">
      <c r="B40" s="62"/>
      <c r="C40" s="63"/>
      <c r="D40" s="63"/>
      <c r="E40" s="63"/>
      <c r="F40" s="63"/>
      <c r="G40" s="63"/>
      <c r="H40" s="77" t="s">
        <v>67</v>
      </c>
      <c r="I40" s="181"/>
      <c r="J40" s="181"/>
      <c r="K40" s="63" t="s">
        <v>184</v>
      </c>
      <c r="L40" s="63"/>
      <c r="M40" s="63"/>
      <c r="N40" s="63"/>
      <c r="O40" s="63"/>
      <c r="P40" s="63"/>
      <c r="Q40" s="77" t="s">
        <v>67</v>
      </c>
      <c r="R40" s="182"/>
      <c r="S40" s="182"/>
      <c r="T40" s="63" t="s">
        <v>172</v>
      </c>
      <c r="U40" s="63"/>
      <c r="V40" s="63"/>
      <c r="W40" s="63"/>
      <c r="X40" s="63"/>
      <c r="Y40" s="63"/>
      <c r="Z40" s="63"/>
      <c r="AA40" s="63"/>
      <c r="AB40" s="178"/>
      <c r="AC40" s="157"/>
      <c r="AD40" s="157"/>
      <c r="AE40" s="157"/>
      <c r="AF40" s="157"/>
      <c r="AG40" s="157"/>
      <c r="AH40" s="157"/>
      <c r="AI40" s="157"/>
      <c r="AJ40" s="157"/>
      <c r="AK40" s="157"/>
      <c r="AL40" s="157"/>
      <c r="AM40" s="157"/>
      <c r="AN40" s="157"/>
      <c r="AO40" s="157"/>
      <c r="AP40" s="157"/>
      <c r="AQ40" s="157"/>
      <c r="AR40" s="157"/>
      <c r="AS40" s="157"/>
      <c r="AT40" s="157"/>
      <c r="AU40" s="157"/>
      <c r="AV40" s="157"/>
      <c r="AW40" s="157"/>
      <c r="AX40" s="157"/>
      <c r="AY40" s="157"/>
      <c r="AZ40" s="179"/>
    </row>
    <row r="41" spans="2:52" ht="3.75" customHeight="1" thickBot="1" x14ac:dyDescent="0.3">
      <c r="B41" s="62"/>
      <c r="C41" s="63"/>
      <c r="D41" s="63"/>
      <c r="E41" s="63"/>
      <c r="F41" s="63"/>
      <c r="G41" s="63"/>
      <c r="H41" s="63"/>
      <c r="I41" s="63"/>
      <c r="J41" s="63"/>
      <c r="K41" s="63"/>
      <c r="L41" s="63"/>
      <c r="M41" s="63"/>
      <c r="N41" s="63"/>
      <c r="O41" s="63"/>
      <c r="P41" s="63"/>
      <c r="Q41" s="63"/>
      <c r="R41" s="63"/>
      <c r="S41" s="63"/>
      <c r="T41" s="63"/>
      <c r="U41" s="63"/>
      <c r="V41" s="63"/>
      <c r="W41" s="63"/>
      <c r="X41" s="63"/>
      <c r="Y41" s="63"/>
      <c r="Z41" s="63"/>
      <c r="AA41" s="74"/>
      <c r="AB41" s="178"/>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79"/>
    </row>
    <row r="42" spans="2:52" ht="14.25" thickBot="1" x14ac:dyDescent="0.3">
      <c r="B42" s="104" t="s">
        <v>109</v>
      </c>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6"/>
    </row>
    <row r="43" spans="2:52" ht="13.5" x14ac:dyDescent="0.25">
      <c r="B43" s="62"/>
      <c r="C43" s="82"/>
      <c r="D43" s="103"/>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63"/>
      <c r="AU43" s="63" t="s">
        <v>110</v>
      </c>
      <c r="AV43" s="63"/>
      <c r="AW43" s="63"/>
      <c r="AX43" s="63"/>
      <c r="AY43" s="63"/>
      <c r="AZ43" s="64"/>
    </row>
    <row r="44" spans="2:52" ht="13.5" x14ac:dyDescent="0.25">
      <c r="B44" s="62"/>
      <c r="C44" s="78"/>
      <c r="D44" s="78"/>
      <c r="E44" s="79"/>
      <c r="F44" s="238"/>
      <c r="G44" s="238"/>
      <c r="H44" s="78"/>
      <c r="I44" s="78"/>
      <c r="J44" s="78"/>
      <c r="K44" s="78"/>
      <c r="L44" s="78"/>
      <c r="M44" s="78"/>
      <c r="N44" s="78"/>
      <c r="O44" s="78"/>
      <c r="P44" s="78"/>
      <c r="Q44" s="78"/>
      <c r="R44" s="79"/>
      <c r="S44" s="238"/>
      <c r="T44" s="23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63"/>
      <c r="AU44" s="80" t="s">
        <v>111</v>
      </c>
      <c r="AV44" s="63"/>
      <c r="AW44" s="63"/>
      <c r="AX44" s="63"/>
      <c r="AY44" s="63"/>
      <c r="AZ44" s="64"/>
    </row>
    <row r="45" spans="2:52" ht="13.5" x14ac:dyDescent="0.25">
      <c r="B45" s="62"/>
      <c r="C45" s="78"/>
      <c r="D45" s="78"/>
      <c r="E45" s="79"/>
      <c r="F45" s="238"/>
      <c r="G45" s="238"/>
      <c r="H45" s="78"/>
      <c r="I45" s="78"/>
      <c r="J45" s="78"/>
      <c r="K45" s="78"/>
      <c r="L45" s="78"/>
      <c r="M45" s="78"/>
      <c r="N45" s="78"/>
      <c r="O45" s="78"/>
      <c r="P45" s="78"/>
      <c r="Q45" s="78"/>
      <c r="R45" s="79"/>
      <c r="S45" s="238"/>
      <c r="T45" s="23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63"/>
      <c r="AU45" s="63"/>
      <c r="AV45" s="63"/>
      <c r="AW45" s="63"/>
      <c r="AX45" s="63" t="s">
        <v>112</v>
      </c>
      <c r="AY45" s="63"/>
      <c r="AZ45" s="64"/>
    </row>
    <row r="46" spans="2:52" ht="13.5" x14ac:dyDescent="0.25">
      <c r="B46" s="62"/>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3"/>
      <c r="AU46" s="63"/>
      <c r="AV46" s="63"/>
      <c r="AW46" s="81" t="s">
        <v>102</v>
      </c>
      <c r="AX46" s="63" t="s">
        <v>113</v>
      </c>
      <c r="AY46" s="63"/>
      <c r="AZ46" s="64"/>
    </row>
    <row r="47" spans="2:52" ht="3.75" customHeight="1" thickBot="1" x14ac:dyDescent="0.3">
      <c r="B47" s="62"/>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63"/>
      <c r="AU47" s="63"/>
      <c r="AV47" s="63"/>
      <c r="AW47" s="63"/>
      <c r="AX47" s="63"/>
      <c r="AY47" s="63"/>
      <c r="AZ47" s="64"/>
    </row>
    <row r="48" spans="2:52" ht="14.25" thickBot="1" x14ac:dyDescent="0.3">
      <c r="B48" s="234" t="s">
        <v>114</v>
      </c>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c r="AT48" s="235"/>
      <c r="AU48" s="235"/>
      <c r="AV48" s="235"/>
      <c r="AW48" s="235"/>
      <c r="AX48" s="235"/>
      <c r="AY48" s="235"/>
      <c r="AZ48" s="236"/>
    </row>
    <row r="49" spans="2:143" ht="13.5" x14ac:dyDescent="0.25">
      <c r="B49" s="84"/>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86"/>
    </row>
    <row r="50" spans="2:143" ht="13.5" customHeight="1" x14ac:dyDescent="0.25">
      <c r="B50" s="84"/>
      <c r="C50" s="69"/>
      <c r="D50" s="63"/>
      <c r="E50" s="69"/>
      <c r="F50" s="85" t="s">
        <v>132</v>
      </c>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86"/>
      <c r="BY50" s="196" t="s">
        <v>72</v>
      </c>
      <c r="BZ50" s="196"/>
      <c r="CA50" s="196"/>
      <c r="CB50" s="196"/>
      <c r="CC50" s="196"/>
      <c r="CD50" s="196"/>
      <c r="CE50" s="196"/>
      <c r="CF50" s="196"/>
      <c r="CG50" s="196"/>
      <c r="CH50" s="196"/>
      <c r="CI50" s="196"/>
      <c r="CJ50" s="196"/>
      <c r="CK50" s="16"/>
      <c r="CL50" s="196" t="s">
        <v>173</v>
      </c>
      <c r="CM50" s="196"/>
      <c r="CN50" s="196"/>
      <c r="CO50" s="196"/>
      <c r="CP50" s="196"/>
      <c r="CQ50" s="196"/>
      <c r="CR50" s="196"/>
      <c r="CS50" s="196"/>
      <c r="CT50" s="196"/>
      <c r="CU50" s="196"/>
      <c r="CV50" s="196"/>
      <c r="CW50" s="196"/>
      <c r="CX50" s="16"/>
      <c r="CY50" s="196" t="s">
        <v>34</v>
      </c>
      <c r="CZ50" s="196"/>
      <c r="DA50" s="196"/>
      <c r="DB50" s="196"/>
      <c r="DC50" s="196"/>
      <c r="DD50" s="196"/>
      <c r="DE50" s="196"/>
      <c r="DF50" s="196"/>
      <c r="DG50" s="196"/>
      <c r="DH50" s="196"/>
      <c r="DI50" s="196"/>
      <c r="DJ50" s="196"/>
      <c r="DK50" s="196"/>
      <c r="DL50" s="16"/>
      <c r="DM50" s="196" t="s">
        <v>57</v>
      </c>
      <c r="DN50" s="196"/>
      <c r="DO50" s="196"/>
      <c r="DP50" s="196"/>
      <c r="DQ50" s="196"/>
      <c r="DR50" s="196"/>
      <c r="DS50" s="196"/>
      <c r="DT50" s="196"/>
      <c r="DU50" s="196"/>
      <c r="DV50" s="196"/>
      <c r="DW50" s="196"/>
      <c r="DX50" s="196"/>
      <c r="DY50" s="196"/>
      <c r="DZ50" s="196"/>
      <c r="EB50" s="196" t="s">
        <v>60</v>
      </c>
      <c r="EC50" s="196"/>
      <c r="ED50" s="196"/>
      <c r="EE50" s="196"/>
      <c r="EF50" s="196"/>
      <c r="EG50" s="196"/>
      <c r="EH50" s="196"/>
      <c r="EJ50" s="276" t="s">
        <v>188</v>
      </c>
      <c r="EK50" s="277"/>
      <c r="EL50" s="276" t="s">
        <v>189</v>
      </c>
      <c r="EM50" s="277"/>
    </row>
    <row r="51" spans="2:143" ht="13.5" customHeight="1" x14ac:dyDescent="0.25">
      <c r="B51" s="84"/>
      <c r="C51" s="69"/>
      <c r="D51" s="63"/>
      <c r="E51" s="63"/>
      <c r="F51" s="164" t="s">
        <v>74</v>
      </c>
      <c r="G51" s="164"/>
      <c r="H51" s="164"/>
      <c r="I51" s="164"/>
      <c r="J51" s="164"/>
      <c r="K51" s="164"/>
      <c r="L51" s="164" t="s">
        <v>83</v>
      </c>
      <c r="M51" s="164"/>
      <c r="N51" s="164"/>
      <c r="O51" s="164"/>
      <c r="P51" s="164"/>
      <c r="Q51" s="164"/>
      <c r="R51" s="164"/>
      <c r="S51" s="164" t="s">
        <v>116</v>
      </c>
      <c r="T51" s="164"/>
      <c r="U51" s="164"/>
      <c r="V51" s="164"/>
      <c r="W51" s="164"/>
      <c r="X51" s="164"/>
      <c r="Y51" s="164"/>
      <c r="Z51" s="164"/>
      <c r="AA51" s="164"/>
      <c r="AB51" s="164"/>
      <c r="AC51" s="164"/>
      <c r="AD51" s="164"/>
      <c r="AE51" s="164"/>
      <c r="AF51" s="164"/>
      <c r="AG51" s="164"/>
      <c r="AH51" s="164" t="s">
        <v>128</v>
      </c>
      <c r="AI51" s="164"/>
      <c r="AJ51" s="164"/>
      <c r="AK51" s="164"/>
      <c r="AL51" s="164"/>
      <c r="AM51" s="164" t="s">
        <v>85</v>
      </c>
      <c r="AN51" s="164"/>
      <c r="AO51" s="164"/>
      <c r="AP51" s="164"/>
      <c r="AQ51" s="164"/>
      <c r="AR51" s="87"/>
      <c r="AS51" s="87"/>
      <c r="AT51" s="87"/>
      <c r="AU51" s="87"/>
      <c r="AV51" s="87"/>
      <c r="AW51" s="69"/>
      <c r="AX51" s="69"/>
      <c r="AY51" s="69"/>
      <c r="AZ51" s="86"/>
      <c r="BC51" s="198" t="s">
        <v>155</v>
      </c>
      <c r="BD51" s="198"/>
      <c r="BE51" s="198"/>
      <c r="BF51" s="198"/>
      <c r="BG51" s="198"/>
      <c r="BH51" s="198" t="s">
        <v>120</v>
      </c>
      <c r="BI51" s="198"/>
      <c r="BJ51" s="198"/>
      <c r="BK51" s="198"/>
      <c r="BL51" s="198"/>
      <c r="BM51" s="198" t="s">
        <v>121</v>
      </c>
      <c r="BN51" s="198"/>
      <c r="BO51" s="198"/>
      <c r="BP51" s="198"/>
      <c r="BQ51" s="198"/>
      <c r="BR51" s="198" t="s">
        <v>119</v>
      </c>
      <c r="BS51" s="198"/>
      <c r="BT51" s="198"/>
      <c r="BU51" s="198"/>
      <c r="BV51" s="198"/>
      <c r="BY51" s="195" t="s">
        <v>28</v>
      </c>
      <c r="BZ51" s="195" t="s">
        <v>29</v>
      </c>
      <c r="CA51" s="195" t="s">
        <v>30</v>
      </c>
      <c r="CB51" s="2" t="s">
        <v>31</v>
      </c>
      <c r="CC51" s="195" t="s">
        <v>32</v>
      </c>
      <c r="CD51" s="195" t="s">
        <v>33</v>
      </c>
      <c r="CE51" s="195" t="s">
        <v>51</v>
      </c>
      <c r="CF51" s="195" t="s">
        <v>52</v>
      </c>
      <c r="CG51" s="195" t="s">
        <v>53</v>
      </c>
      <c r="CH51" s="195" t="s">
        <v>54</v>
      </c>
      <c r="CI51" s="195" t="s">
        <v>55</v>
      </c>
      <c r="CJ51" s="195" t="s">
        <v>56</v>
      </c>
      <c r="CK51" s="17"/>
      <c r="CL51" s="195" t="s">
        <v>28</v>
      </c>
      <c r="CM51" s="195" t="s">
        <v>29</v>
      </c>
      <c r="CN51" s="195" t="s">
        <v>30</v>
      </c>
      <c r="CO51" s="2" t="s">
        <v>31</v>
      </c>
      <c r="CP51" s="195" t="s">
        <v>32</v>
      </c>
      <c r="CQ51" s="195" t="s">
        <v>33</v>
      </c>
      <c r="CR51" s="195" t="s">
        <v>51</v>
      </c>
      <c r="CS51" s="195" t="s">
        <v>52</v>
      </c>
      <c r="CT51" s="195" t="s">
        <v>53</v>
      </c>
      <c r="CU51" s="195" t="s">
        <v>54</v>
      </c>
      <c r="CV51" s="195" t="s">
        <v>55</v>
      </c>
      <c r="CW51" s="195" t="s">
        <v>56</v>
      </c>
      <c r="CX51" s="17"/>
      <c r="CY51" s="195" t="s">
        <v>34</v>
      </c>
      <c r="CZ51" s="195" t="s">
        <v>28</v>
      </c>
      <c r="DA51" s="195" t="s">
        <v>29</v>
      </c>
      <c r="DB51" s="195" t="s">
        <v>30</v>
      </c>
      <c r="DC51" s="2" t="s">
        <v>31</v>
      </c>
      <c r="DD51" s="195" t="s">
        <v>32</v>
      </c>
      <c r="DE51" s="195" t="s">
        <v>33</v>
      </c>
      <c r="DF51" s="195" t="s">
        <v>51</v>
      </c>
      <c r="DG51" s="195" t="s">
        <v>52</v>
      </c>
      <c r="DH51" s="195" t="s">
        <v>53</v>
      </c>
      <c r="DI51" s="195" t="s">
        <v>54</v>
      </c>
      <c r="DJ51" s="195" t="s">
        <v>55</v>
      </c>
      <c r="DK51" s="195" t="s">
        <v>56</v>
      </c>
      <c r="DL51" s="17"/>
      <c r="DM51" s="195" t="s">
        <v>35</v>
      </c>
      <c r="DN51" s="200" t="s">
        <v>36</v>
      </c>
      <c r="DO51" s="195" t="s">
        <v>28</v>
      </c>
      <c r="DP51" s="195" t="s">
        <v>29</v>
      </c>
      <c r="DQ51" s="195" t="s">
        <v>30</v>
      </c>
      <c r="DR51" s="2" t="s">
        <v>31</v>
      </c>
      <c r="DS51" s="195" t="s">
        <v>32</v>
      </c>
      <c r="DT51" s="195" t="s">
        <v>33</v>
      </c>
      <c r="DU51" s="195" t="s">
        <v>51</v>
      </c>
      <c r="DV51" s="195" t="s">
        <v>52</v>
      </c>
      <c r="DW51" s="195" t="s">
        <v>53</v>
      </c>
      <c r="DX51" s="195" t="s">
        <v>54</v>
      </c>
      <c r="DY51" s="195" t="s">
        <v>55</v>
      </c>
      <c r="DZ51" s="195" t="s">
        <v>56</v>
      </c>
      <c r="EA51" s="3"/>
      <c r="EB51" s="54" t="s">
        <v>58</v>
      </c>
      <c r="EC51" s="54" t="s">
        <v>37</v>
      </c>
      <c r="ED51" s="54" t="s">
        <v>38</v>
      </c>
      <c r="EE51" s="4" t="s">
        <v>39</v>
      </c>
      <c r="EF51" s="54" t="s">
        <v>61</v>
      </c>
      <c r="EG51" s="195" t="s">
        <v>40</v>
      </c>
      <c r="EH51" s="195"/>
      <c r="EJ51" s="278"/>
      <c r="EK51" s="279"/>
      <c r="EL51" s="278"/>
      <c r="EM51" s="279"/>
    </row>
    <row r="52" spans="2:143" ht="13.5" x14ac:dyDescent="0.25">
      <c r="B52" s="84"/>
      <c r="C52" s="69"/>
      <c r="D52" s="63"/>
      <c r="E52" s="63"/>
      <c r="F52" s="164"/>
      <c r="G52" s="164"/>
      <c r="H52" s="164"/>
      <c r="I52" s="164"/>
      <c r="J52" s="164"/>
      <c r="K52" s="164"/>
      <c r="L52" s="164"/>
      <c r="M52" s="164"/>
      <c r="N52" s="164"/>
      <c r="O52" s="164"/>
      <c r="P52" s="164"/>
      <c r="Q52" s="164"/>
      <c r="R52" s="164"/>
      <c r="S52" s="164">
        <v>1</v>
      </c>
      <c r="T52" s="164"/>
      <c r="U52" s="164"/>
      <c r="V52" s="164"/>
      <c r="W52" s="164"/>
      <c r="X52" s="164">
        <v>2</v>
      </c>
      <c r="Y52" s="164"/>
      <c r="Z52" s="164"/>
      <c r="AA52" s="164"/>
      <c r="AB52" s="164"/>
      <c r="AC52" s="164">
        <v>3</v>
      </c>
      <c r="AD52" s="164"/>
      <c r="AE52" s="164"/>
      <c r="AF52" s="164"/>
      <c r="AG52" s="164"/>
      <c r="AH52" s="164"/>
      <c r="AI52" s="164"/>
      <c r="AJ52" s="164"/>
      <c r="AK52" s="164"/>
      <c r="AL52" s="164"/>
      <c r="AM52" s="164"/>
      <c r="AN52" s="164"/>
      <c r="AO52" s="164"/>
      <c r="AP52" s="164"/>
      <c r="AQ52" s="164"/>
      <c r="AR52" s="87"/>
      <c r="AS52" s="87"/>
      <c r="AT52" s="87"/>
      <c r="AU52" s="87"/>
      <c r="AV52" s="87"/>
      <c r="AW52" s="69"/>
      <c r="AX52" s="69"/>
      <c r="AY52" s="69"/>
      <c r="AZ52" s="86"/>
      <c r="BC52" s="198"/>
      <c r="BD52" s="198"/>
      <c r="BE52" s="198"/>
      <c r="BF52" s="198"/>
      <c r="BG52" s="198"/>
      <c r="BH52" s="198"/>
      <c r="BI52" s="198"/>
      <c r="BJ52" s="198"/>
      <c r="BK52" s="198"/>
      <c r="BL52" s="198"/>
      <c r="BM52" s="198"/>
      <c r="BN52" s="198"/>
      <c r="BO52" s="198"/>
      <c r="BP52" s="198"/>
      <c r="BQ52" s="198"/>
      <c r="BR52" s="198"/>
      <c r="BS52" s="198"/>
      <c r="BT52" s="198"/>
      <c r="BU52" s="198"/>
      <c r="BV52" s="198"/>
      <c r="BY52" s="195"/>
      <c r="BZ52" s="195"/>
      <c r="CA52" s="195"/>
      <c r="CB52" s="54" t="s">
        <v>41</v>
      </c>
      <c r="CC52" s="195"/>
      <c r="CD52" s="195"/>
      <c r="CE52" s="195"/>
      <c r="CF52" s="195"/>
      <c r="CG52" s="195"/>
      <c r="CH52" s="195"/>
      <c r="CI52" s="195"/>
      <c r="CJ52" s="195"/>
      <c r="CK52" s="17"/>
      <c r="CL52" s="195"/>
      <c r="CM52" s="195"/>
      <c r="CN52" s="195"/>
      <c r="CO52" s="54" t="s">
        <v>41</v>
      </c>
      <c r="CP52" s="195"/>
      <c r="CQ52" s="195"/>
      <c r="CR52" s="195"/>
      <c r="CS52" s="195"/>
      <c r="CT52" s="195"/>
      <c r="CU52" s="195"/>
      <c r="CV52" s="195"/>
      <c r="CW52" s="195"/>
      <c r="CX52" s="17"/>
      <c r="CY52" s="195"/>
      <c r="CZ52" s="195"/>
      <c r="DA52" s="195"/>
      <c r="DB52" s="195"/>
      <c r="DC52" s="54" t="s">
        <v>41</v>
      </c>
      <c r="DD52" s="195"/>
      <c r="DE52" s="195"/>
      <c r="DF52" s="195"/>
      <c r="DG52" s="195"/>
      <c r="DH52" s="195"/>
      <c r="DI52" s="195"/>
      <c r="DJ52" s="195"/>
      <c r="DK52" s="195"/>
      <c r="DL52" s="17"/>
      <c r="DM52" s="195"/>
      <c r="DN52" s="200"/>
      <c r="DO52" s="195"/>
      <c r="DP52" s="195"/>
      <c r="DQ52" s="195"/>
      <c r="DR52" s="54" t="s">
        <v>41</v>
      </c>
      <c r="DS52" s="195"/>
      <c r="DT52" s="195"/>
      <c r="DU52" s="195"/>
      <c r="DV52" s="195"/>
      <c r="DW52" s="195"/>
      <c r="DX52" s="195"/>
      <c r="DY52" s="195"/>
      <c r="DZ52" s="195"/>
      <c r="EA52" s="3"/>
      <c r="EB52" s="54" t="s">
        <v>54</v>
      </c>
      <c r="EC52" s="54" t="s">
        <v>59</v>
      </c>
      <c r="ED52" s="54" t="s">
        <v>42</v>
      </c>
      <c r="EE52" s="4" t="s">
        <v>43</v>
      </c>
      <c r="EF52" s="54" t="s">
        <v>44</v>
      </c>
      <c r="EG52" s="195" t="s">
        <v>45</v>
      </c>
      <c r="EH52" s="195"/>
      <c r="EJ52" s="280"/>
      <c r="EK52" s="281"/>
      <c r="EL52" s="280"/>
      <c r="EM52" s="281"/>
    </row>
    <row r="53" spans="2:143" ht="13.5" x14ac:dyDescent="0.25">
      <c r="B53" s="84"/>
      <c r="C53" s="69"/>
      <c r="D53" s="69"/>
      <c r="E53" s="69"/>
      <c r="F53" s="153" t="s">
        <v>133</v>
      </c>
      <c r="G53" s="153"/>
      <c r="H53" s="153"/>
      <c r="I53" s="153"/>
      <c r="J53" s="153"/>
      <c r="K53" s="153"/>
      <c r="L53" s="154">
        <v>0</v>
      </c>
      <c r="M53" s="155"/>
      <c r="N53" s="155"/>
      <c r="O53" s="155"/>
      <c r="P53" s="161" t="s">
        <v>78</v>
      </c>
      <c r="Q53" s="161"/>
      <c r="R53" s="162"/>
      <c r="S53" s="190"/>
      <c r="T53" s="190"/>
      <c r="U53" s="190"/>
      <c r="V53" s="190"/>
      <c r="W53" s="190"/>
      <c r="X53" s="190"/>
      <c r="Y53" s="190"/>
      <c r="Z53" s="190"/>
      <c r="AA53" s="190"/>
      <c r="AB53" s="190"/>
      <c r="AC53" s="190"/>
      <c r="AD53" s="190"/>
      <c r="AE53" s="190"/>
      <c r="AF53" s="190"/>
      <c r="AG53" s="190"/>
      <c r="AH53" s="187" t="e">
        <f>AVERAGE(S53:AG53)</f>
        <v>#DIV/0!</v>
      </c>
      <c r="AI53" s="188"/>
      <c r="AJ53" s="188"/>
      <c r="AK53" s="188"/>
      <c r="AL53" s="189"/>
      <c r="AM53" s="190" t="e">
        <f t="shared" ref="AM53:AM60" si="0">AH53-L53</f>
        <v>#DIV/0!</v>
      </c>
      <c r="AN53" s="194"/>
      <c r="AO53" s="194"/>
      <c r="AP53" s="194"/>
      <c r="AQ53" s="194"/>
      <c r="AR53" s="72"/>
      <c r="AS53" s="72"/>
      <c r="AT53" s="72"/>
      <c r="AU53" s="72"/>
      <c r="AV53" s="72"/>
      <c r="AW53" s="69"/>
      <c r="AX53" s="69"/>
      <c r="AY53" s="69"/>
      <c r="AZ53" s="86"/>
      <c r="BC53" s="191" t="e">
        <f>(AH53*0.9%)+(2+CY53)</f>
        <v>#DIV/0!</v>
      </c>
      <c r="BD53" s="191"/>
      <c r="BE53" s="191"/>
      <c r="BF53" s="191"/>
      <c r="BG53" s="191"/>
      <c r="BH53" s="191" t="e">
        <f t="shared" ref="BH53:BH60" si="1">L53+BC53</f>
        <v>#DIV/0!</v>
      </c>
      <c r="BI53" s="191"/>
      <c r="BJ53" s="191"/>
      <c r="BK53" s="191"/>
      <c r="BL53" s="191"/>
      <c r="BM53" s="191" t="e">
        <f t="shared" ref="BM53:BM60" si="2">L53-BC53</f>
        <v>#DIV/0!</v>
      </c>
      <c r="BN53" s="191"/>
      <c r="BO53" s="191"/>
      <c r="BP53" s="191"/>
      <c r="BQ53" s="191"/>
      <c r="BR53" s="197" t="e">
        <f t="shared" ref="BR53" si="3">IF(AND(AH53&lt;=BH53,AH53&gt;=BM53),"PASS","FAIL")</f>
        <v>#DIV/0!</v>
      </c>
      <c r="BS53" s="197"/>
      <c r="BT53" s="197"/>
      <c r="BU53" s="197"/>
      <c r="BV53" s="197"/>
      <c r="BY53" s="5" t="s">
        <v>46</v>
      </c>
      <c r="BZ53" s="5" t="s">
        <v>47</v>
      </c>
      <c r="CA53" s="5" t="s">
        <v>48</v>
      </c>
      <c r="CB53" s="8">
        <v>7.7000000000000001E-5</v>
      </c>
      <c r="CC53" s="6" t="str">
        <f t="shared" ref="CC53:CC60" si="4">P53</f>
        <v>Ω</v>
      </c>
      <c r="CD53" s="5">
        <v>2</v>
      </c>
      <c r="CE53" s="7">
        <f t="shared" ref="CE53:CE60" si="5">CB53/CD53</f>
        <v>3.8500000000000001E-5</v>
      </c>
      <c r="CF53" s="5">
        <v>1</v>
      </c>
      <c r="CG53" s="7">
        <f t="shared" ref="CG53:CG60" si="6">CE53*CF53</f>
        <v>3.8500000000000001E-5</v>
      </c>
      <c r="CH53" s="7">
        <f t="shared" ref="CH53:CH60" si="7">CG53^2</f>
        <v>1.4822500000000001E-9</v>
      </c>
      <c r="CI53" s="5">
        <v>200</v>
      </c>
      <c r="CJ53" s="7">
        <f t="shared" ref="CJ53:CJ60" si="8">CG53^4/CI53</f>
        <v>1.0985325312500002E-20</v>
      </c>
      <c r="CK53" s="18"/>
      <c r="CL53" s="5" t="s">
        <v>174</v>
      </c>
      <c r="CM53" s="5" t="s">
        <v>49</v>
      </c>
      <c r="CN53" s="5" t="s">
        <v>48</v>
      </c>
      <c r="CO53" s="8">
        <v>0</v>
      </c>
      <c r="CP53" s="6" t="str">
        <f>CC53</f>
        <v>Ω</v>
      </c>
      <c r="CQ53" s="9">
        <f t="shared" ref="CQ53:CQ60" si="9">SQRT(3)</f>
        <v>1.7320508075688772</v>
      </c>
      <c r="CR53" s="7">
        <f t="shared" ref="CR53:CR60" si="10">CO53/CQ53</f>
        <v>0</v>
      </c>
      <c r="CS53" s="5">
        <v>1</v>
      </c>
      <c r="CT53" s="7">
        <f t="shared" ref="CT53:CT60" si="11">CR53*CS53</f>
        <v>0</v>
      </c>
      <c r="CU53" s="7">
        <f t="shared" ref="CU53:CU60" si="12">CT53^2</f>
        <v>0</v>
      </c>
      <c r="CV53" s="5">
        <v>200</v>
      </c>
      <c r="CW53" s="7">
        <f t="shared" ref="CW53:CW60" si="13">CT53^4/CV53</f>
        <v>0</v>
      </c>
      <c r="CX53" s="18"/>
      <c r="CY53" s="5">
        <v>0.1</v>
      </c>
      <c r="CZ53" s="5" t="s">
        <v>80</v>
      </c>
      <c r="DA53" s="5" t="s">
        <v>49</v>
      </c>
      <c r="DB53" s="5" t="s">
        <v>48</v>
      </c>
      <c r="DC53" s="8">
        <f t="shared" ref="DC53:DC60" si="14">CY53/2</f>
        <v>0.05</v>
      </c>
      <c r="DD53" s="6" t="str">
        <f t="shared" ref="DD53:DD60" si="15">P53</f>
        <v>Ω</v>
      </c>
      <c r="DE53" s="9">
        <f t="shared" ref="DE53:DE60" si="16">SQRT(3)</f>
        <v>1.7320508075688772</v>
      </c>
      <c r="DF53" s="7">
        <f t="shared" ref="DF53:DF60" si="17">DC53/DE53</f>
        <v>2.8867513459481291E-2</v>
      </c>
      <c r="DG53" s="5">
        <v>1</v>
      </c>
      <c r="DH53" s="7">
        <f t="shared" ref="DH53:DH60" si="18">DF53*DG53</f>
        <v>2.8867513459481291E-2</v>
      </c>
      <c r="DI53" s="7">
        <f t="shared" ref="DI53:DI60" si="19">DH53^2</f>
        <v>8.333333333333335E-4</v>
      </c>
      <c r="DJ53" s="5">
        <v>200</v>
      </c>
      <c r="DK53" s="7">
        <f t="shared" ref="DK53:DK60" si="20">DH53^4/DJ53</f>
        <v>3.4722222222222234E-9</v>
      </c>
      <c r="DL53" s="18"/>
      <c r="DM53" s="5">
        <v>3</v>
      </c>
      <c r="DN53" s="10" t="e">
        <f t="shared" ref="DN53:DN60" si="21">STDEV(S53:AG53)</f>
        <v>#DIV/0!</v>
      </c>
      <c r="DO53" s="5" t="s">
        <v>50</v>
      </c>
      <c r="DP53" s="5" t="s">
        <v>47</v>
      </c>
      <c r="DQ53" s="5" t="s">
        <v>27</v>
      </c>
      <c r="DR53" s="10" t="e">
        <f t="shared" ref="DR53:DR60" si="22">DN53</f>
        <v>#DIV/0!</v>
      </c>
      <c r="DS53" s="6" t="str">
        <f t="shared" ref="DS53:DS60" si="23">P53</f>
        <v>Ω</v>
      </c>
      <c r="DT53" s="9">
        <f t="shared" ref="DT53:DT60" si="24">SQRT(DM53)</f>
        <v>1.7320508075688772</v>
      </c>
      <c r="DU53" s="10" t="e">
        <f t="shared" ref="DU53:DU60" si="25">DR53/DT53</f>
        <v>#DIV/0!</v>
      </c>
      <c r="DV53" s="5">
        <v>1</v>
      </c>
      <c r="DW53" s="11" t="e">
        <f t="shared" ref="DW53:DW60" si="26">DU53*DV53</f>
        <v>#DIV/0!</v>
      </c>
      <c r="DX53" s="11" t="e">
        <f t="shared" ref="DX53:DX60" si="27">DW53^2</f>
        <v>#DIV/0!</v>
      </c>
      <c r="DY53" s="5">
        <v>2</v>
      </c>
      <c r="DZ53" s="12" t="e">
        <f t="shared" ref="DZ53:DZ60" si="28">DW53^4/DY53</f>
        <v>#DIV/0!</v>
      </c>
      <c r="EA53" s="13"/>
      <c r="EB53" s="7" t="e">
        <f t="shared" ref="EB53:EB60" si="29">CH53+DI53+DX53</f>
        <v>#DIV/0!</v>
      </c>
      <c r="EC53" s="7" t="e">
        <f t="shared" ref="EC53:EC60" si="30">CJ53+DK53+DZ53</f>
        <v>#DIV/0!</v>
      </c>
      <c r="ED53" s="7" t="e">
        <f t="shared" ref="ED53:ED60" si="31">SQRT(EB53)</f>
        <v>#DIV/0!</v>
      </c>
      <c r="EE53" s="8" t="e">
        <f t="shared" ref="EE53:EE60" si="32">(ED53^4)/EC53</f>
        <v>#DIV/0!</v>
      </c>
      <c r="EF53" s="14" t="e">
        <f t="shared" ref="EF53:EF60" si="33">ROUND(TINV(0.05,EE53),0)</f>
        <v>#DIV/0!</v>
      </c>
      <c r="EG53" s="33" t="e">
        <f>(ED53*EF53)</f>
        <v>#DIV/0!</v>
      </c>
      <c r="EH53" s="15" t="str">
        <f t="shared" ref="EH53:EH60" si="34">P53</f>
        <v>Ω</v>
      </c>
      <c r="EJ53" s="109">
        <v>7.7999999999999996E-3</v>
      </c>
      <c r="EK53" s="110" t="str">
        <f>EH53</f>
        <v>Ω</v>
      </c>
      <c r="EL53" s="111" t="e">
        <f>MAX(EJ53,EG53)</f>
        <v>#DIV/0!</v>
      </c>
      <c r="EM53" s="110" t="str">
        <f t="shared" ref="EM53" si="35">EK53</f>
        <v>Ω</v>
      </c>
    </row>
    <row r="54" spans="2:143" ht="13.5" x14ac:dyDescent="0.25">
      <c r="B54" s="84"/>
      <c r="C54" s="69"/>
      <c r="D54" s="69"/>
      <c r="E54" s="69"/>
      <c r="F54" s="153" t="s">
        <v>133</v>
      </c>
      <c r="G54" s="153"/>
      <c r="H54" s="153"/>
      <c r="I54" s="153"/>
      <c r="J54" s="153"/>
      <c r="K54" s="153"/>
      <c r="L54" s="154">
        <v>500</v>
      </c>
      <c r="M54" s="155"/>
      <c r="N54" s="155"/>
      <c r="O54" s="155"/>
      <c r="P54" s="161" t="s">
        <v>78</v>
      </c>
      <c r="Q54" s="161"/>
      <c r="R54" s="162"/>
      <c r="S54" s="190"/>
      <c r="T54" s="190"/>
      <c r="U54" s="190"/>
      <c r="V54" s="190"/>
      <c r="W54" s="190"/>
      <c r="X54" s="190"/>
      <c r="Y54" s="190"/>
      <c r="Z54" s="190"/>
      <c r="AA54" s="190"/>
      <c r="AB54" s="190"/>
      <c r="AC54" s="190"/>
      <c r="AD54" s="190"/>
      <c r="AE54" s="190"/>
      <c r="AF54" s="190"/>
      <c r="AG54" s="190"/>
      <c r="AH54" s="187" t="e">
        <f t="shared" ref="AH54:AH60" si="36">AVERAGE(S54:AG54)</f>
        <v>#DIV/0!</v>
      </c>
      <c r="AI54" s="188"/>
      <c r="AJ54" s="188"/>
      <c r="AK54" s="188"/>
      <c r="AL54" s="189"/>
      <c r="AM54" s="190" t="e">
        <f t="shared" si="0"/>
        <v>#DIV/0!</v>
      </c>
      <c r="AN54" s="194"/>
      <c r="AO54" s="194"/>
      <c r="AP54" s="194"/>
      <c r="AQ54" s="194"/>
      <c r="AR54" s="72"/>
      <c r="AS54" s="72"/>
      <c r="AT54" s="72"/>
      <c r="AU54" s="72"/>
      <c r="AV54" s="72"/>
      <c r="AW54" s="69"/>
      <c r="AX54" s="69"/>
      <c r="AY54" s="69"/>
      <c r="AZ54" s="86"/>
      <c r="BC54" s="191" t="e">
        <f>(AH54*0.9%)+(2+CY54)</f>
        <v>#DIV/0!</v>
      </c>
      <c r="BD54" s="191"/>
      <c r="BE54" s="191"/>
      <c r="BF54" s="191"/>
      <c r="BG54" s="191"/>
      <c r="BH54" s="191" t="e">
        <f t="shared" si="1"/>
        <v>#DIV/0!</v>
      </c>
      <c r="BI54" s="191"/>
      <c r="BJ54" s="191"/>
      <c r="BK54" s="191"/>
      <c r="BL54" s="191"/>
      <c r="BM54" s="191" t="e">
        <f t="shared" si="2"/>
        <v>#DIV/0!</v>
      </c>
      <c r="BN54" s="191"/>
      <c r="BO54" s="191"/>
      <c r="BP54" s="191"/>
      <c r="BQ54" s="191"/>
      <c r="BR54" s="197" t="e">
        <f t="shared" ref="BR54:BR60" si="37">IF(AND(AH54&lt;=BH54,AH54&gt;=BM54),"PASS","FAIL")</f>
        <v>#DIV/0!</v>
      </c>
      <c r="BS54" s="197"/>
      <c r="BT54" s="197"/>
      <c r="BU54" s="197"/>
      <c r="BV54" s="197"/>
      <c r="BY54" s="5" t="s">
        <v>46</v>
      </c>
      <c r="BZ54" s="5" t="s">
        <v>47</v>
      </c>
      <c r="CA54" s="5" t="s">
        <v>48</v>
      </c>
      <c r="CB54" s="108">
        <v>3.0000000000000001E-3</v>
      </c>
      <c r="CC54" s="6" t="str">
        <f t="shared" si="4"/>
        <v>Ω</v>
      </c>
      <c r="CD54" s="5">
        <v>2</v>
      </c>
      <c r="CE54" s="7">
        <f t="shared" si="5"/>
        <v>1.5E-3</v>
      </c>
      <c r="CF54" s="5">
        <v>1</v>
      </c>
      <c r="CG54" s="7">
        <f t="shared" si="6"/>
        <v>1.5E-3</v>
      </c>
      <c r="CH54" s="7">
        <f t="shared" si="7"/>
        <v>2.2500000000000001E-6</v>
      </c>
      <c r="CI54" s="5">
        <v>200</v>
      </c>
      <c r="CJ54" s="7">
        <f t="shared" si="8"/>
        <v>2.5312500000000003E-14</v>
      </c>
      <c r="CK54" s="18"/>
      <c r="CL54" s="5" t="s">
        <v>174</v>
      </c>
      <c r="CM54" s="5" t="s">
        <v>49</v>
      </c>
      <c r="CN54" s="5" t="s">
        <v>48</v>
      </c>
      <c r="CO54" s="8">
        <v>0</v>
      </c>
      <c r="CP54" s="6" t="str">
        <f t="shared" ref="CP54:CP60" si="38">CC54</f>
        <v>Ω</v>
      </c>
      <c r="CQ54" s="9">
        <f t="shared" si="9"/>
        <v>1.7320508075688772</v>
      </c>
      <c r="CR54" s="7">
        <f t="shared" si="10"/>
        <v>0</v>
      </c>
      <c r="CS54" s="5">
        <v>1</v>
      </c>
      <c r="CT54" s="7">
        <f t="shared" si="11"/>
        <v>0</v>
      </c>
      <c r="CU54" s="7">
        <f t="shared" si="12"/>
        <v>0</v>
      </c>
      <c r="CV54" s="5">
        <v>200</v>
      </c>
      <c r="CW54" s="7">
        <f t="shared" si="13"/>
        <v>0</v>
      </c>
      <c r="CX54" s="18"/>
      <c r="CY54" s="5">
        <v>0.1</v>
      </c>
      <c r="CZ54" s="5" t="s">
        <v>80</v>
      </c>
      <c r="DA54" s="5" t="s">
        <v>49</v>
      </c>
      <c r="DB54" s="5" t="s">
        <v>48</v>
      </c>
      <c r="DC54" s="8">
        <f t="shared" si="14"/>
        <v>0.05</v>
      </c>
      <c r="DD54" s="6" t="str">
        <f t="shared" si="15"/>
        <v>Ω</v>
      </c>
      <c r="DE54" s="9">
        <f t="shared" si="16"/>
        <v>1.7320508075688772</v>
      </c>
      <c r="DF54" s="7">
        <f t="shared" si="17"/>
        <v>2.8867513459481291E-2</v>
      </c>
      <c r="DG54" s="5">
        <v>1</v>
      </c>
      <c r="DH54" s="7">
        <f t="shared" si="18"/>
        <v>2.8867513459481291E-2</v>
      </c>
      <c r="DI54" s="7">
        <f t="shared" si="19"/>
        <v>8.333333333333335E-4</v>
      </c>
      <c r="DJ54" s="5">
        <v>200</v>
      </c>
      <c r="DK54" s="7">
        <f t="shared" si="20"/>
        <v>3.4722222222222234E-9</v>
      </c>
      <c r="DL54" s="18"/>
      <c r="DM54" s="5">
        <v>3</v>
      </c>
      <c r="DN54" s="10" t="e">
        <f t="shared" si="21"/>
        <v>#DIV/0!</v>
      </c>
      <c r="DO54" s="5" t="s">
        <v>50</v>
      </c>
      <c r="DP54" s="5" t="s">
        <v>47</v>
      </c>
      <c r="DQ54" s="5" t="s">
        <v>27</v>
      </c>
      <c r="DR54" s="10" t="e">
        <f t="shared" si="22"/>
        <v>#DIV/0!</v>
      </c>
      <c r="DS54" s="6" t="str">
        <f t="shared" si="23"/>
        <v>Ω</v>
      </c>
      <c r="DT54" s="9">
        <f t="shared" si="24"/>
        <v>1.7320508075688772</v>
      </c>
      <c r="DU54" s="10" t="e">
        <f t="shared" si="25"/>
        <v>#DIV/0!</v>
      </c>
      <c r="DV54" s="5">
        <v>1</v>
      </c>
      <c r="DW54" s="11" t="e">
        <f t="shared" si="26"/>
        <v>#DIV/0!</v>
      </c>
      <c r="DX54" s="11" t="e">
        <f t="shared" si="27"/>
        <v>#DIV/0!</v>
      </c>
      <c r="DY54" s="5">
        <v>2</v>
      </c>
      <c r="DZ54" s="12" t="e">
        <f t="shared" si="28"/>
        <v>#DIV/0!</v>
      </c>
      <c r="EA54" s="13"/>
      <c r="EB54" s="7" t="e">
        <f t="shared" si="29"/>
        <v>#DIV/0!</v>
      </c>
      <c r="EC54" s="7" t="e">
        <f t="shared" si="30"/>
        <v>#DIV/0!</v>
      </c>
      <c r="ED54" s="7" t="e">
        <f t="shared" si="31"/>
        <v>#DIV/0!</v>
      </c>
      <c r="EE54" s="8" t="e">
        <f t="shared" si="32"/>
        <v>#DIV/0!</v>
      </c>
      <c r="EF54" s="14" t="e">
        <f t="shared" si="33"/>
        <v>#DIV/0!</v>
      </c>
      <c r="EG54" s="33" t="e">
        <f t="shared" ref="EG54:EG60" si="39">(ED54*EF54)</f>
        <v>#DIV/0!</v>
      </c>
      <c r="EH54" s="15" t="str">
        <f t="shared" si="34"/>
        <v>Ω</v>
      </c>
      <c r="EJ54" s="109">
        <v>2.3E-2</v>
      </c>
      <c r="EK54" s="110" t="str">
        <f t="shared" ref="EK54:EK60" si="40">EH54</f>
        <v>Ω</v>
      </c>
      <c r="EL54" s="111" t="e">
        <f t="shared" ref="EL54:EL60" si="41">MAX(EJ54,EG54)</f>
        <v>#DIV/0!</v>
      </c>
      <c r="EM54" s="110" t="str">
        <f t="shared" ref="EM54:EM60" si="42">EK54</f>
        <v>Ω</v>
      </c>
    </row>
    <row r="55" spans="2:143" ht="13.5" x14ac:dyDescent="0.25">
      <c r="B55" s="84"/>
      <c r="C55" s="69"/>
      <c r="D55" s="69"/>
      <c r="E55" s="69"/>
      <c r="F55" s="153" t="s">
        <v>146</v>
      </c>
      <c r="G55" s="153"/>
      <c r="H55" s="153"/>
      <c r="I55" s="153"/>
      <c r="J55" s="153"/>
      <c r="K55" s="153"/>
      <c r="L55" s="154">
        <v>5</v>
      </c>
      <c r="M55" s="155"/>
      <c r="N55" s="155"/>
      <c r="O55" s="155"/>
      <c r="P55" s="161" t="s">
        <v>145</v>
      </c>
      <c r="Q55" s="161"/>
      <c r="R55" s="162"/>
      <c r="S55" s="163"/>
      <c r="T55" s="163"/>
      <c r="U55" s="163"/>
      <c r="V55" s="163"/>
      <c r="W55" s="163"/>
      <c r="X55" s="163"/>
      <c r="Y55" s="163"/>
      <c r="Z55" s="163"/>
      <c r="AA55" s="163"/>
      <c r="AB55" s="163"/>
      <c r="AC55" s="163"/>
      <c r="AD55" s="163"/>
      <c r="AE55" s="163"/>
      <c r="AF55" s="163"/>
      <c r="AG55" s="163"/>
      <c r="AH55" s="158" t="e">
        <f t="shared" si="36"/>
        <v>#DIV/0!</v>
      </c>
      <c r="AI55" s="159"/>
      <c r="AJ55" s="159"/>
      <c r="AK55" s="159"/>
      <c r="AL55" s="160"/>
      <c r="AM55" s="163" t="e">
        <f t="shared" si="0"/>
        <v>#DIV/0!</v>
      </c>
      <c r="AN55" s="163"/>
      <c r="AO55" s="163"/>
      <c r="AP55" s="163"/>
      <c r="AQ55" s="163"/>
      <c r="AR55" s="88"/>
      <c r="AS55" s="88"/>
      <c r="AT55" s="88"/>
      <c r="AU55" s="88"/>
      <c r="AV55" s="88"/>
      <c r="AW55" s="69"/>
      <c r="AX55" s="69"/>
      <c r="AY55" s="69"/>
      <c r="AZ55" s="86"/>
      <c r="BC55" s="192" t="e">
        <f>(AH55*0.9%)+(1+CY55)</f>
        <v>#DIV/0!</v>
      </c>
      <c r="BD55" s="192"/>
      <c r="BE55" s="192"/>
      <c r="BF55" s="192"/>
      <c r="BG55" s="192"/>
      <c r="BH55" s="192" t="e">
        <f t="shared" si="1"/>
        <v>#DIV/0!</v>
      </c>
      <c r="BI55" s="192"/>
      <c r="BJ55" s="192"/>
      <c r="BK55" s="192"/>
      <c r="BL55" s="192"/>
      <c r="BM55" s="192" t="e">
        <f t="shared" si="2"/>
        <v>#DIV/0!</v>
      </c>
      <c r="BN55" s="192"/>
      <c r="BO55" s="192"/>
      <c r="BP55" s="192"/>
      <c r="BQ55" s="192"/>
      <c r="BR55" s="197" t="e">
        <f t="shared" si="37"/>
        <v>#DIV/0!</v>
      </c>
      <c r="BS55" s="197"/>
      <c r="BT55" s="197"/>
      <c r="BU55" s="197"/>
      <c r="BV55" s="197"/>
      <c r="BY55" s="5" t="s">
        <v>46</v>
      </c>
      <c r="BZ55" s="5" t="s">
        <v>47</v>
      </c>
      <c r="CA55" s="5" t="s">
        <v>48</v>
      </c>
      <c r="CB55" s="107">
        <v>5.5000000000000002E-5</v>
      </c>
      <c r="CC55" s="6" t="str">
        <f t="shared" si="4"/>
        <v>kΩ</v>
      </c>
      <c r="CD55" s="5">
        <v>2</v>
      </c>
      <c r="CE55" s="7">
        <f t="shared" si="5"/>
        <v>2.7500000000000001E-5</v>
      </c>
      <c r="CF55" s="5">
        <v>1</v>
      </c>
      <c r="CG55" s="7">
        <f t="shared" si="6"/>
        <v>2.7500000000000001E-5</v>
      </c>
      <c r="CH55" s="7">
        <f t="shared" si="7"/>
        <v>7.5625000000000005E-10</v>
      </c>
      <c r="CI55" s="5">
        <v>200</v>
      </c>
      <c r="CJ55" s="7">
        <f t="shared" si="8"/>
        <v>2.8595703125000003E-21</v>
      </c>
      <c r="CK55" s="18"/>
      <c r="CL55" s="5" t="s">
        <v>174</v>
      </c>
      <c r="CM55" s="5" t="s">
        <v>49</v>
      </c>
      <c r="CN55" s="5" t="s">
        <v>48</v>
      </c>
      <c r="CO55" s="8">
        <v>0</v>
      </c>
      <c r="CP55" s="6" t="str">
        <f t="shared" si="38"/>
        <v>kΩ</v>
      </c>
      <c r="CQ55" s="9">
        <f t="shared" si="9"/>
        <v>1.7320508075688772</v>
      </c>
      <c r="CR55" s="7">
        <f t="shared" si="10"/>
        <v>0</v>
      </c>
      <c r="CS55" s="5">
        <v>1</v>
      </c>
      <c r="CT55" s="7">
        <f t="shared" si="11"/>
        <v>0</v>
      </c>
      <c r="CU55" s="7">
        <f t="shared" si="12"/>
        <v>0</v>
      </c>
      <c r="CV55" s="5">
        <v>200</v>
      </c>
      <c r="CW55" s="7">
        <f t="shared" si="13"/>
        <v>0</v>
      </c>
      <c r="CX55" s="18"/>
      <c r="CY55" s="5">
        <v>1E-3</v>
      </c>
      <c r="CZ55" s="5" t="s">
        <v>80</v>
      </c>
      <c r="DA55" s="5" t="s">
        <v>49</v>
      </c>
      <c r="DB55" s="5" t="s">
        <v>48</v>
      </c>
      <c r="DC55" s="8">
        <f t="shared" si="14"/>
        <v>5.0000000000000001E-4</v>
      </c>
      <c r="DD55" s="6" t="str">
        <f t="shared" si="15"/>
        <v>kΩ</v>
      </c>
      <c r="DE55" s="9">
        <f t="shared" si="16"/>
        <v>1.7320508075688772</v>
      </c>
      <c r="DF55" s="7">
        <f t="shared" si="17"/>
        <v>2.886751345948129E-4</v>
      </c>
      <c r="DG55" s="5">
        <v>1</v>
      </c>
      <c r="DH55" s="7">
        <f t="shared" si="18"/>
        <v>2.886751345948129E-4</v>
      </c>
      <c r="DI55" s="7">
        <f t="shared" si="19"/>
        <v>8.3333333333333338E-8</v>
      </c>
      <c r="DJ55" s="5">
        <v>200</v>
      </c>
      <c r="DK55" s="7">
        <f t="shared" si="20"/>
        <v>3.4722222222222225E-17</v>
      </c>
      <c r="DL55" s="18"/>
      <c r="DM55" s="5">
        <v>3</v>
      </c>
      <c r="DN55" s="10" t="e">
        <f t="shared" si="21"/>
        <v>#DIV/0!</v>
      </c>
      <c r="DO55" s="5" t="s">
        <v>50</v>
      </c>
      <c r="DP55" s="5" t="s">
        <v>47</v>
      </c>
      <c r="DQ55" s="5" t="s">
        <v>27</v>
      </c>
      <c r="DR55" s="10" t="e">
        <f t="shared" si="22"/>
        <v>#DIV/0!</v>
      </c>
      <c r="DS55" s="6" t="str">
        <f t="shared" si="23"/>
        <v>kΩ</v>
      </c>
      <c r="DT55" s="9">
        <f t="shared" si="24"/>
        <v>1.7320508075688772</v>
      </c>
      <c r="DU55" s="10" t="e">
        <f t="shared" si="25"/>
        <v>#DIV/0!</v>
      </c>
      <c r="DV55" s="5">
        <v>1</v>
      </c>
      <c r="DW55" s="11" t="e">
        <f t="shared" si="26"/>
        <v>#DIV/0!</v>
      </c>
      <c r="DX55" s="11" t="e">
        <f t="shared" si="27"/>
        <v>#DIV/0!</v>
      </c>
      <c r="DY55" s="5">
        <v>2</v>
      </c>
      <c r="DZ55" s="12" t="e">
        <f t="shared" si="28"/>
        <v>#DIV/0!</v>
      </c>
      <c r="EA55" s="13"/>
      <c r="EB55" s="7" t="e">
        <f t="shared" si="29"/>
        <v>#DIV/0!</v>
      </c>
      <c r="EC55" s="7" t="e">
        <f t="shared" si="30"/>
        <v>#DIV/0!</v>
      </c>
      <c r="ED55" s="7" t="e">
        <f t="shared" si="31"/>
        <v>#DIV/0!</v>
      </c>
      <c r="EE55" s="8" t="e">
        <f t="shared" si="32"/>
        <v>#DIV/0!</v>
      </c>
      <c r="EF55" s="14" t="e">
        <f t="shared" si="33"/>
        <v>#DIV/0!</v>
      </c>
      <c r="EG55" s="33" t="e">
        <f t="shared" si="39"/>
        <v>#DIV/0!</v>
      </c>
      <c r="EH55" s="15" t="str">
        <f t="shared" si="34"/>
        <v>kΩ</v>
      </c>
      <c r="EJ55" s="109">
        <v>2.3000000000000001E-4</v>
      </c>
      <c r="EK55" s="110" t="str">
        <f t="shared" si="40"/>
        <v>kΩ</v>
      </c>
      <c r="EL55" s="111" t="e">
        <f t="shared" si="41"/>
        <v>#DIV/0!</v>
      </c>
      <c r="EM55" s="110" t="str">
        <f t="shared" si="42"/>
        <v>kΩ</v>
      </c>
    </row>
    <row r="56" spans="2:143" ht="13.5" x14ac:dyDescent="0.25">
      <c r="B56" s="84"/>
      <c r="C56" s="69"/>
      <c r="D56" s="69"/>
      <c r="E56" s="69"/>
      <c r="F56" s="153" t="s">
        <v>147</v>
      </c>
      <c r="G56" s="153"/>
      <c r="H56" s="153"/>
      <c r="I56" s="153"/>
      <c r="J56" s="153"/>
      <c r="K56" s="153"/>
      <c r="L56" s="154">
        <v>50</v>
      </c>
      <c r="M56" s="155"/>
      <c r="N56" s="155"/>
      <c r="O56" s="155"/>
      <c r="P56" s="161" t="s">
        <v>145</v>
      </c>
      <c r="Q56" s="161"/>
      <c r="R56" s="162"/>
      <c r="S56" s="165"/>
      <c r="T56" s="165"/>
      <c r="U56" s="165"/>
      <c r="V56" s="165"/>
      <c r="W56" s="165"/>
      <c r="X56" s="165"/>
      <c r="Y56" s="165"/>
      <c r="Z56" s="165"/>
      <c r="AA56" s="165"/>
      <c r="AB56" s="165"/>
      <c r="AC56" s="165"/>
      <c r="AD56" s="165"/>
      <c r="AE56" s="165"/>
      <c r="AF56" s="165"/>
      <c r="AG56" s="165"/>
      <c r="AH56" s="166" t="e">
        <f t="shared" si="36"/>
        <v>#DIV/0!</v>
      </c>
      <c r="AI56" s="167"/>
      <c r="AJ56" s="167"/>
      <c r="AK56" s="167"/>
      <c r="AL56" s="168"/>
      <c r="AM56" s="165" t="e">
        <f t="shared" si="0"/>
        <v>#DIV/0!</v>
      </c>
      <c r="AN56" s="165"/>
      <c r="AO56" s="165"/>
      <c r="AP56" s="165"/>
      <c r="AQ56" s="165"/>
      <c r="AR56" s="89"/>
      <c r="AS56" s="89"/>
      <c r="AT56" s="89"/>
      <c r="AU56" s="89"/>
      <c r="AV56" s="89"/>
      <c r="AW56" s="69"/>
      <c r="AX56" s="69"/>
      <c r="AY56" s="69"/>
      <c r="AZ56" s="86"/>
      <c r="BC56" s="193" t="e">
        <f>(AH56*0.9%)+(1+CY56)</f>
        <v>#DIV/0!</v>
      </c>
      <c r="BD56" s="193"/>
      <c r="BE56" s="193"/>
      <c r="BF56" s="193"/>
      <c r="BG56" s="193"/>
      <c r="BH56" s="193" t="e">
        <f t="shared" si="1"/>
        <v>#DIV/0!</v>
      </c>
      <c r="BI56" s="193"/>
      <c r="BJ56" s="193"/>
      <c r="BK56" s="193"/>
      <c r="BL56" s="193"/>
      <c r="BM56" s="193" t="e">
        <f t="shared" si="2"/>
        <v>#DIV/0!</v>
      </c>
      <c r="BN56" s="193"/>
      <c r="BO56" s="193"/>
      <c r="BP56" s="193"/>
      <c r="BQ56" s="193"/>
      <c r="BR56" s="197" t="e">
        <f t="shared" si="37"/>
        <v>#DIV/0!</v>
      </c>
      <c r="BS56" s="197"/>
      <c r="BT56" s="197"/>
      <c r="BU56" s="197"/>
      <c r="BV56" s="197"/>
      <c r="BY56" s="5" t="s">
        <v>46</v>
      </c>
      <c r="BZ56" s="5" t="s">
        <v>47</v>
      </c>
      <c r="CA56" s="5" t="s">
        <v>48</v>
      </c>
      <c r="CB56" s="10">
        <v>8.0999999999999996E-4</v>
      </c>
      <c r="CC56" s="6" t="str">
        <f t="shared" si="4"/>
        <v>kΩ</v>
      </c>
      <c r="CD56" s="5">
        <v>2</v>
      </c>
      <c r="CE56" s="7">
        <f t="shared" si="5"/>
        <v>4.0499999999999998E-4</v>
      </c>
      <c r="CF56" s="5">
        <v>1</v>
      </c>
      <c r="CG56" s="7">
        <f t="shared" si="6"/>
        <v>4.0499999999999998E-4</v>
      </c>
      <c r="CH56" s="7">
        <f t="shared" si="7"/>
        <v>1.6402499999999999E-7</v>
      </c>
      <c r="CI56" s="5">
        <v>200</v>
      </c>
      <c r="CJ56" s="7">
        <f t="shared" si="8"/>
        <v>1.3452100312499998E-16</v>
      </c>
      <c r="CK56" s="18"/>
      <c r="CL56" s="5" t="s">
        <v>174</v>
      </c>
      <c r="CM56" s="5" t="s">
        <v>49</v>
      </c>
      <c r="CN56" s="5" t="s">
        <v>48</v>
      </c>
      <c r="CO56" s="8">
        <v>0</v>
      </c>
      <c r="CP56" s="6" t="str">
        <f t="shared" si="38"/>
        <v>kΩ</v>
      </c>
      <c r="CQ56" s="9">
        <f t="shared" si="9"/>
        <v>1.7320508075688772</v>
      </c>
      <c r="CR56" s="7">
        <f t="shared" si="10"/>
        <v>0</v>
      </c>
      <c r="CS56" s="5">
        <v>1</v>
      </c>
      <c r="CT56" s="7">
        <f t="shared" si="11"/>
        <v>0</v>
      </c>
      <c r="CU56" s="7">
        <f t="shared" si="12"/>
        <v>0</v>
      </c>
      <c r="CV56" s="5">
        <v>200</v>
      </c>
      <c r="CW56" s="7">
        <f t="shared" si="13"/>
        <v>0</v>
      </c>
      <c r="CX56" s="18"/>
      <c r="CY56" s="5">
        <v>0.01</v>
      </c>
      <c r="CZ56" s="5" t="s">
        <v>80</v>
      </c>
      <c r="DA56" s="5" t="s">
        <v>49</v>
      </c>
      <c r="DB56" s="5" t="s">
        <v>48</v>
      </c>
      <c r="DC56" s="8">
        <f t="shared" si="14"/>
        <v>5.0000000000000001E-3</v>
      </c>
      <c r="DD56" s="6" t="str">
        <f t="shared" si="15"/>
        <v>kΩ</v>
      </c>
      <c r="DE56" s="9">
        <f t="shared" si="16"/>
        <v>1.7320508075688772</v>
      </c>
      <c r="DF56" s="7">
        <f t="shared" si="17"/>
        <v>2.886751345948129E-3</v>
      </c>
      <c r="DG56" s="5">
        <v>1</v>
      </c>
      <c r="DH56" s="7">
        <f t="shared" si="18"/>
        <v>2.886751345948129E-3</v>
      </c>
      <c r="DI56" s="7">
        <f t="shared" si="19"/>
        <v>8.3333333333333337E-6</v>
      </c>
      <c r="DJ56" s="5">
        <v>200</v>
      </c>
      <c r="DK56" s="7">
        <f t="shared" si="20"/>
        <v>3.4722222222222227E-13</v>
      </c>
      <c r="DL56" s="18"/>
      <c r="DM56" s="5">
        <v>3</v>
      </c>
      <c r="DN56" s="10" t="e">
        <f t="shared" si="21"/>
        <v>#DIV/0!</v>
      </c>
      <c r="DO56" s="5" t="s">
        <v>50</v>
      </c>
      <c r="DP56" s="5" t="s">
        <v>47</v>
      </c>
      <c r="DQ56" s="5" t="s">
        <v>27</v>
      </c>
      <c r="DR56" s="10" t="e">
        <f t="shared" si="22"/>
        <v>#DIV/0!</v>
      </c>
      <c r="DS56" s="6" t="str">
        <f t="shared" si="23"/>
        <v>kΩ</v>
      </c>
      <c r="DT56" s="9">
        <f t="shared" si="24"/>
        <v>1.7320508075688772</v>
      </c>
      <c r="DU56" s="10" t="e">
        <f t="shared" si="25"/>
        <v>#DIV/0!</v>
      </c>
      <c r="DV56" s="5">
        <v>1</v>
      </c>
      <c r="DW56" s="11" t="e">
        <f t="shared" si="26"/>
        <v>#DIV/0!</v>
      </c>
      <c r="DX56" s="11" t="e">
        <f t="shared" si="27"/>
        <v>#DIV/0!</v>
      </c>
      <c r="DY56" s="5">
        <v>2</v>
      </c>
      <c r="DZ56" s="12" t="e">
        <f t="shared" si="28"/>
        <v>#DIV/0!</v>
      </c>
      <c r="EA56" s="13"/>
      <c r="EB56" s="7" t="e">
        <f t="shared" si="29"/>
        <v>#DIV/0!</v>
      </c>
      <c r="EC56" s="7" t="e">
        <f t="shared" si="30"/>
        <v>#DIV/0!</v>
      </c>
      <c r="ED56" s="7" t="e">
        <f t="shared" si="31"/>
        <v>#DIV/0!</v>
      </c>
      <c r="EE56" s="8" t="e">
        <f t="shared" si="32"/>
        <v>#DIV/0!</v>
      </c>
      <c r="EF56" s="14" t="e">
        <f t="shared" si="33"/>
        <v>#DIV/0!</v>
      </c>
      <c r="EG56" s="33" t="e">
        <f t="shared" si="39"/>
        <v>#DIV/0!</v>
      </c>
      <c r="EH56" s="15" t="str">
        <f t="shared" si="34"/>
        <v>kΩ</v>
      </c>
      <c r="EJ56" s="109">
        <v>1.5E-3</v>
      </c>
      <c r="EK56" s="110" t="str">
        <f t="shared" si="40"/>
        <v>kΩ</v>
      </c>
      <c r="EL56" s="111" t="e">
        <f t="shared" si="41"/>
        <v>#DIV/0!</v>
      </c>
      <c r="EM56" s="110" t="str">
        <f t="shared" si="42"/>
        <v>kΩ</v>
      </c>
    </row>
    <row r="57" spans="2:143" ht="13.5" x14ac:dyDescent="0.25">
      <c r="B57" s="84"/>
      <c r="C57" s="69"/>
      <c r="D57" s="69"/>
      <c r="E57" s="69"/>
      <c r="F57" s="153" t="s">
        <v>148</v>
      </c>
      <c r="G57" s="153"/>
      <c r="H57" s="153"/>
      <c r="I57" s="153"/>
      <c r="J57" s="153"/>
      <c r="K57" s="153"/>
      <c r="L57" s="154">
        <v>500</v>
      </c>
      <c r="M57" s="155"/>
      <c r="N57" s="155"/>
      <c r="O57" s="155"/>
      <c r="P57" s="161" t="s">
        <v>145</v>
      </c>
      <c r="Q57" s="161"/>
      <c r="R57" s="162"/>
      <c r="S57" s="190"/>
      <c r="T57" s="190"/>
      <c r="U57" s="190"/>
      <c r="V57" s="190"/>
      <c r="W57" s="190"/>
      <c r="X57" s="190"/>
      <c r="Y57" s="190"/>
      <c r="Z57" s="190"/>
      <c r="AA57" s="190"/>
      <c r="AB57" s="190"/>
      <c r="AC57" s="190"/>
      <c r="AD57" s="190"/>
      <c r="AE57" s="190"/>
      <c r="AF57" s="190"/>
      <c r="AG57" s="190"/>
      <c r="AH57" s="187" t="e">
        <f t="shared" si="36"/>
        <v>#DIV/0!</v>
      </c>
      <c r="AI57" s="188"/>
      <c r="AJ57" s="188"/>
      <c r="AK57" s="188"/>
      <c r="AL57" s="189"/>
      <c r="AM57" s="190" t="e">
        <f t="shared" si="0"/>
        <v>#DIV/0!</v>
      </c>
      <c r="AN57" s="194"/>
      <c r="AO57" s="194"/>
      <c r="AP57" s="194"/>
      <c r="AQ57" s="194"/>
      <c r="AR57" s="72"/>
      <c r="AS57" s="72"/>
      <c r="AT57" s="72"/>
      <c r="AU57" s="72"/>
      <c r="AV57" s="72"/>
      <c r="AW57" s="69"/>
      <c r="AX57" s="69"/>
      <c r="AY57" s="69"/>
      <c r="AZ57" s="86"/>
      <c r="BC57" s="191" t="e">
        <f>(AH57*0.9%)+(1+CY57)</f>
        <v>#DIV/0!</v>
      </c>
      <c r="BD57" s="191"/>
      <c r="BE57" s="191"/>
      <c r="BF57" s="191"/>
      <c r="BG57" s="191"/>
      <c r="BH57" s="191" t="e">
        <f t="shared" si="1"/>
        <v>#DIV/0!</v>
      </c>
      <c r="BI57" s="191"/>
      <c r="BJ57" s="191"/>
      <c r="BK57" s="191"/>
      <c r="BL57" s="191"/>
      <c r="BM57" s="191" t="e">
        <f t="shared" si="2"/>
        <v>#DIV/0!</v>
      </c>
      <c r="BN57" s="191"/>
      <c r="BO57" s="191"/>
      <c r="BP57" s="191"/>
      <c r="BQ57" s="191"/>
      <c r="BR57" s="197" t="e">
        <f t="shared" si="37"/>
        <v>#DIV/0!</v>
      </c>
      <c r="BS57" s="197"/>
      <c r="BT57" s="197"/>
      <c r="BU57" s="197"/>
      <c r="BV57" s="197"/>
      <c r="BY57" s="5" t="s">
        <v>46</v>
      </c>
      <c r="BZ57" s="5" t="s">
        <v>47</v>
      </c>
      <c r="CA57" s="5" t="s">
        <v>48</v>
      </c>
      <c r="CB57" s="108">
        <v>6.6E-3</v>
      </c>
      <c r="CC57" s="6" t="str">
        <f t="shared" si="4"/>
        <v>kΩ</v>
      </c>
      <c r="CD57" s="5">
        <v>2</v>
      </c>
      <c r="CE57" s="7">
        <f t="shared" si="5"/>
        <v>3.3E-3</v>
      </c>
      <c r="CF57" s="5">
        <v>1</v>
      </c>
      <c r="CG57" s="7">
        <f t="shared" si="6"/>
        <v>3.3E-3</v>
      </c>
      <c r="CH57" s="7">
        <f t="shared" si="7"/>
        <v>1.0889999999999999E-5</v>
      </c>
      <c r="CI57" s="5">
        <v>200</v>
      </c>
      <c r="CJ57" s="7">
        <f t="shared" si="8"/>
        <v>5.9296049999999981E-13</v>
      </c>
      <c r="CK57" s="18"/>
      <c r="CL57" s="5" t="s">
        <v>174</v>
      </c>
      <c r="CM57" s="5" t="s">
        <v>49</v>
      </c>
      <c r="CN57" s="5" t="s">
        <v>48</v>
      </c>
      <c r="CO57" s="8">
        <v>0</v>
      </c>
      <c r="CP57" s="6" t="str">
        <f t="shared" si="38"/>
        <v>kΩ</v>
      </c>
      <c r="CQ57" s="9">
        <f t="shared" si="9"/>
        <v>1.7320508075688772</v>
      </c>
      <c r="CR57" s="7">
        <f t="shared" si="10"/>
        <v>0</v>
      </c>
      <c r="CS57" s="5">
        <v>1</v>
      </c>
      <c r="CT57" s="7">
        <f t="shared" si="11"/>
        <v>0</v>
      </c>
      <c r="CU57" s="7">
        <f t="shared" si="12"/>
        <v>0</v>
      </c>
      <c r="CV57" s="5">
        <v>200</v>
      </c>
      <c r="CW57" s="7">
        <f t="shared" si="13"/>
        <v>0</v>
      </c>
      <c r="CX57" s="18"/>
      <c r="CY57" s="5">
        <v>0.1</v>
      </c>
      <c r="CZ57" s="5" t="s">
        <v>80</v>
      </c>
      <c r="DA57" s="5" t="s">
        <v>49</v>
      </c>
      <c r="DB57" s="5" t="s">
        <v>48</v>
      </c>
      <c r="DC57" s="8">
        <f t="shared" si="14"/>
        <v>0.05</v>
      </c>
      <c r="DD57" s="6" t="str">
        <f t="shared" si="15"/>
        <v>kΩ</v>
      </c>
      <c r="DE57" s="9">
        <f t="shared" si="16"/>
        <v>1.7320508075688772</v>
      </c>
      <c r="DF57" s="7">
        <f t="shared" si="17"/>
        <v>2.8867513459481291E-2</v>
      </c>
      <c r="DG57" s="5">
        <v>1</v>
      </c>
      <c r="DH57" s="7">
        <f t="shared" si="18"/>
        <v>2.8867513459481291E-2</v>
      </c>
      <c r="DI57" s="7">
        <f t="shared" si="19"/>
        <v>8.333333333333335E-4</v>
      </c>
      <c r="DJ57" s="5">
        <v>200</v>
      </c>
      <c r="DK57" s="7">
        <f t="shared" si="20"/>
        <v>3.4722222222222234E-9</v>
      </c>
      <c r="DL57" s="18"/>
      <c r="DM57" s="5">
        <v>3</v>
      </c>
      <c r="DN57" s="10" t="e">
        <f t="shared" si="21"/>
        <v>#DIV/0!</v>
      </c>
      <c r="DO57" s="5" t="s">
        <v>50</v>
      </c>
      <c r="DP57" s="5" t="s">
        <v>47</v>
      </c>
      <c r="DQ57" s="5" t="s">
        <v>27</v>
      </c>
      <c r="DR57" s="10" t="e">
        <f t="shared" si="22"/>
        <v>#DIV/0!</v>
      </c>
      <c r="DS57" s="6" t="str">
        <f t="shared" si="23"/>
        <v>kΩ</v>
      </c>
      <c r="DT57" s="9">
        <f t="shared" si="24"/>
        <v>1.7320508075688772</v>
      </c>
      <c r="DU57" s="10" t="e">
        <f t="shared" si="25"/>
        <v>#DIV/0!</v>
      </c>
      <c r="DV57" s="5">
        <v>1</v>
      </c>
      <c r="DW57" s="11" t="e">
        <f t="shared" si="26"/>
        <v>#DIV/0!</v>
      </c>
      <c r="DX57" s="11" t="e">
        <f t="shared" si="27"/>
        <v>#DIV/0!</v>
      </c>
      <c r="DY57" s="5">
        <v>2</v>
      </c>
      <c r="DZ57" s="12" t="e">
        <f t="shared" si="28"/>
        <v>#DIV/0!</v>
      </c>
      <c r="EA57" s="13"/>
      <c r="EB57" s="7" t="e">
        <f t="shared" si="29"/>
        <v>#DIV/0!</v>
      </c>
      <c r="EC57" s="7" t="e">
        <f t="shared" si="30"/>
        <v>#DIV/0!</v>
      </c>
      <c r="ED57" s="7" t="e">
        <f t="shared" si="31"/>
        <v>#DIV/0!</v>
      </c>
      <c r="EE57" s="8" t="e">
        <f t="shared" si="32"/>
        <v>#DIV/0!</v>
      </c>
      <c r="EF57" s="14" t="e">
        <f t="shared" si="33"/>
        <v>#DIV/0!</v>
      </c>
      <c r="EG57" s="33" t="e">
        <f t="shared" si="39"/>
        <v>#DIV/0!</v>
      </c>
      <c r="EH57" s="15" t="str">
        <f t="shared" si="34"/>
        <v>kΩ</v>
      </c>
      <c r="EJ57" s="109">
        <v>1.6E-2</v>
      </c>
      <c r="EK57" s="110" t="str">
        <f t="shared" si="40"/>
        <v>kΩ</v>
      </c>
      <c r="EL57" s="111" t="e">
        <f t="shared" si="41"/>
        <v>#DIV/0!</v>
      </c>
      <c r="EM57" s="110" t="str">
        <f t="shared" si="42"/>
        <v>kΩ</v>
      </c>
    </row>
    <row r="58" spans="2:143" ht="13.5" x14ac:dyDescent="0.25">
      <c r="B58" s="84"/>
      <c r="C58" s="69"/>
      <c r="D58" s="69"/>
      <c r="E58" s="69"/>
      <c r="F58" s="153" t="s">
        <v>149</v>
      </c>
      <c r="G58" s="153"/>
      <c r="H58" s="153"/>
      <c r="I58" s="153"/>
      <c r="J58" s="153"/>
      <c r="K58" s="153"/>
      <c r="L58" s="154">
        <v>5</v>
      </c>
      <c r="M58" s="155"/>
      <c r="N58" s="155"/>
      <c r="O58" s="155"/>
      <c r="P58" s="161" t="s">
        <v>79</v>
      </c>
      <c r="Q58" s="161"/>
      <c r="R58" s="162"/>
      <c r="S58" s="163"/>
      <c r="T58" s="163"/>
      <c r="U58" s="163"/>
      <c r="V58" s="163"/>
      <c r="W58" s="163"/>
      <c r="X58" s="163"/>
      <c r="Y58" s="163"/>
      <c r="Z58" s="163"/>
      <c r="AA58" s="163"/>
      <c r="AB58" s="163"/>
      <c r="AC58" s="163"/>
      <c r="AD58" s="163"/>
      <c r="AE58" s="163"/>
      <c r="AF58" s="163"/>
      <c r="AG58" s="163"/>
      <c r="AH58" s="158" t="e">
        <f t="shared" si="36"/>
        <v>#DIV/0!</v>
      </c>
      <c r="AI58" s="159"/>
      <c r="AJ58" s="159"/>
      <c r="AK58" s="159"/>
      <c r="AL58" s="160"/>
      <c r="AM58" s="163" t="e">
        <f t="shared" si="0"/>
        <v>#DIV/0!</v>
      </c>
      <c r="AN58" s="163"/>
      <c r="AO58" s="163"/>
      <c r="AP58" s="163"/>
      <c r="AQ58" s="163"/>
      <c r="AR58" s="88"/>
      <c r="AS58" s="88"/>
      <c r="AT58" s="88"/>
      <c r="AU58" s="88"/>
      <c r="AV58" s="88"/>
      <c r="AW58" s="69"/>
      <c r="AX58" s="69"/>
      <c r="AY58" s="69"/>
      <c r="AZ58" s="86"/>
      <c r="BC58" s="192" t="e">
        <f>(AH58*0.9%)+(1+CY58)</f>
        <v>#DIV/0!</v>
      </c>
      <c r="BD58" s="192"/>
      <c r="BE58" s="192"/>
      <c r="BF58" s="192"/>
      <c r="BG58" s="192"/>
      <c r="BH58" s="192" t="e">
        <f t="shared" si="1"/>
        <v>#DIV/0!</v>
      </c>
      <c r="BI58" s="192"/>
      <c r="BJ58" s="192"/>
      <c r="BK58" s="192"/>
      <c r="BL58" s="192"/>
      <c r="BM58" s="192" t="e">
        <f t="shared" si="2"/>
        <v>#DIV/0!</v>
      </c>
      <c r="BN58" s="192"/>
      <c r="BO58" s="192"/>
      <c r="BP58" s="192"/>
      <c r="BQ58" s="192"/>
      <c r="BR58" s="197" t="e">
        <f t="shared" si="37"/>
        <v>#DIV/0!</v>
      </c>
      <c r="BS58" s="197"/>
      <c r="BT58" s="197"/>
      <c r="BU58" s="197"/>
      <c r="BV58" s="197"/>
      <c r="BY58" s="5" t="s">
        <v>46</v>
      </c>
      <c r="BZ58" s="5" t="s">
        <v>47</v>
      </c>
      <c r="CA58" s="5" t="s">
        <v>48</v>
      </c>
      <c r="CB58" s="10">
        <v>4.8000000000000001E-4</v>
      </c>
      <c r="CC58" s="6" t="str">
        <f t="shared" si="4"/>
        <v>MΩ</v>
      </c>
      <c r="CD58" s="5">
        <v>2</v>
      </c>
      <c r="CE58" s="7">
        <f t="shared" si="5"/>
        <v>2.4000000000000001E-4</v>
      </c>
      <c r="CF58" s="5">
        <v>1</v>
      </c>
      <c r="CG58" s="7">
        <f t="shared" si="6"/>
        <v>2.4000000000000001E-4</v>
      </c>
      <c r="CH58" s="7">
        <f t="shared" si="7"/>
        <v>5.76E-8</v>
      </c>
      <c r="CI58" s="5">
        <v>200</v>
      </c>
      <c r="CJ58" s="7">
        <f t="shared" si="8"/>
        <v>1.6588799999999999E-17</v>
      </c>
      <c r="CK58" s="18"/>
      <c r="CL58" s="5" t="s">
        <v>174</v>
      </c>
      <c r="CM58" s="5" t="s">
        <v>49</v>
      </c>
      <c r="CN58" s="5" t="s">
        <v>48</v>
      </c>
      <c r="CO58" s="8">
        <v>0</v>
      </c>
      <c r="CP58" s="6" t="str">
        <f t="shared" si="38"/>
        <v>MΩ</v>
      </c>
      <c r="CQ58" s="9">
        <f t="shared" si="9"/>
        <v>1.7320508075688772</v>
      </c>
      <c r="CR58" s="7">
        <f t="shared" si="10"/>
        <v>0</v>
      </c>
      <c r="CS58" s="5">
        <v>1</v>
      </c>
      <c r="CT58" s="7">
        <f t="shared" si="11"/>
        <v>0</v>
      </c>
      <c r="CU58" s="7">
        <f t="shared" si="12"/>
        <v>0</v>
      </c>
      <c r="CV58" s="5">
        <v>200</v>
      </c>
      <c r="CW58" s="7">
        <f t="shared" si="13"/>
        <v>0</v>
      </c>
      <c r="CX58" s="18"/>
      <c r="CY58" s="5">
        <v>1E-3</v>
      </c>
      <c r="CZ58" s="5" t="s">
        <v>80</v>
      </c>
      <c r="DA58" s="5" t="s">
        <v>49</v>
      </c>
      <c r="DB58" s="5" t="s">
        <v>48</v>
      </c>
      <c r="DC58" s="8">
        <f t="shared" si="14"/>
        <v>5.0000000000000001E-4</v>
      </c>
      <c r="DD58" s="6" t="str">
        <f t="shared" si="15"/>
        <v>MΩ</v>
      </c>
      <c r="DE58" s="9">
        <f t="shared" si="16"/>
        <v>1.7320508075688772</v>
      </c>
      <c r="DF58" s="7">
        <f t="shared" si="17"/>
        <v>2.886751345948129E-4</v>
      </c>
      <c r="DG58" s="5">
        <v>1</v>
      </c>
      <c r="DH58" s="7">
        <f t="shared" si="18"/>
        <v>2.886751345948129E-4</v>
      </c>
      <c r="DI58" s="7">
        <f t="shared" si="19"/>
        <v>8.3333333333333338E-8</v>
      </c>
      <c r="DJ58" s="5">
        <v>200</v>
      </c>
      <c r="DK58" s="7">
        <f t="shared" si="20"/>
        <v>3.4722222222222225E-17</v>
      </c>
      <c r="DL58" s="18"/>
      <c r="DM58" s="5">
        <v>3</v>
      </c>
      <c r="DN58" s="10" t="e">
        <f t="shared" si="21"/>
        <v>#DIV/0!</v>
      </c>
      <c r="DO58" s="5" t="s">
        <v>50</v>
      </c>
      <c r="DP58" s="5" t="s">
        <v>47</v>
      </c>
      <c r="DQ58" s="5" t="s">
        <v>27</v>
      </c>
      <c r="DR58" s="10" t="e">
        <f t="shared" si="22"/>
        <v>#DIV/0!</v>
      </c>
      <c r="DS58" s="6" t="str">
        <f t="shared" si="23"/>
        <v>MΩ</v>
      </c>
      <c r="DT58" s="9">
        <f t="shared" si="24"/>
        <v>1.7320508075688772</v>
      </c>
      <c r="DU58" s="10" t="e">
        <f t="shared" si="25"/>
        <v>#DIV/0!</v>
      </c>
      <c r="DV58" s="5">
        <v>1</v>
      </c>
      <c r="DW58" s="11" t="e">
        <f t="shared" si="26"/>
        <v>#DIV/0!</v>
      </c>
      <c r="DX58" s="11" t="e">
        <f t="shared" si="27"/>
        <v>#DIV/0!</v>
      </c>
      <c r="DY58" s="5">
        <v>2</v>
      </c>
      <c r="DZ58" s="12" t="e">
        <f t="shared" si="28"/>
        <v>#DIV/0!</v>
      </c>
      <c r="EA58" s="13"/>
      <c r="EB58" s="7" t="e">
        <f t="shared" si="29"/>
        <v>#DIV/0!</v>
      </c>
      <c r="EC58" s="7" t="e">
        <f t="shared" si="30"/>
        <v>#DIV/0!</v>
      </c>
      <c r="ED58" s="7" t="e">
        <f t="shared" si="31"/>
        <v>#DIV/0!</v>
      </c>
      <c r="EE58" s="8" t="e">
        <f t="shared" si="32"/>
        <v>#DIV/0!</v>
      </c>
      <c r="EF58" s="14" t="e">
        <f t="shared" si="33"/>
        <v>#DIV/0!</v>
      </c>
      <c r="EG58" s="33" t="e">
        <f t="shared" si="39"/>
        <v>#DIV/0!</v>
      </c>
      <c r="EH58" s="15" t="str">
        <f t="shared" si="34"/>
        <v>MΩ</v>
      </c>
      <c r="EJ58" s="109">
        <v>5.2999999999999998E-4</v>
      </c>
      <c r="EK58" s="110" t="str">
        <f t="shared" si="40"/>
        <v>MΩ</v>
      </c>
      <c r="EL58" s="111" t="e">
        <f t="shared" si="41"/>
        <v>#DIV/0!</v>
      </c>
      <c r="EM58" s="110" t="str">
        <f t="shared" si="42"/>
        <v>MΩ</v>
      </c>
    </row>
    <row r="59" spans="2:143" ht="13.5" x14ac:dyDescent="0.25">
      <c r="B59" s="84"/>
      <c r="C59" s="69"/>
      <c r="D59" s="69"/>
      <c r="E59" s="69"/>
      <c r="F59" s="153" t="s">
        <v>150</v>
      </c>
      <c r="G59" s="153"/>
      <c r="H59" s="153"/>
      <c r="I59" s="153"/>
      <c r="J59" s="153"/>
      <c r="K59" s="153"/>
      <c r="L59" s="154">
        <v>10</v>
      </c>
      <c r="M59" s="155"/>
      <c r="N59" s="155"/>
      <c r="O59" s="155"/>
      <c r="P59" s="161" t="s">
        <v>79</v>
      </c>
      <c r="Q59" s="161"/>
      <c r="R59" s="162"/>
      <c r="S59" s="165"/>
      <c r="T59" s="165"/>
      <c r="U59" s="165"/>
      <c r="V59" s="165"/>
      <c r="W59" s="165"/>
      <c r="X59" s="165"/>
      <c r="Y59" s="165"/>
      <c r="Z59" s="165"/>
      <c r="AA59" s="165"/>
      <c r="AB59" s="165"/>
      <c r="AC59" s="165"/>
      <c r="AD59" s="165"/>
      <c r="AE59" s="165"/>
      <c r="AF59" s="165"/>
      <c r="AG59" s="165"/>
      <c r="AH59" s="166" t="e">
        <f t="shared" si="36"/>
        <v>#DIV/0!</v>
      </c>
      <c r="AI59" s="167"/>
      <c r="AJ59" s="167"/>
      <c r="AK59" s="167"/>
      <c r="AL59" s="168"/>
      <c r="AM59" s="165" t="e">
        <f t="shared" si="0"/>
        <v>#DIV/0!</v>
      </c>
      <c r="AN59" s="165"/>
      <c r="AO59" s="165"/>
      <c r="AP59" s="165"/>
      <c r="AQ59" s="165"/>
      <c r="AR59" s="89"/>
      <c r="AS59" s="89"/>
      <c r="AT59" s="89"/>
      <c r="AU59" s="89"/>
      <c r="AV59" s="89"/>
      <c r="AW59" s="69"/>
      <c r="AX59" s="69"/>
      <c r="AY59" s="69"/>
      <c r="AZ59" s="86"/>
      <c r="BC59" s="193" t="e">
        <f>(AH59*5%)+(2+CY59)</f>
        <v>#DIV/0!</v>
      </c>
      <c r="BD59" s="193"/>
      <c r="BE59" s="193"/>
      <c r="BF59" s="193"/>
      <c r="BG59" s="193"/>
      <c r="BH59" s="193" t="e">
        <f t="shared" si="1"/>
        <v>#DIV/0!</v>
      </c>
      <c r="BI59" s="193"/>
      <c r="BJ59" s="193"/>
      <c r="BK59" s="193"/>
      <c r="BL59" s="193"/>
      <c r="BM59" s="193" t="e">
        <f t="shared" si="2"/>
        <v>#DIV/0!</v>
      </c>
      <c r="BN59" s="193"/>
      <c r="BO59" s="193"/>
      <c r="BP59" s="193"/>
      <c r="BQ59" s="193"/>
      <c r="BR59" s="197" t="e">
        <f t="shared" si="37"/>
        <v>#DIV/0!</v>
      </c>
      <c r="BS59" s="197"/>
      <c r="BT59" s="197"/>
      <c r="BU59" s="197"/>
      <c r="BV59" s="197"/>
      <c r="BY59" s="5" t="s">
        <v>46</v>
      </c>
      <c r="BZ59" s="5" t="s">
        <v>47</v>
      </c>
      <c r="CA59" s="5" t="s">
        <v>48</v>
      </c>
      <c r="CB59" s="10">
        <v>4.8000000000000001E-4</v>
      </c>
      <c r="CC59" s="6" t="str">
        <f t="shared" si="4"/>
        <v>MΩ</v>
      </c>
      <c r="CD59" s="5">
        <v>2</v>
      </c>
      <c r="CE59" s="7">
        <f t="shared" si="5"/>
        <v>2.4000000000000001E-4</v>
      </c>
      <c r="CF59" s="5">
        <v>1</v>
      </c>
      <c r="CG59" s="7">
        <f t="shared" si="6"/>
        <v>2.4000000000000001E-4</v>
      </c>
      <c r="CH59" s="7">
        <f t="shared" si="7"/>
        <v>5.76E-8</v>
      </c>
      <c r="CI59" s="5">
        <v>200</v>
      </c>
      <c r="CJ59" s="7">
        <f t="shared" si="8"/>
        <v>1.6588799999999999E-17</v>
      </c>
      <c r="CK59" s="18"/>
      <c r="CL59" s="5" t="s">
        <v>174</v>
      </c>
      <c r="CM59" s="5" t="s">
        <v>49</v>
      </c>
      <c r="CN59" s="5" t="s">
        <v>48</v>
      </c>
      <c r="CO59" s="8">
        <v>0</v>
      </c>
      <c r="CP59" s="6" t="str">
        <f t="shared" si="38"/>
        <v>MΩ</v>
      </c>
      <c r="CQ59" s="9">
        <f t="shared" si="9"/>
        <v>1.7320508075688772</v>
      </c>
      <c r="CR59" s="7">
        <f t="shared" si="10"/>
        <v>0</v>
      </c>
      <c r="CS59" s="5">
        <v>1</v>
      </c>
      <c r="CT59" s="7">
        <f t="shared" si="11"/>
        <v>0</v>
      </c>
      <c r="CU59" s="7">
        <f t="shared" si="12"/>
        <v>0</v>
      </c>
      <c r="CV59" s="5">
        <v>200</v>
      </c>
      <c r="CW59" s="7">
        <f t="shared" si="13"/>
        <v>0</v>
      </c>
      <c r="CX59" s="18"/>
      <c r="CY59" s="5">
        <v>0.01</v>
      </c>
      <c r="CZ59" s="5" t="s">
        <v>80</v>
      </c>
      <c r="DA59" s="5" t="s">
        <v>49</v>
      </c>
      <c r="DB59" s="5" t="s">
        <v>48</v>
      </c>
      <c r="DC59" s="8">
        <f t="shared" si="14"/>
        <v>5.0000000000000001E-3</v>
      </c>
      <c r="DD59" s="6" t="str">
        <f t="shared" si="15"/>
        <v>MΩ</v>
      </c>
      <c r="DE59" s="9">
        <f t="shared" si="16"/>
        <v>1.7320508075688772</v>
      </c>
      <c r="DF59" s="7">
        <f t="shared" si="17"/>
        <v>2.886751345948129E-3</v>
      </c>
      <c r="DG59" s="5">
        <v>1</v>
      </c>
      <c r="DH59" s="7">
        <f t="shared" si="18"/>
        <v>2.886751345948129E-3</v>
      </c>
      <c r="DI59" s="7">
        <f t="shared" si="19"/>
        <v>8.3333333333333337E-6</v>
      </c>
      <c r="DJ59" s="5">
        <v>200</v>
      </c>
      <c r="DK59" s="7">
        <f t="shared" si="20"/>
        <v>3.4722222222222227E-13</v>
      </c>
      <c r="DL59" s="18"/>
      <c r="DM59" s="5">
        <v>3</v>
      </c>
      <c r="DN59" s="10" t="e">
        <f t="shared" si="21"/>
        <v>#DIV/0!</v>
      </c>
      <c r="DO59" s="5" t="s">
        <v>50</v>
      </c>
      <c r="DP59" s="5" t="s">
        <v>47</v>
      </c>
      <c r="DQ59" s="5" t="s">
        <v>27</v>
      </c>
      <c r="DR59" s="10" t="e">
        <f t="shared" si="22"/>
        <v>#DIV/0!</v>
      </c>
      <c r="DS59" s="6" t="str">
        <f t="shared" si="23"/>
        <v>MΩ</v>
      </c>
      <c r="DT59" s="9">
        <f t="shared" si="24"/>
        <v>1.7320508075688772</v>
      </c>
      <c r="DU59" s="10" t="e">
        <f t="shared" si="25"/>
        <v>#DIV/0!</v>
      </c>
      <c r="DV59" s="5">
        <v>1</v>
      </c>
      <c r="DW59" s="11" t="e">
        <f t="shared" si="26"/>
        <v>#DIV/0!</v>
      </c>
      <c r="DX59" s="11" t="e">
        <f t="shared" si="27"/>
        <v>#DIV/0!</v>
      </c>
      <c r="DY59" s="5">
        <v>2</v>
      </c>
      <c r="DZ59" s="12" t="e">
        <f t="shared" si="28"/>
        <v>#DIV/0!</v>
      </c>
      <c r="EA59" s="13"/>
      <c r="EB59" s="7" t="e">
        <f t="shared" si="29"/>
        <v>#DIV/0!</v>
      </c>
      <c r="EC59" s="7" t="e">
        <f t="shared" si="30"/>
        <v>#DIV/0!</v>
      </c>
      <c r="ED59" s="7" t="e">
        <f t="shared" si="31"/>
        <v>#DIV/0!</v>
      </c>
      <c r="EE59" s="8" t="e">
        <f t="shared" si="32"/>
        <v>#DIV/0!</v>
      </c>
      <c r="EF59" s="14" t="e">
        <f t="shared" si="33"/>
        <v>#DIV/0!</v>
      </c>
      <c r="EG59" s="33" t="e">
        <f t="shared" si="39"/>
        <v>#DIV/0!</v>
      </c>
      <c r="EH59" s="15" t="str">
        <f t="shared" si="34"/>
        <v>MΩ</v>
      </c>
      <c r="EJ59" s="109">
        <v>5.2999999999999998E-4</v>
      </c>
      <c r="EK59" s="110" t="str">
        <f t="shared" si="40"/>
        <v>MΩ</v>
      </c>
      <c r="EL59" s="111" t="e">
        <f t="shared" si="41"/>
        <v>#DIV/0!</v>
      </c>
      <c r="EM59" s="110" t="str">
        <f t="shared" si="42"/>
        <v>MΩ</v>
      </c>
    </row>
    <row r="60" spans="2:143" ht="13.5" x14ac:dyDescent="0.25">
      <c r="B60" s="84"/>
      <c r="C60" s="69"/>
      <c r="D60" s="69"/>
      <c r="E60" s="69"/>
      <c r="F60" s="153" t="s">
        <v>150</v>
      </c>
      <c r="G60" s="153"/>
      <c r="H60" s="153"/>
      <c r="I60" s="153"/>
      <c r="J60" s="153"/>
      <c r="K60" s="153"/>
      <c r="L60" s="154">
        <v>30</v>
      </c>
      <c r="M60" s="155"/>
      <c r="N60" s="155"/>
      <c r="O60" s="155"/>
      <c r="P60" s="161" t="s">
        <v>79</v>
      </c>
      <c r="Q60" s="161"/>
      <c r="R60" s="162"/>
      <c r="S60" s="165"/>
      <c r="T60" s="165"/>
      <c r="U60" s="165"/>
      <c r="V60" s="165"/>
      <c r="W60" s="165"/>
      <c r="X60" s="165"/>
      <c r="Y60" s="165"/>
      <c r="Z60" s="165"/>
      <c r="AA60" s="165"/>
      <c r="AB60" s="165"/>
      <c r="AC60" s="165"/>
      <c r="AD60" s="165"/>
      <c r="AE60" s="165"/>
      <c r="AF60" s="165"/>
      <c r="AG60" s="165"/>
      <c r="AH60" s="166" t="e">
        <f t="shared" si="36"/>
        <v>#DIV/0!</v>
      </c>
      <c r="AI60" s="167"/>
      <c r="AJ60" s="167"/>
      <c r="AK60" s="167"/>
      <c r="AL60" s="168"/>
      <c r="AM60" s="165" t="e">
        <f t="shared" si="0"/>
        <v>#DIV/0!</v>
      </c>
      <c r="AN60" s="165"/>
      <c r="AO60" s="165"/>
      <c r="AP60" s="165"/>
      <c r="AQ60" s="165"/>
      <c r="AR60" s="89"/>
      <c r="AS60" s="89"/>
      <c r="AT60" s="89"/>
      <c r="AU60" s="89"/>
      <c r="AV60" s="89"/>
      <c r="AW60" s="69"/>
      <c r="AX60" s="69"/>
      <c r="AY60" s="69"/>
      <c r="AZ60" s="86"/>
      <c r="BC60" s="193" t="e">
        <f>(AH60*5%)+(2+CY60)</f>
        <v>#DIV/0!</v>
      </c>
      <c r="BD60" s="193"/>
      <c r="BE60" s="193"/>
      <c r="BF60" s="193"/>
      <c r="BG60" s="193"/>
      <c r="BH60" s="193" t="e">
        <f t="shared" si="1"/>
        <v>#DIV/0!</v>
      </c>
      <c r="BI60" s="193"/>
      <c r="BJ60" s="193"/>
      <c r="BK60" s="193"/>
      <c r="BL60" s="193"/>
      <c r="BM60" s="193" t="e">
        <f t="shared" si="2"/>
        <v>#DIV/0!</v>
      </c>
      <c r="BN60" s="193"/>
      <c r="BO60" s="193"/>
      <c r="BP60" s="193"/>
      <c r="BQ60" s="193"/>
      <c r="BR60" s="197" t="e">
        <f t="shared" si="37"/>
        <v>#DIV/0!</v>
      </c>
      <c r="BS60" s="197"/>
      <c r="BT60" s="197"/>
      <c r="BU60" s="197"/>
      <c r="BV60" s="197"/>
      <c r="BY60" s="5" t="s">
        <v>46</v>
      </c>
      <c r="BZ60" s="5" t="s">
        <v>47</v>
      </c>
      <c r="CA60" s="5" t="s">
        <v>48</v>
      </c>
      <c r="CB60" s="108">
        <v>1.4E-3</v>
      </c>
      <c r="CC60" s="6" t="str">
        <f t="shared" si="4"/>
        <v>MΩ</v>
      </c>
      <c r="CD60" s="5">
        <v>2</v>
      </c>
      <c r="CE60" s="7">
        <f t="shared" si="5"/>
        <v>6.9999999999999999E-4</v>
      </c>
      <c r="CF60" s="5">
        <v>1</v>
      </c>
      <c r="CG60" s="7">
        <f t="shared" si="6"/>
        <v>6.9999999999999999E-4</v>
      </c>
      <c r="CH60" s="7">
        <f t="shared" si="7"/>
        <v>4.8999999999999997E-7</v>
      </c>
      <c r="CI60" s="5">
        <v>200</v>
      </c>
      <c r="CJ60" s="7">
        <f t="shared" si="8"/>
        <v>1.2004999999999997E-15</v>
      </c>
      <c r="CK60" s="18"/>
      <c r="CL60" s="5" t="s">
        <v>174</v>
      </c>
      <c r="CM60" s="5" t="s">
        <v>49</v>
      </c>
      <c r="CN60" s="5" t="s">
        <v>48</v>
      </c>
      <c r="CO60" s="8">
        <v>0</v>
      </c>
      <c r="CP60" s="6" t="str">
        <f t="shared" si="38"/>
        <v>MΩ</v>
      </c>
      <c r="CQ60" s="9">
        <f t="shared" si="9"/>
        <v>1.7320508075688772</v>
      </c>
      <c r="CR60" s="7">
        <f t="shared" si="10"/>
        <v>0</v>
      </c>
      <c r="CS60" s="5">
        <v>1</v>
      </c>
      <c r="CT60" s="7">
        <f t="shared" si="11"/>
        <v>0</v>
      </c>
      <c r="CU60" s="7">
        <f t="shared" si="12"/>
        <v>0</v>
      </c>
      <c r="CV60" s="5">
        <v>200</v>
      </c>
      <c r="CW60" s="7">
        <f t="shared" si="13"/>
        <v>0</v>
      </c>
      <c r="CX60" s="18"/>
      <c r="CY60" s="5">
        <v>0.01</v>
      </c>
      <c r="CZ60" s="5" t="s">
        <v>80</v>
      </c>
      <c r="DA60" s="5" t="s">
        <v>49</v>
      </c>
      <c r="DB60" s="5" t="s">
        <v>48</v>
      </c>
      <c r="DC60" s="8">
        <f t="shared" si="14"/>
        <v>5.0000000000000001E-3</v>
      </c>
      <c r="DD60" s="6" t="str">
        <f t="shared" si="15"/>
        <v>MΩ</v>
      </c>
      <c r="DE60" s="9">
        <f t="shared" si="16"/>
        <v>1.7320508075688772</v>
      </c>
      <c r="DF60" s="7">
        <f t="shared" si="17"/>
        <v>2.886751345948129E-3</v>
      </c>
      <c r="DG60" s="5">
        <v>1</v>
      </c>
      <c r="DH60" s="7">
        <f t="shared" si="18"/>
        <v>2.886751345948129E-3</v>
      </c>
      <c r="DI60" s="7">
        <f t="shared" si="19"/>
        <v>8.3333333333333337E-6</v>
      </c>
      <c r="DJ60" s="5">
        <v>200</v>
      </c>
      <c r="DK60" s="7">
        <f t="shared" si="20"/>
        <v>3.4722222222222227E-13</v>
      </c>
      <c r="DL60" s="18"/>
      <c r="DM60" s="5">
        <v>3</v>
      </c>
      <c r="DN60" s="10" t="e">
        <f t="shared" si="21"/>
        <v>#DIV/0!</v>
      </c>
      <c r="DO60" s="5" t="s">
        <v>50</v>
      </c>
      <c r="DP60" s="5" t="s">
        <v>47</v>
      </c>
      <c r="DQ60" s="5" t="s">
        <v>27</v>
      </c>
      <c r="DR60" s="10" t="e">
        <f t="shared" si="22"/>
        <v>#DIV/0!</v>
      </c>
      <c r="DS60" s="6" t="str">
        <f t="shared" si="23"/>
        <v>MΩ</v>
      </c>
      <c r="DT60" s="9">
        <f t="shared" si="24"/>
        <v>1.7320508075688772</v>
      </c>
      <c r="DU60" s="10" t="e">
        <f t="shared" si="25"/>
        <v>#DIV/0!</v>
      </c>
      <c r="DV60" s="5">
        <v>1</v>
      </c>
      <c r="DW60" s="11" t="e">
        <f t="shared" si="26"/>
        <v>#DIV/0!</v>
      </c>
      <c r="DX60" s="11" t="e">
        <f t="shared" si="27"/>
        <v>#DIV/0!</v>
      </c>
      <c r="DY60" s="5">
        <v>2</v>
      </c>
      <c r="DZ60" s="12" t="e">
        <f t="shared" si="28"/>
        <v>#DIV/0!</v>
      </c>
      <c r="EA60" s="13"/>
      <c r="EB60" s="7" t="e">
        <f t="shared" si="29"/>
        <v>#DIV/0!</v>
      </c>
      <c r="EC60" s="7" t="e">
        <f t="shared" si="30"/>
        <v>#DIV/0!</v>
      </c>
      <c r="ED60" s="7" t="e">
        <f t="shared" si="31"/>
        <v>#DIV/0!</v>
      </c>
      <c r="EE60" s="8" t="e">
        <f t="shared" si="32"/>
        <v>#DIV/0!</v>
      </c>
      <c r="EF60" s="14" t="e">
        <f t="shared" si="33"/>
        <v>#DIV/0!</v>
      </c>
      <c r="EG60" s="33" t="e">
        <f t="shared" si="39"/>
        <v>#DIV/0!</v>
      </c>
      <c r="EH60" s="15" t="str">
        <f t="shared" si="34"/>
        <v>MΩ</v>
      </c>
      <c r="EJ60" s="109">
        <v>4.1000000000000003E-3</v>
      </c>
      <c r="EK60" s="110" t="str">
        <f t="shared" si="40"/>
        <v>MΩ</v>
      </c>
      <c r="EL60" s="111" t="e">
        <f t="shared" si="41"/>
        <v>#DIV/0!</v>
      </c>
      <c r="EM60" s="110" t="str">
        <f t="shared" si="42"/>
        <v>MΩ</v>
      </c>
    </row>
    <row r="61" spans="2:143" ht="13.5" x14ac:dyDescent="0.25">
      <c r="B61" s="84"/>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86"/>
      <c r="BH61" s="57"/>
      <c r="BI61" s="57"/>
      <c r="BJ61" s="57"/>
      <c r="BK61" s="57"/>
      <c r="BL61" s="57"/>
      <c r="BM61" s="57"/>
      <c r="BN61" s="57"/>
      <c r="BO61" s="57"/>
      <c r="BP61" s="57"/>
      <c r="BQ61" s="57"/>
      <c r="BR61" s="57"/>
      <c r="BS61" s="57"/>
      <c r="BT61" s="57"/>
      <c r="BU61" s="57"/>
      <c r="BV61" s="57"/>
      <c r="BY61" s="19"/>
      <c r="BZ61" s="19"/>
      <c r="CA61" s="19"/>
      <c r="CB61" s="21"/>
      <c r="CC61" s="20"/>
      <c r="CD61" s="19"/>
      <c r="CE61" s="18"/>
      <c r="CF61" s="19"/>
      <c r="CG61" s="18"/>
      <c r="CH61" s="18"/>
      <c r="CI61" s="19"/>
      <c r="CJ61" s="18"/>
      <c r="CK61" s="18"/>
      <c r="CL61" s="19"/>
      <c r="CM61" s="19"/>
      <c r="CN61" s="19"/>
      <c r="CO61" s="21"/>
      <c r="CP61" s="20"/>
      <c r="CQ61" s="22"/>
      <c r="CR61" s="18"/>
      <c r="CS61" s="19"/>
      <c r="CT61" s="18"/>
      <c r="CU61" s="18"/>
      <c r="CV61" s="19"/>
      <c r="CW61" s="18"/>
      <c r="CX61" s="18"/>
      <c r="CY61" s="19"/>
      <c r="CZ61" s="19"/>
      <c r="DA61" s="19"/>
      <c r="DB61" s="19"/>
      <c r="DC61" s="21"/>
      <c r="DD61" s="20"/>
      <c r="DE61" s="22"/>
      <c r="DF61" s="18"/>
      <c r="DG61" s="19"/>
      <c r="DH61" s="18"/>
      <c r="DI61" s="18"/>
      <c r="DJ61" s="19"/>
      <c r="DK61" s="18"/>
      <c r="DL61" s="18"/>
      <c r="DM61" s="19"/>
      <c r="DN61" s="23"/>
      <c r="DO61" s="19"/>
      <c r="DP61" s="19"/>
      <c r="DQ61" s="19"/>
      <c r="DR61" s="23"/>
      <c r="DS61" s="20"/>
      <c r="DT61" s="22"/>
      <c r="DU61" s="23"/>
      <c r="DV61" s="19"/>
      <c r="DW61" s="24"/>
      <c r="DX61" s="24"/>
      <c r="DY61" s="19"/>
      <c r="DZ61" s="25"/>
      <c r="EA61" s="13"/>
      <c r="EB61" s="18"/>
      <c r="EC61" s="18"/>
      <c r="ED61" s="18"/>
      <c r="EE61" s="21"/>
      <c r="EF61" s="26"/>
      <c r="EG61" s="27"/>
      <c r="EH61" s="28"/>
    </row>
    <row r="62" spans="2:143" ht="13.5" x14ac:dyDescent="0.25">
      <c r="B62" s="84"/>
      <c r="C62" s="69"/>
      <c r="D62" s="63"/>
      <c r="E62" s="69"/>
      <c r="F62" s="85" t="s">
        <v>135</v>
      </c>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86"/>
    </row>
    <row r="63" spans="2:143" ht="13.5" customHeight="1" x14ac:dyDescent="0.25">
      <c r="B63" s="84"/>
      <c r="C63" s="69"/>
      <c r="D63" s="63"/>
      <c r="E63" s="63"/>
      <c r="F63" s="164" t="s">
        <v>74</v>
      </c>
      <c r="G63" s="164"/>
      <c r="H63" s="164"/>
      <c r="I63" s="164"/>
      <c r="J63" s="164"/>
      <c r="K63" s="164"/>
      <c r="L63" s="164" t="s">
        <v>136</v>
      </c>
      <c r="M63" s="164"/>
      <c r="N63" s="164"/>
      <c r="O63" s="164"/>
      <c r="P63" s="164"/>
      <c r="Q63" s="164"/>
      <c r="R63" s="164"/>
      <c r="S63" s="164" t="s">
        <v>137</v>
      </c>
      <c r="T63" s="164"/>
      <c r="U63" s="164"/>
      <c r="V63" s="164"/>
      <c r="W63" s="164"/>
      <c r="X63" s="164"/>
      <c r="Y63" s="164"/>
      <c r="Z63" s="164"/>
      <c r="AA63" s="164"/>
      <c r="AB63" s="164"/>
      <c r="AC63" s="164"/>
      <c r="AD63" s="164"/>
      <c r="AE63" s="164"/>
      <c r="AF63" s="164"/>
      <c r="AG63" s="164"/>
      <c r="AH63" s="164"/>
      <c r="AI63" s="164" t="s">
        <v>119</v>
      </c>
      <c r="AJ63" s="164"/>
      <c r="AK63" s="164"/>
      <c r="AL63" s="164"/>
      <c r="AM63" s="164"/>
      <c r="AN63" s="164"/>
      <c r="AO63" s="164"/>
      <c r="AP63" s="69"/>
      <c r="AQ63" s="69"/>
      <c r="AR63" s="69"/>
      <c r="AS63" s="69"/>
      <c r="AT63" s="69"/>
      <c r="AU63" s="69"/>
      <c r="AV63" s="69"/>
      <c r="AW63" s="69"/>
      <c r="AX63" s="69"/>
      <c r="AY63" s="69"/>
      <c r="AZ63" s="86"/>
      <c r="BC63" s="198" t="s">
        <v>155</v>
      </c>
      <c r="BD63" s="198"/>
      <c r="BE63" s="198"/>
      <c r="BF63" s="198"/>
      <c r="BG63" s="198"/>
    </row>
    <row r="64" spans="2:143" ht="13.5" x14ac:dyDescent="0.25">
      <c r="B64" s="84"/>
      <c r="C64" s="69"/>
      <c r="D64" s="63"/>
      <c r="E64" s="63"/>
      <c r="F64" s="164"/>
      <c r="G64" s="164"/>
      <c r="H64" s="164"/>
      <c r="I64" s="164"/>
      <c r="J64" s="164"/>
      <c r="K64" s="164"/>
      <c r="L64" s="164"/>
      <c r="M64" s="164"/>
      <c r="N64" s="164"/>
      <c r="O64" s="164"/>
      <c r="P64" s="164"/>
      <c r="Q64" s="164"/>
      <c r="R64" s="164"/>
      <c r="S64" s="164" t="s">
        <v>138</v>
      </c>
      <c r="T64" s="164"/>
      <c r="U64" s="164"/>
      <c r="V64" s="164"/>
      <c r="W64" s="164"/>
      <c r="X64" s="164"/>
      <c r="Y64" s="164"/>
      <c r="Z64" s="164"/>
      <c r="AA64" s="164" t="s">
        <v>139</v>
      </c>
      <c r="AB64" s="164"/>
      <c r="AC64" s="164"/>
      <c r="AD64" s="164"/>
      <c r="AE64" s="164"/>
      <c r="AF64" s="164"/>
      <c r="AG64" s="164"/>
      <c r="AH64" s="164"/>
      <c r="AI64" s="164"/>
      <c r="AJ64" s="164"/>
      <c r="AK64" s="164"/>
      <c r="AL64" s="164"/>
      <c r="AM64" s="164"/>
      <c r="AN64" s="164"/>
      <c r="AO64" s="164"/>
      <c r="AP64" s="69"/>
      <c r="AQ64" s="69"/>
      <c r="AR64" s="69"/>
      <c r="AS64" s="69"/>
      <c r="AT64" s="69"/>
      <c r="AU64" s="69"/>
      <c r="AV64" s="69"/>
      <c r="AW64" s="69"/>
      <c r="AX64" s="69"/>
      <c r="AY64" s="69"/>
      <c r="AZ64" s="86"/>
      <c r="BC64" s="198"/>
      <c r="BD64" s="198"/>
      <c r="BE64" s="198"/>
      <c r="BF64" s="198"/>
      <c r="BG64" s="198"/>
    </row>
    <row r="65" spans="2:143" ht="13.5" x14ac:dyDescent="0.25">
      <c r="B65" s="84"/>
      <c r="C65" s="69"/>
      <c r="D65" s="63"/>
      <c r="E65" s="63"/>
      <c r="F65" s="153" t="s">
        <v>133</v>
      </c>
      <c r="G65" s="153"/>
      <c r="H65" s="153"/>
      <c r="I65" s="153"/>
      <c r="J65" s="153"/>
      <c r="K65" s="153"/>
      <c r="L65" s="154">
        <v>25</v>
      </c>
      <c r="M65" s="155"/>
      <c r="N65" s="155"/>
      <c r="O65" s="155"/>
      <c r="P65" s="161" t="s">
        <v>78</v>
      </c>
      <c r="Q65" s="161"/>
      <c r="R65" s="162"/>
      <c r="S65" s="153" t="s">
        <v>140</v>
      </c>
      <c r="T65" s="153"/>
      <c r="U65" s="153"/>
      <c r="V65" s="153"/>
      <c r="W65" s="153"/>
      <c r="X65" s="153"/>
      <c r="Y65" s="153"/>
      <c r="Z65" s="153"/>
      <c r="AA65" s="153" t="s">
        <v>140</v>
      </c>
      <c r="AB65" s="153"/>
      <c r="AC65" s="153"/>
      <c r="AD65" s="153"/>
      <c r="AE65" s="153"/>
      <c r="AF65" s="153"/>
      <c r="AG65" s="153"/>
      <c r="AH65" s="153"/>
      <c r="AI65" s="153" t="str">
        <f>IF(AA65=S65,"PASS","FAIL")</f>
        <v>PASS</v>
      </c>
      <c r="AJ65" s="153"/>
      <c r="AK65" s="153"/>
      <c r="AL65" s="153"/>
      <c r="AM65" s="153"/>
      <c r="AN65" s="153"/>
      <c r="AO65" s="153"/>
      <c r="AP65" s="69"/>
      <c r="AQ65" s="69"/>
      <c r="AR65" s="69"/>
      <c r="AS65" s="69"/>
      <c r="AT65" s="69"/>
      <c r="AU65" s="69"/>
      <c r="AV65" s="69"/>
      <c r="AW65" s="69"/>
      <c r="AX65" s="69"/>
      <c r="AY65" s="69"/>
      <c r="AZ65" s="86"/>
      <c r="BC65" s="191" t="s">
        <v>156</v>
      </c>
      <c r="BD65" s="191"/>
      <c r="BE65" s="191"/>
      <c r="BF65" s="191"/>
      <c r="BG65" s="191"/>
    </row>
    <row r="66" spans="2:143" ht="13.5" x14ac:dyDescent="0.25">
      <c r="B66" s="84"/>
      <c r="C66" s="69"/>
      <c r="D66" s="63"/>
      <c r="E66" s="63"/>
      <c r="F66" s="153" t="s">
        <v>133</v>
      </c>
      <c r="G66" s="153"/>
      <c r="H66" s="153"/>
      <c r="I66" s="153"/>
      <c r="J66" s="153"/>
      <c r="K66" s="153"/>
      <c r="L66" s="154">
        <v>250</v>
      </c>
      <c r="M66" s="155"/>
      <c r="N66" s="155"/>
      <c r="O66" s="155"/>
      <c r="P66" s="161" t="s">
        <v>78</v>
      </c>
      <c r="Q66" s="161"/>
      <c r="R66" s="162"/>
      <c r="S66" s="153" t="s">
        <v>141</v>
      </c>
      <c r="T66" s="153"/>
      <c r="U66" s="153"/>
      <c r="V66" s="153"/>
      <c r="W66" s="153"/>
      <c r="X66" s="153"/>
      <c r="Y66" s="153"/>
      <c r="Z66" s="153"/>
      <c r="AA66" s="153" t="s">
        <v>141</v>
      </c>
      <c r="AB66" s="153"/>
      <c r="AC66" s="153"/>
      <c r="AD66" s="153"/>
      <c r="AE66" s="153"/>
      <c r="AF66" s="153"/>
      <c r="AG66" s="153"/>
      <c r="AH66" s="153"/>
      <c r="AI66" s="153" t="str">
        <f>IF(AA66=S66,"PASS","FAIL")</f>
        <v>PASS</v>
      </c>
      <c r="AJ66" s="153"/>
      <c r="AK66" s="153"/>
      <c r="AL66" s="153"/>
      <c r="AM66" s="153"/>
      <c r="AN66" s="153"/>
      <c r="AO66" s="153"/>
      <c r="AP66" s="69"/>
      <c r="AQ66" s="69"/>
      <c r="AR66" s="69"/>
      <c r="AS66" s="69"/>
      <c r="AT66" s="69"/>
      <c r="AU66" s="69"/>
      <c r="AV66" s="69"/>
      <c r="AW66" s="69"/>
      <c r="AX66" s="69"/>
      <c r="AY66" s="69"/>
      <c r="AZ66" s="86"/>
      <c r="BC66" s="191" t="s">
        <v>157</v>
      </c>
      <c r="BD66" s="191"/>
      <c r="BE66" s="191"/>
      <c r="BF66" s="191"/>
      <c r="BG66" s="191"/>
    </row>
    <row r="67" spans="2:143" ht="13.5" x14ac:dyDescent="0.25">
      <c r="B67" s="84"/>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86"/>
    </row>
    <row r="68" spans="2:143" ht="13.5" x14ac:dyDescent="0.25">
      <c r="B68" s="84"/>
      <c r="C68" s="69"/>
      <c r="D68" s="63"/>
      <c r="E68" s="69"/>
      <c r="F68" s="85" t="s">
        <v>118</v>
      </c>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86"/>
      <c r="BY68" s="196" t="s">
        <v>72</v>
      </c>
      <c r="BZ68" s="196"/>
      <c r="CA68" s="196"/>
      <c r="CB68" s="196"/>
      <c r="CC68" s="196"/>
      <c r="CD68" s="196"/>
      <c r="CE68" s="196"/>
      <c r="CF68" s="196"/>
      <c r="CG68" s="196"/>
      <c r="CH68" s="196"/>
      <c r="CI68" s="196"/>
      <c r="CJ68" s="196"/>
      <c r="CK68" s="16"/>
      <c r="CL68" s="196"/>
      <c r="CM68" s="196"/>
      <c r="CN68" s="196"/>
      <c r="CO68" s="196"/>
      <c r="CP68" s="196"/>
      <c r="CQ68" s="196"/>
      <c r="CR68" s="196"/>
      <c r="CS68" s="196"/>
      <c r="CT68" s="196"/>
      <c r="CU68" s="196"/>
      <c r="CV68" s="196"/>
      <c r="CW68" s="196"/>
      <c r="CX68" s="16"/>
      <c r="CY68" s="196" t="s">
        <v>34</v>
      </c>
      <c r="CZ68" s="196"/>
      <c r="DA68" s="196"/>
      <c r="DB68" s="196"/>
      <c r="DC68" s="196"/>
      <c r="DD68" s="196"/>
      <c r="DE68" s="196"/>
      <c r="DF68" s="196"/>
      <c r="DG68" s="196"/>
      <c r="DH68" s="196"/>
      <c r="DI68" s="196"/>
      <c r="DJ68" s="196"/>
      <c r="DK68" s="196"/>
      <c r="DL68" s="16"/>
      <c r="DM68" s="196" t="s">
        <v>57</v>
      </c>
      <c r="DN68" s="196"/>
      <c r="DO68" s="196"/>
      <c r="DP68" s="196"/>
      <c r="DQ68" s="196"/>
      <c r="DR68" s="196"/>
      <c r="DS68" s="196"/>
      <c r="DT68" s="196"/>
      <c r="DU68" s="196"/>
      <c r="DV68" s="196"/>
      <c r="DW68" s="196"/>
      <c r="DX68" s="196"/>
      <c r="DY68" s="196"/>
      <c r="DZ68" s="196"/>
      <c r="EB68" s="196" t="s">
        <v>60</v>
      </c>
      <c r="EC68" s="196"/>
      <c r="ED68" s="196"/>
      <c r="EE68" s="196"/>
      <c r="EF68" s="196"/>
      <c r="EG68" s="196"/>
      <c r="EH68" s="196"/>
      <c r="EJ68" s="276" t="s">
        <v>188</v>
      </c>
      <c r="EK68" s="277"/>
      <c r="EL68" s="276" t="s">
        <v>189</v>
      </c>
      <c r="EM68" s="277"/>
    </row>
    <row r="69" spans="2:143" ht="13.5" customHeight="1" x14ac:dyDescent="0.25">
      <c r="B69" s="84"/>
      <c r="C69" s="69"/>
      <c r="D69" s="63"/>
      <c r="E69" s="63"/>
      <c r="F69" s="164" t="s">
        <v>74</v>
      </c>
      <c r="G69" s="164"/>
      <c r="H69" s="164"/>
      <c r="I69" s="164"/>
      <c r="J69" s="164"/>
      <c r="K69" s="164"/>
      <c r="L69" s="164" t="s">
        <v>83</v>
      </c>
      <c r="M69" s="164"/>
      <c r="N69" s="164"/>
      <c r="O69" s="164"/>
      <c r="P69" s="164"/>
      <c r="Q69" s="164"/>
      <c r="R69" s="164"/>
      <c r="S69" s="164" t="s">
        <v>127</v>
      </c>
      <c r="T69" s="164"/>
      <c r="U69" s="164"/>
      <c r="V69" s="164"/>
      <c r="W69" s="164"/>
      <c r="X69" s="164" t="s">
        <v>116</v>
      </c>
      <c r="Y69" s="164"/>
      <c r="Z69" s="164"/>
      <c r="AA69" s="164"/>
      <c r="AB69" s="164"/>
      <c r="AC69" s="164"/>
      <c r="AD69" s="164"/>
      <c r="AE69" s="164"/>
      <c r="AF69" s="164"/>
      <c r="AG69" s="164"/>
      <c r="AH69" s="164"/>
      <c r="AI69" s="164"/>
      <c r="AJ69" s="164"/>
      <c r="AK69" s="164"/>
      <c r="AL69" s="164"/>
      <c r="AM69" s="164" t="s">
        <v>128</v>
      </c>
      <c r="AN69" s="164"/>
      <c r="AO69" s="164"/>
      <c r="AP69" s="164"/>
      <c r="AQ69" s="164"/>
      <c r="AR69" s="164" t="s">
        <v>85</v>
      </c>
      <c r="AS69" s="164"/>
      <c r="AT69" s="164"/>
      <c r="AU69" s="164"/>
      <c r="AV69" s="164"/>
      <c r="AW69" s="69"/>
      <c r="AX69" s="69"/>
      <c r="AY69" s="69"/>
      <c r="AZ69" s="86"/>
      <c r="BC69" s="198" t="s">
        <v>155</v>
      </c>
      <c r="BD69" s="198"/>
      <c r="BE69" s="198"/>
      <c r="BF69" s="198"/>
      <c r="BG69" s="198"/>
      <c r="BH69" s="198" t="s">
        <v>120</v>
      </c>
      <c r="BI69" s="198"/>
      <c r="BJ69" s="198"/>
      <c r="BK69" s="198"/>
      <c r="BL69" s="198"/>
      <c r="BM69" s="198" t="s">
        <v>121</v>
      </c>
      <c r="BN69" s="198"/>
      <c r="BO69" s="198"/>
      <c r="BP69" s="198"/>
      <c r="BQ69" s="198"/>
      <c r="BR69" s="198" t="s">
        <v>119</v>
      </c>
      <c r="BS69" s="198"/>
      <c r="BT69" s="198"/>
      <c r="BU69" s="198"/>
      <c r="BV69" s="198"/>
      <c r="BY69" s="195" t="s">
        <v>28</v>
      </c>
      <c r="BZ69" s="195" t="s">
        <v>29</v>
      </c>
      <c r="CA69" s="195" t="s">
        <v>30</v>
      </c>
      <c r="CB69" s="2" t="s">
        <v>31</v>
      </c>
      <c r="CC69" s="195" t="s">
        <v>32</v>
      </c>
      <c r="CD69" s="195" t="s">
        <v>33</v>
      </c>
      <c r="CE69" s="195" t="s">
        <v>51</v>
      </c>
      <c r="CF69" s="195" t="s">
        <v>52</v>
      </c>
      <c r="CG69" s="195" t="s">
        <v>53</v>
      </c>
      <c r="CH69" s="195" t="s">
        <v>54</v>
      </c>
      <c r="CI69" s="195" t="s">
        <v>55</v>
      </c>
      <c r="CJ69" s="195" t="s">
        <v>56</v>
      </c>
      <c r="CK69" s="17"/>
      <c r="CL69" s="195" t="s">
        <v>28</v>
      </c>
      <c r="CM69" s="195" t="s">
        <v>29</v>
      </c>
      <c r="CN69" s="195" t="s">
        <v>30</v>
      </c>
      <c r="CO69" s="2" t="s">
        <v>31</v>
      </c>
      <c r="CP69" s="195" t="s">
        <v>32</v>
      </c>
      <c r="CQ69" s="195" t="s">
        <v>33</v>
      </c>
      <c r="CR69" s="195" t="s">
        <v>51</v>
      </c>
      <c r="CS69" s="195" t="s">
        <v>52</v>
      </c>
      <c r="CT69" s="195" t="s">
        <v>53</v>
      </c>
      <c r="CU69" s="195" t="s">
        <v>54</v>
      </c>
      <c r="CV69" s="195" t="s">
        <v>55</v>
      </c>
      <c r="CW69" s="195" t="s">
        <v>56</v>
      </c>
      <c r="CX69" s="17"/>
      <c r="CY69" s="195" t="s">
        <v>34</v>
      </c>
      <c r="CZ69" s="195" t="s">
        <v>28</v>
      </c>
      <c r="DA69" s="195" t="s">
        <v>29</v>
      </c>
      <c r="DB69" s="195" t="s">
        <v>30</v>
      </c>
      <c r="DC69" s="2" t="s">
        <v>31</v>
      </c>
      <c r="DD69" s="195" t="s">
        <v>32</v>
      </c>
      <c r="DE69" s="195" t="s">
        <v>33</v>
      </c>
      <c r="DF69" s="195" t="s">
        <v>51</v>
      </c>
      <c r="DG69" s="195" t="s">
        <v>52</v>
      </c>
      <c r="DH69" s="195" t="s">
        <v>53</v>
      </c>
      <c r="DI69" s="195" t="s">
        <v>54</v>
      </c>
      <c r="DJ69" s="195" t="s">
        <v>55</v>
      </c>
      <c r="DK69" s="195" t="s">
        <v>56</v>
      </c>
      <c r="DL69" s="17"/>
      <c r="DM69" s="195" t="s">
        <v>35</v>
      </c>
      <c r="DN69" s="200" t="s">
        <v>36</v>
      </c>
      <c r="DO69" s="195" t="s">
        <v>28</v>
      </c>
      <c r="DP69" s="195" t="s">
        <v>29</v>
      </c>
      <c r="DQ69" s="195" t="s">
        <v>30</v>
      </c>
      <c r="DR69" s="2" t="s">
        <v>31</v>
      </c>
      <c r="DS69" s="195" t="s">
        <v>32</v>
      </c>
      <c r="DT69" s="195" t="s">
        <v>33</v>
      </c>
      <c r="DU69" s="195" t="s">
        <v>51</v>
      </c>
      <c r="DV69" s="195" t="s">
        <v>52</v>
      </c>
      <c r="DW69" s="195" t="s">
        <v>53</v>
      </c>
      <c r="DX69" s="195" t="s">
        <v>54</v>
      </c>
      <c r="DY69" s="195" t="s">
        <v>55</v>
      </c>
      <c r="DZ69" s="195" t="s">
        <v>56</v>
      </c>
      <c r="EA69" s="3"/>
      <c r="EB69" s="54" t="s">
        <v>58</v>
      </c>
      <c r="EC69" s="54" t="s">
        <v>37</v>
      </c>
      <c r="ED69" s="54" t="s">
        <v>38</v>
      </c>
      <c r="EE69" s="4" t="s">
        <v>39</v>
      </c>
      <c r="EF69" s="54" t="s">
        <v>61</v>
      </c>
      <c r="EG69" s="195" t="s">
        <v>40</v>
      </c>
      <c r="EH69" s="195"/>
      <c r="EJ69" s="278"/>
      <c r="EK69" s="279"/>
      <c r="EL69" s="278"/>
      <c r="EM69" s="279"/>
    </row>
    <row r="70" spans="2:143" ht="13.5" x14ac:dyDescent="0.25">
      <c r="B70" s="84"/>
      <c r="C70" s="69"/>
      <c r="D70" s="63"/>
      <c r="E70" s="63"/>
      <c r="F70" s="164"/>
      <c r="G70" s="164"/>
      <c r="H70" s="164"/>
      <c r="I70" s="164"/>
      <c r="J70" s="164"/>
      <c r="K70" s="164"/>
      <c r="L70" s="164"/>
      <c r="M70" s="164"/>
      <c r="N70" s="164"/>
      <c r="O70" s="164"/>
      <c r="P70" s="164"/>
      <c r="Q70" s="164"/>
      <c r="R70" s="164"/>
      <c r="S70" s="164"/>
      <c r="T70" s="164"/>
      <c r="U70" s="164"/>
      <c r="V70" s="164"/>
      <c r="W70" s="164"/>
      <c r="X70" s="164">
        <v>1</v>
      </c>
      <c r="Y70" s="164"/>
      <c r="Z70" s="164"/>
      <c r="AA70" s="164"/>
      <c r="AB70" s="164"/>
      <c r="AC70" s="164">
        <v>2</v>
      </c>
      <c r="AD70" s="164"/>
      <c r="AE70" s="164"/>
      <c r="AF70" s="164"/>
      <c r="AG70" s="164"/>
      <c r="AH70" s="164">
        <v>3</v>
      </c>
      <c r="AI70" s="164"/>
      <c r="AJ70" s="164"/>
      <c r="AK70" s="164"/>
      <c r="AL70" s="164"/>
      <c r="AM70" s="164"/>
      <c r="AN70" s="164"/>
      <c r="AO70" s="164"/>
      <c r="AP70" s="164"/>
      <c r="AQ70" s="164"/>
      <c r="AR70" s="164"/>
      <c r="AS70" s="164"/>
      <c r="AT70" s="164"/>
      <c r="AU70" s="164"/>
      <c r="AV70" s="164"/>
      <c r="AW70" s="69"/>
      <c r="AX70" s="69"/>
      <c r="AY70" s="69"/>
      <c r="AZ70" s="86"/>
      <c r="BC70" s="198"/>
      <c r="BD70" s="198"/>
      <c r="BE70" s="198"/>
      <c r="BF70" s="198"/>
      <c r="BG70" s="198"/>
      <c r="BH70" s="198"/>
      <c r="BI70" s="198"/>
      <c r="BJ70" s="198"/>
      <c r="BK70" s="198"/>
      <c r="BL70" s="198"/>
      <c r="BM70" s="198"/>
      <c r="BN70" s="198"/>
      <c r="BO70" s="198"/>
      <c r="BP70" s="198"/>
      <c r="BQ70" s="198"/>
      <c r="BR70" s="198"/>
      <c r="BS70" s="198"/>
      <c r="BT70" s="198"/>
      <c r="BU70" s="198"/>
      <c r="BV70" s="198"/>
      <c r="BY70" s="195"/>
      <c r="BZ70" s="195"/>
      <c r="CA70" s="195"/>
      <c r="CB70" s="54" t="s">
        <v>41</v>
      </c>
      <c r="CC70" s="195"/>
      <c r="CD70" s="195"/>
      <c r="CE70" s="195"/>
      <c r="CF70" s="195"/>
      <c r="CG70" s="195"/>
      <c r="CH70" s="195"/>
      <c r="CI70" s="195"/>
      <c r="CJ70" s="195"/>
      <c r="CK70" s="17"/>
      <c r="CL70" s="195"/>
      <c r="CM70" s="195"/>
      <c r="CN70" s="195"/>
      <c r="CO70" s="54" t="s">
        <v>41</v>
      </c>
      <c r="CP70" s="195"/>
      <c r="CQ70" s="195"/>
      <c r="CR70" s="195"/>
      <c r="CS70" s="195"/>
      <c r="CT70" s="195"/>
      <c r="CU70" s="195"/>
      <c r="CV70" s="195"/>
      <c r="CW70" s="195"/>
      <c r="CX70" s="17"/>
      <c r="CY70" s="195"/>
      <c r="CZ70" s="195"/>
      <c r="DA70" s="195"/>
      <c r="DB70" s="195"/>
      <c r="DC70" s="54" t="s">
        <v>41</v>
      </c>
      <c r="DD70" s="195"/>
      <c r="DE70" s="195"/>
      <c r="DF70" s="195"/>
      <c r="DG70" s="195"/>
      <c r="DH70" s="195"/>
      <c r="DI70" s="195"/>
      <c r="DJ70" s="195"/>
      <c r="DK70" s="195"/>
      <c r="DL70" s="17"/>
      <c r="DM70" s="195"/>
      <c r="DN70" s="200"/>
      <c r="DO70" s="195"/>
      <c r="DP70" s="195"/>
      <c r="DQ70" s="195"/>
      <c r="DR70" s="54" t="s">
        <v>41</v>
      </c>
      <c r="DS70" s="195"/>
      <c r="DT70" s="195"/>
      <c r="DU70" s="195"/>
      <c r="DV70" s="195"/>
      <c r="DW70" s="195"/>
      <c r="DX70" s="195"/>
      <c r="DY70" s="195"/>
      <c r="DZ70" s="195"/>
      <c r="EA70" s="3"/>
      <c r="EB70" s="54" t="s">
        <v>54</v>
      </c>
      <c r="EC70" s="54" t="s">
        <v>59</v>
      </c>
      <c r="ED70" s="54" t="s">
        <v>42</v>
      </c>
      <c r="EE70" s="4" t="s">
        <v>43</v>
      </c>
      <c r="EF70" s="54" t="s">
        <v>44</v>
      </c>
      <c r="EG70" s="195" t="s">
        <v>45</v>
      </c>
      <c r="EH70" s="195"/>
      <c r="EJ70" s="280"/>
      <c r="EK70" s="281"/>
      <c r="EL70" s="280"/>
      <c r="EM70" s="281"/>
    </row>
    <row r="71" spans="2:143" ht="13.5" x14ac:dyDescent="0.25">
      <c r="B71" s="84"/>
      <c r="C71" s="69"/>
      <c r="D71" s="69"/>
      <c r="E71" s="69"/>
      <c r="F71" s="153" t="s">
        <v>124</v>
      </c>
      <c r="G71" s="153"/>
      <c r="H71" s="153"/>
      <c r="I71" s="153"/>
      <c r="J71" s="153"/>
      <c r="K71" s="153"/>
      <c r="L71" s="154">
        <v>5</v>
      </c>
      <c r="M71" s="155"/>
      <c r="N71" s="155"/>
      <c r="O71" s="155"/>
      <c r="P71" s="161" t="s">
        <v>77</v>
      </c>
      <c r="Q71" s="161"/>
      <c r="R71" s="162"/>
      <c r="S71" s="194" t="s">
        <v>129</v>
      </c>
      <c r="T71" s="194"/>
      <c r="U71" s="194"/>
      <c r="V71" s="194"/>
      <c r="W71" s="194"/>
      <c r="X71" s="163"/>
      <c r="Y71" s="163"/>
      <c r="Z71" s="163"/>
      <c r="AA71" s="163"/>
      <c r="AB71" s="163"/>
      <c r="AC71" s="163"/>
      <c r="AD71" s="163"/>
      <c r="AE71" s="163"/>
      <c r="AF71" s="163"/>
      <c r="AG71" s="163"/>
      <c r="AH71" s="163"/>
      <c r="AI71" s="163"/>
      <c r="AJ71" s="163"/>
      <c r="AK71" s="163"/>
      <c r="AL71" s="163"/>
      <c r="AM71" s="163" t="e">
        <f>AVERAGE(X71:AL71)</f>
        <v>#DIV/0!</v>
      </c>
      <c r="AN71" s="163"/>
      <c r="AO71" s="163"/>
      <c r="AP71" s="163"/>
      <c r="AQ71" s="163"/>
      <c r="AR71" s="163" t="e">
        <f>AM71-L71</f>
        <v>#DIV/0!</v>
      </c>
      <c r="AS71" s="163"/>
      <c r="AT71" s="163"/>
      <c r="AU71" s="163"/>
      <c r="AV71" s="163"/>
      <c r="AW71" s="69"/>
      <c r="AX71" s="69"/>
      <c r="AY71" s="69"/>
      <c r="AZ71" s="86"/>
      <c r="BC71" s="192" t="e">
        <f>(AM71*1%)+(3*CY71)</f>
        <v>#DIV/0!</v>
      </c>
      <c r="BD71" s="192"/>
      <c r="BE71" s="192"/>
      <c r="BF71" s="192"/>
      <c r="BG71" s="192"/>
      <c r="BH71" s="192" t="e">
        <f>L71+BC71</f>
        <v>#DIV/0!</v>
      </c>
      <c r="BI71" s="192"/>
      <c r="BJ71" s="192"/>
      <c r="BK71" s="192"/>
      <c r="BL71" s="192"/>
      <c r="BM71" s="192" t="e">
        <f>L71-BC71</f>
        <v>#DIV/0!</v>
      </c>
      <c r="BN71" s="192"/>
      <c r="BO71" s="192"/>
      <c r="BP71" s="192"/>
      <c r="BQ71" s="192"/>
      <c r="BR71" s="197" t="e">
        <f>IF(AND(AM71&lt;=BH71,AM71&gt;=BM71),"PASS","FAIL")</f>
        <v>#DIV/0!</v>
      </c>
      <c r="BS71" s="197"/>
      <c r="BT71" s="197"/>
      <c r="BU71" s="197"/>
      <c r="BV71" s="197"/>
      <c r="BY71" s="5" t="s">
        <v>46</v>
      </c>
      <c r="BZ71" s="5" t="s">
        <v>47</v>
      </c>
      <c r="CA71" s="5" t="s">
        <v>48</v>
      </c>
      <c r="CB71" s="108">
        <v>9.2999999999999992E-3</v>
      </c>
      <c r="CC71" s="6" t="str">
        <f t="shared" ref="CC71:CC76" si="43">P71</f>
        <v>V</v>
      </c>
      <c r="CD71" s="5">
        <v>2</v>
      </c>
      <c r="CE71" s="7">
        <f t="shared" ref="CE71" si="44">CB71/CD71</f>
        <v>4.6499999999999996E-3</v>
      </c>
      <c r="CF71" s="5">
        <v>1</v>
      </c>
      <c r="CG71" s="7">
        <f t="shared" ref="CG71" si="45">CE71*CF71</f>
        <v>4.6499999999999996E-3</v>
      </c>
      <c r="CH71" s="7">
        <f t="shared" ref="CH71" si="46">CG71^2</f>
        <v>2.1622499999999995E-5</v>
      </c>
      <c r="CI71" s="5">
        <v>200</v>
      </c>
      <c r="CJ71" s="7">
        <f t="shared" ref="CJ71" si="47">CG71^4/CI71</f>
        <v>2.3376625312499992E-12</v>
      </c>
      <c r="CK71" s="18"/>
      <c r="CL71" s="5" t="s">
        <v>174</v>
      </c>
      <c r="CM71" s="5" t="s">
        <v>49</v>
      </c>
      <c r="CN71" s="5" t="s">
        <v>48</v>
      </c>
      <c r="CO71" s="8">
        <v>0</v>
      </c>
      <c r="CP71" s="6" t="str">
        <f t="shared" ref="CP71:CP76" si="48">CC71</f>
        <v>V</v>
      </c>
      <c r="CQ71" s="9">
        <f t="shared" ref="CQ71:CQ76" si="49">SQRT(3)</f>
        <v>1.7320508075688772</v>
      </c>
      <c r="CR71" s="7">
        <f t="shared" ref="CR71:CR76" si="50">CO71/CQ71</f>
        <v>0</v>
      </c>
      <c r="CS71" s="5">
        <v>1</v>
      </c>
      <c r="CT71" s="7">
        <f t="shared" ref="CT71:CT76" si="51">CR71*CS71</f>
        <v>0</v>
      </c>
      <c r="CU71" s="7">
        <f t="shared" ref="CU71:CU76" si="52">CT71^2</f>
        <v>0</v>
      </c>
      <c r="CV71" s="5">
        <v>200</v>
      </c>
      <c r="CW71" s="7">
        <f t="shared" ref="CW71:CW76" si="53">CT71^4/CV71</f>
        <v>0</v>
      </c>
      <c r="CX71" s="18"/>
      <c r="CY71" s="5">
        <v>1E-3</v>
      </c>
      <c r="CZ71" s="5" t="s">
        <v>80</v>
      </c>
      <c r="DA71" s="5" t="s">
        <v>49</v>
      </c>
      <c r="DB71" s="5" t="s">
        <v>48</v>
      </c>
      <c r="DC71" s="8">
        <f t="shared" ref="DC71" si="54">CY71/2</f>
        <v>5.0000000000000001E-4</v>
      </c>
      <c r="DD71" s="6" t="str">
        <f t="shared" ref="DD71:DD76" si="55">P71</f>
        <v>V</v>
      </c>
      <c r="DE71" s="9">
        <f t="shared" ref="DE71:DE76" si="56">SQRT(3)</f>
        <v>1.7320508075688772</v>
      </c>
      <c r="DF71" s="7">
        <f t="shared" ref="DF71" si="57">DC71/DE71</f>
        <v>2.886751345948129E-4</v>
      </c>
      <c r="DG71" s="5">
        <v>1</v>
      </c>
      <c r="DH71" s="7">
        <f t="shared" ref="DH71" si="58">DF71*DG71</f>
        <v>2.886751345948129E-4</v>
      </c>
      <c r="DI71" s="7">
        <f t="shared" ref="DI71" si="59">DH71^2</f>
        <v>8.3333333333333338E-8</v>
      </c>
      <c r="DJ71" s="5">
        <v>200</v>
      </c>
      <c r="DK71" s="7">
        <f t="shared" ref="DK71" si="60">DH71^4/DJ71</f>
        <v>3.4722222222222225E-17</v>
      </c>
      <c r="DL71" s="18"/>
      <c r="DM71" s="5">
        <v>3</v>
      </c>
      <c r="DN71" s="10" t="e">
        <f t="shared" ref="DN71:DN76" si="61">STDEV(X71:AL71)</f>
        <v>#DIV/0!</v>
      </c>
      <c r="DO71" s="5" t="s">
        <v>50</v>
      </c>
      <c r="DP71" s="5" t="s">
        <v>47</v>
      </c>
      <c r="DQ71" s="5" t="s">
        <v>27</v>
      </c>
      <c r="DR71" s="10" t="e">
        <f t="shared" ref="DR71" si="62">DN71</f>
        <v>#DIV/0!</v>
      </c>
      <c r="DS71" s="6" t="str">
        <f t="shared" ref="DS71:DS76" si="63">P71</f>
        <v>V</v>
      </c>
      <c r="DT71" s="9">
        <f t="shared" ref="DT71" si="64">SQRT(DM71)</f>
        <v>1.7320508075688772</v>
      </c>
      <c r="DU71" s="10" t="e">
        <f t="shared" ref="DU71" si="65">DR71/DT71</f>
        <v>#DIV/0!</v>
      </c>
      <c r="DV71" s="5">
        <v>1</v>
      </c>
      <c r="DW71" s="11" t="e">
        <f t="shared" ref="DW71" si="66">DU71*DV71</f>
        <v>#DIV/0!</v>
      </c>
      <c r="DX71" s="11" t="e">
        <f t="shared" ref="DX71" si="67">DW71^2</f>
        <v>#DIV/0!</v>
      </c>
      <c r="DY71" s="5">
        <v>2</v>
      </c>
      <c r="DZ71" s="12" t="e">
        <f t="shared" ref="DZ71" si="68">DW71^4/DY71</f>
        <v>#DIV/0!</v>
      </c>
      <c r="EA71" s="13"/>
      <c r="EB71" s="7" t="e">
        <f t="shared" ref="EB71:EB76" si="69">CH71+DI71+DX71</f>
        <v>#DIV/0!</v>
      </c>
      <c r="EC71" s="7" t="e">
        <f t="shared" ref="EC71:EC76" si="70">CJ71+DK71+DZ71</f>
        <v>#DIV/0!</v>
      </c>
      <c r="ED71" s="7" t="e">
        <f t="shared" ref="ED71" si="71">SQRT(EB71)</f>
        <v>#DIV/0!</v>
      </c>
      <c r="EE71" s="8" t="e">
        <f t="shared" ref="EE71" si="72">(ED71^4)/EC71</f>
        <v>#DIV/0!</v>
      </c>
      <c r="EF71" s="14" t="e">
        <f t="shared" ref="EF71" si="73">ROUND(TINV(0.05,EE71),0)</f>
        <v>#DIV/0!</v>
      </c>
      <c r="EG71" s="34" t="e">
        <f>(ED71*EF71)</f>
        <v>#DIV/0!</v>
      </c>
      <c r="EH71" s="15" t="str">
        <f t="shared" ref="EH71:EH76" si="74">P71</f>
        <v>V</v>
      </c>
      <c r="EJ71" s="109">
        <v>8.4999999999999995E-4</v>
      </c>
      <c r="EK71" s="110" t="str">
        <f>EH71</f>
        <v>V</v>
      </c>
      <c r="EL71" s="111" t="e">
        <f>MAX(EJ71,EG71)</f>
        <v>#DIV/0!</v>
      </c>
      <c r="EM71" s="110" t="str">
        <f t="shared" ref="EM71" si="75">EK71</f>
        <v>V</v>
      </c>
    </row>
    <row r="72" spans="2:143" ht="13.5" x14ac:dyDescent="0.25">
      <c r="B72" s="84"/>
      <c r="C72" s="69"/>
      <c r="D72" s="69"/>
      <c r="E72" s="69"/>
      <c r="F72" s="153" t="s">
        <v>124</v>
      </c>
      <c r="G72" s="153"/>
      <c r="H72" s="153"/>
      <c r="I72" s="153"/>
      <c r="J72" s="153"/>
      <c r="K72" s="153"/>
      <c r="L72" s="154">
        <v>5</v>
      </c>
      <c r="M72" s="155"/>
      <c r="N72" s="155"/>
      <c r="O72" s="155"/>
      <c r="P72" s="161" t="s">
        <v>77</v>
      </c>
      <c r="Q72" s="161"/>
      <c r="R72" s="162"/>
      <c r="S72" s="194" t="s">
        <v>81</v>
      </c>
      <c r="T72" s="194"/>
      <c r="U72" s="194"/>
      <c r="V72" s="194"/>
      <c r="W72" s="194"/>
      <c r="X72" s="163"/>
      <c r="Y72" s="163"/>
      <c r="Z72" s="163"/>
      <c r="AA72" s="163"/>
      <c r="AB72" s="163"/>
      <c r="AC72" s="163"/>
      <c r="AD72" s="163"/>
      <c r="AE72" s="163"/>
      <c r="AF72" s="163"/>
      <c r="AG72" s="163"/>
      <c r="AH72" s="163"/>
      <c r="AI72" s="163"/>
      <c r="AJ72" s="163"/>
      <c r="AK72" s="163"/>
      <c r="AL72" s="163"/>
      <c r="AM72" s="163" t="e">
        <f t="shared" ref="AM72:AM76" si="76">AVERAGE(X72:AL72)</f>
        <v>#DIV/0!</v>
      </c>
      <c r="AN72" s="163"/>
      <c r="AO72" s="163"/>
      <c r="AP72" s="163"/>
      <c r="AQ72" s="163"/>
      <c r="AR72" s="163" t="e">
        <f t="shared" ref="AR72:AR76" si="77">AM72-L72</f>
        <v>#DIV/0!</v>
      </c>
      <c r="AS72" s="163"/>
      <c r="AT72" s="163"/>
      <c r="AU72" s="163"/>
      <c r="AV72" s="163"/>
      <c r="AW72" s="69"/>
      <c r="AX72" s="69"/>
      <c r="AY72" s="69"/>
      <c r="AZ72" s="86"/>
      <c r="BC72" s="192" t="e">
        <f>(AM72*2%)+(3*CY72)</f>
        <v>#DIV/0!</v>
      </c>
      <c r="BD72" s="192"/>
      <c r="BE72" s="192"/>
      <c r="BF72" s="192"/>
      <c r="BG72" s="192"/>
      <c r="BH72" s="192" t="e">
        <f t="shared" ref="BH72:BH76" si="78">L72+BC72</f>
        <v>#DIV/0!</v>
      </c>
      <c r="BI72" s="192"/>
      <c r="BJ72" s="192"/>
      <c r="BK72" s="192"/>
      <c r="BL72" s="192"/>
      <c r="BM72" s="192" t="e">
        <f t="shared" ref="BM72:BM76" si="79">L72-BC72</f>
        <v>#DIV/0!</v>
      </c>
      <c r="BN72" s="192"/>
      <c r="BO72" s="192"/>
      <c r="BP72" s="192"/>
      <c r="BQ72" s="192"/>
      <c r="BR72" s="197" t="e">
        <f t="shared" ref="BR72:BR76" si="80">IF(AND(AM72&lt;=BH72,AM72&gt;=BM72),"PASS","FAIL")</f>
        <v>#DIV/0!</v>
      </c>
      <c r="BS72" s="197"/>
      <c r="BT72" s="197"/>
      <c r="BU72" s="197"/>
      <c r="BV72" s="197"/>
      <c r="BY72" s="5" t="s">
        <v>46</v>
      </c>
      <c r="BZ72" s="5" t="s">
        <v>47</v>
      </c>
      <c r="CA72" s="5" t="s">
        <v>48</v>
      </c>
      <c r="CB72" s="108">
        <v>7.3000000000000001E-3</v>
      </c>
      <c r="CC72" s="6" t="str">
        <f t="shared" si="43"/>
        <v>V</v>
      </c>
      <c r="CD72" s="5">
        <v>2</v>
      </c>
      <c r="CE72" s="7">
        <f t="shared" ref="CE72:CE76" si="81">CB72/CD72</f>
        <v>3.65E-3</v>
      </c>
      <c r="CF72" s="5">
        <v>1</v>
      </c>
      <c r="CG72" s="7">
        <f t="shared" ref="CG72:CG76" si="82">CE72*CF72</f>
        <v>3.65E-3</v>
      </c>
      <c r="CH72" s="7">
        <f t="shared" ref="CH72:CH76" si="83">CG72^2</f>
        <v>1.33225E-5</v>
      </c>
      <c r="CI72" s="5">
        <v>200</v>
      </c>
      <c r="CJ72" s="7">
        <f t="shared" ref="CJ72:CJ76" si="84">CG72^4/CI72</f>
        <v>8.8744503124999998E-13</v>
      </c>
      <c r="CK72" s="18"/>
      <c r="CL72" s="5" t="s">
        <v>174</v>
      </c>
      <c r="CM72" s="5" t="s">
        <v>49</v>
      </c>
      <c r="CN72" s="5" t="s">
        <v>48</v>
      </c>
      <c r="CO72" s="8">
        <v>0</v>
      </c>
      <c r="CP72" s="6" t="str">
        <f t="shared" si="48"/>
        <v>V</v>
      </c>
      <c r="CQ72" s="9">
        <f t="shared" si="49"/>
        <v>1.7320508075688772</v>
      </c>
      <c r="CR72" s="7">
        <f t="shared" si="50"/>
        <v>0</v>
      </c>
      <c r="CS72" s="5">
        <v>1</v>
      </c>
      <c r="CT72" s="7">
        <f t="shared" si="51"/>
        <v>0</v>
      </c>
      <c r="CU72" s="7">
        <f t="shared" si="52"/>
        <v>0</v>
      </c>
      <c r="CV72" s="5">
        <v>200</v>
      </c>
      <c r="CW72" s="7">
        <f t="shared" si="53"/>
        <v>0</v>
      </c>
      <c r="CX72" s="18"/>
      <c r="CY72" s="5">
        <v>1E-3</v>
      </c>
      <c r="CZ72" s="5" t="s">
        <v>80</v>
      </c>
      <c r="DA72" s="5" t="s">
        <v>49</v>
      </c>
      <c r="DB72" s="5" t="s">
        <v>48</v>
      </c>
      <c r="DC72" s="8">
        <f t="shared" ref="DC72:DC76" si="85">CY72/2</f>
        <v>5.0000000000000001E-4</v>
      </c>
      <c r="DD72" s="6" t="str">
        <f t="shared" si="55"/>
        <v>V</v>
      </c>
      <c r="DE72" s="9">
        <f t="shared" si="56"/>
        <v>1.7320508075688772</v>
      </c>
      <c r="DF72" s="7">
        <f t="shared" ref="DF72:DF76" si="86">DC72/DE72</f>
        <v>2.886751345948129E-4</v>
      </c>
      <c r="DG72" s="5">
        <v>1</v>
      </c>
      <c r="DH72" s="7">
        <f t="shared" ref="DH72:DH76" si="87">DF72*DG72</f>
        <v>2.886751345948129E-4</v>
      </c>
      <c r="DI72" s="7">
        <f t="shared" ref="DI72:DI76" si="88">DH72^2</f>
        <v>8.3333333333333338E-8</v>
      </c>
      <c r="DJ72" s="5">
        <v>200</v>
      </c>
      <c r="DK72" s="7">
        <f t="shared" ref="DK72:DK76" si="89">DH72^4/DJ72</f>
        <v>3.4722222222222225E-17</v>
      </c>
      <c r="DL72" s="18"/>
      <c r="DM72" s="5">
        <v>3</v>
      </c>
      <c r="DN72" s="10" t="e">
        <f t="shared" si="61"/>
        <v>#DIV/0!</v>
      </c>
      <c r="DO72" s="5" t="s">
        <v>50</v>
      </c>
      <c r="DP72" s="5" t="s">
        <v>47</v>
      </c>
      <c r="DQ72" s="5" t="s">
        <v>27</v>
      </c>
      <c r="DR72" s="10" t="e">
        <f t="shared" ref="DR72:DR76" si="90">DN72</f>
        <v>#DIV/0!</v>
      </c>
      <c r="DS72" s="6" t="str">
        <f t="shared" si="63"/>
        <v>V</v>
      </c>
      <c r="DT72" s="9">
        <f t="shared" ref="DT72:DT76" si="91">SQRT(DM72)</f>
        <v>1.7320508075688772</v>
      </c>
      <c r="DU72" s="10" t="e">
        <f t="shared" ref="DU72:DU76" si="92">DR72/DT72</f>
        <v>#DIV/0!</v>
      </c>
      <c r="DV72" s="5">
        <v>1</v>
      </c>
      <c r="DW72" s="11" t="e">
        <f t="shared" ref="DW72:DW76" si="93">DU72*DV72</f>
        <v>#DIV/0!</v>
      </c>
      <c r="DX72" s="11" t="e">
        <f t="shared" ref="DX72:DX76" si="94">DW72^2</f>
        <v>#DIV/0!</v>
      </c>
      <c r="DY72" s="5">
        <v>2</v>
      </c>
      <c r="DZ72" s="12" t="e">
        <f t="shared" ref="DZ72:DZ76" si="95">DW72^4/DY72</f>
        <v>#DIV/0!</v>
      </c>
      <c r="EA72" s="13"/>
      <c r="EB72" s="7" t="e">
        <f t="shared" si="69"/>
        <v>#DIV/0!</v>
      </c>
      <c r="EC72" s="7" t="e">
        <f t="shared" si="70"/>
        <v>#DIV/0!</v>
      </c>
      <c r="ED72" s="7" t="e">
        <f t="shared" ref="ED72:ED76" si="96">SQRT(EB72)</f>
        <v>#DIV/0!</v>
      </c>
      <c r="EE72" s="8" t="e">
        <f t="shared" ref="EE72:EE76" si="97">(ED72^4)/EC72</f>
        <v>#DIV/0!</v>
      </c>
      <c r="EF72" s="14" t="e">
        <f t="shared" ref="EF72:EF76" si="98">ROUND(TINV(0.05,EE72),0)</f>
        <v>#DIV/0!</v>
      </c>
      <c r="EG72" s="34" t="e">
        <f t="shared" ref="EG72:EG76" si="99">(ED72*EF72)</f>
        <v>#DIV/0!</v>
      </c>
      <c r="EH72" s="15" t="str">
        <f t="shared" si="74"/>
        <v>V</v>
      </c>
      <c r="EJ72" s="109">
        <v>8.4999999999999995E-4</v>
      </c>
      <c r="EK72" s="110" t="str">
        <f t="shared" ref="EK72:EK76" si="100">EH72</f>
        <v>V</v>
      </c>
      <c r="EL72" s="111" t="e">
        <f t="shared" ref="EL72:EL76" si="101">MAX(EJ72,EG72)</f>
        <v>#DIV/0!</v>
      </c>
      <c r="EM72" s="110" t="str">
        <f t="shared" ref="EM72:EM76" si="102">EK72</f>
        <v>V</v>
      </c>
    </row>
    <row r="73" spans="2:143" ht="13.5" x14ac:dyDescent="0.25">
      <c r="B73" s="84"/>
      <c r="C73" s="69"/>
      <c r="D73" s="69"/>
      <c r="E73" s="69"/>
      <c r="F73" s="153" t="s">
        <v>125</v>
      </c>
      <c r="G73" s="153"/>
      <c r="H73" s="153"/>
      <c r="I73" s="153"/>
      <c r="J73" s="153"/>
      <c r="K73" s="153"/>
      <c r="L73" s="154">
        <v>50</v>
      </c>
      <c r="M73" s="155"/>
      <c r="N73" s="155"/>
      <c r="O73" s="155"/>
      <c r="P73" s="161" t="s">
        <v>77</v>
      </c>
      <c r="Q73" s="161"/>
      <c r="R73" s="162"/>
      <c r="S73" s="194" t="s">
        <v>129</v>
      </c>
      <c r="T73" s="194"/>
      <c r="U73" s="194"/>
      <c r="V73" s="194"/>
      <c r="W73" s="194"/>
      <c r="X73" s="166"/>
      <c r="Y73" s="167"/>
      <c r="Z73" s="167"/>
      <c r="AA73" s="167"/>
      <c r="AB73" s="168"/>
      <c r="AC73" s="166"/>
      <c r="AD73" s="167"/>
      <c r="AE73" s="167"/>
      <c r="AF73" s="167"/>
      <c r="AG73" s="168"/>
      <c r="AH73" s="166"/>
      <c r="AI73" s="167"/>
      <c r="AJ73" s="167"/>
      <c r="AK73" s="167"/>
      <c r="AL73" s="168"/>
      <c r="AM73" s="165" t="e">
        <f t="shared" si="76"/>
        <v>#DIV/0!</v>
      </c>
      <c r="AN73" s="165"/>
      <c r="AO73" s="165"/>
      <c r="AP73" s="165"/>
      <c r="AQ73" s="165"/>
      <c r="AR73" s="165" t="e">
        <f t="shared" si="77"/>
        <v>#DIV/0!</v>
      </c>
      <c r="AS73" s="165"/>
      <c r="AT73" s="165"/>
      <c r="AU73" s="165"/>
      <c r="AV73" s="165"/>
      <c r="AW73" s="69"/>
      <c r="AX73" s="69"/>
      <c r="AY73" s="69"/>
      <c r="AZ73" s="86"/>
      <c r="BC73" s="192" t="e">
        <f>(AM73*1%)+(3*CY73)</f>
        <v>#DIV/0!</v>
      </c>
      <c r="BD73" s="192"/>
      <c r="BE73" s="192"/>
      <c r="BF73" s="192"/>
      <c r="BG73" s="192"/>
      <c r="BH73" s="193" t="e">
        <f t="shared" si="78"/>
        <v>#DIV/0!</v>
      </c>
      <c r="BI73" s="193"/>
      <c r="BJ73" s="193"/>
      <c r="BK73" s="193"/>
      <c r="BL73" s="193"/>
      <c r="BM73" s="193" t="e">
        <f t="shared" si="79"/>
        <v>#DIV/0!</v>
      </c>
      <c r="BN73" s="193"/>
      <c r="BO73" s="193"/>
      <c r="BP73" s="193"/>
      <c r="BQ73" s="193"/>
      <c r="BR73" s="197" t="e">
        <f t="shared" si="80"/>
        <v>#DIV/0!</v>
      </c>
      <c r="BS73" s="197"/>
      <c r="BT73" s="197"/>
      <c r="BU73" s="197"/>
      <c r="BV73" s="197"/>
      <c r="BY73" s="5" t="s">
        <v>46</v>
      </c>
      <c r="BZ73" s="5" t="s">
        <v>47</v>
      </c>
      <c r="CA73" s="5" t="s">
        <v>48</v>
      </c>
      <c r="CB73" s="9">
        <v>9.0999999999999998E-2</v>
      </c>
      <c r="CC73" s="6" t="str">
        <f t="shared" si="43"/>
        <v>V</v>
      </c>
      <c r="CD73" s="5">
        <v>2</v>
      </c>
      <c r="CE73" s="7">
        <f t="shared" si="81"/>
        <v>4.5499999999999999E-2</v>
      </c>
      <c r="CF73" s="5">
        <v>1</v>
      </c>
      <c r="CG73" s="7">
        <f t="shared" si="82"/>
        <v>4.5499999999999999E-2</v>
      </c>
      <c r="CH73" s="7">
        <f t="shared" si="83"/>
        <v>2.07025E-3</v>
      </c>
      <c r="CI73" s="5">
        <v>200</v>
      </c>
      <c r="CJ73" s="7">
        <f t="shared" si="84"/>
        <v>2.1429675312500001E-8</v>
      </c>
      <c r="CK73" s="18"/>
      <c r="CL73" s="5" t="s">
        <v>174</v>
      </c>
      <c r="CM73" s="5" t="s">
        <v>49</v>
      </c>
      <c r="CN73" s="5" t="s">
        <v>48</v>
      </c>
      <c r="CO73" s="8">
        <v>0</v>
      </c>
      <c r="CP73" s="6" t="str">
        <f t="shared" si="48"/>
        <v>V</v>
      </c>
      <c r="CQ73" s="9">
        <f t="shared" si="49"/>
        <v>1.7320508075688772</v>
      </c>
      <c r="CR73" s="7">
        <f t="shared" si="50"/>
        <v>0</v>
      </c>
      <c r="CS73" s="5">
        <v>1</v>
      </c>
      <c r="CT73" s="7">
        <f t="shared" si="51"/>
        <v>0</v>
      </c>
      <c r="CU73" s="7">
        <f t="shared" si="52"/>
        <v>0</v>
      </c>
      <c r="CV73" s="5">
        <v>200</v>
      </c>
      <c r="CW73" s="7">
        <f t="shared" si="53"/>
        <v>0</v>
      </c>
      <c r="CX73" s="18"/>
      <c r="CY73" s="5">
        <v>0.01</v>
      </c>
      <c r="CZ73" s="5" t="s">
        <v>80</v>
      </c>
      <c r="DA73" s="5" t="s">
        <v>49</v>
      </c>
      <c r="DB73" s="5" t="s">
        <v>48</v>
      </c>
      <c r="DC73" s="8">
        <f t="shared" si="85"/>
        <v>5.0000000000000001E-3</v>
      </c>
      <c r="DD73" s="6" t="str">
        <f t="shared" si="55"/>
        <v>V</v>
      </c>
      <c r="DE73" s="9">
        <f t="shared" si="56"/>
        <v>1.7320508075688772</v>
      </c>
      <c r="DF73" s="7">
        <f t="shared" si="86"/>
        <v>2.886751345948129E-3</v>
      </c>
      <c r="DG73" s="5">
        <v>1</v>
      </c>
      <c r="DH73" s="7">
        <f t="shared" si="87"/>
        <v>2.886751345948129E-3</v>
      </c>
      <c r="DI73" s="7">
        <f t="shared" si="88"/>
        <v>8.3333333333333337E-6</v>
      </c>
      <c r="DJ73" s="5">
        <v>200</v>
      </c>
      <c r="DK73" s="7">
        <f t="shared" si="89"/>
        <v>3.4722222222222227E-13</v>
      </c>
      <c r="DL73" s="18"/>
      <c r="DM73" s="5">
        <v>3</v>
      </c>
      <c r="DN73" s="10" t="e">
        <f t="shared" si="61"/>
        <v>#DIV/0!</v>
      </c>
      <c r="DO73" s="5" t="s">
        <v>50</v>
      </c>
      <c r="DP73" s="5" t="s">
        <v>47</v>
      </c>
      <c r="DQ73" s="5" t="s">
        <v>27</v>
      </c>
      <c r="DR73" s="10" t="e">
        <f t="shared" si="90"/>
        <v>#DIV/0!</v>
      </c>
      <c r="DS73" s="6" t="str">
        <f t="shared" si="63"/>
        <v>V</v>
      </c>
      <c r="DT73" s="9">
        <f t="shared" si="91"/>
        <v>1.7320508075688772</v>
      </c>
      <c r="DU73" s="10" t="e">
        <f t="shared" si="92"/>
        <v>#DIV/0!</v>
      </c>
      <c r="DV73" s="5">
        <v>1</v>
      </c>
      <c r="DW73" s="11" t="e">
        <f t="shared" si="93"/>
        <v>#DIV/0!</v>
      </c>
      <c r="DX73" s="11" t="e">
        <f t="shared" si="94"/>
        <v>#DIV/0!</v>
      </c>
      <c r="DY73" s="5">
        <v>2</v>
      </c>
      <c r="DZ73" s="12" t="e">
        <f t="shared" si="95"/>
        <v>#DIV/0!</v>
      </c>
      <c r="EA73" s="13"/>
      <c r="EB73" s="7" t="e">
        <f t="shared" si="69"/>
        <v>#DIV/0!</v>
      </c>
      <c r="EC73" s="7" t="e">
        <f t="shared" si="70"/>
        <v>#DIV/0!</v>
      </c>
      <c r="ED73" s="7" t="e">
        <f t="shared" si="96"/>
        <v>#DIV/0!</v>
      </c>
      <c r="EE73" s="8" t="e">
        <f t="shared" si="97"/>
        <v>#DIV/0!</v>
      </c>
      <c r="EF73" s="14" t="e">
        <f t="shared" si="98"/>
        <v>#DIV/0!</v>
      </c>
      <c r="EG73" s="34" t="e">
        <f t="shared" si="99"/>
        <v>#DIV/0!</v>
      </c>
      <c r="EH73" s="15" t="str">
        <f t="shared" si="74"/>
        <v>V</v>
      </c>
      <c r="EJ73" s="109">
        <v>6.4000000000000003E-3</v>
      </c>
      <c r="EK73" s="110" t="str">
        <f t="shared" si="100"/>
        <v>V</v>
      </c>
      <c r="EL73" s="111" t="e">
        <f t="shared" si="101"/>
        <v>#DIV/0!</v>
      </c>
      <c r="EM73" s="110" t="str">
        <f t="shared" si="102"/>
        <v>V</v>
      </c>
    </row>
    <row r="74" spans="2:143" ht="13.5" x14ac:dyDescent="0.25">
      <c r="B74" s="84"/>
      <c r="C74" s="69"/>
      <c r="D74" s="69"/>
      <c r="E74" s="69"/>
      <c r="F74" s="153" t="s">
        <v>125</v>
      </c>
      <c r="G74" s="153"/>
      <c r="H74" s="153"/>
      <c r="I74" s="153"/>
      <c r="J74" s="153"/>
      <c r="K74" s="153"/>
      <c r="L74" s="154">
        <v>50</v>
      </c>
      <c r="M74" s="155"/>
      <c r="N74" s="155"/>
      <c r="O74" s="155"/>
      <c r="P74" s="161" t="s">
        <v>77</v>
      </c>
      <c r="Q74" s="161"/>
      <c r="R74" s="162"/>
      <c r="S74" s="194" t="s">
        <v>81</v>
      </c>
      <c r="T74" s="194"/>
      <c r="U74" s="194"/>
      <c r="V74" s="194"/>
      <c r="W74" s="194"/>
      <c r="X74" s="166"/>
      <c r="Y74" s="167"/>
      <c r="Z74" s="167"/>
      <c r="AA74" s="167"/>
      <c r="AB74" s="168"/>
      <c r="AC74" s="166"/>
      <c r="AD74" s="167"/>
      <c r="AE74" s="167"/>
      <c r="AF74" s="167"/>
      <c r="AG74" s="168"/>
      <c r="AH74" s="166"/>
      <c r="AI74" s="167"/>
      <c r="AJ74" s="167"/>
      <c r="AK74" s="167"/>
      <c r="AL74" s="168"/>
      <c r="AM74" s="165" t="e">
        <f t="shared" si="76"/>
        <v>#DIV/0!</v>
      </c>
      <c r="AN74" s="165"/>
      <c r="AO74" s="165"/>
      <c r="AP74" s="165"/>
      <c r="AQ74" s="165"/>
      <c r="AR74" s="165" t="e">
        <f t="shared" si="77"/>
        <v>#DIV/0!</v>
      </c>
      <c r="AS74" s="165"/>
      <c r="AT74" s="165"/>
      <c r="AU74" s="165"/>
      <c r="AV74" s="165"/>
      <c r="AW74" s="69"/>
      <c r="AX74" s="69"/>
      <c r="AY74" s="69"/>
      <c r="AZ74" s="86"/>
      <c r="BC74" s="192" t="e">
        <f>(AM74*2%)+(3*CY74)</f>
        <v>#DIV/0!</v>
      </c>
      <c r="BD74" s="192"/>
      <c r="BE74" s="192"/>
      <c r="BF74" s="192"/>
      <c r="BG74" s="192"/>
      <c r="BH74" s="193" t="e">
        <f t="shared" si="78"/>
        <v>#DIV/0!</v>
      </c>
      <c r="BI74" s="193"/>
      <c r="BJ74" s="193"/>
      <c r="BK74" s="193"/>
      <c r="BL74" s="193"/>
      <c r="BM74" s="193" t="e">
        <f t="shared" si="79"/>
        <v>#DIV/0!</v>
      </c>
      <c r="BN74" s="193"/>
      <c r="BO74" s="193"/>
      <c r="BP74" s="193"/>
      <c r="BQ74" s="193"/>
      <c r="BR74" s="197" t="e">
        <f t="shared" si="80"/>
        <v>#DIV/0!</v>
      </c>
      <c r="BS74" s="197"/>
      <c r="BT74" s="197"/>
      <c r="BU74" s="197"/>
      <c r="BV74" s="197"/>
      <c r="BY74" s="5" t="s">
        <v>46</v>
      </c>
      <c r="BZ74" s="5" t="s">
        <v>47</v>
      </c>
      <c r="CA74" s="5" t="s">
        <v>48</v>
      </c>
      <c r="CB74" s="9">
        <v>7.0999999999999994E-2</v>
      </c>
      <c r="CC74" s="6" t="str">
        <f t="shared" si="43"/>
        <v>V</v>
      </c>
      <c r="CD74" s="5">
        <v>2</v>
      </c>
      <c r="CE74" s="7">
        <f t="shared" si="81"/>
        <v>3.5499999999999997E-2</v>
      </c>
      <c r="CF74" s="5">
        <v>1</v>
      </c>
      <c r="CG74" s="7">
        <f t="shared" si="82"/>
        <v>3.5499999999999997E-2</v>
      </c>
      <c r="CH74" s="7">
        <f t="shared" si="83"/>
        <v>1.2602499999999999E-3</v>
      </c>
      <c r="CI74" s="5">
        <v>200</v>
      </c>
      <c r="CJ74" s="7">
        <f t="shared" si="84"/>
        <v>7.9411503124999974E-9</v>
      </c>
      <c r="CK74" s="18"/>
      <c r="CL74" s="5" t="s">
        <v>174</v>
      </c>
      <c r="CM74" s="5" t="s">
        <v>49</v>
      </c>
      <c r="CN74" s="5" t="s">
        <v>48</v>
      </c>
      <c r="CO74" s="8">
        <v>0</v>
      </c>
      <c r="CP74" s="6" t="str">
        <f t="shared" si="48"/>
        <v>V</v>
      </c>
      <c r="CQ74" s="9">
        <f t="shared" si="49"/>
        <v>1.7320508075688772</v>
      </c>
      <c r="CR74" s="7">
        <f t="shared" si="50"/>
        <v>0</v>
      </c>
      <c r="CS74" s="5">
        <v>1</v>
      </c>
      <c r="CT74" s="7">
        <f t="shared" si="51"/>
        <v>0</v>
      </c>
      <c r="CU74" s="7">
        <f t="shared" si="52"/>
        <v>0</v>
      </c>
      <c r="CV74" s="5">
        <v>200</v>
      </c>
      <c r="CW74" s="7">
        <f t="shared" si="53"/>
        <v>0</v>
      </c>
      <c r="CX74" s="18"/>
      <c r="CY74" s="5">
        <v>0.01</v>
      </c>
      <c r="CZ74" s="5" t="s">
        <v>80</v>
      </c>
      <c r="DA74" s="5" t="s">
        <v>49</v>
      </c>
      <c r="DB74" s="5" t="s">
        <v>48</v>
      </c>
      <c r="DC74" s="8">
        <f t="shared" si="85"/>
        <v>5.0000000000000001E-3</v>
      </c>
      <c r="DD74" s="6" t="str">
        <f t="shared" si="55"/>
        <v>V</v>
      </c>
      <c r="DE74" s="9">
        <f t="shared" si="56"/>
        <v>1.7320508075688772</v>
      </c>
      <c r="DF74" s="7">
        <f t="shared" si="86"/>
        <v>2.886751345948129E-3</v>
      </c>
      <c r="DG74" s="5">
        <v>1</v>
      </c>
      <c r="DH74" s="7">
        <f t="shared" si="87"/>
        <v>2.886751345948129E-3</v>
      </c>
      <c r="DI74" s="7">
        <f t="shared" si="88"/>
        <v>8.3333333333333337E-6</v>
      </c>
      <c r="DJ74" s="5">
        <v>200</v>
      </c>
      <c r="DK74" s="7">
        <f t="shared" si="89"/>
        <v>3.4722222222222227E-13</v>
      </c>
      <c r="DL74" s="18"/>
      <c r="DM74" s="5">
        <v>3</v>
      </c>
      <c r="DN74" s="10" t="e">
        <f t="shared" si="61"/>
        <v>#DIV/0!</v>
      </c>
      <c r="DO74" s="5" t="s">
        <v>50</v>
      </c>
      <c r="DP74" s="5" t="s">
        <v>47</v>
      </c>
      <c r="DQ74" s="5" t="s">
        <v>27</v>
      </c>
      <c r="DR74" s="10" t="e">
        <f t="shared" si="90"/>
        <v>#DIV/0!</v>
      </c>
      <c r="DS74" s="6" t="str">
        <f t="shared" si="63"/>
        <v>V</v>
      </c>
      <c r="DT74" s="9">
        <f t="shared" si="91"/>
        <v>1.7320508075688772</v>
      </c>
      <c r="DU74" s="10" t="e">
        <f t="shared" si="92"/>
        <v>#DIV/0!</v>
      </c>
      <c r="DV74" s="5">
        <v>1</v>
      </c>
      <c r="DW74" s="11" t="e">
        <f t="shared" si="93"/>
        <v>#DIV/0!</v>
      </c>
      <c r="DX74" s="11" t="e">
        <f t="shared" si="94"/>
        <v>#DIV/0!</v>
      </c>
      <c r="DY74" s="5">
        <v>2</v>
      </c>
      <c r="DZ74" s="12" t="e">
        <f t="shared" si="95"/>
        <v>#DIV/0!</v>
      </c>
      <c r="EA74" s="13"/>
      <c r="EB74" s="7" t="e">
        <f t="shared" si="69"/>
        <v>#DIV/0!</v>
      </c>
      <c r="EC74" s="7" t="e">
        <f t="shared" si="70"/>
        <v>#DIV/0!</v>
      </c>
      <c r="ED74" s="7" t="e">
        <f t="shared" si="96"/>
        <v>#DIV/0!</v>
      </c>
      <c r="EE74" s="8" t="e">
        <f t="shared" si="97"/>
        <v>#DIV/0!</v>
      </c>
      <c r="EF74" s="14" t="e">
        <f t="shared" si="98"/>
        <v>#DIV/0!</v>
      </c>
      <c r="EG74" s="34" t="e">
        <f t="shared" si="99"/>
        <v>#DIV/0!</v>
      </c>
      <c r="EH74" s="15" t="str">
        <f t="shared" si="74"/>
        <v>V</v>
      </c>
      <c r="EJ74" s="109">
        <v>6.4000000000000003E-3</v>
      </c>
      <c r="EK74" s="110" t="str">
        <f t="shared" si="100"/>
        <v>V</v>
      </c>
      <c r="EL74" s="111" t="e">
        <f t="shared" si="101"/>
        <v>#DIV/0!</v>
      </c>
      <c r="EM74" s="110" t="str">
        <f t="shared" si="102"/>
        <v>V</v>
      </c>
    </row>
    <row r="75" spans="2:143" ht="13.5" x14ac:dyDescent="0.25">
      <c r="B75" s="84"/>
      <c r="C75" s="69"/>
      <c r="D75" s="69"/>
      <c r="E75" s="69"/>
      <c r="F75" s="153" t="s">
        <v>126</v>
      </c>
      <c r="G75" s="153"/>
      <c r="H75" s="153"/>
      <c r="I75" s="153"/>
      <c r="J75" s="153"/>
      <c r="K75" s="153"/>
      <c r="L75" s="154">
        <v>600</v>
      </c>
      <c r="M75" s="155"/>
      <c r="N75" s="155"/>
      <c r="O75" s="155"/>
      <c r="P75" s="161" t="s">
        <v>77</v>
      </c>
      <c r="Q75" s="161"/>
      <c r="R75" s="162"/>
      <c r="S75" s="194" t="s">
        <v>129</v>
      </c>
      <c r="T75" s="194"/>
      <c r="U75" s="194"/>
      <c r="V75" s="194"/>
      <c r="W75" s="194"/>
      <c r="X75" s="187"/>
      <c r="Y75" s="188"/>
      <c r="Z75" s="188"/>
      <c r="AA75" s="188"/>
      <c r="AB75" s="189"/>
      <c r="AC75" s="187"/>
      <c r="AD75" s="188"/>
      <c r="AE75" s="188"/>
      <c r="AF75" s="188"/>
      <c r="AG75" s="189"/>
      <c r="AH75" s="187"/>
      <c r="AI75" s="188"/>
      <c r="AJ75" s="188"/>
      <c r="AK75" s="188"/>
      <c r="AL75" s="189"/>
      <c r="AM75" s="190" t="e">
        <f t="shared" si="76"/>
        <v>#DIV/0!</v>
      </c>
      <c r="AN75" s="190"/>
      <c r="AO75" s="190"/>
      <c r="AP75" s="190"/>
      <c r="AQ75" s="190"/>
      <c r="AR75" s="190" t="e">
        <f t="shared" si="77"/>
        <v>#DIV/0!</v>
      </c>
      <c r="AS75" s="190"/>
      <c r="AT75" s="190"/>
      <c r="AU75" s="190"/>
      <c r="AV75" s="190"/>
      <c r="AW75" s="69"/>
      <c r="AX75" s="69"/>
      <c r="AY75" s="69"/>
      <c r="AZ75" s="86"/>
      <c r="BC75" s="192" t="e">
        <f>(AM75*1%)+(3*CY75)</f>
        <v>#DIV/0!</v>
      </c>
      <c r="BD75" s="192"/>
      <c r="BE75" s="192"/>
      <c r="BF75" s="192"/>
      <c r="BG75" s="192"/>
      <c r="BH75" s="191" t="e">
        <f t="shared" si="78"/>
        <v>#DIV/0!</v>
      </c>
      <c r="BI75" s="191"/>
      <c r="BJ75" s="191"/>
      <c r="BK75" s="191"/>
      <c r="BL75" s="191"/>
      <c r="BM75" s="191" t="e">
        <f t="shared" si="79"/>
        <v>#DIV/0!</v>
      </c>
      <c r="BN75" s="191"/>
      <c r="BO75" s="191"/>
      <c r="BP75" s="191"/>
      <c r="BQ75" s="191"/>
      <c r="BR75" s="197" t="e">
        <f t="shared" si="80"/>
        <v>#DIV/0!</v>
      </c>
      <c r="BS75" s="197"/>
      <c r="BT75" s="197"/>
      <c r="BU75" s="197"/>
      <c r="BV75" s="197"/>
      <c r="BY75" s="5" t="s">
        <v>46</v>
      </c>
      <c r="BZ75" s="5" t="s">
        <v>47</v>
      </c>
      <c r="CA75" s="5" t="s">
        <v>48</v>
      </c>
      <c r="CB75" s="9">
        <v>9.0999999999999998E-2</v>
      </c>
      <c r="CC75" s="6" t="str">
        <f t="shared" si="43"/>
        <v>V</v>
      </c>
      <c r="CD75" s="5">
        <v>2</v>
      </c>
      <c r="CE75" s="7">
        <f t="shared" si="81"/>
        <v>4.5499999999999999E-2</v>
      </c>
      <c r="CF75" s="5">
        <v>1</v>
      </c>
      <c r="CG75" s="7">
        <f t="shared" si="82"/>
        <v>4.5499999999999999E-2</v>
      </c>
      <c r="CH75" s="7">
        <f t="shared" si="83"/>
        <v>2.07025E-3</v>
      </c>
      <c r="CI75" s="5">
        <v>200</v>
      </c>
      <c r="CJ75" s="7">
        <f t="shared" si="84"/>
        <v>2.1429675312500001E-8</v>
      </c>
      <c r="CK75" s="18"/>
      <c r="CL75" s="5" t="s">
        <v>174</v>
      </c>
      <c r="CM75" s="5" t="s">
        <v>49</v>
      </c>
      <c r="CN75" s="5" t="s">
        <v>48</v>
      </c>
      <c r="CO75" s="8">
        <v>0</v>
      </c>
      <c r="CP75" s="6" t="str">
        <f t="shared" si="48"/>
        <v>V</v>
      </c>
      <c r="CQ75" s="9">
        <f t="shared" si="49"/>
        <v>1.7320508075688772</v>
      </c>
      <c r="CR75" s="7">
        <f t="shared" si="50"/>
        <v>0</v>
      </c>
      <c r="CS75" s="5">
        <v>1</v>
      </c>
      <c r="CT75" s="7">
        <f t="shared" si="51"/>
        <v>0</v>
      </c>
      <c r="CU75" s="7">
        <f t="shared" si="52"/>
        <v>0</v>
      </c>
      <c r="CV75" s="5">
        <v>200</v>
      </c>
      <c r="CW75" s="7">
        <f t="shared" si="53"/>
        <v>0</v>
      </c>
      <c r="CX75" s="18"/>
      <c r="CY75" s="5">
        <v>0.1</v>
      </c>
      <c r="CZ75" s="5" t="s">
        <v>80</v>
      </c>
      <c r="DA75" s="5" t="s">
        <v>49</v>
      </c>
      <c r="DB75" s="5" t="s">
        <v>48</v>
      </c>
      <c r="DC75" s="8">
        <f t="shared" si="85"/>
        <v>0.05</v>
      </c>
      <c r="DD75" s="6" t="str">
        <f t="shared" si="55"/>
        <v>V</v>
      </c>
      <c r="DE75" s="9">
        <f t="shared" si="56"/>
        <v>1.7320508075688772</v>
      </c>
      <c r="DF75" s="7">
        <f t="shared" si="86"/>
        <v>2.8867513459481291E-2</v>
      </c>
      <c r="DG75" s="5">
        <v>1</v>
      </c>
      <c r="DH75" s="7">
        <f t="shared" si="87"/>
        <v>2.8867513459481291E-2</v>
      </c>
      <c r="DI75" s="7">
        <f t="shared" si="88"/>
        <v>8.333333333333335E-4</v>
      </c>
      <c r="DJ75" s="5">
        <v>200</v>
      </c>
      <c r="DK75" s="7">
        <f t="shared" si="89"/>
        <v>3.4722222222222234E-9</v>
      </c>
      <c r="DL75" s="18"/>
      <c r="DM75" s="5">
        <v>3</v>
      </c>
      <c r="DN75" s="10" t="e">
        <f t="shared" si="61"/>
        <v>#DIV/0!</v>
      </c>
      <c r="DO75" s="5" t="s">
        <v>50</v>
      </c>
      <c r="DP75" s="5" t="s">
        <v>47</v>
      </c>
      <c r="DQ75" s="5" t="s">
        <v>27</v>
      </c>
      <c r="DR75" s="10" t="e">
        <f t="shared" si="90"/>
        <v>#DIV/0!</v>
      </c>
      <c r="DS75" s="6" t="str">
        <f t="shared" si="63"/>
        <v>V</v>
      </c>
      <c r="DT75" s="9">
        <f t="shared" si="91"/>
        <v>1.7320508075688772</v>
      </c>
      <c r="DU75" s="10" t="e">
        <f t="shared" si="92"/>
        <v>#DIV/0!</v>
      </c>
      <c r="DV75" s="5">
        <v>1</v>
      </c>
      <c r="DW75" s="11" t="e">
        <f t="shared" si="93"/>
        <v>#DIV/0!</v>
      </c>
      <c r="DX75" s="11" t="e">
        <f t="shared" si="94"/>
        <v>#DIV/0!</v>
      </c>
      <c r="DY75" s="5">
        <v>2</v>
      </c>
      <c r="DZ75" s="12" t="e">
        <f t="shared" si="95"/>
        <v>#DIV/0!</v>
      </c>
      <c r="EA75" s="13"/>
      <c r="EB75" s="7" t="e">
        <f t="shared" si="69"/>
        <v>#DIV/0!</v>
      </c>
      <c r="EC75" s="7" t="e">
        <f t="shared" si="70"/>
        <v>#DIV/0!</v>
      </c>
      <c r="ED75" s="7" t="e">
        <f t="shared" si="96"/>
        <v>#DIV/0!</v>
      </c>
      <c r="EE75" s="8" t="e">
        <f t="shared" si="97"/>
        <v>#DIV/0!</v>
      </c>
      <c r="EF75" s="14" t="e">
        <f t="shared" si="98"/>
        <v>#DIV/0!</v>
      </c>
      <c r="EG75" s="34" t="e">
        <f t="shared" si="99"/>
        <v>#DIV/0!</v>
      </c>
      <c r="EH75" s="15" t="str">
        <f t="shared" si="74"/>
        <v>V</v>
      </c>
      <c r="EJ75" s="109">
        <v>8.4000000000000005E-2</v>
      </c>
      <c r="EK75" s="110" t="str">
        <f t="shared" si="100"/>
        <v>V</v>
      </c>
      <c r="EL75" s="111" t="e">
        <f t="shared" si="101"/>
        <v>#DIV/0!</v>
      </c>
      <c r="EM75" s="110" t="str">
        <f t="shared" si="102"/>
        <v>V</v>
      </c>
    </row>
    <row r="76" spans="2:143" ht="13.5" x14ac:dyDescent="0.25">
      <c r="B76" s="84"/>
      <c r="C76" s="69"/>
      <c r="D76" s="69"/>
      <c r="E76" s="69"/>
      <c r="F76" s="153" t="s">
        <v>126</v>
      </c>
      <c r="G76" s="153"/>
      <c r="H76" s="153"/>
      <c r="I76" s="153"/>
      <c r="J76" s="153"/>
      <c r="K76" s="153"/>
      <c r="L76" s="154">
        <v>600</v>
      </c>
      <c r="M76" s="155"/>
      <c r="N76" s="155"/>
      <c r="O76" s="155"/>
      <c r="P76" s="161" t="s">
        <v>77</v>
      </c>
      <c r="Q76" s="161"/>
      <c r="R76" s="162"/>
      <c r="S76" s="194" t="s">
        <v>81</v>
      </c>
      <c r="T76" s="194"/>
      <c r="U76" s="194"/>
      <c r="V76" s="194"/>
      <c r="W76" s="194"/>
      <c r="X76" s="187"/>
      <c r="Y76" s="188"/>
      <c r="Z76" s="188"/>
      <c r="AA76" s="188"/>
      <c r="AB76" s="189"/>
      <c r="AC76" s="187"/>
      <c r="AD76" s="188"/>
      <c r="AE76" s="188"/>
      <c r="AF76" s="188"/>
      <c r="AG76" s="189"/>
      <c r="AH76" s="187"/>
      <c r="AI76" s="188"/>
      <c r="AJ76" s="188"/>
      <c r="AK76" s="188"/>
      <c r="AL76" s="189"/>
      <c r="AM76" s="190" t="e">
        <f t="shared" si="76"/>
        <v>#DIV/0!</v>
      </c>
      <c r="AN76" s="190"/>
      <c r="AO76" s="190"/>
      <c r="AP76" s="190"/>
      <c r="AQ76" s="190"/>
      <c r="AR76" s="190" t="e">
        <f t="shared" si="77"/>
        <v>#DIV/0!</v>
      </c>
      <c r="AS76" s="190"/>
      <c r="AT76" s="190"/>
      <c r="AU76" s="190"/>
      <c r="AV76" s="190"/>
      <c r="AW76" s="69"/>
      <c r="AX76" s="69"/>
      <c r="AY76" s="69"/>
      <c r="AZ76" s="86"/>
      <c r="BC76" s="192" t="e">
        <f>(AM76*2%)+(3*CY76)</f>
        <v>#DIV/0!</v>
      </c>
      <c r="BD76" s="192"/>
      <c r="BE76" s="192"/>
      <c r="BF76" s="192"/>
      <c r="BG76" s="192"/>
      <c r="BH76" s="191" t="e">
        <f t="shared" si="78"/>
        <v>#DIV/0!</v>
      </c>
      <c r="BI76" s="191"/>
      <c r="BJ76" s="191"/>
      <c r="BK76" s="191"/>
      <c r="BL76" s="191"/>
      <c r="BM76" s="191" t="e">
        <f t="shared" si="79"/>
        <v>#DIV/0!</v>
      </c>
      <c r="BN76" s="191"/>
      <c r="BO76" s="191"/>
      <c r="BP76" s="191"/>
      <c r="BQ76" s="191"/>
      <c r="BR76" s="197" t="e">
        <f t="shared" si="80"/>
        <v>#DIV/0!</v>
      </c>
      <c r="BS76" s="197"/>
      <c r="BT76" s="197"/>
      <c r="BU76" s="197"/>
      <c r="BV76" s="197"/>
      <c r="BY76" s="5" t="s">
        <v>46</v>
      </c>
      <c r="BZ76" s="5" t="s">
        <v>47</v>
      </c>
      <c r="CA76" s="5" t="s">
        <v>48</v>
      </c>
      <c r="CB76" s="9">
        <v>7.0999999999999994E-2</v>
      </c>
      <c r="CC76" s="6" t="str">
        <f t="shared" si="43"/>
        <v>V</v>
      </c>
      <c r="CD76" s="5">
        <v>2</v>
      </c>
      <c r="CE76" s="7">
        <f t="shared" si="81"/>
        <v>3.5499999999999997E-2</v>
      </c>
      <c r="CF76" s="5">
        <v>1</v>
      </c>
      <c r="CG76" s="7">
        <f t="shared" si="82"/>
        <v>3.5499999999999997E-2</v>
      </c>
      <c r="CH76" s="7">
        <f t="shared" si="83"/>
        <v>1.2602499999999999E-3</v>
      </c>
      <c r="CI76" s="5">
        <v>200</v>
      </c>
      <c r="CJ76" s="7">
        <f t="shared" si="84"/>
        <v>7.9411503124999974E-9</v>
      </c>
      <c r="CK76" s="18"/>
      <c r="CL76" s="5" t="s">
        <v>174</v>
      </c>
      <c r="CM76" s="5" t="s">
        <v>49</v>
      </c>
      <c r="CN76" s="5" t="s">
        <v>48</v>
      </c>
      <c r="CO76" s="8">
        <v>0</v>
      </c>
      <c r="CP76" s="6" t="str">
        <f t="shared" si="48"/>
        <v>V</v>
      </c>
      <c r="CQ76" s="9">
        <f t="shared" si="49"/>
        <v>1.7320508075688772</v>
      </c>
      <c r="CR76" s="7">
        <f t="shared" si="50"/>
        <v>0</v>
      </c>
      <c r="CS76" s="5">
        <v>1</v>
      </c>
      <c r="CT76" s="7">
        <f t="shared" si="51"/>
        <v>0</v>
      </c>
      <c r="CU76" s="7">
        <f t="shared" si="52"/>
        <v>0</v>
      </c>
      <c r="CV76" s="5">
        <v>200</v>
      </c>
      <c r="CW76" s="7">
        <f t="shared" si="53"/>
        <v>0</v>
      </c>
      <c r="CX76" s="18"/>
      <c r="CY76" s="5">
        <v>0.1</v>
      </c>
      <c r="CZ76" s="5" t="s">
        <v>80</v>
      </c>
      <c r="DA76" s="5" t="s">
        <v>49</v>
      </c>
      <c r="DB76" s="5" t="s">
        <v>48</v>
      </c>
      <c r="DC76" s="8">
        <f t="shared" si="85"/>
        <v>0.05</v>
      </c>
      <c r="DD76" s="6" t="str">
        <f t="shared" si="55"/>
        <v>V</v>
      </c>
      <c r="DE76" s="9">
        <f t="shared" si="56"/>
        <v>1.7320508075688772</v>
      </c>
      <c r="DF76" s="7">
        <f t="shared" si="86"/>
        <v>2.8867513459481291E-2</v>
      </c>
      <c r="DG76" s="5">
        <v>1</v>
      </c>
      <c r="DH76" s="7">
        <f t="shared" si="87"/>
        <v>2.8867513459481291E-2</v>
      </c>
      <c r="DI76" s="7">
        <f t="shared" si="88"/>
        <v>8.333333333333335E-4</v>
      </c>
      <c r="DJ76" s="5">
        <v>200</v>
      </c>
      <c r="DK76" s="7">
        <f t="shared" si="89"/>
        <v>3.4722222222222234E-9</v>
      </c>
      <c r="DL76" s="18"/>
      <c r="DM76" s="5">
        <v>3</v>
      </c>
      <c r="DN76" s="10" t="e">
        <f t="shared" si="61"/>
        <v>#DIV/0!</v>
      </c>
      <c r="DO76" s="5" t="s">
        <v>50</v>
      </c>
      <c r="DP76" s="5" t="s">
        <v>47</v>
      </c>
      <c r="DQ76" s="5" t="s">
        <v>27</v>
      </c>
      <c r="DR76" s="10" t="e">
        <f t="shared" si="90"/>
        <v>#DIV/0!</v>
      </c>
      <c r="DS76" s="6" t="str">
        <f t="shared" si="63"/>
        <v>V</v>
      </c>
      <c r="DT76" s="9">
        <f t="shared" si="91"/>
        <v>1.7320508075688772</v>
      </c>
      <c r="DU76" s="10" t="e">
        <f t="shared" si="92"/>
        <v>#DIV/0!</v>
      </c>
      <c r="DV76" s="5">
        <v>1</v>
      </c>
      <c r="DW76" s="11" t="e">
        <f t="shared" si="93"/>
        <v>#DIV/0!</v>
      </c>
      <c r="DX76" s="11" t="e">
        <f t="shared" si="94"/>
        <v>#DIV/0!</v>
      </c>
      <c r="DY76" s="5">
        <v>2</v>
      </c>
      <c r="DZ76" s="12" t="e">
        <f t="shared" si="95"/>
        <v>#DIV/0!</v>
      </c>
      <c r="EA76" s="13"/>
      <c r="EB76" s="7" t="e">
        <f t="shared" si="69"/>
        <v>#DIV/0!</v>
      </c>
      <c r="EC76" s="7" t="e">
        <f t="shared" si="70"/>
        <v>#DIV/0!</v>
      </c>
      <c r="ED76" s="7" t="e">
        <f t="shared" si="96"/>
        <v>#DIV/0!</v>
      </c>
      <c r="EE76" s="8" t="e">
        <f t="shared" si="97"/>
        <v>#DIV/0!</v>
      </c>
      <c r="EF76" s="14" t="e">
        <f t="shared" si="98"/>
        <v>#DIV/0!</v>
      </c>
      <c r="EG76" s="34" t="e">
        <f t="shared" si="99"/>
        <v>#DIV/0!</v>
      </c>
      <c r="EH76" s="15" t="str">
        <f t="shared" si="74"/>
        <v>V</v>
      </c>
      <c r="EJ76" s="109">
        <v>8.4000000000000005E-2</v>
      </c>
      <c r="EK76" s="110" t="str">
        <f t="shared" si="100"/>
        <v>V</v>
      </c>
      <c r="EL76" s="111" t="e">
        <f t="shared" si="101"/>
        <v>#DIV/0!</v>
      </c>
      <c r="EM76" s="110" t="str">
        <f t="shared" si="102"/>
        <v>V</v>
      </c>
    </row>
    <row r="77" spans="2:143" ht="13.5" x14ac:dyDescent="0.25">
      <c r="B77" s="84"/>
      <c r="C77" s="69"/>
      <c r="D77" s="69"/>
      <c r="E77" s="69"/>
      <c r="F77" s="90"/>
      <c r="G77" s="90"/>
      <c r="H77" s="90"/>
      <c r="I77" s="90"/>
      <c r="J77" s="90"/>
      <c r="K77" s="90"/>
      <c r="L77" s="91"/>
      <c r="M77" s="91"/>
      <c r="N77" s="91"/>
      <c r="O77" s="91"/>
      <c r="P77" s="92"/>
      <c r="Q77" s="92"/>
      <c r="R77" s="92"/>
      <c r="S77" s="72"/>
      <c r="T77" s="72"/>
      <c r="U77" s="72"/>
      <c r="V77" s="72"/>
      <c r="W77" s="72"/>
      <c r="X77" s="93"/>
      <c r="Y77" s="93"/>
      <c r="Z77" s="93"/>
      <c r="AA77" s="93"/>
      <c r="AB77" s="93"/>
      <c r="AC77" s="93"/>
      <c r="AD77" s="93"/>
      <c r="AE77" s="93"/>
      <c r="AF77" s="93"/>
      <c r="AG77" s="93"/>
      <c r="AH77" s="93"/>
      <c r="AI77" s="93"/>
      <c r="AJ77" s="93"/>
      <c r="AK77" s="93"/>
      <c r="AL77" s="93"/>
      <c r="AM77" s="93"/>
      <c r="AN77" s="72"/>
      <c r="AO77" s="72"/>
      <c r="AP77" s="72"/>
      <c r="AQ77" s="72"/>
      <c r="AR77" s="93"/>
      <c r="AS77" s="72"/>
      <c r="AT77" s="72"/>
      <c r="AU77" s="72"/>
      <c r="AV77" s="72"/>
      <c r="AW77" s="69"/>
      <c r="AX77" s="69"/>
      <c r="AY77" s="69"/>
      <c r="AZ77" s="86"/>
      <c r="BY77" s="19"/>
      <c r="BZ77" s="19"/>
      <c r="CA77" s="19"/>
      <c r="CB77" s="21"/>
      <c r="CC77" s="20"/>
      <c r="CD77" s="19"/>
      <c r="CE77" s="18"/>
      <c r="CF77" s="19"/>
      <c r="CG77" s="18"/>
      <c r="CH77" s="18"/>
      <c r="CI77" s="19"/>
      <c r="CJ77" s="18"/>
      <c r="CK77" s="18"/>
      <c r="CL77" s="19"/>
      <c r="CM77" s="19"/>
      <c r="CN77" s="19"/>
      <c r="CO77" s="21"/>
      <c r="CP77" s="20"/>
      <c r="CQ77" s="22"/>
      <c r="CR77" s="18"/>
      <c r="CS77" s="19"/>
      <c r="CT77" s="18"/>
      <c r="CU77" s="18"/>
      <c r="CV77" s="19"/>
      <c r="CW77" s="18"/>
      <c r="CX77" s="18"/>
      <c r="CY77" s="19"/>
      <c r="CZ77" s="19"/>
      <c r="DA77" s="19"/>
      <c r="DB77" s="19"/>
      <c r="DC77" s="21"/>
      <c r="DD77" s="20"/>
      <c r="DE77" s="22"/>
      <c r="DF77" s="18"/>
      <c r="DG77" s="19"/>
      <c r="DH77" s="18"/>
      <c r="DI77" s="18"/>
      <c r="DJ77" s="19"/>
      <c r="DK77" s="18"/>
      <c r="DL77" s="18"/>
      <c r="DM77" s="19"/>
      <c r="DN77" s="23"/>
      <c r="DO77" s="19"/>
      <c r="DP77" s="19"/>
      <c r="DQ77" s="19"/>
      <c r="DR77" s="23"/>
      <c r="DS77" s="20"/>
      <c r="DT77" s="22"/>
      <c r="DU77" s="23"/>
      <c r="DV77" s="19"/>
      <c r="DW77" s="24"/>
      <c r="DX77" s="24"/>
      <c r="DY77" s="19"/>
      <c r="DZ77" s="25"/>
      <c r="EA77" s="13"/>
      <c r="EB77" s="18"/>
      <c r="EC77" s="18"/>
      <c r="ED77" s="18"/>
      <c r="EE77" s="21"/>
      <c r="EF77" s="26"/>
      <c r="EG77" s="32"/>
      <c r="EH77" s="28"/>
    </row>
    <row r="78" spans="2:143" ht="13.5" x14ac:dyDescent="0.25">
      <c r="B78" s="84"/>
      <c r="C78" s="69"/>
      <c r="D78" s="63"/>
      <c r="E78" s="69"/>
      <c r="F78" s="85" t="s">
        <v>130</v>
      </c>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86"/>
      <c r="BY78" s="196" t="s">
        <v>72</v>
      </c>
      <c r="BZ78" s="196"/>
      <c r="CA78" s="196"/>
      <c r="CB78" s="196"/>
      <c r="CC78" s="196"/>
      <c r="CD78" s="196"/>
      <c r="CE78" s="196"/>
      <c r="CF78" s="196"/>
      <c r="CG78" s="196"/>
      <c r="CH78" s="196"/>
      <c r="CI78" s="196"/>
      <c r="CJ78" s="196"/>
      <c r="CK78" s="16"/>
      <c r="CL78" s="196"/>
      <c r="CM78" s="196"/>
      <c r="CN78" s="196"/>
      <c r="CO78" s="196"/>
      <c r="CP78" s="196"/>
      <c r="CQ78" s="196"/>
      <c r="CR78" s="196"/>
      <c r="CS78" s="196"/>
      <c r="CT78" s="196"/>
      <c r="CU78" s="196"/>
      <c r="CV78" s="196"/>
      <c r="CW78" s="196"/>
      <c r="CX78" s="16"/>
      <c r="CY78" s="196" t="s">
        <v>34</v>
      </c>
      <c r="CZ78" s="196"/>
      <c r="DA78" s="196"/>
      <c r="DB78" s="196"/>
      <c r="DC78" s="196"/>
      <c r="DD78" s="196"/>
      <c r="DE78" s="196"/>
      <c r="DF78" s="196"/>
      <c r="DG78" s="196"/>
      <c r="DH78" s="196"/>
      <c r="DI78" s="196"/>
      <c r="DJ78" s="196"/>
      <c r="DK78" s="196"/>
      <c r="DL78" s="16"/>
      <c r="DM78" s="196" t="s">
        <v>57</v>
      </c>
      <c r="DN78" s="196"/>
      <c r="DO78" s="196"/>
      <c r="DP78" s="196"/>
      <c r="DQ78" s="196"/>
      <c r="DR78" s="196"/>
      <c r="DS78" s="196"/>
      <c r="DT78" s="196"/>
      <c r="DU78" s="196"/>
      <c r="DV78" s="196"/>
      <c r="DW78" s="196"/>
      <c r="DX78" s="196"/>
      <c r="DY78" s="196"/>
      <c r="DZ78" s="196"/>
      <c r="EB78" s="196" t="s">
        <v>60</v>
      </c>
      <c r="EC78" s="196"/>
      <c r="ED78" s="196"/>
      <c r="EE78" s="196"/>
      <c r="EF78" s="196"/>
      <c r="EG78" s="196"/>
      <c r="EH78" s="196"/>
      <c r="EJ78" s="276" t="s">
        <v>188</v>
      </c>
      <c r="EK78" s="277"/>
      <c r="EL78" s="276" t="s">
        <v>189</v>
      </c>
      <c r="EM78" s="277"/>
    </row>
    <row r="79" spans="2:143" ht="13.5" customHeight="1" x14ac:dyDescent="0.25">
      <c r="B79" s="84"/>
      <c r="C79" s="69"/>
      <c r="D79" s="63"/>
      <c r="E79" s="63"/>
      <c r="F79" s="164" t="s">
        <v>74</v>
      </c>
      <c r="G79" s="164"/>
      <c r="H79" s="164"/>
      <c r="I79" s="164"/>
      <c r="J79" s="164"/>
      <c r="K79" s="164"/>
      <c r="L79" s="164" t="s">
        <v>83</v>
      </c>
      <c r="M79" s="164"/>
      <c r="N79" s="164"/>
      <c r="O79" s="164"/>
      <c r="P79" s="164"/>
      <c r="Q79" s="164"/>
      <c r="R79" s="164"/>
      <c r="S79" s="164" t="s">
        <v>131</v>
      </c>
      <c r="T79" s="164"/>
      <c r="U79" s="164"/>
      <c r="V79" s="164"/>
      <c r="W79" s="164"/>
      <c r="X79" s="164" t="s">
        <v>116</v>
      </c>
      <c r="Y79" s="164"/>
      <c r="Z79" s="164"/>
      <c r="AA79" s="164"/>
      <c r="AB79" s="164"/>
      <c r="AC79" s="164"/>
      <c r="AD79" s="164"/>
      <c r="AE79" s="164"/>
      <c r="AF79" s="164"/>
      <c r="AG79" s="164"/>
      <c r="AH79" s="164"/>
      <c r="AI79" s="164"/>
      <c r="AJ79" s="164"/>
      <c r="AK79" s="164"/>
      <c r="AL79" s="164"/>
      <c r="AM79" s="164" t="s">
        <v>128</v>
      </c>
      <c r="AN79" s="164"/>
      <c r="AO79" s="164"/>
      <c r="AP79" s="164"/>
      <c r="AQ79" s="164"/>
      <c r="AR79" s="164" t="s">
        <v>85</v>
      </c>
      <c r="AS79" s="164"/>
      <c r="AT79" s="164"/>
      <c r="AU79" s="164"/>
      <c r="AV79" s="164"/>
      <c r="AW79" s="69"/>
      <c r="AX79" s="69"/>
      <c r="AY79" s="69"/>
      <c r="AZ79" s="86"/>
      <c r="BC79" s="198" t="s">
        <v>155</v>
      </c>
      <c r="BD79" s="198"/>
      <c r="BE79" s="198"/>
      <c r="BF79" s="198"/>
      <c r="BG79" s="198"/>
      <c r="BH79" s="198" t="s">
        <v>120</v>
      </c>
      <c r="BI79" s="198"/>
      <c r="BJ79" s="198"/>
      <c r="BK79" s="198"/>
      <c r="BL79" s="198"/>
      <c r="BM79" s="198" t="s">
        <v>121</v>
      </c>
      <c r="BN79" s="198"/>
      <c r="BO79" s="198"/>
      <c r="BP79" s="198"/>
      <c r="BQ79" s="198"/>
      <c r="BR79" s="198" t="s">
        <v>119</v>
      </c>
      <c r="BS79" s="198"/>
      <c r="BT79" s="198"/>
      <c r="BU79" s="198"/>
      <c r="BV79" s="198"/>
      <c r="BY79" s="195" t="s">
        <v>28</v>
      </c>
      <c r="BZ79" s="195" t="s">
        <v>29</v>
      </c>
      <c r="CA79" s="195" t="s">
        <v>30</v>
      </c>
      <c r="CB79" s="2" t="s">
        <v>31</v>
      </c>
      <c r="CC79" s="195" t="s">
        <v>32</v>
      </c>
      <c r="CD79" s="195" t="s">
        <v>33</v>
      </c>
      <c r="CE79" s="195" t="s">
        <v>51</v>
      </c>
      <c r="CF79" s="195" t="s">
        <v>52</v>
      </c>
      <c r="CG79" s="195" t="s">
        <v>53</v>
      </c>
      <c r="CH79" s="195" t="s">
        <v>54</v>
      </c>
      <c r="CI79" s="195" t="s">
        <v>55</v>
      </c>
      <c r="CJ79" s="195" t="s">
        <v>56</v>
      </c>
      <c r="CK79" s="17"/>
      <c r="CL79" s="195" t="s">
        <v>28</v>
      </c>
      <c r="CM79" s="195" t="s">
        <v>29</v>
      </c>
      <c r="CN79" s="195" t="s">
        <v>30</v>
      </c>
      <c r="CO79" s="2" t="s">
        <v>31</v>
      </c>
      <c r="CP79" s="195" t="s">
        <v>32</v>
      </c>
      <c r="CQ79" s="195" t="s">
        <v>33</v>
      </c>
      <c r="CR79" s="195" t="s">
        <v>51</v>
      </c>
      <c r="CS79" s="195" t="s">
        <v>52</v>
      </c>
      <c r="CT79" s="195" t="s">
        <v>53</v>
      </c>
      <c r="CU79" s="195" t="s">
        <v>54</v>
      </c>
      <c r="CV79" s="195" t="s">
        <v>55</v>
      </c>
      <c r="CW79" s="195" t="s">
        <v>56</v>
      </c>
      <c r="CX79" s="17"/>
      <c r="CY79" s="195" t="s">
        <v>34</v>
      </c>
      <c r="CZ79" s="195" t="s">
        <v>28</v>
      </c>
      <c r="DA79" s="195" t="s">
        <v>29</v>
      </c>
      <c r="DB79" s="195" t="s">
        <v>30</v>
      </c>
      <c r="DC79" s="2" t="s">
        <v>31</v>
      </c>
      <c r="DD79" s="195" t="s">
        <v>32</v>
      </c>
      <c r="DE79" s="195" t="s">
        <v>33</v>
      </c>
      <c r="DF79" s="195" t="s">
        <v>51</v>
      </c>
      <c r="DG79" s="195" t="s">
        <v>52</v>
      </c>
      <c r="DH79" s="195" t="s">
        <v>53</v>
      </c>
      <c r="DI79" s="195" t="s">
        <v>54</v>
      </c>
      <c r="DJ79" s="195" t="s">
        <v>55</v>
      </c>
      <c r="DK79" s="195" t="s">
        <v>56</v>
      </c>
      <c r="DL79" s="17"/>
      <c r="DM79" s="195" t="s">
        <v>35</v>
      </c>
      <c r="DN79" s="200" t="s">
        <v>36</v>
      </c>
      <c r="DO79" s="195" t="s">
        <v>28</v>
      </c>
      <c r="DP79" s="195" t="s">
        <v>29</v>
      </c>
      <c r="DQ79" s="195" t="s">
        <v>30</v>
      </c>
      <c r="DR79" s="2" t="s">
        <v>31</v>
      </c>
      <c r="DS79" s="195" t="s">
        <v>32</v>
      </c>
      <c r="DT79" s="195" t="s">
        <v>33</v>
      </c>
      <c r="DU79" s="195" t="s">
        <v>51</v>
      </c>
      <c r="DV79" s="195" t="s">
        <v>52</v>
      </c>
      <c r="DW79" s="195" t="s">
        <v>53</v>
      </c>
      <c r="DX79" s="195" t="s">
        <v>54</v>
      </c>
      <c r="DY79" s="195" t="s">
        <v>55</v>
      </c>
      <c r="DZ79" s="195" t="s">
        <v>56</v>
      </c>
      <c r="EA79" s="3"/>
      <c r="EB79" s="54" t="s">
        <v>58</v>
      </c>
      <c r="EC79" s="54" t="s">
        <v>37</v>
      </c>
      <c r="ED79" s="54" t="s">
        <v>38</v>
      </c>
      <c r="EE79" s="4" t="s">
        <v>39</v>
      </c>
      <c r="EF79" s="54" t="s">
        <v>61</v>
      </c>
      <c r="EG79" s="195" t="s">
        <v>40</v>
      </c>
      <c r="EH79" s="195"/>
      <c r="EJ79" s="278"/>
      <c r="EK79" s="279"/>
      <c r="EL79" s="278"/>
      <c r="EM79" s="279"/>
    </row>
    <row r="80" spans="2:143" ht="13.5" x14ac:dyDescent="0.25">
      <c r="B80" s="84"/>
      <c r="C80" s="69"/>
      <c r="D80" s="63"/>
      <c r="E80" s="63"/>
      <c r="F80" s="164"/>
      <c r="G80" s="164"/>
      <c r="H80" s="164"/>
      <c r="I80" s="164"/>
      <c r="J80" s="164"/>
      <c r="K80" s="164"/>
      <c r="L80" s="164"/>
      <c r="M80" s="164"/>
      <c r="N80" s="164"/>
      <c r="O80" s="164"/>
      <c r="P80" s="164"/>
      <c r="Q80" s="164"/>
      <c r="R80" s="164"/>
      <c r="S80" s="164"/>
      <c r="T80" s="164"/>
      <c r="U80" s="164"/>
      <c r="V80" s="164"/>
      <c r="W80" s="164"/>
      <c r="X80" s="164">
        <v>1</v>
      </c>
      <c r="Y80" s="164"/>
      <c r="Z80" s="164"/>
      <c r="AA80" s="164"/>
      <c r="AB80" s="164"/>
      <c r="AC80" s="164">
        <v>2</v>
      </c>
      <c r="AD80" s="164"/>
      <c r="AE80" s="164"/>
      <c r="AF80" s="164"/>
      <c r="AG80" s="164"/>
      <c r="AH80" s="164">
        <v>3</v>
      </c>
      <c r="AI80" s="164"/>
      <c r="AJ80" s="164"/>
      <c r="AK80" s="164"/>
      <c r="AL80" s="164"/>
      <c r="AM80" s="164"/>
      <c r="AN80" s="164"/>
      <c r="AO80" s="164"/>
      <c r="AP80" s="164"/>
      <c r="AQ80" s="164"/>
      <c r="AR80" s="164"/>
      <c r="AS80" s="164"/>
      <c r="AT80" s="164"/>
      <c r="AU80" s="164"/>
      <c r="AV80" s="164"/>
      <c r="AW80" s="69"/>
      <c r="AX80" s="69"/>
      <c r="AY80" s="69"/>
      <c r="AZ80" s="86"/>
      <c r="BC80" s="198"/>
      <c r="BD80" s="198"/>
      <c r="BE80" s="198"/>
      <c r="BF80" s="198"/>
      <c r="BG80" s="198"/>
      <c r="BH80" s="198"/>
      <c r="BI80" s="198"/>
      <c r="BJ80" s="198"/>
      <c r="BK80" s="198"/>
      <c r="BL80" s="198"/>
      <c r="BM80" s="198"/>
      <c r="BN80" s="198"/>
      <c r="BO80" s="198"/>
      <c r="BP80" s="198"/>
      <c r="BQ80" s="198"/>
      <c r="BR80" s="198"/>
      <c r="BS80" s="198"/>
      <c r="BT80" s="198"/>
      <c r="BU80" s="198"/>
      <c r="BV80" s="198"/>
      <c r="BY80" s="195"/>
      <c r="BZ80" s="195"/>
      <c r="CA80" s="195"/>
      <c r="CB80" s="54" t="s">
        <v>41</v>
      </c>
      <c r="CC80" s="195"/>
      <c r="CD80" s="195"/>
      <c r="CE80" s="195"/>
      <c r="CF80" s="195"/>
      <c r="CG80" s="195"/>
      <c r="CH80" s="195"/>
      <c r="CI80" s="195"/>
      <c r="CJ80" s="195"/>
      <c r="CK80" s="17"/>
      <c r="CL80" s="195"/>
      <c r="CM80" s="195"/>
      <c r="CN80" s="195"/>
      <c r="CO80" s="54" t="s">
        <v>41</v>
      </c>
      <c r="CP80" s="195"/>
      <c r="CQ80" s="195"/>
      <c r="CR80" s="195"/>
      <c r="CS80" s="195"/>
      <c r="CT80" s="195"/>
      <c r="CU80" s="195"/>
      <c r="CV80" s="195"/>
      <c r="CW80" s="195"/>
      <c r="CX80" s="17"/>
      <c r="CY80" s="195"/>
      <c r="CZ80" s="195"/>
      <c r="DA80" s="195"/>
      <c r="DB80" s="195"/>
      <c r="DC80" s="54" t="s">
        <v>41</v>
      </c>
      <c r="DD80" s="195"/>
      <c r="DE80" s="195"/>
      <c r="DF80" s="195"/>
      <c r="DG80" s="195"/>
      <c r="DH80" s="195"/>
      <c r="DI80" s="195"/>
      <c r="DJ80" s="195"/>
      <c r="DK80" s="195"/>
      <c r="DL80" s="17"/>
      <c r="DM80" s="195"/>
      <c r="DN80" s="200"/>
      <c r="DO80" s="195"/>
      <c r="DP80" s="195"/>
      <c r="DQ80" s="195"/>
      <c r="DR80" s="54" t="s">
        <v>41</v>
      </c>
      <c r="DS80" s="195"/>
      <c r="DT80" s="195"/>
      <c r="DU80" s="195"/>
      <c r="DV80" s="195"/>
      <c r="DW80" s="195"/>
      <c r="DX80" s="195"/>
      <c r="DY80" s="195"/>
      <c r="DZ80" s="195"/>
      <c r="EA80" s="3"/>
      <c r="EB80" s="54" t="s">
        <v>54</v>
      </c>
      <c r="EC80" s="54" t="s">
        <v>59</v>
      </c>
      <c r="ED80" s="54" t="s">
        <v>42</v>
      </c>
      <c r="EE80" s="4" t="s">
        <v>43</v>
      </c>
      <c r="EF80" s="54" t="s">
        <v>44</v>
      </c>
      <c r="EG80" s="195" t="s">
        <v>45</v>
      </c>
      <c r="EH80" s="195"/>
      <c r="EJ80" s="280"/>
      <c r="EK80" s="281"/>
      <c r="EL80" s="280"/>
      <c r="EM80" s="281"/>
    </row>
    <row r="81" spans="2:143" ht="13.5" x14ac:dyDescent="0.25">
      <c r="B81" s="84"/>
      <c r="C81" s="69"/>
      <c r="D81" s="69"/>
      <c r="E81" s="69"/>
      <c r="F81" s="153" t="s">
        <v>124</v>
      </c>
      <c r="G81" s="153"/>
      <c r="H81" s="153"/>
      <c r="I81" s="153"/>
      <c r="J81" s="153"/>
      <c r="K81" s="153"/>
      <c r="L81" s="154">
        <v>50</v>
      </c>
      <c r="M81" s="155"/>
      <c r="N81" s="155"/>
      <c r="O81" s="155"/>
      <c r="P81" s="161" t="s">
        <v>82</v>
      </c>
      <c r="Q81" s="161"/>
      <c r="R81" s="162"/>
      <c r="S81" s="194" t="s">
        <v>151</v>
      </c>
      <c r="T81" s="194"/>
      <c r="U81" s="194"/>
      <c r="V81" s="194"/>
      <c r="W81" s="194"/>
      <c r="X81" s="165"/>
      <c r="Y81" s="165"/>
      <c r="Z81" s="165"/>
      <c r="AA81" s="165"/>
      <c r="AB81" s="165"/>
      <c r="AC81" s="165"/>
      <c r="AD81" s="165"/>
      <c r="AE81" s="165"/>
      <c r="AF81" s="165"/>
      <c r="AG81" s="165"/>
      <c r="AH81" s="165"/>
      <c r="AI81" s="165"/>
      <c r="AJ81" s="165"/>
      <c r="AK81" s="165"/>
      <c r="AL81" s="165"/>
      <c r="AM81" s="255" t="e">
        <f>AVERAGE(X81:AL81)</f>
        <v>#DIV/0!</v>
      </c>
      <c r="AN81" s="165"/>
      <c r="AO81" s="165"/>
      <c r="AP81" s="165"/>
      <c r="AQ81" s="165"/>
      <c r="AR81" s="165" t="e">
        <f>AM81-L81</f>
        <v>#DIV/0!</v>
      </c>
      <c r="AS81" s="165"/>
      <c r="AT81" s="165"/>
      <c r="AU81" s="165"/>
      <c r="AV81" s="165"/>
      <c r="AW81" s="69"/>
      <c r="AX81" s="69"/>
      <c r="AY81" s="69"/>
      <c r="AZ81" s="86"/>
      <c r="BC81" s="193" t="e">
        <f>(AM81*0.1%)+(2*CY81)</f>
        <v>#DIV/0!</v>
      </c>
      <c r="BD81" s="193"/>
      <c r="BE81" s="193"/>
      <c r="BF81" s="193"/>
      <c r="BG81" s="193"/>
      <c r="BH81" s="193" t="e">
        <f>L81+BC81</f>
        <v>#DIV/0!</v>
      </c>
      <c r="BI81" s="193"/>
      <c r="BJ81" s="193"/>
      <c r="BK81" s="193"/>
      <c r="BL81" s="193"/>
      <c r="BM81" s="193" t="e">
        <f>L81-BC81</f>
        <v>#DIV/0!</v>
      </c>
      <c r="BN81" s="193"/>
      <c r="BO81" s="193"/>
      <c r="BP81" s="193"/>
      <c r="BQ81" s="193"/>
      <c r="BR81" s="197" t="e">
        <f>IF(AND(AM81&lt;=BH81,AM81&gt;=BM81),"PASS","FAIL")</f>
        <v>#DIV/0!</v>
      </c>
      <c r="BS81" s="197"/>
      <c r="BT81" s="197"/>
      <c r="BU81" s="197"/>
      <c r="BV81" s="197"/>
      <c r="BY81" s="5" t="s">
        <v>46</v>
      </c>
      <c r="BZ81" s="5" t="s">
        <v>47</v>
      </c>
      <c r="CA81" s="5" t="s">
        <v>48</v>
      </c>
      <c r="CB81" s="8">
        <v>5.8E-5</v>
      </c>
      <c r="CC81" s="6" t="str">
        <f>P81</f>
        <v>kHz</v>
      </c>
      <c r="CD81" s="5">
        <v>2</v>
      </c>
      <c r="CE81" s="7">
        <f t="shared" ref="CE81" si="103">CB81/CD81</f>
        <v>2.9E-5</v>
      </c>
      <c r="CF81" s="5">
        <v>1</v>
      </c>
      <c r="CG81" s="7">
        <f t="shared" ref="CG81" si="104">CE81*CF81</f>
        <v>2.9E-5</v>
      </c>
      <c r="CH81" s="7">
        <f t="shared" ref="CH81" si="105">CG81^2</f>
        <v>8.4099999999999999E-10</v>
      </c>
      <c r="CI81" s="5">
        <v>200</v>
      </c>
      <c r="CJ81" s="7">
        <f t="shared" ref="CJ81" si="106">CG81^4/CI81</f>
        <v>3.5364050000000004E-21</v>
      </c>
      <c r="CK81" s="18"/>
      <c r="CL81" s="5" t="s">
        <v>174</v>
      </c>
      <c r="CM81" s="5" t="s">
        <v>49</v>
      </c>
      <c r="CN81" s="5" t="s">
        <v>48</v>
      </c>
      <c r="CO81" s="8">
        <v>0</v>
      </c>
      <c r="CP81" s="6" t="str">
        <f>CC81</f>
        <v>kHz</v>
      </c>
      <c r="CQ81" s="9">
        <f t="shared" ref="CQ81" si="107">SQRT(3)</f>
        <v>1.7320508075688772</v>
      </c>
      <c r="CR81" s="7">
        <f t="shared" ref="CR81" si="108">CO81/CQ81</f>
        <v>0</v>
      </c>
      <c r="CS81" s="5">
        <v>1</v>
      </c>
      <c r="CT81" s="7">
        <f t="shared" ref="CT81" si="109">CR81*CS81</f>
        <v>0</v>
      </c>
      <c r="CU81" s="7">
        <f t="shared" ref="CU81" si="110">CT81^2</f>
        <v>0</v>
      </c>
      <c r="CV81" s="5">
        <v>200</v>
      </c>
      <c r="CW81" s="7">
        <f t="shared" ref="CW81" si="111">CT81^4/CV81</f>
        <v>0</v>
      </c>
      <c r="CX81" s="18"/>
      <c r="CY81" s="5">
        <v>0.01</v>
      </c>
      <c r="CZ81" s="5" t="s">
        <v>80</v>
      </c>
      <c r="DA81" s="5" t="s">
        <v>49</v>
      </c>
      <c r="DB81" s="5" t="s">
        <v>48</v>
      </c>
      <c r="DC81" s="8">
        <f t="shared" ref="DC81" si="112">CY81/2</f>
        <v>5.0000000000000001E-3</v>
      </c>
      <c r="DD81" s="6" t="str">
        <f>P81</f>
        <v>kHz</v>
      </c>
      <c r="DE81" s="9">
        <f t="shared" ref="DE81" si="113">SQRT(3)</f>
        <v>1.7320508075688772</v>
      </c>
      <c r="DF81" s="7">
        <f t="shared" ref="DF81" si="114">DC81/DE81</f>
        <v>2.886751345948129E-3</v>
      </c>
      <c r="DG81" s="5">
        <v>1</v>
      </c>
      <c r="DH81" s="7">
        <f t="shared" ref="DH81" si="115">DF81*DG81</f>
        <v>2.886751345948129E-3</v>
      </c>
      <c r="DI81" s="7">
        <f t="shared" ref="DI81" si="116">DH81^2</f>
        <v>8.3333333333333337E-6</v>
      </c>
      <c r="DJ81" s="5">
        <v>200</v>
      </c>
      <c r="DK81" s="7">
        <f t="shared" ref="DK81" si="117">DH81^4/DJ81</f>
        <v>3.4722222222222227E-13</v>
      </c>
      <c r="DL81" s="18"/>
      <c r="DM81" s="5">
        <v>3</v>
      </c>
      <c r="DN81" s="10" t="e">
        <f>STDEV(X81:AL81)</f>
        <v>#DIV/0!</v>
      </c>
      <c r="DO81" s="5" t="s">
        <v>50</v>
      </c>
      <c r="DP81" s="5" t="s">
        <v>47</v>
      </c>
      <c r="DQ81" s="5" t="s">
        <v>27</v>
      </c>
      <c r="DR81" s="10" t="e">
        <f t="shared" ref="DR81" si="118">DN81</f>
        <v>#DIV/0!</v>
      </c>
      <c r="DS81" s="6" t="str">
        <f>P81</f>
        <v>kHz</v>
      </c>
      <c r="DT81" s="9">
        <f t="shared" ref="DT81" si="119">SQRT(DM81)</f>
        <v>1.7320508075688772</v>
      </c>
      <c r="DU81" s="10" t="e">
        <f t="shared" ref="DU81" si="120">DR81/DT81</f>
        <v>#DIV/0!</v>
      </c>
      <c r="DV81" s="5">
        <v>1</v>
      </c>
      <c r="DW81" s="11" t="e">
        <f t="shared" ref="DW81" si="121">DU81*DV81</f>
        <v>#DIV/0!</v>
      </c>
      <c r="DX81" s="11" t="e">
        <f t="shared" ref="DX81" si="122">DW81^2</f>
        <v>#DIV/0!</v>
      </c>
      <c r="DY81" s="5">
        <v>2</v>
      </c>
      <c r="DZ81" s="12" t="e">
        <f t="shared" ref="DZ81" si="123">DW81^4/DY81</f>
        <v>#DIV/0!</v>
      </c>
      <c r="EA81" s="13"/>
      <c r="EB81" s="7" t="e">
        <f>CH81+DI81+DX81</f>
        <v>#DIV/0!</v>
      </c>
      <c r="EC81" s="7" t="e">
        <f>CJ81+DK81+DZ81</f>
        <v>#DIV/0!</v>
      </c>
      <c r="ED81" s="7" t="e">
        <f t="shared" ref="ED81" si="124">SQRT(EB81)</f>
        <v>#DIV/0!</v>
      </c>
      <c r="EE81" s="8" t="e">
        <f t="shared" ref="EE81" si="125">(ED81^4)/EC81</f>
        <v>#DIV/0!</v>
      </c>
      <c r="EF81" s="14" t="e">
        <f t="shared" ref="EF81" si="126">ROUND(TINV(0.05,EE81),0)</f>
        <v>#DIV/0!</v>
      </c>
      <c r="EG81" s="33" t="e">
        <f>(ED81*EF81)</f>
        <v>#DIV/0!</v>
      </c>
      <c r="EH81" s="15" t="str">
        <f>P81</f>
        <v>kHz</v>
      </c>
      <c r="EJ81" s="109"/>
      <c r="EK81" s="110" t="str">
        <f>EH81</f>
        <v>kHz</v>
      </c>
      <c r="EL81" s="111" t="e">
        <f>MAX(EJ81,EG81)</f>
        <v>#DIV/0!</v>
      </c>
      <c r="EM81" s="110" t="str">
        <f t="shared" ref="EM81" si="127">EK81</f>
        <v>kHz</v>
      </c>
    </row>
    <row r="82" spans="2:143" ht="13.5" x14ac:dyDescent="0.25">
      <c r="B82" s="84"/>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86"/>
    </row>
    <row r="83" spans="2:143" ht="13.5" x14ac:dyDescent="0.25">
      <c r="B83" s="84"/>
      <c r="C83" s="69"/>
      <c r="D83" s="63"/>
      <c r="E83" s="69"/>
      <c r="F83" s="85" t="s">
        <v>117</v>
      </c>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86"/>
      <c r="BY83" s="196" t="s">
        <v>72</v>
      </c>
      <c r="BZ83" s="196"/>
      <c r="CA83" s="196"/>
      <c r="CB83" s="196"/>
      <c r="CC83" s="196"/>
      <c r="CD83" s="196"/>
      <c r="CE83" s="196"/>
      <c r="CF83" s="196"/>
      <c r="CG83" s="196"/>
      <c r="CH83" s="196"/>
      <c r="CI83" s="196"/>
      <c r="CJ83" s="196"/>
      <c r="CK83" s="16"/>
      <c r="CL83" s="196"/>
      <c r="CM83" s="196"/>
      <c r="CN83" s="196"/>
      <c r="CO83" s="196"/>
      <c r="CP83" s="196"/>
      <c r="CQ83" s="196"/>
      <c r="CR83" s="196"/>
      <c r="CS83" s="196"/>
      <c r="CT83" s="196"/>
      <c r="CU83" s="196"/>
      <c r="CV83" s="196"/>
      <c r="CW83" s="196"/>
      <c r="CX83" s="16"/>
      <c r="CY83" s="196" t="s">
        <v>34</v>
      </c>
      <c r="CZ83" s="196"/>
      <c r="DA83" s="196"/>
      <c r="DB83" s="196"/>
      <c r="DC83" s="196"/>
      <c r="DD83" s="196"/>
      <c r="DE83" s="196"/>
      <c r="DF83" s="196"/>
      <c r="DG83" s="196"/>
      <c r="DH83" s="196"/>
      <c r="DI83" s="196"/>
      <c r="DJ83" s="196"/>
      <c r="DK83" s="196"/>
      <c r="DL83" s="16"/>
      <c r="DM83" s="196" t="s">
        <v>57</v>
      </c>
      <c r="DN83" s="196"/>
      <c r="DO83" s="196"/>
      <c r="DP83" s="196"/>
      <c r="DQ83" s="196"/>
      <c r="DR83" s="196"/>
      <c r="DS83" s="196"/>
      <c r="DT83" s="196"/>
      <c r="DU83" s="196"/>
      <c r="DV83" s="196"/>
      <c r="DW83" s="196"/>
      <c r="DX83" s="196"/>
      <c r="DY83" s="196"/>
      <c r="DZ83" s="196"/>
      <c r="EB83" s="196" t="s">
        <v>60</v>
      </c>
      <c r="EC83" s="196"/>
      <c r="ED83" s="196"/>
      <c r="EE83" s="196"/>
      <c r="EF83" s="196"/>
      <c r="EG83" s="196"/>
      <c r="EH83" s="196"/>
      <c r="EJ83" s="276" t="s">
        <v>188</v>
      </c>
      <c r="EK83" s="277"/>
      <c r="EL83" s="276" t="s">
        <v>189</v>
      </c>
      <c r="EM83" s="277"/>
    </row>
    <row r="84" spans="2:143" ht="13.5" customHeight="1" x14ac:dyDescent="0.25">
      <c r="B84" s="84"/>
      <c r="C84" s="69"/>
      <c r="D84" s="63"/>
      <c r="E84" s="63"/>
      <c r="F84" s="164" t="s">
        <v>74</v>
      </c>
      <c r="G84" s="164"/>
      <c r="H84" s="164"/>
      <c r="I84" s="164"/>
      <c r="J84" s="164"/>
      <c r="K84" s="164"/>
      <c r="L84" s="164" t="s">
        <v>83</v>
      </c>
      <c r="M84" s="164"/>
      <c r="N84" s="164"/>
      <c r="O84" s="164"/>
      <c r="P84" s="164"/>
      <c r="Q84" s="164"/>
      <c r="R84" s="164"/>
      <c r="S84" s="164" t="s">
        <v>116</v>
      </c>
      <c r="T84" s="164"/>
      <c r="U84" s="164"/>
      <c r="V84" s="164"/>
      <c r="W84" s="164"/>
      <c r="X84" s="164"/>
      <c r="Y84" s="164"/>
      <c r="Z84" s="164"/>
      <c r="AA84" s="164"/>
      <c r="AB84" s="164"/>
      <c r="AC84" s="164"/>
      <c r="AD84" s="164"/>
      <c r="AE84" s="164"/>
      <c r="AF84" s="164"/>
      <c r="AG84" s="164"/>
      <c r="AH84" s="164" t="s">
        <v>128</v>
      </c>
      <c r="AI84" s="164"/>
      <c r="AJ84" s="164"/>
      <c r="AK84" s="164"/>
      <c r="AL84" s="164"/>
      <c r="AM84" s="164" t="s">
        <v>85</v>
      </c>
      <c r="AN84" s="164"/>
      <c r="AO84" s="164"/>
      <c r="AP84" s="164"/>
      <c r="AQ84" s="256"/>
      <c r="AR84" s="85"/>
      <c r="AS84" s="85"/>
      <c r="AT84" s="85"/>
      <c r="AU84" s="85"/>
      <c r="AV84" s="85"/>
      <c r="AW84" s="69"/>
      <c r="AX84" s="69"/>
      <c r="AY84" s="69"/>
      <c r="AZ84" s="86"/>
      <c r="BC84" s="198" t="s">
        <v>155</v>
      </c>
      <c r="BD84" s="198"/>
      <c r="BE84" s="198"/>
      <c r="BF84" s="198"/>
      <c r="BG84" s="198"/>
      <c r="BH84" s="198" t="s">
        <v>120</v>
      </c>
      <c r="BI84" s="198"/>
      <c r="BJ84" s="198"/>
      <c r="BK84" s="198"/>
      <c r="BL84" s="198"/>
      <c r="BM84" s="198" t="s">
        <v>121</v>
      </c>
      <c r="BN84" s="198"/>
      <c r="BO84" s="198"/>
      <c r="BP84" s="198"/>
      <c r="BQ84" s="198"/>
      <c r="BR84" s="198" t="s">
        <v>119</v>
      </c>
      <c r="BS84" s="198"/>
      <c r="BT84" s="198"/>
      <c r="BU84" s="198"/>
      <c r="BV84" s="198"/>
      <c r="BY84" s="195" t="s">
        <v>28</v>
      </c>
      <c r="BZ84" s="195" t="s">
        <v>29</v>
      </c>
      <c r="CA84" s="195" t="s">
        <v>30</v>
      </c>
      <c r="CB84" s="2" t="s">
        <v>31</v>
      </c>
      <c r="CC84" s="195" t="s">
        <v>32</v>
      </c>
      <c r="CD84" s="195" t="s">
        <v>33</v>
      </c>
      <c r="CE84" s="195" t="s">
        <v>51</v>
      </c>
      <c r="CF84" s="195" t="s">
        <v>52</v>
      </c>
      <c r="CG84" s="195" t="s">
        <v>53</v>
      </c>
      <c r="CH84" s="195" t="s">
        <v>54</v>
      </c>
      <c r="CI84" s="195" t="s">
        <v>55</v>
      </c>
      <c r="CJ84" s="195" t="s">
        <v>56</v>
      </c>
      <c r="CK84" s="17"/>
      <c r="CL84" s="195" t="s">
        <v>28</v>
      </c>
      <c r="CM84" s="195" t="s">
        <v>29</v>
      </c>
      <c r="CN84" s="195" t="s">
        <v>30</v>
      </c>
      <c r="CO84" s="2" t="s">
        <v>31</v>
      </c>
      <c r="CP84" s="195" t="s">
        <v>32</v>
      </c>
      <c r="CQ84" s="195" t="s">
        <v>33</v>
      </c>
      <c r="CR84" s="195" t="s">
        <v>51</v>
      </c>
      <c r="CS84" s="195" t="s">
        <v>52</v>
      </c>
      <c r="CT84" s="195" t="s">
        <v>53</v>
      </c>
      <c r="CU84" s="195" t="s">
        <v>54</v>
      </c>
      <c r="CV84" s="195" t="s">
        <v>55</v>
      </c>
      <c r="CW84" s="195" t="s">
        <v>56</v>
      </c>
      <c r="CX84" s="17"/>
      <c r="CY84" s="195" t="s">
        <v>34</v>
      </c>
      <c r="CZ84" s="195" t="s">
        <v>28</v>
      </c>
      <c r="DA84" s="195" t="s">
        <v>29</v>
      </c>
      <c r="DB84" s="195" t="s">
        <v>30</v>
      </c>
      <c r="DC84" s="2" t="s">
        <v>31</v>
      </c>
      <c r="DD84" s="195" t="s">
        <v>32</v>
      </c>
      <c r="DE84" s="195" t="s">
        <v>33</v>
      </c>
      <c r="DF84" s="195" t="s">
        <v>51</v>
      </c>
      <c r="DG84" s="195" t="s">
        <v>52</v>
      </c>
      <c r="DH84" s="195" t="s">
        <v>53</v>
      </c>
      <c r="DI84" s="195" t="s">
        <v>54</v>
      </c>
      <c r="DJ84" s="195" t="s">
        <v>55</v>
      </c>
      <c r="DK84" s="195" t="s">
        <v>56</v>
      </c>
      <c r="DL84" s="17"/>
      <c r="DM84" s="195" t="s">
        <v>35</v>
      </c>
      <c r="DN84" s="200" t="s">
        <v>36</v>
      </c>
      <c r="DO84" s="195" t="s">
        <v>28</v>
      </c>
      <c r="DP84" s="195" t="s">
        <v>29</v>
      </c>
      <c r="DQ84" s="195" t="s">
        <v>30</v>
      </c>
      <c r="DR84" s="2" t="s">
        <v>31</v>
      </c>
      <c r="DS84" s="195" t="s">
        <v>32</v>
      </c>
      <c r="DT84" s="195" t="s">
        <v>33</v>
      </c>
      <c r="DU84" s="195" t="s">
        <v>51</v>
      </c>
      <c r="DV84" s="195" t="s">
        <v>52</v>
      </c>
      <c r="DW84" s="195" t="s">
        <v>53</v>
      </c>
      <c r="DX84" s="195" t="s">
        <v>54</v>
      </c>
      <c r="DY84" s="195" t="s">
        <v>55</v>
      </c>
      <c r="DZ84" s="195" t="s">
        <v>56</v>
      </c>
      <c r="EA84" s="3"/>
      <c r="EB84" s="54" t="s">
        <v>58</v>
      </c>
      <c r="EC84" s="54" t="s">
        <v>37</v>
      </c>
      <c r="ED84" s="54" t="s">
        <v>38</v>
      </c>
      <c r="EE84" s="4" t="s">
        <v>39</v>
      </c>
      <c r="EF84" s="54" t="s">
        <v>61</v>
      </c>
      <c r="EG84" s="195" t="s">
        <v>40</v>
      </c>
      <c r="EH84" s="195"/>
      <c r="EJ84" s="278"/>
      <c r="EK84" s="279"/>
      <c r="EL84" s="278"/>
      <c r="EM84" s="279"/>
    </row>
    <row r="85" spans="2:143" ht="13.5" x14ac:dyDescent="0.25">
      <c r="B85" s="84"/>
      <c r="C85" s="69"/>
      <c r="D85" s="63"/>
      <c r="E85" s="63"/>
      <c r="F85" s="164"/>
      <c r="G85" s="164"/>
      <c r="H85" s="164"/>
      <c r="I85" s="164"/>
      <c r="J85" s="164"/>
      <c r="K85" s="164"/>
      <c r="L85" s="164"/>
      <c r="M85" s="164"/>
      <c r="N85" s="164"/>
      <c r="O85" s="164"/>
      <c r="P85" s="164"/>
      <c r="Q85" s="164"/>
      <c r="R85" s="164"/>
      <c r="S85" s="164">
        <v>1</v>
      </c>
      <c r="T85" s="164"/>
      <c r="U85" s="164"/>
      <c r="V85" s="164"/>
      <c r="W85" s="164"/>
      <c r="X85" s="257">
        <v>2</v>
      </c>
      <c r="Y85" s="258"/>
      <c r="Z85" s="258"/>
      <c r="AA85" s="258"/>
      <c r="AB85" s="259"/>
      <c r="AC85" s="164">
        <v>3</v>
      </c>
      <c r="AD85" s="164"/>
      <c r="AE85" s="164"/>
      <c r="AF85" s="164"/>
      <c r="AG85" s="164"/>
      <c r="AH85" s="164"/>
      <c r="AI85" s="164"/>
      <c r="AJ85" s="164"/>
      <c r="AK85" s="164"/>
      <c r="AL85" s="164"/>
      <c r="AM85" s="164"/>
      <c r="AN85" s="164"/>
      <c r="AO85" s="164"/>
      <c r="AP85" s="164"/>
      <c r="AQ85" s="256"/>
      <c r="AR85" s="85"/>
      <c r="AS85" s="85"/>
      <c r="AT85" s="85"/>
      <c r="AU85" s="85"/>
      <c r="AV85" s="85"/>
      <c r="AW85" s="69"/>
      <c r="AX85" s="69"/>
      <c r="AY85" s="69"/>
      <c r="AZ85" s="86"/>
      <c r="BC85" s="198"/>
      <c r="BD85" s="198"/>
      <c r="BE85" s="198"/>
      <c r="BF85" s="198"/>
      <c r="BG85" s="198"/>
      <c r="BH85" s="198"/>
      <c r="BI85" s="198"/>
      <c r="BJ85" s="198"/>
      <c r="BK85" s="198"/>
      <c r="BL85" s="198"/>
      <c r="BM85" s="198"/>
      <c r="BN85" s="198"/>
      <c r="BO85" s="198"/>
      <c r="BP85" s="198"/>
      <c r="BQ85" s="198"/>
      <c r="BR85" s="198"/>
      <c r="BS85" s="198"/>
      <c r="BT85" s="198"/>
      <c r="BU85" s="198"/>
      <c r="BV85" s="198"/>
      <c r="BY85" s="195"/>
      <c r="BZ85" s="195"/>
      <c r="CA85" s="195"/>
      <c r="CB85" s="54" t="s">
        <v>41</v>
      </c>
      <c r="CC85" s="195"/>
      <c r="CD85" s="195"/>
      <c r="CE85" s="195"/>
      <c r="CF85" s="195"/>
      <c r="CG85" s="195"/>
      <c r="CH85" s="195"/>
      <c r="CI85" s="195"/>
      <c r="CJ85" s="195"/>
      <c r="CK85" s="17"/>
      <c r="CL85" s="195"/>
      <c r="CM85" s="195"/>
      <c r="CN85" s="195"/>
      <c r="CO85" s="54" t="s">
        <v>41</v>
      </c>
      <c r="CP85" s="195"/>
      <c r="CQ85" s="195"/>
      <c r="CR85" s="195"/>
      <c r="CS85" s="195"/>
      <c r="CT85" s="195"/>
      <c r="CU85" s="195"/>
      <c r="CV85" s="195"/>
      <c r="CW85" s="195"/>
      <c r="CX85" s="17"/>
      <c r="CY85" s="195"/>
      <c r="CZ85" s="195"/>
      <c r="DA85" s="195"/>
      <c r="DB85" s="195"/>
      <c r="DC85" s="54" t="s">
        <v>41</v>
      </c>
      <c r="DD85" s="195"/>
      <c r="DE85" s="195"/>
      <c r="DF85" s="195"/>
      <c r="DG85" s="195"/>
      <c r="DH85" s="195"/>
      <c r="DI85" s="195"/>
      <c r="DJ85" s="195"/>
      <c r="DK85" s="195"/>
      <c r="DL85" s="17"/>
      <c r="DM85" s="195"/>
      <c r="DN85" s="200"/>
      <c r="DO85" s="195"/>
      <c r="DP85" s="195"/>
      <c r="DQ85" s="195"/>
      <c r="DR85" s="54" t="s">
        <v>41</v>
      </c>
      <c r="DS85" s="195"/>
      <c r="DT85" s="195"/>
      <c r="DU85" s="195"/>
      <c r="DV85" s="195"/>
      <c r="DW85" s="195"/>
      <c r="DX85" s="195"/>
      <c r="DY85" s="195"/>
      <c r="DZ85" s="195"/>
      <c r="EA85" s="3"/>
      <c r="EB85" s="54" t="s">
        <v>54</v>
      </c>
      <c r="EC85" s="54" t="s">
        <v>59</v>
      </c>
      <c r="ED85" s="54" t="s">
        <v>42</v>
      </c>
      <c r="EE85" s="4" t="s">
        <v>43</v>
      </c>
      <c r="EF85" s="54" t="s">
        <v>44</v>
      </c>
      <c r="EG85" s="195" t="s">
        <v>45</v>
      </c>
      <c r="EH85" s="195"/>
      <c r="EJ85" s="280"/>
      <c r="EK85" s="281"/>
      <c r="EL85" s="280"/>
      <c r="EM85" s="281"/>
    </row>
    <row r="86" spans="2:143" ht="13.5" x14ac:dyDescent="0.25">
      <c r="B86" s="84"/>
      <c r="C86" s="69"/>
      <c r="D86" s="69"/>
      <c r="E86" s="69"/>
      <c r="F86" s="153" t="s">
        <v>124</v>
      </c>
      <c r="G86" s="153"/>
      <c r="H86" s="153"/>
      <c r="I86" s="153"/>
      <c r="J86" s="153"/>
      <c r="K86" s="153"/>
      <c r="L86" s="154">
        <v>0</v>
      </c>
      <c r="M86" s="155"/>
      <c r="N86" s="155"/>
      <c r="O86" s="155"/>
      <c r="P86" s="161" t="s">
        <v>77</v>
      </c>
      <c r="Q86" s="161"/>
      <c r="R86" s="162"/>
      <c r="S86" s="163"/>
      <c r="T86" s="163"/>
      <c r="U86" s="163"/>
      <c r="V86" s="163"/>
      <c r="W86" s="163"/>
      <c r="X86" s="163"/>
      <c r="Y86" s="163"/>
      <c r="Z86" s="163"/>
      <c r="AA86" s="163"/>
      <c r="AB86" s="163"/>
      <c r="AC86" s="163"/>
      <c r="AD86" s="163"/>
      <c r="AE86" s="163"/>
      <c r="AF86" s="163"/>
      <c r="AG86" s="163"/>
      <c r="AH86" s="158" t="e">
        <f>AVERAGE(S86:AG86)</f>
        <v>#DIV/0!</v>
      </c>
      <c r="AI86" s="159"/>
      <c r="AJ86" s="159"/>
      <c r="AK86" s="159"/>
      <c r="AL86" s="160"/>
      <c r="AM86" s="163" t="e">
        <f>AH86-L86</f>
        <v>#DIV/0!</v>
      </c>
      <c r="AN86" s="163"/>
      <c r="AO86" s="163"/>
      <c r="AP86" s="163"/>
      <c r="AQ86" s="239"/>
      <c r="AR86" s="94"/>
      <c r="AS86" s="94"/>
      <c r="AT86" s="94"/>
      <c r="AU86" s="94"/>
      <c r="AV86" s="94"/>
      <c r="AW86" s="69"/>
      <c r="AX86" s="69"/>
      <c r="AY86" s="69"/>
      <c r="AZ86" s="86"/>
      <c r="BC86" s="192" t="e">
        <f>(AH86*0.5%)+(2*CY86)</f>
        <v>#DIV/0!</v>
      </c>
      <c r="BD86" s="192"/>
      <c r="BE86" s="192"/>
      <c r="BF86" s="192"/>
      <c r="BG86" s="192"/>
      <c r="BH86" s="192" t="e">
        <f>L86+BC86</f>
        <v>#DIV/0!</v>
      </c>
      <c r="BI86" s="192"/>
      <c r="BJ86" s="192"/>
      <c r="BK86" s="192"/>
      <c r="BL86" s="192"/>
      <c r="BM86" s="192" t="e">
        <f>L86-BC86</f>
        <v>#DIV/0!</v>
      </c>
      <c r="BN86" s="192"/>
      <c r="BO86" s="192"/>
      <c r="BP86" s="192"/>
      <c r="BQ86" s="192"/>
      <c r="BR86" s="197" t="e">
        <f>IF(AND(AH86&lt;=BH86,AH86&gt;=BM86),"PASS","FAIL")</f>
        <v>#DIV/0!</v>
      </c>
      <c r="BS86" s="197"/>
      <c r="BT86" s="197"/>
      <c r="BU86" s="197"/>
      <c r="BV86" s="197"/>
      <c r="BY86" s="5" t="s">
        <v>46</v>
      </c>
      <c r="BZ86" s="5" t="s">
        <v>47</v>
      </c>
      <c r="CA86" s="5" t="s">
        <v>48</v>
      </c>
      <c r="CB86" s="112">
        <v>8.3000000000000002E-6</v>
      </c>
      <c r="CC86" s="6" t="str">
        <f>P86</f>
        <v>V</v>
      </c>
      <c r="CD86" s="5">
        <v>2</v>
      </c>
      <c r="CE86" s="7">
        <f t="shared" ref="CE86" si="128">CB86/CD86</f>
        <v>4.1500000000000001E-6</v>
      </c>
      <c r="CF86" s="5">
        <v>1</v>
      </c>
      <c r="CG86" s="7">
        <f t="shared" ref="CG86" si="129">CE86*CF86</f>
        <v>4.1500000000000001E-6</v>
      </c>
      <c r="CH86" s="7">
        <f t="shared" ref="CH86" si="130">CG86^2</f>
        <v>1.7222500000000002E-11</v>
      </c>
      <c r="CI86" s="5">
        <v>200</v>
      </c>
      <c r="CJ86" s="7">
        <f t="shared" ref="CJ86" si="131">CG86^4/CI86</f>
        <v>1.4830725312500004E-24</v>
      </c>
      <c r="CK86" s="18"/>
      <c r="CL86" s="5" t="s">
        <v>174</v>
      </c>
      <c r="CM86" s="5" t="s">
        <v>49</v>
      </c>
      <c r="CN86" s="5" t="s">
        <v>48</v>
      </c>
      <c r="CO86" s="8">
        <v>0</v>
      </c>
      <c r="CP86" s="6" t="str">
        <f t="shared" ref="CP86:CP90" si="132">CC86</f>
        <v>V</v>
      </c>
      <c r="CQ86" s="9">
        <f t="shared" ref="CQ86:CQ90" si="133">SQRT(3)</f>
        <v>1.7320508075688772</v>
      </c>
      <c r="CR86" s="7">
        <f t="shared" ref="CR86:CR90" si="134">CO86/CQ86</f>
        <v>0</v>
      </c>
      <c r="CS86" s="5">
        <v>1</v>
      </c>
      <c r="CT86" s="7">
        <f t="shared" ref="CT86:CT90" si="135">CR86*CS86</f>
        <v>0</v>
      </c>
      <c r="CU86" s="7">
        <f t="shared" ref="CU86:CU90" si="136">CT86^2</f>
        <v>0</v>
      </c>
      <c r="CV86" s="5">
        <v>200</v>
      </c>
      <c r="CW86" s="7">
        <f t="shared" ref="CW86:CW90" si="137">CT86^4/CV86</f>
        <v>0</v>
      </c>
      <c r="CX86" s="18"/>
      <c r="CY86" s="5">
        <v>1E-3</v>
      </c>
      <c r="CZ86" s="5" t="s">
        <v>80</v>
      </c>
      <c r="DA86" s="5" t="s">
        <v>49</v>
      </c>
      <c r="DB86" s="5" t="s">
        <v>48</v>
      </c>
      <c r="DC86" s="8">
        <f t="shared" ref="DC86" si="138">CY86/2</f>
        <v>5.0000000000000001E-4</v>
      </c>
      <c r="DD86" s="6" t="str">
        <f>P86</f>
        <v>V</v>
      </c>
      <c r="DE86" s="9">
        <f t="shared" ref="DE86:DE90" si="139">SQRT(3)</f>
        <v>1.7320508075688772</v>
      </c>
      <c r="DF86" s="7">
        <f t="shared" ref="DF86" si="140">DC86/DE86</f>
        <v>2.886751345948129E-4</v>
      </c>
      <c r="DG86" s="5">
        <v>1</v>
      </c>
      <c r="DH86" s="7">
        <f t="shared" ref="DH86" si="141">DF86*DG86</f>
        <v>2.886751345948129E-4</v>
      </c>
      <c r="DI86" s="7">
        <f t="shared" ref="DI86" si="142">DH86^2</f>
        <v>8.3333333333333338E-8</v>
      </c>
      <c r="DJ86" s="5">
        <v>200</v>
      </c>
      <c r="DK86" s="7">
        <f t="shared" ref="DK86" si="143">DH86^4/DJ86</f>
        <v>3.4722222222222225E-17</v>
      </c>
      <c r="DL86" s="18"/>
      <c r="DM86" s="5">
        <v>3</v>
      </c>
      <c r="DN86" s="10" t="e">
        <f>STDEV(S86:AG86)</f>
        <v>#DIV/0!</v>
      </c>
      <c r="DO86" s="5" t="s">
        <v>50</v>
      </c>
      <c r="DP86" s="5" t="s">
        <v>47</v>
      </c>
      <c r="DQ86" s="5" t="s">
        <v>27</v>
      </c>
      <c r="DR86" s="10" t="e">
        <f t="shared" ref="DR86" si="144">DN86</f>
        <v>#DIV/0!</v>
      </c>
      <c r="DS86" s="6" t="str">
        <f>P86</f>
        <v>V</v>
      </c>
      <c r="DT86" s="9">
        <f t="shared" ref="DT86" si="145">SQRT(DM86)</f>
        <v>1.7320508075688772</v>
      </c>
      <c r="DU86" s="10" t="e">
        <f t="shared" ref="DU86" si="146">DR86/DT86</f>
        <v>#DIV/0!</v>
      </c>
      <c r="DV86" s="5">
        <v>1</v>
      </c>
      <c r="DW86" s="11" t="e">
        <f t="shared" ref="DW86" si="147">DU86*DV86</f>
        <v>#DIV/0!</v>
      </c>
      <c r="DX86" s="11" t="e">
        <f t="shared" ref="DX86" si="148">DW86^2</f>
        <v>#DIV/0!</v>
      </c>
      <c r="DY86" s="5">
        <v>2</v>
      </c>
      <c r="DZ86" s="12" t="e">
        <f t="shared" ref="DZ86" si="149">DW86^4/DY86</f>
        <v>#DIV/0!</v>
      </c>
      <c r="EA86" s="13"/>
      <c r="EB86" s="7" t="e">
        <f>CH86+DI86+DX86</f>
        <v>#DIV/0!</v>
      </c>
      <c r="EC86" s="7" t="e">
        <f>CJ86+DK86+DZ86</f>
        <v>#DIV/0!</v>
      </c>
      <c r="ED86" s="7" t="e">
        <f t="shared" ref="ED86" si="150">SQRT(EB86)</f>
        <v>#DIV/0!</v>
      </c>
      <c r="EE86" s="8" t="e">
        <f t="shared" ref="EE86" si="151">(ED86^4)/EC86</f>
        <v>#DIV/0!</v>
      </c>
      <c r="EF86" s="14" t="e">
        <f t="shared" ref="EF86" si="152">ROUND(TINV(0.05,EE86),0)</f>
        <v>#DIV/0!</v>
      </c>
      <c r="EG86" s="33" t="e">
        <f>(ED86*EF86)</f>
        <v>#DIV/0!</v>
      </c>
      <c r="EH86" s="15" t="str">
        <f>P86</f>
        <v>V</v>
      </c>
      <c r="EJ86" s="109">
        <v>1.7999999999999999E-6</v>
      </c>
      <c r="EK86" s="110" t="str">
        <f>EH86</f>
        <v>V</v>
      </c>
      <c r="EL86" s="111" t="e">
        <f>MAX(EJ86,EG86)</f>
        <v>#DIV/0!</v>
      </c>
      <c r="EM86" s="110" t="str">
        <f t="shared" ref="EM86" si="153">EK86</f>
        <v>V</v>
      </c>
    </row>
    <row r="87" spans="2:143" ht="13.5" x14ac:dyDescent="0.25">
      <c r="B87" s="84"/>
      <c r="C87" s="69"/>
      <c r="D87" s="69"/>
      <c r="E87" s="69"/>
      <c r="F87" s="153" t="s">
        <v>124</v>
      </c>
      <c r="G87" s="153"/>
      <c r="H87" s="153"/>
      <c r="I87" s="153"/>
      <c r="J87" s="153"/>
      <c r="K87" s="153"/>
      <c r="L87" s="154">
        <v>5</v>
      </c>
      <c r="M87" s="155"/>
      <c r="N87" s="155"/>
      <c r="O87" s="155"/>
      <c r="P87" s="161" t="s">
        <v>77</v>
      </c>
      <c r="Q87" s="161"/>
      <c r="R87" s="162"/>
      <c r="S87" s="158"/>
      <c r="T87" s="159"/>
      <c r="U87" s="159"/>
      <c r="V87" s="159"/>
      <c r="W87" s="160"/>
      <c r="X87" s="158"/>
      <c r="Y87" s="159"/>
      <c r="Z87" s="159"/>
      <c r="AA87" s="159"/>
      <c r="AB87" s="160"/>
      <c r="AC87" s="158"/>
      <c r="AD87" s="159"/>
      <c r="AE87" s="159"/>
      <c r="AF87" s="159"/>
      <c r="AG87" s="160"/>
      <c r="AH87" s="158" t="e">
        <f>AVERAGE(S87:AG87)</f>
        <v>#DIV/0!</v>
      </c>
      <c r="AI87" s="159"/>
      <c r="AJ87" s="159"/>
      <c r="AK87" s="159"/>
      <c r="AL87" s="160"/>
      <c r="AM87" s="163" t="e">
        <f>AH87-L87</f>
        <v>#DIV/0!</v>
      </c>
      <c r="AN87" s="163"/>
      <c r="AO87" s="163"/>
      <c r="AP87" s="163"/>
      <c r="AQ87" s="239"/>
      <c r="AR87" s="94"/>
      <c r="AS87" s="94"/>
      <c r="AT87" s="94"/>
      <c r="AU87" s="94"/>
      <c r="AV87" s="94"/>
      <c r="AW87" s="69"/>
      <c r="AX87" s="69"/>
      <c r="AY87" s="69"/>
      <c r="AZ87" s="86"/>
      <c r="BC87" s="192" t="e">
        <f>(AH87*0.5%)+(2*CY87)</f>
        <v>#DIV/0!</v>
      </c>
      <c r="BD87" s="192"/>
      <c r="BE87" s="192"/>
      <c r="BF87" s="192"/>
      <c r="BG87" s="192"/>
      <c r="BH87" s="192" t="e">
        <f>L87+BC87</f>
        <v>#DIV/0!</v>
      </c>
      <c r="BI87" s="192"/>
      <c r="BJ87" s="192"/>
      <c r="BK87" s="192"/>
      <c r="BL87" s="192"/>
      <c r="BM87" s="192" t="e">
        <f>L87-BC87</f>
        <v>#DIV/0!</v>
      </c>
      <c r="BN87" s="192"/>
      <c r="BO87" s="192"/>
      <c r="BP87" s="192"/>
      <c r="BQ87" s="192"/>
      <c r="BR87" s="197" t="e">
        <f t="shared" ref="BR87:BR90" si="154">IF(AND(AH87&lt;=BH87,AH87&gt;=BM87),"PASS","FAIL")</f>
        <v>#DIV/0!</v>
      </c>
      <c r="BS87" s="197"/>
      <c r="BT87" s="197"/>
      <c r="BU87" s="197"/>
      <c r="BV87" s="197"/>
      <c r="BY87" s="5" t="s">
        <v>46</v>
      </c>
      <c r="BZ87" s="5" t="s">
        <v>47</v>
      </c>
      <c r="CA87" s="5" t="s">
        <v>48</v>
      </c>
      <c r="CB87" s="8">
        <v>1.8E-5</v>
      </c>
      <c r="CC87" s="6" t="str">
        <f>P87</f>
        <v>V</v>
      </c>
      <c r="CD87" s="5">
        <v>2</v>
      </c>
      <c r="CE87" s="7">
        <f t="shared" ref="CE87:CE90" si="155">CB87/CD87</f>
        <v>9.0000000000000002E-6</v>
      </c>
      <c r="CF87" s="5">
        <v>1</v>
      </c>
      <c r="CG87" s="7">
        <f t="shared" ref="CG87:CG90" si="156">CE87*CF87</f>
        <v>9.0000000000000002E-6</v>
      </c>
      <c r="CH87" s="7">
        <f t="shared" ref="CH87:CH90" si="157">CG87^2</f>
        <v>8.1000000000000005E-11</v>
      </c>
      <c r="CI87" s="5">
        <v>200</v>
      </c>
      <c r="CJ87" s="7">
        <f t="shared" ref="CJ87:CJ90" si="158">CG87^4/CI87</f>
        <v>3.2805000000000005E-23</v>
      </c>
      <c r="CK87" s="18"/>
      <c r="CL87" s="5" t="s">
        <v>174</v>
      </c>
      <c r="CM87" s="5" t="s">
        <v>49</v>
      </c>
      <c r="CN87" s="5" t="s">
        <v>48</v>
      </c>
      <c r="CO87" s="8">
        <v>0</v>
      </c>
      <c r="CP87" s="6" t="str">
        <f t="shared" si="132"/>
        <v>V</v>
      </c>
      <c r="CQ87" s="9">
        <f t="shared" si="133"/>
        <v>1.7320508075688772</v>
      </c>
      <c r="CR87" s="7">
        <f t="shared" si="134"/>
        <v>0</v>
      </c>
      <c r="CS87" s="5">
        <v>1</v>
      </c>
      <c r="CT87" s="7">
        <f t="shared" si="135"/>
        <v>0</v>
      </c>
      <c r="CU87" s="7">
        <f t="shared" si="136"/>
        <v>0</v>
      </c>
      <c r="CV87" s="5">
        <v>200</v>
      </c>
      <c r="CW87" s="7">
        <f t="shared" si="137"/>
        <v>0</v>
      </c>
      <c r="CX87" s="18"/>
      <c r="CY87" s="5">
        <v>1E-3</v>
      </c>
      <c r="CZ87" s="5" t="s">
        <v>80</v>
      </c>
      <c r="DA87" s="5" t="s">
        <v>49</v>
      </c>
      <c r="DB87" s="5" t="s">
        <v>48</v>
      </c>
      <c r="DC87" s="8">
        <f t="shared" ref="DC87:DC90" si="159">CY87/2</f>
        <v>5.0000000000000001E-4</v>
      </c>
      <c r="DD87" s="6" t="str">
        <f>P87</f>
        <v>V</v>
      </c>
      <c r="DE87" s="9">
        <f t="shared" si="139"/>
        <v>1.7320508075688772</v>
      </c>
      <c r="DF87" s="7">
        <f t="shared" ref="DF87:DF90" si="160">DC87/DE87</f>
        <v>2.886751345948129E-4</v>
      </c>
      <c r="DG87" s="5">
        <v>1</v>
      </c>
      <c r="DH87" s="7">
        <f t="shared" ref="DH87:DH90" si="161">DF87*DG87</f>
        <v>2.886751345948129E-4</v>
      </c>
      <c r="DI87" s="7">
        <f t="shared" ref="DI87:DI90" si="162">DH87^2</f>
        <v>8.3333333333333338E-8</v>
      </c>
      <c r="DJ87" s="5">
        <v>200</v>
      </c>
      <c r="DK87" s="7">
        <f t="shared" ref="DK87:DK90" si="163">DH87^4/DJ87</f>
        <v>3.4722222222222225E-17</v>
      </c>
      <c r="DL87" s="18"/>
      <c r="DM87" s="5">
        <v>3</v>
      </c>
      <c r="DN87" s="10" t="e">
        <f>STDEV(S87:AG87)</f>
        <v>#DIV/0!</v>
      </c>
      <c r="DO87" s="5" t="s">
        <v>50</v>
      </c>
      <c r="DP87" s="5" t="s">
        <v>47</v>
      </c>
      <c r="DQ87" s="5" t="s">
        <v>27</v>
      </c>
      <c r="DR87" s="10" t="e">
        <f t="shared" ref="DR87:DR90" si="164">DN87</f>
        <v>#DIV/0!</v>
      </c>
      <c r="DS87" s="6" t="str">
        <f>P87</f>
        <v>V</v>
      </c>
      <c r="DT87" s="9">
        <f t="shared" ref="DT87:DT90" si="165">SQRT(DM87)</f>
        <v>1.7320508075688772</v>
      </c>
      <c r="DU87" s="10" t="e">
        <f t="shared" ref="DU87:DU90" si="166">DR87/DT87</f>
        <v>#DIV/0!</v>
      </c>
      <c r="DV87" s="5">
        <v>1</v>
      </c>
      <c r="DW87" s="11" t="e">
        <f t="shared" ref="DW87:DW90" si="167">DU87*DV87</f>
        <v>#DIV/0!</v>
      </c>
      <c r="DX87" s="11" t="e">
        <f t="shared" ref="DX87:DX90" si="168">DW87^2</f>
        <v>#DIV/0!</v>
      </c>
      <c r="DY87" s="5">
        <v>2</v>
      </c>
      <c r="DZ87" s="12" t="e">
        <f t="shared" ref="DZ87:DZ90" si="169">DW87^4/DY87</f>
        <v>#DIV/0!</v>
      </c>
      <c r="EA87" s="13"/>
      <c r="EB87" s="7" t="e">
        <f>CH87+DI87+DX87</f>
        <v>#DIV/0!</v>
      </c>
      <c r="EC87" s="7" t="e">
        <f>CJ87+DK87+DZ87</f>
        <v>#DIV/0!</v>
      </c>
      <c r="ED87" s="7" t="e">
        <f t="shared" ref="ED87:ED90" si="170">SQRT(EB87)</f>
        <v>#DIV/0!</v>
      </c>
      <c r="EE87" s="8" t="e">
        <f t="shared" ref="EE87:EE90" si="171">(ED87^4)/EC87</f>
        <v>#DIV/0!</v>
      </c>
      <c r="EF87" s="14" t="e">
        <f t="shared" ref="EF87:EF90" si="172">ROUND(TINV(0.05,EE87),0)</f>
        <v>#DIV/0!</v>
      </c>
      <c r="EG87" s="33" t="e">
        <f t="shared" ref="EG87:EG90" si="173">(ED87*EF87)</f>
        <v>#DIV/0!</v>
      </c>
      <c r="EH87" s="15" t="str">
        <f>P87</f>
        <v>V</v>
      </c>
      <c r="EJ87" s="109">
        <v>1.0000000000000001E-5</v>
      </c>
      <c r="EK87" s="110" t="str">
        <f t="shared" ref="EK87:EK90" si="174">EH87</f>
        <v>V</v>
      </c>
      <c r="EL87" s="111" t="e">
        <f t="shared" ref="EL87:EL90" si="175">MAX(EJ87,EG87)</f>
        <v>#DIV/0!</v>
      </c>
      <c r="EM87" s="110" t="str">
        <f t="shared" ref="EM87:EM90" si="176">EK87</f>
        <v>V</v>
      </c>
    </row>
    <row r="88" spans="2:143" ht="13.5" x14ac:dyDescent="0.25">
      <c r="B88" s="84"/>
      <c r="C88" s="69"/>
      <c r="D88" s="69"/>
      <c r="E88" s="69"/>
      <c r="F88" s="153" t="s">
        <v>125</v>
      </c>
      <c r="G88" s="153"/>
      <c r="H88" s="153"/>
      <c r="I88" s="153"/>
      <c r="J88" s="153"/>
      <c r="K88" s="153"/>
      <c r="L88" s="154">
        <v>50</v>
      </c>
      <c r="M88" s="155"/>
      <c r="N88" s="155"/>
      <c r="O88" s="155"/>
      <c r="P88" s="161" t="s">
        <v>77</v>
      </c>
      <c r="Q88" s="161"/>
      <c r="R88" s="162"/>
      <c r="S88" s="165"/>
      <c r="T88" s="165"/>
      <c r="U88" s="165"/>
      <c r="V88" s="165"/>
      <c r="W88" s="165"/>
      <c r="X88" s="165"/>
      <c r="Y88" s="165"/>
      <c r="Z88" s="165"/>
      <c r="AA88" s="165"/>
      <c r="AB88" s="165"/>
      <c r="AC88" s="165"/>
      <c r="AD88" s="165"/>
      <c r="AE88" s="165"/>
      <c r="AF88" s="165"/>
      <c r="AG88" s="165"/>
      <c r="AH88" s="166" t="e">
        <f>AVERAGE(S88:AG88)</f>
        <v>#DIV/0!</v>
      </c>
      <c r="AI88" s="167"/>
      <c r="AJ88" s="167"/>
      <c r="AK88" s="167"/>
      <c r="AL88" s="168"/>
      <c r="AM88" s="165" t="e">
        <f>AH88-L88</f>
        <v>#DIV/0!</v>
      </c>
      <c r="AN88" s="165"/>
      <c r="AO88" s="165"/>
      <c r="AP88" s="165"/>
      <c r="AQ88" s="237"/>
      <c r="AR88" s="95"/>
      <c r="AS88" s="95"/>
      <c r="AT88" s="95"/>
      <c r="AU88" s="95"/>
      <c r="AV88" s="95"/>
      <c r="AW88" s="69"/>
      <c r="AX88" s="69"/>
      <c r="AY88" s="69"/>
      <c r="AZ88" s="86"/>
      <c r="BC88" s="192" t="e">
        <f>(AH88*0.5%)+(2*CY88)</f>
        <v>#DIV/0!</v>
      </c>
      <c r="BD88" s="192"/>
      <c r="BE88" s="192"/>
      <c r="BF88" s="192"/>
      <c r="BG88" s="192"/>
      <c r="BH88" s="193" t="e">
        <f>L88+BC88</f>
        <v>#DIV/0!</v>
      </c>
      <c r="BI88" s="193"/>
      <c r="BJ88" s="193"/>
      <c r="BK88" s="193"/>
      <c r="BL88" s="193"/>
      <c r="BM88" s="193" t="e">
        <f>L88-BC88</f>
        <v>#DIV/0!</v>
      </c>
      <c r="BN88" s="193"/>
      <c r="BO88" s="193"/>
      <c r="BP88" s="193"/>
      <c r="BQ88" s="193"/>
      <c r="BR88" s="197" t="e">
        <f t="shared" si="154"/>
        <v>#DIV/0!</v>
      </c>
      <c r="BS88" s="197"/>
      <c r="BT88" s="197"/>
      <c r="BU88" s="197"/>
      <c r="BV88" s="197"/>
      <c r="BY88" s="5" t="s">
        <v>46</v>
      </c>
      <c r="BZ88" s="5" t="s">
        <v>47</v>
      </c>
      <c r="CA88" s="5" t="s">
        <v>48</v>
      </c>
      <c r="CB88" s="10">
        <v>1.6000000000000001E-4</v>
      </c>
      <c r="CC88" s="6" t="str">
        <f>P88</f>
        <v>V</v>
      </c>
      <c r="CD88" s="5">
        <v>2</v>
      </c>
      <c r="CE88" s="7">
        <f t="shared" si="155"/>
        <v>8.0000000000000007E-5</v>
      </c>
      <c r="CF88" s="5">
        <v>1</v>
      </c>
      <c r="CG88" s="7">
        <f t="shared" si="156"/>
        <v>8.0000000000000007E-5</v>
      </c>
      <c r="CH88" s="7">
        <f t="shared" si="157"/>
        <v>6.4000000000000011E-9</v>
      </c>
      <c r="CI88" s="5">
        <v>200</v>
      </c>
      <c r="CJ88" s="7">
        <f t="shared" si="158"/>
        <v>2.0480000000000008E-19</v>
      </c>
      <c r="CK88" s="18"/>
      <c r="CL88" s="5" t="s">
        <v>174</v>
      </c>
      <c r="CM88" s="5" t="s">
        <v>49</v>
      </c>
      <c r="CN88" s="5" t="s">
        <v>48</v>
      </c>
      <c r="CO88" s="8">
        <v>0</v>
      </c>
      <c r="CP88" s="6" t="str">
        <f t="shared" si="132"/>
        <v>V</v>
      </c>
      <c r="CQ88" s="9">
        <f t="shared" si="133"/>
        <v>1.7320508075688772</v>
      </c>
      <c r="CR88" s="7">
        <f t="shared" si="134"/>
        <v>0</v>
      </c>
      <c r="CS88" s="5">
        <v>1</v>
      </c>
      <c r="CT88" s="7">
        <f t="shared" si="135"/>
        <v>0</v>
      </c>
      <c r="CU88" s="7">
        <f t="shared" si="136"/>
        <v>0</v>
      </c>
      <c r="CV88" s="5">
        <v>200</v>
      </c>
      <c r="CW88" s="7">
        <f t="shared" si="137"/>
        <v>0</v>
      </c>
      <c r="CX88" s="18"/>
      <c r="CY88" s="5">
        <v>0.01</v>
      </c>
      <c r="CZ88" s="5" t="s">
        <v>80</v>
      </c>
      <c r="DA88" s="5" t="s">
        <v>49</v>
      </c>
      <c r="DB88" s="5" t="s">
        <v>48</v>
      </c>
      <c r="DC88" s="8">
        <f t="shared" si="159"/>
        <v>5.0000000000000001E-3</v>
      </c>
      <c r="DD88" s="6" t="str">
        <f>P88</f>
        <v>V</v>
      </c>
      <c r="DE88" s="9">
        <f t="shared" si="139"/>
        <v>1.7320508075688772</v>
      </c>
      <c r="DF88" s="7">
        <f t="shared" si="160"/>
        <v>2.886751345948129E-3</v>
      </c>
      <c r="DG88" s="5">
        <v>1</v>
      </c>
      <c r="DH88" s="7">
        <f t="shared" si="161"/>
        <v>2.886751345948129E-3</v>
      </c>
      <c r="DI88" s="7">
        <f t="shared" si="162"/>
        <v>8.3333333333333337E-6</v>
      </c>
      <c r="DJ88" s="5">
        <v>200</v>
      </c>
      <c r="DK88" s="7">
        <f t="shared" si="163"/>
        <v>3.4722222222222227E-13</v>
      </c>
      <c r="DL88" s="18"/>
      <c r="DM88" s="5">
        <v>3</v>
      </c>
      <c r="DN88" s="10" t="e">
        <f>STDEV(S88:AG88)</f>
        <v>#DIV/0!</v>
      </c>
      <c r="DO88" s="5" t="s">
        <v>50</v>
      </c>
      <c r="DP88" s="5" t="s">
        <v>47</v>
      </c>
      <c r="DQ88" s="5" t="s">
        <v>27</v>
      </c>
      <c r="DR88" s="10" t="e">
        <f t="shared" si="164"/>
        <v>#DIV/0!</v>
      </c>
      <c r="DS88" s="6" t="str">
        <f>P88</f>
        <v>V</v>
      </c>
      <c r="DT88" s="9">
        <f t="shared" si="165"/>
        <v>1.7320508075688772</v>
      </c>
      <c r="DU88" s="10" t="e">
        <f t="shared" si="166"/>
        <v>#DIV/0!</v>
      </c>
      <c r="DV88" s="5">
        <v>1</v>
      </c>
      <c r="DW88" s="11" t="e">
        <f t="shared" si="167"/>
        <v>#DIV/0!</v>
      </c>
      <c r="DX88" s="11" t="e">
        <f t="shared" si="168"/>
        <v>#DIV/0!</v>
      </c>
      <c r="DY88" s="5">
        <v>2</v>
      </c>
      <c r="DZ88" s="12" t="e">
        <f t="shared" si="169"/>
        <v>#DIV/0!</v>
      </c>
      <c r="EA88" s="13"/>
      <c r="EB88" s="7" t="e">
        <f>CH88+DI88+DX88</f>
        <v>#DIV/0!</v>
      </c>
      <c r="EC88" s="7" t="e">
        <f>CJ88+DK88+DZ88</f>
        <v>#DIV/0!</v>
      </c>
      <c r="ED88" s="7" t="e">
        <f t="shared" si="170"/>
        <v>#DIV/0!</v>
      </c>
      <c r="EE88" s="8" t="e">
        <f t="shared" si="171"/>
        <v>#DIV/0!</v>
      </c>
      <c r="EF88" s="14" t="e">
        <f t="shared" si="172"/>
        <v>#DIV/0!</v>
      </c>
      <c r="EG88" s="33" t="e">
        <f t="shared" si="173"/>
        <v>#DIV/0!</v>
      </c>
      <c r="EH88" s="15" t="str">
        <f>P88</f>
        <v>V</v>
      </c>
      <c r="EJ88" s="109">
        <v>1.8000000000000001E-4</v>
      </c>
      <c r="EK88" s="110" t="str">
        <f t="shared" si="174"/>
        <v>V</v>
      </c>
      <c r="EL88" s="111" t="e">
        <f t="shared" si="175"/>
        <v>#DIV/0!</v>
      </c>
      <c r="EM88" s="110" t="str">
        <f t="shared" si="176"/>
        <v>V</v>
      </c>
    </row>
    <row r="89" spans="2:143" ht="13.5" x14ac:dyDescent="0.25">
      <c r="B89" s="84"/>
      <c r="C89" s="69"/>
      <c r="D89" s="69"/>
      <c r="E89" s="69"/>
      <c r="F89" s="153" t="s">
        <v>126</v>
      </c>
      <c r="G89" s="153"/>
      <c r="H89" s="153"/>
      <c r="I89" s="153"/>
      <c r="J89" s="153"/>
      <c r="K89" s="153"/>
      <c r="L89" s="154">
        <v>600</v>
      </c>
      <c r="M89" s="155"/>
      <c r="N89" s="155"/>
      <c r="O89" s="155"/>
      <c r="P89" s="161" t="s">
        <v>77</v>
      </c>
      <c r="Q89" s="161"/>
      <c r="R89" s="162"/>
      <c r="S89" s="190"/>
      <c r="T89" s="190"/>
      <c r="U89" s="190"/>
      <c r="V89" s="190"/>
      <c r="W89" s="190"/>
      <c r="X89" s="190"/>
      <c r="Y89" s="190"/>
      <c r="Z89" s="190"/>
      <c r="AA89" s="190"/>
      <c r="AB89" s="190"/>
      <c r="AC89" s="190"/>
      <c r="AD89" s="190"/>
      <c r="AE89" s="190"/>
      <c r="AF89" s="190"/>
      <c r="AG89" s="190"/>
      <c r="AH89" s="187" t="e">
        <f>AVERAGE(S89:AG89)</f>
        <v>#DIV/0!</v>
      </c>
      <c r="AI89" s="188"/>
      <c r="AJ89" s="188"/>
      <c r="AK89" s="188"/>
      <c r="AL89" s="189"/>
      <c r="AM89" s="190" t="e">
        <f>AH89-L89</f>
        <v>#DIV/0!</v>
      </c>
      <c r="AN89" s="190"/>
      <c r="AO89" s="190"/>
      <c r="AP89" s="190"/>
      <c r="AQ89" s="260"/>
      <c r="AR89" s="96"/>
      <c r="AS89" s="96"/>
      <c r="AT89" s="96"/>
      <c r="AU89" s="96"/>
      <c r="AV89" s="96"/>
      <c r="AW89" s="69"/>
      <c r="AX89" s="69"/>
      <c r="AY89" s="69"/>
      <c r="AZ89" s="86"/>
      <c r="BC89" s="192" t="e">
        <f>(AH89*0.5%)+(2*CY89)</f>
        <v>#DIV/0!</v>
      </c>
      <c r="BD89" s="192"/>
      <c r="BE89" s="192"/>
      <c r="BF89" s="192"/>
      <c r="BG89" s="192"/>
      <c r="BH89" s="191" t="e">
        <f>L89+BC89</f>
        <v>#DIV/0!</v>
      </c>
      <c r="BI89" s="191"/>
      <c r="BJ89" s="191"/>
      <c r="BK89" s="191"/>
      <c r="BL89" s="191"/>
      <c r="BM89" s="191" t="e">
        <f>L89-BC89</f>
        <v>#DIV/0!</v>
      </c>
      <c r="BN89" s="191"/>
      <c r="BO89" s="191"/>
      <c r="BP89" s="191"/>
      <c r="BQ89" s="191"/>
      <c r="BR89" s="197" t="e">
        <f t="shared" si="154"/>
        <v>#DIV/0!</v>
      </c>
      <c r="BS89" s="197"/>
      <c r="BT89" s="197"/>
      <c r="BU89" s="197"/>
      <c r="BV89" s="197"/>
      <c r="BY89" s="5" t="s">
        <v>46</v>
      </c>
      <c r="BZ89" s="5" t="s">
        <v>47</v>
      </c>
      <c r="CA89" s="5" t="s">
        <v>48</v>
      </c>
      <c r="CB89" s="108">
        <v>3.3E-3</v>
      </c>
      <c r="CC89" s="6" t="str">
        <f>P89</f>
        <v>V</v>
      </c>
      <c r="CD89" s="5">
        <v>2</v>
      </c>
      <c r="CE89" s="7">
        <f t="shared" si="155"/>
        <v>1.65E-3</v>
      </c>
      <c r="CF89" s="5">
        <v>1</v>
      </c>
      <c r="CG89" s="7">
        <f t="shared" si="156"/>
        <v>1.65E-3</v>
      </c>
      <c r="CH89" s="7">
        <f t="shared" si="157"/>
        <v>2.7224999999999998E-6</v>
      </c>
      <c r="CI89" s="5">
        <v>200</v>
      </c>
      <c r="CJ89" s="7">
        <f t="shared" si="158"/>
        <v>3.7060031249999988E-14</v>
      </c>
      <c r="CK89" s="18"/>
      <c r="CL89" s="5" t="s">
        <v>174</v>
      </c>
      <c r="CM89" s="5" t="s">
        <v>49</v>
      </c>
      <c r="CN89" s="5" t="s">
        <v>48</v>
      </c>
      <c r="CO89" s="8">
        <v>0</v>
      </c>
      <c r="CP89" s="6" t="str">
        <f t="shared" si="132"/>
        <v>V</v>
      </c>
      <c r="CQ89" s="9">
        <f t="shared" si="133"/>
        <v>1.7320508075688772</v>
      </c>
      <c r="CR89" s="7">
        <f t="shared" si="134"/>
        <v>0</v>
      </c>
      <c r="CS89" s="5">
        <v>1</v>
      </c>
      <c r="CT89" s="7">
        <f t="shared" si="135"/>
        <v>0</v>
      </c>
      <c r="CU89" s="7">
        <f t="shared" si="136"/>
        <v>0</v>
      </c>
      <c r="CV89" s="5">
        <v>200</v>
      </c>
      <c r="CW89" s="7">
        <f t="shared" si="137"/>
        <v>0</v>
      </c>
      <c r="CX89" s="18"/>
      <c r="CY89" s="5">
        <v>0.1</v>
      </c>
      <c r="CZ89" s="5" t="s">
        <v>80</v>
      </c>
      <c r="DA89" s="5" t="s">
        <v>49</v>
      </c>
      <c r="DB89" s="5" t="s">
        <v>48</v>
      </c>
      <c r="DC89" s="8">
        <f t="shared" si="159"/>
        <v>0.05</v>
      </c>
      <c r="DD89" s="6" t="str">
        <f>P89</f>
        <v>V</v>
      </c>
      <c r="DE89" s="9">
        <f t="shared" si="139"/>
        <v>1.7320508075688772</v>
      </c>
      <c r="DF89" s="7">
        <f t="shared" si="160"/>
        <v>2.8867513459481291E-2</v>
      </c>
      <c r="DG89" s="5">
        <v>1</v>
      </c>
      <c r="DH89" s="7">
        <f t="shared" si="161"/>
        <v>2.8867513459481291E-2</v>
      </c>
      <c r="DI89" s="7">
        <f t="shared" si="162"/>
        <v>8.333333333333335E-4</v>
      </c>
      <c r="DJ89" s="5">
        <v>200</v>
      </c>
      <c r="DK89" s="7">
        <f t="shared" si="163"/>
        <v>3.4722222222222234E-9</v>
      </c>
      <c r="DL89" s="18"/>
      <c r="DM89" s="5">
        <v>3</v>
      </c>
      <c r="DN89" s="10" t="e">
        <f>STDEV(S89:AG89)</f>
        <v>#DIV/0!</v>
      </c>
      <c r="DO89" s="5" t="s">
        <v>50</v>
      </c>
      <c r="DP89" s="5" t="s">
        <v>47</v>
      </c>
      <c r="DQ89" s="5" t="s">
        <v>27</v>
      </c>
      <c r="DR89" s="10" t="e">
        <f t="shared" si="164"/>
        <v>#DIV/0!</v>
      </c>
      <c r="DS89" s="6" t="str">
        <f>P89</f>
        <v>V</v>
      </c>
      <c r="DT89" s="9">
        <f t="shared" si="165"/>
        <v>1.7320508075688772</v>
      </c>
      <c r="DU89" s="10" t="e">
        <f t="shared" si="166"/>
        <v>#DIV/0!</v>
      </c>
      <c r="DV89" s="5">
        <v>1</v>
      </c>
      <c r="DW89" s="11" t="e">
        <f t="shared" si="167"/>
        <v>#DIV/0!</v>
      </c>
      <c r="DX89" s="11" t="e">
        <f t="shared" si="168"/>
        <v>#DIV/0!</v>
      </c>
      <c r="DY89" s="5">
        <v>2</v>
      </c>
      <c r="DZ89" s="12" t="e">
        <f t="shared" si="169"/>
        <v>#DIV/0!</v>
      </c>
      <c r="EA89" s="13"/>
      <c r="EB89" s="7" t="e">
        <f>CH89+DI89+DX89</f>
        <v>#DIV/0!</v>
      </c>
      <c r="EC89" s="7" t="e">
        <f>CJ89+DK89+DZ89</f>
        <v>#DIV/0!</v>
      </c>
      <c r="ED89" s="7" t="e">
        <f t="shared" si="170"/>
        <v>#DIV/0!</v>
      </c>
      <c r="EE89" s="8" t="e">
        <f t="shared" si="171"/>
        <v>#DIV/0!</v>
      </c>
      <c r="EF89" s="14" t="e">
        <f t="shared" si="172"/>
        <v>#DIV/0!</v>
      </c>
      <c r="EG89" s="33" t="e">
        <f t="shared" si="173"/>
        <v>#DIV/0!</v>
      </c>
      <c r="EH89" s="15" t="str">
        <f>P89</f>
        <v>V</v>
      </c>
      <c r="EJ89" s="109">
        <v>1.4E-3</v>
      </c>
      <c r="EK89" s="110" t="str">
        <f t="shared" si="174"/>
        <v>V</v>
      </c>
      <c r="EL89" s="111" t="e">
        <f t="shared" si="175"/>
        <v>#DIV/0!</v>
      </c>
      <c r="EM89" s="110" t="str">
        <f t="shared" si="176"/>
        <v>V</v>
      </c>
    </row>
    <row r="90" spans="2:143" ht="13.5" x14ac:dyDescent="0.25">
      <c r="B90" s="84"/>
      <c r="C90" s="69"/>
      <c r="D90" s="69"/>
      <c r="E90" s="69"/>
      <c r="F90" s="153" t="s">
        <v>126</v>
      </c>
      <c r="G90" s="153"/>
      <c r="H90" s="153"/>
      <c r="I90" s="153"/>
      <c r="J90" s="153"/>
      <c r="K90" s="153"/>
      <c r="L90" s="154">
        <v>-600</v>
      </c>
      <c r="M90" s="155"/>
      <c r="N90" s="155"/>
      <c r="O90" s="155"/>
      <c r="P90" s="161" t="s">
        <v>77</v>
      </c>
      <c r="Q90" s="161"/>
      <c r="R90" s="162"/>
      <c r="S90" s="190"/>
      <c r="T90" s="190"/>
      <c r="U90" s="190"/>
      <c r="V90" s="190"/>
      <c r="W90" s="190"/>
      <c r="X90" s="190"/>
      <c r="Y90" s="190"/>
      <c r="Z90" s="190"/>
      <c r="AA90" s="190"/>
      <c r="AB90" s="190"/>
      <c r="AC90" s="190"/>
      <c r="AD90" s="190"/>
      <c r="AE90" s="190"/>
      <c r="AF90" s="190"/>
      <c r="AG90" s="190"/>
      <c r="AH90" s="187" t="e">
        <f>AVERAGE(S90:AG90)</f>
        <v>#DIV/0!</v>
      </c>
      <c r="AI90" s="188"/>
      <c r="AJ90" s="188"/>
      <c r="AK90" s="188"/>
      <c r="AL90" s="189"/>
      <c r="AM90" s="190" t="e">
        <f>AH90-L90</f>
        <v>#DIV/0!</v>
      </c>
      <c r="AN90" s="190"/>
      <c r="AO90" s="190"/>
      <c r="AP90" s="190"/>
      <c r="AQ90" s="260"/>
      <c r="AR90" s="96"/>
      <c r="AS90" s="96"/>
      <c r="AT90" s="96"/>
      <c r="AU90" s="96"/>
      <c r="AV90" s="96"/>
      <c r="AW90" s="69"/>
      <c r="AX90" s="69"/>
      <c r="AY90" s="69"/>
      <c r="AZ90" s="86"/>
      <c r="BC90" s="192" t="e">
        <f>(AH90*0.5%)+(2*CY90)</f>
        <v>#DIV/0!</v>
      </c>
      <c r="BD90" s="192"/>
      <c r="BE90" s="192"/>
      <c r="BF90" s="192"/>
      <c r="BG90" s="192"/>
      <c r="BH90" s="191" t="e">
        <f>L90-BC90</f>
        <v>#DIV/0!</v>
      </c>
      <c r="BI90" s="191"/>
      <c r="BJ90" s="191"/>
      <c r="BK90" s="191"/>
      <c r="BL90" s="191"/>
      <c r="BM90" s="191" t="e">
        <f>L90+BC90</f>
        <v>#DIV/0!</v>
      </c>
      <c r="BN90" s="191"/>
      <c r="BO90" s="191"/>
      <c r="BP90" s="191"/>
      <c r="BQ90" s="191"/>
      <c r="BR90" s="197" t="e">
        <f t="shared" si="154"/>
        <v>#DIV/0!</v>
      </c>
      <c r="BS90" s="197"/>
      <c r="BT90" s="197"/>
      <c r="BU90" s="197"/>
      <c r="BV90" s="197"/>
      <c r="BY90" s="5" t="s">
        <v>46</v>
      </c>
      <c r="BZ90" s="5" t="s">
        <v>47</v>
      </c>
      <c r="CA90" s="5" t="s">
        <v>48</v>
      </c>
      <c r="CB90" s="108">
        <v>3.3E-3</v>
      </c>
      <c r="CC90" s="6" t="str">
        <f>P90</f>
        <v>V</v>
      </c>
      <c r="CD90" s="5">
        <v>2</v>
      </c>
      <c r="CE90" s="7">
        <f t="shared" si="155"/>
        <v>1.65E-3</v>
      </c>
      <c r="CF90" s="5">
        <v>1</v>
      </c>
      <c r="CG90" s="7">
        <f t="shared" si="156"/>
        <v>1.65E-3</v>
      </c>
      <c r="CH90" s="7">
        <f t="shared" si="157"/>
        <v>2.7224999999999998E-6</v>
      </c>
      <c r="CI90" s="5">
        <v>200</v>
      </c>
      <c r="CJ90" s="7">
        <f t="shared" si="158"/>
        <v>3.7060031249999988E-14</v>
      </c>
      <c r="CK90" s="18"/>
      <c r="CL90" s="5" t="s">
        <v>174</v>
      </c>
      <c r="CM90" s="5" t="s">
        <v>49</v>
      </c>
      <c r="CN90" s="5" t="s">
        <v>48</v>
      </c>
      <c r="CO90" s="8">
        <v>0</v>
      </c>
      <c r="CP90" s="6" t="str">
        <f t="shared" si="132"/>
        <v>V</v>
      </c>
      <c r="CQ90" s="9">
        <f t="shared" si="133"/>
        <v>1.7320508075688772</v>
      </c>
      <c r="CR90" s="7">
        <f t="shared" si="134"/>
        <v>0</v>
      </c>
      <c r="CS90" s="5">
        <v>1</v>
      </c>
      <c r="CT90" s="7">
        <f t="shared" si="135"/>
        <v>0</v>
      </c>
      <c r="CU90" s="7">
        <f t="shared" si="136"/>
        <v>0</v>
      </c>
      <c r="CV90" s="5">
        <v>200</v>
      </c>
      <c r="CW90" s="7">
        <f t="shared" si="137"/>
        <v>0</v>
      </c>
      <c r="CX90" s="18"/>
      <c r="CY90" s="5">
        <v>0.1</v>
      </c>
      <c r="CZ90" s="5" t="s">
        <v>80</v>
      </c>
      <c r="DA90" s="5" t="s">
        <v>49</v>
      </c>
      <c r="DB90" s="5" t="s">
        <v>48</v>
      </c>
      <c r="DC90" s="8">
        <f t="shared" si="159"/>
        <v>0.05</v>
      </c>
      <c r="DD90" s="6" t="str">
        <f>P90</f>
        <v>V</v>
      </c>
      <c r="DE90" s="9">
        <f t="shared" si="139"/>
        <v>1.7320508075688772</v>
      </c>
      <c r="DF90" s="7">
        <f t="shared" si="160"/>
        <v>2.8867513459481291E-2</v>
      </c>
      <c r="DG90" s="5">
        <v>1</v>
      </c>
      <c r="DH90" s="7">
        <f t="shared" si="161"/>
        <v>2.8867513459481291E-2</v>
      </c>
      <c r="DI90" s="7">
        <f t="shared" si="162"/>
        <v>8.333333333333335E-4</v>
      </c>
      <c r="DJ90" s="5">
        <v>200</v>
      </c>
      <c r="DK90" s="7">
        <f t="shared" si="163"/>
        <v>3.4722222222222234E-9</v>
      </c>
      <c r="DL90" s="18"/>
      <c r="DM90" s="5">
        <v>3</v>
      </c>
      <c r="DN90" s="10" t="e">
        <f>STDEV(S90:AG90)</f>
        <v>#DIV/0!</v>
      </c>
      <c r="DO90" s="5" t="s">
        <v>50</v>
      </c>
      <c r="DP90" s="5" t="s">
        <v>47</v>
      </c>
      <c r="DQ90" s="5" t="s">
        <v>27</v>
      </c>
      <c r="DR90" s="10" t="e">
        <f t="shared" si="164"/>
        <v>#DIV/0!</v>
      </c>
      <c r="DS90" s="6" t="str">
        <f>P90</f>
        <v>V</v>
      </c>
      <c r="DT90" s="9">
        <f t="shared" si="165"/>
        <v>1.7320508075688772</v>
      </c>
      <c r="DU90" s="10" t="e">
        <f t="shared" si="166"/>
        <v>#DIV/0!</v>
      </c>
      <c r="DV90" s="5">
        <v>1</v>
      </c>
      <c r="DW90" s="11" t="e">
        <f t="shared" si="167"/>
        <v>#DIV/0!</v>
      </c>
      <c r="DX90" s="11" t="e">
        <f t="shared" si="168"/>
        <v>#DIV/0!</v>
      </c>
      <c r="DY90" s="5">
        <v>2</v>
      </c>
      <c r="DZ90" s="12" t="e">
        <f t="shared" si="169"/>
        <v>#DIV/0!</v>
      </c>
      <c r="EA90" s="13"/>
      <c r="EB90" s="7" t="e">
        <f>CH90+DI90+DX90</f>
        <v>#DIV/0!</v>
      </c>
      <c r="EC90" s="7" t="e">
        <f>CJ90+DK90+DZ90</f>
        <v>#DIV/0!</v>
      </c>
      <c r="ED90" s="7" t="e">
        <f t="shared" si="170"/>
        <v>#DIV/0!</v>
      </c>
      <c r="EE90" s="8" t="e">
        <f t="shared" si="171"/>
        <v>#DIV/0!</v>
      </c>
      <c r="EF90" s="14" t="e">
        <f t="shared" si="172"/>
        <v>#DIV/0!</v>
      </c>
      <c r="EG90" s="33" t="e">
        <f t="shared" si="173"/>
        <v>#DIV/0!</v>
      </c>
      <c r="EH90" s="15" t="str">
        <f>P90</f>
        <v>V</v>
      </c>
      <c r="EJ90" s="109">
        <v>1.4E-3</v>
      </c>
      <c r="EK90" s="110" t="str">
        <f t="shared" si="174"/>
        <v>V</v>
      </c>
      <c r="EL90" s="111" t="e">
        <f t="shared" si="175"/>
        <v>#DIV/0!</v>
      </c>
      <c r="EM90" s="110" t="str">
        <f t="shared" si="176"/>
        <v>V</v>
      </c>
    </row>
    <row r="91" spans="2:143" ht="13.5" x14ac:dyDescent="0.25">
      <c r="B91" s="84"/>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86"/>
    </row>
    <row r="92" spans="2:143" ht="13.5" x14ac:dyDescent="0.25">
      <c r="B92" s="84"/>
      <c r="C92" s="69"/>
      <c r="D92" s="63"/>
      <c r="E92" s="69"/>
      <c r="F92" s="85" t="s">
        <v>152</v>
      </c>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86"/>
      <c r="BY92" s="196" t="s">
        <v>72</v>
      </c>
      <c r="BZ92" s="196"/>
      <c r="CA92" s="196"/>
      <c r="CB92" s="196"/>
      <c r="CC92" s="196"/>
      <c r="CD92" s="196"/>
      <c r="CE92" s="196"/>
      <c r="CF92" s="196"/>
      <c r="CG92" s="196"/>
      <c r="CH92" s="196"/>
      <c r="CI92" s="196"/>
      <c r="CJ92" s="196"/>
      <c r="CK92" s="16"/>
      <c r="CL92" s="196"/>
      <c r="CM92" s="196"/>
      <c r="CN92" s="196"/>
      <c r="CO92" s="196"/>
      <c r="CP92" s="196"/>
      <c r="CQ92" s="196"/>
      <c r="CR92" s="196"/>
      <c r="CS92" s="196"/>
      <c r="CT92" s="196"/>
      <c r="CU92" s="196"/>
      <c r="CV92" s="196"/>
      <c r="CW92" s="196"/>
      <c r="CX92" s="16"/>
      <c r="CY92" s="196" t="s">
        <v>34</v>
      </c>
      <c r="CZ92" s="196"/>
      <c r="DA92" s="196"/>
      <c r="DB92" s="196"/>
      <c r="DC92" s="196"/>
      <c r="DD92" s="196"/>
      <c r="DE92" s="196"/>
      <c r="DF92" s="196"/>
      <c r="DG92" s="196"/>
      <c r="DH92" s="196"/>
      <c r="DI92" s="196"/>
      <c r="DJ92" s="196"/>
      <c r="DK92" s="196"/>
      <c r="DL92" s="16"/>
      <c r="DM92" s="196" t="s">
        <v>57</v>
      </c>
      <c r="DN92" s="196"/>
      <c r="DO92" s="196"/>
      <c r="DP92" s="196"/>
      <c r="DQ92" s="196"/>
      <c r="DR92" s="196"/>
      <c r="DS92" s="196"/>
      <c r="DT92" s="196"/>
      <c r="DU92" s="196"/>
      <c r="DV92" s="196"/>
      <c r="DW92" s="196"/>
      <c r="DX92" s="196"/>
      <c r="DY92" s="196"/>
      <c r="DZ92" s="196"/>
      <c r="EB92" s="196" t="s">
        <v>60</v>
      </c>
      <c r="EC92" s="196"/>
      <c r="ED92" s="196"/>
      <c r="EE92" s="196"/>
      <c r="EF92" s="196"/>
      <c r="EG92" s="196"/>
      <c r="EH92" s="196"/>
      <c r="EJ92" s="276" t="s">
        <v>188</v>
      </c>
      <c r="EK92" s="277"/>
      <c r="EL92" s="276" t="s">
        <v>189</v>
      </c>
      <c r="EM92" s="277"/>
    </row>
    <row r="93" spans="2:143" ht="13.5" customHeight="1" x14ac:dyDescent="0.25">
      <c r="B93" s="84"/>
      <c r="C93" s="69"/>
      <c r="D93" s="63"/>
      <c r="E93" s="63"/>
      <c r="F93" s="164" t="s">
        <v>74</v>
      </c>
      <c r="G93" s="164"/>
      <c r="H93" s="164"/>
      <c r="I93" s="164"/>
      <c r="J93" s="164"/>
      <c r="K93" s="164"/>
      <c r="L93" s="164" t="s">
        <v>83</v>
      </c>
      <c r="M93" s="164"/>
      <c r="N93" s="164"/>
      <c r="O93" s="164"/>
      <c r="P93" s="164"/>
      <c r="Q93" s="164"/>
      <c r="R93" s="164"/>
      <c r="S93" s="164" t="s">
        <v>127</v>
      </c>
      <c r="T93" s="164"/>
      <c r="U93" s="164"/>
      <c r="V93" s="164"/>
      <c r="W93" s="164"/>
      <c r="X93" s="164" t="s">
        <v>116</v>
      </c>
      <c r="Y93" s="164"/>
      <c r="Z93" s="164"/>
      <c r="AA93" s="164"/>
      <c r="AB93" s="164"/>
      <c r="AC93" s="164"/>
      <c r="AD93" s="164"/>
      <c r="AE93" s="164"/>
      <c r="AF93" s="164"/>
      <c r="AG93" s="164"/>
      <c r="AH93" s="164"/>
      <c r="AI93" s="164"/>
      <c r="AJ93" s="164"/>
      <c r="AK93" s="164"/>
      <c r="AL93" s="164"/>
      <c r="AM93" s="164" t="s">
        <v>128</v>
      </c>
      <c r="AN93" s="164"/>
      <c r="AO93" s="164"/>
      <c r="AP93" s="164"/>
      <c r="AQ93" s="164"/>
      <c r="AR93" s="164" t="s">
        <v>85</v>
      </c>
      <c r="AS93" s="164"/>
      <c r="AT93" s="164"/>
      <c r="AU93" s="164"/>
      <c r="AV93" s="164"/>
      <c r="AW93" s="69"/>
      <c r="AX93" s="69"/>
      <c r="AY93" s="69"/>
      <c r="AZ93" s="86"/>
      <c r="BC93" s="198" t="s">
        <v>155</v>
      </c>
      <c r="BD93" s="198"/>
      <c r="BE93" s="198"/>
      <c r="BF93" s="198"/>
      <c r="BG93" s="198"/>
      <c r="BH93" s="198" t="s">
        <v>120</v>
      </c>
      <c r="BI93" s="198"/>
      <c r="BJ93" s="198"/>
      <c r="BK93" s="198"/>
      <c r="BL93" s="198"/>
      <c r="BM93" s="198" t="s">
        <v>121</v>
      </c>
      <c r="BN93" s="198"/>
      <c r="BO93" s="198"/>
      <c r="BP93" s="198"/>
      <c r="BQ93" s="198"/>
      <c r="BR93" s="198" t="s">
        <v>119</v>
      </c>
      <c r="BS93" s="198"/>
      <c r="BT93" s="198"/>
      <c r="BU93" s="198"/>
      <c r="BV93" s="198"/>
      <c r="BY93" s="195" t="s">
        <v>28</v>
      </c>
      <c r="BZ93" s="195" t="s">
        <v>29</v>
      </c>
      <c r="CA93" s="195" t="s">
        <v>30</v>
      </c>
      <c r="CB93" s="2" t="s">
        <v>31</v>
      </c>
      <c r="CC93" s="195" t="s">
        <v>32</v>
      </c>
      <c r="CD93" s="195" t="s">
        <v>33</v>
      </c>
      <c r="CE93" s="195" t="s">
        <v>51</v>
      </c>
      <c r="CF93" s="195" t="s">
        <v>52</v>
      </c>
      <c r="CG93" s="195" t="s">
        <v>53</v>
      </c>
      <c r="CH93" s="195" t="s">
        <v>54</v>
      </c>
      <c r="CI93" s="195" t="s">
        <v>55</v>
      </c>
      <c r="CJ93" s="195" t="s">
        <v>56</v>
      </c>
      <c r="CK93" s="17"/>
      <c r="CL93" s="195" t="s">
        <v>28</v>
      </c>
      <c r="CM93" s="195" t="s">
        <v>29</v>
      </c>
      <c r="CN93" s="195" t="s">
        <v>30</v>
      </c>
      <c r="CO93" s="2" t="s">
        <v>31</v>
      </c>
      <c r="CP93" s="195" t="s">
        <v>32</v>
      </c>
      <c r="CQ93" s="195" t="s">
        <v>33</v>
      </c>
      <c r="CR93" s="195" t="s">
        <v>51</v>
      </c>
      <c r="CS93" s="195" t="s">
        <v>52</v>
      </c>
      <c r="CT93" s="195" t="s">
        <v>53</v>
      </c>
      <c r="CU93" s="195" t="s">
        <v>54</v>
      </c>
      <c r="CV93" s="195" t="s">
        <v>55</v>
      </c>
      <c r="CW93" s="195" t="s">
        <v>56</v>
      </c>
      <c r="CX93" s="17"/>
      <c r="CY93" s="195" t="s">
        <v>34</v>
      </c>
      <c r="CZ93" s="195" t="s">
        <v>28</v>
      </c>
      <c r="DA93" s="195" t="s">
        <v>29</v>
      </c>
      <c r="DB93" s="195" t="s">
        <v>30</v>
      </c>
      <c r="DC93" s="2" t="s">
        <v>31</v>
      </c>
      <c r="DD93" s="195" t="s">
        <v>32</v>
      </c>
      <c r="DE93" s="195" t="s">
        <v>33</v>
      </c>
      <c r="DF93" s="195" t="s">
        <v>51</v>
      </c>
      <c r="DG93" s="195" t="s">
        <v>52</v>
      </c>
      <c r="DH93" s="195" t="s">
        <v>53</v>
      </c>
      <c r="DI93" s="195" t="s">
        <v>54</v>
      </c>
      <c r="DJ93" s="195" t="s">
        <v>55</v>
      </c>
      <c r="DK93" s="195" t="s">
        <v>56</v>
      </c>
      <c r="DL93" s="17"/>
      <c r="DM93" s="195" t="s">
        <v>35</v>
      </c>
      <c r="DN93" s="200" t="s">
        <v>36</v>
      </c>
      <c r="DO93" s="195" t="s">
        <v>28</v>
      </c>
      <c r="DP93" s="195" t="s">
        <v>29</v>
      </c>
      <c r="DQ93" s="195" t="s">
        <v>30</v>
      </c>
      <c r="DR93" s="2" t="s">
        <v>31</v>
      </c>
      <c r="DS93" s="195" t="s">
        <v>32</v>
      </c>
      <c r="DT93" s="195" t="s">
        <v>33</v>
      </c>
      <c r="DU93" s="195" t="s">
        <v>51</v>
      </c>
      <c r="DV93" s="195" t="s">
        <v>52</v>
      </c>
      <c r="DW93" s="195" t="s">
        <v>53</v>
      </c>
      <c r="DX93" s="195" t="s">
        <v>54</v>
      </c>
      <c r="DY93" s="195" t="s">
        <v>55</v>
      </c>
      <c r="DZ93" s="195" t="s">
        <v>56</v>
      </c>
      <c r="EA93" s="3"/>
      <c r="EB93" s="54" t="s">
        <v>58</v>
      </c>
      <c r="EC93" s="54" t="s">
        <v>37</v>
      </c>
      <c r="ED93" s="54" t="s">
        <v>38</v>
      </c>
      <c r="EE93" s="4" t="s">
        <v>39</v>
      </c>
      <c r="EF93" s="54" t="s">
        <v>61</v>
      </c>
      <c r="EG93" s="195" t="s">
        <v>40</v>
      </c>
      <c r="EH93" s="195"/>
      <c r="EJ93" s="278"/>
      <c r="EK93" s="279"/>
      <c r="EL93" s="278"/>
      <c r="EM93" s="279"/>
    </row>
    <row r="94" spans="2:143" ht="13.5" x14ac:dyDescent="0.25">
      <c r="B94" s="84"/>
      <c r="C94" s="69"/>
      <c r="D94" s="63"/>
      <c r="E94" s="63"/>
      <c r="F94" s="164"/>
      <c r="G94" s="164"/>
      <c r="H94" s="164"/>
      <c r="I94" s="164"/>
      <c r="J94" s="164"/>
      <c r="K94" s="164"/>
      <c r="L94" s="164"/>
      <c r="M94" s="164"/>
      <c r="N94" s="164"/>
      <c r="O94" s="164"/>
      <c r="P94" s="164"/>
      <c r="Q94" s="164"/>
      <c r="R94" s="164"/>
      <c r="S94" s="164"/>
      <c r="T94" s="164"/>
      <c r="U94" s="164"/>
      <c r="V94" s="164"/>
      <c r="W94" s="164"/>
      <c r="X94" s="164">
        <v>1</v>
      </c>
      <c r="Y94" s="164"/>
      <c r="Z94" s="164"/>
      <c r="AA94" s="164"/>
      <c r="AB94" s="164"/>
      <c r="AC94" s="164">
        <v>2</v>
      </c>
      <c r="AD94" s="164"/>
      <c r="AE94" s="164"/>
      <c r="AF94" s="164"/>
      <c r="AG94" s="164"/>
      <c r="AH94" s="164">
        <v>3</v>
      </c>
      <c r="AI94" s="164"/>
      <c r="AJ94" s="164"/>
      <c r="AK94" s="164"/>
      <c r="AL94" s="164"/>
      <c r="AM94" s="164"/>
      <c r="AN94" s="164"/>
      <c r="AO94" s="164"/>
      <c r="AP94" s="164"/>
      <c r="AQ94" s="164"/>
      <c r="AR94" s="164"/>
      <c r="AS94" s="164"/>
      <c r="AT94" s="164"/>
      <c r="AU94" s="164"/>
      <c r="AV94" s="164"/>
      <c r="AW94" s="69"/>
      <c r="AX94" s="69"/>
      <c r="AY94" s="69"/>
      <c r="AZ94" s="86"/>
      <c r="BC94" s="198"/>
      <c r="BD94" s="198"/>
      <c r="BE94" s="198"/>
      <c r="BF94" s="198"/>
      <c r="BG94" s="198"/>
      <c r="BH94" s="198"/>
      <c r="BI94" s="198"/>
      <c r="BJ94" s="198"/>
      <c r="BK94" s="198"/>
      <c r="BL94" s="198"/>
      <c r="BM94" s="198"/>
      <c r="BN94" s="198"/>
      <c r="BO94" s="198"/>
      <c r="BP94" s="198"/>
      <c r="BQ94" s="198"/>
      <c r="BR94" s="198"/>
      <c r="BS94" s="198"/>
      <c r="BT94" s="198"/>
      <c r="BU94" s="198"/>
      <c r="BV94" s="198"/>
      <c r="BY94" s="195"/>
      <c r="BZ94" s="195"/>
      <c r="CA94" s="195"/>
      <c r="CB94" s="54" t="s">
        <v>41</v>
      </c>
      <c r="CC94" s="195"/>
      <c r="CD94" s="195"/>
      <c r="CE94" s="195"/>
      <c r="CF94" s="195"/>
      <c r="CG94" s="195"/>
      <c r="CH94" s="195"/>
      <c r="CI94" s="195"/>
      <c r="CJ94" s="195"/>
      <c r="CK94" s="17"/>
      <c r="CL94" s="195"/>
      <c r="CM94" s="195"/>
      <c r="CN94" s="195"/>
      <c r="CO94" s="54" t="s">
        <v>41</v>
      </c>
      <c r="CP94" s="195"/>
      <c r="CQ94" s="195"/>
      <c r="CR94" s="195"/>
      <c r="CS94" s="195"/>
      <c r="CT94" s="195"/>
      <c r="CU94" s="195"/>
      <c r="CV94" s="195"/>
      <c r="CW94" s="195"/>
      <c r="CX94" s="17"/>
      <c r="CY94" s="195"/>
      <c r="CZ94" s="195"/>
      <c r="DA94" s="195"/>
      <c r="DB94" s="195"/>
      <c r="DC94" s="54" t="s">
        <v>41</v>
      </c>
      <c r="DD94" s="195"/>
      <c r="DE94" s="195"/>
      <c r="DF94" s="195"/>
      <c r="DG94" s="195"/>
      <c r="DH94" s="195"/>
      <c r="DI94" s="195"/>
      <c r="DJ94" s="195"/>
      <c r="DK94" s="195"/>
      <c r="DL94" s="17"/>
      <c r="DM94" s="195"/>
      <c r="DN94" s="200"/>
      <c r="DO94" s="195"/>
      <c r="DP94" s="195"/>
      <c r="DQ94" s="195"/>
      <c r="DR94" s="54" t="s">
        <v>41</v>
      </c>
      <c r="DS94" s="195"/>
      <c r="DT94" s="195"/>
      <c r="DU94" s="195"/>
      <c r="DV94" s="195"/>
      <c r="DW94" s="195"/>
      <c r="DX94" s="195"/>
      <c r="DY94" s="195"/>
      <c r="DZ94" s="195"/>
      <c r="EA94" s="3"/>
      <c r="EB94" s="54" t="s">
        <v>54</v>
      </c>
      <c r="EC94" s="54" t="s">
        <v>59</v>
      </c>
      <c r="ED94" s="54" t="s">
        <v>42</v>
      </c>
      <c r="EE94" s="4" t="s">
        <v>43</v>
      </c>
      <c r="EF94" s="54" t="s">
        <v>44</v>
      </c>
      <c r="EG94" s="195" t="s">
        <v>45</v>
      </c>
      <c r="EH94" s="195"/>
      <c r="EJ94" s="280"/>
      <c r="EK94" s="281"/>
      <c r="EL94" s="280"/>
      <c r="EM94" s="281"/>
    </row>
    <row r="95" spans="2:143" ht="13.5" x14ac:dyDescent="0.25">
      <c r="B95" s="84"/>
      <c r="C95" s="69"/>
      <c r="D95" s="69"/>
      <c r="E95" s="69"/>
      <c r="F95" s="153" t="s">
        <v>123</v>
      </c>
      <c r="G95" s="153"/>
      <c r="H95" s="153"/>
      <c r="I95" s="153"/>
      <c r="J95" s="153"/>
      <c r="K95" s="153"/>
      <c r="L95" s="154">
        <v>6</v>
      </c>
      <c r="M95" s="155"/>
      <c r="N95" s="155"/>
      <c r="O95" s="155"/>
      <c r="P95" s="161" t="s">
        <v>76</v>
      </c>
      <c r="Q95" s="161"/>
      <c r="R95" s="162"/>
      <c r="S95" s="194" t="s">
        <v>129</v>
      </c>
      <c r="T95" s="194"/>
      <c r="U95" s="194"/>
      <c r="V95" s="194"/>
      <c r="W95" s="194"/>
      <c r="X95" s="190"/>
      <c r="Y95" s="190"/>
      <c r="Z95" s="190"/>
      <c r="AA95" s="190"/>
      <c r="AB95" s="190"/>
      <c r="AC95" s="190"/>
      <c r="AD95" s="190"/>
      <c r="AE95" s="190"/>
      <c r="AF95" s="190"/>
      <c r="AG95" s="190"/>
      <c r="AH95" s="190"/>
      <c r="AI95" s="190"/>
      <c r="AJ95" s="190"/>
      <c r="AK95" s="190"/>
      <c r="AL95" s="190"/>
      <c r="AM95" s="261" t="e">
        <f t="shared" ref="AM95:AM96" si="177">AVERAGE(X95:AL95)</f>
        <v>#DIV/0!</v>
      </c>
      <c r="AN95" s="190"/>
      <c r="AO95" s="190"/>
      <c r="AP95" s="190"/>
      <c r="AQ95" s="190"/>
      <c r="AR95" s="190" t="e">
        <f t="shared" ref="AR95:AR96" si="178">AM95-L95</f>
        <v>#DIV/0!</v>
      </c>
      <c r="AS95" s="190"/>
      <c r="AT95" s="190"/>
      <c r="AU95" s="190"/>
      <c r="AV95" s="190"/>
      <c r="AW95" s="69"/>
      <c r="AX95" s="69"/>
      <c r="AY95" s="69"/>
      <c r="AZ95" s="86"/>
      <c r="BC95" s="191" t="e">
        <f>(AM95*1%)+(3*CY95)</f>
        <v>#DIV/0!</v>
      </c>
      <c r="BD95" s="191"/>
      <c r="BE95" s="191"/>
      <c r="BF95" s="191"/>
      <c r="BG95" s="191"/>
      <c r="BH95" s="191" t="e">
        <f>L95+BC95</f>
        <v>#DIV/0!</v>
      </c>
      <c r="BI95" s="191"/>
      <c r="BJ95" s="191"/>
      <c r="BK95" s="191"/>
      <c r="BL95" s="191"/>
      <c r="BM95" s="191" t="e">
        <f>L95-BC95</f>
        <v>#DIV/0!</v>
      </c>
      <c r="BN95" s="191"/>
      <c r="BO95" s="191"/>
      <c r="BP95" s="191"/>
      <c r="BQ95" s="191"/>
      <c r="BR95" s="197" t="e">
        <f>IF(AND(AM95&lt;=BH95,AM95&gt;=BM95),"PASS","FAIL")</f>
        <v>#DIV/0!</v>
      </c>
      <c r="BS95" s="197"/>
      <c r="BT95" s="197"/>
      <c r="BU95" s="197"/>
      <c r="BV95" s="197"/>
      <c r="BY95" s="5" t="s">
        <v>46</v>
      </c>
      <c r="BZ95" s="5" t="s">
        <v>47</v>
      </c>
      <c r="CA95" s="5" t="s">
        <v>48</v>
      </c>
      <c r="CB95" s="9">
        <v>9.7999999999999997E-3</v>
      </c>
      <c r="CC95" s="6" t="str">
        <f>P95</f>
        <v>mV</v>
      </c>
      <c r="CD95" s="5">
        <v>2</v>
      </c>
      <c r="CE95" s="7">
        <f t="shared" ref="CE95:CE96" si="179">CB95/CD95</f>
        <v>4.8999999999999998E-3</v>
      </c>
      <c r="CF95" s="5">
        <v>1</v>
      </c>
      <c r="CG95" s="7">
        <f t="shared" ref="CG95:CG96" si="180">CE95*CF95</f>
        <v>4.8999999999999998E-3</v>
      </c>
      <c r="CH95" s="7">
        <f t="shared" ref="CH95:CH96" si="181">CG95^2</f>
        <v>2.4009999999999999E-5</v>
      </c>
      <c r="CI95" s="5">
        <v>200</v>
      </c>
      <c r="CJ95" s="7">
        <f t="shared" ref="CJ95:CJ96" si="182">CG95^4/CI95</f>
        <v>2.8824004999999998E-12</v>
      </c>
      <c r="CK95" s="18"/>
      <c r="CL95" s="5" t="s">
        <v>174</v>
      </c>
      <c r="CM95" s="5" t="s">
        <v>49</v>
      </c>
      <c r="CN95" s="5" t="s">
        <v>48</v>
      </c>
      <c r="CO95" s="8">
        <v>0</v>
      </c>
      <c r="CP95" s="6" t="str">
        <f t="shared" ref="CP95:CP96" si="183">CC95</f>
        <v>mV</v>
      </c>
      <c r="CQ95" s="9">
        <f t="shared" ref="CQ95:CQ96" si="184">SQRT(3)</f>
        <v>1.7320508075688772</v>
      </c>
      <c r="CR95" s="7">
        <f t="shared" ref="CR95:CR96" si="185">CO95/CQ95</f>
        <v>0</v>
      </c>
      <c r="CS95" s="5">
        <v>1</v>
      </c>
      <c r="CT95" s="7">
        <f t="shared" ref="CT95:CT96" si="186">CR95*CS95</f>
        <v>0</v>
      </c>
      <c r="CU95" s="7">
        <f t="shared" ref="CU95:CU96" si="187">CT95^2</f>
        <v>0</v>
      </c>
      <c r="CV95" s="5">
        <v>200</v>
      </c>
      <c r="CW95" s="7">
        <f t="shared" ref="CW95:CW96" si="188">CT95^4/CV95</f>
        <v>0</v>
      </c>
      <c r="CX95" s="18"/>
      <c r="CY95" s="5">
        <v>0.1</v>
      </c>
      <c r="CZ95" s="5" t="s">
        <v>80</v>
      </c>
      <c r="DA95" s="5" t="s">
        <v>49</v>
      </c>
      <c r="DB95" s="5" t="s">
        <v>48</v>
      </c>
      <c r="DC95" s="8">
        <f t="shared" ref="DC95:DC96" si="189">CY95/2</f>
        <v>0.05</v>
      </c>
      <c r="DD95" s="6" t="str">
        <f>P95</f>
        <v>mV</v>
      </c>
      <c r="DE95" s="9">
        <f t="shared" ref="DE95:DE96" si="190">SQRT(3)</f>
        <v>1.7320508075688772</v>
      </c>
      <c r="DF95" s="7">
        <f t="shared" ref="DF95:DF96" si="191">DC95/DE95</f>
        <v>2.8867513459481291E-2</v>
      </c>
      <c r="DG95" s="5">
        <v>1</v>
      </c>
      <c r="DH95" s="7">
        <f t="shared" ref="DH95:DH96" si="192">DF95*DG95</f>
        <v>2.8867513459481291E-2</v>
      </c>
      <c r="DI95" s="7">
        <f t="shared" ref="DI95:DI96" si="193">DH95^2</f>
        <v>8.333333333333335E-4</v>
      </c>
      <c r="DJ95" s="5">
        <v>200</v>
      </c>
      <c r="DK95" s="7">
        <f t="shared" ref="DK95:DK96" si="194">DH95^4/DJ95</f>
        <v>3.4722222222222234E-9</v>
      </c>
      <c r="DL95" s="18"/>
      <c r="DM95" s="5">
        <v>3</v>
      </c>
      <c r="DN95" s="10" t="e">
        <f>STDEV(X95:AL95)</f>
        <v>#DIV/0!</v>
      </c>
      <c r="DO95" s="5" t="s">
        <v>50</v>
      </c>
      <c r="DP95" s="5" t="s">
        <v>47</v>
      </c>
      <c r="DQ95" s="5" t="s">
        <v>27</v>
      </c>
      <c r="DR95" s="10" t="e">
        <f t="shared" ref="DR95:DR96" si="195">DN95</f>
        <v>#DIV/0!</v>
      </c>
      <c r="DS95" s="6" t="str">
        <f>P95</f>
        <v>mV</v>
      </c>
      <c r="DT95" s="9">
        <f t="shared" ref="DT95:DT96" si="196">SQRT(DM95)</f>
        <v>1.7320508075688772</v>
      </c>
      <c r="DU95" s="10" t="e">
        <f t="shared" ref="DU95:DU96" si="197">DR95/DT95</f>
        <v>#DIV/0!</v>
      </c>
      <c r="DV95" s="5">
        <v>1</v>
      </c>
      <c r="DW95" s="11" t="e">
        <f t="shared" ref="DW95:DW96" si="198">DU95*DV95</f>
        <v>#DIV/0!</v>
      </c>
      <c r="DX95" s="11" t="e">
        <f t="shared" ref="DX95:DX96" si="199">DW95^2</f>
        <v>#DIV/0!</v>
      </c>
      <c r="DY95" s="5">
        <v>2</v>
      </c>
      <c r="DZ95" s="12" t="e">
        <f t="shared" ref="DZ95:DZ96" si="200">DW95^4/DY95</f>
        <v>#DIV/0!</v>
      </c>
      <c r="EA95" s="13"/>
      <c r="EB95" s="7" t="e">
        <f>CH95+DI95+DX95</f>
        <v>#DIV/0!</v>
      </c>
      <c r="EC95" s="7" t="e">
        <f>CJ95+DK95+DZ95</f>
        <v>#DIV/0!</v>
      </c>
      <c r="ED95" s="7" t="e">
        <f t="shared" ref="ED95:ED96" si="201">SQRT(EB95)</f>
        <v>#DIV/0!</v>
      </c>
      <c r="EE95" s="8" t="e">
        <f t="shared" ref="EE95:EE96" si="202">(ED95^4)/EC95</f>
        <v>#DIV/0!</v>
      </c>
      <c r="EF95" s="14" t="e">
        <f t="shared" ref="EF95:EF96" si="203">ROUND(TINV(0.05,EE95),0)</f>
        <v>#DIV/0!</v>
      </c>
      <c r="EG95" s="31" t="e">
        <f>(ED95*EF95)</f>
        <v>#DIV/0!</v>
      </c>
      <c r="EH95" s="15" t="str">
        <f>P95</f>
        <v>mV</v>
      </c>
      <c r="EJ95" s="109">
        <v>4.7999999999999996E-3</v>
      </c>
      <c r="EK95" s="110" t="str">
        <f>EH95</f>
        <v>mV</v>
      </c>
      <c r="EL95" s="111" t="e">
        <f>MAX(EJ95,EG95)</f>
        <v>#DIV/0!</v>
      </c>
      <c r="EM95" s="110" t="str">
        <f t="shared" ref="EM95" si="204">EK95</f>
        <v>mV</v>
      </c>
    </row>
    <row r="96" spans="2:143" ht="13.5" x14ac:dyDescent="0.25">
      <c r="B96" s="84"/>
      <c r="C96" s="69"/>
      <c r="D96" s="69"/>
      <c r="E96" s="69"/>
      <c r="F96" s="153" t="s">
        <v>123</v>
      </c>
      <c r="G96" s="153"/>
      <c r="H96" s="153"/>
      <c r="I96" s="153"/>
      <c r="J96" s="153"/>
      <c r="K96" s="153"/>
      <c r="L96" s="154">
        <v>600</v>
      </c>
      <c r="M96" s="155"/>
      <c r="N96" s="155"/>
      <c r="O96" s="155"/>
      <c r="P96" s="161" t="s">
        <v>76</v>
      </c>
      <c r="Q96" s="161"/>
      <c r="R96" s="162"/>
      <c r="S96" s="194" t="s">
        <v>81</v>
      </c>
      <c r="T96" s="194"/>
      <c r="U96" s="194"/>
      <c r="V96" s="194"/>
      <c r="W96" s="194"/>
      <c r="X96" s="190"/>
      <c r="Y96" s="190"/>
      <c r="Z96" s="190"/>
      <c r="AA96" s="190"/>
      <c r="AB96" s="190"/>
      <c r="AC96" s="190"/>
      <c r="AD96" s="190"/>
      <c r="AE96" s="190"/>
      <c r="AF96" s="190"/>
      <c r="AG96" s="190"/>
      <c r="AH96" s="190"/>
      <c r="AI96" s="190"/>
      <c r="AJ96" s="190"/>
      <c r="AK96" s="190"/>
      <c r="AL96" s="190"/>
      <c r="AM96" s="261" t="e">
        <f t="shared" si="177"/>
        <v>#DIV/0!</v>
      </c>
      <c r="AN96" s="190"/>
      <c r="AO96" s="190"/>
      <c r="AP96" s="190"/>
      <c r="AQ96" s="190"/>
      <c r="AR96" s="190" t="e">
        <f t="shared" si="178"/>
        <v>#DIV/0!</v>
      </c>
      <c r="AS96" s="190"/>
      <c r="AT96" s="190"/>
      <c r="AU96" s="190"/>
      <c r="AV96" s="190"/>
      <c r="AW96" s="69"/>
      <c r="AX96" s="69"/>
      <c r="AY96" s="69"/>
      <c r="AZ96" s="86"/>
      <c r="BC96" s="191" t="e">
        <f>(AM96*2%)+(3*CY96)</f>
        <v>#DIV/0!</v>
      </c>
      <c r="BD96" s="191"/>
      <c r="BE96" s="191"/>
      <c r="BF96" s="191"/>
      <c r="BG96" s="191"/>
      <c r="BH96" s="191" t="e">
        <f>L96+BC96</f>
        <v>#DIV/0!</v>
      </c>
      <c r="BI96" s="191"/>
      <c r="BJ96" s="191"/>
      <c r="BK96" s="191"/>
      <c r="BL96" s="191"/>
      <c r="BM96" s="191" t="e">
        <f>L96-BC96</f>
        <v>#DIV/0!</v>
      </c>
      <c r="BN96" s="191"/>
      <c r="BO96" s="191"/>
      <c r="BP96" s="191"/>
      <c r="BQ96" s="191"/>
      <c r="BR96" s="197" t="e">
        <f>IF(AND(AM96&lt;=BH96,AM96&gt;=BM96),"PASS","FAIL")</f>
        <v>#DIV/0!</v>
      </c>
      <c r="BS96" s="197"/>
      <c r="BT96" s="197"/>
      <c r="BU96" s="197"/>
      <c r="BV96" s="197"/>
      <c r="BY96" s="5" t="s">
        <v>46</v>
      </c>
      <c r="BZ96" s="5" t="s">
        <v>47</v>
      </c>
      <c r="CA96" s="5" t="s">
        <v>48</v>
      </c>
      <c r="CB96" s="9">
        <v>0.91</v>
      </c>
      <c r="CC96" s="6" t="str">
        <f>P96</f>
        <v>mV</v>
      </c>
      <c r="CD96" s="5">
        <v>2</v>
      </c>
      <c r="CE96" s="7">
        <f t="shared" si="179"/>
        <v>0.45500000000000002</v>
      </c>
      <c r="CF96" s="5">
        <v>1</v>
      </c>
      <c r="CG96" s="7">
        <f t="shared" si="180"/>
        <v>0.45500000000000002</v>
      </c>
      <c r="CH96" s="7">
        <f t="shared" si="181"/>
        <v>0.20702500000000001</v>
      </c>
      <c r="CI96" s="5">
        <v>200</v>
      </c>
      <c r="CJ96" s="7">
        <f t="shared" si="182"/>
        <v>2.1429675312500005E-4</v>
      </c>
      <c r="CK96" s="18"/>
      <c r="CL96" s="5" t="s">
        <v>174</v>
      </c>
      <c r="CM96" s="5" t="s">
        <v>49</v>
      </c>
      <c r="CN96" s="5" t="s">
        <v>48</v>
      </c>
      <c r="CO96" s="8">
        <v>0</v>
      </c>
      <c r="CP96" s="6" t="str">
        <f t="shared" si="183"/>
        <v>mV</v>
      </c>
      <c r="CQ96" s="9">
        <f t="shared" si="184"/>
        <v>1.7320508075688772</v>
      </c>
      <c r="CR96" s="7">
        <f t="shared" si="185"/>
        <v>0</v>
      </c>
      <c r="CS96" s="5">
        <v>1</v>
      </c>
      <c r="CT96" s="7">
        <f t="shared" si="186"/>
        <v>0</v>
      </c>
      <c r="CU96" s="7">
        <f t="shared" si="187"/>
        <v>0</v>
      </c>
      <c r="CV96" s="5">
        <v>200</v>
      </c>
      <c r="CW96" s="7">
        <f t="shared" si="188"/>
        <v>0</v>
      </c>
      <c r="CX96" s="18"/>
      <c r="CY96" s="5">
        <v>0.1</v>
      </c>
      <c r="CZ96" s="5" t="s">
        <v>80</v>
      </c>
      <c r="DA96" s="5" t="s">
        <v>49</v>
      </c>
      <c r="DB96" s="5" t="s">
        <v>48</v>
      </c>
      <c r="DC96" s="8">
        <f t="shared" si="189"/>
        <v>0.05</v>
      </c>
      <c r="DD96" s="6" t="str">
        <f>P96</f>
        <v>mV</v>
      </c>
      <c r="DE96" s="9">
        <f t="shared" si="190"/>
        <v>1.7320508075688772</v>
      </c>
      <c r="DF96" s="7">
        <f t="shared" si="191"/>
        <v>2.8867513459481291E-2</v>
      </c>
      <c r="DG96" s="5">
        <v>1</v>
      </c>
      <c r="DH96" s="7">
        <f t="shared" si="192"/>
        <v>2.8867513459481291E-2</v>
      </c>
      <c r="DI96" s="7">
        <f t="shared" si="193"/>
        <v>8.333333333333335E-4</v>
      </c>
      <c r="DJ96" s="5">
        <v>200</v>
      </c>
      <c r="DK96" s="7">
        <f t="shared" si="194"/>
        <v>3.4722222222222234E-9</v>
      </c>
      <c r="DL96" s="18"/>
      <c r="DM96" s="5">
        <v>3</v>
      </c>
      <c r="DN96" s="10" t="e">
        <f>STDEV(X96:AL96)</f>
        <v>#DIV/0!</v>
      </c>
      <c r="DO96" s="5" t="s">
        <v>50</v>
      </c>
      <c r="DP96" s="5" t="s">
        <v>47</v>
      </c>
      <c r="DQ96" s="5" t="s">
        <v>27</v>
      </c>
      <c r="DR96" s="10" t="e">
        <f t="shared" si="195"/>
        <v>#DIV/0!</v>
      </c>
      <c r="DS96" s="6" t="str">
        <f>P96</f>
        <v>mV</v>
      </c>
      <c r="DT96" s="9">
        <f t="shared" si="196"/>
        <v>1.7320508075688772</v>
      </c>
      <c r="DU96" s="10" t="e">
        <f t="shared" si="197"/>
        <v>#DIV/0!</v>
      </c>
      <c r="DV96" s="5">
        <v>1</v>
      </c>
      <c r="DW96" s="11" t="e">
        <f t="shared" si="198"/>
        <v>#DIV/0!</v>
      </c>
      <c r="DX96" s="11" t="e">
        <f t="shared" si="199"/>
        <v>#DIV/0!</v>
      </c>
      <c r="DY96" s="5">
        <v>2</v>
      </c>
      <c r="DZ96" s="12" t="e">
        <f t="shared" si="200"/>
        <v>#DIV/0!</v>
      </c>
      <c r="EA96" s="13"/>
      <c r="EB96" s="7" t="e">
        <f>CH96+DI96+DX96</f>
        <v>#DIV/0!</v>
      </c>
      <c r="EC96" s="7" t="e">
        <f>CJ96+DK96+DZ96</f>
        <v>#DIV/0!</v>
      </c>
      <c r="ED96" s="7" t="e">
        <f t="shared" si="201"/>
        <v>#DIV/0!</v>
      </c>
      <c r="EE96" s="8" t="e">
        <f t="shared" si="202"/>
        <v>#DIV/0!</v>
      </c>
      <c r="EF96" s="14" t="e">
        <f t="shared" si="203"/>
        <v>#DIV/0!</v>
      </c>
      <c r="EG96" s="31" t="e">
        <f>(ED96*EF96)</f>
        <v>#DIV/0!</v>
      </c>
      <c r="EH96" s="15" t="str">
        <f>P96</f>
        <v>mV</v>
      </c>
      <c r="EJ96" s="109">
        <v>8.5000000000000006E-2</v>
      </c>
      <c r="EK96" s="110" t="str">
        <f>EH96</f>
        <v>mV</v>
      </c>
      <c r="EL96" s="111" t="e">
        <f>MAX(EJ96,EG96)</f>
        <v>#DIV/0!</v>
      </c>
      <c r="EM96" s="110" t="str">
        <f t="shared" ref="EM96" si="205">EK96</f>
        <v>mV</v>
      </c>
    </row>
    <row r="97" spans="2:143" ht="13.5" x14ac:dyDescent="0.25">
      <c r="B97" s="84"/>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86"/>
    </row>
    <row r="98" spans="2:143" ht="13.5" x14ac:dyDescent="0.25">
      <c r="B98" s="84"/>
      <c r="C98" s="69"/>
      <c r="D98" s="63"/>
      <c r="E98" s="69"/>
      <c r="F98" s="85" t="s">
        <v>153</v>
      </c>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86"/>
      <c r="BY98" s="196" t="s">
        <v>72</v>
      </c>
      <c r="BZ98" s="196"/>
      <c r="CA98" s="196"/>
      <c r="CB98" s="196"/>
      <c r="CC98" s="196"/>
      <c r="CD98" s="196"/>
      <c r="CE98" s="196"/>
      <c r="CF98" s="196"/>
      <c r="CG98" s="196"/>
      <c r="CH98" s="196"/>
      <c r="CI98" s="196"/>
      <c r="CJ98" s="196"/>
      <c r="CK98" s="16"/>
      <c r="CL98" s="196"/>
      <c r="CM98" s="196"/>
      <c r="CN98" s="196"/>
      <c r="CO98" s="196"/>
      <c r="CP98" s="196"/>
      <c r="CQ98" s="196"/>
      <c r="CR98" s="196"/>
      <c r="CS98" s="196"/>
      <c r="CT98" s="196"/>
      <c r="CU98" s="196"/>
      <c r="CV98" s="196"/>
      <c r="CW98" s="196"/>
      <c r="CX98" s="16"/>
      <c r="CY98" s="196" t="s">
        <v>34</v>
      </c>
      <c r="CZ98" s="196"/>
      <c r="DA98" s="196"/>
      <c r="DB98" s="196"/>
      <c r="DC98" s="196"/>
      <c r="DD98" s="196"/>
      <c r="DE98" s="196"/>
      <c r="DF98" s="196"/>
      <c r="DG98" s="196"/>
      <c r="DH98" s="196"/>
      <c r="DI98" s="196"/>
      <c r="DJ98" s="196"/>
      <c r="DK98" s="196"/>
      <c r="DL98" s="16"/>
      <c r="DM98" s="196" t="s">
        <v>57</v>
      </c>
      <c r="DN98" s="196"/>
      <c r="DO98" s="196"/>
      <c r="DP98" s="196"/>
      <c r="DQ98" s="196"/>
      <c r="DR98" s="196"/>
      <c r="DS98" s="196"/>
      <c r="DT98" s="196"/>
      <c r="DU98" s="196"/>
      <c r="DV98" s="196"/>
      <c r="DW98" s="196"/>
      <c r="DX98" s="196"/>
      <c r="DY98" s="196"/>
      <c r="DZ98" s="196"/>
      <c r="EB98" s="196" t="s">
        <v>60</v>
      </c>
      <c r="EC98" s="196"/>
      <c r="ED98" s="196"/>
      <c r="EE98" s="196"/>
      <c r="EF98" s="196"/>
      <c r="EG98" s="196"/>
      <c r="EH98" s="196"/>
      <c r="EJ98" s="276" t="s">
        <v>188</v>
      </c>
      <c r="EK98" s="277"/>
      <c r="EL98" s="276" t="s">
        <v>189</v>
      </c>
      <c r="EM98" s="277"/>
    </row>
    <row r="99" spans="2:143" ht="13.5" customHeight="1" x14ac:dyDescent="0.25">
      <c r="B99" s="84"/>
      <c r="C99" s="69"/>
      <c r="D99" s="63"/>
      <c r="E99" s="63"/>
      <c r="F99" s="164" t="s">
        <v>74</v>
      </c>
      <c r="G99" s="164"/>
      <c r="H99" s="164"/>
      <c r="I99" s="164"/>
      <c r="J99" s="164"/>
      <c r="K99" s="164"/>
      <c r="L99" s="164" t="s">
        <v>83</v>
      </c>
      <c r="M99" s="164"/>
      <c r="N99" s="164"/>
      <c r="O99" s="164"/>
      <c r="P99" s="164"/>
      <c r="Q99" s="164"/>
      <c r="R99" s="164"/>
      <c r="S99" s="164" t="s">
        <v>116</v>
      </c>
      <c r="T99" s="164"/>
      <c r="U99" s="164"/>
      <c r="V99" s="164"/>
      <c r="W99" s="164"/>
      <c r="X99" s="164"/>
      <c r="Y99" s="164"/>
      <c r="Z99" s="164"/>
      <c r="AA99" s="164"/>
      <c r="AB99" s="164"/>
      <c r="AC99" s="164"/>
      <c r="AD99" s="164"/>
      <c r="AE99" s="164"/>
      <c r="AF99" s="164"/>
      <c r="AG99" s="164"/>
      <c r="AH99" s="164" t="s">
        <v>128</v>
      </c>
      <c r="AI99" s="164"/>
      <c r="AJ99" s="164"/>
      <c r="AK99" s="164"/>
      <c r="AL99" s="164"/>
      <c r="AM99" s="164" t="s">
        <v>85</v>
      </c>
      <c r="AN99" s="164"/>
      <c r="AO99" s="164"/>
      <c r="AP99" s="164"/>
      <c r="AQ99" s="164"/>
      <c r="AR99" s="87"/>
      <c r="AS99" s="87"/>
      <c r="AT99" s="87"/>
      <c r="AU99" s="87"/>
      <c r="AV99" s="87"/>
      <c r="AW99" s="69"/>
      <c r="AX99" s="69"/>
      <c r="AY99" s="69"/>
      <c r="AZ99" s="86"/>
      <c r="BC99" s="198" t="s">
        <v>155</v>
      </c>
      <c r="BD99" s="198"/>
      <c r="BE99" s="198"/>
      <c r="BF99" s="198"/>
      <c r="BG99" s="198"/>
      <c r="BH99" s="198" t="s">
        <v>120</v>
      </c>
      <c r="BI99" s="198"/>
      <c r="BJ99" s="198"/>
      <c r="BK99" s="198"/>
      <c r="BL99" s="198"/>
      <c r="BM99" s="198" t="s">
        <v>121</v>
      </c>
      <c r="BN99" s="198"/>
      <c r="BO99" s="198"/>
      <c r="BP99" s="198"/>
      <c r="BQ99" s="198"/>
      <c r="BR99" s="198" t="s">
        <v>119</v>
      </c>
      <c r="BS99" s="198"/>
      <c r="BT99" s="198"/>
      <c r="BU99" s="198"/>
      <c r="BV99" s="198"/>
      <c r="BY99" s="195" t="s">
        <v>28</v>
      </c>
      <c r="BZ99" s="195" t="s">
        <v>29</v>
      </c>
      <c r="CA99" s="195" t="s">
        <v>30</v>
      </c>
      <c r="CB99" s="2" t="s">
        <v>31</v>
      </c>
      <c r="CC99" s="195" t="s">
        <v>32</v>
      </c>
      <c r="CD99" s="195" t="s">
        <v>33</v>
      </c>
      <c r="CE99" s="195" t="s">
        <v>51</v>
      </c>
      <c r="CF99" s="195" t="s">
        <v>52</v>
      </c>
      <c r="CG99" s="195" t="s">
        <v>53</v>
      </c>
      <c r="CH99" s="195" t="s">
        <v>54</v>
      </c>
      <c r="CI99" s="195" t="s">
        <v>55</v>
      </c>
      <c r="CJ99" s="195" t="s">
        <v>56</v>
      </c>
      <c r="CK99" s="17"/>
      <c r="CL99" s="195" t="s">
        <v>28</v>
      </c>
      <c r="CM99" s="195" t="s">
        <v>29</v>
      </c>
      <c r="CN99" s="195" t="s">
        <v>30</v>
      </c>
      <c r="CO99" s="2" t="s">
        <v>31</v>
      </c>
      <c r="CP99" s="195" t="s">
        <v>32</v>
      </c>
      <c r="CQ99" s="195" t="s">
        <v>33</v>
      </c>
      <c r="CR99" s="195" t="s">
        <v>51</v>
      </c>
      <c r="CS99" s="195" t="s">
        <v>52</v>
      </c>
      <c r="CT99" s="195" t="s">
        <v>53</v>
      </c>
      <c r="CU99" s="195" t="s">
        <v>54</v>
      </c>
      <c r="CV99" s="195" t="s">
        <v>55</v>
      </c>
      <c r="CW99" s="195" t="s">
        <v>56</v>
      </c>
      <c r="CX99" s="17"/>
      <c r="CY99" s="195" t="s">
        <v>34</v>
      </c>
      <c r="CZ99" s="195" t="s">
        <v>28</v>
      </c>
      <c r="DA99" s="195" t="s">
        <v>29</v>
      </c>
      <c r="DB99" s="195" t="s">
        <v>30</v>
      </c>
      <c r="DC99" s="2" t="s">
        <v>31</v>
      </c>
      <c r="DD99" s="195" t="s">
        <v>32</v>
      </c>
      <c r="DE99" s="195" t="s">
        <v>33</v>
      </c>
      <c r="DF99" s="195" t="s">
        <v>51</v>
      </c>
      <c r="DG99" s="195" t="s">
        <v>52</v>
      </c>
      <c r="DH99" s="195" t="s">
        <v>53</v>
      </c>
      <c r="DI99" s="195" t="s">
        <v>54</v>
      </c>
      <c r="DJ99" s="195" t="s">
        <v>55</v>
      </c>
      <c r="DK99" s="195" t="s">
        <v>56</v>
      </c>
      <c r="DL99" s="17"/>
      <c r="DM99" s="195" t="s">
        <v>35</v>
      </c>
      <c r="DN99" s="200" t="s">
        <v>36</v>
      </c>
      <c r="DO99" s="195" t="s">
        <v>28</v>
      </c>
      <c r="DP99" s="195" t="s">
        <v>29</v>
      </c>
      <c r="DQ99" s="195" t="s">
        <v>30</v>
      </c>
      <c r="DR99" s="2" t="s">
        <v>31</v>
      </c>
      <c r="DS99" s="195" t="s">
        <v>32</v>
      </c>
      <c r="DT99" s="195" t="s">
        <v>33</v>
      </c>
      <c r="DU99" s="195" t="s">
        <v>51</v>
      </c>
      <c r="DV99" s="195" t="s">
        <v>52</v>
      </c>
      <c r="DW99" s="195" t="s">
        <v>53</v>
      </c>
      <c r="DX99" s="195" t="s">
        <v>54</v>
      </c>
      <c r="DY99" s="195" t="s">
        <v>55</v>
      </c>
      <c r="DZ99" s="195" t="s">
        <v>56</v>
      </c>
      <c r="EA99" s="3"/>
      <c r="EB99" s="54" t="s">
        <v>58</v>
      </c>
      <c r="EC99" s="54" t="s">
        <v>37</v>
      </c>
      <c r="ED99" s="54" t="s">
        <v>38</v>
      </c>
      <c r="EE99" s="4" t="s">
        <v>39</v>
      </c>
      <c r="EF99" s="54" t="s">
        <v>61</v>
      </c>
      <c r="EG99" s="195" t="s">
        <v>40</v>
      </c>
      <c r="EH99" s="195"/>
      <c r="EJ99" s="278"/>
      <c r="EK99" s="279"/>
      <c r="EL99" s="278"/>
      <c r="EM99" s="279"/>
    </row>
    <row r="100" spans="2:143" ht="13.5" x14ac:dyDescent="0.25">
      <c r="B100" s="84"/>
      <c r="C100" s="69"/>
      <c r="D100" s="63"/>
      <c r="E100" s="63"/>
      <c r="F100" s="164"/>
      <c r="G100" s="164"/>
      <c r="H100" s="164"/>
      <c r="I100" s="164"/>
      <c r="J100" s="164"/>
      <c r="K100" s="164"/>
      <c r="L100" s="164"/>
      <c r="M100" s="164"/>
      <c r="N100" s="164"/>
      <c r="O100" s="164"/>
      <c r="P100" s="164"/>
      <c r="Q100" s="164"/>
      <c r="R100" s="164"/>
      <c r="S100" s="164">
        <v>1</v>
      </c>
      <c r="T100" s="164"/>
      <c r="U100" s="164"/>
      <c r="V100" s="164"/>
      <c r="W100" s="164"/>
      <c r="X100" s="164">
        <v>2</v>
      </c>
      <c r="Y100" s="164"/>
      <c r="Z100" s="164"/>
      <c r="AA100" s="164"/>
      <c r="AB100" s="164"/>
      <c r="AC100" s="164">
        <v>3</v>
      </c>
      <c r="AD100" s="164"/>
      <c r="AE100" s="164"/>
      <c r="AF100" s="164"/>
      <c r="AG100" s="164"/>
      <c r="AH100" s="164"/>
      <c r="AI100" s="164"/>
      <c r="AJ100" s="164"/>
      <c r="AK100" s="164"/>
      <c r="AL100" s="164"/>
      <c r="AM100" s="164"/>
      <c r="AN100" s="164"/>
      <c r="AO100" s="164"/>
      <c r="AP100" s="164"/>
      <c r="AQ100" s="164"/>
      <c r="AR100" s="87"/>
      <c r="AS100" s="87"/>
      <c r="AT100" s="87"/>
      <c r="AU100" s="87"/>
      <c r="AV100" s="87"/>
      <c r="AW100" s="69"/>
      <c r="AX100" s="69"/>
      <c r="AY100" s="69"/>
      <c r="AZ100" s="86"/>
      <c r="BC100" s="198"/>
      <c r="BD100" s="198"/>
      <c r="BE100" s="198"/>
      <c r="BF100" s="198"/>
      <c r="BG100" s="198"/>
      <c r="BH100" s="198"/>
      <c r="BI100" s="198"/>
      <c r="BJ100" s="198"/>
      <c r="BK100" s="198"/>
      <c r="BL100" s="198"/>
      <c r="BM100" s="198"/>
      <c r="BN100" s="198"/>
      <c r="BO100" s="198"/>
      <c r="BP100" s="198"/>
      <c r="BQ100" s="198"/>
      <c r="BR100" s="198"/>
      <c r="BS100" s="198"/>
      <c r="BT100" s="198"/>
      <c r="BU100" s="198"/>
      <c r="BV100" s="198"/>
      <c r="BY100" s="195"/>
      <c r="BZ100" s="195"/>
      <c r="CA100" s="195"/>
      <c r="CB100" s="54" t="s">
        <v>41</v>
      </c>
      <c r="CC100" s="195"/>
      <c r="CD100" s="195"/>
      <c r="CE100" s="195"/>
      <c r="CF100" s="195"/>
      <c r="CG100" s="195"/>
      <c r="CH100" s="195"/>
      <c r="CI100" s="195"/>
      <c r="CJ100" s="195"/>
      <c r="CK100" s="17"/>
      <c r="CL100" s="195"/>
      <c r="CM100" s="195"/>
      <c r="CN100" s="195"/>
      <c r="CO100" s="54" t="s">
        <v>41</v>
      </c>
      <c r="CP100" s="195"/>
      <c r="CQ100" s="195"/>
      <c r="CR100" s="195"/>
      <c r="CS100" s="195"/>
      <c r="CT100" s="195"/>
      <c r="CU100" s="195"/>
      <c r="CV100" s="195"/>
      <c r="CW100" s="195"/>
      <c r="CX100" s="17"/>
      <c r="CY100" s="195"/>
      <c r="CZ100" s="195"/>
      <c r="DA100" s="195"/>
      <c r="DB100" s="195"/>
      <c r="DC100" s="54" t="s">
        <v>41</v>
      </c>
      <c r="DD100" s="195"/>
      <c r="DE100" s="195"/>
      <c r="DF100" s="195"/>
      <c r="DG100" s="195"/>
      <c r="DH100" s="195"/>
      <c r="DI100" s="195"/>
      <c r="DJ100" s="195"/>
      <c r="DK100" s="195"/>
      <c r="DL100" s="17"/>
      <c r="DM100" s="195"/>
      <c r="DN100" s="200"/>
      <c r="DO100" s="195"/>
      <c r="DP100" s="195"/>
      <c r="DQ100" s="195"/>
      <c r="DR100" s="54" t="s">
        <v>41</v>
      </c>
      <c r="DS100" s="195"/>
      <c r="DT100" s="195"/>
      <c r="DU100" s="195"/>
      <c r="DV100" s="195"/>
      <c r="DW100" s="195"/>
      <c r="DX100" s="195"/>
      <c r="DY100" s="195"/>
      <c r="DZ100" s="195"/>
      <c r="EA100" s="3"/>
      <c r="EB100" s="54" t="s">
        <v>54</v>
      </c>
      <c r="EC100" s="54" t="s">
        <v>59</v>
      </c>
      <c r="ED100" s="54" t="s">
        <v>42</v>
      </c>
      <c r="EE100" s="4" t="s">
        <v>43</v>
      </c>
      <c r="EF100" s="54" t="s">
        <v>44</v>
      </c>
      <c r="EG100" s="195" t="s">
        <v>45</v>
      </c>
      <c r="EH100" s="195"/>
      <c r="EJ100" s="280"/>
      <c r="EK100" s="281"/>
      <c r="EL100" s="280"/>
      <c r="EM100" s="281"/>
    </row>
    <row r="101" spans="2:143" ht="13.5" x14ac:dyDescent="0.25">
      <c r="B101" s="84"/>
      <c r="C101" s="69"/>
      <c r="D101" s="69"/>
      <c r="E101" s="69"/>
      <c r="F101" s="153" t="s">
        <v>123</v>
      </c>
      <c r="G101" s="153"/>
      <c r="H101" s="153"/>
      <c r="I101" s="153"/>
      <c r="J101" s="153"/>
      <c r="K101" s="153"/>
      <c r="L101" s="154">
        <v>10</v>
      </c>
      <c r="M101" s="155"/>
      <c r="N101" s="155"/>
      <c r="O101" s="155"/>
      <c r="P101" s="161" t="s">
        <v>76</v>
      </c>
      <c r="Q101" s="161"/>
      <c r="R101" s="162"/>
      <c r="S101" s="190"/>
      <c r="T101" s="190"/>
      <c r="U101" s="190"/>
      <c r="V101" s="190"/>
      <c r="W101" s="190"/>
      <c r="X101" s="190"/>
      <c r="Y101" s="190"/>
      <c r="Z101" s="190"/>
      <c r="AA101" s="190"/>
      <c r="AB101" s="190"/>
      <c r="AC101" s="190"/>
      <c r="AD101" s="190"/>
      <c r="AE101" s="190"/>
      <c r="AF101" s="190"/>
      <c r="AG101" s="190"/>
      <c r="AH101" s="261" t="e">
        <f t="shared" ref="AH101:AH102" si="206">AVERAGE(S101:AG101)</f>
        <v>#DIV/0!</v>
      </c>
      <c r="AI101" s="190"/>
      <c r="AJ101" s="190"/>
      <c r="AK101" s="190"/>
      <c r="AL101" s="190"/>
      <c r="AM101" s="190" t="e">
        <f>AH101-L101</f>
        <v>#DIV/0!</v>
      </c>
      <c r="AN101" s="190"/>
      <c r="AO101" s="190"/>
      <c r="AP101" s="190"/>
      <c r="AQ101" s="190"/>
      <c r="AR101" s="93"/>
      <c r="AS101" s="93"/>
      <c r="AT101" s="93"/>
      <c r="AU101" s="93"/>
      <c r="AV101" s="93"/>
      <c r="AW101" s="69"/>
      <c r="AX101" s="69"/>
      <c r="AY101" s="69"/>
      <c r="AZ101" s="86"/>
      <c r="BC101" s="191" t="e">
        <f>(AH101*0.5%)+(2*CY101)</f>
        <v>#DIV/0!</v>
      </c>
      <c r="BD101" s="191"/>
      <c r="BE101" s="191"/>
      <c r="BF101" s="191"/>
      <c r="BG101" s="191"/>
      <c r="BH101" s="191" t="e">
        <f>L101+BC101</f>
        <v>#DIV/0!</v>
      </c>
      <c r="BI101" s="191"/>
      <c r="BJ101" s="191"/>
      <c r="BK101" s="191"/>
      <c r="BL101" s="191"/>
      <c r="BM101" s="191" t="e">
        <f>L101-BC101</f>
        <v>#DIV/0!</v>
      </c>
      <c r="BN101" s="191"/>
      <c r="BO101" s="191"/>
      <c r="BP101" s="191"/>
      <c r="BQ101" s="191"/>
      <c r="BR101" s="197" t="e">
        <f t="shared" ref="BR101:BR102" si="207">IF(AND(AH101&lt;=BH101,AH101&gt;=BM101),"PASS","FAIL")</f>
        <v>#DIV/0!</v>
      </c>
      <c r="BS101" s="197"/>
      <c r="BT101" s="197"/>
      <c r="BU101" s="197"/>
      <c r="BV101" s="197"/>
      <c r="BY101" s="5" t="s">
        <v>46</v>
      </c>
      <c r="BZ101" s="5" t="s">
        <v>47</v>
      </c>
      <c r="CA101" s="5" t="s">
        <v>48</v>
      </c>
      <c r="CB101" s="10">
        <v>7.6999999999999996E-4</v>
      </c>
      <c r="CC101" s="6" t="str">
        <f>P101</f>
        <v>mV</v>
      </c>
      <c r="CD101" s="5">
        <v>2</v>
      </c>
      <c r="CE101" s="7">
        <f t="shared" ref="CE101:CE102" si="208">CB101/CD101</f>
        <v>3.8499999999999998E-4</v>
      </c>
      <c r="CF101" s="5">
        <v>1</v>
      </c>
      <c r="CG101" s="7">
        <f t="shared" ref="CG101:CG102" si="209">CE101*CF101</f>
        <v>3.8499999999999998E-4</v>
      </c>
      <c r="CH101" s="7">
        <f t="shared" ref="CH101:CH102" si="210">CG101^2</f>
        <v>1.4822499999999999E-7</v>
      </c>
      <c r="CI101" s="5">
        <v>200</v>
      </c>
      <c r="CJ101" s="7">
        <f t="shared" ref="CJ101:CJ102" si="211">CG101^4/CI101</f>
        <v>1.0985325312499999E-16</v>
      </c>
      <c r="CK101" s="18"/>
      <c r="CL101" s="5" t="s">
        <v>174</v>
      </c>
      <c r="CM101" s="5" t="s">
        <v>49</v>
      </c>
      <c r="CN101" s="5" t="s">
        <v>48</v>
      </c>
      <c r="CO101" s="8">
        <v>0</v>
      </c>
      <c r="CP101" s="6" t="str">
        <f>CC101</f>
        <v>mV</v>
      </c>
      <c r="CQ101" s="9">
        <f t="shared" ref="CQ101:CQ102" si="212">SQRT(3)</f>
        <v>1.7320508075688772</v>
      </c>
      <c r="CR101" s="7">
        <f t="shared" ref="CR101:CR102" si="213">CO101/CQ101</f>
        <v>0</v>
      </c>
      <c r="CS101" s="5">
        <v>1</v>
      </c>
      <c r="CT101" s="7">
        <f t="shared" ref="CT101:CT102" si="214">CR101*CS101</f>
        <v>0</v>
      </c>
      <c r="CU101" s="7">
        <f t="shared" ref="CU101:CU102" si="215">CT101^2</f>
        <v>0</v>
      </c>
      <c r="CV101" s="5">
        <v>200</v>
      </c>
      <c r="CW101" s="7">
        <f t="shared" ref="CW101:CW102" si="216">CT101^4/CV101</f>
        <v>0</v>
      </c>
      <c r="CX101" s="18"/>
      <c r="CY101" s="5">
        <v>0.1</v>
      </c>
      <c r="CZ101" s="5" t="s">
        <v>80</v>
      </c>
      <c r="DA101" s="5" t="s">
        <v>49</v>
      </c>
      <c r="DB101" s="5" t="s">
        <v>48</v>
      </c>
      <c r="DC101" s="8">
        <f t="shared" ref="DC101:DC102" si="217">CY101/2</f>
        <v>0.05</v>
      </c>
      <c r="DD101" s="6" t="str">
        <f>P101</f>
        <v>mV</v>
      </c>
      <c r="DE101" s="9">
        <f t="shared" ref="DE101:DE102" si="218">SQRT(3)</f>
        <v>1.7320508075688772</v>
      </c>
      <c r="DF101" s="7">
        <f t="shared" ref="DF101:DF102" si="219">DC101/DE101</f>
        <v>2.8867513459481291E-2</v>
      </c>
      <c r="DG101" s="5">
        <v>1</v>
      </c>
      <c r="DH101" s="7">
        <f t="shared" ref="DH101:DH102" si="220">DF101*DG101</f>
        <v>2.8867513459481291E-2</v>
      </c>
      <c r="DI101" s="7">
        <f t="shared" ref="DI101:DI102" si="221">DH101^2</f>
        <v>8.333333333333335E-4</v>
      </c>
      <c r="DJ101" s="5">
        <v>200</v>
      </c>
      <c r="DK101" s="7">
        <f t="shared" ref="DK101:DK102" si="222">DH101^4/DJ101</f>
        <v>3.4722222222222234E-9</v>
      </c>
      <c r="DL101" s="18"/>
      <c r="DM101" s="5">
        <v>3</v>
      </c>
      <c r="DN101" s="10" t="e">
        <f>STDEV(S101:AG101)</f>
        <v>#DIV/0!</v>
      </c>
      <c r="DO101" s="5" t="s">
        <v>50</v>
      </c>
      <c r="DP101" s="5" t="s">
        <v>47</v>
      </c>
      <c r="DQ101" s="5" t="s">
        <v>27</v>
      </c>
      <c r="DR101" s="10" t="e">
        <f t="shared" ref="DR101:DR102" si="223">DN101</f>
        <v>#DIV/0!</v>
      </c>
      <c r="DS101" s="6" t="str">
        <f>P101</f>
        <v>mV</v>
      </c>
      <c r="DT101" s="9">
        <f t="shared" ref="DT101:DT102" si="224">SQRT(DM101)</f>
        <v>1.7320508075688772</v>
      </c>
      <c r="DU101" s="10" t="e">
        <f t="shared" ref="DU101:DU102" si="225">DR101/DT101</f>
        <v>#DIV/0!</v>
      </c>
      <c r="DV101" s="5">
        <v>1</v>
      </c>
      <c r="DW101" s="11" t="e">
        <f t="shared" ref="DW101:DW102" si="226">DU101*DV101</f>
        <v>#DIV/0!</v>
      </c>
      <c r="DX101" s="11" t="e">
        <f t="shared" ref="DX101:DX102" si="227">DW101^2</f>
        <v>#DIV/0!</v>
      </c>
      <c r="DY101" s="5">
        <v>2</v>
      </c>
      <c r="DZ101" s="12" t="e">
        <f t="shared" ref="DZ101:DZ102" si="228">DW101^4/DY101</f>
        <v>#DIV/0!</v>
      </c>
      <c r="EA101" s="13"/>
      <c r="EB101" s="7" t="e">
        <f>CH101+DI101+DX101</f>
        <v>#DIV/0!</v>
      </c>
      <c r="EC101" s="7" t="e">
        <f>CJ101+DK101+DZ101</f>
        <v>#DIV/0!</v>
      </c>
      <c r="ED101" s="7" t="e">
        <f t="shared" ref="ED101:ED102" si="229">SQRT(EB101)</f>
        <v>#DIV/0!</v>
      </c>
      <c r="EE101" s="8" t="e">
        <f t="shared" ref="EE101:EE102" si="230">(ED101^4)/EC101</f>
        <v>#DIV/0!</v>
      </c>
      <c r="EF101" s="14" t="e">
        <f t="shared" ref="EF101:EF102" si="231">ROUND(TINV(0.05,EE101),0)</f>
        <v>#DIV/0!</v>
      </c>
      <c r="EG101" s="31" t="e">
        <f>(ED101*EF101)</f>
        <v>#DIV/0!</v>
      </c>
      <c r="EH101" s="15" t="str">
        <f>P101</f>
        <v>mV</v>
      </c>
      <c r="EJ101" s="109">
        <v>1.6000000000000001E-3</v>
      </c>
      <c r="EK101" s="110" t="str">
        <f>EH101</f>
        <v>mV</v>
      </c>
      <c r="EL101" s="111" t="e">
        <f>MAX(EJ101,EG101)</f>
        <v>#DIV/0!</v>
      </c>
      <c r="EM101" s="110" t="str">
        <f t="shared" ref="EM101" si="232">EK101</f>
        <v>mV</v>
      </c>
    </row>
    <row r="102" spans="2:143" ht="13.5" x14ac:dyDescent="0.25">
      <c r="B102" s="84"/>
      <c r="C102" s="69"/>
      <c r="D102" s="69"/>
      <c r="E102" s="69"/>
      <c r="F102" s="153" t="s">
        <v>123</v>
      </c>
      <c r="G102" s="153"/>
      <c r="H102" s="153"/>
      <c r="I102" s="153"/>
      <c r="J102" s="153"/>
      <c r="K102" s="153"/>
      <c r="L102" s="154">
        <v>600</v>
      </c>
      <c r="M102" s="155"/>
      <c r="N102" s="155"/>
      <c r="O102" s="155"/>
      <c r="P102" s="161" t="s">
        <v>76</v>
      </c>
      <c r="Q102" s="161"/>
      <c r="R102" s="162"/>
      <c r="S102" s="190"/>
      <c r="T102" s="190"/>
      <c r="U102" s="190"/>
      <c r="V102" s="190"/>
      <c r="W102" s="190"/>
      <c r="X102" s="190"/>
      <c r="Y102" s="190"/>
      <c r="Z102" s="190"/>
      <c r="AA102" s="190"/>
      <c r="AB102" s="190"/>
      <c r="AC102" s="190"/>
      <c r="AD102" s="190"/>
      <c r="AE102" s="190"/>
      <c r="AF102" s="190"/>
      <c r="AG102" s="190"/>
      <c r="AH102" s="261" t="e">
        <f t="shared" si="206"/>
        <v>#DIV/0!</v>
      </c>
      <c r="AI102" s="190"/>
      <c r="AJ102" s="190"/>
      <c r="AK102" s="190"/>
      <c r="AL102" s="190"/>
      <c r="AM102" s="190" t="e">
        <f>AH102-L102</f>
        <v>#DIV/0!</v>
      </c>
      <c r="AN102" s="190"/>
      <c r="AO102" s="190"/>
      <c r="AP102" s="190"/>
      <c r="AQ102" s="190"/>
      <c r="AR102" s="93"/>
      <c r="AS102" s="93"/>
      <c r="AT102" s="93"/>
      <c r="AU102" s="93"/>
      <c r="AV102" s="93"/>
      <c r="AW102" s="69"/>
      <c r="AX102" s="69"/>
      <c r="AY102" s="69"/>
      <c r="AZ102" s="86"/>
      <c r="BC102" s="191" t="e">
        <f>(AH102*0.5%)+(2*CY102)</f>
        <v>#DIV/0!</v>
      </c>
      <c r="BD102" s="191"/>
      <c r="BE102" s="191"/>
      <c r="BF102" s="191"/>
      <c r="BG102" s="191"/>
      <c r="BH102" s="191" t="e">
        <f>L102+BC102</f>
        <v>#DIV/0!</v>
      </c>
      <c r="BI102" s="191"/>
      <c r="BJ102" s="191"/>
      <c r="BK102" s="191"/>
      <c r="BL102" s="191"/>
      <c r="BM102" s="191" t="e">
        <f>L102-BC102</f>
        <v>#DIV/0!</v>
      </c>
      <c r="BN102" s="191"/>
      <c r="BO102" s="191"/>
      <c r="BP102" s="191"/>
      <c r="BQ102" s="191"/>
      <c r="BR102" s="197" t="e">
        <f t="shared" si="207"/>
        <v>#DIV/0!</v>
      </c>
      <c r="BS102" s="197"/>
      <c r="BT102" s="197"/>
      <c r="BU102" s="197"/>
      <c r="BV102" s="197"/>
      <c r="BY102" s="5" t="s">
        <v>46</v>
      </c>
      <c r="BZ102" s="5" t="s">
        <v>47</v>
      </c>
      <c r="CA102" s="5" t="s">
        <v>48</v>
      </c>
      <c r="CB102" s="108">
        <v>2.0999999999999999E-3</v>
      </c>
      <c r="CC102" s="6" t="str">
        <f>P102</f>
        <v>mV</v>
      </c>
      <c r="CD102" s="5">
        <v>2</v>
      </c>
      <c r="CE102" s="7">
        <f t="shared" si="208"/>
        <v>1.0499999999999999E-3</v>
      </c>
      <c r="CF102" s="5">
        <v>1</v>
      </c>
      <c r="CG102" s="7">
        <f t="shared" si="209"/>
        <v>1.0499999999999999E-3</v>
      </c>
      <c r="CH102" s="7">
        <f t="shared" si="210"/>
        <v>1.1024999999999998E-6</v>
      </c>
      <c r="CI102" s="5">
        <v>200</v>
      </c>
      <c r="CJ102" s="7">
        <f t="shared" si="211"/>
        <v>6.0775312499999982E-15</v>
      </c>
      <c r="CK102" s="18"/>
      <c r="CL102" s="5" t="s">
        <v>174</v>
      </c>
      <c r="CM102" s="5" t="s">
        <v>49</v>
      </c>
      <c r="CN102" s="5" t="s">
        <v>48</v>
      </c>
      <c r="CO102" s="8">
        <v>0</v>
      </c>
      <c r="CP102" s="6" t="str">
        <f>CC102</f>
        <v>mV</v>
      </c>
      <c r="CQ102" s="9">
        <f t="shared" si="212"/>
        <v>1.7320508075688772</v>
      </c>
      <c r="CR102" s="7">
        <f t="shared" si="213"/>
        <v>0</v>
      </c>
      <c r="CS102" s="5">
        <v>1</v>
      </c>
      <c r="CT102" s="7">
        <f t="shared" si="214"/>
        <v>0</v>
      </c>
      <c r="CU102" s="7">
        <f t="shared" si="215"/>
        <v>0</v>
      </c>
      <c r="CV102" s="5">
        <v>200</v>
      </c>
      <c r="CW102" s="7">
        <f t="shared" si="216"/>
        <v>0</v>
      </c>
      <c r="CX102" s="18"/>
      <c r="CY102" s="5">
        <v>0.1</v>
      </c>
      <c r="CZ102" s="5" t="s">
        <v>80</v>
      </c>
      <c r="DA102" s="5" t="s">
        <v>49</v>
      </c>
      <c r="DB102" s="5" t="s">
        <v>48</v>
      </c>
      <c r="DC102" s="8">
        <f t="shared" si="217"/>
        <v>0.05</v>
      </c>
      <c r="DD102" s="6" t="str">
        <f>P102</f>
        <v>mV</v>
      </c>
      <c r="DE102" s="9">
        <f t="shared" si="218"/>
        <v>1.7320508075688772</v>
      </c>
      <c r="DF102" s="7">
        <f t="shared" si="219"/>
        <v>2.8867513459481291E-2</v>
      </c>
      <c r="DG102" s="5">
        <v>1</v>
      </c>
      <c r="DH102" s="7">
        <f t="shared" si="220"/>
        <v>2.8867513459481291E-2</v>
      </c>
      <c r="DI102" s="7">
        <f t="shared" si="221"/>
        <v>8.333333333333335E-4</v>
      </c>
      <c r="DJ102" s="5">
        <v>200</v>
      </c>
      <c r="DK102" s="7">
        <f t="shared" si="222"/>
        <v>3.4722222222222234E-9</v>
      </c>
      <c r="DL102" s="18"/>
      <c r="DM102" s="5">
        <v>3</v>
      </c>
      <c r="DN102" s="10" t="e">
        <f>STDEV(S102:AG102)</f>
        <v>#DIV/0!</v>
      </c>
      <c r="DO102" s="5" t="s">
        <v>50</v>
      </c>
      <c r="DP102" s="5" t="s">
        <v>47</v>
      </c>
      <c r="DQ102" s="5" t="s">
        <v>27</v>
      </c>
      <c r="DR102" s="10" t="e">
        <f t="shared" si="223"/>
        <v>#DIV/0!</v>
      </c>
      <c r="DS102" s="6" t="str">
        <f>P102</f>
        <v>mV</v>
      </c>
      <c r="DT102" s="9">
        <f t="shared" si="224"/>
        <v>1.7320508075688772</v>
      </c>
      <c r="DU102" s="10" t="e">
        <f t="shared" si="225"/>
        <v>#DIV/0!</v>
      </c>
      <c r="DV102" s="5">
        <v>1</v>
      </c>
      <c r="DW102" s="11" t="e">
        <f t="shared" si="226"/>
        <v>#DIV/0!</v>
      </c>
      <c r="DX102" s="11" t="e">
        <f t="shared" si="227"/>
        <v>#DIV/0!</v>
      </c>
      <c r="DY102" s="5">
        <v>2</v>
      </c>
      <c r="DZ102" s="12" t="e">
        <f t="shared" si="228"/>
        <v>#DIV/0!</v>
      </c>
      <c r="EA102" s="13"/>
      <c r="EB102" s="7" t="e">
        <f>CH102+DI102+DX102</f>
        <v>#DIV/0!</v>
      </c>
      <c r="EC102" s="7" t="e">
        <f>CJ102+DK102+DZ102</f>
        <v>#DIV/0!</v>
      </c>
      <c r="ED102" s="7" t="e">
        <f t="shared" si="229"/>
        <v>#DIV/0!</v>
      </c>
      <c r="EE102" s="8" t="e">
        <f t="shared" si="230"/>
        <v>#DIV/0!</v>
      </c>
      <c r="EF102" s="14" t="e">
        <f t="shared" si="231"/>
        <v>#DIV/0!</v>
      </c>
      <c r="EG102" s="31" t="e">
        <f>(ED102*EF102)</f>
        <v>#DIV/0!</v>
      </c>
      <c r="EH102" s="15" t="str">
        <f>P102</f>
        <v>mV</v>
      </c>
      <c r="EJ102" s="109">
        <v>1.8E-3</v>
      </c>
      <c r="EK102" s="110" t="str">
        <f>EH102</f>
        <v>mV</v>
      </c>
      <c r="EL102" s="111" t="e">
        <f>MAX(EJ102,EG102)</f>
        <v>#DIV/0!</v>
      </c>
      <c r="EM102" s="110" t="str">
        <f t="shared" ref="EM102" si="233">EK102</f>
        <v>mV</v>
      </c>
    </row>
    <row r="103" spans="2:143" ht="13.5" x14ac:dyDescent="0.25">
      <c r="B103" s="84"/>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86"/>
    </row>
    <row r="104" spans="2:143" ht="13.5" x14ac:dyDescent="0.25">
      <c r="B104" s="84"/>
      <c r="C104" s="69"/>
      <c r="D104" s="63"/>
      <c r="E104" s="69"/>
      <c r="F104" s="85" t="s">
        <v>142</v>
      </c>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86"/>
      <c r="BY104" s="196" t="s">
        <v>72</v>
      </c>
      <c r="BZ104" s="196"/>
      <c r="CA104" s="196"/>
      <c r="CB104" s="196"/>
      <c r="CC104" s="196"/>
      <c r="CD104" s="196"/>
      <c r="CE104" s="196"/>
      <c r="CF104" s="196"/>
      <c r="CG104" s="196"/>
      <c r="CH104" s="196"/>
      <c r="CI104" s="196"/>
      <c r="CJ104" s="196"/>
      <c r="CK104" s="16"/>
      <c r="CL104" s="196"/>
      <c r="CM104" s="196"/>
      <c r="CN104" s="196"/>
      <c r="CO104" s="196"/>
      <c r="CP104" s="196"/>
      <c r="CQ104" s="196"/>
      <c r="CR104" s="196"/>
      <c r="CS104" s="196"/>
      <c r="CT104" s="196"/>
      <c r="CU104" s="196"/>
      <c r="CV104" s="196"/>
      <c r="CW104" s="196"/>
      <c r="CX104" s="16"/>
      <c r="CY104" s="196" t="s">
        <v>34</v>
      </c>
      <c r="CZ104" s="196"/>
      <c r="DA104" s="196"/>
      <c r="DB104" s="196"/>
      <c r="DC104" s="196"/>
      <c r="DD104" s="196"/>
      <c r="DE104" s="196"/>
      <c r="DF104" s="196"/>
      <c r="DG104" s="196"/>
      <c r="DH104" s="196"/>
      <c r="DI104" s="196"/>
      <c r="DJ104" s="196"/>
      <c r="DK104" s="196"/>
      <c r="DL104" s="16"/>
      <c r="DM104" s="196" t="s">
        <v>57</v>
      </c>
      <c r="DN104" s="196"/>
      <c r="DO104" s="196"/>
      <c r="DP104" s="196"/>
      <c r="DQ104" s="196"/>
      <c r="DR104" s="196"/>
      <c r="DS104" s="196"/>
      <c r="DT104" s="196"/>
      <c r="DU104" s="196"/>
      <c r="DV104" s="196"/>
      <c r="DW104" s="196"/>
      <c r="DX104" s="196"/>
      <c r="DY104" s="196"/>
      <c r="DZ104" s="196"/>
      <c r="EB104" s="196" t="s">
        <v>60</v>
      </c>
      <c r="EC104" s="196"/>
      <c r="ED104" s="196"/>
      <c r="EE104" s="196"/>
      <c r="EF104" s="196"/>
      <c r="EG104" s="196"/>
      <c r="EH104" s="196"/>
      <c r="EJ104" s="276" t="s">
        <v>188</v>
      </c>
      <c r="EK104" s="277"/>
      <c r="EL104" s="276" t="s">
        <v>189</v>
      </c>
      <c r="EM104" s="277"/>
    </row>
    <row r="105" spans="2:143" ht="13.5" customHeight="1" x14ac:dyDescent="0.25">
      <c r="B105" s="84"/>
      <c r="C105" s="69"/>
      <c r="D105" s="63"/>
      <c r="E105" s="63"/>
      <c r="F105" s="164" t="s">
        <v>74</v>
      </c>
      <c r="G105" s="164"/>
      <c r="H105" s="164"/>
      <c r="I105" s="164"/>
      <c r="J105" s="164"/>
      <c r="K105" s="164"/>
      <c r="L105" s="164" t="s">
        <v>83</v>
      </c>
      <c r="M105" s="164"/>
      <c r="N105" s="164"/>
      <c r="O105" s="164"/>
      <c r="P105" s="164"/>
      <c r="Q105" s="164"/>
      <c r="R105" s="164"/>
      <c r="S105" s="164" t="s">
        <v>116</v>
      </c>
      <c r="T105" s="164"/>
      <c r="U105" s="164"/>
      <c r="V105" s="164"/>
      <c r="W105" s="164"/>
      <c r="X105" s="164"/>
      <c r="Y105" s="164"/>
      <c r="Z105" s="164"/>
      <c r="AA105" s="164"/>
      <c r="AB105" s="164"/>
      <c r="AC105" s="164"/>
      <c r="AD105" s="164"/>
      <c r="AE105" s="164"/>
      <c r="AF105" s="164"/>
      <c r="AG105" s="164"/>
      <c r="AH105" s="164" t="s">
        <v>128</v>
      </c>
      <c r="AI105" s="164"/>
      <c r="AJ105" s="164"/>
      <c r="AK105" s="164"/>
      <c r="AL105" s="164"/>
      <c r="AM105" s="164" t="s">
        <v>85</v>
      </c>
      <c r="AN105" s="164"/>
      <c r="AO105" s="164"/>
      <c r="AP105" s="164"/>
      <c r="AQ105" s="164"/>
      <c r="AR105" s="87"/>
      <c r="AS105" s="87"/>
      <c r="AT105" s="87"/>
      <c r="AU105" s="87"/>
      <c r="AV105" s="87"/>
      <c r="AW105" s="69"/>
      <c r="AX105" s="69"/>
      <c r="AY105" s="69"/>
      <c r="AZ105" s="86"/>
      <c r="BC105" s="198" t="s">
        <v>155</v>
      </c>
      <c r="BD105" s="198"/>
      <c r="BE105" s="198"/>
      <c r="BF105" s="198"/>
      <c r="BG105" s="198"/>
      <c r="BH105" s="198" t="s">
        <v>120</v>
      </c>
      <c r="BI105" s="198"/>
      <c r="BJ105" s="198"/>
      <c r="BK105" s="198"/>
      <c r="BL105" s="198"/>
      <c r="BM105" s="198" t="s">
        <v>121</v>
      </c>
      <c r="BN105" s="198"/>
      <c r="BO105" s="198"/>
      <c r="BP105" s="198"/>
      <c r="BQ105" s="198"/>
      <c r="BR105" s="198" t="s">
        <v>119</v>
      </c>
      <c r="BS105" s="198"/>
      <c r="BT105" s="198"/>
      <c r="BU105" s="198"/>
      <c r="BV105" s="198"/>
      <c r="BY105" s="195" t="s">
        <v>28</v>
      </c>
      <c r="BZ105" s="195" t="s">
        <v>29</v>
      </c>
      <c r="CA105" s="195" t="s">
        <v>30</v>
      </c>
      <c r="CB105" s="2" t="s">
        <v>31</v>
      </c>
      <c r="CC105" s="195" t="s">
        <v>32</v>
      </c>
      <c r="CD105" s="195" t="s">
        <v>33</v>
      </c>
      <c r="CE105" s="195" t="s">
        <v>51</v>
      </c>
      <c r="CF105" s="195" t="s">
        <v>52</v>
      </c>
      <c r="CG105" s="195" t="s">
        <v>53</v>
      </c>
      <c r="CH105" s="195" t="s">
        <v>54</v>
      </c>
      <c r="CI105" s="195" t="s">
        <v>55</v>
      </c>
      <c r="CJ105" s="195" t="s">
        <v>56</v>
      </c>
      <c r="CK105" s="17"/>
      <c r="CL105" s="195" t="s">
        <v>28</v>
      </c>
      <c r="CM105" s="195" t="s">
        <v>29</v>
      </c>
      <c r="CN105" s="195" t="s">
        <v>30</v>
      </c>
      <c r="CO105" s="2" t="s">
        <v>31</v>
      </c>
      <c r="CP105" s="195" t="s">
        <v>32</v>
      </c>
      <c r="CQ105" s="195" t="s">
        <v>33</v>
      </c>
      <c r="CR105" s="195" t="s">
        <v>51</v>
      </c>
      <c r="CS105" s="195" t="s">
        <v>52</v>
      </c>
      <c r="CT105" s="195" t="s">
        <v>53</v>
      </c>
      <c r="CU105" s="195" t="s">
        <v>54</v>
      </c>
      <c r="CV105" s="195" t="s">
        <v>55</v>
      </c>
      <c r="CW105" s="195" t="s">
        <v>56</v>
      </c>
      <c r="CX105" s="17"/>
      <c r="CY105" s="195" t="s">
        <v>34</v>
      </c>
      <c r="CZ105" s="195" t="s">
        <v>28</v>
      </c>
      <c r="DA105" s="195" t="s">
        <v>29</v>
      </c>
      <c r="DB105" s="195" t="s">
        <v>30</v>
      </c>
      <c r="DC105" s="2" t="s">
        <v>31</v>
      </c>
      <c r="DD105" s="195" t="s">
        <v>32</v>
      </c>
      <c r="DE105" s="195" t="s">
        <v>33</v>
      </c>
      <c r="DF105" s="195" t="s">
        <v>51</v>
      </c>
      <c r="DG105" s="195" t="s">
        <v>52</v>
      </c>
      <c r="DH105" s="195" t="s">
        <v>53</v>
      </c>
      <c r="DI105" s="195" t="s">
        <v>54</v>
      </c>
      <c r="DJ105" s="195" t="s">
        <v>55</v>
      </c>
      <c r="DK105" s="195" t="s">
        <v>56</v>
      </c>
      <c r="DL105" s="17"/>
      <c r="DM105" s="195" t="s">
        <v>35</v>
      </c>
      <c r="DN105" s="200" t="s">
        <v>36</v>
      </c>
      <c r="DO105" s="195" t="s">
        <v>28</v>
      </c>
      <c r="DP105" s="195" t="s">
        <v>29</v>
      </c>
      <c r="DQ105" s="195" t="s">
        <v>30</v>
      </c>
      <c r="DR105" s="2" t="s">
        <v>31</v>
      </c>
      <c r="DS105" s="195" t="s">
        <v>32</v>
      </c>
      <c r="DT105" s="195" t="s">
        <v>33</v>
      </c>
      <c r="DU105" s="195" t="s">
        <v>51</v>
      </c>
      <c r="DV105" s="195" t="s">
        <v>52</v>
      </c>
      <c r="DW105" s="195" t="s">
        <v>53</v>
      </c>
      <c r="DX105" s="195" t="s">
        <v>54</v>
      </c>
      <c r="DY105" s="195" t="s">
        <v>55</v>
      </c>
      <c r="DZ105" s="195" t="s">
        <v>56</v>
      </c>
      <c r="EA105" s="3"/>
      <c r="EB105" s="54" t="s">
        <v>58</v>
      </c>
      <c r="EC105" s="54" t="s">
        <v>37</v>
      </c>
      <c r="ED105" s="54" t="s">
        <v>38</v>
      </c>
      <c r="EE105" s="4" t="s">
        <v>39</v>
      </c>
      <c r="EF105" s="54" t="s">
        <v>61</v>
      </c>
      <c r="EG105" s="195" t="s">
        <v>40</v>
      </c>
      <c r="EH105" s="195"/>
      <c r="EJ105" s="278"/>
      <c r="EK105" s="279"/>
      <c r="EL105" s="278"/>
      <c r="EM105" s="279"/>
    </row>
    <row r="106" spans="2:143" ht="13.5" x14ac:dyDescent="0.25">
      <c r="B106" s="84"/>
      <c r="C106" s="69"/>
      <c r="D106" s="63"/>
      <c r="E106" s="63"/>
      <c r="F106" s="164"/>
      <c r="G106" s="164"/>
      <c r="H106" s="164"/>
      <c r="I106" s="164"/>
      <c r="J106" s="164"/>
      <c r="K106" s="164"/>
      <c r="L106" s="164"/>
      <c r="M106" s="164"/>
      <c r="N106" s="164"/>
      <c r="O106" s="164"/>
      <c r="P106" s="164"/>
      <c r="Q106" s="164"/>
      <c r="R106" s="164"/>
      <c r="S106" s="164">
        <v>1</v>
      </c>
      <c r="T106" s="164"/>
      <c r="U106" s="164"/>
      <c r="V106" s="164"/>
      <c r="W106" s="164"/>
      <c r="X106" s="164">
        <v>2</v>
      </c>
      <c r="Y106" s="164"/>
      <c r="Z106" s="164"/>
      <c r="AA106" s="164"/>
      <c r="AB106" s="164"/>
      <c r="AC106" s="164">
        <v>3</v>
      </c>
      <c r="AD106" s="164"/>
      <c r="AE106" s="164"/>
      <c r="AF106" s="164"/>
      <c r="AG106" s="164"/>
      <c r="AH106" s="164"/>
      <c r="AI106" s="164"/>
      <c r="AJ106" s="164"/>
      <c r="AK106" s="164"/>
      <c r="AL106" s="164"/>
      <c r="AM106" s="164"/>
      <c r="AN106" s="164"/>
      <c r="AO106" s="164"/>
      <c r="AP106" s="164"/>
      <c r="AQ106" s="164"/>
      <c r="AR106" s="87"/>
      <c r="AS106" s="87"/>
      <c r="AT106" s="87"/>
      <c r="AU106" s="87"/>
      <c r="AV106" s="87"/>
      <c r="AW106" s="69"/>
      <c r="AX106" s="69"/>
      <c r="AY106" s="69"/>
      <c r="AZ106" s="86"/>
      <c r="BC106" s="198"/>
      <c r="BD106" s="198"/>
      <c r="BE106" s="198"/>
      <c r="BF106" s="198"/>
      <c r="BG106" s="198"/>
      <c r="BH106" s="198"/>
      <c r="BI106" s="198"/>
      <c r="BJ106" s="198"/>
      <c r="BK106" s="198"/>
      <c r="BL106" s="198"/>
      <c r="BM106" s="198"/>
      <c r="BN106" s="198"/>
      <c r="BO106" s="198"/>
      <c r="BP106" s="198"/>
      <c r="BQ106" s="198"/>
      <c r="BR106" s="198"/>
      <c r="BS106" s="198"/>
      <c r="BT106" s="198"/>
      <c r="BU106" s="198"/>
      <c r="BV106" s="198"/>
      <c r="BY106" s="195"/>
      <c r="BZ106" s="195"/>
      <c r="CA106" s="195"/>
      <c r="CB106" s="54" t="s">
        <v>41</v>
      </c>
      <c r="CC106" s="195"/>
      <c r="CD106" s="195"/>
      <c r="CE106" s="195"/>
      <c r="CF106" s="195"/>
      <c r="CG106" s="195"/>
      <c r="CH106" s="195"/>
      <c r="CI106" s="195"/>
      <c r="CJ106" s="195"/>
      <c r="CK106" s="17"/>
      <c r="CL106" s="195"/>
      <c r="CM106" s="195"/>
      <c r="CN106" s="195"/>
      <c r="CO106" s="54" t="s">
        <v>41</v>
      </c>
      <c r="CP106" s="195"/>
      <c r="CQ106" s="195"/>
      <c r="CR106" s="195"/>
      <c r="CS106" s="195"/>
      <c r="CT106" s="195"/>
      <c r="CU106" s="195"/>
      <c r="CV106" s="195"/>
      <c r="CW106" s="195"/>
      <c r="CX106" s="17"/>
      <c r="CY106" s="195"/>
      <c r="CZ106" s="195"/>
      <c r="DA106" s="195"/>
      <c r="DB106" s="195"/>
      <c r="DC106" s="54" t="s">
        <v>41</v>
      </c>
      <c r="DD106" s="195"/>
      <c r="DE106" s="195"/>
      <c r="DF106" s="195"/>
      <c r="DG106" s="195"/>
      <c r="DH106" s="195"/>
      <c r="DI106" s="195"/>
      <c r="DJ106" s="195"/>
      <c r="DK106" s="195"/>
      <c r="DL106" s="17"/>
      <c r="DM106" s="195"/>
      <c r="DN106" s="200"/>
      <c r="DO106" s="195"/>
      <c r="DP106" s="195"/>
      <c r="DQ106" s="195"/>
      <c r="DR106" s="54" t="s">
        <v>41</v>
      </c>
      <c r="DS106" s="195"/>
      <c r="DT106" s="195"/>
      <c r="DU106" s="195"/>
      <c r="DV106" s="195"/>
      <c r="DW106" s="195"/>
      <c r="DX106" s="195"/>
      <c r="DY106" s="195"/>
      <c r="DZ106" s="195"/>
      <c r="EA106" s="3"/>
      <c r="EB106" s="54" t="s">
        <v>54</v>
      </c>
      <c r="EC106" s="54" t="s">
        <v>59</v>
      </c>
      <c r="ED106" s="54" t="s">
        <v>42</v>
      </c>
      <c r="EE106" s="4" t="s">
        <v>43</v>
      </c>
      <c r="EF106" s="54" t="s">
        <v>44</v>
      </c>
      <c r="EG106" s="195" t="s">
        <v>45</v>
      </c>
      <c r="EH106" s="195"/>
      <c r="EJ106" s="280"/>
      <c r="EK106" s="281"/>
      <c r="EL106" s="280"/>
      <c r="EM106" s="281"/>
    </row>
    <row r="107" spans="2:143" ht="13.5" x14ac:dyDescent="0.25">
      <c r="B107" s="84"/>
      <c r="C107" s="69"/>
      <c r="D107" s="69"/>
      <c r="E107" s="69"/>
      <c r="F107" s="153" t="s">
        <v>151</v>
      </c>
      <c r="G107" s="153"/>
      <c r="H107" s="153"/>
      <c r="I107" s="153"/>
      <c r="J107" s="153"/>
      <c r="K107" s="153"/>
      <c r="L107" s="154">
        <v>1.9</v>
      </c>
      <c r="M107" s="155"/>
      <c r="N107" s="155"/>
      <c r="O107" s="155"/>
      <c r="P107" s="161" t="s">
        <v>77</v>
      </c>
      <c r="Q107" s="161"/>
      <c r="R107" s="162"/>
      <c r="S107" s="163"/>
      <c r="T107" s="163"/>
      <c r="U107" s="163"/>
      <c r="V107" s="163"/>
      <c r="W107" s="163"/>
      <c r="X107" s="163"/>
      <c r="Y107" s="163"/>
      <c r="Z107" s="163"/>
      <c r="AA107" s="163"/>
      <c r="AB107" s="163"/>
      <c r="AC107" s="163"/>
      <c r="AD107" s="163"/>
      <c r="AE107" s="163"/>
      <c r="AF107" s="163"/>
      <c r="AG107" s="163"/>
      <c r="AH107" s="262" t="e">
        <f t="shared" ref="AH107" si="234">AVERAGE(S107:AG107)</f>
        <v>#DIV/0!</v>
      </c>
      <c r="AI107" s="163"/>
      <c r="AJ107" s="163"/>
      <c r="AK107" s="163"/>
      <c r="AL107" s="163"/>
      <c r="AM107" s="163" t="e">
        <f>AH107-L107</f>
        <v>#DIV/0!</v>
      </c>
      <c r="AN107" s="163"/>
      <c r="AO107" s="163"/>
      <c r="AP107" s="163"/>
      <c r="AQ107" s="163"/>
      <c r="AR107" s="88"/>
      <c r="AS107" s="88"/>
      <c r="AT107" s="88"/>
      <c r="AU107" s="88"/>
      <c r="AV107" s="88"/>
      <c r="AW107" s="69"/>
      <c r="AX107" s="69"/>
      <c r="AY107" s="69"/>
      <c r="AZ107" s="86"/>
      <c r="BC107" s="192" t="e">
        <f>(AH107*0.9%)+(2*0.001)</f>
        <v>#DIV/0!</v>
      </c>
      <c r="BD107" s="192"/>
      <c r="BE107" s="192"/>
      <c r="BF107" s="192"/>
      <c r="BG107" s="192"/>
      <c r="BH107" s="192" t="e">
        <f>L107+BC107</f>
        <v>#DIV/0!</v>
      </c>
      <c r="BI107" s="192"/>
      <c r="BJ107" s="192"/>
      <c r="BK107" s="192"/>
      <c r="BL107" s="192"/>
      <c r="BM107" s="192" t="e">
        <f>L107-BC107</f>
        <v>#DIV/0!</v>
      </c>
      <c r="BN107" s="192"/>
      <c r="BO107" s="192"/>
      <c r="BP107" s="192"/>
      <c r="BQ107" s="192"/>
      <c r="BR107" s="197" t="e">
        <f t="shared" ref="BR107" si="235">IF(AND(AH107&lt;=BH107,AH107&gt;=BM107),"PASS","FAIL")</f>
        <v>#DIV/0!</v>
      </c>
      <c r="BS107" s="197"/>
      <c r="BT107" s="197"/>
      <c r="BU107" s="197"/>
      <c r="BV107" s="197"/>
      <c r="BY107" s="5" t="s">
        <v>46</v>
      </c>
      <c r="BZ107" s="5" t="s">
        <v>47</v>
      </c>
      <c r="CA107" s="5" t="s">
        <v>48</v>
      </c>
      <c r="CB107" s="8">
        <v>8.3000000000000002E-6</v>
      </c>
      <c r="CC107" s="6" t="str">
        <f>P107</f>
        <v>V</v>
      </c>
      <c r="CD107" s="5">
        <v>2</v>
      </c>
      <c r="CE107" s="7">
        <f t="shared" ref="CE107" si="236">CB107/CD107</f>
        <v>4.1500000000000001E-6</v>
      </c>
      <c r="CF107" s="5">
        <v>1</v>
      </c>
      <c r="CG107" s="7">
        <f t="shared" ref="CG107" si="237">CE107*CF107</f>
        <v>4.1500000000000001E-6</v>
      </c>
      <c r="CH107" s="7">
        <f t="shared" ref="CH107" si="238">CG107^2</f>
        <v>1.7222500000000002E-11</v>
      </c>
      <c r="CI107" s="5">
        <v>200</v>
      </c>
      <c r="CJ107" s="7">
        <f t="shared" ref="CJ107" si="239">CG107^4/CI107</f>
        <v>1.4830725312500004E-24</v>
      </c>
      <c r="CK107" s="18"/>
      <c r="CL107" s="5" t="s">
        <v>174</v>
      </c>
      <c r="CM107" s="5" t="s">
        <v>49</v>
      </c>
      <c r="CN107" s="5" t="s">
        <v>48</v>
      </c>
      <c r="CO107" s="8">
        <v>0</v>
      </c>
      <c r="CP107" s="6" t="str">
        <f>CC107</f>
        <v>V</v>
      </c>
      <c r="CQ107" s="9">
        <f t="shared" ref="CQ107" si="240">SQRT(3)</f>
        <v>1.7320508075688772</v>
      </c>
      <c r="CR107" s="7">
        <f t="shared" ref="CR107" si="241">CO107/CQ107</f>
        <v>0</v>
      </c>
      <c r="CS107" s="5">
        <v>1</v>
      </c>
      <c r="CT107" s="7">
        <f t="shared" ref="CT107" si="242">CR107*CS107</f>
        <v>0</v>
      </c>
      <c r="CU107" s="7">
        <f t="shared" ref="CU107" si="243">CT107^2</f>
        <v>0</v>
      </c>
      <c r="CV107" s="5">
        <v>200</v>
      </c>
      <c r="CW107" s="7">
        <f t="shared" ref="CW107" si="244">CT107^4/CV107</f>
        <v>0</v>
      </c>
      <c r="CX107" s="18"/>
      <c r="CY107" s="5">
        <v>1E-3</v>
      </c>
      <c r="CZ107" s="5" t="s">
        <v>80</v>
      </c>
      <c r="DA107" s="5" t="s">
        <v>49</v>
      </c>
      <c r="DB107" s="5" t="s">
        <v>48</v>
      </c>
      <c r="DC107" s="8">
        <f t="shared" ref="DC107" si="245">CY107/2</f>
        <v>5.0000000000000001E-4</v>
      </c>
      <c r="DD107" s="6" t="str">
        <f>P107</f>
        <v>V</v>
      </c>
      <c r="DE107" s="9">
        <f t="shared" ref="DE107" si="246">SQRT(3)</f>
        <v>1.7320508075688772</v>
      </c>
      <c r="DF107" s="7">
        <f t="shared" ref="DF107" si="247">DC107/DE107</f>
        <v>2.886751345948129E-4</v>
      </c>
      <c r="DG107" s="5">
        <v>1</v>
      </c>
      <c r="DH107" s="7">
        <f t="shared" ref="DH107" si="248">DF107*DG107</f>
        <v>2.886751345948129E-4</v>
      </c>
      <c r="DI107" s="7">
        <f t="shared" ref="DI107" si="249">DH107^2</f>
        <v>8.3333333333333338E-8</v>
      </c>
      <c r="DJ107" s="5">
        <v>200</v>
      </c>
      <c r="DK107" s="7">
        <f t="shared" ref="DK107" si="250">DH107^4/DJ107</f>
        <v>3.4722222222222225E-17</v>
      </c>
      <c r="DL107" s="18"/>
      <c r="DM107" s="5">
        <v>3</v>
      </c>
      <c r="DN107" s="10" t="e">
        <f>STDEV(S107:AG107)</f>
        <v>#DIV/0!</v>
      </c>
      <c r="DO107" s="5" t="s">
        <v>50</v>
      </c>
      <c r="DP107" s="5" t="s">
        <v>47</v>
      </c>
      <c r="DQ107" s="5" t="s">
        <v>27</v>
      </c>
      <c r="DR107" s="10" t="e">
        <f t="shared" ref="DR107" si="251">DN107</f>
        <v>#DIV/0!</v>
      </c>
      <c r="DS107" s="6" t="str">
        <f>P107</f>
        <v>V</v>
      </c>
      <c r="DT107" s="9">
        <f t="shared" ref="DT107" si="252">SQRT(DM107)</f>
        <v>1.7320508075688772</v>
      </c>
      <c r="DU107" s="10" t="e">
        <f t="shared" ref="DU107" si="253">DR107/DT107</f>
        <v>#DIV/0!</v>
      </c>
      <c r="DV107" s="5">
        <v>1</v>
      </c>
      <c r="DW107" s="11" t="e">
        <f t="shared" ref="DW107" si="254">DU107*DV107</f>
        <v>#DIV/0!</v>
      </c>
      <c r="DX107" s="11" t="e">
        <f t="shared" ref="DX107" si="255">DW107^2</f>
        <v>#DIV/0!</v>
      </c>
      <c r="DY107" s="5">
        <v>2</v>
      </c>
      <c r="DZ107" s="12" t="e">
        <f t="shared" ref="DZ107" si="256">DW107^4/DY107</f>
        <v>#DIV/0!</v>
      </c>
      <c r="EA107" s="13"/>
      <c r="EB107" s="7" t="e">
        <f>CH107+DI107+DX107</f>
        <v>#DIV/0!</v>
      </c>
      <c r="EC107" s="7" t="e">
        <f>CJ107+DK107+DZ107</f>
        <v>#DIV/0!</v>
      </c>
      <c r="ED107" s="7" t="e">
        <f t="shared" ref="ED107" si="257">SQRT(EB107)</f>
        <v>#DIV/0!</v>
      </c>
      <c r="EE107" s="8" t="e">
        <f t="shared" ref="EE107" si="258">(ED107^4)/EC107</f>
        <v>#DIV/0!</v>
      </c>
      <c r="EF107" s="14" t="e">
        <f t="shared" ref="EF107" si="259">ROUND(TINV(0.05,EE107),0)</f>
        <v>#DIV/0!</v>
      </c>
      <c r="EG107" s="33" t="e">
        <f>(ED107*EF107)</f>
        <v>#DIV/0!</v>
      </c>
      <c r="EH107" s="15" t="str">
        <f>P107</f>
        <v>V</v>
      </c>
      <c r="EJ107" s="109">
        <v>1.7999999999999999E-6</v>
      </c>
      <c r="EK107" s="110" t="str">
        <f>EH107</f>
        <v>V</v>
      </c>
      <c r="EL107" s="111" t="e">
        <f>MAX(EJ107,EG107)</f>
        <v>#DIV/0!</v>
      </c>
      <c r="EM107" s="110" t="str">
        <f t="shared" ref="EM107" si="260">EK107</f>
        <v>V</v>
      </c>
    </row>
    <row r="108" spans="2:143" ht="13.5" x14ac:dyDescent="0.25">
      <c r="B108" s="84"/>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86"/>
    </row>
    <row r="109" spans="2:143" ht="13.5" x14ac:dyDescent="0.25">
      <c r="B109" s="84"/>
      <c r="C109" s="69"/>
      <c r="D109" s="63"/>
      <c r="E109" s="69"/>
      <c r="F109" s="85" t="s">
        <v>160</v>
      </c>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86"/>
      <c r="BY109" s="196" t="s">
        <v>72</v>
      </c>
      <c r="BZ109" s="196"/>
      <c r="CA109" s="196"/>
      <c r="CB109" s="196"/>
      <c r="CC109" s="196"/>
      <c r="CD109" s="196"/>
      <c r="CE109" s="196"/>
      <c r="CF109" s="196"/>
      <c r="CG109" s="196"/>
      <c r="CH109" s="196"/>
      <c r="CI109" s="196"/>
      <c r="CJ109" s="196"/>
      <c r="CK109" s="16"/>
      <c r="CL109" s="196"/>
      <c r="CM109" s="196"/>
      <c r="CN109" s="196"/>
      <c r="CO109" s="196"/>
      <c r="CP109" s="196"/>
      <c r="CQ109" s="196"/>
      <c r="CR109" s="196"/>
      <c r="CS109" s="196"/>
      <c r="CT109" s="196"/>
      <c r="CU109" s="196"/>
      <c r="CV109" s="196"/>
      <c r="CW109" s="196"/>
      <c r="CX109" s="16"/>
      <c r="CY109" s="196" t="s">
        <v>34</v>
      </c>
      <c r="CZ109" s="196"/>
      <c r="DA109" s="196"/>
      <c r="DB109" s="196"/>
      <c r="DC109" s="196"/>
      <c r="DD109" s="196"/>
      <c r="DE109" s="196"/>
      <c r="DF109" s="196"/>
      <c r="DG109" s="196"/>
      <c r="DH109" s="196"/>
      <c r="DI109" s="196"/>
      <c r="DJ109" s="196"/>
      <c r="DK109" s="196"/>
      <c r="DL109" s="16"/>
      <c r="DM109" s="196" t="s">
        <v>57</v>
      </c>
      <c r="DN109" s="196"/>
      <c r="DO109" s="196"/>
      <c r="DP109" s="196"/>
      <c r="DQ109" s="196"/>
      <c r="DR109" s="196"/>
      <c r="DS109" s="196"/>
      <c r="DT109" s="196"/>
      <c r="DU109" s="196"/>
      <c r="DV109" s="196"/>
      <c r="DW109" s="196"/>
      <c r="DX109" s="196"/>
      <c r="DY109" s="196"/>
      <c r="DZ109" s="196"/>
      <c r="EB109" s="196" t="s">
        <v>60</v>
      </c>
      <c r="EC109" s="196"/>
      <c r="ED109" s="196"/>
      <c r="EE109" s="196"/>
      <c r="EF109" s="196"/>
      <c r="EG109" s="196"/>
      <c r="EH109" s="196"/>
      <c r="EJ109" s="276" t="s">
        <v>188</v>
      </c>
      <c r="EK109" s="277"/>
      <c r="EL109" s="276" t="s">
        <v>189</v>
      </c>
      <c r="EM109" s="277"/>
    </row>
    <row r="110" spans="2:143" ht="13.5" customHeight="1" x14ac:dyDescent="0.25">
      <c r="B110" s="84"/>
      <c r="C110" s="69"/>
      <c r="D110" s="63"/>
      <c r="E110" s="63"/>
      <c r="F110" s="164" t="s">
        <v>74</v>
      </c>
      <c r="G110" s="164"/>
      <c r="H110" s="164"/>
      <c r="I110" s="164"/>
      <c r="J110" s="164"/>
      <c r="K110" s="164"/>
      <c r="L110" s="164" t="s">
        <v>83</v>
      </c>
      <c r="M110" s="164"/>
      <c r="N110" s="164"/>
      <c r="O110" s="164"/>
      <c r="P110" s="164"/>
      <c r="Q110" s="164"/>
      <c r="R110" s="164"/>
      <c r="S110" s="164" t="s">
        <v>116</v>
      </c>
      <c r="T110" s="164"/>
      <c r="U110" s="164"/>
      <c r="V110" s="164"/>
      <c r="W110" s="164"/>
      <c r="X110" s="164"/>
      <c r="Y110" s="164"/>
      <c r="Z110" s="164"/>
      <c r="AA110" s="164"/>
      <c r="AB110" s="164"/>
      <c r="AC110" s="164"/>
      <c r="AD110" s="164"/>
      <c r="AE110" s="164"/>
      <c r="AF110" s="164"/>
      <c r="AG110" s="164"/>
      <c r="AH110" s="164" t="s">
        <v>128</v>
      </c>
      <c r="AI110" s="164"/>
      <c r="AJ110" s="164"/>
      <c r="AK110" s="164"/>
      <c r="AL110" s="164"/>
      <c r="AM110" s="164" t="s">
        <v>85</v>
      </c>
      <c r="AN110" s="164"/>
      <c r="AO110" s="164"/>
      <c r="AP110" s="164"/>
      <c r="AQ110" s="164"/>
      <c r="AR110" s="87"/>
      <c r="AS110" s="87"/>
      <c r="AT110" s="87"/>
      <c r="AU110" s="87"/>
      <c r="AV110" s="87"/>
      <c r="AW110" s="69"/>
      <c r="AX110" s="69"/>
      <c r="AY110" s="69"/>
      <c r="AZ110" s="86"/>
      <c r="BC110" s="198" t="s">
        <v>155</v>
      </c>
      <c r="BD110" s="198"/>
      <c r="BE110" s="198"/>
      <c r="BF110" s="198"/>
      <c r="BG110" s="198"/>
      <c r="BH110" s="198" t="s">
        <v>120</v>
      </c>
      <c r="BI110" s="198"/>
      <c r="BJ110" s="198"/>
      <c r="BK110" s="198"/>
      <c r="BL110" s="198"/>
      <c r="BM110" s="198" t="s">
        <v>121</v>
      </c>
      <c r="BN110" s="198"/>
      <c r="BO110" s="198"/>
      <c r="BP110" s="198"/>
      <c r="BQ110" s="198"/>
      <c r="BR110" s="198" t="s">
        <v>119</v>
      </c>
      <c r="BS110" s="198"/>
      <c r="BT110" s="198"/>
      <c r="BU110" s="198"/>
      <c r="BV110" s="198"/>
      <c r="BY110" s="195" t="s">
        <v>28</v>
      </c>
      <c r="BZ110" s="195" t="s">
        <v>29</v>
      </c>
      <c r="CA110" s="195" t="s">
        <v>30</v>
      </c>
      <c r="CB110" s="2" t="s">
        <v>31</v>
      </c>
      <c r="CC110" s="195" t="s">
        <v>32</v>
      </c>
      <c r="CD110" s="195" t="s">
        <v>33</v>
      </c>
      <c r="CE110" s="195" t="s">
        <v>51</v>
      </c>
      <c r="CF110" s="195" t="s">
        <v>52</v>
      </c>
      <c r="CG110" s="195" t="s">
        <v>53</v>
      </c>
      <c r="CH110" s="195" t="s">
        <v>54</v>
      </c>
      <c r="CI110" s="195" t="s">
        <v>55</v>
      </c>
      <c r="CJ110" s="195" t="s">
        <v>56</v>
      </c>
      <c r="CK110" s="17"/>
      <c r="CL110" s="195" t="s">
        <v>28</v>
      </c>
      <c r="CM110" s="195" t="s">
        <v>29</v>
      </c>
      <c r="CN110" s="195" t="s">
        <v>30</v>
      </c>
      <c r="CO110" s="2" t="s">
        <v>31</v>
      </c>
      <c r="CP110" s="195" t="s">
        <v>32</v>
      </c>
      <c r="CQ110" s="195" t="s">
        <v>33</v>
      </c>
      <c r="CR110" s="195" t="s">
        <v>51</v>
      </c>
      <c r="CS110" s="195" t="s">
        <v>52</v>
      </c>
      <c r="CT110" s="195" t="s">
        <v>53</v>
      </c>
      <c r="CU110" s="195" t="s">
        <v>54</v>
      </c>
      <c r="CV110" s="195" t="s">
        <v>55</v>
      </c>
      <c r="CW110" s="195" t="s">
        <v>56</v>
      </c>
      <c r="CX110" s="17"/>
      <c r="CY110" s="195" t="s">
        <v>34</v>
      </c>
      <c r="CZ110" s="195" t="s">
        <v>28</v>
      </c>
      <c r="DA110" s="195" t="s">
        <v>29</v>
      </c>
      <c r="DB110" s="195" t="s">
        <v>30</v>
      </c>
      <c r="DC110" s="2" t="s">
        <v>31</v>
      </c>
      <c r="DD110" s="195" t="s">
        <v>32</v>
      </c>
      <c r="DE110" s="195" t="s">
        <v>33</v>
      </c>
      <c r="DF110" s="195" t="s">
        <v>51</v>
      </c>
      <c r="DG110" s="195" t="s">
        <v>52</v>
      </c>
      <c r="DH110" s="195" t="s">
        <v>53</v>
      </c>
      <c r="DI110" s="195" t="s">
        <v>54</v>
      </c>
      <c r="DJ110" s="195" t="s">
        <v>55</v>
      </c>
      <c r="DK110" s="195" t="s">
        <v>56</v>
      </c>
      <c r="DL110" s="17"/>
      <c r="DM110" s="195" t="s">
        <v>35</v>
      </c>
      <c r="DN110" s="200" t="s">
        <v>36</v>
      </c>
      <c r="DO110" s="195" t="s">
        <v>28</v>
      </c>
      <c r="DP110" s="195" t="s">
        <v>29</v>
      </c>
      <c r="DQ110" s="195" t="s">
        <v>30</v>
      </c>
      <c r="DR110" s="2" t="s">
        <v>31</v>
      </c>
      <c r="DS110" s="195" t="s">
        <v>32</v>
      </c>
      <c r="DT110" s="195" t="s">
        <v>33</v>
      </c>
      <c r="DU110" s="195" t="s">
        <v>51</v>
      </c>
      <c r="DV110" s="195" t="s">
        <v>52</v>
      </c>
      <c r="DW110" s="195" t="s">
        <v>53</v>
      </c>
      <c r="DX110" s="195" t="s">
        <v>54</v>
      </c>
      <c r="DY110" s="195" t="s">
        <v>55</v>
      </c>
      <c r="DZ110" s="195" t="s">
        <v>56</v>
      </c>
      <c r="EA110" s="3"/>
      <c r="EB110" s="54" t="s">
        <v>58</v>
      </c>
      <c r="EC110" s="54" t="s">
        <v>37</v>
      </c>
      <c r="ED110" s="54" t="s">
        <v>38</v>
      </c>
      <c r="EE110" s="4" t="s">
        <v>39</v>
      </c>
      <c r="EF110" s="54" t="s">
        <v>61</v>
      </c>
      <c r="EG110" s="195" t="s">
        <v>40</v>
      </c>
      <c r="EH110" s="195"/>
      <c r="EJ110" s="278"/>
      <c r="EK110" s="279"/>
      <c r="EL110" s="278"/>
      <c r="EM110" s="279"/>
    </row>
    <row r="111" spans="2:143" ht="13.5" x14ac:dyDescent="0.25">
      <c r="B111" s="84"/>
      <c r="C111" s="69"/>
      <c r="D111" s="63"/>
      <c r="E111" s="63"/>
      <c r="F111" s="164"/>
      <c r="G111" s="164"/>
      <c r="H111" s="164"/>
      <c r="I111" s="164"/>
      <c r="J111" s="164"/>
      <c r="K111" s="164"/>
      <c r="L111" s="164"/>
      <c r="M111" s="164"/>
      <c r="N111" s="164"/>
      <c r="O111" s="164"/>
      <c r="P111" s="164"/>
      <c r="Q111" s="164"/>
      <c r="R111" s="164"/>
      <c r="S111" s="164">
        <v>1</v>
      </c>
      <c r="T111" s="164"/>
      <c r="U111" s="164"/>
      <c r="V111" s="164"/>
      <c r="W111" s="164"/>
      <c r="X111" s="164">
        <v>2</v>
      </c>
      <c r="Y111" s="164"/>
      <c r="Z111" s="164"/>
      <c r="AA111" s="164"/>
      <c r="AB111" s="164"/>
      <c r="AC111" s="164">
        <v>3</v>
      </c>
      <c r="AD111" s="164"/>
      <c r="AE111" s="164"/>
      <c r="AF111" s="164"/>
      <c r="AG111" s="164"/>
      <c r="AH111" s="164"/>
      <c r="AI111" s="164"/>
      <c r="AJ111" s="164"/>
      <c r="AK111" s="164"/>
      <c r="AL111" s="164"/>
      <c r="AM111" s="164"/>
      <c r="AN111" s="164"/>
      <c r="AO111" s="164"/>
      <c r="AP111" s="164"/>
      <c r="AQ111" s="164"/>
      <c r="AR111" s="87"/>
      <c r="AS111" s="87"/>
      <c r="AT111" s="87"/>
      <c r="AU111" s="87"/>
      <c r="AV111" s="87"/>
      <c r="AW111" s="69"/>
      <c r="AX111" s="69"/>
      <c r="AY111" s="69"/>
      <c r="AZ111" s="86"/>
      <c r="BC111" s="198"/>
      <c r="BD111" s="198"/>
      <c r="BE111" s="198"/>
      <c r="BF111" s="198"/>
      <c r="BG111" s="198"/>
      <c r="BH111" s="198"/>
      <c r="BI111" s="198"/>
      <c r="BJ111" s="198"/>
      <c r="BK111" s="198"/>
      <c r="BL111" s="198"/>
      <c r="BM111" s="198"/>
      <c r="BN111" s="198"/>
      <c r="BO111" s="198"/>
      <c r="BP111" s="198"/>
      <c r="BQ111" s="198"/>
      <c r="BR111" s="198"/>
      <c r="BS111" s="198"/>
      <c r="BT111" s="198"/>
      <c r="BU111" s="198"/>
      <c r="BV111" s="198"/>
      <c r="BY111" s="195"/>
      <c r="BZ111" s="195"/>
      <c r="CA111" s="195"/>
      <c r="CB111" s="54" t="s">
        <v>41</v>
      </c>
      <c r="CC111" s="195"/>
      <c r="CD111" s="195"/>
      <c r="CE111" s="195"/>
      <c r="CF111" s="195"/>
      <c r="CG111" s="195"/>
      <c r="CH111" s="195"/>
      <c r="CI111" s="195"/>
      <c r="CJ111" s="195"/>
      <c r="CK111" s="17"/>
      <c r="CL111" s="195"/>
      <c r="CM111" s="195"/>
      <c r="CN111" s="195"/>
      <c r="CO111" s="54" t="s">
        <v>41</v>
      </c>
      <c r="CP111" s="195"/>
      <c r="CQ111" s="195"/>
      <c r="CR111" s="195"/>
      <c r="CS111" s="195"/>
      <c r="CT111" s="195"/>
      <c r="CU111" s="195"/>
      <c r="CV111" s="195"/>
      <c r="CW111" s="195"/>
      <c r="CX111" s="17"/>
      <c r="CY111" s="195"/>
      <c r="CZ111" s="195"/>
      <c r="DA111" s="195"/>
      <c r="DB111" s="195"/>
      <c r="DC111" s="54" t="s">
        <v>41</v>
      </c>
      <c r="DD111" s="195"/>
      <c r="DE111" s="195"/>
      <c r="DF111" s="195"/>
      <c r="DG111" s="195"/>
      <c r="DH111" s="195"/>
      <c r="DI111" s="195"/>
      <c r="DJ111" s="195"/>
      <c r="DK111" s="195"/>
      <c r="DL111" s="17"/>
      <c r="DM111" s="195"/>
      <c r="DN111" s="200"/>
      <c r="DO111" s="195"/>
      <c r="DP111" s="195"/>
      <c r="DQ111" s="195"/>
      <c r="DR111" s="54" t="s">
        <v>41</v>
      </c>
      <c r="DS111" s="195"/>
      <c r="DT111" s="195"/>
      <c r="DU111" s="195"/>
      <c r="DV111" s="195"/>
      <c r="DW111" s="195"/>
      <c r="DX111" s="195"/>
      <c r="DY111" s="195"/>
      <c r="DZ111" s="195"/>
      <c r="EA111" s="3"/>
      <c r="EB111" s="54" t="s">
        <v>54</v>
      </c>
      <c r="EC111" s="54" t="s">
        <v>59</v>
      </c>
      <c r="ED111" s="54" t="s">
        <v>42</v>
      </c>
      <c r="EE111" s="4" t="s">
        <v>43</v>
      </c>
      <c r="EF111" s="54" t="s">
        <v>44</v>
      </c>
      <c r="EG111" s="195" t="s">
        <v>45</v>
      </c>
      <c r="EH111" s="195"/>
      <c r="EJ111" s="280"/>
      <c r="EK111" s="281"/>
      <c r="EL111" s="280"/>
      <c r="EM111" s="281"/>
    </row>
    <row r="112" spans="2:143" ht="13.5" x14ac:dyDescent="0.25">
      <c r="B112" s="84"/>
      <c r="C112" s="69"/>
      <c r="D112" s="69"/>
      <c r="E112" s="69"/>
      <c r="F112" s="153" t="s">
        <v>170</v>
      </c>
      <c r="G112" s="153"/>
      <c r="H112" s="153"/>
      <c r="I112" s="153"/>
      <c r="J112" s="153"/>
      <c r="K112" s="153"/>
      <c r="L112" s="154" t="s">
        <v>180</v>
      </c>
      <c r="M112" s="155"/>
      <c r="N112" s="155"/>
      <c r="O112" s="155"/>
      <c r="P112" s="161" t="s">
        <v>134</v>
      </c>
      <c r="Q112" s="161"/>
      <c r="R112" s="162"/>
      <c r="S112" s="263"/>
      <c r="T112" s="263"/>
      <c r="U112" s="263"/>
      <c r="V112" s="263"/>
      <c r="W112" s="263"/>
      <c r="X112" s="263"/>
      <c r="Y112" s="263"/>
      <c r="Z112" s="263"/>
      <c r="AA112" s="263"/>
      <c r="AB112" s="263"/>
      <c r="AC112" s="263"/>
      <c r="AD112" s="263"/>
      <c r="AE112" s="263"/>
      <c r="AF112" s="263"/>
      <c r="AG112" s="263"/>
      <c r="AH112" s="264" t="e">
        <f t="shared" ref="AH112" si="261">AVERAGE(S112:AG112)</f>
        <v>#DIV/0!</v>
      </c>
      <c r="AI112" s="263"/>
      <c r="AJ112" s="263"/>
      <c r="AK112" s="263"/>
      <c r="AL112" s="263"/>
      <c r="AM112" s="263" t="e">
        <f>AH112-0</f>
        <v>#DIV/0!</v>
      </c>
      <c r="AN112" s="263"/>
      <c r="AO112" s="263"/>
      <c r="AP112" s="263"/>
      <c r="AQ112" s="263"/>
      <c r="AR112" s="97"/>
      <c r="AS112" s="97"/>
      <c r="AT112" s="97"/>
      <c r="AU112" s="97"/>
      <c r="AV112" s="97"/>
      <c r="AW112" s="69"/>
      <c r="AX112" s="69"/>
      <c r="AY112" s="69"/>
      <c r="AZ112" s="86"/>
      <c r="BC112" s="265" t="e">
        <f>(AH112*1.9%)+(2*1)</f>
        <v>#DIV/0!</v>
      </c>
      <c r="BD112" s="265"/>
      <c r="BE112" s="265"/>
      <c r="BF112" s="265"/>
      <c r="BG112" s="265"/>
      <c r="BH112" s="265" t="e">
        <f>0+BC112</f>
        <v>#DIV/0!</v>
      </c>
      <c r="BI112" s="265"/>
      <c r="BJ112" s="265"/>
      <c r="BK112" s="265"/>
      <c r="BL112" s="265"/>
      <c r="BM112" s="265" t="e">
        <f>0-BC112</f>
        <v>#DIV/0!</v>
      </c>
      <c r="BN112" s="265"/>
      <c r="BO112" s="265"/>
      <c r="BP112" s="265"/>
      <c r="BQ112" s="265"/>
      <c r="BR112" s="197" t="e">
        <f t="shared" ref="BR112:BR113" si="262">IF(AND(AH112&lt;=BH112,AH112&gt;=BM112),"PASS","FAIL")</f>
        <v>#DIV/0!</v>
      </c>
      <c r="BS112" s="197"/>
      <c r="BT112" s="197"/>
      <c r="BU112" s="197"/>
      <c r="BV112" s="197"/>
      <c r="BY112" s="5" t="s">
        <v>190</v>
      </c>
      <c r="BZ112" s="5" t="s">
        <v>47</v>
      </c>
      <c r="CA112" s="5" t="s">
        <v>48</v>
      </c>
      <c r="CB112" s="8"/>
      <c r="CC112" s="6" t="s">
        <v>134</v>
      </c>
      <c r="CD112" s="5">
        <v>2.58</v>
      </c>
      <c r="CE112" s="7">
        <f t="shared" ref="CE112" si="263">CB112/CD112</f>
        <v>0</v>
      </c>
      <c r="CF112" s="5">
        <v>1</v>
      </c>
      <c r="CG112" s="7">
        <f t="shared" ref="CG112" si="264">CE112*CF112</f>
        <v>0</v>
      </c>
      <c r="CH112" s="7">
        <f t="shared" ref="CH112" si="265">CG112^2</f>
        <v>0</v>
      </c>
      <c r="CI112" s="5">
        <v>200</v>
      </c>
      <c r="CJ112" s="7">
        <f t="shared" ref="CJ112" si="266">CG112^4/CI112</f>
        <v>0</v>
      </c>
      <c r="CK112" s="18"/>
      <c r="CL112" s="5" t="s">
        <v>174</v>
      </c>
      <c r="CM112" s="5" t="s">
        <v>49</v>
      </c>
      <c r="CN112" s="5" t="s">
        <v>48</v>
      </c>
      <c r="CO112" s="8">
        <v>0</v>
      </c>
      <c r="CP112" s="6" t="str">
        <f t="shared" ref="CP112:CP113" si="267">CC112</f>
        <v>nF</v>
      </c>
      <c r="CQ112" s="9">
        <f t="shared" ref="CQ112:CQ113" si="268">SQRT(3)</f>
        <v>1.7320508075688772</v>
      </c>
      <c r="CR112" s="7">
        <f t="shared" ref="CR112:CR113" si="269">CO112/CQ112</f>
        <v>0</v>
      </c>
      <c r="CS112" s="5">
        <v>1</v>
      </c>
      <c r="CT112" s="7">
        <f t="shared" ref="CT112:CT113" si="270">CR112*CS112</f>
        <v>0</v>
      </c>
      <c r="CU112" s="7">
        <f t="shared" ref="CU112:CU113" si="271">CT112^2</f>
        <v>0</v>
      </c>
      <c r="CV112" s="5">
        <v>200</v>
      </c>
      <c r="CW112" s="7">
        <f t="shared" ref="CW112:CW113" si="272">CT112^4/CV112</f>
        <v>0</v>
      </c>
      <c r="CX112" s="18"/>
      <c r="CY112" s="5">
        <v>1</v>
      </c>
      <c r="CZ112" s="5" t="s">
        <v>80</v>
      </c>
      <c r="DA112" s="5" t="s">
        <v>49</v>
      </c>
      <c r="DB112" s="5" t="s">
        <v>48</v>
      </c>
      <c r="DC112" s="8">
        <f t="shared" ref="DC112" si="273">CY112/2</f>
        <v>0.5</v>
      </c>
      <c r="DD112" s="6" t="s">
        <v>134</v>
      </c>
      <c r="DE112" s="9">
        <f t="shared" ref="DE112:DE113" si="274">SQRT(3)</f>
        <v>1.7320508075688772</v>
      </c>
      <c r="DF112" s="7">
        <f t="shared" ref="DF112" si="275">DC112/DE112</f>
        <v>0.28867513459481292</v>
      </c>
      <c r="DG112" s="5">
        <v>1</v>
      </c>
      <c r="DH112" s="7">
        <f t="shared" ref="DH112" si="276">DF112*DG112</f>
        <v>0.28867513459481292</v>
      </c>
      <c r="DI112" s="7">
        <f t="shared" ref="DI112" si="277">DH112^2</f>
        <v>8.3333333333333356E-2</v>
      </c>
      <c r="DJ112" s="5">
        <v>200</v>
      </c>
      <c r="DK112" s="7">
        <f t="shared" ref="DK112" si="278">DH112^4/DJ112</f>
        <v>3.4722222222222243E-5</v>
      </c>
      <c r="DL112" s="18"/>
      <c r="DM112" s="5">
        <v>3</v>
      </c>
      <c r="DN112" s="10" t="e">
        <f>STDEV(S112:AG112)</f>
        <v>#DIV/0!</v>
      </c>
      <c r="DO112" s="5" t="s">
        <v>50</v>
      </c>
      <c r="DP112" s="5" t="s">
        <v>47</v>
      </c>
      <c r="DQ112" s="5" t="s">
        <v>27</v>
      </c>
      <c r="DR112" s="10" t="e">
        <f t="shared" ref="DR112" si="279">DN112</f>
        <v>#DIV/0!</v>
      </c>
      <c r="DS112" s="6" t="str">
        <f>P112</f>
        <v>nF</v>
      </c>
      <c r="DT112" s="9">
        <f t="shared" ref="DT112" si="280">SQRT(DM112)</f>
        <v>1.7320508075688772</v>
      </c>
      <c r="DU112" s="10" t="e">
        <f t="shared" ref="DU112" si="281">DR112/DT112</f>
        <v>#DIV/0!</v>
      </c>
      <c r="DV112" s="5">
        <v>1</v>
      </c>
      <c r="DW112" s="11" t="e">
        <f t="shared" ref="DW112" si="282">DU112*DV112</f>
        <v>#DIV/0!</v>
      </c>
      <c r="DX112" s="11" t="e">
        <f t="shared" ref="DX112" si="283">DW112^2</f>
        <v>#DIV/0!</v>
      </c>
      <c r="DY112" s="5">
        <v>2</v>
      </c>
      <c r="DZ112" s="12" t="e">
        <f t="shared" ref="DZ112" si="284">DW112^4/DY112</f>
        <v>#DIV/0!</v>
      </c>
      <c r="EA112" s="13"/>
      <c r="EB112" s="7" t="e">
        <f>CH112+DI112+DX112</f>
        <v>#DIV/0!</v>
      </c>
      <c r="EC112" s="7" t="e">
        <f>CJ112+DK112+DZ112</f>
        <v>#DIV/0!</v>
      </c>
      <c r="ED112" s="7" t="e">
        <f t="shared" ref="ED112" si="285">SQRT(EB112)</f>
        <v>#DIV/0!</v>
      </c>
      <c r="EE112" s="8" t="e">
        <f t="shared" ref="EE112" si="286">(ED112^4)/EC112</f>
        <v>#DIV/0!</v>
      </c>
      <c r="EF112" s="14" t="e">
        <f t="shared" ref="EF112" si="287">ROUND(TINV(0.05,EE112),0)</f>
        <v>#DIV/0!</v>
      </c>
      <c r="EG112" s="29" t="s">
        <v>143</v>
      </c>
      <c r="EH112" s="15" t="s">
        <v>134</v>
      </c>
      <c r="EJ112" s="109"/>
      <c r="EK112" s="110" t="str">
        <f>EH112</f>
        <v>nF</v>
      </c>
      <c r="EL112" s="111">
        <f>MAX(EJ112,EG112)</f>
        <v>0</v>
      </c>
      <c r="EM112" s="110" t="str">
        <f t="shared" ref="EM112" si="288">EK112</f>
        <v>nF</v>
      </c>
    </row>
    <row r="113" spans="2:143" ht="13.5" x14ac:dyDescent="0.25">
      <c r="B113" s="84"/>
      <c r="C113" s="69"/>
      <c r="D113" s="69"/>
      <c r="E113" s="69"/>
      <c r="F113" s="153" t="s">
        <v>171</v>
      </c>
      <c r="G113" s="153"/>
      <c r="H113" s="153"/>
      <c r="I113" s="153"/>
      <c r="J113" s="153"/>
      <c r="K113" s="153"/>
      <c r="L113" s="274">
        <v>900</v>
      </c>
      <c r="M113" s="155"/>
      <c r="N113" s="155"/>
      <c r="O113" s="155"/>
      <c r="P113" s="161" t="s">
        <v>167</v>
      </c>
      <c r="Q113" s="161"/>
      <c r="R113" s="162"/>
      <c r="S113" s="263"/>
      <c r="T113" s="263"/>
      <c r="U113" s="263"/>
      <c r="V113" s="263"/>
      <c r="W113" s="263"/>
      <c r="X113" s="263"/>
      <c r="Y113" s="263"/>
      <c r="Z113" s="263"/>
      <c r="AA113" s="263"/>
      <c r="AB113" s="263"/>
      <c r="AC113" s="263"/>
      <c r="AD113" s="263"/>
      <c r="AE113" s="263"/>
      <c r="AF113" s="263"/>
      <c r="AG113" s="263"/>
      <c r="AH113" s="264" t="e">
        <f t="shared" ref="AH113" si="289">AVERAGE(S113:AG113)</f>
        <v>#DIV/0!</v>
      </c>
      <c r="AI113" s="263"/>
      <c r="AJ113" s="263"/>
      <c r="AK113" s="263"/>
      <c r="AL113" s="263"/>
      <c r="AM113" s="263" t="e">
        <f>AH113-L113</f>
        <v>#DIV/0!</v>
      </c>
      <c r="AN113" s="263"/>
      <c r="AO113" s="263"/>
      <c r="AP113" s="263"/>
      <c r="AQ113" s="263"/>
      <c r="AR113" s="97"/>
      <c r="AS113" s="97"/>
      <c r="AT113" s="97"/>
      <c r="AU113" s="275"/>
      <c r="AV113" s="275"/>
      <c r="AW113" s="275"/>
      <c r="AX113" s="275"/>
      <c r="AY113" s="275"/>
      <c r="AZ113" s="86"/>
      <c r="BC113" s="265" t="e">
        <f>(AH113*1.9%)+(2*1)</f>
        <v>#DIV/0!</v>
      </c>
      <c r="BD113" s="265"/>
      <c r="BE113" s="265"/>
      <c r="BF113" s="265"/>
      <c r="BG113" s="265"/>
      <c r="BH113" s="265" t="e">
        <f>L113+BC113</f>
        <v>#DIV/0!</v>
      </c>
      <c r="BI113" s="265"/>
      <c r="BJ113" s="265"/>
      <c r="BK113" s="265"/>
      <c r="BL113" s="265"/>
      <c r="BM113" s="265" t="e">
        <f>L113-BC113</f>
        <v>#DIV/0!</v>
      </c>
      <c r="BN113" s="265"/>
      <c r="BO113" s="265"/>
      <c r="BP113" s="265"/>
      <c r="BQ113" s="265"/>
      <c r="BR113" s="197" t="e">
        <f t="shared" si="262"/>
        <v>#DIV/0!</v>
      </c>
      <c r="BS113" s="197"/>
      <c r="BT113" s="197"/>
      <c r="BU113" s="197"/>
      <c r="BV113" s="197"/>
      <c r="BY113" s="5" t="s">
        <v>190</v>
      </c>
      <c r="BZ113" s="5" t="s">
        <v>47</v>
      </c>
      <c r="CA113" s="5" t="s">
        <v>48</v>
      </c>
      <c r="CB113" s="8">
        <f>(0.7%*L113)+1</f>
        <v>7.2999999999999989</v>
      </c>
      <c r="CC113" s="6" t="str">
        <f>P113</f>
        <v>µF</v>
      </c>
      <c r="CD113" s="5">
        <v>2.58</v>
      </c>
      <c r="CE113" s="7">
        <f t="shared" ref="CE113" si="290">CB113/CD113</f>
        <v>2.829457364341085</v>
      </c>
      <c r="CF113" s="5">
        <v>1</v>
      </c>
      <c r="CG113" s="7">
        <f t="shared" ref="CG113" si="291">CE113*CF113</f>
        <v>2.829457364341085</v>
      </c>
      <c r="CH113" s="7">
        <f t="shared" ref="CH113" si="292">CG113^2</f>
        <v>8.0058289766239987</v>
      </c>
      <c r="CI113" s="5">
        <v>200</v>
      </c>
      <c r="CJ113" s="7">
        <f t="shared" ref="CJ113" si="293">CG113^4/CI113</f>
        <v>0.3204664880147623</v>
      </c>
      <c r="CK113" s="18"/>
      <c r="CL113" s="5" t="s">
        <v>174</v>
      </c>
      <c r="CM113" s="5" t="s">
        <v>49</v>
      </c>
      <c r="CN113" s="5" t="s">
        <v>48</v>
      </c>
      <c r="CO113" s="8">
        <v>0</v>
      </c>
      <c r="CP113" s="6" t="str">
        <f t="shared" si="267"/>
        <v>µF</v>
      </c>
      <c r="CQ113" s="9">
        <f t="shared" si="268"/>
        <v>1.7320508075688772</v>
      </c>
      <c r="CR113" s="7">
        <f t="shared" si="269"/>
        <v>0</v>
      </c>
      <c r="CS113" s="5">
        <v>1</v>
      </c>
      <c r="CT113" s="7">
        <f t="shared" si="270"/>
        <v>0</v>
      </c>
      <c r="CU113" s="7">
        <f t="shared" si="271"/>
        <v>0</v>
      </c>
      <c r="CV113" s="5">
        <v>200</v>
      </c>
      <c r="CW113" s="7">
        <f t="shared" si="272"/>
        <v>0</v>
      </c>
      <c r="CX113" s="18"/>
      <c r="CY113" s="5">
        <v>1</v>
      </c>
      <c r="CZ113" s="5" t="s">
        <v>80</v>
      </c>
      <c r="DA113" s="5" t="s">
        <v>49</v>
      </c>
      <c r="DB113" s="5" t="s">
        <v>48</v>
      </c>
      <c r="DC113" s="8">
        <f t="shared" ref="DC113" si="294">CY113/2</f>
        <v>0.5</v>
      </c>
      <c r="DD113" s="6" t="str">
        <f>P113</f>
        <v>µF</v>
      </c>
      <c r="DE113" s="9">
        <f t="shared" si="274"/>
        <v>1.7320508075688772</v>
      </c>
      <c r="DF113" s="7">
        <f t="shared" ref="DF113" si="295">DC113/DE113</f>
        <v>0.28867513459481292</v>
      </c>
      <c r="DG113" s="5">
        <v>1</v>
      </c>
      <c r="DH113" s="7">
        <f t="shared" ref="DH113" si="296">DF113*DG113</f>
        <v>0.28867513459481292</v>
      </c>
      <c r="DI113" s="7">
        <f t="shared" ref="DI113" si="297">DH113^2</f>
        <v>8.3333333333333356E-2</v>
      </c>
      <c r="DJ113" s="5">
        <v>200</v>
      </c>
      <c r="DK113" s="7">
        <f t="shared" ref="DK113" si="298">DH113^4/DJ113</f>
        <v>3.4722222222222243E-5</v>
      </c>
      <c r="DL113" s="18"/>
      <c r="DM113" s="5">
        <v>3</v>
      </c>
      <c r="DN113" s="10" t="e">
        <f>STDEV(S113:AG113)</f>
        <v>#DIV/0!</v>
      </c>
      <c r="DO113" s="5" t="s">
        <v>50</v>
      </c>
      <c r="DP113" s="5" t="s">
        <v>47</v>
      </c>
      <c r="DQ113" s="5" t="s">
        <v>27</v>
      </c>
      <c r="DR113" s="10" t="e">
        <f t="shared" ref="DR113" si="299">DN113</f>
        <v>#DIV/0!</v>
      </c>
      <c r="DS113" s="6" t="str">
        <f>P113</f>
        <v>µF</v>
      </c>
      <c r="DT113" s="9">
        <f t="shared" ref="DT113" si="300">SQRT(DM113)</f>
        <v>1.7320508075688772</v>
      </c>
      <c r="DU113" s="10" t="e">
        <f t="shared" ref="DU113" si="301">DR113/DT113</f>
        <v>#DIV/0!</v>
      </c>
      <c r="DV113" s="5">
        <v>1</v>
      </c>
      <c r="DW113" s="11" t="e">
        <f t="shared" ref="DW113" si="302">DU113*DV113</f>
        <v>#DIV/0!</v>
      </c>
      <c r="DX113" s="11" t="e">
        <f t="shared" ref="DX113" si="303">DW113^2</f>
        <v>#DIV/0!</v>
      </c>
      <c r="DY113" s="5">
        <v>2</v>
      </c>
      <c r="DZ113" s="12" t="e">
        <f t="shared" ref="DZ113" si="304">DW113^4/DY113</f>
        <v>#DIV/0!</v>
      </c>
      <c r="EA113" s="13"/>
      <c r="EB113" s="7" t="e">
        <f>CH113+DI113+DX113</f>
        <v>#DIV/0!</v>
      </c>
      <c r="EC113" s="7" t="e">
        <f>CJ113+DK113+DZ113</f>
        <v>#DIV/0!</v>
      </c>
      <c r="ED113" s="7" t="e">
        <f t="shared" ref="ED113" si="305">SQRT(EB113)</f>
        <v>#DIV/0!</v>
      </c>
      <c r="EE113" s="8" t="e">
        <f t="shared" ref="EE113" si="306">(ED113^4)/EC113</f>
        <v>#DIV/0!</v>
      </c>
      <c r="EF113" s="14" t="e">
        <f t="shared" ref="EF113" si="307">ROUND(TINV(0.05,EE113),0)</f>
        <v>#DIV/0!</v>
      </c>
      <c r="EG113" s="30" t="e">
        <f>(ED113*EF113)</f>
        <v>#DIV/0!</v>
      </c>
      <c r="EH113" s="15" t="str">
        <f>P113</f>
        <v>µF</v>
      </c>
      <c r="EJ113" s="109"/>
      <c r="EK113" s="110" t="str">
        <f>EH113</f>
        <v>µF</v>
      </c>
      <c r="EL113" s="111" t="e">
        <f>MAX(EJ113,EG113)</f>
        <v>#DIV/0!</v>
      </c>
      <c r="EM113" s="110" t="str">
        <f t="shared" ref="EM113" si="308">EK113</f>
        <v>µF</v>
      </c>
    </row>
    <row r="114" spans="2:143" ht="13.5" x14ac:dyDescent="0.25">
      <c r="B114" s="84"/>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86"/>
    </row>
    <row r="115" spans="2:143" ht="13.5" x14ac:dyDescent="0.25">
      <c r="B115" s="84"/>
      <c r="C115" s="69"/>
      <c r="D115" s="63"/>
      <c r="E115" s="69"/>
      <c r="F115" s="85" t="s">
        <v>154</v>
      </c>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86"/>
      <c r="BY115" s="196" t="s">
        <v>72</v>
      </c>
      <c r="BZ115" s="196"/>
      <c r="CA115" s="196"/>
      <c r="CB115" s="196"/>
      <c r="CC115" s="196"/>
      <c r="CD115" s="196"/>
      <c r="CE115" s="196"/>
      <c r="CF115" s="196"/>
      <c r="CG115" s="196"/>
      <c r="CH115" s="196"/>
      <c r="CI115" s="196"/>
      <c r="CJ115" s="196"/>
      <c r="CK115" s="16"/>
      <c r="CL115" s="196"/>
      <c r="CM115" s="196"/>
      <c r="CN115" s="196"/>
      <c r="CO115" s="196"/>
      <c r="CP115" s="196"/>
      <c r="CQ115" s="196"/>
      <c r="CR115" s="196"/>
      <c r="CS115" s="196"/>
      <c r="CT115" s="196"/>
      <c r="CU115" s="196"/>
      <c r="CV115" s="196"/>
      <c r="CW115" s="196"/>
      <c r="CX115" s="16"/>
      <c r="CY115" s="196" t="s">
        <v>34</v>
      </c>
      <c r="CZ115" s="196"/>
      <c r="DA115" s="196"/>
      <c r="DB115" s="196"/>
      <c r="DC115" s="196"/>
      <c r="DD115" s="196"/>
      <c r="DE115" s="196"/>
      <c r="DF115" s="196"/>
      <c r="DG115" s="196"/>
      <c r="DH115" s="196"/>
      <c r="DI115" s="196"/>
      <c r="DJ115" s="196"/>
      <c r="DK115" s="196"/>
      <c r="DL115" s="16"/>
      <c r="DM115" s="196" t="s">
        <v>57</v>
      </c>
      <c r="DN115" s="196"/>
      <c r="DO115" s="196"/>
      <c r="DP115" s="196"/>
      <c r="DQ115" s="196"/>
      <c r="DR115" s="196"/>
      <c r="DS115" s="196"/>
      <c r="DT115" s="196"/>
      <c r="DU115" s="196"/>
      <c r="DV115" s="196"/>
      <c r="DW115" s="196"/>
      <c r="DX115" s="196"/>
      <c r="DY115" s="196"/>
      <c r="DZ115" s="196"/>
      <c r="EB115" s="196" t="s">
        <v>60</v>
      </c>
      <c r="EC115" s="196"/>
      <c r="ED115" s="196"/>
      <c r="EE115" s="196"/>
      <c r="EF115" s="196"/>
      <c r="EG115" s="196"/>
      <c r="EH115" s="196"/>
      <c r="EJ115" s="276" t="s">
        <v>188</v>
      </c>
      <c r="EK115" s="277"/>
      <c r="EL115" s="276" t="s">
        <v>189</v>
      </c>
      <c r="EM115" s="277"/>
    </row>
    <row r="116" spans="2:143" ht="13.5" customHeight="1" x14ac:dyDescent="0.25">
      <c r="B116" s="84"/>
      <c r="C116" s="69"/>
      <c r="D116" s="63"/>
      <c r="E116" s="63"/>
      <c r="F116" s="164" t="s">
        <v>74</v>
      </c>
      <c r="G116" s="164"/>
      <c r="H116" s="164"/>
      <c r="I116" s="164"/>
      <c r="J116" s="164"/>
      <c r="K116" s="164"/>
      <c r="L116" s="164" t="s">
        <v>83</v>
      </c>
      <c r="M116" s="164"/>
      <c r="N116" s="164"/>
      <c r="O116" s="164"/>
      <c r="P116" s="164"/>
      <c r="Q116" s="164"/>
      <c r="R116" s="164"/>
      <c r="S116" s="164" t="s">
        <v>116</v>
      </c>
      <c r="T116" s="164"/>
      <c r="U116" s="164"/>
      <c r="V116" s="164"/>
      <c r="W116" s="164"/>
      <c r="X116" s="164"/>
      <c r="Y116" s="164"/>
      <c r="Z116" s="164"/>
      <c r="AA116" s="164"/>
      <c r="AB116" s="164"/>
      <c r="AC116" s="164"/>
      <c r="AD116" s="164"/>
      <c r="AE116" s="164"/>
      <c r="AF116" s="164"/>
      <c r="AG116" s="164"/>
      <c r="AH116" s="164" t="s">
        <v>128</v>
      </c>
      <c r="AI116" s="164"/>
      <c r="AJ116" s="164"/>
      <c r="AK116" s="164"/>
      <c r="AL116" s="164"/>
      <c r="AM116" s="164" t="s">
        <v>85</v>
      </c>
      <c r="AN116" s="164"/>
      <c r="AO116" s="164"/>
      <c r="AP116" s="164"/>
      <c r="AQ116" s="164"/>
      <c r="AR116" s="87"/>
      <c r="AS116" s="87"/>
      <c r="AT116" s="87"/>
      <c r="AU116" s="87"/>
      <c r="AV116" s="87"/>
      <c r="AW116" s="69"/>
      <c r="AX116" s="69"/>
      <c r="AY116" s="69"/>
      <c r="AZ116" s="86"/>
      <c r="BC116" s="198" t="s">
        <v>155</v>
      </c>
      <c r="BD116" s="198"/>
      <c r="BE116" s="198"/>
      <c r="BF116" s="198"/>
      <c r="BG116" s="198"/>
      <c r="BH116" s="198" t="s">
        <v>120</v>
      </c>
      <c r="BI116" s="198"/>
      <c r="BJ116" s="198"/>
      <c r="BK116" s="198"/>
      <c r="BL116" s="198"/>
      <c r="BM116" s="198" t="s">
        <v>121</v>
      </c>
      <c r="BN116" s="198"/>
      <c r="BO116" s="198"/>
      <c r="BP116" s="198"/>
      <c r="BQ116" s="198"/>
      <c r="BR116" s="198" t="s">
        <v>119</v>
      </c>
      <c r="BS116" s="198"/>
      <c r="BT116" s="198"/>
      <c r="BU116" s="198"/>
      <c r="BV116" s="198"/>
      <c r="BY116" s="195" t="s">
        <v>28</v>
      </c>
      <c r="BZ116" s="195" t="s">
        <v>29</v>
      </c>
      <c r="CA116" s="195" t="s">
        <v>30</v>
      </c>
      <c r="CB116" s="2" t="s">
        <v>31</v>
      </c>
      <c r="CC116" s="195" t="s">
        <v>32</v>
      </c>
      <c r="CD116" s="195" t="s">
        <v>33</v>
      </c>
      <c r="CE116" s="195" t="s">
        <v>51</v>
      </c>
      <c r="CF116" s="195" t="s">
        <v>52</v>
      </c>
      <c r="CG116" s="195" t="s">
        <v>53</v>
      </c>
      <c r="CH116" s="195" t="s">
        <v>54</v>
      </c>
      <c r="CI116" s="195" t="s">
        <v>55</v>
      </c>
      <c r="CJ116" s="195" t="s">
        <v>56</v>
      </c>
      <c r="CK116" s="17"/>
      <c r="CL116" s="195" t="s">
        <v>28</v>
      </c>
      <c r="CM116" s="195" t="s">
        <v>29</v>
      </c>
      <c r="CN116" s="195" t="s">
        <v>30</v>
      </c>
      <c r="CO116" s="2" t="s">
        <v>31</v>
      </c>
      <c r="CP116" s="195" t="s">
        <v>32</v>
      </c>
      <c r="CQ116" s="195" t="s">
        <v>33</v>
      </c>
      <c r="CR116" s="195" t="s">
        <v>51</v>
      </c>
      <c r="CS116" s="195" t="s">
        <v>52</v>
      </c>
      <c r="CT116" s="195" t="s">
        <v>53</v>
      </c>
      <c r="CU116" s="195" t="s">
        <v>54</v>
      </c>
      <c r="CV116" s="195" t="s">
        <v>55</v>
      </c>
      <c r="CW116" s="195" t="s">
        <v>56</v>
      </c>
      <c r="CX116" s="17"/>
      <c r="CY116" s="195" t="s">
        <v>34</v>
      </c>
      <c r="CZ116" s="195" t="s">
        <v>28</v>
      </c>
      <c r="DA116" s="195" t="s">
        <v>29</v>
      </c>
      <c r="DB116" s="195" t="s">
        <v>30</v>
      </c>
      <c r="DC116" s="2" t="s">
        <v>31</v>
      </c>
      <c r="DD116" s="195" t="s">
        <v>32</v>
      </c>
      <c r="DE116" s="195" t="s">
        <v>33</v>
      </c>
      <c r="DF116" s="195" t="s">
        <v>51</v>
      </c>
      <c r="DG116" s="195" t="s">
        <v>52</v>
      </c>
      <c r="DH116" s="195" t="s">
        <v>53</v>
      </c>
      <c r="DI116" s="195" t="s">
        <v>54</v>
      </c>
      <c r="DJ116" s="195" t="s">
        <v>55</v>
      </c>
      <c r="DK116" s="195" t="s">
        <v>56</v>
      </c>
      <c r="DL116" s="17"/>
      <c r="DM116" s="195" t="s">
        <v>35</v>
      </c>
      <c r="DN116" s="200" t="s">
        <v>36</v>
      </c>
      <c r="DO116" s="195" t="s">
        <v>28</v>
      </c>
      <c r="DP116" s="195" t="s">
        <v>29</v>
      </c>
      <c r="DQ116" s="195" t="s">
        <v>30</v>
      </c>
      <c r="DR116" s="2" t="s">
        <v>31</v>
      </c>
      <c r="DS116" s="195" t="s">
        <v>32</v>
      </c>
      <c r="DT116" s="195" t="s">
        <v>33</v>
      </c>
      <c r="DU116" s="195" t="s">
        <v>51</v>
      </c>
      <c r="DV116" s="195" t="s">
        <v>52</v>
      </c>
      <c r="DW116" s="195" t="s">
        <v>53</v>
      </c>
      <c r="DX116" s="195" t="s">
        <v>54</v>
      </c>
      <c r="DY116" s="195" t="s">
        <v>55</v>
      </c>
      <c r="DZ116" s="195" t="s">
        <v>56</v>
      </c>
      <c r="EA116" s="3"/>
      <c r="EB116" s="54" t="s">
        <v>58</v>
      </c>
      <c r="EC116" s="54" t="s">
        <v>37</v>
      </c>
      <c r="ED116" s="54" t="s">
        <v>38</v>
      </c>
      <c r="EE116" s="4" t="s">
        <v>39</v>
      </c>
      <c r="EF116" s="54" t="s">
        <v>61</v>
      </c>
      <c r="EG116" s="195" t="s">
        <v>40</v>
      </c>
      <c r="EH116" s="195"/>
      <c r="EJ116" s="278"/>
      <c r="EK116" s="279"/>
      <c r="EL116" s="278"/>
      <c r="EM116" s="279"/>
    </row>
    <row r="117" spans="2:143" ht="13.5" x14ac:dyDescent="0.25">
      <c r="B117" s="84"/>
      <c r="C117" s="69"/>
      <c r="D117" s="63"/>
      <c r="E117" s="63"/>
      <c r="F117" s="164"/>
      <c r="G117" s="164"/>
      <c r="H117" s="164"/>
      <c r="I117" s="164"/>
      <c r="J117" s="164"/>
      <c r="K117" s="164"/>
      <c r="L117" s="164"/>
      <c r="M117" s="164"/>
      <c r="N117" s="164"/>
      <c r="O117" s="164"/>
      <c r="P117" s="164"/>
      <c r="Q117" s="164"/>
      <c r="R117" s="164"/>
      <c r="S117" s="164">
        <v>1</v>
      </c>
      <c r="T117" s="164"/>
      <c r="U117" s="164"/>
      <c r="V117" s="164"/>
      <c r="W117" s="164"/>
      <c r="X117" s="164">
        <v>2</v>
      </c>
      <c r="Y117" s="164"/>
      <c r="Z117" s="164"/>
      <c r="AA117" s="164"/>
      <c r="AB117" s="164"/>
      <c r="AC117" s="164">
        <v>3</v>
      </c>
      <c r="AD117" s="164"/>
      <c r="AE117" s="164"/>
      <c r="AF117" s="164"/>
      <c r="AG117" s="164"/>
      <c r="AH117" s="164"/>
      <c r="AI117" s="164"/>
      <c r="AJ117" s="164"/>
      <c r="AK117" s="164"/>
      <c r="AL117" s="164"/>
      <c r="AM117" s="164"/>
      <c r="AN117" s="164"/>
      <c r="AO117" s="164"/>
      <c r="AP117" s="164"/>
      <c r="AQ117" s="164"/>
      <c r="AR117" s="87"/>
      <c r="AS117" s="87"/>
      <c r="AT117" s="87"/>
      <c r="AU117" s="87"/>
      <c r="AV117" s="87"/>
      <c r="AW117" s="69"/>
      <c r="AX117" s="69"/>
      <c r="AY117" s="69"/>
      <c r="AZ117" s="86"/>
      <c r="BC117" s="198"/>
      <c r="BD117" s="198"/>
      <c r="BE117" s="198"/>
      <c r="BF117" s="198"/>
      <c r="BG117" s="198"/>
      <c r="BH117" s="198"/>
      <c r="BI117" s="198"/>
      <c r="BJ117" s="198"/>
      <c r="BK117" s="198"/>
      <c r="BL117" s="198"/>
      <c r="BM117" s="198"/>
      <c r="BN117" s="198"/>
      <c r="BO117" s="198"/>
      <c r="BP117" s="198"/>
      <c r="BQ117" s="198"/>
      <c r="BR117" s="198"/>
      <c r="BS117" s="198"/>
      <c r="BT117" s="198"/>
      <c r="BU117" s="198"/>
      <c r="BV117" s="198"/>
      <c r="BY117" s="195"/>
      <c r="BZ117" s="195"/>
      <c r="CA117" s="195"/>
      <c r="CB117" s="54" t="s">
        <v>41</v>
      </c>
      <c r="CC117" s="195"/>
      <c r="CD117" s="195"/>
      <c r="CE117" s="195"/>
      <c r="CF117" s="195"/>
      <c r="CG117" s="195"/>
      <c r="CH117" s="195"/>
      <c r="CI117" s="195"/>
      <c r="CJ117" s="195"/>
      <c r="CK117" s="17"/>
      <c r="CL117" s="195"/>
      <c r="CM117" s="195"/>
      <c r="CN117" s="195"/>
      <c r="CO117" s="54" t="s">
        <v>41</v>
      </c>
      <c r="CP117" s="195"/>
      <c r="CQ117" s="195"/>
      <c r="CR117" s="195"/>
      <c r="CS117" s="195"/>
      <c r="CT117" s="195"/>
      <c r="CU117" s="195"/>
      <c r="CV117" s="195"/>
      <c r="CW117" s="195"/>
      <c r="CX117" s="17"/>
      <c r="CY117" s="195"/>
      <c r="CZ117" s="195"/>
      <c r="DA117" s="195"/>
      <c r="DB117" s="195"/>
      <c r="DC117" s="54" t="s">
        <v>41</v>
      </c>
      <c r="DD117" s="195"/>
      <c r="DE117" s="195"/>
      <c r="DF117" s="195"/>
      <c r="DG117" s="195"/>
      <c r="DH117" s="195"/>
      <c r="DI117" s="195"/>
      <c r="DJ117" s="195"/>
      <c r="DK117" s="195"/>
      <c r="DL117" s="17"/>
      <c r="DM117" s="195"/>
      <c r="DN117" s="200"/>
      <c r="DO117" s="195"/>
      <c r="DP117" s="195"/>
      <c r="DQ117" s="195"/>
      <c r="DR117" s="54" t="s">
        <v>41</v>
      </c>
      <c r="DS117" s="195"/>
      <c r="DT117" s="195"/>
      <c r="DU117" s="195"/>
      <c r="DV117" s="195"/>
      <c r="DW117" s="195"/>
      <c r="DX117" s="195"/>
      <c r="DY117" s="195"/>
      <c r="DZ117" s="195"/>
      <c r="EA117" s="3"/>
      <c r="EB117" s="54" t="s">
        <v>54</v>
      </c>
      <c r="EC117" s="54" t="s">
        <v>59</v>
      </c>
      <c r="ED117" s="54" t="s">
        <v>42</v>
      </c>
      <c r="EE117" s="4" t="s">
        <v>43</v>
      </c>
      <c r="EF117" s="54" t="s">
        <v>44</v>
      </c>
      <c r="EG117" s="195" t="s">
        <v>45</v>
      </c>
      <c r="EH117" s="195"/>
      <c r="EJ117" s="280"/>
      <c r="EK117" s="281"/>
      <c r="EL117" s="280"/>
      <c r="EM117" s="281"/>
    </row>
    <row r="118" spans="2:143" ht="13.5" x14ac:dyDescent="0.25">
      <c r="B118" s="84"/>
      <c r="C118" s="69"/>
      <c r="D118" s="69"/>
      <c r="E118" s="69"/>
      <c r="F118" s="153" t="s">
        <v>169</v>
      </c>
      <c r="G118" s="153"/>
      <c r="H118" s="153"/>
      <c r="I118" s="153"/>
      <c r="J118" s="153"/>
      <c r="K118" s="153"/>
      <c r="L118" s="154">
        <v>9</v>
      </c>
      <c r="M118" s="155"/>
      <c r="N118" s="155"/>
      <c r="O118" s="155"/>
      <c r="P118" s="161" t="s">
        <v>167</v>
      </c>
      <c r="Q118" s="161"/>
      <c r="R118" s="162"/>
      <c r="S118" s="165"/>
      <c r="T118" s="165"/>
      <c r="U118" s="165"/>
      <c r="V118" s="165"/>
      <c r="W118" s="165"/>
      <c r="X118" s="165"/>
      <c r="Y118" s="165"/>
      <c r="Z118" s="165"/>
      <c r="AA118" s="165"/>
      <c r="AB118" s="165"/>
      <c r="AC118" s="165"/>
      <c r="AD118" s="165"/>
      <c r="AE118" s="165"/>
      <c r="AF118" s="165"/>
      <c r="AG118" s="165"/>
      <c r="AH118" s="255" t="e">
        <f t="shared" ref="AH118" si="309">AVERAGE(S118:AG118)</f>
        <v>#DIV/0!</v>
      </c>
      <c r="AI118" s="165"/>
      <c r="AJ118" s="165"/>
      <c r="AK118" s="165"/>
      <c r="AL118" s="165"/>
      <c r="AM118" s="165" t="e">
        <f>AH118-L118</f>
        <v>#DIV/0!</v>
      </c>
      <c r="AN118" s="165"/>
      <c r="AO118" s="165"/>
      <c r="AP118" s="165"/>
      <c r="AQ118" s="165"/>
      <c r="AR118" s="89"/>
      <c r="AS118" s="89"/>
      <c r="AT118" s="89"/>
      <c r="AU118" s="89"/>
      <c r="AV118" s="89"/>
      <c r="AW118" s="69"/>
      <c r="AX118" s="69"/>
      <c r="AY118" s="69"/>
      <c r="AZ118" s="86"/>
      <c r="BC118" s="192" t="e">
        <f>(AH118*10%)+(2*CY118)</f>
        <v>#DIV/0!</v>
      </c>
      <c r="BD118" s="192"/>
      <c r="BE118" s="192"/>
      <c r="BF118" s="192"/>
      <c r="BG118" s="192"/>
      <c r="BH118" s="193" t="e">
        <f>L118+BC118</f>
        <v>#DIV/0!</v>
      </c>
      <c r="BI118" s="193"/>
      <c r="BJ118" s="193"/>
      <c r="BK118" s="193"/>
      <c r="BL118" s="193"/>
      <c r="BM118" s="193" t="e">
        <f>L118-BC118</f>
        <v>#DIV/0!</v>
      </c>
      <c r="BN118" s="193"/>
      <c r="BO118" s="193"/>
      <c r="BP118" s="193"/>
      <c r="BQ118" s="193"/>
      <c r="BR118" s="197" t="e">
        <f t="shared" ref="BR118" si="310">IF(AND(AH118&lt;=BH118,AH118&gt;=BM118),"PASS","FAIL")</f>
        <v>#DIV/0!</v>
      </c>
      <c r="BS118" s="197"/>
      <c r="BT118" s="197"/>
      <c r="BU118" s="197"/>
      <c r="BV118" s="197"/>
      <c r="BY118" s="5" t="s">
        <v>190</v>
      </c>
      <c r="BZ118" s="5" t="s">
        <v>47</v>
      </c>
      <c r="CA118" s="5" t="s">
        <v>48</v>
      </c>
      <c r="CB118" s="8">
        <f>(0.25%*L118)+0.01</f>
        <v>3.2500000000000001E-2</v>
      </c>
      <c r="CC118" s="6" t="str">
        <f>P118</f>
        <v>µF</v>
      </c>
      <c r="CD118" s="5">
        <v>2.58</v>
      </c>
      <c r="CE118" s="7">
        <f t="shared" ref="CE118" si="311">CB118/CD118</f>
        <v>1.2596899224806201E-2</v>
      </c>
      <c r="CF118" s="5">
        <v>1</v>
      </c>
      <c r="CG118" s="7">
        <f t="shared" ref="CG118" si="312">CE118*CF118</f>
        <v>1.2596899224806201E-2</v>
      </c>
      <c r="CH118" s="7">
        <f t="shared" ref="CH118" si="313">CG118^2</f>
        <v>1.5868187007992308E-4</v>
      </c>
      <c r="CI118" s="5">
        <v>200</v>
      </c>
      <c r="CJ118" s="7">
        <f t="shared" ref="CJ118" si="314">CG118^4/CI118</f>
        <v>1.2589967946030794E-10</v>
      </c>
      <c r="CK118" s="18"/>
      <c r="CL118" s="5" t="s">
        <v>174</v>
      </c>
      <c r="CM118" s="5" t="s">
        <v>49</v>
      </c>
      <c r="CN118" s="5" t="s">
        <v>48</v>
      </c>
      <c r="CO118" s="8">
        <v>0</v>
      </c>
      <c r="CP118" s="6" t="str">
        <f>CC118</f>
        <v>µF</v>
      </c>
      <c r="CQ118" s="9">
        <f t="shared" ref="CQ118" si="315">SQRT(3)</f>
        <v>1.7320508075688772</v>
      </c>
      <c r="CR118" s="7">
        <f t="shared" ref="CR118" si="316">CO118/CQ118</f>
        <v>0</v>
      </c>
      <c r="CS118" s="5">
        <v>1</v>
      </c>
      <c r="CT118" s="7">
        <f t="shared" ref="CT118" si="317">CR118*CS118</f>
        <v>0</v>
      </c>
      <c r="CU118" s="7">
        <f t="shared" ref="CU118" si="318">CT118^2</f>
        <v>0</v>
      </c>
      <c r="CV118" s="5">
        <v>200</v>
      </c>
      <c r="CW118" s="7">
        <f t="shared" ref="CW118" si="319">CT118^4/CV118</f>
        <v>0</v>
      </c>
      <c r="CX118" s="18"/>
      <c r="CY118" s="5">
        <v>0.01</v>
      </c>
      <c r="CZ118" s="5" t="s">
        <v>80</v>
      </c>
      <c r="DA118" s="5" t="s">
        <v>49</v>
      </c>
      <c r="DB118" s="5" t="s">
        <v>48</v>
      </c>
      <c r="DC118" s="8">
        <f t="shared" ref="DC118" si="320">CY118/2</f>
        <v>5.0000000000000001E-3</v>
      </c>
      <c r="DD118" s="6" t="str">
        <f>P118</f>
        <v>µF</v>
      </c>
      <c r="DE118" s="9">
        <f t="shared" ref="DE118" si="321">SQRT(3)</f>
        <v>1.7320508075688772</v>
      </c>
      <c r="DF118" s="7">
        <f t="shared" ref="DF118" si="322">DC118/DE118</f>
        <v>2.886751345948129E-3</v>
      </c>
      <c r="DG118" s="5">
        <v>1</v>
      </c>
      <c r="DH118" s="7">
        <f t="shared" ref="DH118" si="323">DF118*DG118</f>
        <v>2.886751345948129E-3</v>
      </c>
      <c r="DI118" s="7">
        <f t="shared" ref="DI118" si="324">DH118^2</f>
        <v>8.3333333333333337E-6</v>
      </c>
      <c r="DJ118" s="5">
        <v>200</v>
      </c>
      <c r="DK118" s="7">
        <f t="shared" ref="DK118" si="325">DH118^4/DJ118</f>
        <v>3.4722222222222227E-13</v>
      </c>
      <c r="DL118" s="18"/>
      <c r="DM118" s="5">
        <v>3</v>
      </c>
      <c r="DN118" s="10" t="e">
        <f>STDEV(S118:AG118)</f>
        <v>#DIV/0!</v>
      </c>
      <c r="DO118" s="5" t="s">
        <v>50</v>
      </c>
      <c r="DP118" s="5" t="s">
        <v>47</v>
      </c>
      <c r="DQ118" s="5" t="s">
        <v>27</v>
      </c>
      <c r="DR118" s="10" t="e">
        <f t="shared" ref="DR118" si="326">DN118</f>
        <v>#DIV/0!</v>
      </c>
      <c r="DS118" s="6" t="str">
        <f>P118</f>
        <v>µF</v>
      </c>
      <c r="DT118" s="9">
        <f t="shared" ref="DT118" si="327">SQRT(DM118)</f>
        <v>1.7320508075688772</v>
      </c>
      <c r="DU118" s="10" t="e">
        <f t="shared" ref="DU118" si="328">DR118/DT118</f>
        <v>#DIV/0!</v>
      </c>
      <c r="DV118" s="5">
        <v>1</v>
      </c>
      <c r="DW118" s="11" t="e">
        <f t="shared" ref="DW118" si="329">DU118*DV118</f>
        <v>#DIV/0!</v>
      </c>
      <c r="DX118" s="11" t="e">
        <f t="shared" ref="DX118" si="330">DW118^2</f>
        <v>#DIV/0!</v>
      </c>
      <c r="DY118" s="5">
        <v>2</v>
      </c>
      <c r="DZ118" s="12" t="e">
        <f t="shared" ref="DZ118" si="331">DW118^4/DY118</f>
        <v>#DIV/0!</v>
      </c>
      <c r="EA118" s="13"/>
      <c r="EB118" s="7" t="e">
        <f>CH118+DI118+DX118</f>
        <v>#DIV/0!</v>
      </c>
      <c r="EC118" s="7" t="e">
        <f>CJ118+DK118+DZ118</f>
        <v>#DIV/0!</v>
      </c>
      <c r="ED118" s="7" t="e">
        <f t="shared" ref="ED118" si="332">SQRT(EB118)</f>
        <v>#DIV/0!</v>
      </c>
      <c r="EE118" s="8" t="e">
        <f t="shared" ref="EE118" si="333">(ED118^4)/EC118</f>
        <v>#DIV/0!</v>
      </c>
      <c r="EF118" s="14" t="e">
        <f t="shared" ref="EF118" si="334">ROUND(TINV(0.05,EE118),0)</f>
        <v>#DIV/0!</v>
      </c>
      <c r="EG118" s="33" t="e">
        <f>(ED118*EF118)</f>
        <v>#DIV/0!</v>
      </c>
      <c r="EH118" s="15" t="str">
        <f>P118</f>
        <v>µF</v>
      </c>
      <c r="EJ118" s="109"/>
      <c r="EK118" s="110" t="str">
        <f>EH118</f>
        <v>µF</v>
      </c>
      <c r="EL118" s="111" t="e">
        <f>MAX(EJ118,EG118)</f>
        <v>#DIV/0!</v>
      </c>
      <c r="EM118" s="110" t="str">
        <f t="shared" ref="EM118" si="335">EK118</f>
        <v>µF</v>
      </c>
    </row>
    <row r="119" spans="2:143" ht="13.5" x14ac:dyDescent="0.25">
      <c r="B119" s="84"/>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86"/>
    </row>
    <row r="120" spans="2:143" ht="13.5" x14ac:dyDescent="0.25">
      <c r="B120" s="84"/>
      <c r="C120" s="69"/>
      <c r="D120" s="63"/>
      <c r="E120" s="69"/>
      <c r="F120" s="85" t="s">
        <v>158</v>
      </c>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86"/>
      <c r="BY120" s="196" t="s">
        <v>72</v>
      </c>
      <c r="BZ120" s="196"/>
      <c r="CA120" s="196"/>
      <c r="CB120" s="196"/>
      <c r="CC120" s="196"/>
      <c r="CD120" s="196"/>
      <c r="CE120" s="196"/>
      <c r="CF120" s="196"/>
      <c r="CG120" s="196"/>
      <c r="CH120" s="196"/>
      <c r="CI120" s="196"/>
      <c r="CJ120" s="196"/>
      <c r="CK120" s="16"/>
      <c r="CL120" s="196"/>
      <c r="CM120" s="196"/>
      <c r="CN120" s="196"/>
      <c r="CO120" s="196"/>
      <c r="CP120" s="196"/>
      <c r="CQ120" s="196"/>
      <c r="CR120" s="196"/>
      <c r="CS120" s="196"/>
      <c r="CT120" s="196"/>
      <c r="CU120" s="196"/>
      <c r="CV120" s="196"/>
      <c r="CW120" s="196"/>
      <c r="CX120" s="16"/>
      <c r="CY120" s="196" t="s">
        <v>34</v>
      </c>
      <c r="CZ120" s="196"/>
      <c r="DA120" s="196"/>
      <c r="DB120" s="196"/>
      <c r="DC120" s="196"/>
      <c r="DD120" s="196"/>
      <c r="DE120" s="196"/>
      <c r="DF120" s="196"/>
      <c r="DG120" s="196"/>
      <c r="DH120" s="196"/>
      <c r="DI120" s="196"/>
      <c r="DJ120" s="196"/>
      <c r="DK120" s="196"/>
      <c r="DL120" s="16"/>
      <c r="DM120" s="196" t="s">
        <v>57</v>
      </c>
      <c r="DN120" s="196"/>
      <c r="DO120" s="196"/>
      <c r="DP120" s="196"/>
      <c r="DQ120" s="196"/>
      <c r="DR120" s="196"/>
      <c r="DS120" s="196"/>
      <c r="DT120" s="196"/>
      <c r="DU120" s="196"/>
      <c r="DV120" s="196"/>
      <c r="DW120" s="196"/>
      <c r="DX120" s="196"/>
      <c r="DY120" s="196"/>
      <c r="DZ120" s="196"/>
      <c r="EB120" s="196" t="s">
        <v>60</v>
      </c>
      <c r="EC120" s="196"/>
      <c r="ED120" s="196"/>
      <c r="EE120" s="196"/>
      <c r="EF120" s="196"/>
      <c r="EG120" s="196"/>
      <c r="EH120" s="196"/>
      <c r="EJ120" s="276" t="s">
        <v>188</v>
      </c>
      <c r="EK120" s="277"/>
      <c r="EL120" s="276" t="s">
        <v>189</v>
      </c>
      <c r="EM120" s="277"/>
    </row>
    <row r="121" spans="2:143" ht="13.5" customHeight="1" x14ac:dyDescent="0.25">
      <c r="B121" s="84"/>
      <c r="C121" s="69"/>
      <c r="D121" s="63"/>
      <c r="E121" s="63"/>
      <c r="F121" s="164" t="s">
        <v>74</v>
      </c>
      <c r="G121" s="164"/>
      <c r="H121" s="164"/>
      <c r="I121" s="164"/>
      <c r="J121" s="164"/>
      <c r="K121" s="164"/>
      <c r="L121" s="164" t="s">
        <v>83</v>
      </c>
      <c r="M121" s="164"/>
      <c r="N121" s="164"/>
      <c r="O121" s="164"/>
      <c r="P121" s="164"/>
      <c r="Q121" s="164"/>
      <c r="R121" s="164"/>
      <c r="S121" s="164" t="s">
        <v>116</v>
      </c>
      <c r="T121" s="164"/>
      <c r="U121" s="164"/>
      <c r="V121" s="164"/>
      <c r="W121" s="164"/>
      <c r="X121" s="164"/>
      <c r="Y121" s="164"/>
      <c r="Z121" s="164"/>
      <c r="AA121" s="164"/>
      <c r="AB121" s="164"/>
      <c r="AC121" s="164"/>
      <c r="AD121" s="164"/>
      <c r="AE121" s="164"/>
      <c r="AF121" s="164"/>
      <c r="AG121" s="164"/>
      <c r="AH121" s="164" t="s">
        <v>128</v>
      </c>
      <c r="AI121" s="164"/>
      <c r="AJ121" s="164"/>
      <c r="AK121" s="164"/>
      <c r="AL121" s="164"/>
      <c r="AM121" s="164" t="s">
        <v>85</v>
      </c>
      <c r="AN121" s="164"/>
      <c r="AO121" s="164"/>
      <c r="AP121" s="164"/>
      <c r="AQ121" s="164"/>
      <c r="AR121" s="87"/>
      <c r="AS121" s="87"/>
      <c r="AT121" s="87"/>
      <c r="AU121" s="87"/>
      <c r="AV121" s="87"/>
      <c r="AW121" s="69"/>
      <c r="AX121" s="69"/>
      <c r="AY121" s="69"/>
      <c r="AZ121" s="86"/>
      <c r="BC121" s="198" t="s">
        <v>155</v>
      </c>
      <c r="BD121" s="198"/>
      <c r="BE121" s="198"/>
      <c r="BF121" s="198"/>
      <c r="BG121" s="198"/>
      <c r="BH121" s="198" t="s">
        <v>120</v>
      </c>
      <c r="BI121" s="198"/>
      <c r="BJ121" s="198"/>
      <c r="BK121" s="198"/>
      <c r="BL121" s="198"/>
      <c r="BM121" s="198" t="s">
        <v>121</v>
      </c>
      <c r="BN121" s="198"/>
      <c r="BO121" s="198"/>
      <c r="BP121" s="198"/>
      <c r="BQ121" s="198"/>
      <c r="BR121" s="198" t="s">
        <v>119</v>
      </c>
      <c r="BS121" s="198"/>
      <c r="BT121" s="198"/>
      <c r="BU121" s="198"/>
      <c r="BV121" s="198"/>
      <c r="BY121" s="195" t="s">
        <v>28</v>
      </c>
      <c r="BZ121" s="195" t="s">
        <v>29</v>
      </c>
      <c r="CA121" s="195" t="s">
        <v>30</v>
      </c>
      <c r="CB121" s="2" t="s">
        <v>31</v>
      </c>
      <c r="CC121" s="195" t="s">
        <v>32</v>
      </c>
      <c r="CD121" s="195" t="s">
        <v>33</v>
      </c>
      <c r="CE121" s="195" t="s">
        <v>51</v>
      </c>
      <c r="CF121" s="195" t="s">
        <v>52</v>
      </c>
      <c r="CG121" s="195" t="s">
        <v>53</v>
      </c>
      <c r="CH121" s="195" t="s">
        <v>54</v>
      </c>
      <c r="CI121" s="195" t="s">
        <v>55</v>
      </c>
      <c r="CJ121" s="195" t="s">
        <v>56</v>
      </c>
      <c r="CK121" s="17"/>
      <c r="CL121" s="195" t="s">
        <v>28</v>
      </c>
      <c r="CM121" s="195" t="s">
        <v>29</v>
      </c>
      <c r="CN121" s="195" t="s">
        <v>30</v>
      </c>
      <c r="CO121" s="2" t="s">
        <v>31</v>
      </c>
      <c r="CP121" s="195" t="s">
        <v>32</v>
      </c>
      <c r="CQ121" s="195" t="s">
        <v>33</v>
      </c>
      <c r="CR121" s="195" t="s">
        <v>51</v>
      </c>
      <c r="CS121" s="195" t="s">
        <v>52</v>
      </c>
      <c r="CT121" s="195" t="s">
        <v>53</v>
      </c>
      <c r="CU121" s="195" t="s">
        <v>54</v>
      </c>
      <c r="CV121" s="195" t="s">
        <v>55</v>
      </c>
      <c r="CW121" s="195" t="s">
        <v>56</v>
      </c>
      <c r="CX121" s="17"/>
      <c r="CY121" s="195" t="s">
        <v>34</v>
      </c>
      <c r="CZ121" s="195" t="s">
        <v>28</v>
      </c>
      <c r="DA121" s="195" t="s">
        <v>29</v>
      </c>
      <c r="DB121" s="195" t="s">
        <v>30</v>
      </c>
      <c r="DC121" s="2" t="s">
        <v>31</v>
      </c>
      <c r="DD121" s="195" t="s">
        <v>32</v>
      </c>
      <c r="DE121" s="195" t="s">
        <v>33</v>
      </c>
      <c r="DF121" s="195" t="s">
        <v>51</v>
      </c>
      <c r="DG121" s="195" t="s">
        <v>52</v>
      </c>
      <c r="DH121" s="195" t="s">
        <v>53</v>
      </c>
      <c r="DI121" s="195" t="s">
        <v>54</v>
      </c>
      <c r="DJ121" s="195" t="s">
        <v>55</v>
      </c>
      <c r="DK121" s="195" t="s">
        <v>56</v>
      </c>
      <c r="DL121" s="17"/>
      <c r="DM121" s="195" t="s">
        <v>35</v>
      </c>
      <c r="DN121" s="200" t="s">
        <v>36</v>
      </c>
      <c r="DO121" s="195" t="s">
        <v>28</v>
      </c>
      <c r="DP121" s="195" t="s">
        <v>29</v>
      </c>
      <c r="DQ121" s="195" t="s">
        <v>30</v>
      </c>
      <c r="DR121" s="2" t="s">
        <v>31</v>
      </c>
      <c r="DS121" s="195" t="s">
        <v>32</v>
      </c>
      <c r="DT121" s="195" t="s">
        <v>33</v>
      </c>
      <c r="DU121" s="195" t="s">
        <v>51</v>
      </c>
      <c r="DV121" s="195" t="s">
        <v>52</v>
      </c>
      <c r="DW121" s="195" t="s">
        <v>53</v>
      </c>
      <c r="DX121" s="195" t="s">
        <v>54</v>
      </c>
      <c r="DY121" s="195" t="s">
        <v>55</v>
      </c>
      <c r="DZ121" s="195" t="s">
        <v>56</v>
      </c>
      <c r="EA121" s="3"/>
      <c r="EB121" s="54" t="s">
        <v>58</v>
      </c>
      <c r="EC121" s="54" t="s">
        <v>37</v>
      </c>
      <c r="ED121" s="54" t="s">
        <v>38</v>
      </c>
      <c r="EE121" s="4" t="s">
        <v>39</v>
      </c>
      <c r="EF121" s="54" t="s">
        <v>61</v>
      </c>
      <c r="EG121" s="195" t="s">
        <v>40</v>
      </c>
      <c r="EH121" s="195"/>
      <c r="EJ121" s="278"/>
      <c r="EK121" s="279"/>
      <c r="EL121" s="278"/>
      <c r="EM121" s="279"/>
    </row>
    <row r="122" spans="2:143" ht="13.5" x14ac:dyDescent="0.25">
      <c r="B122" s="84"/>
      <c r="C122" s="69"/>
      <c r="D122" s="63"/>
      <c r="E122" s="63"/>
      <c r="F122" s="164"/>
      <c r="G122" s="164"/>
      <c r="H122" s="164"/>
      <c r="I122" s="164"/>
      <c r="J122" s="164"/>
      <c r="K122" s="164"/>
      <c r="L122" s="164"/>
      <c r="M122" s="164"/>
      <c r="N122" s="164"/>
      <c r="O122" s="164"/>
      <c r="P122" s="164"/>
      <c r="Q122" s="164"/>
      <c r="R122" s="164"/>
      <c r="S122" s="164">
        <v>1</v>
      </c>
      <c r="T122" s="164"/>
      <c r="U122" s="164"/>
      <c r="V122" s="164"/>
      <c r="W122" s="164"/>
      <c r="X122" s="164">
        <v>2</v>
      </c>
      <c r="Y122" s="164"/>
      <c r="Z122" s="164"/>
      <c r="AA122" s="164"/>
      <c r="AB122" s="164"/>
      <c r="AC122" s="164">
        <v>3</v>
      </c>
      <c r="AD122" s="164"/>
      <c r="AE122" s="164"/>
      <c r="AF122" s="164"/>
      <c r="AG122" s="164"/>
      <c r="AH122" s="164"/>
      <c r="AI122" s="164"/>
      <c r="AJ122" s="164"/>
      <c r="AK122" s="164"/>
      <c r="AL122" s="164"/>
      <c r="AM122" s="164"/>
      <c r="AN122" s="164"/>
      <c r="AO122" s="164"/>
      <c r="AP122" s="164"/>
      <c r="AQ122" s="164"/>
      <c r="AR122" s="87"/>
      <c r="AS122" s="87"/>
      <c r="AT122" s="87"/>
      <c r="AU122" s="87"/>
      <c r="AV122" s="87"/>
      <c r="AW122" s="69"/>
      <c r="AX122" s="69"/>
      <c r="AY122" s="69"/>
      <c r="AZ122" s="86"/>
      <c r="BC122" s="198"/>
      <c r="BD122" s="198"/>
      <c r="BE122" s="198"/>
      <c r="BF122" s="198"/>
      <c r="BG122" s="198"/>
      <c r="BH122" s="198"/>
      <c r="BI122" s="198"/>
      <c r="BJ122" s="198"/>
      <c r="BK122" s="198"/>
      <c r="BL122" s="198"/>
      <c r="BM122" s="198"/>
      <c r="BN122" s="198"/>
      <c r="BO122" s="198"/>
      <c r="BP122" s="198"/>
      <c r="BQ122" s="198"/>
      <c r="BR122" s="198"/>
      <c r="BS122" s="198"/>
      <c r="BT122" s="198"/>
      <c r="BU122" s="198"/>
      <c r="BV122" s="198"/>
      <c r="BY122" s="195"/>
      <c r="BZ122" s="195"/>
      <c r="CA122" s="195"/>
      <c r="CB122" s="54" t="s">
        <v>41</v>
      </c>
      <c r="CC122" s="195"/>
      <c r="CD122" s="195"/>
      <c r="CE122" s="195"/>
      <c r="CF122" s="195"/>
      <c r="CG122" s="195"/>
      <c r="CH122" s="195"/>
      <c r="CI122" s="195"/>
      <c r="CJ122" s="195"/>
      <c r="CK122" s="17"/>
      <c r="CL122" s="195"/>
      <c r="CM122" s="195"/>
      <c r="CN122" s="195"/>
      <c r="CO122" s="54" t="s">
        <v>41</v>
      </c>
      <c r="CP122" s="195"/>
      <c r="CQ122" s="195"/>
      <c r="CR122" s="195"/>
      <c r="CS122" s="195"/>
      <c r="CT122" s="195"/>
      <c r="CU122" s="195"/>
      <c r="CV122" s="195"/>
      <c r="CW122" s="195"/>
      <c r="CX122" s="17"/>
      <c r="CY122" s="195"/>
      <c r="CZ122" s="195"/>
      <c r="DA122" s="195"/>
      <c r="DB122" s="195"/>
      <c r="DC122" s="54" t="s">
        <v>41</v>
      </c>
      <c r="DD122" s="195"/>
      <c r="DE122" s="195"/>
      <c r="DF122" s="195"/>
      <c r="DG122" s="195"/>
      <c r="DH122" s="195"/>
      <c r="DI122" s="195"/>
      <c r="DJ122" s="195"/>
      <c r="DK122" s="195"/>
      <c r="DL122" s="17"/>
      <c r="DM122" s="195"/>
      <c r="DN122" s="200"/>
      <c r="DO122" s="195"/>
      <c r="DP122" s="195"/>
      <c r="DQ122" s="195"/>
      <c r="DR122" s="54" t="s">
        <v>41</v>
      </c>
      <c r="DS122" s="195"/>
      <c r="DT122" s="195"/>
      <c r="DU122" s="195"/>
      <c r="DV122" s="195"/>
      <c r="DW122" s="195"/>
      <c r="DX122" s="195"/>
      <c r="DY122" s="195"/>
      <c r="DZ122" s="195"/>
      <c r="EA122" s="3"/>
      <c r="EB122" s="54" t="s">
        <v>54</v>
      </c>
      <c r="EC122" s="54" t="s">
        <v>59</v>
      </c>
      <c r="ED122" s="54" t="s">
        <v>42</v>
      </c>
      <c r="EE122" s="4" t="s">
        <v>43</v>
      </c>
      <c r="EF122" s="54" t="s">
        <v>44</v>
      </c>
      <c r="EG122" s="195" t="s">
        <v>45</v>
      </c>
      <c r="EH122" s="195"/>
      <c r="EJ122" s="280"/>
      <c r="EK122" s="281"/>
      <c r="EL122" s="280"/>
      <c r="EM122" s="281"/>
    </row>
    <row r="123" spans="2:143" ht="13.5" x14ac:dyDescent="0.25">
      <c r="B123" s="84"/>
      <c r="C123" s="69"/>
      <c r="D123" s="69"/>
      <c r="E123" s="69"/>
      <c r="F123" s="271" t="s">
        <v>162</v>
      </c>
      <c r="G123" s="271"/>
      <c r="H123" s="271"/>
      <c r="I123" s="271"/>
      <c r="J123" s="271"/>
      <c r="K123" s="271"/>
      <c r="L123" s="154">
        <v>10</v>
      </c>
      <c r="M123" s="272"/>
      <c r="N123" s="272"/>
      <c r="O123" s="272"/>
      <c r="P123" s="161" t="s">
        <v>27</v>
      </c>
      <c r="Q123" s="272"/>
      <c r="R123" s="273"/>
      <c r="S123" s="165"/>
      <c r="T123" s="165"/>
      <c r="U123" s="165"/>
      <c r="V123" s="165"/>
      <c r="W123" s="165"/>
      <c r="X123" s="165"/>
      <c r="Y123" s="165"/>
      <c r="Z123" s="165"/>
      <c r="AA123" s="165"/>
      <c r="AB123" s="165"/>
      <c r="AC123" s="165"/>
      <c r="AD123" s="165"/>
      <c r="AE123" s="165"/>
      <c r="AF123" s="165"/>
      <c r="AG123" s="165"/>
      <c r="AH123" s="255" t="e">
        <f t="shared" ref="AH123" si="336">AVERAGE(S123:AG123)</f>
        <v>#DIV/0!</v>
      </c>
      <c r="AI123" s="165"/>
      <c r="AJ123" s="165"/>
      <c r="AK123" s="165"/>
      <c r="AL123" s="165"/>
      <c r="AM123" s="165" t="e">
        <f>AH123-L123</f>
        <v>#DIV/0!</v>
      </c>
      <c r="AN123" s="165"/>
      <c r="AO123" s="165"/>
      <c r="AP123" s="165"/>
      <c r="AQ123" s="165"/>
      <c r="AR123" s="89"/>
      <c r="AS123" s="89"/>
      <c r="AT123" s="89"/>
      <c r="AU123" s="89"/>
      <c r="AV123" s="89"/>
      <c r="AW123" s="69"/>
      <c r="AX123" s="69"/>
      <c r="AY123" s="69"/>
      <c r="AZ123" s="86"/>
      <c r="BC123" s="192" t="e">
        <f>(AH123*1%)+(3*CY123)</f>
        <v>#DIV/0!</v>
      </c>
      <c r="BD123" s="192"/>
      <c r="BE123" s="192"/>
      <c r="BF123" s="192"/>
      <c r="BG123" s="192"/>
      <c r="BH123" s="193" t="e">
        <f>L123+BC123</f>
        <v>#DIV/0!</v>
      </c>
      <c r="BI123" s="193"/>
      <c r="BJ123" s="193"/>
      <c r="BK123" s="193"/>
      <c r="BL123" s="193"/>
      <c r="BM123" s="193" t="e">
        <f>L123-BC123</f>
        <v>#DIV/0!</v>
      </c>
      <c r="BN123" s="193"/>
      <c r="BO123" s="193"/>
      <c r="BP123" s="193"/>
      <c r="BQ123" s="193"/>
      <c r="BR123" s="197" t="e">
        <f t="shared" ref="BR123" si="337">IF(AND(AH123&lt;=BH123,AH123&gt;=BM123),"PASS","FAIL")</f>
        <v>#DIV/0!</v>
      </c>
      <c r="BS123" s="197"/>
      <c r="BT123" s="197"/>
      <c r="BU123" s="197"/>
      <c r="BV123" s="197"/>
      <c r="BY123" s="5" t="s">
        <v>46</v>
      </c>
      <c r="BZ123" s="5" t="s">
        <v>47</v>
      </c>
      <c r="CA123" s="5" t="s">
        <v>48</v>
      </c>
      <c r="CB123" s="8">
        <v>1.4E-3</v>
      </c>
      <c r="CC123" s="6" t="str">
        <f>P123</f>
        <v>A</v>
      </c>
      <c r="CD123" s="5">
        <v>2</v>
      </c>
      <c r="CE123" s="7">
        <f t="shared" ref="CE123" si="338">CB123/CD123</f>
        <v>6.9999999999999999E-4</v>
      </c>
      <c r="CF123" s="5">
        <v>1</v>
      </c>
      <c r="CG123" s="7">
        <f t="shared" ref="CG123" si="339">CE123*CF123</f>
        <v>6.9999999999999999E-4</v>
      </c>
      <c r="CH123" s="7">
        <f t="shared" ref="CH123" si="340">CG123^2</f>
        <v>4.8999999999999997E-7</v>
      </c>
      <c r="CI123" s="5">
        <v>200</v>
      </c>
      <c r="CJ123" s="7">
        <f t="shared" ref="CJ123" si="341">CG123^4/CI123</f>
        <v>1.2004999999999997E-15</v>
      </c>
      <c r="CK123" s="18"/>
      <c r="CL123" s="5" t="s">
        <v>174</v>
      </c>
      <c r="CM123" s="5" t="s">
        <v>49</v>
      </c>
      <c r="CN123" s="5" t="s">
        <v>48</v>
      </c>
      <c r="CO123" s="8">
        <v>0</v>
      </c>
      <c r="CP123" s="6" t="str">
        <f>CC123</f>
        <v>A</v>
      </c>
      <c r="CQ123" s="9">
        <f t="shared" ref="CQ123" si="342">SQRT(3)</f>
        <v>1.7320508075688772</v>
      </c>
      <c r="CR123" s="7">
        <f t="shared" ref="CR123" si="343">CO123/CQ123</f>
        <v>0</v>
      </c>
      <c r="CS123" s="5">
        <v>1</v>
      </c>
      <c r="CT123" s="7">
        <f t="shared" ref="CT123" si="344">CR123*CS123</f>
        <v>0</v>
      </c>
      <c r="CU123" s="7">
        <f t="shared" ref="CU123" si="345">CT123^2</f>
        <v>0</v>
      </c>
      <c r="CV123" s="5">
        <v>200</v>
      </c>
      <c r="CW123" s="7">
        <f t="shared" ref="CW123" si="346">CT123^4/CV123</f>
        <v>0</v>
      </c>
      <c r="CX123" s="18"/>
      <c r="CY123" s="5">
        <v>0.01</v>
      </c>
      <c r="CZ123" s="5" t="s">
        <v>80</v>
      </c>
      <c r="DA123" s="5" t="s">
        <v>49</v>
      </c>
      <c r="DB123" s="5" t="s">
        <v>48</v>
      </c>
      <c r="DC123" s="8">
        <f t="shared" ref="DC123" si="347">CY123/2</f>
        <v>5.0000000000000001E-3</v>
      </c>
      <c r="DD123" s="6" t="str">
        <f>P123</f>
        <v>A</v>
      </c>
      <c r="DE123" s="9">
        <f t="shared" ref="DE123" si="348">SQRT(3)</f>
        <v>1.7320508075688772</v>
      </c>
      <c r="DF123" s="7">
        <f t="shared" ref="DF123" si="349">DC123/DE123</f>
        <v>2.886751345948129E-3</v>
      </c>
      <c r="DG123" s="5">
        <v>1</v>
      </c>
      <c r="DH123" s="7">
        <f t="shared" ref="DH123" si="350">DF123*DG123</f>
        <v>2.886751345948129E-3</v>
      </c>
      <c r="DI123" s="7">
        <f t="shared" ref="DI123" si="351">DH123^2</f>
        <v>8.3333333333333337E-6</v>
      </c>
      <c r="DJ123" s="5">
        <v>200</v>
      </c>
      <c r="DK123" s="7">
        <f t="shared" ref="DK123" si="352">DH123^4/DJ123</f>
        <v>3.4722222222222227E-13</v>
      </c>
      <c r="DL123" s="18"/>
      <c r="DM123" s="5">
        <v>3</v>
      </c>
      <c r="DN123" s="10" t="e">
        <f>STDEV(S123:AG123)</f>
        <v>#DIV/0!</v>
      </c>
      <c r="DO123" s="5" t="s">
        <v>50</v>
      </c>
      <c r="DP123" s="5" t="s">
        <v>47</v>
      </c>
      <c r="DQ123" s="5" t="s">
        <v>27</v>
      </c>
      <c r="DR123" s="10" t="e">
        <f t="shared" ref="DR123" si="353">DN123</f>
        <v>#DIV/0!</v>
      </c>
      <c r="DS123" s="6" t="str">
        <f>P123</f>
        <v>A</v>
      </c>
      <c r="DT123" s="9">
        <f t="shared" ref="DT123" si="354">SQRT(DM123)</f>
        <v>1.7320508075688772</v>
      </c>
      <c r="DU123" s="10" t="e">
        <f t="shared" ref="DU123" si="355">DR123/DT123</f>
        <v>#DIV/0!</v>
      </c>
      <c r="DV123" s="5">
        <v>1</v>
      </c>
      <c r="DW123" s="11" t="e">
        <f t="shared" ref="DW123" si="356">DU123*DV123</f>
        <v>#DIV/0!</v>
      </c>
      <c r="DX123" s="11" t="e">
        <f t="shared" ref="DX123" si="357">DW123^2</f>
        <v>#DIV/0!</v>
      </c>
      <c r="DY123" s="5">
        <v>2</v>
      </c>
      <c r="DZ123" s="12" t="e">
        <f t="shared" ref="DZ123" si="358">DW123^4/DY123</f>
        <v>#DIV/0!</v>
      </c>
      <c r="EA123" s="13"/>
      <c r="EB123" s="7" t="e">
        <f>CH123+DI123+DX123</f>
        <v>#DIV/0!</v>
      </c>
      <c r="EC123" s="7" t="e">
        <f>CJ123+DK123+DZ123</f>
        <v>#DIV/0!</v>
      </c>
      <c r="ED123" s="7" t="e">
        <f t="shared" ref="ED123" si="359">SQRT(EB123)</f>
        <v>#DIV/0!</v>
      </c>
      <c r="EE123" s="8" t="e">
        <f t="shared" ref="EE123" si="360">(ED123^4)/EC123</f>
        <v>#DIV/0!</v>
      </c>
      <c r="EF123" s="14" t="e">
        <f t="shared" ref="EF123" si="361">ROUND(TINV(0.05,EE123),0)</f>
        <v>#DIV/0!</v>
      </c>
      <c r="EG123" s="33" t="e">
        <f>(ED123*EF123)</f>
        <v>#DIV/0!</v>
      </c>
      <c r="EH123" s="15" t="str">
        <f>P123</f>
        <v>A</v>
      </c>
      <c r="EJ123" s="109">
        <v>1.6000000000000001E-3</v>
      </c>
      <c r="EK123" s="110" t="str">
        <f>EH123</f>
        <v>A</v>
      </c>
      <c r="EL123" s="111" t="e">
        <f>MAX(EJ123,EG123)</f>
        <v>#DIV/0!</v>
      </c>
      <c r="EM123" s="110" t="str">
        <f t="shared" ref="EM123" si="362">EK123</f>
        <v>A</v>
      </c>
    </row>
    <row r="124" spans="2:143" ht="13.5" x14ac:dyDescent="0.25">
      <c r="B124" s="84"/>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86"/>
    </row>
    <row r="125" spans="2:143" ht="13.5" x14ac:dyDescent="0.25">
      <c r="B125" s="84"/>
      <c r="C125" s="69"/>
      <c r="D125" s="63"/>
      <c r="E125" s="69"/>
      <c r="F125" s="85" t="s">
        <v>159</v>
      </c>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86"/>
      <c r="BY125" s="196" t="s">
        <v>72</v>
      </c>
      <c r="BZ125" s="196"/>
      <c r="CA125" s="196"/>
      <c r="CB125" s="196"/>
      <c r="CC125" s="196"/>
      <c r="CD125" s="196"/>
      <c r="CE125" s="196"/>
      <c r="CF125" s="196"/>
      <c r="CG125" s="196"/>
      <c r="CH125" s="196"/>
      <c r="CI125" s="196"/>
      <c r="CJ125" s="196"/>
      <c r="CK125" s="16"/>
      <c r="CL125" s="196"/>
      <c r="CM125" s="196"/>
      <c r="CN125" s="196"/>
      <c r="CO125" s="196"/>
      <c r="CP125" s="196"/>
      <c r="CQ125" s="196"/>
      <c r="CR125" s="196"/>
      <c r="CS125" s="196"/>
      <c r="CT125" s="196"/>
      <c r="CU125" s="196"/>
      <c r="CV125" s="196"/>
      <c r="CW125" s="196"/>
      <c r="CX125" s="16"/>
      <c r="CY125" s="196" t="s">
        <v>34</v>
      </c>
      <c r="CZ125" s="196"/>
      <c r="DA125" s="196"/>
      <c r="DB125" s="196"/>
      <c r="DC125" s="196"/>
      <c r="DD125" s="196"/>
      <c r="DE125" s="196"/>
      <c r="DF125" s="196"/>
      <c r="DG125" s="196"/>
      <c r="DH125" s="196"/>
      <c r="DI125" s="196"/>
      <c r="DJ125" s="196"/>
      <c r="DK125" s="196"/>
      <c r="DL125" s="16"/>
      <c r="DM125" s="196" t="s">
        <v>57</v>
      </c>
      <c r="DN125" s="196"/>
      <c r="DO125" s="196"/>
      <c r="DP125" s="196"/>
      <c r="DQ125" s="196"/>
      <c r="DR125" s="196"/>
      <c r="DS125" s="196"/>
      <c r="DT125" s="196"/>
      <c r="DU125" s="196"/>
      <c r="DV125" s="196"/>
      <c r="DW125" s="196"/>
      <c r="DX125" s="196"/>
      <c r="DY125" s="196"/>
      <c r="DZ125" s="196"/>
      <c r="EB125" s="196" t="s">
        <v>60</v>
      </c>
      <c r="EC125" s="196"/>
      <c r="ED125" s="196"/>
      <c r="EE125" s="196"/>
      <c r="EF125" s="196"/>
      <c r="EG125" s="196"/>
      <c r="EH125" s="196"/>
      <c r="EJ125" s="276" t="s">
        <v>188</v>
      </c>
      <c r="EK125" s="277"/>
      <c r="EL125" s="276" t="s">
        <v>189</v>
      </c>
      <c r="EM125" s="277"/>
    </row>
    <row r="126" spans="2:143" ht="13.5" customHeight="1" x14ac:dyDescent="0.25">
      <c r="B126" s="84"/>
      <c r="C126" s="69"/>
      <c r="D126" s="63"/>
      <c r="E126" s="63"/>
      <c r="F126" s="164" t="s">
        <v>74</v>
      </c>
      <c r="G126" s="164"/>
      <c r="H126" s="164"/>
      <c r="I126" s="164"/>
      <c r="J126" s="164"/>
      <c r="K126" s="164"/>
      <c r="L126" s="164" t="s">
        <v>83</v>
      </c>
      <c r="M126" s="164"/>
      <c r="N126" s="164"/>
      <c r="O126" s="164"/>
      <c r="P126" s="164"/>
      <c r="Q126" s="164"/>
      <c r="R126" s="164"/>
      <c r="S126" s="164" t="s">
        <v>127</v>
      </c>
      <c r="T126" s="164"/>
      <c r="U126" s="164"/>
      <c r="V126" s="164"/>
      <c r="W126" s="164"/>
      <c r="X126" s="164" t="s">
        <v>116</v>
      </c>
      <c r="Y126" s="164"/>
      <c r="Z126" s="164"/>
      <c r="AA126" s="164"/>
      <c r="AB126" s="164"/>
      <c r="AC126" s="164"/>
      <c r="AD126" s="164"/>
      <c r="AE126" s="164"/>
      <c r="AF126" s="164"/>
      <c r="AG126" s="164"/>
      <c r="AH126" s="164"/>
      <c r="AI126" s="164"/>
      <c r="AJ126" s="164"/>
      <c r="AK126" s="164"/>
      <c r="AL126" s="164"/>
      <c r="AM126" s="164" t="s">
        <v>128</v>
      </c>
      <c r="AN126" s="164"/>
      <c r="AO126" s="164"/>
      <c r="AP126" s="164"/>
      <c r="AQ126" s="164"/>
      <c r="AR126" s="164" t="s">
        <v>85</v>
      </c>
      <c r="AS126" s="164"/>
      <c r="AT126" s="164"/>
      <c r="AU126" s="164"/>
      <c r="AV126" s="164"/>
      <c r="AW126" s="69"/>
      <c r="AX126" s="69"/>
      <c r="AY126" s="69"/>
      <c r="AZ126" s="86"/>
      <c r="BC126" s="198" t="s">
        <v>155</v>
      </c>
      <c r="BD126" s="198"/>
      <c r="BE126" s="198"/>
      <c r="BF126" s="198"/>
      <c r="BG126" s="198"/>
      <c r="BH126" s="198" t="s">
        <v>120</v>
      </c>
      <c r="BI126" s="198"/>
      <c r="BJ126" s="198"/>
      <c r="BK126" s="198"/>
      <c r="BL126" s="198"/>
      <c r="BM126" s="198" t="s">
        <v>121</v>
      </c>
      <c r="BN126" s="198"/>
      <c r="BO126" s="198"/>
      <c r="BP126" s="198"/>
      <c r="BQ126" s="198"/>
      <c r="BR126" s="198" t="s">
        <v>119</v>
      </c>
      <c r="BS126" s="198"/>
      <c r="BT126" s="198"/>
      <c r="BU126" s="198"/>
      <c r="BV126" s="198"/>
      <c r="BY126" s="195" t="s">
        <v>28</v>
      </c>
      <c r="BZ126" s="195" t="s">
        <v>29</v>
      </c>
      <c r="CA126" s="195" t="s">
        <v>30</v>
      </c>
      <c r="CB126" s="2" t="s">
        <v>31</v>
      </c>
      <c r="CC126" s="195" t="s">
        <v>32</v>
      </c>
      <c r="CD126" s="195" t="s">
        <v>33</v>
      </c>
      <c r="CE126" s="195" t="s">
        <v>51</v>
      </c>
      <c r="CF126" s="195" t="s">
        <v>52</v>
      </c>
      <c r="CG126" s="195" t="s">
        <v>53</v>
      </c>
      <c r="CH126" s="195" t="s">
        <v>54</v>
      </c>
      <c r="CI126" s="195" t="s">
        <v>55</v>
      </c>
      <c r="CJ126" s="195" t="s">
        <v>56</v>
      </c>
      <c r="CK126" s="17"/>
      <c r="CL126" s="195" t="s">
        <v>28</v>
      </c>
      <c r="CM126" s="195" t="s">
        <v>29</v>
      </c>
      <c r="CN126" s="195" t="s">
        <v>30</v>
      </c>
      <c r="CO126" s="2" t="s">
        <v>31</v>
      </c>
      <c r="CP126" s="195" t="s">
        <v>32</v>
      </c>
      <c r="CQ126" s="195" t="s">
        <v>33</v>
      </c>
      <c r="CR126" s="195" t="s">
        <v>51</v>
      </c>
      <c r="CS126" s="195" t="s">
        <v>52</v>
      </c>
      <c r="CT126" s="195" t="s">
        <v>53</v>
      </c>
      <c r="CU126" s="195" t="s">
        <v>54</v>
      </c>
      <c r="CV126" s="195" t="s">
        <v>55</v>
      </c>
      <c r="CW126" s="195" t="s">
        <v>56</v>
      </c>
      <c r="CX126" s="17"/>
      <c r="CY126" s="195" t="s">
        <v>34</v>
      </c>
      <c r="CZ126" s="195" t="s">
        <v>28</v>
      </c>
      <c r="DA126" s="195" t="s">
        <v>29</v>
      </c>
      <c r="DB126" s="195" t="s">
        <v>30</v>
      </c>
      <c r="DC126" s="2" t="s">
        <v>31</v>
      </c>
      <c r="DD126" s="195" t="s">
        <v>32</v>
      </c>
      <c r="DE126" s="195" t="s">
        <v>33</v>
      </c>
      <c r="DF126" s="195" t="s">
        <v>51</v>
      </c>
      <c r="DG126" s="195" t="s">
        <v>52</v>
      </c>
      <c r="DH126" s="195" t="s">
        <v>53</v>
      </c>
      <c r="DI126" s="195" t="s">
        <v>54</v>
      </c>
      <c r="DJ126" s="195" t="s">
        <v>55</v>
      </c>
      <c r="DK126" s="195" t="s">
        <v>56</v>
      </c>
      <c r="DL126" s="17"/>
      <c r="DM126" s="195" t="s">
        <v>35</v>
      </c>
      <c r="DN126" s="200" t="s">
        <v>36</v>
      </c>
      <c r="DO126" s="195" t="s">
        <v>28</v>
      </c>
      <c r="DP126" s="195" t="s">
        <v>29</v>
      </c>
      <c r="DQ126" s="195" t="s">
        <v>30</v>
      </c>
      <c r="DR126" s="2" t="s">
        <v>31</v>
      </c>
      <c r="DS126" s="195" t="s">
        <v>32</v>
      </c>
      <c r="DT126" s="195" t="s">
        <v>33</v>
      </c>
      <c r="DU126" s="195" t="s">
        <v>51</v>
      </c>
      <c r="DV126" s="195" t="s">
        <v>52</v>
      </c>
      <c r="DW126" s="195" t="s">
        <v>53</v>
      </c>
      <c r="DX126" s="195" t="s">
        <v>54</v>
      </c>
      <c r="DY126" s="195" t="s">
        <v>55</v>
      </c>
      <c r="DZ126" s="195" t="s">
        <v>56</v>
      </c>
      <c r="EA126" s="3"/>
      <c r="EB126" s="54" t="s">
        <v>58</v>
      </c>
      <c r="EC126" s="54" t="s">
        <v>37</v>
      </c>
      <c r="ED126" s="54" t="s">
        <v>38</v>
      </c>
      <c r="EE126" s="4" t="s">
        <v>39</v>
      </c>
      <c r="EF126" s="54" t="s">
        <v>61</v>
      </c>
      <c r="EG126" s="195" t="s">
        <v>40</v>
      </c>
      <c r="EH126" s="195"/>
      <c r="EJ126" s="278"/>
      <c r="EK126" s="279"/>
      <c r="EL126" s="278"/>
      <c r="EM126" s="279"/>
    </row>
    <row r="127" spans="2:143" ht="13.5" x14ac:dyDescent="0.25">
      <c r="B127" s="84"/>
      <c r="C127" s="69"/>
      <c r="D127" s="63"/>
      <c r="E127" s="63"/>
      <c r="F127" s="164"/>
      <c r="G127" s="164"/>
      <c r="H127" s="164"/>
      <c r="I127" s="164"/>
      <c r="J127" s="164"/>
      <c r="K127" s="164"/>
      <c r="L127" s="164"/>
      <c r="M127" s="164"/>
      <c r="N127" s="164"/>
      <c r="O127" s="164"/>
      <c r="P127" s="164"/>
      <c r="Q127" s="164"/>
      <c r="R127" s="164"/>
      <c r="S127" s="164"/>
      <c r="T127" s="164"/>
      <c r="U127" s="164"/>
      <c r="V127" s="164"/>
      <c r="W127" s="164"/>
      <c r="X127" s="164">
        <v>1</v>
      </c>
      <c r="Y127" s="164"/>
      <c r="Z127" s="164"/>
      <c r="AA127" s="164"/>
      <c r="AB127" s="164"/>
      <c r="AC127" s="164">
        <v>2</v>
      </c>
      <c r="AD127" s="164"/>
      <c r="AE127" s="164"/>
      <c r="AF127" s="164"/>
      <c r="AG127" s="164"/>
      <c r="AH127" s="164">
        <v>3</v>
      </c>
      <c r="AI127" s="164"/>
      <c r="AJ127" s="164"/>
      <c r="AK127" s="164"/>
      <c r="AL127" s="164"/>
      <c r="AM127" s="164"/>
      <c r="AN127" s="164"/>
      <c r="AO127" s="164"/>
      <c r="AP127" s="164"/>
      <c r="AQ127" s="164"/>
      <c r="AR127" s="164"/>
      <c r="AS127" s="164"/>
      <c r="AT127" s="164"/>
      <c r="AU127" s="164"/>
      <c r="AV127" s="164"/>
      <c r="AW127" s="69"/>
      <c r="AX127" s="69"/>
      <c r="AY127" s="69"/>
      <c r="AZ127" s="86"/>
      <c r="BC127" s="198"/>
      <c r="BD127" s="198"/>
      <c r="BE127" s="198"/>
      <c r="BF127" s="198"/>
      <c r="BG127" s="198"/>
      <c r="BH127" s="198"/>
      <c r="BI127" s="198"/>
      <c r="BJ127" s="198"/>
      <c r="BK127" s="198"/>
      <c r="BL127" s="198"/>
      <c r="BM127" s="198"/>
      <c r="BN127" s="198"/>
      <c r="BO127" s="198"/>
      <c r="BP127" s="198"/>
      <c r="BQ127" s="198"/>
      <c r="BR127" s="198"/>
      <c r="BS127" s="198"/>
      <c r="BT127" s="198"/>
      <c r="BU127" s="198"/>
      <c r="BV127" s="198"/>
      <c r="BY127" s="195"/>
      <c r="BZ127" s="195"/>
      <c r="CA127" s="195"/>
      <c r="CB127" s="54" t="s">
        <v>41</v>
      </c>
      <c r="CC127" s="195"/>
      <c r="CD127" s="195"/>
      <c r="CE127" s="195"/>
      <c r="CF127" s="195"/>
      <c r="CG127" s="195"/>
      <c r="CH127" s="195"/>
      <c r="CI127" s="195"/>
      <c r="CJ127" s="195"/>
      <c r="CK127" s="17"/>
      <c r="CL127" s="195"/>
      <c r="CM127" s="195"/>
      <c r="CN127" s="195"/>
      <c r="CO127" s="54" t="s">
        <v>41</v>
      </c>
      <c r="CP127" s="195"/>
      <c r="CQ127" s="195"/>
      <c r="CR127" s="195"/>
      <c r="CS127" s="195"/>
      <c r="CT127" s="195"/>
      <c r="CU127" s="195"/>
      <c r="CV127" s="195"/>
      <c r="CW127" s="195"/>
      <c r="CX127" s="17"/>
      <c r="CY127" s="195"/>
      <c r="CZ127" s="195"/>
      <c r="DA127" s="195"/>
      <c r="DB127" s="195"/>
      <c r="DC127" s="54" t="s">
        <v>41</v>
      </c>
      <c r="DD127" s="195"/>
      <c r="DE127" s="195"/>
      <c r="DF127" s="195"/>
      <c r="DG127" s="195"/>
      <c r="DH127" s="195"/>
      <c r="DI127" s="195"/>
      <c r="DJ127" s="195"/>
      <c r="DK127" s="195"/>
      <c r="DL127" s="17"/>
      <c r="DM127" s="195"/>
      <c r="DN127" s="200"/>
      <c r="DO127" s="195"/>
      <c r="DP127" s="195"/>
      <c r="DQ127" s="195"/>
      <c r="DR127" s="54" t="s">
        <v>41</v>
      </c>
      <c r="DS127" s="195"/>
      <c r="DT127" s="195"/>
      <c r="DU127" s="195"/>
      <c r="DV127" s="195"/>
      <c r="DW127" s="195"/>
      <c r="DX127" s="195"/>
      <c r="DY127" s="195"/>
      <c r="DZ127" s="195"/>
      <c r="EA127" s="3"/>
      <c r="EB127" s="54" t="s">
        <v>54</v>
      </c>
      <c r="EC127" s="54" t="s">
        <v>59</v>
      </c>
      <c r="ED127" s="54" t="s">
        <v>42</v>
      </c>
      <c r="EE127" s="4" t="s">
        <v>43</v>
      </c>
      <c r="EF127" s="54" t="s">
        <v>44</v>
      </c>
      <c r="EG127" s="195" t="s">
        <v>45</v>
      </c>
      <c r="EH127" s="195"/>
      <c r="EJ127" s="280"/>
      <c r="EK127" s="281"/>
      <c r="EL127" s="280"/>
      <c r="EM127" s="281"/>
    </row>
    <row r="128" spans="2:143" ht="13.5" x14ac:dyDescent="0.25">
      <c r="B128" s="84"/>
      <c r="C128" s="69"/>
      <c r="D128" s="69"/>
      <c r="E128" s="69"/>
      <c r="F128" s="271" t="s">
        <v>163</v>
      </c>
      <c r="G128" s="271"/>
      <c r="H128" s="271"/>
      <c r="I128" s="271"/>
      <c r="J128" s="271"/>
      <c r="K128" s="271"/>
      <c r="L128" s="154">
        <v>5</v>
      </c>
      <c r="M128" s="272"/>
      <c r="N128" s="272"/>
      <c r="O128" s="272"/>
      <c r="P128" s="161" t="s">
        <v>27</v>
      </c>
      <c r="Q128" s="272"/>
      <c r="R128" s="273"/>
      <c r="S128" s="194" t="s">
        <v>129</v>
      </c>
      <c r="T128" s="194"/>
      <c r="U128" s="194"/>
      <c r="V128" s="194"/>
      <c r="W128" s="194"/>
      <c r="X128" s="163"/>
      <c r="Y128" s="163"/>
      <c r="Z128" s="163"/>
      <c r="AA128" s="163"/>
      <c r="AB128" s="163"/>
      <c r="AC128" s="163"/>
      <c r="AD128" s="163"/>
      <c r="AE128" s="163"/>
      <c r="AF128" s="163"/>
      <c r="AG128" s="163"/>
      <c r="AH128" s="163"/>
      <c r="AI128" s="163"/>
      <c r="AJ128" s="163"/>
      <c r="AK128" s="163"/>
      <c r="AL128" s="163"/>
      <c r="AM128" s="262" t="e">
        <f t="shared" ref="AM128" si="363">AVERAGE(X128:AL128)</f>
        <v>#DIV/0!</v>
      </c>
      <c r="AN128" s="163"/>
      <c r="AO128" s="163"/>
      <c r="AP128" s="163"/>
      <c r="AQ128" s="163"/>
      <c r="AR128" s="163" t="e">
        <f>AM128-L128</f>
        <v>#DIV/0!</v>
      </c>
      <c r="AS128" s="163"/>
      <c r="AT128" s="163"/>
      <c r="AU128" s="163"/>
      <c r="AV128" s="163"/>
      <c r="AW128" s="69"/>
      <c r="AX128" s="69"/>
      <c r="AY128" s="69"/>
      <c r="AZ128" s="86"/>
      <c r="BC128" s="192" t="e">
        <f>(AM128*1.5%)+(3*0.001)</f>
        <v>#DIV/0!</v>
      </c>
      <c r="BD128" s="192"/>
      <c r="BE128" s="192"/>
      <c r="BF128" s="192"/>
      <c r="BG128" s="192"/>
      <c r="BH128" s="192" t="e">
        <f>L128+BC128</f>
        <v>#DIV/0!</v>
      </c>
      <c r="BI128" s="192"/>
      <c r="BJ128" s="192"/>
      <c r="BK128" s="192"/>
      <c r="BL128" s="192"/>
      <c r="BM128" s="192" t="e">
        <f>L128-BC128</f>
        <v>#DIV/0!</v>
      </c>
      <c r="BN128" s="192"/>
      <c r="BO128" s="192"/>
      <c r="BP128" s="192"/>
      <c r="BQ128" s="192"/>
      <c r="BR128" s="197" t="e">
        <f>IF(AND(AM128&lt;=BH128,AM128&gt;=BM128),"PASS","FAIL")</f>
        <v>#DIV/0!</v>
      </c>
      <c r="BS128" s="197"/>
      <c r="BT128" s="197"/>
      <c r="BU128" s="197"/>
      <c r="BV128" s="197"/>
      <c r="BY128" s="5" t="s">
        <v>46</v>
      </c>
      <c r="BZ128" s="5" t="s">
        <v>47</v>
      </c>
      <c r="CA128" s="5" t="s">
        <v>48</v>
      </c>
      <c r="CB128" s="9">
        <v>0.01</v>
      </c>
      <c r="CC128" s="6" t="str">
        <f>P128</f>
        <v>A</v>
      </c>
      <c r="CD128" s="5">
        <v>2</v>
      </c>
      <c r="CE128" s="7">
        <f t="shared" ref="CE128" si="364">CB128/CD128</f>
        <v>5.0000000000000001E-3</v>
      </c>
      <c r="CF128" s="5">
        <v>1</v>
      </c>
      <c r="CG128" s="7">
        <f t="shared" ref="CG128" si="365">CE128*CF128</f>
        <v>5.0000000000000001E-3</v>
      </c>
      <c r="CH128" s="7">
        <f t="shared" ref="CH128" si="366">CG128^2</f>
        <v>2.5000000000000001E-5</v>
      </c>
      <c r="CI128" s="5">
        <v>200</v>
      </c>
      <c r="CJ128" s="7">
        <f t="shared" ref="CJ128" si="367">CG128^4/CI128</f>
        <v>3.1250000000000001E-12</v>
      </c>
      <c r="CK128" s="18"/>
      <c r="CL128" s="5" t="s">
        <v>174</v>
      </c>
      <c r="CM128" s="5" t="s">
        <v>49</v>
      </c>
      <c r="CN128" s="5" t="s">
        <v>48</v>
      </c>
      <c r="CO128" s="8">
        <v>0</v>
      </c>
      <c r="CP128" s="6" t="str">
        <f>CC128</f>
        <v>A</v>
      </c>
      <c r="CQ128" s="9">
        <f t="shared" ref="CQ128" si="368">SQRT(3)</f>
        <v>1.7320508075688772</v>
      </c>
      <c r="CR128" s="7">
        <f t="shared" ref="CR128" si="369">CO128/CQ128</f>
        <v>0</v>
      </c>
      <c r="CS128" s="5">
        <v>1</v>
      </c>
      <c r="CT128" s="7">
        <f t="shared" ref="CT128" si="370">CR128*CS128</f>
        <v>0</v>
      </c>
      <c r="CU128" s="7">
        <f t="shared" ref="CU128" si="371">CT128^2</f>
        <v>0</v>
      </c>
      <c r="CV128" s="5">
        <v>200</v>
      </c>
      <c r="CW128" s="7">
        <f t="shared" ref="CW128" si="372">CT128^4/CV128</f>
        <v>0</v>
      </c>
      <c r="CX128" s="18"/>
      <c r="CY128" s="5">
        <v>1E-3</v>
      </c>
      <c r="CZ128" s="5" t="s">
        <v>80</v>
      </c>
      <c r="DA128" s="5" t="s">
        <v>49</v>
      </c>
      <c r="DB128" s="5" t="s">
        <v>48</v>
      </c>
      <c r="DC128" s="8">
        <f t="shared" ref="DC128" si="373">CY128/2</f>
        <v>5.0000000000000001E-4</v>
      </c>
      <c r="DD128" s="6" t="str">
        <f>P128</f>
        <v>A</v>
      </c>
      <c r="DE128" s="9">
        <f t="shared" ref="DE128" si="374">SQRT(3)</f>
        <v>1.7320508075688772</v>
      </c>
      <c r="DF128" s="7">
        <f t="shared" ref="DF128" si="375">DC128/DE128</f>
        <v>2.886751345948129E-4</v>
      </c>
      <c r="DG128" s="5">
        <v>1</v>
      </c>
      <c r="DH128" s="7">
        <f t="shared" ref="DH128" si="376">DF128*DG128</f>
        <v>2.886751345948129E-4</v>
      </c>
      <c r="DI128" s="7">
        <f t="shared" ref="DI128" si="377">DH128^2</f>
        <v>8.3333333333333338E-8</v>
      </c>
      <c r="DJ128" s="5">
        <v>200</v>
      </c>
      <c r="DK128" s="7">
        <f t="shared" ref="DK128" si="378">DH128^4/DJ128</f>
        <v>3.4722222222222225E-17</v>
      </c>
      <c r="DL128" s="18"/>
      <c r="DM128" s="5">
        <v>3</v>
      </c>
      <c r="DN128" s="10" t="e">
        <f>STDEV(X128:AL128)</f>
        <v>#DIV/0!</v>
      </c>
      <c r="DO128" s="5" t="s">
        <v>50</v>
      </c>
      <c r="DP128" s="5" t="s">
        <v>47</v>
      </c>
      <c r="DQ128" s="5" t="s">
        <v>27</v>
      </c>
      <c r="DR128" s="10" t="e">
        <f t="shared" ref="DR128" si="379">DN128</f>
        <v>#DIV/0!</v>
      </c>
      <c r="DS128" s="6" t="str">
        <f>P128</f>
        <v>A</v>
      </c>
      <c r="DT128" s="9">
        <f t="shared" ref="DT128" si="380">SQRT(DM128)</f>
        <v>1.7320508075688772</v>
      </c>
      <c r="DU128" s="10" t="e">
        <f t="shared" ref="DU128" si="381">DR128/DT128</f>
        <v>#DIV/0!</v>
      </c>
      <c r="DV128" s="5">
        <v>1</v>
      </c>
      <c r="DW128" s="11" t="e">
        <f t="shared" ref="DW128" si="382">DU128*DV128</f>
        <v>#DIV/0!</v>
      </c>
      <c r="DX128" s="11" t="e">
        <f t="shared" ref="DX128" si="383">DW128^2</f>
        <v>#DIV/0!</v>
      </c>
      <c r="DY128" s="5">
        <v>2</v>
      </c>
      <c r="DZ128" s="12" t="e">
        <f t="shared" ref="DZ128" si="384">DW128^4/DY128</f>
        <v>#DIV/0!</v>
      </c>
      <c r="EA128" s="13"/>
      <c r="EB128" s="7" t="e">
        <f>CH128+DI128+DX128</f>
        <v>#DIV/0!</v>
      </c>
      <c r="EC128" s="7" t="e">
        <f>CJ128+DK128+DZ128</f>
        <v>#DIV/0!</v>
      </c>
      <c r="ED128" s="7" t="e">
        <f t="shared" ref="ED128" si="385">SQRT(EB128)</f>
        <v>#DIV/0!</v>
      </c>
      <c r="EE128" s="8" t="e">
        <f t="shared" ref="EE128" si="386">(ED128^4)/EC128</f>
        <v>#DIV/0!</v>
      </c>
      <c r="EF128" s="14" t="e">
        <f t="shared" ref="EF128" si="387">ROUND(TINV(0.05,EE128),0)</f>
        <v>#DIV/0!</v>
      </c>
      <c r="EG128" s="33" t="e">
        <f>(ED128*EF128)</f>
        <v>#DIV/0!</v>
      </c>
      <c r="EH128" s="15" t="str">
        <f>P128</f>
        <v>A</v>
      </c>
      <c r="EJ128" s="109">
        <v>2.8999999999999998E-3</v>
      </c>
      <c r="EK128" s="110" t="str">
        <f>EH128</f>
        <v>A</v>
      </c>
      <c r="EL128" s="111" t="e">
        <f>MAX(EJ128,EG128)</f>
        <v>#DIV/0!</v>
      </c>
      <c r="EM128" s="110" t="str">
        <f t="shared" ref="EM128" si="388">EK128</f>
        <v>A</v>
      </c>
    </row>
    <row r="129" spans="2:52" ht="13.5" x14ac:dyDescent="0.25">
      <c r="B129" s="84"/>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86"/>
    </row>
    <row r="130" spans="2:52" ht="13.5" x14ac:dyDescent="0.25">
      <c r="B130" s="98" t="s">
        <v>68</v>
      </c>
      <c r="C130" s="99"/>
      <c r="D130" s="99"/>
      <c r="E130" s="99"/>
      <c r="F130" s="99"/>
      <c r="G130" s="99"/>
      <c r="H130" s="99"/>
      <c r="I130" s="99"/>
      <c r="J130" s="76"/>
      <c r="K130" s="76"/>
      <c r="L130" s="76"/>
      <c r="M130" s="76"/>
      <c r="N130" s="76"/>
      <c r="O130" s="76"/>
      <c r="P130" s="76"/>
      <c r="Q130" s="76"/>
      <c r="R130" s="76"/>
      <c r="S130" s="76"/>
      <c r="T130" s="76"/>
      <c r="U130" s="76"/>
      <c r="V130" s="76"/>
      <c r="W130" s="76"/>
      <c r="X130" s="76"/>
      <c r="Y130" s="99"/>
      <c r="Z130" s="99"/>
      <c r="AA130" s="99"/>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99"/>
      <c r="AX130" s="99"/>
      <c r="AY130" s="99"/>
      <c r="AZ130" s="100"/>
    </row>
    <row r="131" spans="2:52" ht="13.5" x14ac:dyDescent="0.25">
      <c r="B131" s="246"/>
      <c r="C131" s="204"/>
      <c r="D131" s="204"/>
      <c r="E131" s="204"/>
      <c r="F131" s="204"/>
      <c r="G131" s="204"/>
      <c r="H131" s="204"/>
      <c r="I131" s="204"/>
      <c r="J131" s="204"/>
      <c r="K131" s="204"/>
      <c r="L131" s="204"/>
      <c r="M131" s="204"/>
      <c r="N131" s="204"/>
      <c r="O131" s="204"/>
      <c r="P131" s="204"/>
      <c r="Q131" s="204"/>
      <c r="R131" s="204"/>
      <c r="S131" s="204"/>
      <c r="T131" s="247"/>
      <c r="U131" s="203"/>
      <c r="V131" s="203"/>
      <c r="W131" s="203"/>
      <c r="X131" s="203"/>
      <c r="Y131" s="203"/>
      <c r="Z131" s="203"/>
      <c r="AA131" s="203"/>
      <c r="AB131" s="203"/>
      <c r="AC131" s="203"/>
      <c r="AD131" s="203"/>
      <c r="AE131" s="203"/>
      <c r="AF131" s="203"/>
      <c r="AG131" s="203"/>
      <c r="AH131" s="203"/>
      <c r="AI131" s="203"/>
      <c r="AJ131" s="248"/>
      <c r="AK131" s="269">
        <f>AL9</f>
        <v>0</v>
      </c>
      <c r="AL131" s="268"/>
      <c r="AM131" s="268"/>
      <c r="AN131" s="268"/>
      <c r="AO131" s="268"/>
      <c r="AP131" s="268"/>
      <c r="AQ131" s="268"/>
      <c r="AR131" s="268"/>
      <c r="AS131" s="268"/>
      <c r="AT131" s="268"/>
      <c r="AU131" s="268"/>
      <c r="AV131" s="268"/>
      <c r="AW131" s="268"/>
      <c r="AX131" s="268"/>
      <c r="AY131" s="268"/>
      <c r="AZ131" s="270"/>
    </row>
    <row r="132" spans="2:52" ht="12.75" customHeight="1" x14ac:dyDescent="0.25">
      <c r="B132" s="249" t="s">
        <v>73</v>
      </c>
      <c r="C132" s="250"/>
      <c r="D132" s="250"/>
      <c r="E132" s="250"/>
      <c r="F132" s="250"/>
      <c r="G132" s="250"/>
      <c r="H132" s="250"/>
      <c r="I132" s="250"/>
      <c r="J132" s="250"/>
      <c r="K132" s="250"/>
      <c r="L132" s="250"/>
      <c r="M132" s="250"/>
      <c r="N132" s="250"/>
      <c r="O132" s="250"/>
      <c r="P132" s="250"/>
      <c r="Q132" s="250"/>
      <c r="R132" s="250"/>
      <c r="S132" s="250"/>
      <c r="T132" s="251"/>
      <c r="U132" s="250" t="s">
        <v>69</v>
      </c>
      <c r="V132" s="250"/>
      <c r="W132" s="250"/>
      <c r="X132" s="250"/>
      <c r="Y132" s="250"/>
      <c r="Z132" s="250"/>
      <c r="AA132" s="250"/>
      <c r="AB132" s="250"/>
      <c r="AC132" s="250"/>
      <c r="AD132" s="250"/>
      <c r="AE132" s="250"/>
      <c r="AF132" s="250"/>
      <c r="AG132" s="250"/>
      <c r="AH132" s="250"/>
      <c r="AI132" s="250"/>
      <c r="AJ132" s="252"/>
      <c r="AK132" s="253" t="s">
        <v>70</v>
      </c>
      <c r="AL132" s="250"/>
      <c r="AM132" s="250"/>
      <c r="AN132" s="250"/>
      <c r="AO132" s="250"/>
      <c r="AP132" s="250"/>
      <c r="AQ132" s="250"/>
      <c r="AR132" s="250"/>
      <c r="AS132" s="250"/>
      <c r="AT132" s="250"/>
      <c r="AU132" s="250"/>
      <c r="AV132" s="250"/>
      <c r="AW132" s="250"/>
      <c r="AX132" s="250"/>
      <c r="AY132" s="250"/>
      <c r="AZ132" s="254"/>
    </row>
    <row r="133" spans="2:52" ht="13.5" x14ac:dyDescent="0.25">
      <c r="B133" s="70" t="s">
        <v>71</v>
      </c>
      <c r="C133" s="72"/>
      <c r="D133" s="72"/>
      <c r="E133" s="72"/>
      <c r="F133" s="72"/>
      <c r="G133" s="72"/>
      <c r="H133" s="72"/>
      <c r="I133" s="72"/>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72"/>
      <c r="AI133" s="72"/>
      <c r="AJ133" s="72"/>
      <c r="AK133" s="63"/>
      <c r="AL133" s="63"/>
      <c r="AM133" s="63"/>
      <c r="AN133" s="63"/>
      <c r="AO133" s="63"/>
      <c r="AP133" s="63"/>
      <c r="AQ133" s="63"/>
      <c r="AR133" s="63"/>
      <c r="AS133" s="63"/>
      <c r="AT133" s="63"/>
      <c r="AU133" s="63"/>
      <c r="AV133" s="63"/>
      <c r="AW133" s="72"/>
      <c r="AX133" s="72"/>
      <c r="AY133" s="72"/>
      <c r="AZ133" s="101"/>
    </row>
    <row r="134" spans="2:52" ht="13.5" x14ac:dyDescent="0.25">
      <c r="B134" s="246"/>
      <c r="C134" s="204"/>
      <c r="D134" s="204"/>
      <c r="E134" s="204"/>
      <c r="F134" s="204"/>
      <c r="G134" s="204"/>
      <c r="H134" s="204"/>
      <c r="I134" s="204"/>
      <c r="J134" s="204"/>
      <c r="K134" s="204"/>
      <c r="L134" s="204"/>
      <c r="M134" s="204"/>
      <c r="N134" s="204"/>
      <c r="O134" s="204"/>
      <c r="P134" s="204"/>
      <c r="Q134" s="204"/>
      <c r="R134" s="204"/>
      <c r="S134" s="204"/>
      <c r="T134" s="247"/>
      <c r="U134" s="203"/>
      <c r="V134" s="203"/>
      <c r="W134" s="203"/>
      <c r="X134" s="203"/>
      <c r="Y134" s="203"/>
      <c r="Z134" s="203"/>
      <c r="AA134" s="203"/>
      <c r="AB134" s="203"/>
      <c r="AC134" s="203"/>
      <c r="AD134" s="203"/>
      <c r="AE134" s="203"/>
      <c r="AF134" s="203"/>
      <c r="AG134" s="203"/>
      <c r="AH134" s="203"/>
      <c r="AI134" s="203"/>
      <c r="AJ134" s="248"/>
      <c r="AK134" s="269"/>
      <c r="AL134" s="268"/>
      <c r="AM134" s="268"/>
      <c r="AN134" s="268"/>
      <c r="AO134" s="268"/>
      <c r="AP134" s="268"/>
      <c r="AQ134" s="268"/>
      <c r="AR134" s="268"/>
      <c r="AS134" s="268"/>
      <c r="AT134" s="268"/>
      <c r="AU134" s="268"/>
      <c r="AV134" s="268"/>
      <c r="AW134" s="268"/>
      <c r="AX134" s="268"/>
      <c r="AY134" s="268"/>
      <c r="AZ134" s="270"/>
    </row>
    <row r="135" spans="2:52" ht="12.75" customHeight="1" x14ac:dyDescent="0.25">
      <c r="B135" s="249" t="s">
        <v>192</v>
      </c>
      <c r="C135" s="250"/>
      <c r="D135" s="250"/>
      <c r="E135" s="250"/>
      <c r="F135" s="250"/>
      <c r="G135" s="250"/>
      <c r="H135" s="250"/>
      <c r="I135" s="250"/>
      <c r="J135" s="250"/>
      <c r="K135" s="250"/>
      <c r="L135" s="250"/>
      <c r="M135" s="250"/>
      <c r="N135" s="250"/>
      <c r="O135" s="250"/>
      <c r="P135" s="250"/>
      <c r="Q135" s="250"/>
      <c r="R135" s="250"/>
      <c r="S135" s="250"/>
      <c r="T135" s="251"/>
      <c r="U135" s="250" t="s">
        <v>69</v>
      </c>
      <c r="V135" s="250"/>
      <c r="W135" s="250"/>
      <c r="X135" s="250"/>
      <c r="Y135" s="250"/>
      <c r="Z135" s="250"/>
      <c r="AA135" s="250"/>
      <c r="AB135" s="250"/>
      <c r="AC135" s="250"/>
      <c r="AD135" s="250"/>
      <c r="AE135" s="250"/>
      <c r="AF135" s="250"/>
      <c r="AG135" s="250"/>
      <c r="AH135" s="250"/>
      <c r="AI135" s="250"/>
      <c r="AJ135" s="252"/>
      <c r="AK135" s="253" t="s">
        <v>70</v>
      </c>
      <c r="AL135" s="250"/>
      <c r="AM135" s="250"/>
      <c r="AN135" s="250"/>
      <c r="AO135" s="250"/>
      <c r="AP135" s="250"/>
      <c r="AQ135" s="250"/>
      <c r="AR135" s="250"/>
      <c r="AS135" s="250"/>
      <c r="AT135" s="250"/>
      <c r="AU135" s="250"/>
      <c r="AV135" s="250"/>
      <c r="AW135" s="250"/>
      <c r="AX135" s="250"/>
      <c r="AY135" s="250"/>
      <c r="AZ135" s="254"/>
    </row>
    <row r="136" spans="2:52" ht="13.5" x14ac:dyDescent="0.25">
      <c r="B136" s="98" t="s">
        <v>115</v>
      </c>
      <c r="C136" s="99"/>
      <c r="D136" s="99"/>
      <c r="E136" s="99"/>
      <c r="F136" s="99"/>
      <c r="G136" s="99"/>
      <c r="H136" s="99"/>
      <c r="I136" s="99"/>
      <c r="J136" s="76"/>
      <c r="K136" s="76"/>
      <c r="L136" s="76"/>
      <c r="M136" s="76"/>
      <c r="N136" s="76"/>
      <c r="O136" s="76"/>
      <c r="P136" s="76"/>
      <c r="Q136" s="76"/>
      <c r="R136" s="76"/>
      <c r="S136" s="76"/>
      <c r="T136" s="76"/>
      <c r="U136" s="76"/>
      <c r="V136" s="76"/>
      <c r="W136" s="76"/>
      <c r="X136" s="76"/>
      <c r="Y136" s="99"/>
      <c r="Z136" s="99"/>
      <c r="AA136" s="99"/>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99"/>
      <c r="AX136" s="99"/>
      <c r="AY136" s="99"/>
      <c r="AZ136" s="100"/>
    </row>
    <row r="137" spans="2:52" ht="15" customHeight="1" x14ac:dyDescent="0.25">
      <c r="B137" s="266" t="s">
        <v>143</v>
      </c>
      <c r="C137" s="203"/>
      <c r="D137" s="203"/>
      <c r="E137" s="203"/>
      <c r="F137" s="203"/>
      <c r="G137" s="203"/>
      <c r="H137" s="203"/>
      <c r="I137" s="203"/>
      <c r="J137" s="203"/>
      <c r="K137" s="203"/>
      <c r="L137" s="203"/>
      <c r="M137" s="203"/>
      <c r="N137" s="203"/>
      <c r="O137" s="203"/>
      <c r="P137" s="203"/>
      <c r="Q137" s="203"/>
      <c r="R137" s="203"/>
      <c r="S137" s="203"/>
      <c r="T137" s="267"/>
      <c r="U137" s="268"/>
      <c r="V137" s="203"/>
      <c r="W137" s="203"/>
      <c r="X137" s="203"/>
      <c r="Y137" s="203"/>
      <c r="Z137" s="203"/>
      <c r="AA137" s="203"/>
      <c r="AB137" s="203"/>
      <c r="AC137" s="203"/>
      <c r="AD137" s="203"/>
      <c r="AE137" s="203"/>
      <c r="AF137" s="203"/>
      <c r="AG137" s="203"/>
      <c r="AH137" s="203"/>
      <c r="AI137" s="203"/>
      <c r="AJ137" s="248"/>
      <c r="AK137" s="269" t="s">
        <v>143</v>
      </c>
      <c r="AL137" s="268"/>
      <c r="AM137" s="268"/>
      <c r="AN137" s="268"/>
      <c r="AO137" s="268"/>
      <c r="AP137" s="268"/>
      <c r="AQ137" s="268"/>
      <c r="AR137" s="268"/>
      <c r="AS137" s="268"/>
      <c r="AT137" s="268"/>
      <c r="AU137" s="268"/>
      <c r="AV137" s="268"/>
      <c r="AW137" s="268"/>
      <c r="AX137" s="268"/>
      <c r="AY137" s="268"/>
      <c r="AZ137" s="270"/>
    </row>
    <row r="138" spans="2:52" ht="12.75" customHeight="1" thickBot="1" x14ac:dyDescent="0.3">
      <c r="B138" s="240" t="s">
        <v>73</v>
      </c>
      <c r="C138" s="241"/>
      <c r="D138" s="241"/>
      <c r="E138" s="241"/>
      <c r="F138" s="241"/>
      <c r="G138" s="241"/>
      <c r="H138" s="241"/>
      <c r="I138" s="241"/>
      <c r="J138" s="241"/>
      <c r="K138" s="241"/>
      <c r="L138" s="241"/>
      <c r="M138" s="241"/>
      <c r="N138" s="241"/>
      <c r="O138" s="241"/>
      <c r="P138" s="241"/>
      <c r="Q138" s="241"/>
      <c r="R138" s="241"/>
      <c r="S138" s="241"/>
      <c r="T138" s="242"/>
      <c r="U138" s="241" t="s">
        <v>69</v>
      </c>
      <c r="V138" s="241"/>
      <c r="W138" s="241"/>
      <c r="X138" s="241"/>
      <c r="Y138" s="241"/>
      <c r="Z138" s="241"/>
      <c r="AA138" s="241"/>
      <c r="AB138" s="241"/>
      <c r="AC138" s="241"/>
      <c r="AD138" s="241"/>
      <c r="AE138" s="241"/>
      <c r="AF138" s="241"/>
      <c r="AG138" s="241"/>
      <c r="AH138" s="241"/>
      <c r="AI138" s="241"/>
      <c r="AJ138" s="243"/>
      <c r="AK138" s="244" t="s">
        <v>70</v>
      </c>
      <c r="AL138" s="241"/>
      <c r="AM138" s="241"/>
      <c r="AN138" s="241"/>
      <c r="AO138" s="241"/>
      <c r="AP138" s="241"/>
      <c r="AQ138" s="241"/>
      <c r="AR138" s="241"/>
      <c r="AS138" s="241"/>
      <c r="AT138" s="241"/>
      <c r="AU138" s="241"/>
      <c r="AV138" s="241"/>
      <c r="AW138" s="241"/>
      <c r="AX138" s="241"/>
      <c r="AY138" s="241"/>
      <c r="AZ138" s="245"/>
    </row>
    <row r="139" spans="2:52" ht="13.5" hidden="1" x14ac:dyDescent="0.25"/>
    <row r="140" spans="2:52" ht="13.5" hidden="1" x14ac:dyDescent="0.25"/>
    <row r="141" spans="2:52" ht="13.5" hidden="1" x14ac:dyDescent="0.25"/>
    <row r="142" spans="2:52" ht="13.5" hidden="1" x14ac:dyDescent="0.25"/>
    <row r="143" spans="2:52" ht="13.5" hidden="1" x14ac:dyDescent="0.25"/>
    <row r="144" spans="2:52" ht="15" hidden="1" customHeight="1" x14ac:dyDescent="0.25"/>
    <row r="145" ht="15" hidden="1" customHeight="1" x14ac:dyDescent="0.25"/>
    <row r="146" ht="15" hidden="1" customHeight="1" x14ac:dyDescent="0.25"/>
    <row r="147" ht="15" hidden="1" customHeight="1" x14ac:dyDescent="0.25"/>
    <row r="148" ht="15" hidden="1" customHeight="1" x14ac:dyDescent="0.25"/>
    <row r="149" ht="15" hidden="1" customHeight="1" x14ac:dyDescent="0.25"/>
    <row r="150" ht="15" hidden="1" customHeight="1" x14ac:dyDescent="0.25"/>
    <row r="151" ht="15" hidden="1" customHeight="1" x14ac:dyDescent="0.25"/>
    <row r="152" ht="15" hidden="1" customHeight="1" x14ac:dyDescent="0.25"/>
    <row r="153" ht="15" hidden="1" customHeight="1" x14ac:dyDescent="0.25"/>
    <row r="154" ht="15" hidden="1" customHeight="1" x14ac:dyDescent="0.25"/>
    <row r="155" ht="15" hidden="1" customHeight="1" x14ac:dyDescent="0.25"/>
    <row r="156" ht="15" hidden="1" customHeight="1" x14ac:dyDescent="0.25"/>
    <row r="157" ht="15" hidden="1" customHeight="1" x14ac:dyDescent="0.25"/>
    <row r="158" ht="15" hidden="1" customHeight="1" x14ac:dyDescent="0.25"/>
    <row r="159" ht="15" hidden="1" customHeight="1" x14ac:dyDescent="0.25"/>
    <row r="160" ht="15" hidden="1" customHeight="1" x14ac:dyDescent="0.25"/>
    <row r="161" ht="15" hidden="1" customHeight="1" x14ac:dyDescent="0.25"/>
    <row r="162" ht="15" hidden="1" customHeight="1" x14ac:dyDescent="0.25"/>
    <row r="163" ht="15" hidden="1" customHeight="1" x14ac:dyDescent="0.25"/>
    <row r="164" ht="15" hidden="1" customHeight="1" x14ac:dyDescent="0.25"/>
    <row r="165" ht="15" hidden="1" customHeight="1" x14ac:dyDescent="0.25"/>
    <row r="166" ht="15" hidden="1" customHeight="1" x14ac:dyDescent="0.25"/>
    <row r="167" ht="15" hidden="1" customHeight="1" x14ac:dyDescent="0.25"/>
    <row r="168" ht="15" hidden="1" customHeight="1" x14ac:dyDescent="0.25"/>
    <row r="169" ht="15" hidden="1" customHeight="1" x14ac:dyDescent="0.25"/>
    <row r="170" ht="15" hidden="1" customHeight="1" x14ac:dyDescent="0.25"/>
    <row r="171" ht="15" hidden="1" customHeight="1" x14ac:dyDescent="0.25"/>
    <row r="172" ht="15" hidden="1" customHeight="1" x14ac:dyDescent="0.25"/>
    <row r="173" ht="15" hidden="1" customHeight="1" x14ac:dyDescent="0.25"/>
    <row r="174" ht="15" hidden="1" customHeight="1" x14ac:dyDescent="0.25"/>
    <row r="175" ht="15" hidden="1" customHeight="1" x14ac:dyDescent="0.25"/>
    <row r="176" ht="15" hidden="1" customHeight="1" x14ac:dyDescent="0.25"/>
    <row r="177" ht="15" hidden="1" customHeight="1" x14ac:dyDescent="0.25"/>
    <row r="178" ht="15" hidden="1" customHeight="1" x14ac:dyDescent="0.25"/>
  </sheetData>
  <mergeCells count="1259">
    <mergeCell ref="EJ120:EK122"/>
    <mergeCell ref="EL120:EM122"/>
    <mergeCell ref="EJ125:EK127"/>
    <mergeCell ref="EL125:EM127"/>
    <mergeCell ref="EJ50:EK52"/>
    <mergeCell ref="EL50:EM52"/>
    <mergeCell ref="EJ68:EK70"/>
    <mergeCell ref="EL68:EM70"/>
    <mergeCell ref="EJ78:EK80"/>
    <mergeCell ref="EL78:EM80"/>
    <mergeCell ref="EJ83:EK85"/>
    <mergeCell ref="EL83:EM85"/>
    <mergeCell ref="EJ92:EK94"/>
    <mergeCell ref="EL92:EM94"/>
    <mergeCell ref="EJ98:EK100"/>
    <mergeCell ref="EL98:EM100"/>
    <mergeCell ref="EJ104:EK106"/>
    <mergeCell ref="EL104:EM106"/>
    <mergeCell ref="EJ109:EK111"/>
    <mergeCell ref="EL109:EM111"/>
    <mergeCell ref="EJ115:EK117"/>
    <mergeCell ref="EL115:EM117"/>
    <mergeCell ref="AU113:AY113"/>
    <mergeCell ref="CL125:CW125"/>
    <mergeCell ref="CL126:CL127"/>
    <mergeCell ref="CM126:CM127"/>
    <mergeCell ref="CN126:CN127"/>
    <mergeCell ref="CP126:CP127"/>
    <mergeCell ref="CQ126:CQ127"/>
    <mergeCell ref="CR126:CR127"/>
    <mergeCell ref="CS126:CS127"/>
    <mergeCell ref="CT126:CT127"/>
    <mergeCell ref="CU126:CU127"/>
    <mergeCell ref="CV126:CV127"/>
    <mergeCell ref="CW126:CW127"/>
    <mergeCell ref="CL115:CW115"/>
    <mergeCell ref="CL116:CL117"/>
    <mergeCell ref="CM116:CM117"/>
    <mergeCell ref="CN116:CN117"/>
    <mergeCell ref="CP116:CP117"/>
    <mergeCell ref="CQ116:CQ117"/>
    <mergeCell ref="CR116:CR117"/>
    <mergeCell ref="CS116:CS117"/>
    <mergeCell ref="CT116:CT117"/>
    <mergeCell ref="CU116:CU117"/>
    <mergeCell ref="CV116:CV117"/>
    <mergeCell ref="CW116:CW117"/>
    <mergeCell ref="CL120:CW120"/>
    <mergeCell ref="CL121:CL122"/>
    <mergeCell ref="CM121:CM122"/>
    <mergeCell ref="CN121:CN122"/>
    <mergeCell ref="CP121:CP122"/>
    <mergeCell ref="CQ121:CQ122"/>
    <mergeCell ref="CR121:CR122"/>
    <mergeCell ref="CS121:CS122"/>
    <mergeCell ref="CT121:CT122"/>
    <mergeCell ref="CU121:CU122"/>
    <mergeCell ref="CV121:CV122"/>
    <mergeCell ref="CW121:CW122"/>
    <mergeCell ref="CL98:CW98"/>
    <mergeCell ref="CL99:CL100"/>
    <mergeCell ref="CM99:CM100"/>
    <mergeCell ref="CN99:CN100"/>
    <mergeCell ref="CP99:CP100"/>
    <mergeCell ref="CQ99:CQ100"/>
    <mergeCell ref="CR99:CR100"/>
    <mergeCell ref="CS99:CS100"/>
    <mergeCell ref="CT99:CT100"/>
    <mergeCell ref="CU99:CU100"/>
    <mergeCell ref="CV99:CV100"/>
    <mergeCell ref="CW99:CW100"/>
    <mergeCell ref="CL104:CW104"/>
    <mergeCell ref="CL105:CL106"/>
    <mergeCell ref="CM105:CM106"/>
    <mergeCell ref="CN105:CN106"/>
    <mergeCell ref="CP105:CP106"/>
    <mergeCell ref="CQ105:CQ106"/>
    <mergeCell ref="CR105:CR106"/>
    <mergeCell ref="CS105:CS106"/>
    <mergeCell ref="CT105:CT106"/>
    <mergeCell ref="CU105:CU106"/>
    <mergeCell ref="CV105:CV106"/>
    <mergeCell ref="CW105:CW106"/>
    <mergeCell ref="CM84:CM85"/>
    <mergeCell ref="CN84:CN85"/>
    <mergeCell ref="CP84:CP85"/>
    <mergeCell ref="CQ84:CQ85"/>
    <mergeCell ref="CR84:CR85"/>
    <mergeCell ref="CS84:CS85"/>
    <mergeCell ref="CT84:CT85"/>
    <mergeCell ref="CU84:CU85"/>
    <mergeCell ref="CV84:CV85"/>
    <mergeCell ref="CW84:CW85"/>
    <mergeCell ref="CL92:CW92"/>
    <mergeCell ref="CL93:CL94"/>
    <mergeCell ref="CM93:CM94"/>
    <mergeCell ref="CN93:CN94"/>
    <mergeCell ref="CP93:CP94"/>
    <mergeCell ref="CQ93:CQ94"/>
    <mergeCell ref="CR93:CR94"/>
    <mergeCell ref="CS93:CS94"/>
    <mergeCell ref="CT93:CT94"/>
    <mergeCell ref="CU93:CU94"/>
    <mergeCell ref="CV93:CV94"/>
    <mergeCell ref="CW93:CW94"/>
    <mergeCell ref="CR51:CR52"/>
    <mergeCell ref="CS51:CS52"/>
    <mergeCell ref="CT51:CT52"/>
    <mergeCell ref="CU51:CU52"/>
    <mergeCell ref="CV51:CV52"/>
    <mergeCell ref="CW51:CW52"/>
    <mergeCell ref="CL68:CW68"/>
    <mergeCell ref="CL69:CL70"/>
    <mergeCell ref="CM69:CM70"/>
    <mergeCell ref="CN69:CN70"/>
    <mergeCell ref="CP69:CP70"/>
    <mergeCell ref="CQ69:CQ70"/>
    <mergeCell ref="CR69:CR70"/>
    <mergeCell ref="CS69:CS70"/>
    <mergeCell ref="CT69:CT70"/>
    <mergeCell ref="CU69:CU70"/>
    <mergeCell ref="CV69:CV70"/>
    <mergeCell ref="CW69:CW70"/>
    <mergeCell ref="BR126:BV127"/>
    <mergeCell ref="BY126:BY127"/>
    <mergeCell ref="BZ126:BZ127"/>
    <mergeCell ref="CA126:CA127"/>
    <mergeCell ref="CC126:CC127"/>
    <mergeCell ref="BH128:BL128"/>
    <mergeCell ref="BM128:BQ128"/>
    <mergeCell ref="BR128:BV128"/>
    <mergeCell ref="U132:AJ132"/>
    <mergeCell ref="AK132:AZ132"/>
    <mergeCell ref="B131:T131"/>
    <mergeCell ref="U131:AJ131"/>
    <mergeCell ref="F113:K113"/>
    <mergeCell ref="L113:O113"/>
    <mergeCell ref="DW126:DW127"/>
    <mergeCell ref="DX126:DX127"/>
    <mergeCell ref="CY120:DK120"/>
    <mergeCell ref="DM120:DZ120"/>
    <mergeCell ref="BH118:BL118"/>
    <mergeCell ref="BM118:BQ118"/>
    <mergeCell ref="BR118:BV118"/>
    <mergeCell ref="CJ116:CJ117"/>
    <mergeCell ref="BR113:BV113"/>
    <mergeCell ref="F123:K123"/>
    <mergeCell ref="L123:O123"/>
    <mergeCell ref="P123:R123"/>
    <mergeCell ref="AH123:AL123"/>
    <mergeCell ref="AM123:AQ123"/>
    <mergeCell ref="BC123:BG123"/>
    <mergeCell ref="BH123:BL123"/>
    <mergeCell ref="BM123:BQ123"/>
    <mergeCell ref="BH121:BL122"/>
    <mergeCell ref="DY126:DY127"/>
    <mergeCell ref="DZ126:DZ127"/>
    <mergeCell ref="EG126:EH126"/>
    <mergeCell ref="DB121:DB122"/>
    <mergeCell ref="S122:W122"/>
    <mergeCell ref="X122:AB122"/>
    <mergeCell ref="AC122:AG122"/>
    <mergeCell ref="DP121:DP122"/>
    <mergeCell ref="DQ121:DQ122"/>
    <mergeCell ref="CJ121:CJ122"/>
    <mergeCell ref="CY121:CY122"/>
    <mergeCell ref="CZ121:CZ122"/>
    <mergeCell ref="DA121:DA122"/>
    <mergeCell ref="EG121:EH121"/>
    <mergeCell ref="DH121:DH122"/>
    <mergeCell ref="DI121:DI122"/>
    <mergeCell ref="DD126:DD127"/>
    <mergeCell ref="DE126:DE127"/>
    <mergeCell ref="AH127:AL127"/>
    <mergeCell ref="BM121:BQ122"/>
    <mergeCell ref="BR121:BV122"/>
    <mergeCell ref="BY121:BY122"/>
    <mergeCell ref="BZ121:BZ122"/>
    <mergeCell ref="DE121:DE122"/>
    <mergeCell ref="DD121:DD122"/>
    <mergeCell ref="DT126:DT127"/>
    <mergeCell ref="DU126:DU127"/>
    <mergeCell ref="DS126:DS127"/>
    <mergeCell ref="EG122:EH122"/>
    <mergeCell ref="S123:W123"/>
    <mergeCell ref="X123:AB123"/>
    <mergeCell ref="BR123:BV123"/>
    <mergeCell ref="BC118:BG118"/>
    <mergeCell ref="F118:K118"/>
    <mergeCell ref="L118:O118"/>
    <mergeCell ref="P118:R118"/>
    <mergeCell ref="S118:W118"/>
    <mergeCell ref="X118:AB118"/>
    <mergeCell ref="AC118:AG118"/>
    <mergeCell ref="AH118:AL118"/>
    <mergeCell ref="AM118:AQ118"/>
    <mergeCell ref="B132:T132"/>
    <mergeCell ref="AK131:AZ131"/>
    <mergeCell ref="F128:K128"/>
    <mergeCell ref="L128:O128"/>
    <mergeCell ref="P128:R128"/>
    <mergeCell ref="S128:W128"/>
    <mergeCell ref="X128:AB128"/>
    <mergeCell ref="AC128:AG128"/>
    <mergeCell ref="AH128:AL128"/>
    <mergeCell ref="AM128:AQ128"/>
    <mergeCell ref="AR128:AV128"/>
    <mergeCell ref="AC123:AG123"/>
    <mergeCell ref="BC128:BG128"/>
    <mergeCell ref="B137:T137"/>
    <mergeCell ref="U137:AJ137"/>
    <mergeCell ref="DV126:DV127"/>
    <mergeCell ref="DH126:DH127"/>
    <mergeCell ref="DI126:DI127"/>
    <mergeCell ref="DJ126:DJ127"/>
    <mergeCell ref="DK126:DK127"/>
    <mergeCell ref="DM126:DM127"/>
    <mergeCell ref="DN126:DN127"/>
    <mergeCell ref="F126:K127"/>
    <mergeCell ref="L126:R127"/>
    <mergeCell ref="S126:W127"/>
    <mergeCell ref="X126:AL126"/>
    <mergeCell ref="AM126:AQ127"/>
    <mergeCell ref="AR126:AV127"/>
    <mergeCell ref="BC126:BG127"/>
    <mergeCell ref="BH126:BL127"/>
    <mergeCell ref="BM126:BQ127"/>
    <mergeCell ref="CE126:CE127"/>
    <mergeCell ref="X127:AB127"/>
    <mergeCell ref="AC127:AG127"/>
    <mergeCell ref="CF126:CF127"/>
    <mergeCell ref="CG126:CG127"/>
    <mergeCell ref="CH126:CH127"/>
    <mergeCell ref="CI126:CI127"/>
    <mergeCell ref="AK137:AZ137"/>
    <mergeCell ref="AK134:AZ134"/>
    <mergeCell ref="DO126:DO127"/>
    <mergeCell ref="DP126:DP127"/>
    <mergeCell ref="DQ126:DQ127"/>
    <mergeCell ref="CJ126:CJ127"/>
    <mergeCell ref="CY126:CY127"/>
    <mergeCell ref="EB120:EH120"/>
    <mergeCell ref="CA121:CA122"/>
    <mergeCell ref="CC121:CC122"/>
    <mergeCell ref="CD121:CD122"/>
    <mergeCell ref="CE121:CE122"/>
    <mergeCell ref="CF121:CF122"/>
    <mergeCell ref="CG121:CG122"/>
    <mergeCell ref="CH121:CH122"/>
    <mergeCell ref="CI121:CI122"/>
    <mergeCell ref="DJ121:DJ122"/>
    <mergeCell ref="DK121:DK122"/>
    <mergeCell ref="DM121:DM122"/>
    <mergeCell ref="DN121:DN122"/>
    <mergeCell ref="DO121:DO122"/>
    <mergeCell ref="DF126:DF127"/>
    <mergeCell ref="DG126:DG127"/>
    <mergeCell ref="BY125:CJ125"/>
    <mergeCell ref="CY125:DK125"/>
    <mergeCell ref="DM125:DZ125"/>
    <mergeCell ref="EB125:EH125"/>
    <mergeCell ref="EG127:EH127"/>
    <mergeCell ref="DV121:DV122"/>
    <mergeCell ref="DW121:DW122"/>
    <mergeCell ref="DX121:DX122"/>
    <mergeCell ref="DY121:DY122"/>
    <mergeCell ref="DZ121:DZ122"/>
    <mergeCell ref="CZ126:CZ127"/>
    <mergeCell ref="DA126:DA127"/>
    <mergeCell ref="DB126:DB127"/>
    <mergeCell ref="CD126:CD127"/>
    <mergeCell ref="DS121:DS122"/>
    <mergeCell ref="DT121:DT122"/>
    <mergeCell ref="DU121:DU122"/>
    <mergeCell ref="F121:K122"/>
    <mergeCell ref="L121:R122"/>
    <mergeCell ref="S121:AG121"/>
    <mergeCell ref="AH121:AL122"/>
    <mergeCell ref="AM121:AQ122"/>
    <mergeCell ref="BC121:BG122"/>
    <mergeCell ref="BY120:CJ120"/>
    <mergeCell ref="AH57:AL57"/>
    <mergeCell ref="S96:W96"/>
    <mergeCell ref="X96:AB96"/>
    <mergeCell ref="AC96:AG96"/>
    <mergeCell ref="AH96:AL96"/>
    <mergeCell ref="S89:W89"/>
    <mergeCell ref="X89:AB89"/>
    <mergeCell ref="DF121:DF122"/>
    <mergeCell ref="DG121:DG122"/>
    <mergeCell ref="P113:R113"/>
    <mergeCell ref="S113:W113"/>
    <mergeCell ref="X113:AB113"/>
    <mergeCell ref="AC113:AG113"/>
    <mergeCell ref="AH113:AL113"/>
    <mergeCell ref="AM113:AQ113"/>
    <mergeCell ref="S117:W117"/>
    <mergeCell ref="X117:AB117"/>
    <mergeCell ref="AC117:AG117"/>
    <mergeCell ref="BC71:BG71"/>
    <mergeCell ref="BC72:BG72"/>
    <mergeCell ref="BC73:BG73"/>
    <mergeCell ref="BH95:BL95"/>
    <mergeCell ref="BM95:BQ95"/>
    <mergeCell ref="BH89:BL89"/>
    <mergeCell ref="AM89:AQ89"/>
    <mergeCell ref="AM57:AQ57"/>
    <mergeCell ref="BH96:BL96"/>
    <mergeCell ref="BM96:BQ96"/>
    <mergeCell ref="BH53:BL53"/>
    <mergeCell ref="BM53:BQ53"/>
    <mergeCell ref="AM60:AQ60"/>
    <mergeCell ref="AM55:AQ55"/>
    <mergeCell ref="AM96:AQ96"/>
    <mergeCell ref="AR96:AV96"/>
    <mergeCell ref="BC95:BG95"/>
    <mergeCell ref="BC96:BG96"/>
    <mergeCell ref="AM76:AQ76"/>
    <mergeCell ref="AR76:AV76"/>
    <mergeCell ref="BC51:BG52"/>
    <mergeCell ref="BC53:BG53"/>
    <mergeCell ref="BC57:BG57"/>
    <mergeCell ref="BC58:BG58"/>
    <mergeCell ref="BC59:BG59"/>
    <mergeCell ref="BC60:BG60"/>
    <mergeCell ref="BC66:BG66"/>
    <mergeCell ref="BH72:BL72"/>
    <mergeCell ref="BM72:BQ72"/>
    <mergeCell ref="AM95:AQ95"/>
    <mergeCell ref="AR95:AV95"/>
    <mergeCell ref="BM51:BQ52"/>
    <mergeCell ref="EG116:EH116"/>
    <mergeCell ref="EG117:EH117"/>
    <mergeCell ref="CY116:CY117"/>
    <mergeCell ref="CZ116:CZ117"/>
    <mergeCell ref="DA116:DA117"/>
    <mergeCell ref="DB116:DB117"/>
    <mergeCell ref="DD116:DD117"/>
    <mergeCell ref="DE116:DE117"/>
    <mergeCell ref="DF116:DF117"/>
    <mergeCell ref="DG116:DG117"/>
    <mergeCell ref="DH116:DH117"/>
    <mergeCell ref="DI116:DI117"/>
    <mergeCell ref="DJ116:DJ117"/>
    <mergeCell ref="DK116:DK117"/>
    <mergeCell ref="BM89:BQ89"/>
    <mergeCell ref="BC65:BG65"/>
    <mergeCell ref="BM60:BQ60"/>
    <mergeCell ref="EB115:EH115"/>
    <mergeCell ref="BC74:BG74"/>
    <mergeCell ref="BC75:BG75"/>
    <mergeCell ref="BC76:BG76"/>
    <mergeCell ref="CI116:CI117"/>
    <mergeCell ref="DM116:DM117"/>
    <mergeCell ref="DN116:DN117"/>
    <mergeCell ref="DO116:DO117"/>
    <mergeCell ref="DP116:DP117"/>
    <mergeCell ref="DQ116:DQ117"/>
    <mergeCell ref="DS116:DS117"/>
    <mergeCell ref="DT116:DT117"/>
    <mergeCell ref="DW116:DW117"/>
    <mergeCell ref="DX116:DX117"/>
    <mergeCell ref="DY116:DY117"/>
    <mergeCell ref="F116:K117"/>
    <mergeCell ref="L116:R117"/>
    <mergeCell ref="S116:AG116"/>
    <mergeCell ref="AH116:AL117"/>
    <mergeCell ref="AM116:AQ117"/>
    <mergeCell ref="BH116:BL117"/>
    <mergeCell ref="BM116:BQ117"/>
    <mergeCell ref="BR116:BV117"/>
    <mergeCell ref="BY116:BY117"/>
    <mergeCell ref="BZ116:BZ117"/>
    <mergeCell ref="CA116:CA117"/>
    <mergeCell ref="CC116:CC117"/>
    <mergeCell ref="CD116:CD117"/>
    <mergeCell ref="CE116:CE117"/>
    <mergeCell ref="CF116:CF117"/>
    <mergeCell ref="CG116:CG117"/>
    <mergeCell ref="CH116:CH117"/>
    <mergeCell ref="DW110:DW111"/>
    <mergeCell ref="DX110:DX111"/>
    <mergeCell ref="DY110:DY111"/>
    <mergeCell ref="BC113:BG113"/>
    <mergeCell ref="BH113:BL113"/>
    <mergeCell ref="DZ110:DZ111"/>
    <mergeCell ref="EG110:EH110"/>
    <mergeCell ref="S111:W111"/>
    <mergeCell ref="X111:AB111"/>
    <mergeCell ref="AC111:AG111"/>
    <mergeCell ref="EG111:EH111"/>
    <mergeCell ref="DF110:DF111"/>
    <mergeCell ref="DG110:DG111"/>
    <mergeCell ref="DH110:DH111"/>
    <mergeCell ref="DI110:DI111"/>
    <mergeCell ref="DJ110:DJ111"/>
    <mergeCell ref="DK110:DK111"/>
    <mergeCell ref="DM110:DM111"/>
    <mergeCell ref="DN110:DN111"/>
    <mergeCell ref="DO110:DO111"/>
    <mergeCell ref="DP110:DP111"/>
    <mergeCell ref="DQ110:DQ111"/>
    <mergeCell ref="DS110:DS111"/>
    <mergeCell ref="DT110:DT111"/>
    <mergeCell ref="DE110:DE111"/>
    <mergeCell ref="S110:AG110"/>
    <mergeCell ref="CL110:CL111"/>
    <mergeCell ref="CM110:CM111"/>
    <mergeCell ref="CN110:CN111"/>
    <mergeCell ref="CP110:CP111"/>
    <mergeCell ref="CQ110:CQ111"/>
    <mergeCell ref="DA110:DA111"/>
    <mergeCell ref="F112:K112"/>
    <mergeCell ref="L112:O112"/>
    <mergeCell ref="P112:R112"/>
    <mergeCell ref="S112:W112"/>
    <mergeCell ref="X112:AB112"/>
    <mergeCell ref="AC112:AG112"/>
    <mergeCell ref="AH112:AL112"/>
    <mergeCell ref="AM112:AQ112"/>
    <mergeCell ref="BH112:BL112"/>
    <mergeCell ref="BM112:BQ112"/>
    <mergeCell ref="BR112:BV112"/>
    <mergeCell ref="BC110:BG111"/>
    <mergeCell ref="BC112:BG112"/>
    <mergeCell ref="BC116:BG117"/>
    <mergeCell ref="DU116:DU117"/>
    <mergeCell ref="DV116:DV117"/>
    <mergeCell ref="BM113:BQ113"/>
    <mergeCell ref="DU110:DU111"/>
    <mergeCell ref="DV110:DV111"/>
    <mergeCell ref="BY115:CJ115"/>
    <mergeCell ref="CY115:DK115"/>
    <mergeCell ref="DM115:DZ115"/>
    <mergeCell ref="DZ116:DZ117"/>
    <mergeCell ref="CR110:CR111"/>
    <mergeCell ref="CS110:CS111"/>
    <mergeCell ref="CT110:CT111"/>
    <mergeCell ref="DB110:DB111"/>
    <mergeCell ref="DD110:DD111"/>
    <mergeCell ref="CH110:CH111"/>
    <mergeCell ref="CI110:CI111"/>
    <mergeCell ref="CJ110:CJ111"/>
    <mergeCell ref="CY110:CY111"/>
    <mergeCell ref="CZ110:CZ111"/>
    <mergeCell ref="BY110:BY111"/>
    <mergeCell ref="BZ110:BZ111"/>
    <mergeCell ref="CA110:CA111"/>
    <mergeCell ref="CC110:CC111"/>
    <mergeCell ref="CD110:CD111"/>
    <mergeCell ref="CE110:CE111"/>
    <mergeCell ref="CF110:CF111"/>
    <mergeCell ref="CG110:CG111"/>
    <mergeCell ref="F110:K111"/>
    <mergeCell ref="L110:R111"/>
    <mergeCell ref="AH110:AL111"/>
    <mergeCell ref="AM110:AQ111"/>
    <mergeCell ref="BH110:BL111"/>
    <mergeCell ref="BM110:BQ111"/>
    <mergeCell ref="BR110:BV111"/>
    <mergeCell ref="CU110:CU111"/>
    <mergeCell ref="CV110:CV111"/>
    <mergeCell ref="CW110:CW111"/>
    <mergeCell ref="F107:K107"/>
    <mergeCell ref="L107:O107"/>
    <mergeCell ref="P107:R107"/>
    <mergeCell ref="S107:W107"/>
    <mergeCell ref="X107:AB107"/>
    <mergeCell ref="AC107:AG107"/>
    <mergeCell ref="AH107:AL107"/>
    <mergeCell ref="AM107:AQ107"/>
    <mergeCell ref="BH107:BL107"/>
    <mergeCell ref="BM107:BQ107"/>
    <mergeCell ref="BR107:BV107"/>
    <mergeCell ref="DB105:DB106"/>
    <mergeCell ref="DD105:DD106"/>
    <mergeCell ref="DE105:DE106"/>
    <mergeCell ref="DF105:DF106"/>
    <mergeCell ref="DG105:DG106"/>
    <mergeCell ref="DH105:DH106"/>
    <mergeCell ref="DJ105:DJ106"/>
    <mergeCell ref="DK105:DK106"/>
    <mergeCell ref="BY109:CJ109"/>
    <mergeCell ref="CY109:DK109"/>
    <mergeCell ref="DM109:DZ109"/>
    <mergeCell ref="EB109:EH109"/>
    <mergeCell ref="BC107:BG107"/>
    <mergeCell ref="DM105:DM106"/>
    <mergeCell ref="DN105:DN106"/>
    <mergeCell ref="DO105:DO106"/>
    <mergeCell ref="DP105:DP106"/>
    <mergeCell ref="DQ105:DQ106"/>
    <mergeCell ref="DS105:DS106"/>
    <mergeCell ref="DT105:DT106"/>
    <mergeCell ref="DU105:DU106"/>
    <mergeCell ref="DV105:DV106"/>
    <mergeCell ref="DW105:DW106"/>
    <mergeCell ref="DX105:DX106"/>
    <mergeCell ref="DY105:DY106"/>
    <mergeCell ref="DZ105:DZ106"/>
    <mergeCell ref="EG105:EH105"/>
    <mergeCell ref="CL109:CW109"/>
    <mergeCell ref="BY104:CJ104"/>
    <mergeCell ref="CY104:DK104"/>
    <mergeCell ref="DM104:DZ104"/>
    <mergeCell ref="EB104:EH104"/>
    <mergeCell ref="F105:K106"/>
    <mergeCell ref="L105:R106"/>
    <mergeCell ref="S105:AG105"/>
    <mergeCell ref="AH105:AL106"/>
    <mergeCell ref="AM105:AQ106"/>
    <mergeCell ref="BH105:BL106"/>
    <mergeCell ref="BM105:BQ106"/>
    <mergeCell ref="BR105:BV106"/>
    <mergeCell ref="BY105:BY106"/>
    <mergeCell ref="BZ105:BZ106"/>
    <mergeCell ref="CA105:CA106"/>
    <mergeCell ref="CC105:CC106"/>
    <mergeCell ref="CD105:CD106"/>
    <mergeCell ref="CE105:CE106"/>
    <mergeCell ref="CF105:CF106"/>
    <mergeCell ref="CG105:CG106"/>
    <mergeCell ref="CH105:CH106"/>
    <mergeCell ref="CI105:CI106"/>
    <mergeCell ref="CJ105:CJ106"/>
    <mergeCell ref="S106:W106"/>
    <mergeCell ref="X106:AB106"/>
    <mergeCell ref="AC106:AG106"/>
    <mergeCell ref="EG106:EH106"/>
    <mergeCell ref="BC105:BG106"/>
    <mergeCell ref="CY105:CY106"/>
    <mergeCell ref="CZ105:CZ106"/>
    <mergeCell ref="DA105:DA106"/>
    <mergeCell ref="DI105:DI106"/>
    <mergeCell ref="BR102:BV102"/>
    <mergeCell ref="BC101:BG101"/>
    <mergeCell ref="BC102:BG102"/>
    <mergeCell ref="F101:K101"/>
    <mergeCell ref="L101:O101"/>
    <mergeCell ref="P101:R101"/>
    <mergeCell ref="S101:W101"/>
    <mergeCell ref="X101:AB101"/>
    <mergeCell ref="AC101:AG101"/>
    <mergeCell ref="AH101:AL101"/>
    <mergeCell ref="AM101:AQ101"/>
    <mergeCell ref="F102:K102"/>
    <mergeCell ref="L102:O102"/>
    <mergeCell ref="P102:R102"/>
    <mergeCell ref="S102:W102"/>
    <mergeCell ref="X102:AB102"/>
    <mergeCell ref="AC102:AG102"/>
    <mergeCell ref="AH102:AL102"/>
    <mergeCell ref="AM102:AQ102"/>
    <mergeCell ref="BH101:BL101"/>
    <mergeCell ref="BM101:BQ101"/>
    <mergeCell ref="BR101:BV101"/>
    <mergeCell ref="BH102:BL102"/>
    <mergeCell ref="BM102:BQ102"/>
    <mergeCell ref="DS99:DS100"/>
    <mergeCell ref="DT99:DT100"/>
    <mergeCell ref="DU99:DU100"/>
    <mergeCell ref="DV99:DV100"/>
    <mergeCell ref="DW99:DW100"/>
    <mergeCell ref="DX99:DX100"/>
    <mergeCell ref="DY99:DY100"/>
    <mergeCell ref="DZ99:DZ100"/>
    <mergeCell ref="EG99:EH99"/>
    <mergeCell ref="S100:W100"/>
    <mergeCell ref="X100:AB100"/>
    <mergeCell ref="AC100:AG100"/>
    <mergeCell ref="EG100:EH100"/>
    <mergeCell ref="BC99:BG100"/>
    <mergeCell ref="CY99:CY100"/>
    <mergeCell ref="CZ99:CZ100"/>
    <mergeCell ref="DA99:DA100"/>
    <mergeCell ref="DB99:DB100"/>
    <mergeCell ref="DD99:DD100"/>
    <mergeCell ref="DE99:DE100"/>
    <mergeCell ref="DF99:DF100"/>
    <mergeCell ref="DG99:DG100"/>
    <mergeCell ref="DH99:DH100"/>
    <mergeCell ref="DI99:DI100"/>
    <mergeCell ref="DJ99:DJ100"/>
    <mergeCell ref="DK99:DK100"/>
    <mergeCell ref="DM99:DM100"/>
    <mergeCell ref="DN99:DN100"/>
    <mergeCell ref="CJ93:CJ94"/>
    <mergeCell ref="DO93:DO94"/>
    <mergeCell ref="DP93:DP94"/>
    <mergeCell ref="DQ93:DQ94"/>
    <mergeCell ref="DS93:DS94"/>
    <mergeCell ref="DT93:DT94"/>
    <mergeCell ref="BY98:CJ98"/>
    <mergeCell ref="CY98:DK98"/>
    <mergeCell ref="DM98:DZ98"/>
    <mergeCell ref="EB98:EH98"/>
    <mergeCell ref="F99:K100"/>
    <mergeCell ref="L99:R100"/>
    <mergeCell ref="S99:AG99"/>
    <mergeCell ref="AH99:AL100"/>
    <mergeCell ref="AM99:AQ100"/>
    <mergeCell ref="BH99:BL100"/>
    <mergeCell ref="BM99:BQ100"/>
    <mergeCell ref="BR99:BV100"/>
    <mergeCell ref="BY99:BY100"/>
    <mergeCell ref="BZ99:BZ100"/>
    <mergeCell ref="CA99:CA100"/>
    <mergeCell ref="CC99:CC100"/>
    <mergeCell ref="CD99:CD100"/>
    <mergeCell ref="CE99:CE100"/>
    <mergeCell ref="CF99:CF100"/>
    <mergeCell ref="CG99:CG100"/>
    <mergeCell ref="CH99:CH100"/>
    <mergeCell ref="CI99:CI100"/>
    <mergeCell ref="CJ99:CJ100"/>
    <mergeCell ref="DO99:DO100"/>
    <mergeCell ref="DP99:DP100"/>
    <mergeCell ref="DQ99:DQ100"/>
    <mergeCell ref="F96:K96"/>
    <mergeCell ref="L96:O96"/>
    <mergeCell ref="P96:R96"/>
    <mergeCell ref="BR95:BV95"/>
    <mergeCell ref="DW93:DW94"/>
    <mergeCell ref="F95:K95"/>
    <mergeCell ref="L95:O95"/>
    <mergeCell ref="P95:R95"/>
    <mergeCell ref="S95:W95"/>
    <mergeCell ref="S87:W87"/>
    <mergeCell ref="X87:AB87"/>
    <mergeCell ref="F87:K87"/>
    <mergeCell ref="L87:O87"/>
    <mergeCell ref="F89:K89"/>
    <mergeCell ref="L89:O89"/>
    <mergeCell ref="P89:R89"/>
    <mergeCell ref="BR89:BV89"/>
    <mergeCell ref="AC89:AG89"/>
    <mergeCell ref="AH89:AL89"/>
    <mergeCell ref="X88:AB88"/>
    <mergeCell ref="AC88:AG88"/>
    <mergeCell ref="P88:R88"/>
    <mergeCell ref="X95:AB95"/>
    <mergeCell ref="AC95:AG95"/>
    <mergeCell ref="AH95:AL95"/>
    <mergeCell ref="BR96:BV96"/>
    <mergeCell ref="X94:AB94"/>
    <mergeCell ref="AC94:AG94"/>
    <mergeCell ref="AH94:AL94"/>
    <mergeCell ref="BC93:BG94"/>
    <mergeCell ref="BR87:BV87"/>
    <mergeCell ref="CH93:CH94"/>
    <mergeCell ref="DM93:DM94"/>
    <mergeCell ref="DN93:DN94"/>
    <mergeCell ref="BY92:CJ92"/>
    <mergeCell ref="CY92:DK92"/>
    <mergeCell ref="DM92:DZ92"/>
    <mergeCell ref="EB92:EH92"/>
    <mergeCell ref="F93:K94"/>
    <mergeCell ref="L93:R94"/>
    <mergeCell ref="S93:W94"/>
    <mergeCell ref="X93:AL93"/>
    <mergeCell ref="AM93:AQ94"/>
    <mergeCell ref="AR93:AV94"/>
    <mergeCell ref="BH93:BL94"/>
    <mergeCell ref="BM93:BQ94"/>
    <mergeCell ref="BR93:BV94"/>
    <mergeCell ref="BY93:BY94"/>
    <mergeCell ref="BZ93:BZ94"/>
    <mergeCell ref="CA93:CA94"/>
    <mergeCell ref="CC93:CC94"/>
    <mergeCell ref="CD93:CD94"/>
    <mergeCell ref="CE93:CE94"/>
    <mergeCell ref="DX93:DX94"/>
    <mergeCell ref="DY93:DY94"/>
    <mergeCell ref="DZ93:DZ94"/>
    <mergeCell ref="CY93:CY94"/>
    <mergeCell ref="CZ93:CZ94"/>
    <mergeCell ref="DA93:DA94"/>
    <mergeCell ref="DB93:DB94"/>
    <mergeCell ref="DD93:DD94"/>
    <mergeCell ref="DE93:DE94"/>
    <mergeCell ref="DF93:DF94"/>
    <mergeCell ref="CI93:CI94"/>
    <mergeCell ref="EG93:EH93"/>
    <mergeCell ref="F88:K88"/>
    <mergeCell ref="F90:K90"/>
    <mergeCell ref="L90:O90"/>
    <mergeCell ref="P90:R90"/>
    <mergeCell ref="S90:W90"/>
    <mergeCell ref="X90:AB90"/>
    <mergeCell ref="AC90:AG90"/>
    <mergeCell ref="AH90:AL90"/>
    <mergeCell ref="AM90:AQ90"/>
    <mergeCell ref="BH90:BL90"/>
    <mergeCell ref="BM90:BQ90"/>
    <mergeCell ref="BR90:BV90"/>
    <mergeCell ref="BC87:BG87"/>
    <mergeCell ref="BC88:BG88"/>
    <mergeCell ref="BC89:BG89"/>
    <mergeCell ref="BC90:BG90"/>
    <mergeCell ref="AH88:AL88"/>
    <mergeCell ref="P87:R87"/>
    <mergeCell ref="BH88:BL88"/>
    <mergeCell ref="BM88:BQ88"/>
    <mergeCell ref="BR88:BV88"/>
    <mergeCell ref="DG93:DG94"/>
    <mergeCell ref="DH93:DH94"/>
    <mergeCell ref="DI93:DI94"/>
    <mergeCell ref="DJ93:DJ94"/>
    <mergeCell ref="DK93:DK94"/>
    <mergeCell ref="DU93:DU94"/>
    <mergeCell ref="DV93:DV94"/>
    <mergeCell ref="CF93:CF94"/>
    <mergeCell ref="CG93:CG94"/>
    <mergeCell ref="EG94:EH94"/>
    <mergeCell ref="BY83:CJ83"/>
    <mergeCell ref="CY83:DK83"/>
    <mergeCell ref="DM83:DZ83"/>
    <mergeCell ref="DB84:DB85"/>
    <mergeCell ref="X86:AB86"/>
    <mergeCell ref="AC86:AG86"/>
    <mergeCell ref="DW84:DW85"/>
    <mergeCell ref="DX84:DX85"/>
    <mergeCell ref="DY84:DY85"/>
    <mergeCell ref="DZ84:DZ85"/>
    <mergeCell ref="BH86:BL86"/>
    <mergeCell ref="BM86:BQ86"/>
    <mergeCell ref="BR86:BV86"/>
    <mergeCell ref="BC84:BG85"/>
    <mergeCell ref="BC86:BG86"/>
    <mergeCell ref="DD84:DD85"/>
    <mergeCell ref="DE84:DE85"/>
    <mergeCell ref="DF84:DF85"/>
    <mergeCell ref="DJ84:DJ85"/>
    <mergeCell ref="DK84:DK85"/>
    <mergeCell ref="DM84:DM85"/>
    <mergeCell ref="DN84:DN85"/>
    <mergeCell ref="AH86:AL86"/>
    <mergeCell ref="AM86:AQ86"/>
    <mergeCell ref="DO84:DO85"/>
    <mergeCell ref="DP84:DP85"/>
    <mergeCell ref="DQ84:DQ85"/>
    <mergeCell ref="DS84:DS85"/>
    <mergeCell ref="DU84:DU85"/>
    <mergeCell ref="DV84:DV85"/>
    <mergeCell ref="CL83:CW83"/>
    <mergeCell ref="CL84:CL85"/>
    <mergeCell ref="EB83:EH83"/>
    <mergeCell ref="F84:K85"/>
    <mergeCell ref="L84:R85"/>
    <mergeCell ref="S84:AG84"/>
    <mergeCell ref="AH84:AL85"/>
    <mergeCell ref="AM84:AQ85"/>
    <mergeCell ref="BH84:BL85"/>
    <mergeCell ref="BM84:BQ85"/>
    <mergeCell ref="BR84:BV85"/>
    <mergeCell ref="BY84:BY85"/>
    <mergeCell ref="BZ84:BZ85"/>
    <mergeCell ref="CA84:CA85"/>
    <mergeCell ref="CC84:CC85"/>
    <mergeCell ref="CD84:CD85"/>
    <mergeCell ref="CE84:CE85"/>
    <mergeCell ref="CF84:CF85"/>
    <mergeCell ref="CG84:CG85"/>
    <mergeCell ref="CH84:CH85"/>
    <mergeCell ref="CI84:CI85"/>
    <mergeCell ref="CJ84:CJ85"/>
    <mergeCell ref="CY84:CY85"/>
    <mergeCell ref="CZ84:CZ85"/>
    <mergeCell ref="DA84:DA85"/>
    <mergeCell ref="EG85:EH85"/>
    <mergeCell ref="S85:W85"/>
    <mergeCell ref="X85:AB85"/>
    <mergeCell ref="AC85:AG85"/>
    <mergeCell ref="EG84:EH84"/>
    <mergeCell ref="DG84:DG85"/>
    <mergeCell ref="DH84:DH85"/>
    <mergeCell ref="DI84:DI85"/>
    <mergeCell ref="DT84:DT85"/>
    <mergeCell ref="EG79:EH79"/>
    <mergeCell ref="X80:AB80"/>
    <mergeCell ref="AC80:AG80"/>
    <mergeCell ref="AH80:AL80"/>
    <mergeCell ref="EG80:EH80"/>
    <mergeCell ref="DB79:DB80"/>
    <mergeCell ref="DD79:DD80"/>
    <mergeCell ref="DE79:DE80"/>
    <mergeCell ref="DF79:DF80"/>
    <mergeCell ref="DG79:DG80"/>
    <mergeCell ref="DH79:DH80"/>
    <mergeCell ref="DI79:DI80"/>
    <mergeCell ref="DJ79:DJ80"/>
    <mergeCell ref="DK79:DK80"/>
    <mergeCell ref="DM79:DM80"/>
    <mergeCell ref="DN79:DN80"/>
    <mergeCell ref="DO79:DO80"/>
    <mergeCell ref="DP79:DP80"/>
    <mergeCell ref="DQ79:DQ80"/>
    <mergeCell ref="DS79:DS80"/>
    <mergeCell ref="DT79:DT80"/>
    <mergeCell ref="CA79:CA80"/>
    <mergeCell ref="CC79:CC80"/>
    <mergeCell ref="CD79:CD80"/>
    <mergeCell ref="CE79:CE80"/>
    <mergeCell ref="CF79:CF80"/>
    <mergeCell ref="CL79:CL80"/>
    <mergeCell ref="CM79:CM80"/>
    <mergeCell ref="CW79:CW80"/>
    <mergeCell ref="EB78:EH78"/>
    <mergeCell ref="F81:K81"/>
    <mergeCell ref="L81:O81"/>
    <mergeCell ref="S81:W81"/>
    <mergeCell ref="X81:AB81"/>
    <mergeCell ref="AC81:AG81"/>
    <mergeCell ref="AH81:AL81"/>
    <mergeCell ref="AM81:AQ81"/>
    <mergeCell ref="AR81:AV81"/>
    <mergeCell ref="DA79:DA80"/>
    <mergeCell ref="CG79:CG80"/>
    <mergeCell ref="BC79:BG80"/>
    <mergeCell ref="BC81:BG81"/>
    <mergeCell ref="F79:K80"/>
    <mergeCell ref="L79:R80"/>
    <mergeCell ref="S79:W80"/>
    <mergeCell ref="X79:AL79"/>
    <mergeCell ref="AM79:AQ80"/>
    <mergeCell ref="AR79:AV80"/>
    <mergeCell ref="BH79:BL80"/>
    <mergeCell ref="BM79:BQ80"/>
    <mergeCell ref="BR79:BV80"/>
    <mergeCell ref="BH81:BL81"/>
    <mergeCell ref="BM81:BQ81"/>
    <mergeCell ref="BR81:BV81"/>
    <mergeCell ref="P81:R81"/>
    <mergeCell ref="CH79:CH80"/>
    <mergeCell ref="CI79:CI80"/>
    <mergeCell ref="CJ79:CJ80"/>
    <mergeCell ref="CY79:CY80"/>
    <mergeCell ref="CZ79:CZ80"/>
    <mergeCell ref="BY79:BY80"/>
    <mergeCell ref="BR75:BV75"/>
    <mergeCell ref="BY78:CJ78"/>
    <mergeCell ref="CY78:DK78"/>
    <mergeCell ref="DM78:DZ78"/>
    <mergeCell ref="DU79:DU80"/>
    <mergeCell ref="DV79:DV80"/>
    <mergeCell ref="DW79:DW80"/>
    <mergeCell ref="DX79:DX80"/>
    <mergeCell ref="DY79:DY80"/>
    <mergeCell ref="DZ79:DZ80"/>
    <mergeCell ref="P73:R73"/>
    <mergeCell ref="S73:W73"/>
    <mergeCell ref="X73:AB73"/>
    <mergeCell ref="AC73:AG73"/>
    <mergeCell ref="AH73:AL73"/>
    <mergeCell ref="AM73:AQ73"/>
    <mergeCell ref="AR73:AV73"/>
    <mergeCell ref="BZ79:BZ80"/>
    <mergeCell ref="BR73:BV73"/>
    <mergeCell ref="BR76:BV76"/>
    <mergeCell ref="CL78:CW78"/>
    <mergeCell ref="CN79:CN80"/>
    <mergeCell ref="CP79:CP80"/>
    <mergeCell ref="CQ79:CQ80"/>
    <mergeCell ref="CR79:CR80"/>
    <mergeCell ref="CS79:CS80"/>
    <mergeCell ref="CT79:CT80"/>
    <mergeCell ref="CU79:CU80"/>
    <mergeCell ref="CV79:CV80"/>
    <mergeCell ref="DG69:DG70"/>
    <mergeCell ref="DH69:DH70"/>
    <mergeCell ref="DI69:DI70"/>
    <mergeCell ref="DJ69:DJ70"/>
    <mergeCell ref="DK69:DK70"/>
    <mergeCell ref="DM69:DM70"/>
    <mergeCell ref="DN69:DN70"/>
    <mergeCell ref="DO69:DO70"/>
    <mergeCell ref="DP69:DP70"/>
    <mergeCell ref="DQ69:DQ70"/>
    <mergeCell ref="DS69:DS70"/>
    <mergeCell ref="DT69:DT70"/>
    <mergeCell ref="F74:K74"/>
    <mergeCell ref="L74:O74"/>
    <mergeCell ref="P74:R74"/>
    <mergeCell ref="S74:W74"/>
    <mergeCell ref="X74:AB74"/>
    <mergeCell ref="AC74:AG74"/>
    <mergeCell ref="AH74:AL74"/>
    <mergeCell ref="AM74:AQ74"/>
    <mergeCell ref="AR74:AV74"/>
    <mergeCell ref="BH74:BL74"/>
    <mergeCell ref="BM74:BQ74"/>
    <mergeCell ref="BR74:BV74"/>
    <mergeCell ref="AR71:AV71"/>
    <mergeCell ref="F72:K72"/>
    <mergeCell ref="L72:O72"/>
    <mergeCell ref="P72:R72"/>
    <mergeCell ref="BR72:BV72"/>
    <mergeCell ref="BH71:BL71"/>
    <mergeCell ref="BM71:BQ71"/>
    <mergeCell ref="BR71:BV71"/>
    <mergeCell ref="EB68:EH68"/>
    <mergeCell ref="F69:K70"/>
    <mergeCell ref="L69:R70"/>
    <mergeCell ref="S69:W70"/>
    <mergeCell ref="X69:AL69"/>
    <mergeCell ref="AM69:AQ70"/>
    <mergeCell ref="AR69:AV70"/>
    <mergeCell ref="BH69:BL70"/>
    <mergeCell ref="BM69:BQ70"/>
    <mergeCell ref="BR69:BV70"/>
    <mergeCell ref="BY69:BY70"/>
    <mergeCell ref="BZ69:BZ70"/>
    <mergeCell ref="CA69:CA70"/>
    <mergeCell ref="CC69:CC70"/>
    <mergeCell ref="CD69:CD70"/>
    <mergeCell ref="CE69:CE70"/>
    <mergeCell ref="CF69:CF70"/>
    <mergeCell ref="CG69:CG70"/>
    <mergeCell ref="EG70:EH70"/>
    <mergeCell ref="DV69:DV70"/>
    <mergeCell ref="BC69:BG70"/>
    <mergeCell ref="CY69:CY70"/>
    <mergeCell ref="CZ69:CZ70"/>
    <mergeCell ref="DA69:DA70"/>
    <mergeCell ref="CH69:CH70"/>
    <mergeCell ref="CI69:CI70"/>
    <mergeCell ref="CJ69:CJ70"/>
    <mergeCell ref="DW69:DW70"/>
    <mergeCell ref="DY69:DY70"/>
    <mergeCell ref="DZ69:DZ70"/>
    <mergeCell ref="EG69:EH69"/>
    <mergeCell ref="DB69:DB70"/>
    <mergeCell ref="DX69:DX70"/>
    <mergeCell ref="BR53:BV53"/>
    <mergeCell ref="BH56:BL56"/>
    <mergeCell ref="BM56:BQ56"/>
    <mergeCell ref="DJ51:DJ52"/>
    <mergeCell ref="DK51:DK52"/>
    <mergeCell ref="BM54:BQ54"/>
    <mergeCell ref="BR54:BV54"/>
    <mergeCell ref="BH55:BL55"/>
    <mergeCell ref="BM55:BQ55"/>
    <mergeCell ref="BR55:BV55"/>
    <mergeCell ref="BR51:BV52"/>
    <mergeCell ref="BR59:BV59"/>
    <mergeCell ref="CF51:CF52"/>
    <mergeCell ref="CG51:CG52"/>
    <mergeCell ref="CH51:CH52"/>
    <mergeCell ref="DB51:DB52"/>
    <mergeCell ref="DD51:DD52"/>
    <mergeCell ref="DE51:DE52"/>
    <mergeCell ref="DF51:DF52"/>
    <mergeCell ref="DG51:DG52"/>
    <mergeCell ref="DH51:DH52"/>
    <mergeCell ref="DI51:DI52"/>
    <mergeCell ref="BR56:BV56"/>
    <mergeCell ref="BH57:BL57"/>
    <mergeCell ref="DU69:DU70"/>
    <mergeCell ref="BY68:CJ68"/>
    <mergeCell ref="CY68:DK68"/>
    <mergeCell ref="DM68:DZ68"/>
    <mergeCell ref="DD69:DD70"/>
    <mergeCell ref="DE69:DE70"/>
    <mergeCell ref="DF69:DF70"/>
    <mergeCell ref="B138:T138"/>
    <mergeCell ref="U138:AJ138"/>
    <mergeCell ref="AK138:AZ138"/>
    <mergeCell ref="B134:T134"/>
    <mergeCell ref="U134:AJ134"/>
    <mergeCell ref="B135:T135"/>
    <mergeCell ref="U135:AJ135"/>
    <mergeCell ref="AK135:AZ135"/>
    <mergeCell ref="L65:O65"/>
    <mergeCell ref="AC71:AG71"/>
    <mergeCell ref="S65:Z65"/>
    <mergeCell ref="AA64:AH64"/>
    <mergeCell ref="AA65:AH65"/>
    <mergeCell ref="S63:AH63"/>
    <mergeCell ref="AI63:AO64"/>
    <mergeCell ref="AI65:AO65"/>
    <mergeCell ref="F66:K66"/>
    <mergeCell ref="F76:K76"/>
    <mergeCell ref="L76:O76"/>
    <mergeCell ref="P76:R76"/>
    <mergeCell ref="S76:W76"/>
    <mergeCell ref="X76:AB76"/>
    <mergeCell ref="AC76:AG76"/>
    <mergeCell ref="AH76:AL76"/>
    <mergeCell ref="F75:K75"/>
    <mergeCell ref="L75:O75"/>
    <mergeCell ref="P75:R75"/>
    <mergeCell ref="S75:W75"/>
    <mergeCell ref="X75:AB75"/>
    <mergeCell ref="F86:K86"/>
    <mergeCell ref="L86:O86"/>
    <mergeCell ref="P86:R86"/>
    <mergeCell ref="AO35:AZ35"/>
    <mergeCell ref="B36:P36"/>
    <mergeCell ref="Q36:AA36"/>
    <mergeCell ref="AB36:AN36"/>
    <mergeCell ref="AO36:AZ36"/>
    <mergeCell ref="B48:AZ48"/>
    <mergeCell ref="AM88:AQ88"/>
    <mergeCell ref="F65:K65"/>
    <mergeCell ref="F44:G44"/>
    <mergeCell ref="S44:T44"/>
    <mergeCell ref="F45:G45"/>
    <mergeCell ref="S45:T45"/>
    <mergeCell ref="F56:K56"/>
    <mergeCell ref="L56:O56"/>
    <mergeCell ref="P56:R56"/>
    <mergeCell ref="F57:K57"/>
    <mergeCell ref="L57:O57"/>
    <mergeCell ref="F59:K59"/>
    <mergeCell ref="F60:K60"/>
    <mergeCell ref="L59:O59"/>
    <mergeCell ref="P59:R59"/>
    <mergeCell ref="L60:O60"/>
    <mergeCell ref="P60:R60"/>
    <mergeCell ref="F54:K54"/>
    <mergeCell ref="F53:K53"/>
    <mergeCell ref="P65:R65"/>
    <mergeCell ref="S86:W86"/>
    <mergeCell ref="AC87:AG87"/>
    <mergeCell ref="AH87:AL87"/>
    <mergeCell ref="AM87:AQ87"/>
    <mergeCell ref="S88:W88"/>
    <mergeCell ref="AB35:AN35"/>
    <mergeCell ref="BP25:BQ26"/>
    <mergeCell ref="AB9:AJ10"/>
    <mergeCell ref="AK9:AK10"/>
    <mergeCell ref="AL9:AZ10"/>
    <mergeCell ref="B15:I16"/>
    <mergeCell ref="J15:J16"/>
    <mergeCell ref="K15:AA16"/>
    <mergeCell ref="AB15:AI16"/>
    <mergeCell ref="AK15:AK16"/>
    <mergeCell ref="AL15:AZ16"/>
    <mergeCell ref="B13:I14"/>
    <mergeCell ref="J13:J14"/>
    <mergeCell ref="K13:AA14"/>
    <mergeCell ref="AB13:AJ14"/>
    <mergeCell ref="AK13:AK14"/>
    <mergeCell ref="AL13:AZ14"/>
    <mergeCell ref="B30:P30"/>
    <mergeCell ref="Q30:AA30"/>
    <mergeCell ref="AB30:AN30"/>
    <mergeCell ref="AO30:AZ30"/>
    <mergeCell ref="B25:F26"/>
    <mergeCell ref="G25:G26"/>
    <mergeCell ref="AE25:AE26"/>
    <mergeCell ref="AG25:AZ26"/>
    <mergeCell ref="B29:AZ29"/>
    <mergeCell ref="J19:J20"/>
    <mergeCell ref="K19:AA20"/>
    <mergeCell ref="AB19:AJ20"/>
    <mergeCell ref="AK19:AK20"/>
    <mergeCell ref="AL19:AZ20"/>
    <mergeCell ref="B17:I18"/>
    <mergeCell ref="B19:I20"/>
    <mergeCell ref="AN5:AP5"/>
    <mergeCell ref="B6:AZ6"/>
    <mergeCell ref="B7:I8"/>
    <mergeCell ref="J7:J8"/>
    <mergeCell ref="K7:AA8"/>
    <mergeCell ref="AB7:AJ8"/>
    <mergeCell ref="AK7:AK8"/>
    <mergeCell ref="AL7:AZ8"/>
    <mergeCell ref="B11:I12"/>
    <mergeCell ref="J11:J12"/>
    <mergeCell ref="K11:AA12"/>
    <mergeCell ref="AB11:AJ12"/>
    <mergeCell ref="AK11:AK12"/>
    <mergeCell ref="AL11:AZ12"/>
    <mergeCell ref="B9:I10"/>
    <mergeCell ref="J9:J10"/>
    <mergeCell ref="K9:AA10"/>
    <mergeCell ref="L5:N5"/>
    <mergeCell ref="B22:AA22"/>
    <mergeCell ref="AB22:AZ22"/>
    <mergeCell ref="B23:F24"/>
    <mergeCell ref="G23:G24"/>
    <mergeCell ref="H23:Z24"/>
    <mergeCell ref="AE23:AE24"/>
    <mergeCell ref="AG23:AZ24"/>
    <mergeCell ref="AG27:AX27"/>
    <mergeCell ref="B32:P32"/>
    <mergeCell ref="Q32:AA32"/>
    <mergeCell ref="AB32:AN32"/>
    <mergeCell ref="AO32:AZ32"/>
    <mergeCell ref="J17:J18"/>
    <mergeCell ref="K17:AA18"/>
    <mergeCell ref="AB17:AJ18"/>
    <mergeCell ref="AK17:AK18"/>
    <mergeCell ref="AL17:AZ18"/>
    <mergeCell ref="B31:P31"/>
    <mergeCell ref="Q31:AA31"/>
    <mergeCell ref="AB31:AN31"/>
    <mergeCell ref="AO31:AZ31"/>
    <mergeCell ref="AO34:AZ34"/>
    <mergeCell ref="F55:K55"/>
    <mergeCell ref="L55:O55"/>
    <mergeCell ref="P55:R55"/>
    <mergeCell ref="DM50:DZ50"/>
    <mergeCell ref="EB50:EH50"/>
    <mergeCell ref="BY51:BY52"/>
    <mergeCell ref="BZ51:BZ52"/>
    <mergeCell ref="CA51:CA52"/>
    <mergeCell ref="DM51:DM52"/>
    <mergeCell ref="DN51:DN52"/>
    <mergeCell ref="DO51:DO52"/>
    <mergeCell ref="DP51:DP52"/>
    <mergeCell ref="CC51:CC52"/>
    <mergeCell ref="DQ51:DQ52"/>
    <mergeCell ref="EG52:EH52"/>
    <mergeCell ref="DS51:DS52"/>
    <mergeCell ref="DT51:DT52"/>
    <mergeCell ref="DU51:DU52"/>
    <mergeCell ref="DV51:DV52"/>
    <mergeCell ref="DW51:DW52"/>
    <mergeCell ref="DX51:DX52"/>
    <mergeCell ref="DY51:DY52"/>
    <mergeCell ref="DZ51:DZ52"/>
    <mergeCell ref="EG51:EH51"/>
    <mergeCell ref="CI51:CI52"/>
    <mergeCell ref="CJ51:CJ52"/>
    <mergeCell ref="CD51:CD52"/>
    <mergeCell ref="CE51:CE52"/>
    <mergeCell ref="CY50:DK50"/>
    <mergeCell ref="CY51:CY52"/>
    <mergeCell ref="BH51:BL52"/>
    <mergeCell ref="S64:Z64"/>
    <mergeCell ref="CZ51:CZ52"/>
    <mergeCell ref="DA51:DA52"/>
    <mergeCell ref="X57:AB57"/>
    <mergeCell ref="S54:W54"/>
    <mergeCell ref="S59:W59"/>
    <mergeCell ref="X59:AB59"/>
    <mergeCell ref="S60:W60"/>
    <mergeCell ref="AM59:AQ59"/>
    <mergeCell ref="AH58:AL58"/>
    <mergeCell ref="AM58:AQ58"/>
    <mergeCell ref="AM54:AQ54"/>
    <mergeCell ref="AH56:AL56"/>
    <mergeCell ref="AM56:AQ56"/>
    <mergeCell ref="BY50:CJ50"/>
    <mergeCell ref="BR57:BV57"/>
    <mergeCell ref="BH54:BL54"/>
    <mergeCell ref="X58:AB58"/>
    <mergeCell ref="BH60:BL60"/>
    <mergeCell ref="BC63:BG64"/>
    <mergeCell ref="BR60:BV60"/>
    <mergeCell ref="BR58:BV58"/>
    <mergeCell ref="BC54:BG54"/>
    <mergeCell ref="BM57:BQ57"/>
    <mergeCell ref="AM51:AQ52"/>
    <mergeCell ref="AM53:AQ53"/>
    <mergeCell ref="CL50:CW50"/>
    <mergeCell ref="CL51:CL52"/>
    <mergeCell ref="CM51:CM52"/>
    <mergeCell ref="CN51:CN52"/>
    <mergeCell ref="CP51:CP52"/>
    <mergeCell ref="CQ51:CQ52"/>
    <mergeCell ref="F63:K64"/>
    <mergeCell ref="L63:R64"/>
    <mergeCell ref="S72:W72"/>
    <mergeCell ref="X72:AB72"/>
    <mergeCell ref="S52:W52"/>
    <mergeCell ref="X52:AB52"/>
    <mergeCell ref="AC52:AG52"/>
    <mergeCell ref="S51:AG51"/>
    <mergeCell ref="AH51:AL52"/>
    <mergeCell ref="S53:W53"/>
    <mergeCell ref="X53:AB53"/>
    <mergeCell ref="AC53:AG53"/>
    <mergeCell ref="X60:AB60"/>
    <mergeCell ref="F51:K52"/>
    <mergeCell ref="L51:R52"/>
    <mergeCell ref="AC58:AG58"/>
    <mergeCell ref="S55:W55"/>
    <mergeCell ref="F58:K58"/>
    <mergeCell ref="L58:O58"/>
    <mergeCell ref="P58:R58"/>
    <mergeCell ref="AH53:AL53"/>
    <mergeCell ref="X54:AB54"/>
    <mergeCell ref="AC54:AG54"/>
    <mergeCell ref="AH54:AL54"/>
    <mergeCell ref="X56:AB56"/>
    <mergeCell ref="AC56:AG56"/>
    <mergeCell ref="S56:W56"/>
    <mergeCell ref="S57:W57"/>
    <mergeCell ref="F71:K71"/>
    <mergeCell ref="L71:O71"/>
    <mergeCell ref="P71:R71"/>
    <mergeCell ref="S71:W71"/>
    <mergeCell ref="L66:O66"/>
    <mergeCell ref="P66:R66"/>
    <mergeCell ref="S66:Z66"/>
    <mergeCell ref="AA66:AH66"/>
    <mergeCell ref="AI66:AO66"/>
    <mergeCell ref="AC72:AG72"/>
    <mergeCell ref="AH72:AL72"/>
    <mergeCell ref="AM72:AQ72"/>
    <mergeCell ref="AR72:AV72"/>
    <mergeCell ref="AC75:AG75"/>
    <mergeCell ref="AH75:AL75"/>
    <mergeCell ref="AM75:AQ75"/>
    <mergeCell ref="AR75:AV75"/>
    <mergeCell ref="BH75:BL75"/>
    <mergeCell ref="BM75:BQ75"/>
    <mergeCell ref="L53:O53"/>
    <mergeCell ref="L88:O88"/>
    <mergeCell ref="S58:W58"/>
    <mergeCell ref="AC57:AG57"/>
    <mergeCell ref="BH58:BL58"/>
    <mergeCell ref="BM58:BQ58"/>
    <mergeCell ref="BH59:BL59"/>
    <mergeCell ref="BM59:BQ59"/>
    <mergeCell ref="BH73:BL73"/>
    <mergeCell ref="BM73:BQ73"/>
    <mergeCell ref="BH76:BL76"/>
    <mergeCell ref="BM76:BQ76"/>
    <mergeCell ref="X71:AB71"/>
    <mergeCell ref="BH87:BL87"/>
    <mergeCell ref="BM87:BQ87"/>
    <mergeCell ref="BC55:BG55"/>
    <mergeCell ref="BC56:BG56"/>
    <mergeCell ref="F73:K73"/>
    <mergeCell ref="L73:O73"/>
    <mergeCell ref="H25:Z28"/>
    <mergeCell ref="AH55:AL55"/>
    <mergeCell ref="P53:R53"/>
    <mergeCell ref="AH71:AL71"/>
    <mergeCell ref="AM71:AQ71"/>
    <mergeCell ref="P57:R57"/>
    <mergeCell ref="X70:AB70"/>
    <mergeCell ref="AC70:AG70"/>
    <mergeCell ref="AH70:AL70"/>
    <mergeCell ref="X55:AB55"/>
    <mergeCell ref="AC55:AG55"/>
    <mergeCell ref="L54:O54"/>
    <mergeCell ref="P54:R54"/>
    <mergeCell ref="AC60:AG60"/>
    <mergeCell ref="AH60:AL60"/>
    <mergeCell ref="AC59:AG59"/>
    <mergeCell ref="AH59:AL59"/>
    <mergeCell ref="B33:AZ33"/>
    <mergeCell ref="B34:P34"/>
    <mergeCell ref="Q34:AA34"/>
    <mergeCell ref="AB34:AN34"/>
    <mergeCell ref="B37:AA37"/>
    <mergeCell ref="AB37:AZ37"/>
    <mergeCell ref="AB38:AZ41"/>
    <mergeCell ref="I39:J39"/>
    <mergeCell ref="R39:S39"/>
    <mergeCell ref="I40:J40"/>
    <mergeCell ref="R40:S40"/>
    <mergeCell ref="B35:P35"/>
    <mergeCell ref="Q35:AA35"/>
  </mergeCells>
  <conditionalFormatting sqref="BR53:BV60">
    <cfRule type="containsText" dxfId="32" priority="132" operator="containsText" text="PASS">
      <formula>NOT(ISERROR(SEARCH("PASS",BR53)))</formula>
    </cfRule>
    <cfRule type="containsText" dxfId="31" priority="131" operator="containsText" text="FAIL">
      <formula>NOT(ISERROR(SEARCH("FAIL",BR53)))</formula>
    </cfRule>
    <cfRule type="containsText" dxfId="30" priority="130" operator="containsText" text="UNDETERMINE">
      <formula>NOT(ISERROR(SEARCH("UNDETERMINE",BR53)))</formula>
    </cfRule>
  </conditionalFormatting>
  <conditionalFormatting sqref="BR71:BV76">
    <cfRule type="containsText" dxfId="29" priority="120" operator="containsText" text="PASS">
      <formula>NOT(ISERROR(SEARCH("PASS",BR71)))</formula>
    </cfRule>
    <cfRule type="containsText" dxfId="28" priority="119" operator="containsText" text="FAIL">
      <formula>NOT(ISERROR(SEARCH("FAIL",BR71)))</formula>
    </cfRule>
    <cfRule type="containsText" dxfId="27" priority="118" operator="containsText" text="UNDETERMINE">
      <formula>NOT(ISERROR(SEARCH("UNDETERMINE",BR71)))</formula>
    </cfRule>
  </conditionalFormatting>
  <conditionalFormatting sqref="BR81:BV81">
    <cfRule type="containsText" dxfId="26" priority="108" operator="containsText" text="PASS">
      <formula>NOT(ISERROR(SEARCH("PASS",BR81)))</formula>
    </cfRule>
    <cfRule type="containsText" dxfId="25" priority="107" operator="containsText" text="FAIL">
      <formula>NOT(ISERROR(SEARCH("FAIL",BR81)))</formula>
    </cfRule>
    <cfRule type="containsText" dxfId="24" priority="106" operator="containsText" text="UNDETERMINE">
      <formula>NOT(ISERROR(SEARCH("UNDETERMINE",BR81)))</formula>
    </cfRule>
  </conditionalFormatting>
  <conditionalFormatting sqref="BR86:BV90">
    <cfRule type="containsText" dxfId="23" priority="96" operator="containsText" text="PASS">
      <formula>NOT(ISERROR(SEARCH("PASS",BR86)))</formula>
    </cfRule>
    <cfRule type="containsText" dxfId="22" priority="95" operator="containsText" text="FAIL">
      <formula>NOT(ISERROR(SEARCH("FAIL",BR86)))</formula>
    </cfRule>
    <cfRule type="containsText" dxfId="21" priority="94" operator="containsText" text="UNDETERMINE">
      <formula>NOT(ISERROR(SEARCH("UNDETERMINE",BR86)))</formula>
    </cfRule>
  </conditionalFormatting>
  <conditionalFormatting sqref="BR95:BV96">
    <cfRule type="containsText" dxfId="20" priority="84" operator="containsText" text="PASS">
      <formula>NOT(ISERROR(SEARCH("PASS",BR95)))</formula>
    </cfRule>
    <cfRule type="containsText" dxfId="19" priority="83" operator="containsText" text="FAIL">
      <formula>NOT(ISERROR(SEARCH("FAIL",BR95)))</formula>
    </cfRule>
    <cfRule type="containsText" dxfId="18" priority="82" operator="containsText" text="UNDETERMINE">
      <formula>NOT(ISERROR(SEARCH("UNDETERMINE",BR95)))</formula>
    </cfRule>
  </conditionalFormatting>
  <conditionalFormatting sqref="BR101:BV102">
    <cfRule type="containsText" dxfId="17" priority="70" operator="containsText" text="UNDETERMINE">
      <formula>NOT(ISERROR(SEARCH("UNDETERMINE",BR101)))</formula>
    </cfRule>
    <cfRule type="containsText" dxfId="16" priority="71" operator="containsText" text="FAIL">
      <formula>NOT(ISERROR(SEARCH("FAIL",BR101)))</formula>
    </cfRule>
    <cfRule type="containsText" dxfId="15" priority="72" operator="containsText" text="PASS">
      <formula>NOT(ISERROR(SEARCH("PASS",BR101)))</formula>
    </cfRule>
  </conditionalFormatting>
  <conditionalFormatting sqref="BR107:BV107">
    <cfRule type="containsText" dxfId="14" priority="60" operator="containsText" text="PASS">
      <formula>NOT(ISERROR(SEARCH("PASS",BR107)))</formula>
    </cfRule>
    <cfRule type="containsText" dxfId="13" priority="59" operator="containsText" text="FAIL">
      <formula>NOT(ISERROR(SEARCH("FAIL",BR107)))</formula>
    </cfRule>
    <cfRule type="containsText" dxfId="12" priority="58" operator="containsText" text="UNDETERMINE">
      <formula>NOT(ISERROR(SEARCH("UNDETERMINE",BR107)))</formula>
    </cfRule>
  </conditionalFormatting>
  <conditionalFormatting sqref="BR112:BV113">
    <cfRule type="containsText" dxfId="11" priority="48" operator="containsText" text="PASS">
      <formula>NOT(ISERROR(SEARCH("PASS",BR112)))</formula>
    </cfRule>
    <cfRule type="containsText" dxfId="10" priority="47" operator="containsText" text="FAIL">
      <formula>NOT(ISERROR(SEARCH("FAIL",BR112)))</formula>
    </cfRule>
    <cfRule type="containsText" dxfId="9" priority="46" operator="containsText" text="UNDETERMINE">
      <formula>NOT(ISERROR(SEARCH("UNDETERMINE",BR112)))</formula>
    </cfRule>
  </conditionalFormatting>
  <conditionalFormatting sqref="BR118:BV118">
    <cfRule type="containsText" dxfId="8" priority="36" operator="containsText" text="PASS">
      <formula>NOT(ISERROR(SEARCH("PASS",BR118)))</formula>
    </cfRule>
    <cfRule type="containsText" dxfId="7" priority="35" operator="containsText" text="FAIL">
      <formula>NOT(ISERROR(SEARCH("FAIL",BR118)))</formula>
    </cfRule>
    <cfRule type="containsText" dxfId="6" priority="34" operator="containsText" text="UNDETERMINE">
      <formula>NOT(ISERROR(SEARCH("UNDETERMINE",BR118)))</formula>
    </cfRule>
  </conditionalFormatting>
  <conditionalFormatting sqref="BR123:BV123">
    <cfRule type="containsText" dxfId="5" priority="24" operator="containsText" text="PASS">
      <formula>NOT(ISERROR(SEARCH("PASS",BR123)))</formula>
    </cfRule>
    <cfRule type="containsText" dxfId="4" priority="23" operator="containsText" text="FAIL">
      <formula>NOT(ISERROR(SEARCH("FAIL",BR123)))</formula>
    </cfRule>
    <cfRule type="containsText" dxfId="3" priority="22" operator="containsText" text="UNDETERMINE">
      <formula>NOT(ISERROR(SEARCH("UNDETERMINE",BR123)))</formula>
    </cfRule>
  </conditionalFormatting>
  <conditionalFormatting sqref="BR128:BV128">
    <cfRule type="containsText" dxfId="2" priority="12" operator="containsText" text="PASS">
      <formula>NOT(ISERROR(SEARCH("PASS",BR128)))</formula>
    </cfRule>
    <cfRule type="containsText" dxfId="1" priority="11" operator="containsText" text="FAIL">
      <formula>NOT(ISERROR(SEARCH("FAIL",BR128)))</formula>
    </cfRule>
    <cfRule type="containsText" dxfId="0" priority="10" operator="containsText" text="UNDETERMINE">
      <formula>NOT(ISERROR(SEARCH("UNDETERMINE",BR128)))</formula>
    </cfRule>
  </conditionalFormatting>
  <printOptions horizontalCentered="1" verticalCentered="1"/>
  <pageMargins left="0" right="0" top="0" bottom="0.39370078740157483" header="0" footer="0"/>
  <pageSetup paperSize="9" scale="92" orientation="portrait" horizontalDpi="4294967293" verticalDpi="4294967293"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26" workbookViewId="0"/>
  </sheetViews>
  <sheetFormatPr defaultRowHeight="15" x14ac:dyDescent="0.25"/>
  <sheetData>
    <row r="1" spans="1:1" x14ac:dyDescent="0.25">
      <c r="A1" s="53" t="s">
        <v>177</v>
      </c>
    </row>
  </sheetData>
  <hyperlinks>
    <hyperlink ref="A1" r:id="rId1" xr:uid="{00000000-0004-0000-02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Cal Certificate</vt:lpstr>
      <vt:lpstr>DataSheet</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Juni Ilas</cp:lastModifiedBy>
  <cp:lastPrinted>2021-03-25T06:21:21Z</cp:lastPrinted>
  <dcterms:created xsi:type="dcterms:W3CDTF">2014-11-03T09:03:36Z</dcterms:created>
  <dcterms:modified xsi:type="dcterms:W3CDTF">2025-10-01T06:57:49Z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2025-10-01T06:26:53Z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141973ea-b550-435a-9b01-5f6f577f630d</vt:lpwstr>
  </property>
  <property fmtid="{D5CDD505-2E9C-101B-9397-08002B2CF9AE}" pid="7" name="MSIP_Label_defa4170-0d19-0005-0004-bc88714345d2_ActionId">
    <vt:lpwstr>e1e77839-6025-49c9-b864-b986ecc036da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