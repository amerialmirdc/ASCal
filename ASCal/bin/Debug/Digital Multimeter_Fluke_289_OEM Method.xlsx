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chartsheets/sheet1.xml" ContentType="application/vnd.openxmlformats-officedocument.spreadsheetml.chart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C:\Users\Sonju\Desktop\FOR CHECKING CAL CERT\DELIVERY FOR THIS WEEK\PRIORITY\MIRDC\"/>
    </mc:Choice>
  </mc:AlternateContent>
  <xr:revisionPtr revIDLastSave="0" documentId="8_{6BDEC840-5373-4EBB-8A2F-C69EC644D08E}" xr6:coauthVersionLast="47" xr6:coauthVersionMax="47" xr10:uidLastSave="{00000000-0000-0000-0000-000000000000}"/>
  <bookViews>
    <workbookView xWindow="-120" yWindow="-120" windowWidth="20730" windowHeight="11160" tabRatio="681" activeTab="2" xr2:uid="{00000000-000D-0000-FFFF-FFFF00000000}"/>
  </bookViews>
  <sheets>
    <sheet name="Cal Certificate" sheetId="5" r:id="rId1"/>
    <sheet name="Chart1" sheetId="13" state="hidden" r:id="rId2"/>
    <sheet name="DataSheet" sheetId="11" r:id="rId3"/>
    <sheet name="Specification" sheetId="12" r:id="rId4"/>
  </sheets>
  <definedNames>
    <definedName name="DRY" localSheetId="0">#REF!</definedName>
    <definedName name="DRY">#REF!</definedName>
    <definedName name="dryx">#REF!</definedName>
    <definedName name="_xlnm.Print_Area" localSheetId="0">'Cal Certificate'!$B$1:$AA$224</definedName>
    <definedName name="_xlnm.Print_Area" localSheetId="2">DataSheet!$B$1:$AZ$182</definedName>
    <definedName name="_xlnm.Print_Titles" localSheetId="0">'Cal Certificate'!$1:$8</definedName>
    <definedName name="_xlnm.Print_Titles" localSheetId="2">DataSheet!$1:$5</definedName>
    <definedName name="WET" localSheetId="0">#REF!</definedName>
    <definedName name="WET" localSheetId="2">#REF!</definedName>
    <definedName name="WE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M172" i="11" l="1"/>
  <c r="AM160" i="11"/>
  <c r="AM161" i="11"/>
  <c r="AM162" i="11"/>
  <c r="AM163" i="11"/>
  <c r="AM164" i="11"/>
  <c r="AM165" i="11"/>
  <c r="AM166" i="11"/>
  <c r="AM167" i="11"/>
  <c r="AM159" i="11"/>
  <c r="AM149" i="11"/>
  <c r="AM150" i="11"/>
  <c r="AM151" i="11"/>
  <c r="AM152" i="11"/>
  <c r="AM153" i="11"/>
  <c r="AM154" i="11"/>
  <c r="AM148" i="11"/>
  <c r="AM143" i="11"/>
  <c r="AM133" i="11"/>
  <c r="AM132" i="11"/>
  <c r="AM131" i="11"/>
  <c r="AM130" i="11"/>
  <c r="AM129" i="11"/>
  <c r="AM128" i="11"/>
  <c r="AM127" i="11"/>
  <c r="AM126" i="11"/>
  <c r="AM125" i="11"/>
  <c r="AM124" i="11"/>
  <c r="AM123" i="11"/>
  <c r="AM118" i="11"/>
  <c r="AM117" i="11"/>
  <c r="AM116" i="11"/>
  <c r="AM111" i="11"/>
  <c r="AM106" i="11"/>
  <c r="AM105" i="11"/>
  <c r="AM100" i="11"/>
  <c r="AM95" i="11"/>
  <c r="AM94" i="11"/>
  <c r="AM89" i="11"/>
  <c r="AM88" i="11"/>
  <c r="AM87" i="11"/>
  <c r="AM86" i="11"/>
  <c r="AM85" i="11"/>
  <c r="AM84" i="11"/>
  <c r="AM83" i="11"/>
  <c r="AM82" i="11"/>
  <c r="AM81" i="11"/>
  <c r="AM80" i="11"/>
  <c r="AM79" i="11"/>
  <c r="AM74" i="11"/>
  <c r="AM73" i="11"/>
  <c r="AM68" i="11"/>
  <c r="AM67" i="11"/>
  <c r="AM62" i="11"/>
  <c r="AM61" i="11"/>
  <c r="AM60" i="11"/>
  <c r="AM59" i="11"/>
  <c r="AM58" i="11"/>
  <c r="AM57" i="11"/>
  <c r="AM56" i="11"/>
  <c r="AM55" i="11"/>
  <c r="AM54" i="11"/>
  <c r="AM53" i="11"/>
  <c r="CB118" i="11"/>
  <c r="CB117" i="11"/>
  <c r="CB116" i="11"/>
  <c r="V7" i="5" l="1"/>
  <c r="R55" i="5" l="1"/>
  <c r="BY138" i="11" l="1"/>
  <c r="AR111" i="11" l="1"/>
  <c r="Q136" i="5" s="1"/>
  <c r="BB107" i="11" l="1"/>
  <c r="BB138" i="11"/>
  <c r="BQ53" i="11"/>
  <c r="P42" i="5" l="1"/>
  <c r="AK175" i="11" l="1"/>
  <c r="M177" i="5" l="1"/>
  <c r="I200" i="5" l="1"/>
  <c r="I188" i="5"/>
  <c r="I107" i="5"/>
  <c r="CS172" i="11" l="1"/>
  <c r="CR172" i="11"/>
  <c r="CQ172" i="11"/>
  <c r="CT172" i="11" s="1"/>
  <c r="CM172" i="11"/>
  <c r="CN172" i="11" s="1"/>
  <c r="CS167" i="11"/>
  <c r="CR167" i="11"/>
  <c r="CQ167" i="11"/>
  <c r="CT167" i="11" s="1"/>
  <c r="CM167" i="11"/>
  <c r="CN167" i="11" s="1"/>
  <c r="CS166" i="11"/>
  <c r="CR166" i="11"/>
  <c r="CQ166" i="11"/>
  <c r="CT166" i="11" s="1"/>
  <c r="CM166" i="11"/>
  <c r="CN166" i="11" s="1"/>
  <c r="CS165" i="11"/>
  <c r="CR165" i="11"/>
  <c r="CQ165" i="11"/>
  <c r="CT165" i="11" s="1"/>
  <c r="CN165" i="11"/>
  <c r="CM165" i="11"/>
  <c r="CS164" i="11"/>
  <c r="CR164" i="11"/>
  <c r="CQ164" i="11"/>
  <c r="CT164" i="11" s="1"/>
  <c r="CM164" i="11"/>
  <c r="CN164" i="11" s="1"/>
  <c r="CS163" i="11"/>
  <c r="CR163" i="11"/>
  <c r="CQ163" i="11"/>
  <c r="CM163" i="11"/>
  <c r="CN163" i="11" s="1"/>
  <c r="CS162" i="11"/>
  <c r="CR162" i="11"/>
  <c r="CQ162" i="11"/>
  <c r="CM162" i="11"/>
  <c r="CN162" i="11" s="1"/>
  <c r="CS161" i="11"/>
  <c r="CR161" i="11"/>
  <c r="CQ161" i="11"/>
  <c r="CM161" i="11"/>
  <c r="CN161" i="11" s="1"/>
  <c r="CS160" i="11"/>
  <c r="CR160" i="11"/>
  <c r="CQ160" i="11"/>
  <c r="CM160" i="11"/>
  <c r="CN160" i="11" s="1"/>
  <c r="CS159" i="11"/>
  <c r="CR159" i="11"/>
  <c r="CQ159" i="11"/>
  <c r="CM159" i="11"/>
  <c r="CN159" i="11" s="1"/>
  <c r="CS154" i="11"/>
  <c r="CR154" i="11"/>
  <c r="CQ154" i="11"/>
  <c r="CM154" i="11"/>
  <c r="CN154" i="11" s="1"/>
  <c r="CS153" i="11"/>
  <c r="CR153" i="11"/>
  <c r="CQ153" i="11"/>
  <c r="CM153" i="11"/>
  <c r="CN153" i="11" s="1"/>
  <c r="CS152" i="11"/>
  <c r="CR152" i="11"/>
  <c r="CQ152" i="11"/>
  <c r="CM152" i="11"/>
  <c r="CN152" i="11" s="1"/>
  <c r="CS151" i="11"/>
  <c r="CR151" i="11"/>
  <c r="CQ151" i="11"/>
  <c r="CM151" i="11"/>
  <c r="CN151" i="11" s="1"/>
  <c r="CS150" i="11"/>
  <c r="CR150" i="11"/>
  <c r="CQ150" i="11"/>
  <c r="CM150" i="11"/>
  <c r="CN150" i="11" s="1"/>
  <c r="CS149" i="11"/>
  <c r="CR149" i="11"/>
  <c r="CQ149" i="11"/>
  <c r="CM149" i="11"/>
  <c r="CN149" i="11" s="1"/>
  <c r="CS148" i="11"/>
  <c r="CR148" i="11"/>
  <c r="CQ148" i="11"/>
  <c r="CM148" i="11"/>
  <c r="CN148" i="11" s="1"/>
  <c r="CS143" i="11"/>
  <c r="CR143" i="11"/>
  <c r="CQ143" i="11"/>
  <c r="CM143" i="11"/>
  <c r="CN143" i="11" s="1"/>
  <c r="CS138" i="11"/>
  <c r="CR138" i="11"/>
  <c r="CQ138" i="11"/>
  <c r="CM138" i="11"/>
  <c r="CN138" i="11" s="1"/>
  <c r="CS133" i="11"/>
  <c r="CR133" i="11"/>
  <c r="CQ133" i="11"/>
  <c r="CM133" i="11"/>
  <c r="CN133" i="11" s="1"/>
  <c r="CS132" i="11"/>
  <c r="CR132" i="11"/>
  <c r="CQ132" i="11"/>
  <c r="CM132" i="11"/>
  <c r="CN132" i="11" s="1"/>
  <c r="CS131" i="11"/>
  <c r="CR131" i="11"/>
  <c r="CQ131" i="11"/>
  <c r="CM131" i="11"/>
  <c r="CN131" i="11" s="1"/>
  <c r="CS130" i="11"/>
  <c r="CR130" i="11"/>
  <c r="CQ130" i="11"/>
  <c r="CM130" i="11"/>
  <c r="CN130" i="11" s="1"/>
  <c r="CS129" i="11"/>
  <c r="CR129" i="11"/>
  <c r="CQ129" i="11"/>
  <c r="CM129" i="11"/>
  <c r="CN129" i="11" s="1"/>
  <c r="CS128" i="11"/>
  <c r="CR128" i="11"/>
  <c r="CQ128" i="11"/>
  <c r="CM128" i="11"/>
  <c r="CN128" i="11" s="1"/>
  <c r="CS127" i="11"/>
  <c r="CR127" i="11"/>
  <c r="CQ127" i="11"/>
  <c r="CM127" i="11"/>
  <c r="CN127" i="11" s="1"/>
  <c r="CS126" i="11"/>
  <c r="CR126" i="11"/>
  <c r="CQ126" i="11"/>
  <c r="CT126" i="11" s="1"/>
  <c r="CM126" i="11"/>
  <c r="CN126" i="11" s="1"/>
  <c r="CS125" i="11"/>
  <c r="CR125" i="11"/>
  <c r="CQ125" i="11"/>
  <c r="CT125" i="11" s="1"/>
  <c r="CM125" i="11"/>
  <c r="CN125" i="11" s="1"/>
  <c r="CS124" i="11"/>
  <c r="CR124" i="11"/>
  <c r="CQ124" i="11"/>
  <c r="CT124" i="11" s="1"/>
  <c r="CM124" i="11"/>
  <c r="CN124" i="11" s="1"/>
  <c r="CS123" i="11"/>
  <c r="CR123" i="11"/>
  <c r="CQ123" i="11"/>
  <c r="CT123" i="11" s="1"/>
  <c r="CM123" i="11"/>
  <c r="CN123" i="11" s="1"/>
  <c r="CS118" i="11"/>
  <c r="CR118" i="11"/>
  <c r="CQ118" i="11"/>
  <c r="CT118" i="11" s="1"/>
  <c r="CM118" i="11"/>
  <c r="CN118" i="11" s="1"/>
  <c r="CS117" i="11"/>
  <c r="CR117" i="11"/>
  <c r="CQ117" i="11"/>
  <c r="CT117" i="11" s="1"/>
  <c r="CM117" i="11"/>
  <c r="CN117" i="11" s="1"/>
  <c r="CS116" i="11"/>
  <c r="CR116" i="11"/>
  <c r="CQ116" i="11"/>
  <c r="CM116" i="11"/>
  <c r="CN116" i="11" s="1"/>
  <c r="CS111" i="11"/>
  <c r="CR111" i="11"/>
  <c r="CQ111" i="11"/>
  <c r="CM111" i="11"/>
  <c r="CN111" i="11" s="1"/>
  <c r="CS106" i="11"/>
  <c r="CR106" i="11"/>
  <c r="CQ106" i="11"/>
  <c r="CM106" i="11"/>
  <c r="CN106" i="11" s="1"/>
  <c r="CS105" i="11"/>
  <c r="CR105" i="11"/>
  <c r="CQ105" i="11"/>
  <c r="CM105" i="11"/>
  <c r="CN105" i="11" s="1"/>
  <c r="CS95" i="11"/>
  <c r="CR95" i="11"/>
  <c r="CQ95" i="11"/>
  <c r="CM95" i="11"/>
  <c r="CN95" i="11" s="1"/>
  <c r="CS94" i="11"/>
  <c r="CR94" i="11"/>
  <c r="CQ94" i="11"/>
  <c r="CM94" i="11"/>
  <c r="CN94" i="11" s="1"/>
  <c r="CS89" i="11"/>
  <c r="CR89" i="11"/>
  <c r="CQ89" i="11"/>
  <c r="CM89" i="11"/>
  <c r="CN89" i="11" s="1"/>
  <c r="CS88" i="11"/>
  <c r="CR88" i="11"/>
  <c r="CQ88" i="11"/>
  <c r="CM88" i="11"/>
  <c r="CN88" i="11" s="1"/>
  <c r="CS87" i="11"/>
  <c r="CR87" i="11"/>
  <c r="CQ87" i="11"/>
  <c r="CM87" i="11"/>
  <c r="CN87" i="11" s="1"/>
  <c r="CS86" i="11"/>
  <c r="CR86" i="11"/>
  <c r="CQ86" i="11"/>
  <c r="CM86" i="11"/>
  <c r="CN86" i="11" s="1"/>
  <c r="CS85" i="11"/>
  <c r="CR85" i="11"/>
  <c r="CQ85" i="11"/>
  <c r="CM85" i="11"/>
  <c r="CN85" i="11" s="1"/>
  <c r="CS84" i="11"/>
  <c r="CR84" i="11"/>
  <c r="CQ84" i="11"/>
  <c r="CM84" i="11"/>
  <c r="CN84" i="11" s="1"/>
  <c r="CS83" i="11"/>
  <c r="CR83" i="11"/>
  <c r="CQ83" i="11"/>
  <c r="CM83" i="11"/>
  <c r="CN83" i="11" s="1"/>
  <c r="CS82" i="11"/>
  <c r="CR82" i="11"/>
  <c r="CQ82" i="11"/>
  <c r="CM82" i="11"/>
  <c r="CN82" i="11" s="1"/>
  <c r="CS81" i="11"/>
  <c r="CR81" i="11"/>
  <c r="CQ81" i="11"/>
  <c r="CM81" i="11"/>
  <c r="CN81" i="11" s="1"/>
  <c r="CS80" i="11"/>
  <c r="CR80" i="11"/>
  <c r="CQ80" i="11"/>
  <c r="CM80" i="11"/>
  <c r="CN80" i="11" s="1"/>
  <c r="CS79" i="11"/>
  <c r="CR79" i="11"/>
  <c r="CQ79" i="11"/>
  <c r="CM79" i="11"/>
  <c r="CN79" i="11" s="1"/>
  <c r="CS74" i="11"/>
  <c r="CR74" i="11"/>
  <c r="CQ74" i="11"/>
  <c r="CM74" i="11"/>
  <c r="CN74" i="11" s="1"/>
  <c r="CS73" i="11"/>
  <c r="CR73" i="11"/>
  <c r="CQ73" i="11"/>
  <c r="CM73" i="11"/>
  <c r="CN73" i="11" s="1"/>
  <c r="CS68" i="11"/>
  <c r="CR68" i="11"/>
  <c r="CQ68" i="11"/>
  <c r="CM68" i="11"/>
  <c r="CN68" i="11" s="1"/>
  <c r="CS67" i="11"/>
  <c r="CR67" i="11"/>
  <c r="CQ67" i="11"/>
  <c r="CM67" i="11"/>
  <c r="CN67" i="11" s="1"/>
  <c r="CS62" i="11"/>
  <c r="CR62" i="11"/>
  <c r="CQ62" i="11"/>
  <c r="CM62" i="11"/>
  <c r="CN62" i="11" s="1"/>
  <c r="CS61" i="11"/>
  <c r="CR61" i="11"/>
  <c r="CQ61" i="11"/>
  <c r="CM61" i="11"/>
  <c r="CN61" i="11" s="1"/>
  <c r="CS60" i="11"/>
  <c r="CR60" i="11"/>
  <c r="CQ60" i="11"/>
  <c r="CM60" i="11"/>
  <c r="CN60" i="11" s="1"/>
  <c r="CS59" i="11"/>
  <c r="CR59" i="11"/>
  <c r="CQ59" i="11"/>
  <c r="CT59" i="11" s="1"/>
  <c r="CM59" i="11"/>
  <c r="CN59" i="11" s="1"/>
  <c r="CS58" i="11"/>
  <c r="CR58" i="11"/>
  <c r="CQ58" i="11"/>
  <c r="CM58" i="11"/>
  <c r="CN58" i="11" s="1"/>
  <c r="CS57" i="11"/>
  <c r="CR57" i="11"/>
  <c r="CQ57" i="11"/>
  <c r="CM57" i="11"/>
  <c r="CN57" i="11" s="1"/>
  <c r="CS56" i="11"/>
  <c r="CR56" i="11"/>
  <c r="CQ56" i="11"/>
  <c r="CM56" i="11"/>
  <c r="CN56" i="11" s="1"/>
  <c r="CS55" i="11"/>
  <c r="CR55" i="11"/>
  <c r="CQ55" i="11"/>
  <c r="CM55" i="11"/>
  <c r="CN55" i="11" s="1"/>
  <c r="CS54" i="11"/>
  <c r="CR54" i="11"/>
  <c r="CQ54" i="11"/>
  <c r="CM54" i="11"/>
  <c r="CN54" i="11" s="1"/>
  <c r="CS53" i="11"/>
  <c r="CM53" i="11"/>
  <c r="CN53" i="11" s="1"/>
  <c r="I177" i="5"/>
  <c r="AR138" i="11"/>
  <c r="Q177" i="5" s="1"/>
  <c r="CT67" i="11" l="1"/>
  <c r="CT73" i="11"/>
  <c r="CT79" i="11"/>
  <c r="CT81" i="11"/>
  <c r="CT54" i="11"/>
  <c r="CT62" i="11"/>
  <c r="CT68" i="11"/>
  <c r="CT74" i="11"/>
  <c r="CT80" i="11"/>
  <c r="CT82" i="11"/>
  <c r="CT55" i="11"/>
  <c r="CT94" i="11"/>
  <c r="CT58" i="11"/>
  <c r="CT127" i="11"/>
  <c r="CT128" i="11"/>
  <c r="CT129" i="11"/>
  <c r="CT130" i="11"/>
  <c r="CT131" i="11"/>
  <c r="CT132" i="11"/>
  <c r="CT133" i="11"/>
  <c r="CT138" i="11"/>
  <c r="CT143" i="11"/>
  <c r="CT148" i="11"/>
  <c r="CT149" i="11"/>
  <c r="CT150" i="11"/>
  <c r="CT160" i="11"/>
  <c r="CT83" i="11"/>
  <c r="CT84" i="11"/>
  <c r="CT85" i="11"/>
  <c r="CT86" i="11"/>
  <c r="CT87" i="11"/>
  <c r="CT88" i="11"/>
  <c r="CT89" i="11"/>
  <c r="CT161" i="11"/>
  <c r="CT56" i="11"/>
  <c r="CT60" i="11"/>
  <c r="CT95" i="11"/>
  <c r="CT105" i="11"/>
  <c r="CT106" i="11"/>
  <c r="CT111" i="11"/>
  <c r="CT159" i="11"/>
  <c r="CT163" i="11"/>
  <c r="CT57" i="11"/>
  <c r="CT61" i="11"/>
  <c r="CT116" i="11"/>
  <c r="CT151" i="11"/>
  <c r="CT152" i="11"/>
  <c r="CT153" i="11"/>
  <c r="CT154" i="11"/>
  <c r="CT162" i="11"/>
  <c r="H19" i="5"/>
  <c r="T19" i="5"/>
  <c r="E92" i="5" l="1"/>
  <c r="I211" i="5"/>
  <c r="E211" i="5"/>
  <c r="E208" i="5"/>
  <c r="I149" i="5"/>
  <c r="I148" i="5"/>
  <c r="E148" i="5"/>
  <c r="I182" i="5"/>
  <c r="E182" i="5"/>
  <c r="E179" i="5"/>
  <c r="I152" i="5"/>
  <c r="I151" i="5"/>
  <c r="CB111" i="11"/>
  <c r="CZ111" i="11"/>
  <c r="DC111" i="11" s="1"/>
  <c r="DE111" i="11" s="1"/>
  <c r="CL111" i="11"/>
  <c r="CG111" i="11"/>
  <c r="CH111" i="11" s="1"/>
  <c r="CF111" i="11"/>
  <c r="I131" i="5"/>
  <c r="I136" i="5"/>
  <c r="E136" i="5"/>
  <c r="E131" i="5"/>
  <c r="E86" i="5"/>
  <c r="I92" i="5"/>
  <c r="I91" i="5"/>
  <c r="E91" i="5"/>
  <c r="E88" i="5"/>
  <c r="I86" i="5"/>
  <c r="I85" i="5"/>
  <c r="CV111" i="11" l="1"/>
  <c r="CW111" i="11" s="1"/>
  <c r="I126" i="5"/>
  <c r="I125" i="5"/>
  <c r="I72" i="5" l="1"/>
  <c r="I73" i="5"/>
  <c r="I74" i="5"/>
  <c r="I71" i="5"/>
  <c r="E71" i="5"/>
  <c r="CX111" i="11" l="1"/>
  <c r="CY111" i="11" s="1"/>
  <c r="BB124" i="11"/>
  <c r="BB123" i="11"/>
  <c r="BB133" i="11"/>
  <c r="M211" i="5" l="1"/>
  <c r="BB172" i="11"/>
  <c r="DD111" i="11"/>
  <c r="U136" i="5" s="1"/>
  <c r="BB105" i="11"/>
  <c r="M91" i="5" l="1"/>
  <c r="BB73" i="11"/>
  <c r="BB67" i="11"/>
  <c r="BG67" i="11" l="1"/>
  <c r="BL67" i="11"/>
  <c r="M85" i="5"/>
  <c r="CF56" i="11"/>
  <c r="CF55" i="11"/>
  <c r="CF54" i="11"/>
  <c r="CF53" i="11"/>
  <c r="CF62" i="11"/>
  <c r="CF61" i="11"/>
  <c r="CF60" i="11"/>
  <c r="CF59" i="11"/>
  <c r="CF58" i="11"/>
  <c r="CF57" i="11"/>
  <c r="CF68" i="11"/>
  <c r="CF67" i="11"/>
  <c r="CF89" i="11"/>
  <c r="CF88" i="11"/>
  <c r="CF87" i="11"/>
  <c r="CF86" i="11"/>
  <c r="CF85" i="11"/>
  <c r="CF84" i="11"/>
  <c r="CF83" i="11"/>
  <c r="CF82" i="11"/>
  <c r="CF81" i="11"/>
  <c r="CF80" i="11"/>
  <c r="CF79" i="11"/>
  <c r="CF74" i="11"/>
  <c r="CF73" i="11"/>
  <c r="CF95" i="11"/>
  <c r="CF94" i="11"/>
  <c r="CF106" i="11"/>
  <c r="CF105" i="11"/>
  <c r="CF118" i="11"/>
  <c r="CL118" i="11" s="1"/>
  <c r="CF117" i="11"/>
  <c r="CL117" i="11" s="1"/>
  <c r="CF116" i="11"/>
  <c r="CL116" i="11" s="1"/>
  <c r="CF127" i="11"/>
  <c r="CF126" i="11"/>
  <c r="CF133" i="11"/>
  <c r="CF132" i="11"/>
  <c r="CF131" i="11"/>
  <c r="CF130" i="11"/>
  <c r="CF129" i="11"/>
  <c r="CF128" i="11"/>
  <c r="CF125" i="11"/>
  <c r="CF138" i="11"/>
  <c r="CF143" i="11"/>
  <c r="CF124" i="11"/>
  <c r="CF123" i="11"/>
  <c r="CF154" i="11"/>
  <c r="CF153" i="11"/>
  <c r="CF152" i="11"/>
  <c r="CF151" i="11"/>
  <c r="CF150" i="11"/>
  <c r="CF149" i="11"/>
  <c r="CF148" i="11"/>
  <c r="CF167" i="11"/>
  <c r="CF166" i="11"/>
  <c r="CF165" i="11"/>
  <c r="CF164" i="11"/>
  <c r="CF163" i="11"/>
  <c r="CF162" i="11"/>
  <c r="CF161" i="11"/>
  <c r="CF160" i="11"/>
  <c r="CF159" i="11"/>
  <c r="CF172" i="11"/>
  <c r="CG172" i="11" l="1"/>
  <c r="CH172" i="11" s="1"/>
  <c r="CG167" i="11"/>
  <c r="CH167" i="11" s="1"/>
  <c r="CG166" i="11"/>
  <c r="CG165" i="11"/>
  <c r="CG164" i="11"/>
  <c r="CH164" i="11" s="1"/>
  <c r="CG163" i="11"/>
  <c r="CH163" i="11" s="1"/>
  <c r="CG162" i="11"/>
  <c r="CG161" i="11"/>
  <c r="CG160" i="11"/>
  <c r="CH160" i="11" s="1"/>
  <c r="CG159" i="11"/>
  <c r="CH159" i="11" s="1"/>
  <c r="CG154" i="11"/>
  <c r="CG153" i="11"/>
  <c r="CG152" i="11"/>
  <c r="CH152" i="11" s="1"/>
  <c r="CG151" i="11"/>
  <c r="CH151" i="11" s="1"/>
  <c r="CG150" i="11"/>
  <c r="CH150" i="11" s="1"/>
  <c r="CG149" i="11"/>
  <c r="CG148" i="11"/>
  <c r="CG124" i="11"/>
  <c r="CH124" i="11" s="1"/>
  <c r="CG123" i="11"/>
  <c r="CH123" i="11" s="1"/>
  <c r="CG143" i="11"/>
  <c r="CH143" i="11" s="1"/>
  <c r="CG138" i="11"/>
  <c r="CG133" i="11"/>
  <c r="CG132" i="11"/>
  <c r="CG131" i="11"/>
  <c r="CG130" i="11"/>
  <c r="CG129" i="11"/>
  <c r="CG128" i="11"/>
  <c r="CG125" i="11"/>
  <c r="CG127" i="11"/>
  <c r="CG126" i="11"/>
  <c r="CH126" i="11" s="1"/>
  <c r="CG118" i="11"/>
  <c r="CG117" i="11"/>
  <c r="CG116" i="11"/>
  <c r="CG106" i="11"/>
  <c r="CH106" i="11" s="1"/>
  <c r="CG105" i="11"/>
  <c r="CG95" i="11"/>
  <c r="CG94" i="11"/>
  <c r="CH94" i="11" s="1"/>
  <c r="CG74" i="11"/>
  <c r="CH74" i="11" s="1"/>
  <c r="CG73" i="11"/>
  <c r="CG89" i="11"/>
  <c r="CG88" i="11"/>
  <c r="CG87" i="11"/>
  <c r="CH87" i="11" s="1"/>
  <c r="CG86" i="11"/>
  <c r="CG85" i="11"/>
  <c r="CG84" i="11"/>
  <c r="CG83" i="11"/>
  <c r="CG82" i="11"/>
  <c r="CG81" i="11"/>
  <c r="CG80" i="11"/>
  <c r="CH80" i="11" s="1"/>
  <c r="CG79" i="11"/>
  <c r="CG68" i="11"/>
  <c r="CG67" i="11"/>
  <c r="CG62" i="11"/>
  <c r="CH62" i="11" s="1"/>
  <c r="CG61" i="11"/>
  <c r="CH61" i="11" s="1"/>
  <c r="CG60" i="11"/>
  <c r="CG59" i="11"/>
  <c r="CG58" i="11"/>
  <c r="CG57" i="11"/>
  <c r="CH57" i="11" s="1"/>
  <c r="CG56" i="11"/>
  <c r="CG55" i="11"/>
  <c r="CG54" i="11"/>
  <c r="CG53" i="11"/>
  <c r="CH129" i="11" l="1"/>
  <c r="CH133" i="11"/>
  <c r="CH148" i="11"/>
  <c r="CH153" i="11"/>
  <c r="CH161" i="11"/>
  <c r="CH165" i="11"/>
  <c r="CH79" i="11"/>
  <c r="CH84" i="11"/>
  <c r="CH58" i="11"/>
  <c r="CH83" i="11"/>
  <c r="CH88" i="11"/>
  <c r="CH116" i="11"/>
  <c r="CH127" i="11"/>
  <c r="CH130" i="11"/>
  <c r="CH138" i="11"/>
  <c r="CH149" i="11"/>
  <c r="CH154" i="11"/>
  <c r="CH162" i="11"/>
  <c r="CH166" i="11"/>
  <c r="CH54" i="11"/>
  <c r="CH56" i="11"/>
  <c r="CH60" i="11"/>
  <c r="CH68" i="11"/>
  <c r="CH82" i="11"/>
  <c r="CH86" i="11"/>
  <c r="CH73" i="11"/>
  <c r="CH105" i="11"/>
  <c r="CH118" i="11"/>
  <c r="CH128" i="11"/>
  <c r="CH132" i="11"/>
  <c r="CH53" i="11"/>
  <c r="CH55" i="11"/>
  <c r="CH59" i="11"/>
  <c r="CH67" i="11"/>
  <c r="CH81" i="11"/>
  <c r="CH85" i="11"/>
  <c r="CH89" i="11"/>
  <c r="CH95" i="11"/>
  <c r="CH117" i="11"/>
  <c r="CH125" i="11"/>
  <c r="CH131" i="11"/>
  <c r="BQ138" i="11"/>
  <c r="BQ118" i="11"/>
  <c r="BQ117" i="11"/>
  <c r="BQ116" i="11"/>
  <c r="BQ111" i="11"/>
  <c r="BQ100" i="11"/>
  <c r="BQ56" i="11" l="1"/>
  <c r="BQ55" i="11"/>
  <c r="BQ54" i="11"/>
  <c r="BB116" i="11"/>
  <c r="BB111" i="11"/>
  <c r="CZ143" i="11"/>
  <c r="DC143" i="11" s="1"/>
  <c r="DE143" i="11" s="1"/>
  <c r="CL143" i="11"/>
  <c r="BZ143" i="11"/>
  <c r="CB143" i="11"/>
  <c r="CV143" i="11" s="1"/>
  <c r="CW143" i="11" s="1"/>
  <c r="BQ143" i="11"/>
  <c r="CZ124" i="11"/>
  <c r="DC124" i="11" s="1"/>
  <c r="DE124" i="11" s="1"/>
  <c r="CL124" i="11"/>
  <c r="BZ124" i="11"/>
  <c r="CB124" i="11"/>
  <c r="CV124" i="11" s="1"/>
  <c r="CW124" i="11" s="1"/>
  <c r="BQ124" i="11"/>
  <c r="CZ123" i="11"/>
  <c r="DC123" i="11" s="1"/>
  <c r="DE123" i="11" s="1"/>
  <c r="CL123" i="11"/>
  <c r="BZ123" i="11"/>
  <c r="CB123" i="11"/>
  <c r="CV123" i="11" s="1"/>
  <c r="CW123" i="11" s="1"/>
  <c r="BQ123" i="11"/>
  <c r="AR123" i="11"/>
  <c r="Q148" i="5" s="1"/>
  <c r="CZ106" i="11"/>
  <c r="DC106" i="11" s="1"/>
  <c r="DE106" i="11" s="1"/>
  <c r="CL106" i="11"/>
  <c r="CB106" i="11"/>
  <c r="CV106" i="11" s="1"/>
  <c r="CW106" i="11" s="1"/>
  <c r="BQ106" i="11"/>
  <c r="BB106" i="11"/>
  <c r="CZ105" i="11"/>
  <c r="DC105" i="11" s="1"/>
  <c r="DE105" i="11" s="1"/>
  <c r="CL105" i="11"/>
  <c r="CB105" i="11"/>
  <c r="CV105" i="11" s="1"/>
  <c r="CW105" i="11" s="1"/>
  <c r="BQ105" i="11"/>
  <c r="CZ56" i="11"/>
  <c r="DC56" i="11" s="1"/>
  <c r="DE56" i="11" s="1"/>
  <c r="CL56" i="11"/>
  <c r="BZ56" i="11"/>
  <c r="CB56" i="11"/>
  <c r="CV56" i="11" s="1"/>
  <c r="CW56" i="11" s="1"/>
  <c r="CZ55" i="11"/>
  <c r="DC55" i="11" s="1"/>
  <c r="DE55" i="11" s="1"/>
  <c r="CL55" i="11"/>
  <c r="BZ55" i="11"/>
  <c r="CB55" i="11"/>
  <c r="CV55" i="11" s="1"/>
  <c r="CW55" i="11" s="1"/>
  <c r="CZ54" i="11"/>
  <c r="DC54" i="11" s="1"/>
  <c r="DE54" i="11" s="1"/>
  <c r="CL54" i="11"/>
  <c r="BZ54" i="11"/>
  <c r="CB54" i="11"/>
  <c r="CV54" i="11" s="1"/>
  <c r="CW54" i="11" s="1"/>
  <c r="CZ53" i="11"/>
  <c r="DC53" i="11" s="1"/>
  <c r="DE53" i="11" s="1"/>
  <c r="CR53" i="11"/>
  <c r="CQ53" i="11"/>
  <c r="CT53" i="11" s="1"/>
  <c r="CL53" i="11"/>
  <c r="BZ53" i="11"/>
  <c r="CB53" i="11"/>
  <c r="CZ127" i="11"/>
  <c r="DC127" i="11" s="1"/>
  <c r="DE127" i="11" s="1"/>
  <c r="CL127" i="11"/>
  <c r="BZ127" i="11"/>
  <c r="CB127" i="11"/>
  <c r="CV127" i="11" s="1"/>
  <c r="CW127" i="11" s="1"/>
  <c r="BQ127" i="11"/>
  <c r="BB127" i="11"/>
  <c r="CZ126" i="11"/>
  <c r="DC126" i="11" s="1"/>
  <c r="DE126" i="11" s="1"/>
  <c r="CL126" i="11"/>
  <c r="BZ126" i="11"/>
  <c r="CB126" i="11"/>
  <c r="CV126" i="11" s="1"/>
  <c r="CW126" i="11" s="1"/>
  <c r="BQ126" i="11"/>
  <c r="BB126" i="11"/>
  <c r="CZ74" i="11"/>
  <c r="DC74" i="11" s="1"/>
  <c r="DE74" i="11" s="1"/>
  <c r="CL74" i="11"/>
  <c r="BZ74" i="11"/>
  <c r="CB74" i="11"/>
  <c r="CV74" i="11" s="1"/>
  <c r="CW74" i="11" s="1"/>
  <c r="BQ74" i="11"/>
  <c r="CZ73" i="11"/>
  <c r="DC73" i="11" s="1"/>
  <c r="DE73" i="11" s="1"/>
  <c r="CL73" i="11"/>
  <c r="BZ73" i="11"/>
  <c r="CB73" i="11"/>
  <c r="CV73" i="11" s="1"/>
  <c r="CW73" i="11" s="1"/>
  <c r="BQ73" i="11"/>
  <c r="AR73" i="11"/>
  <c r="Q91" i="5" s="1"/>
  <c r="CZ172" i="11"/>
  <c r="DC172" i="11" s="1"/>
  <c r="DE172" i="11" s="1"/>
  <c r="CL172" i="11"/>
  <c r="CB172" i="11"/>
  <c r="CV172" i="11" s="1"/>
  <c r="CW172" i="11" s="1"/>
  <c r="BZ172" i="11"/>
  <c r="BQ172" i="11"/>
  <c r="AR117" i="11" l="1"/>
  <c r="Q142" i="5" s="1"/>
  <c r="BB117" i="11"/>
  <c r="CV53" i="11"/>
  <c r="CW53" i="11" s="1"/>
  <c r="M73" i="5"/>
  <c r="BB55" i="11"/>
  <c r="M143" i="5"/>
  <c r="BB118" i="11"/>
  <c r="M74" i="5"/>
  <c r="BB56" i="11"/>
  <c r="M92" i="5"/>
  <c r="BB74" i="11"/>
  <c r="M72" i="5"/>
  <c r="BB54" i="11"/>
  <c r="M71" i="5"/>
  <c r="BB53" i="11"/>
  <c r="AR143" i="11"/>
  <c r="Q182" i="5" s="1"/>
  <c r="M182" i="5"/>
  <c r="M148" i="5"/>
  <c r="AR126" i="11"/>
  <c r="Q151" i="5" s="1"/>
  <c r="M151" i="5"/>
  <c r="AR127" i="11"/>
  <c r="Q152" i="5" s="1"/>
  <c r="M152" i="5"/>
  <c r="M149" i="5"/>
  <c r="M136" i="5"/>
  <c r="AR118" i="11"/>
  <c r="Q143" i="5" s="1"/>
  <c r="AR74" i="11"/>
  <c r="Q92" i="5" s="1"/>
  <c r="AR55" i="11"/>
  <c r="Q73" i="5" s="1"/>
  <c r="AR53" i="11"/>
  <c r="Q71" i="5" s="1"/>
  <c r="AR54" i="11"/>
  <c r="Q72" i="5" s="1"/>
  <c r="AR56" i="11"/>
  <c r="Q74" i="5" s="1"/>
  <c r="AR124" i="11"/>
  <c r="Q149" i="5" s="1"/>
  <c r="AR105" i="11"/>
  <c r="AR106" i="11"/>
  <c r="AR172" i="11"/>
  <c r="Q211" i="5" s="1"/>
  <c r="P11" i="5"/>
  <c r="I143" i="5" l="1"/>
  <c r="CX172" i="11" l="1"/>
  <c r="CY172" i="11" s="1"/>
  <c r="CX56" i="11"/>
  <c r="CY56" i="11" s="1"/>
  <c r="CX123" i="11"/>
  <c r="CY123" i="11" s="1"/>
  <c r="CX124" i="11"/>
  <c r="CY124" i="11" s="1"/>
  <c r="CX127" i="11"/>
  <c r="CY127" i="11" s="1"/>
  <c r="CX126" i="11"/>
  <c r="CY126" i="11" s="1"/>
  <c r="CX53" i="11"/>
  <c r="CY53" i="11" s="1"/>
  <c r="CX143" i="11"/>
  <c r="CY143" i="11" s="1"/>
  <c r="CX105" i="11"/>
  <c r="CY105" i="11" s="1"/>
  <c r="DD105" i="11" s="1"/>
  <c r="CX106" i="11"/>
  <c r="CY106" i="11" s="1"/>
  <c r="DD106" i="11" s="1"/>
  <c r="CX73" i="11"/>
  <c r="CY73" i="11" s="1"/>
  <c r="CX54" i="11"/>
  <c r="CY54" i="11" s="1"/>
  <c r="CX55" i="11"/>
  <c r="CY55" i="11" s="1"/>
  <c r="CX74" i="11"/>
  <c r="CY74" i="11" s="1"/>
  <c r="DD172" i="11" l="1"/>
  <c r="U211" i="5" s="1"/>
  <c r="DD143" i="11"/>
  <c r="U182" i="5" s="1"/>
  <c r="DD123" i="11"/>
  <c r="U148" i="5" s="1"/>
  <c r="DD124" i="11"/>
  <c r="U149" i="5" s="1"/>
  <c r="DD126" i="11"/>
  <c r="U151" i="5" s="1"/>
  <c r="DD127" i="11"/>
  <c r="U152" i="5" s="1"/>
  <c r="DD73" i="11"/>
  <c r="U91" i="5" s="1"/>
  <c r="DD74" i="11"/>
  <c r="U92" i="5" s="1"/>
  <c r="DD54" i="11"/>
  <c r="U72" i="5" s="1"/>
  <c r="DD53" i="11"/>
  <c r="U71" i="5" s="1"/>
  <c r="DD56" i="11"/>
  <c r="U74" i="5" s="1"/>
  <c r="DD55" i="11"/>
  <c r="U73" i="5" s="1"/>
  <c r="I199" i="5"/>
  <c r="I201" i="5"/>
  <c r="I202" i="5"/>
  <c r="I203" i="5"/>
  <c r="I204" i="5"/>
  <c r="I205" i="5"/>
  <c r="I206" i="5"/>
  <c r="I198" i="5"/>
  <c r="E203" i="5"/>
  <c r="E201" i="5"/>
  <c r="E200" i="5"/>
  <c r="E198" i="5"/>
  <c r="I189" i="5"/>
  <c r="I190" i="5"/>
  <c r="I191" i="5"/>
  <c r="I192" i="5"/>
  <c r="I193" i="5"/>
  <c r="I187" i="5"/>
  <c r="E191" i="5"/>
  <c r="E189" i="5"/>
  <c r="E188" i="5"/>
  <c r="E187" i="5"/>
  <c r="BQ160" i="11"/>
  <c r="BQ161" i="11"/>
  <c r="BQ162" i="11"/>
  <c r="BQ163" i="11"/>
  <c r="BQ164" i="11"/>
  <c r="BQ165" i="11"/>
  <c r="BQ166" i="11"/>
  <c r="BQ167" i="11"/>
  <c r="BQ159" i="11"/>
  <c r="BQ149" i="11"/>
  <c r="BQ150" i="11"/>
  <c r="BQ151" i="11"/>
  <c r="BQ152" i="11"/>
  <c r="BQ153" i="11"/>
  <c r="BQ154" i="11"/>
  <c r="BQ148" i="11"/>
  <c r="BQ128" i="11"/>
  <c r="BQ129" i="11"/>
  <c r="BQ130" i="11"/>
  <c r="BQ131" i="11"/>
  <c r="BQ132" i="11"/>
  <c r="BQ133" i="11"/>
  <c r="BQ125" i="11"/>
  <c r="BQ95" i="11"/>
  <c r="BQ94" i="11"/>
  <c r="BQ81" i="11"/>
  <c r="BQ82" i="11"/>
  <c r="BQ83" i="11"/>
  <c r="BQ84" i="11"/>
  <c r="BQ85" i="11"/>
  <c r="BQ86" i="11"/>
  <c r="BQ87" i="11"/>
  <c r="BQ88" i="11"/>
  <c r="BQ89" i="11"/>
  <c r="BQ79" i="11"/>
  <c r="BQ67" i="11"/>
  <c r="BQ57" i="11"/>
  <c r="BQ58" i="11"/>
  <c r="BQ59" i="11"/>
  <c r="BQ60" i="11"/>
  <c r="BQ61" i="11"/>
  <c r="BQ62" i="11"/>
  <c r="E205" i="5" l="1"/>
  <c r="E206" i="5"/>
  <c r="BB165" i="11"/>
  <c r="BB164" i="11"/>
  <c r="BB160" i="11"/>
  <c r="BB159" i="11"/>
  <c r="BB152" i="11"/>
  <c r="BB151" i="11"/>
  <c r="BB150" i="11"/>
  <c r="BB148" i="11"/>
  <c r="I142" i="5"/>
  <c r="I141" i="5"/>
  <c r="BB166" i="11"/>
  <c r="BB162" i="11"/>
  <c r="BB163" i="11"/>
  <c r="BB167" i="11"/>
  <c r="BB154" i="11"/>
  <c r="BB153" i="11"/>
  <c r="BB132" i="11"/>
  <c r="BB131" i="11"/>
  <c r="BB129" i="11"/>
  <c r="BB128" i="11"/>
  <c r="BB130" i="11"/>
  <c r="BB125" i="11"/>
  <c r="BB95" i="11"/>
  <c r="BB94" i="11"/>
  <c r="BB89" i="11"/>
  <c r="BB88" i="11"/>
  <c r="BB85" i="11"/>
  <c r="BB86" i="11"/>
  <c r="BB84" i="11"/>
  <c r="BB82" i="11"/>
  <c r="BB83" i="11"/>
  <c r="BB81" i="11"/>
  <c r="BB80" i="11"/>
  <c r="BB87" i="11"/>
  <c r="BB68" i="11"/>
  <c r="BB62" i="11"/>
  <c r="BB61" i="11"/>
  <c r="BB59" i="11"/>
  <c r="BB58" i="11"/>
  <c r="BB57" i="11"/>
  <c r="BB60" i="11"/>
  <c r="CZ138" i="11"/>
  <c r="CZ95" i="11"/>
  <c r="CZ94" i="11"/>
  <c r="M200" i="5" l="1"/>
  <c r="BB161" i="11"/>
  <c r="M97" i="5"/>
  <c r="BB79" i="11"/>
  <c r="M188" i="5"/>
  <c r="BB149" i="11"/>
  <c r="BG68" i="11"/>
  <c r="BL68" i="11"/>
  <c r="M203" i="5"/>
  <c r="M201" i="5"/>
  <c r="M205" i="5"/>
  <c r="M206" i="5"/>
  <c r="M198" i="5"/>
  <c r="M204" i="5"/>
  <c r="M202" i="5"/>
  <c r="M199" i="5"/>
  <c r="M192" i="5"/>
  <c r="M190" i="5"/>
  <c r="M193" i="5"/>
  <c r="M187" i="5"/>
  <c r="M191" i="5"/>
  <c r="M189" i="5"/>
  <c r="M155" i="5"/>
  <c r="M156" i="5"/>
  <c r="M157" i="5"/>
  <c r="M153" i="5"/>
  <c r="M150" i="5"/>
  <c r="M154" i="5"/>
  <c r="M158" i="5"/>
  <c r="M141" i="5"/>
  <c r="M142" i="5"/>
  <c r="M125" i="5"/>
  <c r="M126" i="5"/>
  <c r="M106" i="5"/>
  <c r="AR89" i="11"/>
  <c r="Q107" i="5" s="1"/>
  <c r="M99" i="5"/>
  <c r="M104" i="5"/>
  <c r="M101" i="5"/>
  <c r="M103" i="5"/>
  <c r="M105" i="5"/>
  <c r="M100" i="5"/>
  <c r="M98" i="5"/>
  <c r="M102" i="5"/>
  <c r="M86" i="5"/>
  <c r="M76" i="5"/>
  <c r="M78" i="5"/>
  <c r="M77" i="5"/>
  <c r="M79" i="5"/>
  <c r="M75" i="5"/>
  <c r="M80" i="5"/>
  <c r="AR100" i="11"/>
  <c r="Q131" i="5" s="1"/>
  <c r="M107" i="5"/>
  <c r="BQ68" i="11" l="1"/>
  <c r="BQ80" i="11"/>
  <c r="C216" i="5"/>
  <c r="E177" i="5"/>
  <c r="E174" i="5"/>
  <c r="I153" i="5"/>
  <c r="I154" i="5"/>
  <c r="I155" i="5"/>
  <c r="I156" i="5"/>
  <c r="I157" i="5"/>
  <c r="I158" i="5"/>
  <c r="E154" i="5"/>
  <c r="E155" i="5"/>
  <c r="E156" i="5"/>
  <c r="E157" i="5"/>
  <c r="E158" i="5"/>
  <c r="E138" i="5"/>
  <c r="E133" i="5"/>
  <c r="E128" i="5"/>
  <c r="E125" i="5"/>
  <c r="E122" i="5"/>
  <c r="E106" i="5"/>
  <c r="E85" i="5"/>
  <c r="E82" i="5"/>
  <c r="CL95" i="11" l="1"/>
  <c r="CL94" i="11"/>
  <c r="CL67" i="11"/>
  <c r="CZ68" i="11"/>
  <c r="DC68" i="11" s="1"/>
  <c r="DE68" i="11" s="1"/>
  <c r="CL68" i="11"/>
  <c r="CZ67" i="11"/>
  <c r="DC67" i="11" s="1"/>
  <c r="DE67" i="11" s="1"/>
  <c r="DC94" i="11" l="1"/>
  <c r="DE94" i="11" s="1"/>
  <c r="DC95" i="11"/>
  <c r="DE95" i="11" s="1"/>
  <c r="CL138" i="11" l="1"/>
  <c r="DC138" i="11"/>
  <c r="DE138" i="11" s="1"/>
  <c r="CB138" i="11"/>
  <c r="CV138" i="11" s="1"/>
  <c r="CW138" i="11" s="1"/>
  <c r="CZ165" i="11"/>
  <c r="DC165" i="11" s="1"/>
  <c r="DE165" i="11" s="1"/>
  <c r="CL165" i="11"/>
  <c r="CB165" i="11"/>
  <c r="CV165" i="11" s="1"/>
  <c r="CW165" i="11" s="1"/>
  <c r="BZ165" i="11"/>
  <c r="AR165" i="11"/>
  <c r="Q204" i="5" s="1"/>
  <c r="M131" i="5" l="1"/>
  <c r="CX165" i="11" l="1"/>
  <c r="CY165" i="11" s="1"/>
  <c r="DD165" i="11" s="1"/>
  <c r="U204" i="5" s="1"/>
  <c r="CX138" i="11"/>
  <c r="CY138" i="11" s="1"/>
  <c r="DD138" i="11" s="1"/>
  <c r="U177" i="5" s="1"/>
  <c r="CB95" i="11" l="1"/>
  <c r="CV95" i="11" s="1"/>
  <c r="CW95" i="11" s="1"/>
  <c r="CB94" i="11"/>
  <c r="CV94" i="11" s="1"/>
  <c r="CW94" i="11" s="1"/>
  <c r="AR94" i="11"/>
  <c r="Q125" i="5" s="1"/>
  <c r="BZ68" i="11"/>
  <c r="CB68" i="11"/>
  <c r="CV68" i="11" s="1"/>
  <c r="CW68" i="11" s="1"/>
  <c r="AR68" i="11"/>
  <c r="Q86" i="5" s="1"/>
  <c r="BZ67" i="11"/>
  <c r="CB67" i="11"/>
  <c r="CV67" i="11" s="1"/>
  <c r="CW67" i="11" s="1"/>
  <c r="AR67" i="11"/>
  <c r="Q85" i="5" s="1"/>
  <c r="AR95" i="11" l="1"/>
  <c r="Q126" i="5" s="1"/>
  <c r="CX68" i="11" l="1"/>
  <c r="CY68" i="11" s="1"/>
  <c r="DD68" i="11" s="1"/>
  <c r="U86" i="5" s="1"/>
  <c r="CX94" i="11"/>
  <c r="CY94" i="11" s="1"/>
  <c r="DD94" i="11" s="1"/>
  <c r="U125" i="5" s="1"/>
  <c r="CX95" i="11"/>
  <c r="CY95" i="11" s="1"/>
  <c r="DD95" i="11" s="1"/>
  <c r="CX67" i="11"/>
  <c r="CY67" i="11" s="1"/>
  <c r="DD67" i="11" s="1"/>
  <c r="U85" i="5" s="1"/>
  <c r="CZ118" i="11"/>
  <c r="DC118" i="11" s="1"/>
  <c r="DE118" i="11" s="1"/>
  <c r="CV118" i="11"/>
  <c r="CW118" i="11" s="1"/>
  <c r="CZ117" i="11"/>
  <c r="DC117" i="11" s="1"/>
  <c r="DE117" i="11" s="1"/>
  <c r="CV117" i="11"/>
  <c r="CW117" i="11" s="1"/>
  <c r="CZ116" i="11"/>
  <c r="DC116" i="11" s="1"/>
  <c r="DE116" i="11" s="1"/>
  <c r="CV116" i="11"/>
  <c r="CW116" i="11" s="1"/>
  <c r="U126" i="5" l="1"/>
  <c r="AR116" i="11"/>
  <c r="Q141" i="5" s="1"/>
  <c r="CX117" i="11" l="1"/>
  <c r="CY117" i="11" s="1"/>
  <c r="DD117" i="11" s="1"/>
  <c r="U142" i="5" s="1"/>
  <c r="CX116" i="11"/>
  <c r="CY116" i="11" s="1"/>
  <c r="DD116" i="11" s="1"/>
  <c r="U141" i="5" s="1"/>
  <c r="CX118" i="11"/>
  <c r="CY118" i="11" s="1"/>
  <c r="DD118" i="11" s="1"/>
  <c r="U143" i="5" s="1"/>
  <c r="CZ132" i="11" l="1"/>
  <c r="DC132" i="11" s="1"/>
  <c r="DE132" i="11" s="1"/>
  <c r="CL132" i="11"/>
  <c r="CB132" i="11"/>
  <c r="CV132" i="11" s="1"/>
  <c r="CW132" i="11" s="1"/>
  <c r="BZ132" i="11"/>
  <c r="V42" i="5"/>
  <c r="J42" i="5"/>
  <c r="D42" i="5"/>
  <c r="BZ57" i="11"/>
  <c r="CB57" i="11"/>
  <c r="CV57" i="11" s="1"/>
  <c r="CW57" i="11" s="1"/>
  <c r="CL57" i="11"/>
  <c r="CZ57" i="11"/>
  <c r="DC57" i="11" s="1"/>
  <c r="DE57" i="11" s="1"/>
  <c r="BZ58" i="11"/>
  <c r="CB58" i="11"/>
  <c r="CV58" i="11" s="1"/>
  <c r="CW58" i="11" s="1"/>
  <c r="CL58" i="11"/>
  <c r="CZ58" i="11"/>
  <c r="DC58" i="11" s="1"/>
  <c r="DE58" i="11" s="1"/>
  <c r="BZ59" i="11"/>
  <c r="CB59" i="11"/>
  <c r="CV59" i="11" s="1"/>
  <c r="CW59" i="11" s="1"/>
  <c r="CL59" i="11"/>
  <c r="CZ59" i="11"/>
  <c r="DC59" i="11" s="1"/>
  <c r="DE59" i="11" s="1"/>
  <c r="BZ60" i="11"/>
  <c r="CB60" i="11"/>
  <c r="CV60" i="11" s="1"/>
  <c r="CW60" i="11" s="1"/>
  <c r="CL60" i="11"/>
  <c r="CZ60" i="11"/>
  <c r="DC60" i="11" s="1"/>
  <c r="DE60" i="11" s="1"/>
  <c r="BZ61" i="11"/>
  <c r="CB61" i="11"/>
  <c r="CV61" i="11" s="1"/>
  <c r="CW61" i="11" s="1"/>
  <c r="CL61" i="11"/>
  <c r="CZ61" i="11"/>
  <c r="DC61" i="11" s="1"/>
  <c r="DE61" i="11" s="1"/>
  <c r="BZ62" i="11"/>
  <c r="CB62" i="11"/>
  <c r="CV62" i="11" s="1"/>
  <c r="CW62" i="11" s="1"/>
  <c r="CL62" i="11"/>
  <c r="CZ62" i="11"/>
  <c r="DC62" i="11" s="1"/>
  <c r="DE62" i="11" s="1"/>
  <c r="BZ79" i="11"/>
  <c r="CB79" i="11"/>
  <c r="CV79" i="11" s="1"/>
  <c r="CW79" i="11" s="1"/>
  <c r="CL79" i="11"/>
  <c r="CZ79" i="11"/>
  <c r="DC79" i="11" s="1"/>
  <c r="DE79" i="11" s="1"/>
  <c r="BZ80" i="11"/>
  <c r="CB80" i="11"/>
  <c r="CV80" i="11" s="1"/>
  <c r="CW80" i="11" s="1"/>
  <c r="CL80" i="11"/>
  <c r="CZ80" i="11"/>
  <c r="DC80" i="11" s="1"/>
  <c r="DE80" i="11" s="1"/>
  <c r="BZ81" i="11"/>
  <c r="CB81" i="11"/>
  <c r="CV81" i="11" s="1"/>
  <c r="CW81" i="11" s="1"/>
  <c r="CL81" i="11"/>
  <c r="CZ81" i="11"/>
  <c r="DC81" i="11" s="1"/>
  <c r="DE81" i="11" s="1"/>
  <c r="BZ82" i="11"/>
  <c r="CB82" i="11"/>
  <c r="CV82" i="11" s="1"/>
  <c r="CW82" i="11" s="1"/>
  <c r="CL82" i="11"/>
  <c r="CZ82" i="11"/>
  <c r="DC82" i="11" s="1"/>
  <c r="DE82" i="11" s="1"/>
  <c r="BZ83" i="11"/>
  <c r="CB83" i="11"/>
  <c r="CV83" i="11" s="1"/>
  <c r="CW83" i="11" s="1"/>
  <c r="CL83" i="11"/>
  <c r="CZ83" i="11"/>
  <c r="DC83" i="11" s="1"/>
  <c r="DE83" i="11" s="1"/>
  <c r="BZ84" i="11"/>
  <c r="CB84" i="11"/>
  <c r="CV84" i="11" s="1"/>
  <c r="CW84" i="11" s="1"/>
  <c r="CL84" i="11"/>
  <c r="CZ84" i="11"/>
  <c r="DC84" i="11" s="1"/>
  <c r="DE84" i="11" s="1"/>
  <c r="BZ85" i="11"/>
  <c r="CB85" i="11"/>
  <c r="CV85" i="11" s="1"/>
  <c r="CW85" i="11" s="1"/>
  <c r="CL85" i="11"/>
  <c r="CZ85" i="11"/>
  <c r="DC85" i="11" s="1"/>
  <c r="DE85" i="11" s="1"/>
  <c r="BZ86" i="11"/>
  <c r="CB86" i="11"/>
  <c r="CV86" i="11" s="1"/>
  <c r="CW86" i="11" s="1"/>
  <c r="CL86" i="11"/>
  <c r="CZ86" i="11"/>
  <c r="DC86" i="11" s="1"/>
  <c r="DE86" i="11" s="1"/>
  <c r="BZ87" i="11"/>
  <c r="CB87" i="11"/>
  <c r="CV87" i="11" s="1"/>
  <c r="CW87" i="11" s="1"/>
  <c r="CL87" i="11"/>
  <c r="CZ87" i="11"/>
  <c r="DC87" i="11" s="1"/>
  <c r="DE87" i="11" s="1"/>
  <c r="BZ88" i="11"/>
  <c r="CB88" i="11"/>
  <c r="CV88" i="11" s="1"/>
  <c r="CW88" i="11" s="1"/>
  <c r="CL88" i="11"/>
  <c r="CZ88" i="11"/>
  <c r="DC88" i="11" s="1"/>
  <c r="DE88" i="11" s="1"/>
  <c r="BZ89" i="11"/>
  <c r="CB89" i="11"/>
  <c r="CV89" i="11" s="1"/>
  <c r="CW89" i="11" s="1"/>
  <c r="CL89" i="11"/>
  <c r="CZ89" i="11"/>
  <c r="DC89" i="11" s="1"/>
  <c r="DE89" i="11" s="1"/>
  <c r="BZ125" i="11"/>
  <c r="CB125" i="11"/>
  <c r="CV125" i="11" s="1"/>
  <c r="CW125" i="11" s="1"/>
  <c r="CL125" i="11"/>
  <c r="CZ125" i="11"/>
  <c r="DC125" i="11" s="1"/>
  <c r="DE125" i="11" s="1"/>
  <c r="BZ128" i="11"/>
  <c r="CB128" i="11"/>
  <c r="CV128" i="11" s="1"/>
  <c r="CW128" i="11" s="1"/>
  <c r="CL128" i="11"/>
  <c r="CZ128" i="11"/>
  <c r="DC128" i="11" s="1"/>
  <c r="DE128" i="11" s="1"/>
  <c r="BZ129" i="11"/>
  <c r="CB129" i="11"/>
  <c r="CV129" i="11" s="1"/>
  <c r="CW129" i="11" s="1"/>
  <c r="CL129" i="11"/>
  <c r="CZ129" i="11"/>
  <c r="DC129" i="11" s="1"/>
  <c r="DE129" i="11" s="1"/>
  <c r="BZ130" i="11"/>
  <c r="CB130" i="11"/>
  <c r="CV130" i="11" s="1"/>
  <c r="CW130" i="11" s="1"/>
  <c r="CL130" i="11"/>
  <c r="CZ130" i="11"/>
  <c r="DC130" i="11" s="1"/>
  <c r="DE130" i="11" s="1"/>
  <c r="BZ131" i="11"/>
  <c r="CB131" i="11"/>
  <c r="CV131" i="11" s="1"/>
  <c r="CW131" i="11" s="1"/>
  <c r="CL131" i="11"/>
  <c r="CZ131" i="11"/>
  <c r="DC131" i="11" s="1"/>
  <c r="DE131" i="11" s="1"/>
  <c r="BZ133" i="11"/>
  <c r="CB133" i="11"/>
  <c r="CV133" i="11" s="1"/>
  <c r="CW133" i="11" s="1"/>
  <c r="CL133" i="11"/>
  <c r="CZ133" i="11"/>
  <c r="DC133" i="11" s="1"/>
  <c r="DE133" i="11" s="1"/>
  <c r="BZ159" i="11"/>
  <c r="CB159" i="11"/>
  <c r="CV159" i="11" s="1"/>
  <c r="CW159" i="11" s="1"/>
  <c r="CL159" i="11"/>
  <c r="CZ159" i="11"/>
  <c r="DC159" i="11" s="1"/>
  <c r="DE159" i="11" s="1"/>
  <c r="BZ160" i="11"/>
  <c r="CB160" i="11"/>
  <c r="CV160" i="11" s="1"/>
  <c r="CW160" i="11" s="1"/>
  <c r="CL160" i="11"/>
  <c r="CZ160" i="11"/>
  <c r="DC160" i="11" s="1"/>
  <c r="DE160" i="11" s="1"/>
  <c r="BZ161" i="11"/>
  <c r="CB161" i="11"/>
  <c r="CV161" i="11" s="1"/>
  <c r="CW161" i="11" s="1"/>
  <c r="CL161" i="11"/>
  <c r="CZ161" i="11"/>
  <c r="DC161" i="11" s="1"/>
  <c r="DE161" i="11" s="1"/>
  <c r="BZ162" i="11"/>
  <c r="CB162" i="11"/>
  <c r="CV162" i="11" s="1"/>
  <c r="CW162" i="11" s="1"/>
  <c r="CL162" i="11"/>
  <c r="CZ162" i="11"/>
  <c r="DC162" i="11" s="1"/>
  <c r="DE162" i="11" s="1"/>
  <c r="BZ163" i="11"/>
  <c r="CB163" i="11"/>
  <c r="CV163" i="11" s="1"/>
  <c r="CW163" i="11" s="1"/>
  <c r="CL163" i="11"/>
  <c r="CZ163" i="11"/>
  <c r="DC163" i="11" s="1"/>
  <c r="DE163" i="11" s="1"/>
  <c r="BZ164" i="11"/>
  <c r="CB164" i="11"/>
  <c r="CV164" i="11" s="1"/>
  <c r="CW164" i="11" s="1"/>
  <c r="CL164" i="11"/>
  <c r="CZ164" i="11"/>
  <c r="DC164" i="11" s="1"/>
  <c r="DE164" i="11" s="1"/>
  <c r="BZ166" i="11"/>
  <c r="CB166" i="11"/>
  <c r="CV166" i="11" s="1"/>
  <c r="CW166" i="11" s="1"/>
  <c r="CL166" i="11"/>
  <c r="CZ166" i="11"/>
  <c r="DC166" i="11" s="1"/>
  <c r="DE166" i="11" s="1"/>
  <c r="BZ167" i="11"/>
  <c r="CB167" i="11"/>
  <c r="CV167" i="11" s="1"/>
  <c r="CW167" i="11" s="1"/>
  <c r="CL167" i="11"/>
  <c r="CZ167" i="11"/>
  <c r="DC167" i="11" s="1"/>
  <c r="DE167" i="11" s="1"/>
  <c r="BZ148" i="11"/>
  <c r="CB148" i="11"/>
  <c r="CV148" i="11" s="1"/>
  <c r="CW148" i="11" s="1"/>
  <c r="CL148" i="11"/>
  <c r="CZ148" i="11"/>
  <c r="DC148" i="11" s="1"/>
  <c r="DE148" i="11" s="1"/>
  <c r="BZ149" i="11"/>
  <c r="CB149" i="11"/>
  <c r="CV149" i="11" s="1"/>
  <c r="CW149" i="11" s="1"/>
  <c r="CL149" i="11"/>
  <c r="CZ149" i="11"/>
  <c r="DC149" i="11" s="1"/>
  <c r="DE149" i="11" s="1"/>
  <c r="BZ150" i="11"/>
  <c r="CB150" i="11"/>
  <c r="CV150" i="11" s="1"/>
  <c r="CW150" i="11" s="1"/>
  <c r="CL150" i="11"/>
  <c r="CZ150" i="11"/>
  <c r="DC150" i="11" s="1"/>
  <c r="DE150" i="11" s="1"/>
  <c r="BZ151" i="11"/>
  <c r="CB151" i="11"/>
  <c r="CV151" i="11" s="1"/>
  <c r="CW151" i="11" s="1"/>
  <c r="CL151" i="11"/>
  <c r="CZ151" i="11"/>
  <c r="DC151" i="11" s="1"/>
  <c r="DE151" i="11" s="1"/>
  <c r="BZ152" i="11"/>
  <c r="CB152" i="11"/>
  <c r="CV152" i="11" s="1"/>
  <c r="CW152" i="11" s="1"/>
  <c r="CL152" i="11"/>
  <c r="CZ152" i="11"/>
  <c r="DC152" i="11" s="1"/>
  <c r="DE152" i="11" s="1"/>
  <c r="BZ153" i="11"/>
  <c r="CB153" i="11"/>
  <c r="CV153" i="11" s="1"/>
  <c r="CW153" i="11" s="1"/>
  <c r="CL153" i="11"/>
  <c r="CZ153" i="11"/>
  <c r="DC153" i="11" s="1"/>
  <c r="DE153" i="11" s="1"/>
  <c r="BZ154" i="11"/>
  <c r="CB154" i="11"/>
  <c r="CV154" i="11" s="1"/>
  <c r="CW154" i="11" s="1"/>
  <c r="CL154" i="11"/>
  <c r="CZ154" i="11"/>
  <c r="DC154" i="11" s="1"/>
  <c r="DE154" i="11" s="1"/>
  <c r="AR148" i="11" l="1"/>
  <c r="Q187" i="5" s="1"/>
  <c r="AR166" i="11"/>
  <c r="Q205" i="5" s="1"/>
  <c r="AR130" i="11"/>
  <c r="Q155" i="5" s="1"/>
  <c r="AR125" i="11"/>
  <c r="Q150" i="5" s="1"/>
  <c r="AR86" i="11"/>
  <c r="Q104" i="5" s="1"/>
  <c r="AR84" i="11"/>
  <c r="Q102" i="5" s="1"/>
  <c r="AR82" i="11"/>
  <c r="Q100" i="5" s="1"/>
  <c r="AR80" i="11"/>
  <c r="Q98" i="5" s="1"/>
  <c r="AR60" i="11"/>
  <c r="Q78" i="5" s="1"/>
  <c r="AR153" i="11"/>
  <c r="Q192" i="5" s="1"/>
  <c r="AR151" i="11"/>
  <c r="Q190" i="5" s="1"/>
  <c r="AR149" i="11"/>
  <c r="Q188" i="5" s="1"/>
  <c r="AR167" i="11"/>
  <c r="Q206" i="5" s="1"/>
  <c r="AR164" i="11"/>
  <c r="Q203" i="5" s="1"/>
  <c r="AR162" i="11"/>
  <c r="Q201" i="5" s="1"/>
  <c r="AR160" i="11"/>
  <c r="Q199" i="5" s="1"/>
  <c r="AR131" i="11"/>
  <c r="Q156" i="5" s="1"/>
  <c r="AR129" i="11"/>
  <c r="Q154" i="5" s="1"/>
  <c r="AR87" i="11"/>
  <c r="Q105" i="5" s="1"/>
  <c r="AR85" i="11"/>
  <c r="Q103" i="5" s="1"/>
  <c r="AR83" i="11"/>
  <c r="Q101" i="5" s="1"/>
  <c r="AR81" i="11"/>
  <c r="Q99" i="5" s="1"/>
  <c r="AR79" i="11"/>
  <c r="Q97" i="5" s="1"/>
  <c r="AR61" i="11"/>
  <c r="Q79" i="5" s="1"/>
  <c r="AR59" i="11"/>
  <c r="Q77" i="5" s="1"/>
  <c r="AR57" i="11"/>
  <c r="Q75" i="5" s="1"/>
  <c r="AR154" i="11"/>
  <c r="Q193" i="5" s="1"/>
  <c r="AR152" i="11"/>
  <c r="Q191" i="5" s="1"/>
  <c r="AR150" i="11"/>
  <c r="Q189" i="5" s="1"/>
  <c r="AR163" i="11"/>
  <c r="Q202" i="5" s="1"/>
  <c r="AR161" i="11"/>
  <c r="Q200" i="5" s="1"/>
  <c r="AR159" i="11"/>
  <c r="Q198" i="5" s="1"/>
  <c r="AR128" i="11"/>
  <c r="Q153" i="5" s="1"/>
  <c r="AR88" i="11"/>
  <c r="Q106" i="5" s="1"/>
  <c r="AR62" i="11"/>
  <c r="Q80" i="5" s="1"/>
  <c r="AR58" i="11"/>
  <c r="Q76" i="5" s="1"/>
  <c r="AR132" i="11"/>
  <c r="Q157" i="5" s="1"/>
  <c r="AR133" i="11"/>
  <c r="Q158" i="5" s="1"/>
  <c r="E193" i="5"/>
  <c r="E192" i="5"/>
  <c r="E153" i="5"/>
  <c r="E150" i="5"/>
  <c r="I150" i="5"/>
  <c r="E75" i="5"/>
  <c r="I75" i="5"/>
  <c r="I76" i="5"/>
  <c r="E77" i="5"/>
  <c r="I77" i="5"/>
  <c r="E78" i="5"/>
  <c r="I78" i="5"/>
  <c r="E79" i="5"/>
  <c r="I79" i="5"/>
  <c r="E80" i="5"/>
  <c r="I80" i="5"/>
  <c r="I98" i="5"/>
  <c r="E99" i="5"/>
  <c r="I99" i="5"/>
  <c r="I100" i="5"/>
  <c r="I101" i="5"/>
  <c r="E102" i="5"/>
  <c r="I102" i="5"/>
  <c r="I103" i="5"/>
  <c r="I104" i="5"/>
  <c r="E105" i="5"/>
  <c r="I105" i="5"/>
  <c r="I106" i="5"/>
  <c r="E107" i="5"/>
  <c r="E97" i="5"/>
  <c r="I97" i="5"/>
  <c r="E184" i="5" l="1"/>
  <c r="E195" i="5"/>
  <c r="E145" i="5"/>
  <c r="C162" i="5"/>
  <c r="E68" i="5"/>
  <c r="C110" i="5"/>
  <c r="E94" i="5"/>
  <c r="E55" i="5"/>
  <c r="O52" i="5"/>
  <c r="C23" i="5"/>
  <c r="T18" i="5"/>
  <c r="H18" i="5"/>
  <c r="T17" i="5"/>
  <c r="H17" i="5"/>
  <c r="T16" i="5"/>
  <c r="H16" i="5"/>
  <c r="T15" i="5"/>
  <c r="H15" i="5"/>
  <c r="T14" i="5"/>
  <c r="H14" i="5"/>
  <c r="D11" i="5"/>
  <c r="D10" i="5"/>
  <c r="P10" i="5" s="1"/>
  <c r="CX161" i="11" l="1"/>
  <c r="CY161" i="11" s="1"/>
  <c r="DD161" i="11" s="1"/>
  <c r="U200" i="5" s="1"/>
  <c r="CX131" i="11"/>
  <c r="CY131" i="11" s="1"/>
  <c r="DD131" i="11" s="1"/>
  <c r="U156" i="5" s="1"/>
  <c r="CX164" i="11"/>
  <c r="CY164" i="11" s="1"/>
  <c r="DD164" i="11" s="1"/>
  <c r="U203" i="5" s="1"/>
  <c r="CX150" i="11"/>
  <c r="CY150" i="11" s="1"/>
  <c r="DD150" i="11" s="1"/>
  <c r="CX151" i="11"/>
  <c r="CY151" i="11" s="1"/>
  <c r="DD151" i="11" s="1"/>
  <c r="U190" i="5" s="1"/>
  <c r="CX129" i="11"/>
  <c r="CY129" i="11" s="1"/>
  <c r="DD129" i="11" s="1"/>
  <c r="CX61" i="11"/>
  <c r="CY61" i="11" s="1"/>
  <c r="DD61" i="11" s="1"/>
  <c r="U79" i="5" s="1"/>
  <c r="CX133" i="11"/>
  <c r="CY133" i="11" s="1"/>
  <c r="DD133" i="11" s="1"/>
  <c r="U158" i="5" s="1"/>
  <c r="CX132" i="11"/>
  <c r="CY132" i="11" s="1"/>
  <c r="DD132" i="11" s="1"/>
  <c r="U157" i="5" s="1"/>
  <c r="CX89" i="11"/>
  <c r="CY89" i="11" s="1"/>
  <c r="DD89" i="11" s="1"/>
  <c r="U107" i="5" s="1"/>
  <c r="CX85" i="11"/>
  <c r="CY85" i="11" s="1"/>
  <c r="DD85" i="11" s="1"/>
  <c r="U103" i="5" s="1"/>
  <c r="CX81" i="11"/>
  <c r="CY81" i="11" s="1"/>
  <c r="DD81" i="11" s="1"/>
  <c r="U99" i="5" s="1"/>
  <c r="CX84" i="11"/>
  <c r="CY84" i="11" s="1"/>
  <c r="CX159" i="11"/>
  <c r="CY159" i="11" s="1"/>
  <c r="DD159" i="11" s="1"/>
  <c r="U198" i="5" s="1"/>
  <c r="CX57" i="11"/>
  <c r="CY57" i="11" s="1"/>
  <c r="DD57" i="11" s="1"/>
  <c r="U75" i="5" s="1"/>
  <c r="CX167" i="11"/>
  <c r="CY167" i="11" s="1"/>
  <c r="DD167" i="11" s="1"/>
  <c r="U206" i="5" s="1"/>
  <c r="CX154" i="11"/>
  <c r="CY154" i="11" s="1"/>
  <c r="DD154" i="11" s="1"/>
  <c r="U193" i="5" s="1"/>
  <c r="CX160" i="11"/>
  <c r="CY160" i="11" s="1"/>
  <c r="DD160" i="11" s="1"/>
  <c r="U199" i="5" s="1"/>
  <c r="CX80" i="11"/>
  <c r="CY80" i="11" s="1"/>
  <c r="DD80" i="11" s="1"/>
  <c r="U98" i="5" s="1"/>
  <c r="CX149" i="11"/>
  <c r="CY149" i="11" s="1"/>
  <c r="DD149" i="11" s="1"/>
  <c r="U188" i="5" s="1"/>
  <c r="CX163" i="11"/>
  <c r="CY163" i="11" s="1"/>
  <c r="DD163" i="11" s="1"/>
  <c r="U202" i="5" s="1"/>
  <c r="CX86" i="11"/>
  <c r="CY86" i="11" s="1"/>
  <c r="DD86" i="11" s="1"/>
  <c r="U104" i="5" s="1"/>
  <c r="CX79" i="11"/>
  <c r="CY79" i="11" s="1"/>
  <c r="DD79" i="11" s="1"/>
  <c r="U97" i="5" s="1"/>
  <c r="CX59" i="11"/>
  <c r="CY59" i="11" s="1"/>
  <c r="DD59" i="11" s="1"/>
  <c r="U77" i="5" s="1"/>
  <c r="CX153" i="11"/>
  <c r="CY153" i="11" s="1"/>
  <c r="DD153" i="11" s="1"/>
  <c r="U192" i="5" s="1"/>
  <c r="CX130" i="11"/>
  <c r="CY130" i="11" s="1"/>
  <c r="DD130" i="11" s="1"/>
  <c r="U155" i="5" s="1"/>
  <c r="CX60" i="11"/>
  <c r="CY60" i="11" s="1"/>
  <c r="DD60" i="11" s="1"/>
  <c r="U78" i="5" s="1"/>
  <c r="CX128" i="11"/>
  <c r="CY128" i="11" s="1"/>
  <c r="DD128" i="11" s="1"/>
  <c r="CX82" i="11"/>
  <c r="CY82" i="11" s="1"/>
  <c r="DD82" i="11" s="1"/>
  <c r="U100" i="5" s="1"/>
  <c r="CX162" i="11"/>
  <c r="CY162" i="11" s="1"/>
  <c r="DD162" i="11" s="1"/>
  <c r="U201" i="5" s="1"/>
  <c r="CX87" i="11"/>
  <c r="CY87" i="11" s="1"/>
  <c r="DD87" i="11" s="1"/>
  <c r="U105" i="5" s="1"/>
  <c r="CX88" i="11"/>
  <c r="CY88" i="11" s="1"/>
  <c r="DD88" i="11" s="1"/>
  <c r="U106" i="5" s="1"/>
  <c r="CX62" i="11"/>
  <c r="CY62" i="11" s="1"/>
  <c r="DD62" i="11" s="1"/>
  <c r="CX166" i="11"/>
  <c r="CY166" i="11" s="1"/>
  <c r="DD166" i="11" s="1"/>
  <c r="U205" i="5" s="1"/>
  <c r="CX125" i="11"/>
  <c r="CY125" i="11" s="1"/>
  <c r="DD125" i="11" s="1"/>
  <c r="CX58" i="11"/>
  <c r="CY58" i="11" s="1"/>
  <c r="DD58" i="11" s="1"/>
  <c r="U76" i="5" s="1"/>
  <c r="CX152" i="11"/>
  <c r="CY152" i="11" s="1"/>
  <c r="DD152" i="11" s="1"/>
  <c r="U191" i="5" s="1"/>
  <c r="CX148" i="11"/>
  <c r="CY148" i="11" s="1"/>
  <c r="DD148" i="11" s="1"/>
  <c r="U187" i="5" s="1"/>
  <c r="CX83" i="11"/>
  <c r="CY83" i="11" s="1"/>
  <c r="DD83" i="11" s="1"/>
  <c r="U101" i="5" s="1"/>
  <c r="DD84" i="11" l="1"/>
  <c r="U102" i="5" s="1"/>
  <c r="U189" i="5"/>
  <c r="U153" i="5"/>
  <c r="U150" i="5"/>
  <c r="U154" i="5"/>
  <c r="U80" i="5" l="1"/>
</calcChain>
</file>

<file path=xl/sharedStrings.xml><?xml version="1.0" encoding="utf-8"?>
<sst xmlns="http://schemas.openxmlformats.org/spreadsheetml/2006/main" count="1267" uniqueCount="201">
  <si>
    <t>Calibration Certificate</t>
  </si>
  <si>
    <t>Certificate No.:</t>
  </si>
  <si>
    <t>Customer :</t>
  </si>
  <si>
    <t>Location of Calibration :</t>
  </si>
  <si>
    <t>Manufacturer:</t>
  </si>
  <si>
    <t>Description:</t>
  </si>
  <si>
    <t>Model No:</t>
  </si>
  <si>
    <t>Options Installed:</t>
  </si>
  <si>
    <t>Serial No:</t>
  </si>
  <si>
    <t>Customer Asset No:</t>
  </si>
  <si>
    <t>Calibration Date:</t>
  </si>
  <si>
    <t>Work Order No.:</t>
  </si>
  <si>
    <t>Customer P.O.:</t>
  </si>
  <si>
    <t>Temperature:</t>
  </si>
  <si>
    <t>Humidity:</t>
  </si>
  <si>
    <t>Cal Method / Procedure :</t>
  </si>
  <si>
    <t>This is to certify that the above Measuring and Test Equipment has been calibrated by SONJU Engineering Services in accordance with relevant calibration procedure defined for this instrument.</t>
  </si>
  <si>
    <t>Reference Standard Used:</t>
  </si>
  <si>
    <t>Description</t>
  </si>
  <si>
    <t>Serial No.</t>
  </si>
  <si>
    <t>Cal Report Ref.</t>
  </si>
  <si>
    <t>Due Date</t>
  </si>
  <si>
    <t>Remarks:</t>
  </si>
  <si>
    <t>2. The user should determine the suitability of this instrument for its intended use.</t>
  </si>
  <si>
    <t>Calibration Officer</t>
  </si>
  <si>
    <t>Issue Date :</t>
  </si>
  <si>
    <t>Measurement Results:</t>
  </si>
  <si>
    <t>Range</t>
  </si>
  <si>
    <t>Nominal Value</t>
  </si>
  <si>
    <t>Error</t>
  </si>
  <si>
    <t>-</t>
  </si>
  <si>
    <t>CALIBRATION DATASHEET</t>
  </si>
  <si>
    <t>Technical ID:</t>
  </si>
  <si>
    <t>Unit Under Calibration</t>
  </si>
  <si>
    <t>:</t>
  </si>
  <si>
    <t>Received Date</t>
  </si>
  <si>
    <t>Manufacturer</t>
  </si>
  <si>
    <t>Fluke</t>
  </si>
  <si>
    <t>Calibration Date</t>
  </si>
  <si>
    <t>Model</t>
  </si>
  <si>
    <t>Options Installed</t>
  </si>
  <si>
    <t>Serial Number</t>
  </si>
  <si>
    <t>Customer P.O.</t>
  </si>
  <si>
    <t>Asset Number</t>
  </si>
  <si>
    <t>Res/Readability</t>
  </si>
  <si>
    <t>Accuracy</t>
  </si>
  <si>
    <t>Prev. SES Cal Cert:</t>
  </si>
  <si>
    <t>Previous Technician</t>
  </si>
  <si>
    <t>Customer Details</t>
  </si>
  <si>
    <t>Calibration Location</t>
  </si>
  <si>
    <t>Company</t>
  </si>
  <si>
    <t>x</t>
  </si>
  <si>
    <t>In-House (SONJU Laboratory)</t>
  </si>
  <si>
    <t>Address</t>
  </si>
  <si>
    <t>On-Site Calibration (Please Specify)</t>
  </si>
  <si>
    <t>Reference Standard/s Used</t>
  </si>
  <si>
    <t>Accessory Used</t>
  </si>
  <si>
    <t>Brand</t>
  </si>
  <si>
    <t>Environmental Condition</t>
  </si>
  <si>
    <t>Calibration Method</t>
  </si>
  <si>
    <t>Temperature</t>
  </si>
  <si>
    <t>Relative Humidity</t>
  </si>
  <si>
    <t>Start:</t>
  </si>
  <si>
    <t>End:</t>
  </si>
  <si>
    <t>Observations</t>
  </si>
  <si>
    <t>Adjustment</t>
  </si>
  <si>
    <t xml:space="preserve"> Needed?</t>
  </si>
  <si>
    <t>YES</t>
  </si>
  <si>
    <t>NO</t>
  </si>
  <si>
    <t>Measurement Results</t>
  </si>
  <si>
    <t xml:space="preserve">Standard </t>
  </si>
  <si>
    <t>Expanded Uncertainty</t>
  </si>
  <si>
    <t>Frequency</t>
  </si>
  <si>
    <t>Measured Value</t>
  </si>
  <si>
    <t>Average</t>
  </si>
  <si>
    <t>Source</t>
  </si>
  <si>
    <t>Divisor</t>
  </si>
  <si>
    <t>Ui</t>
  </si>
  <si>
    <t xml:space="preserve">COMBINED STANDARD </t>
  </si>
  <si>
    <t xml:space="preserve">EFFECTIVE DEGREES </t>
  </si>
  <si>
    <t>C. FACTOR,  k = student's</t>
  </si>
  <si>
    <t xml:space="preserve">EXPANDED UNCERTAINTY, </t>
  </si>
  <si>
    <t>UNCERTAINTY, Uc</t>
  </si>
  <si>
    <t>OF FREEDOM, Veff</t>
  </si>
  <si>
    <t>t for Veff  and 95 % C.L.</t>
  </si>
  <si>
    <t xml:space="preserve">U @ 95 % C.L. ± </t>
  </si>
  <si>
    <t>COC</t>
  </si>
  <si>
    <t>Readability</t>
  </si>
  <si>
    <t>Std. Dev of Reading</t>
  </si>
  <si>
    <t>A</t>
  </si>
  <si>
    <t>AC Voltage Test</t>
  </si>
  <si>
    <t>50 mV</t>
  </si>
  <si>
    <t>mV</t>
  </si>
  <si>
    <t>500 mV</t>
  </si>
  <si>
    <t>5 V</t>
  </si>
  <si>
    <t>V</t>
  </si>
  <si>
    <t>50 V</t>
  </si>
  <si>
    <t>500 V</t>
  </si>
  <si>
    <t>65 Hz</t>
  </si>
  <si>
    <t>Voltage</t>
  </si>
  <si>
    <t>kHz</t>
  </si>
  <si>
    <t>DC Voltage Test</t>
  </si>
  <si>
    <t>Resistance Test</t>
  </si>
  <si>
    <t>500 Ω</t>
  </si>
  <si>
    <t>Ω</t>
  </si>
  <si>
    <t>5 kΩ</t>
  </si>
  <si>
    <t>kΩ</t>
  </si>
  <si>
    <t>50 kΩ</t>
  </si>
  <si>
    <t>500 kΩ</t>
  </si>
  <si>
    <t>5 MΩ</t>
  </si>
  <si>
    <t>MΩ</t>
  </si>
  <si>
    <t>30 MΩ</t>
  </si>
  <si>
    <t>Diode Test</t>
  </si>
  <si>
    <t>3.100 V</t>
  </si>
  <si>
    <t>AC Curent Test</t>
  </si>
  <si>
    <t>1 kHz</t>
  </si>
  <si>
    <t>50 mA</t>
  </si>
  <si>
    <t>mA</t>
  </si>
  <si>
    <t>5 A</t>
  </si>
  <si>
    <t>10 A</t>
  </si>
  <si>
    <t>DC Curent Test</t>
  </si>
  <si>
    <t>Calibrated By</t>
  </si>
  <si>
    <t>Calibration Officer's Name</t>
  </si>
  <si>
    <t>Signature</t>
  </si>
  <si>
    <t>Date</t>
  </si>
  <si>
    <t>Checked By</t>
  </si>
  <si>
    <t>Encoded By</t>
  </si>
  <si>
    <t>20 Hz</t>
  </si>
  <si>
    <t>45 Hz</t>
  </si>
  <si>
    <t>60 Hz</t>
  </si>
  <si>
    <t>30 kHz</t>
  </si>
  <si>
    <t>400 mA</t>
  </si>
  <si>
    <t>none</t>
  </si>
  <si>
    <t>10 kHz</t>
  </si>
  <si>
    <t>%rh</t>
  </si>
  <si>
    <t>1. The results were the average of three (3) readings and were obtained during the time of calibration and refer only to the particular instrument submitted. Should the instrument be modified or damaged in any way, or develop inconsistent readings, the results may not be valid and the unit will require recalibration.</t>
  </si>
  <si>
    <t>Uncertainty:</t>
  </si>
  <si>
    <t>Uncertainty</t>
  </si>
  <si>
    <t>Upper Limit</t>
  </si>
  <si>
    <t>Lower Limit</t>
  </si>
  <si>
    <t>65 kHz</t>
  </si>
  <si>
    <t>100 kHz</t>
  </si>
  <si>
    <t>500 MΩ</t>
  </si>
  <si>
    <t>Temperature Test</t>
  </si>
  <si>
    <t>Remarks</t>
  </si>
  <si>
    <t>AC Voltage Frequency Test</t>
  </si>
  <si>
    <t>600 mV</t>
  </si>
  <si>
    <t>AC Voltage Duty Cycle Test</t>
  </si>
  <si>
    <t>Result</t>
  </si>
  <si>
    <t>%</t>
  </si>
  <si>
    <t>AC Voltage Peak Test</t>
  </si>
  <si>
    <t>4 V p-p Sq. Wave, +1 V offset</t>
  </si>
  <si>
    <t>Capacitance Test</t>
  </si>
  <si>
    <t>nF</t>
  </si>
  <si>
    <t>5 V p-p Sq. Wave / 50 kHz</t>
  </si>
  <si>
    <t>5 kHz</t>
  </si>
  <si>
    <t>Note: uV default unit symbol</t>
  </si>
  <si>
    <t>MINIMUM  CMC</t>
  </si>
  <si>
    <t>FINAL UNCERTAINTY DECLARATION</t>
  </si>
  <si>
    <t>Hz</t>
  </si>
  <si>
    <t>4. Nominal values marked with " * " are outside scope of accreditation.</t>
  </si>
  <si>
    <t>The expanded uncertainty of measurement for the results given in this certificate was estimated with a coverage factor of k = 2 at 95% level of confidence. The uncertainties of measurement were calculated using a Budget Worksheet based on JCGM 100:2008 Evaluation of measurement data - Guide to the Expression of Uncertainty in Measurement, 1st edition- 2008.</t>
  </si>
  <si>
    <t>`</t>
  </si>
  <si>
    <t>see specification sheet</t>
  </si>
  <si>
    <t>As per Manufacturer's recommended performance tests procedure for Fluke 287/289 True RMS Digital Multimeter Calibration Manual, February 2008, Rev. 1, 3/09.</t>
  </si>
  <si>
    <t>35 kHz</t>
  </si>
  <si>
    <t>AC Voltage Lo Pass Test</t>
  </si>
  <si>
    <t>1600 Hz</t>
  </si>
  <si>
    <t>LoZ Test</t>
  </si>
  <si>
    <t>50 Ω</t>
  </si>
  <si>
    <t>Std. Drift</t>
  </si>
  <si>
    <t>AC/DC Voltage Test</t>
  </si>
  <si>
    <t>DC/AC Voltage Test</t>
  </si>
  <si>
    <t>UUT Setting</t>
  </si>
  <si>
    <t>Type K</t>
  </si>
  <si>
    <t>5 000 µA</t>
  </si>
  <si>
    <t>µA</t>
  </si>
  <si>
    <t>5 00 µA</t>
  </si>
  <si>
    <t>°C</t>
  </si>
  <si>
    <t>500 µA</t>
  </si>
  <si>
    <t>Unit Under Test</t>
  </si>
  <si>
    <t>Electrical Calibration Area</t>
  </si>
  <si>
    <t>SPECS</t>
  </si>
  <si>
    <t>1 000 V</t>
  </si>
  <si>
    <r>
      <rPr>
        <vertAlign val="superscript"/>
        <sz val="9"/>
        <color theme="1"/>
        <rFont val="Arial Narrow"/>
        <family val="2"/>
      </rPr>
      <t>o</t>
    </r>
    <r>
      <rPr>
        <sz val="9"/>
        <color theme="1"/>
        <rFont val="Arial Narrow"/>
        <family val="2"/>
      </rPr>
      <t>C</t>
    </r>
  </si>
  <si>
    <t>Traceability:</t>
  </si>
  <si>
    <t>Standard Setting</t>
  </si>
  <si>
    <t>Range 5V</t>
  </si>
  <si>
    <t>Specs Tolerance</t>
  </si>
  <si>
    <t>Resolution</t>
  </si>
  <si>
    <t>Multiproduct Calibrator</t>
  </si>
  <si>
    <t>MINIMUM  CMC
(2024)</t>
  </si>
  <si>
    <t>Approved Signatory</t>
  </si>
  <si>
    <t>24-9973-01ALT Rev.00</t>
  </si>
  <si>
    <t>Interim Manager (Electrical)</t>
  </si>
  <si>
    <t>Received Date:</t>
  </si>
  <si>
    <t>The instrument was calibrated using reference standard/s traceable to SI Units as maintained by NML-ITDI (Philippines) through SONJU Engineering Services (Philippines).</t>
  </si>
  <si>
    <t>5. A positive error is to be subtracted  to UUT indication and a negative error added to give true value.</t>
  </si>
  <si>
    <t>6. As per customer request the  next calibration due date is on:</t>
  </si>
  <si>
    <t>True RMS Digital Multimeter</t>
  </si>
  <si>
    <r>
      <t xml:space="preserve">3. </t>
    </r>
    <r>
      <rPr>
        <b/>
        <sz val="10.5"/>
        <color theme="1"/>
        <rFont val="Arial Narrow"/>
        <family val="2"/>
      </rPr>
      <t>Preliminary Inspection</t>
    </r>
    <r>
      <rPr>
        <sz val="10.5"/>
        <color theme="1"/>
        <rFont val="Arial Narrow"/>
        <family val="2"/>
      </rPr>
      <t>: No response at low current function.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</si>
</sst>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64" formatCode="0.000"/>
    <numFmt numFmtId="165" formatCode="0.0"/>
    <numFmt numFmtId="166" formatCode="0.0000000"/>
    <numFmt numFmtId="167" formatCode="0.000000"/>
    <numFmt numFmtId="168" formatCode="[$-409]dd\-mmm\-yy;@"/>
    <numFmt numFmtId="169" formatCode="[$-409]d\-mmm\-yy;@"/>
    <numFmt numFmtId="170" formatCode="0.00000"/>
    <numFmt numFmtId="171" formatCode="0.0E+00"/>
    <numFmt numFmtId="172" formatCode="0.0000"/>
    <numFmt numFmtId="173" formatCode="[$]dd\-mmm\-yy;@"/>
    <numFmt numFmtId="174" formatCode="[$-3409]dd\-mmm\-yy;@"/>
    <numFmt numFmtId="175" formatCode="0.00000000"/>
  </numFmts>
  <fonts count="21">
    <font>
      <sz val="11"/>
      <color theme="1"/>
      <name val="Calibri"/>
      <charset val="134"/>
      <scheme val="minor"/>
    </font>
    <font>
      <sz val="11"/>
      <color theme="1"/>
      <name val="Calibri"/>
      <family val="2"/>
      <scheme val="minor"/>
    </font>
    <font>
      <sz val="11"/>
      <color theme="1"/>
      <name val="Calibri"/>
      <family val="2"/>
      <scheme val="minor"/>
    </font>
    <font>
      <sz val="10"/>
      <color theme="1"/>
      <name val="Arial"/>
      <family val="2"/>
    </font>
    <font>
      <b/>
      <sz val="20"/>
      <color theme="1"/>
      <name val="Arial"/>
      <family val="2"/>
    </font>
    <font>
      <sz val="10"/>
      <color theme="1"/>
      <name val="Arial Narrow"/>
      <family val="2"/>
    </font>
    <font>
      <sz val="10"/>
      <name val="Arial"/>
      <family val="2"/>
    </font>
    <font>
      <b/>
      <sz val="9"/>
      <name val="Arial Narrow"/>
      <family val="2"/>
    </font>
    <font>
      <sz val="10"/>
      <name val="Arial"/>
      <family val="2"/>
    </font>
    <font>
      <sz val="9"/>
      <name val="Arial Narrow"/>
      <family val="2"/>
    </font>
    <font>
      <sz val="10.5"/>
      <color theme="1"/>
      <name val="Arial Narrow"/>
      <family val="2"/>
    </font>
    <font>
      <b/>
      <sz val="10.5"/>
      <color theme="1"/>
      <name val="Arial Narrow"/>
      <family val="2"/>
    </font>
    <font>
      <b/>
      <sz val="14"/>
      <name val="Times New Roman"/>
      <family val="1"/>
    </font>
    <font>
      <i/>
      <sz val="9"/>
      <name val="Arial Narrow"/>
      <family val="2"/>
    </font>
    <font>
      <sz val="9"/>
      <color rgb="FF7030A0"/>
      <name val="Arial Narrow"/>
      <family val="2"/>
    </font>
    <font>
      <b/>
      <sz val="9"/>
      <color rgb="FF7030A0"/>
      <name val="Arial Narrow"/>
      <family val="2"/>
    </font>
    <font>
      <b/>
      <sz val="10"/>
      <color theme="1"/>
      <name val="Arial Narrow"/>
      <family val="2"/>
    </font>
    <font>
      <sz val="9"/>
      <color theme="1"/>
      <name val="Arial Narrow"/>
      <family val="2"/>
    </font>
    <font>
      <b/>
      <sz val="9"/>
      <color theme="1"/>
      <name val="Arial Narrow"/>
      <family val="2"/>
    </font>
    <font>
      <vertAlign val="superscript"/>
      <sz val="9"/>
      <color theme="1"/>
      <name val="Arial Narrow"/>
      <family val="2"/>
    </font>
    <font>
      <sz val="9"/>
      <color theme="1"/>
      <name val="Calibri"/>
      <family val="2"/>
    </font>
  </fonts>
  <fills count="7">
    <fill>
      <patternFill patternType="none"/>
    </fill>
    <fill>
      <patternFill patternType="gray125"/>
    </fill>
    <fill>
      <patternFill patternType="solid">
        <fgColor theme="3" tint="0.39994506668294322"/>
        <bgColor indexed="64"/>
      </patternFill>
    </fill>
    <fill>
      <patternFill patternType="solid">
        <fgColor theme="1" tint="0.249977111117893"/>
        <bgColor indexed="64"/>
      </patternFill>
    </fill>
    <fill>
      <patternFill patternType="solid">
        <fgColor theme="3" tint="0.39997558519241921"/>
        <bgColor indexed="64"/>
      </patternFill>
    </fill>
    <fill>
      <patternFill patternType="solid">
        <fgColor theme="0" tint="-0.34998626667073579"/>
        <bgColor indexed="64"/>
      </patternFill>
    </fill>
    <fill>
      <patternFill patternType="solid">
        <fgColor theme="0"/>
        <bgColor indexed="64"/>
      </patternFill>
    </fill>
  </fills>
  <borders count="66">
    <border>
      <left/>
      <right/>
      <top/>
      <bottom/>
      <diagonal/>
    </border>
    <border>
      <left/>
      <right/>
      <top/>
      <bottom style="thin">
        <color theme="0" tint="-0.499984740745262"/>
      </bottom>
      <diagonal/>
    </border>
    <border>
      <left/>
      <right/>
      <top style="thin">
        <color theme="0" tint="-0.499984740745262"/>
      </top>
      <bottom/>
      <diagonal/>
    </border>
    <border>
      <left/>
      <right/>
      <top/>
      <bottom style="thin">
        <color auto="1"/>
      </bottom>
      <diagonal/>
    </border>
    <border>
      <left/>
      <right/>
      <top style="thin">
        <color theme="0" tint="-0.499984740745262"/>
      </top>
      <bottom style="thin">
        <color theme="0" tint="-0.499984740745262"/>
      </bottom>
      <diagonal/>
    </border>
    <border>
      <left/>
      <right/>
      <top style="thin">
        <color auto="1"/>
      </top>
      <bottom style="thin">
        <color auto="1"/>
      </bottom>
      <diagonal/>
    </border>
    <border>
      <left style="dashed">
        <color auto="1"/>
      </left>
      <right style="dashed">
        <color auto="1"/>
      </right>
      <top style="dashed">
        <color auto="1"/>
      </top>
      <bottom style="dashed">
        <color auto="1"/>
      </bottom>
      <diagonal/>
    </border>
    <border>
      <left style="dashed">
        <color auto="1"/>
      </left>
      <right/>
      <top style="dashed">
        <color auto="1"/>
      </top>
      <bottom/>
      <diagonal/>
    </border>
    <border>
      <left/>
      <right/>
      <top style="dashed">
        <color auto="1"/>
      </top>
      <bottom/>
      <diagonal/>
    </border>
    <border>
      <left style="dashed">
        <color auto="1"/>
      </left>
      <right/>
      <top/>
      <bottom/>
      <diagonal/>
    </border>
    <border>
      <left style="dashed">
        <color auto="1"/>
      </left>
      <right/>
      <top/>
      <bottom style="dashed">
        <color auto="1"/>
      </bottom>
      <diagonal/>
    </border>
    <border>
      <left/>
      <right/>
      <top/>
      <bottom style="dashed">
        <color auto="1"/>
      </bottom>
      <diagonal/>
    </border>
    <border>
      <left/>
      <right/>
      <top style="thin">
        <color auto="1"/>
      </top>
      <bottom/>
      <diagonal/>
    </border>
    <border>
      <left/>
      <right style="thin">
        <color theme="0" tint="-0.499984740745262"/>
      </right>
      <top style="thin">
        <color theme="0" tint="-0.499984740745262"/>
      </top>
      <bottom style="thin">
        <color theme="0" tint="-0.499984740745262"/>
      </bottom>
      <diagonal/>
    </border>
    <border>
      <left style="dashed">
        <color auto="1"/>
      </left>
      <right/>
      <top style="dashed">
        <color auto="1"/>
      </top>
      <bottom style="dashed">
        <color auto="1"/>
      </bottom>
      <diagonal/>
    </border>
    <border>
      <left/>
      <right/>
      <top style="dashed">
        <color auto="1"/>
      </top>
      <bottom style="dashed">
        <color auto="1"/>
      </bottom>
      <diagonal/>
    </border>
    <border>
      <left/>
      <right style="dashed">
        <color auto="1"/>
      </right>
      <top style="dashed">
        <color auto="1"/>
      </top>
      <bottom/>
      <diagonal/>
    </border>
    <border>
      <left/>
      <right style="dashed">
        <color auto="1"/>
      </right>
      <top/>
      <bottom/>
      <diagonal/>
    </border>
    <border>
      <left/>
      <right style="dashed">
        <color auto="1"/>
      </right>
      <top/>
      <bottom style="dashed">
        <color auto="1"/>
      </bottom>
      <diagonal/>
    </border>
    <border>
      <left style="thin">
        <color theme="0" tint="-0.499984740745262"/>
      </left>
      <right/>
      <top style="thin">
        <color theme="0" tint="-0.499984740745262"/>
      </top>
      <bottom/>
      <diagonal/>
    </border>
    <border>
      <left style="thin">
        <color theme="0" tint="-0.499984740745262"/>
      </left>
      <right/>
      <top style="thin">
        <color theme="0" tint="-0.499984740745262"/>
      </top>
      <bottom style="thin">
        <color theme="0" tint="-0.499984740745262"/>
      </bottom>
      <diagonal/>
    </border>
    <border>
      <left/>
      <right style="dashed">
        <color auto="1"/>
      </right>
      <top style="dashed">
        <color auto="1"/>
      </top>
      <bottom style="dashed">
        <color auto="1"/>
      </bottom>
      <diagonal/>
    </border>
    <border>
      <left/>
      <right style="thin">
        <color theme="0" tint="-0.499984740745262"/>
      </right>
      <top style="thin">
        <color theme="0" tint="-0.499984740745262"/>
      </top>
      <bottom/>
      <diagonal/>
    </border>
    <border>
      <left/>
      <right style="thin">
        <color theme="0" tint="-0.499984740745262"/>
      </right>
      <top/>
      <bottom/>
      <diagonal/>
    </border>
    <border>
      <left/>
      <right style="thin">
        <color theme="0" tint="-0.499984740745262"/>
      </right>
      <top/>
      <bottom style="thin">
        <color theme="0" tint="-0.499984740745262"/>
      </bottom>
      <diagonal/>
    </border>
    <border>
      <left style="thin">
        <color theme="0" tint="-0.499984740745262"/>
      </left>
      <right/>
      <top/>
      <bottom/>
      <diagonal/>
    </border>
    <border>
      <left/>
      <right style="thin">
        <color theme="0" tint="-0.34998626667073579"/>
      </right>
      <top/>
      <bottom/>
      <diagonal/>
    </border>
    <border>
      <left/>
      <right style="thin">
        <color theme="0" tint="-0.34998626667073579"/>
      </right>
      <top/>
      <bottom style="thin">
        <color theme="0" tint="-0.499984740745262"/>
      </bottom>
      <diagonal/>
    </border>
    <border>
      <left style="thin">
        <color theme="0" tint="-0.34998626667073579"/>
      </left>
      <right/>
      <top/>
      <bottom style="thin">
        <color theme="0" tint="-0.499984740745262"/>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n">
        <color theme="0" tint="-0.34998626667073579"/>
      </left>
      <right/>
      <top/>
      <bottom/>
      <diagonal/>
    </border>
    <border>
      <left style="dashed">
        <color auto="1"/>
      </left>
      <right style="dashed">
        <color auto="1"/>
      </right>
      <top style="dashed">
        <color auto="1"/>
      </top>
      <bottom/>
      <diagonal/>
    </border>
    <border>
      <left style="dashed">
        <color auto="1"/>
      </left>
      <right style="dashed">
        <color auto="1"/>
      </right>
      <top/>
      <bottom style="dashed">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top/>
      <bottom/>
      <diagonal/>
    </border>
    <border>
      <left/>
      <right style="thin">
        <color auto="1"/>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thin">
        <color theme="0" tint="-0.499984740745262"/>
      </bottom>
      <diagonal/>
    </border>
    <border>
      <left/>
      <right style="medium">
        <color auto="1"/>
      </right>
      <top/>
      <bottom style="thin">
        <color theme="0" tint="-0.499984740745262"/>
      </bottom>
      <diagonal/>
    </border>
    <border>
      <left/>
      <right style="medium">
        <color auto="1"/>
      </right>
      <top style="thin">
        <color theme="0" tint="-0.499984740745262"/>
      </top>
      <bottom/>
      <diagonal/>
    </border>
    <border>
      <left/>
      <right style="medium">
        <color auto="1"/>
      </right>
      <top/>
      <bottom style="thin">
        <color auto="1"/>
      </bottom>
      <diagonal/>
    </border>
    <border>
      <left/>
      <right style="medium">
        <color auto="1"/>
      </right>
      <top style="thin">
        <color auto="1"/>
      </top>
      <bottom/>
      <diagonal/>
    </border>
    <border>
      <left style="medium">
        <color auto="1"/>
      </left>
      <right/>
      <top style="thin">
        <color theme="0" tint="-0.499984740745262"/>
      </top>
      <bottom/>
      <diagonal/>
    </border>
    <border>
      <left style="medium">
        <color auto="1"/>
      </left>
      <right/>
      <top/>
      <bottom style="medium">
        <color auto="1"/>
      </bottom>
      <diagonal/>
    </border>
    <border>
      <left/>
      <right/>
      <top/>
      <bottom style="medium">
        <color auto="1"/>
      </bottom>
      <diagonal/>
    </border>
    <border>
      <left/>
      <right style="thin">
        <color theme="0" tint="-0.499984740745262"/>
      </right>
      <top/>
      <bottom style="medium">
        <color auto="1"/>
      </bottom>
      <diagonal/>
    </border>
    <border>
      <left/>
      <right style="thin">
        <color theme="0" tint="-0.34998626667073579"/>
      </right>
      <top/>
      <bottom style="medium">
        <color auto="1"/>
      </bottom>
      <diagonal/>
    </border>
    <border>
      <left style="thin">
        <color theme="0" tint="-0.34998626667073579"/>
      </left>
      <right/>
      <top/>
      <bottom style="medium">
        <color auto="1"/>
      </bottom>
      <diagonal/>
    </border>
    <border>
      <left/>
      <right style="medium">
        <color auto="1"/>
      </right>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thin">
        <color theme="0" tint="-0.499984740745262"/>
      </right>
      <top style="medium">
        <color auto="1"/>
      </top>
      <bottom style="medium">
        <color auto="1"/>
      </bottom>
      <diagonal/>
    </border>
    <border>
      <left style="thin">
        <color theme="0" tint="-0.499984740745262"/>
      </left>
      <right/>
      <top style="medium">
        <color auto="1"/>
      </top>
      <bottom style="medium">
        <color auto="1"/>
      </bottom>
      <diagonal/>
    </border>
    <border>
      <left/>
      <right style="medium">
        <color auto="1"/>
      </right>
      <top style="medium">
        <color auto="1"/>
      </top>
      <bottom style="medium">
        <color auto="1"/>
      </bottom>
      <diagonal/>
    </border>
    <border>
      <left/>
      <right style="thin">
        <color theme="0" tint="-0.499984740745262"/>
      </right>
      <top/>
      <bottom style="thin">
        <color auto="1"/>
      </bottom>
      <diagonal/>
    </border>
    <border>
      <left style="medium">
        <color theme="0" tint="-0.499984740745262"/>
      </left>
      <right/>
      <top style="thin">
        <color theme="0" tint="-0.499984740745262"/>
      </top>
      <bottom style="thin">
        <color theme="0" tint="-0.499984740745262"/>
      </bottom>
      <diagonal/>
    </border>
    <border>
      <left/>
      <right style="medium">
        <color theme="0" tint="-0.499984740745262"/>
      </right>
      <top style="thin">
        <color theme="0" tint="-0.499984740745262"/>
      </top>
      <bottom style="thin">
        <color theme="0" tint="-0.499984740745262"/>
      </bottom>
      <diagonal/>
    </border>
  </borders>
  <cellStyleXfs count="8">
    <xf numFmtId="0" fontId="0" fillId="0" borderId="0"/>
    <xf numFmtId="0" fontId="6" fillId="0" borderId="0"/>
    <xf numFmtId="0" fontId="6" fillId="0" borderId="0"/>
    <xf numFmtId="0" fontId="2" fillId="0" borderId="0"/>
    <xf numFmtId="0" fontId="8" fillId="0" borderId="0"/>
    <xf numFmtId="0" fontId="1" fillId="0" borderId="0"/>
    <xf numFmtId="0" fontId="1" fillId="0" borderId="0"/>
    <xf numFmtId="0" fontId="6" fillId="0" borderId="0"/>
  </cellStyleXfs>
  <cellXfs count="490">
    <xf numFmtId="0" fontId="0" fillId="0" borderId="0" xfId="0"/>
    <xf numFmtId="0" fontId="3" fillId="3" borderId="0" xfId="0" applyFont="1" applyFill="1"/>
    <xf numFmtId="0" fontId="3" fillId="0" borderId="0" xfId="0" applyFont="1"/>
    <xf numFmtId="1" fontId="9" fillId="0" borderId="0" xfId="4" applyNumberFormat="1" applyFont="1" applyAlignment="1">
      <alignment horizontal="left" vertical="center"/>
    </xf>
    <xf numFmtId="165" fontId="9" fillId="0" borderId="0" xfId="4" applyNumberFormat="1" applyFont="1" applyAlignment="1">
      <alignment horizontal="center" vertical="center"/>
    </xf>
    <xf numFmtId="167" fontId="9" fillId="0" borderId="0" xfId="4" applyNumberFormat="1" applyFont="1" applyAlignment="1">
      <alignment horizontal="center" vertical="center"/>
    </xf>
    <xf numFmtId="171" fontId="9" fillId="0" borderId="0" xfId="4" applyNumberFormat="1" applyFont="1" applyAlignment="1">
      <alignment horizontal="center" vertical="center"/>
    </xf>
    <xf numFmtId="0" fontId="9" fillId="0" borderId="0" xfId="4" applyFont="1" applyAlignment="1">
      <alignment vertical="center"/>
    </xf>
    <xf numFmtId="170" fontId="9" fillId="0" borderId="0" xfId="4" applyNumberFormat="1" applyFont="1" applyAlignment="1">
      <alignment horizontal="center" vertical="center"/>
    </xf>
    <xf numFmtId="164" fontId="9" fillId="0" borderId="0" xfId="4" applyNumberFormat="1" applyFont="1" applyAlignment="1">
      <alignment horizontal="center" vertical="center"/>
    </xf>
    <xf numFmtId="1" fontId="9" fillId="0" borderId="0" xfId="4" applyNumberFormat="1" applyFont="1" applyAlignment="1">
      <alignment horizontal="center" vertical="center"/>
    </xf>
    <xf numFmtId="0" fontId="9" fillId="0" borderId="0" xfId="4" applyFont="1" applyAlignment="1">
      <alignment horizontal="center" vertical="center"/>
    </xf>
    <xf numFmtId="1" fontId="9" fillId="0" borderId="21" xfId="4" applyNumberFormat="1" applyFont="1" applyBorder="1" applyAlignment="1">
      <alignment horizontal="left" vertical="center"/>
    </xf>
    <xf numFmtId="170" fontId="9" fillId="0" borderId="14" xfId="4" applyNumberFormat="1" applyFont="1" applyBorder="1" applyAlignment="1">
      <alignment horizontal="right" vertical="center"/>
    </xf>
    <xf numFmtId="165" fontId="9" fillId="0" borderId="6" xfId="4" applyNumberFormat="1" applyFont="1" applyBorder="1" applyAlignment="1">
      <alignment horizontal="center" vertical="center"/>
    </xf>
    <xf numFmtId="167" fontId="9" fillId="0" borderId="6" xfId="4" applyNumberFormat="1" applyFont="1" applyBorder="1" applyAlignment="1">
      <alignment horizontal="center" vertical="center"/>
    </xf>
    <xf numFmtId="171" fontId="9" fillId="0" borderId="6" xfId="4" applyNumberFormat="1" applyFont="1" applyBorder="1" applyAlignment="1">
      <alignment horizontal="center" vertical="center"/>
    </xf>
    <xf numFmtId="170" fontId="9" fillId="0" borderId="6" xfId="4" applyNumberFormat="1" applyFont="1" applyBorder="1" applyAlignment="1">
      <alignment horizontal="center" vertical="center"/>
    </xf>
    <xf numFmtId="164" fontId="9" fillId="0" borderId="6" xfId="4" applyNumberFormat="1" applyFont="1" applyBorder="1" applyAlignment="1">
      <alignment horizontal="center" vertical="center"/>
    </xf>
    <xf numFmtId="1" fontId="9" fillId="0" borderId="6" xfId="4" applyNumberFormat="1" applyFont="1" applyBorder="1" applyAlignment="1">
      <alignment horizontal="center" vertical="center"/>
    </xf>
    <xf numFmtId="0" fontId="9" fillId="0" borderId="6" xfId="4" applyFont="1" applyBorder="1" applyAlignment="1">
      <alignment horizontal="center" vertical="center"/>
    </xf>
    <xf numFmtId="166" fontId="7" fillId="0" borderId="6" xfId="4" applyNumberFormat="1" applyFont="1" applyBorder="1" applyAlignment="1">
      <alignment horizontal="center" vertical="center"/>
    </xf>
    <xf numFmtId="0" fontId="9" fillId="0" borderId="0" xfId="4" applyFont="1"/>
    <xf numFmtId="0" fontId="7" fillId="0" borderId="0" xfId="4" applyFont="1" applyAlignment="1">
      <alignment horizontal="center" vertical="center"/>
    </xf>
    <xf numFmtId="0" fontId="9" fillId="0" borderId="0" xfId="3" applyFont="1"/>
    <xf numFmtId="0" fontId="7" fillId="0" borderId="0" xfId="3" applyFont="1" applyAlignment="1">
      <alignment horizontal="center" vertical="center"/>
    </xf>
    <xf numFmtId="167" fontId="9" fillId="0" borderId="14" xfId="4" applyNumberFormat="1" applyFont="1" applyBorder="1" applyAlignment="1">
      <alignment horizontal="right" vertical="center"/>
    </xf>
    <xf numFmtId="164" fontId="9" fillId="0" borderId="0" xfId="4" applyNumberFormat="1" applyFont="1" applyAlignment="1">
      <alignment horizontal="right" vertical="center"/>
    </xf>
    <xf numFmtId="166" fontId="9" fillId="0" borderId="14" xfId="4" applyNumberFormat="1" applyFont="1" applyBorder="1" applyAlignment="1">
      <alignment horizontal="right" vertical="center"/>
    </xf>
    <xf numFmtId="0" fontId="5" fillId="0" borderId="0" xfId="0" applyFont="1" applyAlignment="1">
      <alignment vertical="top" wrapText="1"/>
    </xf>
    <xf numFmtId="0" fontId="10" fillId="3" borderId="0" xfId="0" applyFont="1" applyFill="1"/>
    <xf numFmtId="0" fontId="10" fillId="0" borderId="0" xfId="0" applyFont="1"/>
    <xf numFmtId="0" fontId="11" fillId="0" borderId="0" xfId="0" applyFont="1"/>
    <xf numFmtId="0" fontId="11" fillId="0" borderId="0" xfId="0" applyFont="1" applyAlignment="1">
      <alignment vertical="center"/>
    </xf>
    <xf numFmtId="0" fontId="10" fillId="0" borderId="0" xfId="0" applyFont="1" applyAlignment="1">
      <alignment vertical="top" wrapText="1"/>
    </xf>
    <xf numFmtId="0" fontId="10" fillId="0" borderId="0" xfId="0" applyFont="1" applyAlignment="1">
      <alignment horizontal="left" vertical="top" wrapText="1"/>
    </xf>
    <xf numFmtId="0" fontId="10" fillId="0" borderId="0" xfId="0" applyFont="1" applyAlignment="1">
      <alignment vertical="center"/>
    </xf>
    <xf numFmtId="0" fontId="11" fillId="0" borderId="0" xfId="0" applyFont="1" applyAlignment="1">
      <alignment horizontal="left"/>
    </xf>
    <xf numFmtId="0" fontId="10" fillId="0" borderId="0" xfId="0" applyFont="1" applyAlignment="1">
      <alignment horizontal="center" vertical="center"/>
    </xf>
    <xf numFmtId="168" fontId="10" fillId="0" borderId="0" xfId="0" applyNumberFormat="1" applyFont="1" applyAlignment="1">
      <alignment horizontal="left" vertical="top"/>
    </xf>
    <xf numFmtId="0" fontId="11" fillId="0" borderId="0" xfId="0" applyFont="1" applyAlignment="1">
      <alignment horizontal="left" vertical="center"/>
    </xf>
    <xf numFmtId="0" fontId="11" fillId="0" borderId="0" xfId="0" applyFont="1" applyAlignment="1">
      <alignment horizontal="center" vertical="center" wrapText="1"/>
    </xf>
    <xf numFmtId="0" fontId="11" fillId="0" borderId="0" xfId="0" applyFont="1" applyAlignment="1">
      <alignment vertical="center" wrapText="1"/>
    </xf>
    <xf numFmtId="0" fontId="10" fillId="0" borderId="0" xfId="0" applyFont="1" applyAlignment="1">
      <alignment vertical="center" wrapText="1"/>
    </xf>
    <xf numFmtId="172" fontId="9" fillId="0" borderId="14" xfId="4" applyNumberFormat="1" applyFont="1" applyBorder="1" applyAlignment="1">
      <alignment horizontal="right" vertical="center"/>
    </xf>
    <xf numFmtId="0" fontId="9" fillId="0" borderId="0" xfId="0" applyFont="1"/>
    <xf numFmtId="0" fontId="9" fillId="0" borderId="0" xfId="1" applyFont="1"/>
    <xf numFmtId="0" fontId="7" fillId="0" borderId="0" xfId="1" applyFont="1" applyAlignment="1">
      <alignment horizontal="center" vertical="center"/>
    </xf>
    <xf numFmtId="0" fontId="9" fillId="0" borderId="6" xfId="1" applyFont="1" applyBorder="1" applyAlignment="1">
      <alignment horizontal="center" vertical="center"/>
    </xf>
    <xf numFmtId="1" fontId="9" fillId="0" borderId="6" xfId="1" applyNumberFormat="1" applyFont="1" applyBorder="1" applyAlignment="1">
      <alignment horizontal="center" vertical="center"/>
    </xf>
    <xf numFmtId="171" fontId="9" fillId="0" borderId="6" xfId="1" applyNumberFormat="1" applyFont="1" applyBorder="1" applyAlignment="1">
      <alignment horizontal="center" vertical="center"/>
    </xf>
    <xf numFmtId="0" fontId="9" fillId="0" borderId="0" xfId="1" applyFont="1" applyAlignment="1">
      <alignment vertical="center"/>
    </xf>
    <xf numFmtId="164" fontId="9" fillId="0" borderId="6" xfId="1" applyNumberFormat="1" applyFont="1" applyBorder="1" applyAlignment="1">
      <alignment horizontal="center" vertical="center"/>
    </xf>
    <xf numFmtId="171" fontId="9" fillId="0" borderId="0" xfId="1" applyNumberFormat="1" applyFont="1" applyAlignment="1">
      <alignment horizontal="center" vertical="center"/>
    </xf>
    <xf numFmtId="165" fontId="9" fillId="0" borderId="6" xfId="1" applyNumberFormat="1" applyFont="1" applyBorder="1" applyAlignment="1">
      <alignment horizontal="center" vertical="center"/>
    </xf>
    <xf numFmtId="164" fontId="9" fillId="0" borderId="14" xfId="1" applyNumberFormat="1" applyFont="1" applyBorder="1" applyAlignment="1">
      <alignment horizontal="right" vertical="center"/>
    </xf>
    <xf numFmtId="1" fontId="9" fillId="0" borderId="21" xfId="1" applyNumberFormat="1" applyFont="1" applyBorder="1" applyAlignment="1">
      <alignment horizontal="left" vertical="center"/>
    </xf>
    <xf numFmtId="167" fontId="9" fillId="0" borderId="0" xfId="1" applyNumberFormat="1" applyFont="1" applyAlignment="1">
      <alignment horizontal="center" vertical="center"/>
    </xf>
    <xf numFmtId="165" fontId="9" fillId="0" borderId="0" xfId="1" applyNumberFormat="1" applyFont="1" applyAlignment="1">
      <alignment horizontal="center" vertical="center"/>
    </xf>
    <xf numFmtId="172" fontId="9" fillId="0" borderId="0" xfId="1" applyNumberFormat="1" applyFont="1" applyAlignment="1">
      <alignment horizontal="right" vertical="center"/>
    </xf>
    <xf numFmtId="1" fontId="9" fillId="0" borderId="0" xfId="1" applyNumberFormat="1" applyFont="1" applyAlignment="1">
      <alignment horizontal="left" vertical="center"/>
    </xf>
    <xf numFmtId="1" fontId="9" fillId="0" borderId="15" xfId="4" applyNumberFormat="1" applyFont="1" applyBorder="1" applyAlignment="1">
      <alignment horizontal="left" vertical="center"/>
    </xf>
    <xf numFmtId="0" fontId="7" fillId="0" borderId="0" xfId="0" applyFont="1" applyAlignment="1">
      <alignment vertical="center"/>
    </xf>
    <xf numFmtId="166" fontId="7" fillId="0" borderId="0" xfId="1" applyNumberFormat="1" applyFont="1" applyAlignment="1">
      <alignment horizontal="center" vertical="center"/>
    </xf>
    <xf numFmtId="0" fontId="7" fillId="0" borderId="0" xfId="1" applyFont="1" applyAlignment="1">
      <alignment vertical="center"/>
    </xf>
    <xf numFmtId="0" fontId="10" fillId="0" borderId="0" xfId="0" applyFont="1" applyAlignment="1">
      <alignment horizontal="center" vertical="center" wrapText="1"/>
    </xf>
    <xf numFmtId="2" fontId="11" fillId="0" borderId="0" xfId="0" applyNumberFormat="1" applyFont="1"/>
    <xf numFmtId="2" fontId="10" fillId="0" borderId="0" xfId="0" applyNumberFormat="1" applyFont="1" applyAlignment="1">
      <alignment horizontal="center" vertical="center" wrapText="1"/>
    </xf>
    <xf numFmtId="172" fontId="10" fillId="0" borderId="0" xfId="0" applyNumberFormat="1" applyFont="1" applyAlignment="1">
      <alignment horizontal="center" vertical="center" wrapText="1"/>
    </xf>
    <xf numFmtId="0" fontId="5" fillId="0" borderId="0" xfId="0" applyFont="1" applyAlignment="1">
      <alignment horizontal="center" vertical="center"/>
    </xf>
    <xf numFmtId="0" fontId="10" fillId="0" borderId="0" xfId="0" applyFont="1" applyAlignment="1">
      <alignment wrapText="1"/>
    </xf>
    <xf numFmtId="0" fontId="9" fillId="6" borderId="0" xfId="3" applyFont="1" applyFill="1"/>
    <xf numFmtId="0" fontId="9" fillId="2" borderId="0" xfId="3" applyFont="1" applyFill="1"/>
    <xf numFmtId="0" fontId="9" fillId="6" borderId="41" xfId="3" applyFont="1" applyFill="1" applyBorder="1"/>
    <xf numFmtId="0" fontId="9" fillId="6" borderId="42" xfId="3" applyFont="1" applyFill="1" applyBorder="1"/>
    <xf numFmtId="0" fontId="9" fillId="6" borderId="43" xfId="3" applyFont="1" applyFill="1" applyBorder="1"/>
    <xf numFmtId="0" fontId="9" fillId="6" borderId="44" xfId="3" applyFont="1" applyFill="1" applyBorder="1"/>
    <xf numFmtId="0" fontId="9" fillId="6" borderId="45" xfId="3" applyFont="1" applyFill="1" applyBorder="1"/>
    <xf numFmtId="0" fontId="12" fillId="6" borderId="44" xfId="3" applyFont="1" applyFill="1" applyBorder="1"/>
    <xf numFmtId="0" fontId="9" fillId="6" borderId="46" xfId="3" applyFont="1" applyFill="1" applyBorder="1"/>
    <xf numFmtId="0" fontId="9" fillId="6" borderId="1" xfId="3" applyFont="1" applyFill="1" applyBorder="1"/>
    <xf numFmtId="0" fontId="9" fillId="6" borderId="47" xfId="3" applyFont="1" applyFill="1" applyBorder="1"/>
    <xf numFmtId="0" fontId="9" fillId="6" borderId="0" xfId="3" applyFont="1" applyFill="1" applyAlignment="1">
      <alignment vertical="center"/>
    </xf>
    <xf numFmtId="0" fontId="9" fillId="6" borderId="2" xfId="3" applyFont="1" applyFill="1" applyBorder="1" applyAlignment="1">
      <alignment vertical="center"/>
    </xf>
    <xf numFmtId="0" fontId="9" fillId="6" borderId="25" xfId="3" applyFont="1" applyFill="1" applyBorder="1"/>
    <xf numFmtId="0" fontId="9" fillId="6" borderId="23" xfId="3" applyFont="1" applyFill="1" applyBorder="1"/>
    <xf numFmtId="0" fontId="9" fillId="6" borderId="0" xfId="3" applyFont="1" applyFill="1" applyAlignment="1">
      <alignment horizontal="right"/>
    </xf>
    <xf numFmtId="0" fontId="7" fillId="5" borderId="58" xfId="3" applyFont="1" applyFill="1" applyBorder="1"/>
    <xf numFmtId="0" fontId="7" fillId="5" borderId="59" xfId="3" applyFont="1" applyFill="1" applyBorder="1"/>
    <xf numFmtId="0" fontId="7" fillId="5" borderId="62" xfId="3" applyFont="1" applyFill="1" applyBorder="1"/>
    <xf numFmtId="0" fontId="9" fillId="6" borderId="0" xfId="3" applyFont="1" applyFill="1" applyAlignment="1">
      <alignment vertical="top"/>
    </xf>
    <xf numFmtId="0" fontId="7" fillId="6" borderId="0" xfId="3" applyFont="1" applyFill="1"/>
    <xf numFmtId="0" fontId="9" fillId="6" borderId="2" xfId="3" applyFont="1" applyFill="1" applyBorder="1"/>
    <xf numFmtId="0" fontId="9" fillId="6" borderId="44" xfId="3" applyFont="1" applyFill="1" applyBorder="1" applyAlignment="1">
      <alignment vertical="center"/>
    </xf>
    <xf numFmtId="0" fontId="9" fillId="6" borderId="45" xfId="3" applyFont="1" applyFill="1" applyBorder="1" applyAlignment="1">
      <alignment vertical="center"/>
    </xf>
    <xf numFmtId="0" fontId="7" fillId="6" borderId="0" xfId="3" applyFont="1" applyFill="1" applyAlignment="1">
      <alignment vertical="center"/>
    </xf>
    <xf numFmtId="0" fontId="9" fillId="4" borderId="0" xfId="0" applyFont="1" applyFill="1"/>
    <xf numFmtId="0" fontId="9" fillId="6" borderId="44" xfId="0" applyFont="1" applyFill="1" applyBorder="1" applyAlignment="1">
      <alignment vertical="center"/>
    </xf>
    <xf numFmtId="0" fontId="9" fillId="6" borderId="0" xfId="0" applyFont="1" applyFill="1" applyAlignment="1">
      <alignment vertical="center"/>
    </xf>
    <xf numFmtId="0" fontId="7" fillId="6" borderId="0" xfId="0" applyFont="1" applyFill="1" applyAlignment="1">
      <alignment vertical="center"/>
    </xf>
    <xf numFmtId="0" fontId="9" fillId="6" borderId="45" xfId="0" applyFont="1" applyFill="1" applyBorder="1" applyAlignment="1">
      <alignment vertical="center"/>
    </xf>
    <xf numFmtId="0" fontId="9" fillId="6" borderId="0" xfId="0" applyFont="1" applyFill="1"/>
    <xf numFmtId="0" fontId="9" fillId="6" borderId="0" xfId="0" applyFont="1" applyFill="1" applyAlignment="1">
      <alignment horizontal="center" vertical="center"/>
    </xf>
    <xf numFmtId="0" fontId="9" fillId="6" borderId="0" xfId="0" applyFont="1" applyFill="1" applyAlignment="1">
      <alignment horizontal="right" vertical="center"/>
    </xf>
    <xf numFmtId="0" fontId="9" fillId="6" borderId="0" xfId="0" applyFont="1" applyFill="1" applyAlignment="1">
      <alignment horizontal="left" vertical="center"/>
    </xf>
    <xf numFmtId="0" fontId="9" fillId="6" borderId="0" xfId="0" applyFont="1" applyFill="1" applyAlignment="1">
      <alignment horizontal="center"/>
    </xf>
    <xf numFmtId="2" fontId="9" fillId="6" borderId="0" xfId="0" applyNumberFormat="1" applyFont="1" applyFill="1" applyAlignment="1">
      <alignment horizontal="center"/>
    </xf>
    <xf numFmtId="0" fontId="9" fillId="0" borderId="0" xfId="1" applyFont="1" applyAlignment="1">
      <alignment horizontal="center" vertical="center"/>
    </xf>
    <xf numFmtId="2" fontId="7" fillId="6" borderId="0" xfId="0" applyNumberFormat="1" applyFont="1" applyFill="1" applyAlignment="1">
      <alignment horizontal="left" vertical="center"/>
    </xf>
    <xf numFmtId="2" fontId="9" fillId="6" borderId="0" xfId="0" applyNumberFormat="1" applyFont="1" applyFill="1" applyAlignment="1">
      <alignment horizontal="right" vertical="center"/>
    </xf>
    <xf numFmtId="164" fontId="9" fillId="6" borderId="0" xfId="0" applyNumberFormat="1" applyFont="1" applyFill="1" applyAlignment="1">
      <alignment horizontal="center" vertical="center"/>
    </xf>
    <xf numFmtId="1" fontId="9" fillId="6" borderId="0" xfId="0" applyNumberFormat="1" applyFont="1" applyFill="1" applyAlignment="1">
      <alignment horizontal="right" vertical="center"/>
    </xf>
    <xf numFmtId="164" fontId="9" fillId="6" borderId="0" xfId="0" applyNumberFormat="1" applyFont="1" applyFill="1" applyAlignment="1">
      <alignment horizontal="left" vertical="center"/>
    </xf>
    <xf numFmtId="165" fontId="9" fillId="6" borderId="0" xfId="0" applyNumberFormat="1" applyFont="1" applyFill="1" applyAlignment="1">
      <alignment horizontal="center" vertical="center"/>
    </xf>
    <xf numFmtId="1" fontId="9" fillId="6" borderId="0" xfId="0" applyNumberFormat="1" applyFont="1" applyFill="1" applyAlignment="1">
      <alignment vertical="center"/>
    </xf>
    <xf numFmtId="164" fontId="9" fillId="6" borderId="0" xfId="0" applyNumberFormat="1" applyFont="1" applyFill="1" applyAlignment="1">
      <alignment vertical="center"/>
    </xf>
    <xf numFmtId="164" fontId="9" fillId="6" borderId="0" xfId="0" applyNumberFormat="1" applyFont="1" applyFill="1" applyAlignment="1">
      <alignment vertical="center" wrapText="1"/>
    </xf>
    <xf numFmtId="0" fontId="9" fillId="6" borderId="0" xfId="3" applyFont="1" applyFill="1" applyAlignment="1">
      <alignment horizontal="right" vertical="center"/>
    </xf>
    <xf numFmtId="0" fontId="9" fillId="6" borderId="0" xfId="3" applyFont="1" applyFill="1" applyAlignment="1">
      <alignment horizontal="left" vertical="center"/>
    </xf>
    <xf numFmtId="165" fontId="9" fillId="6" borderId="0" xfId="3" applyNumberFormat="1" applyFont="1" applyFill="1" applyAlignment="1">
      <alignment horizontal="center"/>
    </xf>
    <xf numFmtId="0" fontId="9" fillId="6" borderId="51" xfId="3" applyFont="1" applyFill="1" applyBorder="1" applyAlignment="1">
      <alignment horizontal="left"/>
    </xf>
    <xf numFmtId="0" fontId="14" fillId="0" borderId="0" xfId="3" applyFont="1"/>
    <xf numFmtId="0" fontId="14" fillId="0" borderId="6" xfId="0" applyFont="1" applyBorder="1"/>
    <xf numFmtId="1" fontId="14" fillId="0" borderId="6" xfId="0" applyNumberFormat="1" applyFont="1" applyBorder="1"/>
    <xf numFmtId="166" fontId="14" fillId="0" borderId="6" xfId="0" applyNumberFormat="1" applyFont="1" applyBorder="1" applyAlignment="1">
      <alignment horizontal="right"/>
    </xf>
    <xf numFmtId="166" fontId="14" fillId="0" borderId="21" xfId="0" applyNumberFormat="1" applyFont="1" applyBorder="1" applyAlignment="1">
      <alignment horizontal="right"/>
    </xf>
    <xf numFmtId="170" fontId="14" fillId="0" borderId="0" xfId="1" applyNumberFormat="1" applyFont="1" applyAlignment="1">
      <alignment horizontal="center" vertical="center"/>
    </xf>
    <xf numFmtId="0" fontId="14" fillId="0" borderId="0" xfId="1" applyFont="1" applyAlignment="1">
      <alignment horizontal="center" vertical="center"/>
    </xf>
    <xf numFmtId="11" fontId="14" fillId="0" borderId="0" xfId="1" applyNumberFormat="1" applyFont="1" applyAlignment="1">
      <alignment horizontal="center" vertical="center"/>
    </xf>
    <xf numFmtId="0" fontId="14" fillId="0" borderId="0" xfId="0" applyFont="1"/>
    <xf numFmtId="2" fontId="14" fillId="0" borderId="6" xfId="0" applyNumberFormat="1" applyFont="1" applyBorder="1"/>
    <xf numFmtId="166" fontId="14" fillId="0" borderId="18" xfId="0" applyNumberFormat="1" applyFont="1" applyBorder="1" applyAlignment="1">
      <alignment horizontal="right"/>
    </xf>
    <xf numFmtId="1" fontId="14" fillId="0" borderId="36" xfId="0" applyNumberFormat="1" applyFont="1" applyBorder="1"/>
    <xf numFmtId="0" fontId="7" fillId="0" borderId="6" xfId="4" applyFont="1" applyBorder="1" applyAlignment="1">
      <alignment horizontal="center" vertical="center"/>
    </xf>
    <xf numFmtId="0" fontId="9" fillId="6" borderId="0" xfId="3" applyFont="1" applyFill="1" applyAlignment="1">
      <alignment horizontal="center" vertical="center"/>
    </xf>
    <xf numFmtId="0" fontId="9" fillId="6" borderId="0" xfId="3" applyFont="1" applyFill="1" applyAlignment="1">
      <alignment horizontal="left"/>
    </xf>
    <xf numFmtId="0" fontId="9" fillId="6" borderId="0" xfId="3" applyFont="1" applyFill="1" applyAlignment="1">
      <alignment horizontal="center"/>
    </xf>
    <xf numFmtId="0" fontId="9" fillId="6" borderId="45" xfId="3" applyFont="1" applyFill="1" applyBorder="1" applyAlignment="1">
      <alignment horizontal="center"/>
    </xf>
    <xf numFmtId="0" fontId="9" fillId="6" borderId="44" xfId="3" applyFont="1" applyFill="1" applyBorder="1" applyAlignment="1">
      <alignment horizontal="left"/>
    </xf>
    <xf numFmtId="0" fontId="9" fillId="6" borderId="2" xfId="3" applyFont="1" applyFill="1" applyBorder="1" applyAlignment="1">
      <alignment horizontal="center"/>
    </xf>
    <xf numFmtId="0" fontId="9" fillId="6" borderId="48" xfId="3" applyFont="1" applyFill="1" applyBorder="1" applyAlignment="1">
      <alignment horizontal="center"/>
    </xf>
    <xf numFmtId="0" fontId="9" fillId="6" borderId="45" xfId="3" applyFont="1" applyFill="1" applyBorder="1" applyAlignment="1">
      <alignment horizontal="left"/>
    </xf>
    <xf numFmtId="172" fontId="9" fillId="0" borderId="6" xfId="4" applyNumberFormat="1" applyFont="1" applyBorder="1" applyAlignment="1">
      <alignment horizontal="center" vertical="center"/>
    </xf>
    <xf numFmtId="2" fontId="9" fillId="0" borderId="6" xfId="4" applyNumberFormat="1" applyFont="1" applyBorder="1" applyAlignment="1">
      <alignment horizontal="center" vertical="center"/>
    </xf>
    <xf numFmtId="0" fontId="17" fillId="6" borderId="0" xfId="3" applyFont="1" applyFill="1"/>
    <xf numFmtId="0" fontId="20" fillId="6" borderId="0" xfId="3" applyFont="1" applyFill="1"/>
    <xf numFmtId="0" fontId="17" fillId="6" borderId="0" xfId="3" applyFont="1" applyFill="1" applyAlignment="1">
      <alignment horizontal="right"/>
    </xf>
    <xf numFmtId="0" fontId="20" fillId="6" borderId="0" xfId="3" applyFont="1" applyFill="1" applyAlignment="1">
      <alignment vertical="center"/>
    </xf>
    <xf numFmtId="0" fontId="20" fillId="6" borderId="0" xfId="0" applyFont="1" applyFill="1" applyAlignment="1">
      <alignment vertical="center"/>
    </xf>
    <xf numFmtId="2" fontId="17" fillId="6" borderId="0" xfId="0" applyNumberFormat="1" applyFont="1" applyFill="1" applyAlignment="1">
      <alignment horizontal="center"/>
    </xf>
    <xf numFmtId="164" fontId="17" fillId="6" borderId="0" xfId="0" applyNumberFormat="1" applyFont="1" applyFill="1" applyAlignment="1">
      <alignment horizontal="center" vertical="center"/>
    </xf>
    <xf numFmtId="165" fontId="17" fillId="6" borderId="0" xfId="0" applyNumberFormat="1" applyFont="1" applyFill="1" applyAlignment="1">
      <alignment horizontal="center" vertical="center"/>
    </xf>
    <xf numFmtId="165" fontId="17" fillId="6" borderId="0" xfId="3" applyNumberFormat="1" applyFont="1" applyFill="1" applyAlignment="1">
      <alignment horizontal="center"/>
    </xf>
    <xf numFmtId="167" fontId="9" fillId="0" borderId="6" xfId="1" applyNumberFormat="1" applyFont="1" applyBorder="1" applyAlignment="1">
      <alignment horizontal="center" vertical="center"/>
    </xf>
    <xf numFmtId="0" fontId="9" fillId="0" borderId="8" xfId="1" applyFont="1" applyBorder="1" applyAlignment="1">
      <alignment horizontal="center" vertical="center"/>
    </xf>
    <xf numFmtId="1" fontId="9" fillId="0" borderId="8" xfId="1" applyNumberFormat="1" applyFont="1" applyBorder="1" applyAlignment="1">
      <alignment horizontal="center" vertical="center"/>
    </xf>
    <xf numFmtId="164" fontId="9" fillId="0" borderId="8" xfId="1" applyNumberFormat="1" applyFont="1" applyBorder="1" applyAlignment="1">
      <alignment horizontal="center" vertical="center"/>
    </xf>
    <xf numFmtId="171" fontId="9" fillId="0" borderId="8" xfId="1" applyNumberFormat="1" applyFont="1" applyBorder="1" applyAlignment="1">
      <alignment horizontal="center" vertical="center"/>
    </xf>
    <xf numFmtId="170" fontId="9" fillId="0" borderId="8" xfId="1" applyNumberFormat="1" applyFont="1" applyBorder="1" applyAlignment="1">
      <alignment horizontal="center" vertical="center"/>
    </xf>
    <xf numFmtId="167" fontId="9" fillId="0" borderId="8" xfId="1" applyNumberFormat="1" applyFont="1" applyBorder="1" applyAlignment="1">
      <alignment horizontal="center" vertical="center"/>
    </xf>
    <xf numFmtId="175" fontId="9" fillId="0" borderId="6" xfId="4" applyNumberFormat="1" applyFont="1" applyBorder="1" applyAlignment="1">
      <alignment horizontal="center" vertical="center"/>
    </xf>
    <xf numFmtId="172" fontId="9" fillId="0" borderId="6" xfId="1" applyNumberFormat="1" applyFont="1" applyBorder="1" applyAlignment="1">
      <alignment horizontal="center" vertical="center"/>
    </xf>
    <xf numFmtId="170" fontId="9" fillId="0" borderId="6" xfId="1" applyNumberFormat="1" applyFont="1" applyBorder="1" applyAlignment="1">
      <alignment horizontal="center" vertical="center"/>
    </xf>
    <xf numFmtId="164" fontId="9" fillId="0" borderId="6" xfId="0" applyNumberFormat="1" applyFont="1" applyBorder="1" applyAlignment="1">
      <alignment horizontal="center" vertical="center"/>
    </xf>
    <xf numFmtId="0" fontId="10" fillId="3" borderId="0" xfId="0" applyFont="1" applyFill="1" applyAlignment="1">
      <alignment vertical="center"/>
    </xf>
    <xf numFmtId="0" fontId="3" fillId="0" borderId="0" xfId="0" applyFont="1" applyAlignment="1">
      <alignment vertical="center"/>
    </xf>
    <xf numFmtId="0" fontId="10" fillId="0" borderId="38" xfId="0" applyFont="1" applyBorder="1" applyAlignment="1">
      <alignment horizontal="center" vertical="center" wrapText="1"/>
    </xf>
    <xf numFmtId="0" fontId="10" fillId="0" borderId="5"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9" xfId="0" applyFont="1" applyBorder="1" applyAlignment="1">
      <alignment horizontal="center" vertical="center" wrapText="1"/>
    </xf>
    <xf numFmtId="0" fontId="11" fillId="0" borderId="29" xfId="0" applyFont="1" applyBorder="1" applyAlignment="1">
      <alignment horizontal="center" vertical="center" wrapText="1"/>
    </xf>
    <xf numFmtId="0" fontId="11" fillId="0" borderId="29" xfId="0" applyFont="1" applyBorder="1" applyAlignment="1">
      <alignment horizontal="center" vertical="center"/>
    </xf>
    <xf numFmtId="0" fontId="11" fillId="0" borderId="30" xfId="0" applyFont="1" applyBorder="1" applyAlignment="1">
      <alignment horizontal="center" vertical="center" wrapText="1"/>
    </xf>
    <xf numFmtId="0" fontId="11" fillId="0" borderId="12" xfId="0" applyFont="1" applyBorder="1" applyAlignment="1">
      <alignment horizontal="center" vertical="center" wrapText="1"/>
    </xf>
    <xf numFmtId="0" fontId="11" fillId="0" borderId="31" xfId="0" applyFont="1" applyBorder="1" applyAlignment="1">
      <alignment horizontal="center" vertical="center" wrapText="1"/>
    </xf>
    <xf numFmtId="0" fontId="11" fillId="0" borderId="32" xfId="0" applyFont="1" applyBorder="1" applyAlignment="1">
      <alignment horizontal="center" vertical="center" wrapText="1"/>
    </xf>
    <xf numFmtId="0" fontId="11" fillId="0" borderId="3" xfId="0" applyFont="1" applyBorder="1" applyAlignment="1">
      <alignment horizontal="center" vertical="center" wrapText="1"/>
    </xf>
    <xf numFmtId="0" fontId="11" fillId="0" borderId="33" xfId="0" applyFont="1" applyBorder="1" applyAlignment="1">
      <alignment horizontal="center" vertical="center" wrapText="1"/>
    </xf>
    <xf numFmtId="0" fontId="11" fillId="0" borderId="0" xfId="0" applyFont="1" applyAlignment="1">
      <alignment horizontal="center" vertical="center"/>
    </xf>
    <xf numFmtId="0" fontId="5" fillId="0" borderId="0" xfId="0" applyFont="1" applyAlignment="1">
      <alignment horizontal="center" vertical="center"/>
    </xf>
    <xf numFmtId="0" fontId="10" fillId="0" borderId="38" xfId="0" applyFont="1" applyBorder="1" applyAlignment="1">
      <alignment horizontal="center" vertical="center"/>
    </xf>
    <xf numFmtId="0" fontId="10" fillId="0" borderId="5" xfId="0" applyFont="1" applyBorder="1" applyAlignment="1">
      <alignment horizontal="center" vertical="center"/>
    </xf>
    <xf numFmtId="0" fontId="10" fillId="0" borderId="37" xfId="0" applyFont="1" applyBorder="1" applyAlignment="1">
      <alignment horizontal="center" vertical="center"/>
    </xf>
    <xf numFmtId="0" fontId="10" fillId="0" borderId="30" xfId="0" applyFont="1" applyBorder="1" applyAlignment="1">
      <alignment horizontal="center" vertical="center" wrapText="1"/>
    </xf>
    <xf numFmtId="0" fontId="10" fillId="0" borderId="12"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9" xfId="0" applyFont="1" applyBorder="1" applyAlignment="1">
      <alignment horizontal="center" vertical="center"/>
    </xf>
    <xf numFmtId="0" fontId="11" fillId="0" borderId="30" xfId="0" applyFont="1" applyBorder="1" applyAlignment="1">
      <alignment horizontal="center" vertical="center"/>
    </xf>
    <xf numFmtId="0" fontId="11" fillId="0" borderId="12" xfId="0" applyFont="1" applyBorder="1" applyAlignment="1">
      <alignment horizontal="center" vertical="center"/>
    </xf>
    <xf numFmtId="0" fontId="11" fillId="0" borderId="31" xfId="0" applyFont="1" applyBorder="1" applyAlignment="1">
      <alignment horizontal="center" vertical="center"/>
    </xf>
    <xf numFmtId="0" fontId="11" fillId="0" borderId="32" xfId="0" applyFont="1" applyBorder="1" applyAlignment="1">
      <alignment horizontal="center" vertical="center"/>
    </xf>
    <xf numFmtId="0" fontId="11" fillId="0" borderId="3" xfId="0" applyFont="1" applyBorder="1" applyAlignment="1">
      <alignment horizontal="center" vertical="center"/>
    </xf>
    <xf numFmtId="0" fontId="11" fillId="0" borderId="33" xfId="0" applyFont="1" applyBorder="1" applyAlignment="1">
      <alignment horizontal="center" vertical="center"/>
    </xf>
    <xf numFmtId="168" fontId="10" fillId="0" borderId="38" xfId="0" applyNumberFormat="1" applyFont="1" applyBorder="1" applyAlignment="1">
      <alignment horizontal="center" vertical="center"/>
    </xf>
    <xf numFmtId="168" fontId="10" fillId="0" borderId="5" xfId="0" applyNumberFormat="1" applyFont="1" applyBorder="1" applyAlignment="1">
      <alignment horizontal="center" vertical="center"/>
    </xf>
    <xf numFmtId="168" fontId="10" fillId="0" borderId="37" xfId="0" applyNumberFormat="1" applyFont="1" applyBorder="1" applyAlignment="1">
      <alignment horizontal="center" vertical="center"/>
    </xf>
    <xf numFmtId="0" fontId="4" fillId="0" borderId="0" xfId="0" applyFont="1" applyAlignment="1">
      <alignment horizontal="left"/>
    </xf>
    <xf numFmtId="0" fontId="5" fillId="0" borderId="0" xfId="0" applyFont="1" applyAlignment="1">
      <alignment horizontal="left" vertical="top" wrapText="1"/>
    </xf>
    <xf numFmtId="0" fontId="10" fillId="0" borderId="0" xfId="0" applyFont="1" applyAlignment="1">
      <alignment horizontal="left" vertical="top" wrapText="1"/>
    </xf>
    <xf numFmtId="0" fontId="5" fillId="0" borderId="0" xfId="0" applyFont="1" applyAlignment="1">
      <alignment horizontal="right"/>
    </xf>
    <xf numFmtId="0" fontId="5" fillId="0" borderId="0" xfId="0" applyFont="1" applyAlignment="1">
      <alignment horizontal="left" wrapText="1"/>
    </xf>
    <xf numFmtId="0" fontId="10" fillId="0" borderId="0" xfId="0" applyFont="1" applyAlignment="1">
      <alignment horizontal="left" vertical="center"/>
    </xf>
    <xf numFmtId="173" fontId="10" fillId="0" borderId="0" xfId="0" applyNumberFormat="1" applyFont="1" applyAlignment="1">
      <alignment horizontal="left" vertical="center"/>
    </xf>
    <xf numFmtId="168" fontId="10" fillId="0" borderId="0" xfId="0" applyNumberFormat="1" applyFont="1" applyAlignment="1">
      <alignment horizontal="left" vertical="center"/>
    </xf>
    <xf numFmtId="1" fontId="10" fillId="0" borderId="0" xfId="0" applyNumberFormat="1" applyFont="1" applyAlignment="1">
      <alignment horizontal="left" vertical="center"/>
    </xf>
    <xf numFmtId="0" fontId="11" fillId="0" borderId="0" xfId="0" applyFont="1" applyAlignment="1">
      <alignment horizontal="left" vertical="top" wrapText="1"/>
    </xf>
    <xf numFmtId="0" fontId="10" fillId="0" borderId="0" xfId="0" applyFont="1" applyAlignment="1">
      <alignment horizontal="left" wrapText="1"/>
    </xf>
    <xf numFmtId="174" fontId="11" fillId="0" borderId="0" xfId="0" applyNumberFormat="1" applyFont="1" applyAlignment="1">
      <alignment horizontal="left"/>
    </xf>
    <xf numFmtId="0" fontId="10" fillId="0" borderId="39" xfId="0" applyFont="1" applyBorder="1" applyAlignment="1">
      <alignment horizontal="center" vertical="center" wrapText="1"/>
    </xf>
    <xf numFmtId="0" fontId="10" fillId="0" borderId="0" xfId="0" applyFont="1" applyAlignment="1">
      <alignment horizontal="center" vertical="center" wrapText="1"/>
    </xf>
    <xf numFmtId="0" fontId="10" fillId="0" borderId="40"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3" xfId="0" applyFont="1" applyBorder="1" applyAlignment="1">
      <alignment horizontal="center" vertical="center" wrapText="1"/>
    </xf>
    <xf numFmtId="0" fontId="10" fillId="0" borderId="33" xfId="0" applyFont="1" applyBorder="1" applyAlignment="1">
      <alignment horizontal="center" vertical="center" wrapText="1"/>
    </xf>
    <xf numFmtId="168" fontId="10" fillId="0" borderId="0" xfId="0" applyNumberFormat="1" applyFont="1" applyAlignment="1">
      <alignment horizontal="left" vertical="top"/>
    </xf>
    <xf numFmtId="1" fontId="10" fillId="0" borderId="38" xfId="0" applyNumberFormat="1" applyFont="1" applyBorder="1" applyAlignment="1">
      <alignment horizontal="center" vertical="center"/>
    </xf>
    <xf numFmtId="1" fontId="10" fillId="0" borderId="5" xfId="0" applyNumberFormat="1" applyFont="1" applyBorder="1" applyAlignment="1">
      <alignment horizontal="center" vertical="center"/>
    </xf>
    <xf numFmtId="1" fontId="10" fillId="0" borderId="37" xfId="0" applyNumberFormat="1" applyFont="1" applyBorder="1" applyAlignment="1">
      <alignment horizontal="center" vertical="center"/>
    </xf>
    <xf numFmtId="2" fontId="10" fillId="0" borderId="29" xfId="0" applyNumberFormat="1" applyFont="1" applyBorder="1" applyAlignment="1">
      <alignment horizontal="center" vertical="center" wrapText="1"/>
    </xf>
    <xf numFmtId="172" fontId="10" fillId="0" borderId="29" xfId="0" applyNumberFormat="1" applyFont="1" applyBorder="1" applyAlignment="1">
      <alignment horizontal="center" vertical="center" wrapText="1"/>
    </xf>
    <xf numFmtId="0" fontId="10" fillId="0" borderId="30" xfId="0" applyFont="1" applyBorder="1" applyAlignment="1">
      <alignment horizontal="center" vertical="center"/>
    </xf>
    <xf numFmtId="0" fontId="10" fillId="0" borderId="12" xfId="0" applyFont="1" applyBorder="1" applyAlignment="1">
      <alignment horizontal="center" vertical="center"/>
    </xf>
    <xf numFmtId="0" fontId="10" fillId="0" borderId="31" xfId="0" applyFont="1" applyBorder="1" applyAlignment="1">
      <alignment horizontal="center" vertical="center"/>
    </xf>
    <xf numFmtId="0" fontId="10" fillId="0" borderId="32" xfId="0" applyFont="1" applyBorder="1" applyAlignment="1">
      <alignment horizontal="center" vertical="center"/>
    </xf>
    <xf numFmtId="0" fontId="10" fillId="0" borderId="3" xfId="0" applyFont="1" applyBorder="1" applyAlignment="1">
      <alignment horizontal="center" vertical="center"/>
    </xf>
    <xf numFmtId="0" fontId="10" fillId="0" borderId="33" xfId="0" applyFont="1" applyBorder="1" applyAlignment="1">
      <alignment horizontal="center" vertical="center"/>
    </xf>
    <xf numFmtId="0" fontId="10" fillId="0" borderId="39" xfId="0" applyFont="1" applyBorder="1" applyAlignment="1">
      <alignment horizontal="center" vertical="center"/>
    </xf>
    <xf numFmtId="0" fontId="10" fillId="0" borderId="0" xfId="0" applyFont="1" applyAlignment="1">
      <alignment horizontal="center" vertical="center"/>
    </xf>
    <xf numFmtId="0" fontId="10" fillId="0" borderId="40" xfId="0" applyFont="1" applyBorder="1" applyAlignment="1">
      <alignment horizontal="center" vertical="center"/>
    </xf>
    <xf numFmtId="164" fontId="9" fillId="0" borderId="6" xfId="0" applyNumberFormat="1" applyFont="1" applyBorder="1" applyAlignment="1">
      <alignment horizontal="center"/>
    </xf>
    <xf numFmtId="2" fontId="9" fillId="0" borderId="6" xfId="0" applyNumberFormat="1" applyFont="1" applyBorder="1" applyAlignment="1">
      <alignment horizontal="center"/>
    </xf>
    <xf numFmtId="0" fontId="7" fillId="0" borderId="7" xfId="0" applyFont="1" applyBorder="1" applyAlignment="1">
      <alignment horizontal="center" vertical="center" wrapText="1"/>
    </xf>
    <xf numFmtId="0" fontId="7" fillId="0" borderId="8" xfId="0" applyFont="1" applyBorder="1" applyAlignment="1">
      <alignment horizontal="center" vertical="center" wrapText="1"/>
    </xf>
    <xf numFmtId="0" fontId="7" fillId="0" borderId="16" xfId="0" applyFont="1" applyBorder="1" applyAlignment="1">
      <alignment horizontal="center" vertical="center" wrapText="1"/>
    </xf>
    <xf numFmtId="0" fontId="7" fillId="0" borderId="10" xfId="0" applyFont="1" applyBorder="1" applyAlignment="1">
      <alignment horizontal="center" vertical="center" wrapText="1"/>
    </xf>
    <xf numFmtId="0" fontId="7" fillId="0" borderId="11" xfId="0" applyFont="1" applyBorder="1" applyAlignment="1">
      <alignment horizontal="center" vertical="center" wrapText="1"/>
    </xf>
    <xf numFmtId="0" fontId="7" fillId="0" borderId="18" xfId="0" applyFont="1" applyBorder="1" applyAlignment="1">
      <alignment horizontal="center" vertical="center" wrapText="1"/>
    </xf>
    <xf numFmtId="2" fontId="9" fillId="0" borderId="6" xfId="3" applyNumberFormat="1" applyFont="1" applyBorder="1" applyAlignment="1">
      <alignment horizontal="center"/>
    </xf>
    <xf numFmtId="165" fontId="9" fillId="0" borderId="6" xfId="3" applyNumberFormat="1" applyFont="1" applyBorder="1" applyAlignment="1">
      <alignment horizontal="center"/>
    </xf>
    <xf numFmtId="164" fontId="9" fillId="0" borderId="6" xfId="3" applyNumberFormat="1" applyFont="1" applyBorder="1" applyAlignment="1">
      <alignment horizontal="center"/>
    </xf>
    <xf numFmtId="170" fontId="9" fillId="0" borderId="6" xfId="0" applyNumberFormat="1" applyFont="1" applyBorder="1" applyAlignment="1">
      <alignment horizontal="center"/>
    </xf>
    <xf numFmtId="172" fontId="9" fillId="0" borderId="6" xfId="0" applyNumberFormat="1" applyFont="1" applyBorder="1" applyAlignment="1">
      <alignment horizontal="center"/>
    </xf>
    <xf numFmtId="172" fontId="9" fillId="0" borderId="6" xfId="3" applyNumberFormat="1" applyFont="1" applyBorder="1" applyAlignment="1">
      <alignment horizontal="center"/>
    </xf>
    <xf numFmtId="164" fontId="9" fillId="0" borderId="6" xfId="0" applyNumberFormat="1" applyFont="1" applyBorder="1" applyAlignment="1">
      <alignment horizontal="center" vertical="center"/>
    </xf>
    <xf numFmtId="165" fontId="9" fillId="0" borderId="6" xfId="0" applyNumberFormat="1" applyFont="1" applyBorder="1" applyAlignment="1">
      <alignment horizontal="center"/>
    </xf>
    <xf numFmtId="2" fontId="9" fillId="0" borderId="14" xfId="3" applyNumberFormat="1" applyFont="1" applyBorder="1" applyAlignment="1">
      <alignment horizontal="center"/>
    </xf>
    <xf numFmtId="2" fontId="9" fillId="0" borderId="15" xfId="3" applyNumberFormat="1" applyFont="1" applyBorder="1" applyAlignment="1">
      <alignment horizontal="center"/>
    </xf>
    <xf numFmtId="2" fontId="9" fillId="0" borderId="21" xfId="3" applyNumberFormat="1" applyFont="1" applyBorder="1" applyAlignment="1">
      <alignment horizontal="center"/>
    </xf>
    <xf numFmtId="165" fontId="9" fillId="0" borderId="14" xfId="3" applyNumberFormat="1" applyFont="1" applyBorder="1" applyAlignment="1">
      <alignment horizontal="center"/>
    </xf>
    <xf numFmtId="165" fontId="9" fillId="0" borderId="15" xfId="3" applyNumberFormat="1" applyFont="1" applyBorder="1" applyAlignment="1">
      <alignment horizontal="center"/>
    </xf>
    <xf numFmtId="165" fontId="9" fillId="0" borderId="21" xfId="3" applyNumberFormat="1" applyFont="1" applyBorder="1" applyAlignment="1">
      <alignment horizontal="center"/>
    </xf>
    <xf numFmtId="0" fontId="15" fillId="0" borderId="6" xfId="0" applyFont="1" applyBorder="1" applyAlignment="1">
      <alignment horizontal="center" vertical="center" wrapText="1"/>
    </xf>
    <xf numFmtId="0" fontId="7" fillId="0" borderId="7" xfId="4" applyFont="1" applyBorder="1" applyAlignment="1">
      <alignment horizontal="center" vertical="center"/>
    </xf>
    <xf numFmtId="0" fontId="7" fillId="0" borderId="16" xfId="4" applyFont="1" applyBorder="1" applyAlignment="1">
      <alignment horizontal="center" vertical="center"/>
    </xf>
    <xf numFmtId="0" fontId="7" fillId="0" borderId="10" xfId="4" applyFont="1" applyBorder="1" applyAlignment="1">
      <alignment horizontal="center" vertical="center"/>
    </xf>
    <xf numFmtId="0" fontId="7" fillId="0" borderId="18" xfId="4" applyFont="1" applyBorder="1" applyAlignment="1">
      <alignment horizontal="center" vertical="center"/>
    </xf>
    <xf numFmtId="0" fontId="7" fillId="0" borderId="6" xfId="4" applyFont="1" applyBorder="1" applyAlignment="1">
      <alignment horizontal="center" vertical="center"/>
    </xf>
    <xf numFmtId="0" fontId="7" fillId="0" borderId="6" xfId="3" applyFont="1" applyBorder="1" applyAlignment="1">
      <alignment horizontal="center" vertical="center"/>
    </xf>
    <xf numFmtId="0" fontId="7" fillId="6" borderId="6" xfId="0" applyFont="1" applyFill="1" applyBorder="1" applyAlignment="1">
      <alignment horizontal="center" vertical="center"/>
    </xf>
    <xf numFmtId="2" fontId="9" fillId="6" borderId="6" xfId="3" applyNumberFormat="1" applyFont="1" applyFill="1" applyBorder="1" applyAlignment="1">
      <alignment horizontal="center"/>
    </xf>
    <xf numFmtId="2" fontId="17" fillId="6" borderId="14" xfId="3" applyNumberFormat="1" applyFont="1" applyFill="1" applyBorder="1" applyAlignment="1">
      <alignment horizontal="center"/>
    </xf>
    <xf numFmtId="2" fontId="17" fillId="6" borderId="15" xfId="3" applyNumberFormat="1" applyFont="1" applyFill="1" applyBorder="1" applyAlignment="1">
      <alignment horizontal="center"/>
    </xf>
    <xf numFmtId="2" fontId="17" fillId="6" borderId="21" xfId="3" applyNumberFormat="1" applyFont="1" applyFill="1" applyBorder="1" applyAlignment="1">
      <alignment horizontal="center"/>
    </xf>
    <xf numFmtId="172" fontId="17" fillId="6" borderId="6" xfId="3" applyNumberFormat="1" applyFont="1" applyFill="1" applyBorder="1" applyAlignment="1">
      <alignment horizontal="center"/>
    </xf>
    <xf numFmtId="2" fontId="17" fillId="6" borderId="6" xfId="3" applyNumberFormat="1" applyFont="1" applyFill="1" applyBorder="1" applyAlignment="1">
      <alignment horizontal="center"/>
    </xf>
    <xf numFmtId="0" fontId="9" fillId="0" borderId="6" xfId="0" applyFont="1" applyBorder="1" applyAlignment="1">
      <alignment horizontal="center"/>
    </xf>
    <xf numFmtId="2" fontId="9" fillId="6" borderId="14" xfId="3" applyNumberFormat="1" applyFont="1" applyFill="1" applyBorder="1" applyAlignment="1">
      <alignment horizontal="center"/>
    </xf>
    <xf numFmtId="2" fontId="9" fillId="6" borderId="15" xfId="3" applyNumberFormat="1" applyFont="1" applyFill="1" applyBorder="1" applyAlignment="1">
      <alignment horizontal="center"/>
    </xf>
    <xf numFmtId="2" fontId="9" fillId="6" borderId="21" xfId="3" applyNumberFormat="1" applyFont="1" applyFill="1" applyBorder="1" applyAlignment="1">
      <alignment horizontal="center"/>
    </xf>
    <xf numFmtId="164" fontId="17" fillId="6" borderId="14" xfId="3" applyNumberFormat="1" applyFont="1" applyFill="1" applyBorder="1" applyAlignment="1">
      <alignment horizontal="center"/>
    </xf>
    <xf numFmtId="164" fontId="17" fillId="6" borderId="15" xfId="3" applyNumberFormat="1" applyFont="1" applyFill="1" applyBorder="1" applyAlignment="1">
      <alignment horizontal="center"/>
    </xf>
    <xf numFmtId="164" fontId="17" fillId="6" borderId="21" xfId="3" applyNumberFormat="1" applyFont="1" applyFill="1" applyBorder="1" applyAlignment="1">
      <alignment horizontal="center"/>
    </xf>
    <xf numFmtId="164" fontId="9" fillId="6" borderId="14" xfId="3" applyNumberFormat="1" applyFont="1" applyFill="1" applyBorder="1" applyAlignment="1">
      <alignment horizontal="center"/>
    </xf>
    <xf numFmtId="164" fontId="9" fillId="6" borderId="15" xfId="3" applyNumberFormat="1" applyFont="1" applyFill="1" applyBorder="1" applyAlignment="1">
      <alignment horizontal="center"/>
    </xf>
    <xf numFmtId="164" fontId="9" fillId="6" borderId="21" xfId="3" applyNumberFormat="1" applyFont="1" applyFill="1" applyBorder="1" applyAlignment="1">
      <alignment horizontal="center"/>
    </xf>
    <xf numFmtId="0" fontId="7" fillId="0" borderId="6" xfId="0" applyFont="1" applyBorder="1" applyAlignment="1">
      <alignment horizontal="center" vertical="center"/>
    </xf>
    <xf numFmtId="0" fontId="18" fillId="6" borderId="6" xfId="0" applyFont="1" applyFill="1" applyBorder="1" applyAlignment="1">
      <alignment horizontal="center" vertical="center"/>
    </xf>
    <xf numFmtId="2" fontId="9" fillId="2" borderId="11" xfId="3" applyNumberFormat="1" applyFont="1" applyFill="1" applyBorder="1" applyAlignment="1">
      <alignment horizontal="center"/>
    </xf>
    <xf numFmtId="0" fontId="9" fillId="6" borderId="6" xfId="3" applyFont="1" applyFill="1" applyBorder="1" applyAlignment="1">
      <alignment horizontal="center"/>
    </xf>
    <xf numFmtId="165" fontId="17" fillId="6" borderId="6" xfId="3" applyNumberFormat="1" applyFont="1" applyFill="1" applyBorder="1" applyAlignment="1">
      <alignment horizontal="center"/>
    </xf>
    <xf numFmtId="0" fontId="9" fillId="0" borderId="6" xfId="0" applyFont="1" applyBorder="1" applyAlignment="1">
      <alignment horizontal="center" vertical="center"/>
    </xf>
    <xf numFmtId="0" fontId="9" fillId="6" borderId="15" xfId="3" applyFont="1" applyFill="1" applyBorder="1" applyAlignment="1">
      <alignment horizontal="left" vertical="center"/>
    </xf>
    <xf numFmtId="0" fontId="9" fillId="6" borderId="21" xfId="3" applyFont="1" applyFill="1" applyBorder="1" applyAlignment="1">
      <alignment horizontal="left" vertical="center"/>
    </xf>
    <xf numFmtId="164" fontId="17" fillId="6" borderId="6" xfId="3" applyNumberFormat="1" applyFont="1" applyFill="1" applyBorder="1" applyAlignment="1">
      <alignment horizontal="center"/>
    </xf>
    <xf numFmtId="164" fontId="9" fillId="6" borderId="6" xfId="3" applyNumberFormat="1" applyFont="1" applyFill="1" applyBorder="1" applyAlignment="1">
      <alignment horizontal="center"/>
    </xf>
    <xf numFmtId="0" fontId="9" fillId="6" borderId="6" xfId="0" applyFont="1" applyFill="1" applyBorder="1" applyAlignment="1">
      <alignment horizontal="center"/>
    </xf>
    <xf numFmtId="0" fontId="7" fillId="6" borderId="6" xfId="3" applyFont="1" applyFill="1" applyBorder="1" applyAlignment="1">
      <alignment horizontal="center" vertical="center"/>
    </xf>
    <xf numFmtId="172" fontId="9" fillId="6" borderId="6" xfId="3" applyNumberFormat="1" applyFont="1" applyFill="1" applyBorder="1" applyAlignment="1">
      <alignment horizontal="center"/>
    </xf>
    <xf numFmtId="165" fontId="9" fillId="6" borderId="7" xfId="0" applyNumberFormat="1" applyFont="1" applyFill="1" applyBorder="1" applyAlignment="1">
      <alignment horizontal="center" vertical="center"/>
    </xf>
    <xf numFmtId="165" fontId="9" fillId="6" borderId="8" xfId="0" applyNumberFormat="1" applyFont="1" applyFill="1" applyBorder="1" applyAlignment="1">
      <alignment horizontal="center" vertical="center"/>
    </xf>
    <xf numFmtId="165" fontId="9" fillId="6" borderId="16" xfId="0" applyNumberFormat="1" applyFont="1" applyFill="1" applyBorder="1" applyAlignment="1">
      <alignment horizontal="center" vertical="center"/>
    </xf>
    <xf numFmtId="165" fontId="9" fillId="6" borderId="14" xfId="0" applyNumberFormat="1" applyFont="1" applyFill="1" applyBorder="1" applyAlignment="1">
      <alignment horizontal="center" vertical="center"/>
    </xf>
    <xf numFmtId="165" fontId="9" fillId="6" borderId="15" xfId="0" applyNumberFormat="1" applyFont="1" applyFill="1" applyBorder="1" applyAlignment="1">
      <alignment horizontal="center" vertical="center"/>
    </xf>
    <xf numFmtId="165" fontId="9" fillId="6" borderId="21" xfId="0" applyNumberFormat="1" applyFont="1" applyFill="1" applyBorder="1" applyAlignment="1">
      <alignment horizontal="center" vertical="center"/>
    </xf>
    <xf numFmtId="165" fontId="17" fillId="6" borderId="14" xfId="0" applyNumberFormat="1" applyFont="1" applyFill="1" applyBorder="1" applyAlignment="1">
      <alignment horizontal="center" vertical="center"/>
    </xf>
    <xf numFmtId="165" fontId="17" fillId="6" borderId="15" xfId="0" applyNumberFormat="1" applyFont="1" applyFill="1" applyBorder="1" applyAlignment="1">
      <alignment horizontal="center" vertical="center"/>
    </xf>
    <xf numFmtId="2" fontId="17" fillId="6" borderId="6" xfId="0" applyNumberFormat="1" applyFont="1" applyFill="1" applyBorder="1" applyAlignment="1">
      <alignment horizontal="center"/>
    </xf>
    <xf numFmtId="2" fontId="9" fillId="6" borderId="6" xfId="0" applyNumberFormat="1" applyFont="1" applyFill="1" applyBorder="1" applyAlignment="1">
      <alignment horizontal="center"/>
    </xf>
    <xf numFmtId="164" fontId="9" fillId="6" borderId="6" xfId="0" applyNumberFormat="1" applyFont="1" applyFill="1" applyBorder="1" applyAlignment="1">
      <alignment horizontal="center"/>
    </xf>
    <xf numFmtId="164" fontId="9" fillId="6" borderId="14" xfId="0" applyNumberFormat="1" applyFont="1" applyFill="1" applyBorder="1" applyAlignment="1">
      <alignment horizontal="center" vertical="center" wrapText="1"/>
    </xf>
    <xf numFmtId="164" fontId="9" fillId="6" borderId="15" xfId="0" applyNumberFormat="1" applyFont="1" applyFill="1" applyBorder="1" applyAlignment="1">
      <alignment horizontal="center" vertical="center" wrapText="1"/>
    </xf>
    <xf numFmtId="164" fontId="9" fillId="6" borderId="21" xfId="0" applyNumberFormat="1" applyFont="1" applyFill="1" applyBorder="1" applyAlignment="1">
      <alignment horizontal="center" vertical="center" wrapText="1"/>
    </xf>
    <xf numFmtId="164" fontId="17" fillId="6" borderId="14" xfId="0" applyNumberFormat="1" applyFont="1" applyFill="1" applyBorder="1" applyAlignment="1">
      <alignment horizontal="center" vertical="center"/>
    </xf>
    <xf numFmtId="164" fontId="17" fillId="6" borderId="15" xfId="0" applyNumberFormat="1" applyFont="1" applyFill="1" applyBorder="1" applyAlignment="1">
      <alignment horizontal="center" vertical="center"/>
    </xf>
    <xf numFmtId="164" fontId="9" fillId="6" borderId="14" xfId="0" applyNumberFormat="1" applyFont="1" applyFill="1" applyBorder="1" applyAlignment="1">
      <alignment horizontal="center" vertical="center"/>
    </xf>
    <xf numFmtId="164" fontId="9" fillId="6" borderId="15" xfId="0" applyNumberFormat="1" applyFont="1" applyFill="1" applyBorder="1" applyAlignment="1">
      <alignment horizontal="center" vertical="center"/>
    </xf>
    <xf numFmtId="164" fontId="9" fillId="6" borderId="21" xfId="0" applyNumberFormat="1" applyFont="1" applyFill="1" applyBorder="1" applyAlignment="1">
      <alignment horizontal="center" vertical="center"/>
    </xf>
    <xf numFmtId="0" fontId="7" fillId="6" borderId="7" xfId="0" applyFont="1" applyFill="1" applyBorder="1" applyAlignment="1">
      <alignment horizontal="center" vertical="center"/>
    </xf>
    <xf numFmtId="0" fontId="7" fillId="6" borderId="8" xfId="0" applyFont="1" applyFill="1" applyBorder="1" applyAlignment="1">
      <alignment horizontal="center" vertical="center"/>
    </xf>
    <xf numFmtId="0" fontId="7" fillId="6" borderId="16" xfId="0" applyFont="1" applyFill="1" applyBorder="1" applyAlignment="1">
      <alignment horizontal="center" vertical="center"/>
    </xf>
    <xf numFmtId="0" fontId="7" fillId="6" borderId="10" xfId="0" applyFont="1" applyFill="1" applyBorder="1" applyAlignment="1">
      <alignment horizontal="center" vertical="center"/>
    </xf>
    <xf numFmtId="0" fontId="7" fillId="6" borderId="11" xfId="0" applyFont="1" applyFill="1" applyBorder="1" applyAlignment="1">
      <alignment horizontal="center" vertical="center"/>
    </xf>
    <xf numFmtId="0" fontId="7" fillId="6" borderId="18" xfId="0" applyFont="1" applyFill="1" applyBorder="1" applyAlignment="1">
      <alignment horizontal="center" vertical="center"/>
    </xf>
    <xf numFmtId="0" fontId="9" fillId="6" borderId="14" xfId="3" applyFont="1" applyFill="1" applyBorder="1" applyAlignment="1">
      <alignment horizontal="right" vertical="center"/>
    </xf>
    <xf numFmtId="0" fontId="9" fillId="6" borderId="15" xfId="3" applyFont="1" applyFill="1" applyBorder="1" applyAlignment="1">
      <alignment horizontal="right" vertical="center"/>
    </xf>
    <xf numFmtId="1" fontId="9" fillId="6" borderId="14" xfId="0" applyNumberFormat="1" applyFont="1" applyFill="1" applyBorder="1" applyAlignment="1">
      <alignment horizontal="right" vertical="center"/>
    </xf>
    <xf numFmtId="1" fontId="9" fillId="6" borderId="15" xfId="0" applyNumberFormat="1" applyFont="1" applyFill="1" applyBorder="1" applyAlignment="1">
      <alignment horizontal="right" vertical="center"/>
    </xf>
    <xf numFmtId="164" fontId="9" fillId="6" borderId="15" xfId="0" applyNumberFormat="1" applyFont="1" applyFill="1" applyBorder="1" applyAlignment="1">
      <alignment horizontal="left" vertical="center"/>
    </xf>
    <xf numFmtId="164" fontId="9" fillId="6" borderId="21" xfId="0" applyNumberFormat="1" applyFont="1" applyFill="1" applyBorder="1" applyAlignment="1">
      <alignment horizontal="left" vertical="center"/>
    </xf>
    <xf numFmtId="0" fontId="9" fillId="6" borderId="14" xfId="3" applyFont="1" applyFill="1" applyBorder="1" applyAlignment="1">
      <alignment horizontal="center" vertical="center"/>
    </xf>
    <xf numFmtId="0" fontId="9" fillId="6" borderId="15" xfId="3" applyFont="1" applyFill="1" applyBorder="1" applyAlignment="1">
      <alignment horizontal="center" vertical="center"/>
    </xf>
    <xf numFmtId="0" fontId="9" fillId="6" borderId="21" xfId="3" applyFont="1" applyFill="1" applyBorder="1" applyAlignment="1">
      <alignment horizontal="center" vertical="center"/>
    </xf>
    <xf numFmtId="2" fontId="17" fillId="6" borderId="14" xfId="0" applyNumberFormat="1" applyFont="1" applyFill="1" applyBorder="1" applyAlignment="1">
      <alignment horizontal="center" vertical="center"/>
    </xf>
    <xf numFmtId="2" fontId="17" fillId="6" borderId="15" xfId="0" applyNumberFormat="1" applyFont="1" applyFill="1" applyBorder="1" applyAlignment="1">
      <alignment horizontal="center" vertical="center"/>
    </xf>
    <xf numFmtId="2" fontId="9" fillId="6" borderId="14" xfId="0" applyNumberFormat="1" applyFont="1" applyFill="1" applyBorder="1" applyAlignment="1">
      <alignment horizontal="center" vertical="center"/>
    </xf>
    <xf numFmtId="2" fontId="9" fillId="6" borderId="15" xfId="0" applyNumberFormat="1" applyFont="1" applyFill="1" applyBorder="1" applyAlignment="1">
      <alignment horizontal="center" vertical="center"/>
    </xf>
    <xf numFmtId="0" fontId="18" fillId="6" borderId="6" xfId="3" applyFont="1" applyFill="1" applyBorder="1" applyAlignment="1">
      <alignment horizontal="center" vertical="center"/>
    </xf>
    <xf numFmtId="0" fontId="9" fillId="6" borderId="14" xfId="0" applyFont="1" applyFill="1" applyBorder="1" applyAlignment="1">
      <alignment horizontal="center" vertical="center"/>
    </xf>
    <xf numFmtId="0" fontId="9" fillId="6" borderId="15" xfId="0" applyFont="1" applyFill="1" applyBorder="1" applyAlignment="1">
      <alignment horizontal="center" vertical="center"/>
    </xf>
    <xf numFmtId="0" fontId="9" fillId="6" borderId="21" xfId="0" applyFont="1" applyFill="1" applyBorder="1" applyAlignment="1">
      <alignment horizontal="center" vertical="center"/>
    </xf>
    <xf numFmtId="0" fontId="9" fillId="6" borderId="6" xfId="3" applyFont="1" applyFill="1" applyBorder="1" applyAlignment="1">
      <alignment horizontal="center" vertical="center"/>
    </xf>
    <xf numFmtId="2" fontId="9" fillId="0" borderId="6" xfId="0" applyNumberFormat="1" applyFont="1" applyBorder="1" applyAlignment="1">
      <alignment horizontal="center" vertical="center"/>
    </xf>
    <xf numFmtId="2" fontId="9" fillId="6" borderId="21" xfId="0" applyNumberFormat="1" applyFont="1" applyFill="1" applyBorder="1" applyAlignment="1">
      <alignment horizontal="center" vertical="center"/>
    </xf>
    <xf numFmtId="2" fontId="17" fillId="6" borderId="21" xfId="0" applyNumberFormat="1" applyFont="1" applyFill="1" applyBorder="1" applyAlignment="1">
      <alignment horizontal="center" vertical="center"/>
    </xf>
    <xf numFmtId="0" fontId="9" fillId="6" borderId="12" xfId="3" applyFont="1" applyFill="1" applyBorder="1" applyAlignment="1">
      <alignment horizontal="center" vertical="center"/>
    </xf>
    <xf numFmtId="0" fontId="9" fillId="6" borderId="6" xfId="0" applyFont="1" applyFill="1" applyBorder="1" applyAlignment="1">
      <alignment horizontal="center" vertical="center"/>
    </xf>
    <xf numFmtId="0" fontId="9" fillId="6" borderId="14" xfId="0" applyFont="1" applyFill="1" applyBorder="1" applyAlignment="1">
      <alignment horizontal="right" vertical="center"/>
    </xf>
    <xf numFmtId="0" fontId="9" fillId="6" borderId="15" xfId="0" applyFont="1" applyFill="1" applyBorder="1" applyAlignment="1">
      <alignment horizontal="right" vertical="center"/>
    </xf>
    <xf numFmtId="0" fontId="9" fillId="6" borderId="15" xfId="0" applyFont="1" applyFill="1" applyBorder="1" applyAlignment="1">
      <alignment horizontal="left" vertical="center"/>
    </xf>
    <xf numFmtId="0" fontId="9" fillId="6" borderId="21" xfId="0" applyFont="1" applyFill="1" applyBorder="1" applyAlignment="1">
      <alignment horizontal="left" vertical="center"/>
    </xf>
    <xf numFmtId="164" fontId="17" fillId="6" borderId="6" xfId="0" applyNumberFormat="1" applyFont="1" applyFill="1" applyBorder="1" applyAlignment="1">
      <alignment horizontal="center"/>
    </xf>
    <xf numFmtId="0" fontId="9" fillId="6" borderId="7" xfId="3" applyFont="1" applyFill="1" applyBorder="1" applyAlignment="1">
      <alignment horizontal="center" vertical="center"/>
    </xf>
    <xf numFmtId="0" fontId="9" fillId="6" borderId="8" xfId="3" applyFont="1" applyFill="1" applyBorder="1" applyAlignment="1">
      <alignment horizontal="center" vertical="center"/>
    </xf>
    <xf numFmtId="0" fontId="9" fillId="6" borderId="16" xfId="3" applyFont="1" applyFill="1" applyBorder="1" applyAlignment="1">
      <alignment horizontal="center" vertical="center"/>
    </xf>
    <xf numFmtId="0" fontId="9" fillId="6" borderId="10" xfId="3" applyFont="1" applyFill="1" applyBorder="1" applyAlignment="1">
      <alignment horizontal="center" vertical="center"/>
    </xf>
    <xf numFmtId="0" fontId="9" fillId="6" borderId="11" xfId="3" applyFont="1" applyFill="1" applyBorder="1" applyAlignment="1">
      <alignment horizontal="center" vertical="center"/>
    </xf>
    <xf numFmtId="0" fontId="9" fillId="6" borderId="18" xfId="3" applyFont="1" applyFill="1" applyBorder="1" applyAlignment="1">
      <alignment horizontal="center" vertical="center"/>
    </xf>
    <xf numFmtId="0" fontId="13" fillId="0" borderId="30" xfId="0" applyFont="1" applyBorder="1" applyAlignment="1">
      <alignment horizontal="left"/>
    </xf>
    <xf numFmtId="0" fontId="13" fillId="0" borderId="12" xfId="0" applyFont="1" applyBorder="1" applyAlignment="1">
      <alignment horizontal="left"/>
    </xf>
    <xf numFmtId="0" fontId="13" fillId="0" borderId="31" xfId="0" applyFont="1" applyBorder="1" applyAlignment="1">
      <alignment horizontal="left"/>
    </xf>
    <xf numFmtId="172" fontId="17" fillId="6" borderId="6" xfId="0" applyNumberFormat="1" applyFont="1" applyFill="1" applyBorder="1" applyAlignment="1">
      <alignment horizontal="center"/>
    </xf>
    <xf numFmtId="172" fontId="9" fillId="6" borderId="6" xfId="0" applyNumberFormat="1" applyFont="1" applyFill="1" applyBorder="1" applyAlignment="1">
      <alignment horizontal="center"/>
    </xf>
    <xf numFmtId="165" fontId="17" fillId="6" borderId="14" xfId="3" applyNumberFormat="1" applyFont="1" applyFill="1" applyBorder="1" applyAlignment="1">
      <alignment horizontal="center"/>
    </xf>
    <xf numFmtId="165" fontId="17" fillId="6" borderId="15" xfId="3" applyNumberFormat="1" applyFont="1" applyFill="1" applyBorder="1" applyAlignment="1">
      <alignment horizontal="center"/>
    </xf>
    <xf numFmtId="165" fontId="17" fillId="6" borderId="21" xfId="3" applyNumberFormat="1" applyFont="1" applyFill="1" applyBorder="1" applyAlignment="1">
      <alignment horizontal="center"/>
    </xf>
    <xf numFmtId="168" fontId="9" fillId="6" borderId="34" xfId="3" applyNumberFormat="1" applyFont="1" applyFill="1" applyBorder="1" applyAlignment="1">
      <alignment horizontal="center"/>
    </xf>
    <xf numFmtId="0" fontId="9" fillId="6" borderId="0" xfId="3" applyFont="1" applyFill="1" applyAlignment="1">
      <alignment horizontal="center"/>
    </xf>
    <xf numFmtId="0" fontId="9" fillId="6" borderId="45" xfId="3" applyFont="1" applyFill="1" applyBorder="1" applyAlignment="1">
      <alignment horizontal="center"/>
    </xf>
    <xf numFmtId="0" fontId="7" fillId="6" borderId="44" xfId="3" applyFont="1" applyFill="1" applyBorder="1" applyAlignment="1">
      <alignment horizontal="center"/>
    </xf>
    <xf numFmtId="0" fontId="7" fillId="6" borderId="0" xfId="3" applyFont="1" applyFill="1" applyAlignment="1">
      <alignment horizontal="center"/>
    </xf>
    <xf numFmtId="0" fontId="7" fillId="6" borderId="23" xfId="3" applyFont="1" applyFill="1" applyBorder="1" applyAlignment="1">
      <alignment horizontal="center"/>
    </xf>
    <xf numFmtId="0" fontId="9" fillId="6" borderId="26" xfId="3" applyFont="1" applyFill="1" applyBorder="1" applyAlignment="1">
      <alignment horizontal="center"/>
    </xf>
    <xf numFmtId="165" fontId="9" fillId="6" borderId="6" xfId="3" applyNumberFormat="1" applyFont="1" applyFill="1" applyBorder="1" applyAlignment="1">
      <alignment horizontal="center"/>
    </xf>
    <xf numFmtId="0" fontId="9" fillId="6" borderId="6" xfId="3" quotePrefix="1" applyFont="1" applyFill="1" applyBorder="1" applyAlignment="1">
      <alignment horizontal="center" vertical="center"/>
    </xf>
    <xf numFmtId="0" fontId="9" fillId="6" borderId="44" xfId="3" applyFont="1" applyFill="1" applyBorder="1" applyAlignment="1">
      <alignment horizontal="left"/>
    </xf>
    <xf numFmtId="0" fontId="9" fillId="6" borderId="0" xfId="3" applyFont="1" applyFill="1" applyAlignment="1">
      <alignment horizontal="left"/>
    </xf>
    <xf numFmtId="0" fontId="17" fillId="6" borderId="12" xfId="3" applyFont="1" applyFill="1" applyBorder="1" applyAlignment="1">
      <alignment horizontal="left"/>
    </xf>
    <xf numFmtId="0" fontId="17" fillId="6" borderId="3" xfId="3" applyFont="1" applyFill="1" applyBorder="1" applyAlignment="1">
      <alignment horizontal="left"/>
    </xf>
    <xf numFmtId="0" fontId="9" fillId="6" borderId="9" xfId="3" applyFont="1" applyFill="1" applyBorder="1" applyAlignment="1">
      <alignment horizontal="center" vertical="center"/>
    </xf>
    <xf numFmtId="0" fontId="9" fillId="6" borderId="0" xfId="3" applyFont="1" applyFill="1" applyAlignment="1">
      <alignment horizontal="center" vertical="center"/>
    </xf>
    <xf numFmtId="0" fontId="9" fillId="6" borderId="17" xfId="3" applyFont="1" applyFill="1" applyBorder="1" applyAlignment="1">
      <alignment horizontal="center" vertical="center"/>
    </xf>
    <xf numFmtId="1" fontId="9" fillId="6" borderId="14" xfId="0" quotePrefix="1" applyNumberFormat="1" applyFont="1" applyFill="1" applyBorder="1" applyAlignment="1">
      <alignment horizontal="right" vertical="center"/>
    </xf>
    <xf numFmtId="1" fontId="9" fillId="6" borderId="15" xfId="0" quotePrefix="1" applyNumberFormat="1" applyFont="1" applyFill="1" applyBorder="1" applyAlignment="1">
      <alignment horizontal="right" vertical="center"/>
    </xf>
    <xf numFmtId="165" fontId="9" fillId="6" borderId="14" xfId="3" applyNumberFormat="1" applyFont="1" applyFill="1" applyBorder="1" applyAlignment="1">
      <alignment horizontal="right" vertical="center"/>
    </xf>
    <xf numFmtId="165" fontId="9" fillId="6" borderId="15" xfId="3" applyNumberFormat="1" applyFont="1" applyFill="1" applyBorder="1" applyAlignment="1">
      <alignment horizontal="right" vertical="center"/>
    </xf>
    <xf numFmtId="0" fontId="18" fillId="6" borderId="14" xfId="0" applyFont="1" applyFill="1" applyBorder="1" applyAlignment="1">
      <alignment horizontal="center" vertical="center"/>
    </xf>
    <xf numFmtId="0" fontId="18" fillId="6" borderId="15" xfId="0" applyFont="1" applyFill="1" applyBorder="1" applyAlignment="1">
      <alignment horizontal="center" vertical="center"/>
    </xf>
    <xf numFmtId="0" fontId="18" fillId="6" borderId="21" xfId="0" applyFont="1" applyFill="1" applyBorder="1" applyAlignment="1">
      <alignment horizontal="center" vertical="center"/>
    </xf>
    <xf numFmtId="172" fontId="17" fillId="6" borderId="14" xfId="3" applyNumberFormat="1" applyFont="1" applyFill="1" applyBorder="1" applyAlignment="1">
      <alignment horizontal="center"/>
    </xf>
    <xf numFmtId="172" fontId="17" fillId="6" borderId="15" xfId="3" applyNumberFormat="1" applyFont="1" applyFill="1" applyBorder="1" applyAlignment="1">
      <alignment horizontal="center"/>
    </xf>
    <xf numFmtId="172" fontId="17" fillId="6" borderId="21" xfId="3" applyNumberFormat="1" applyFont="1" applyFill="1" applyBorder="1" applyAlignment="1">
      <alignment horizontal="center"/>
    </xf>
    <xf numFmtId="165" fontId="9" fillId="6" borderId="14" xfId="0" applyNumberFormat="1" applyFont="1" applyFill="1" applyBorder="1" applyAlignment="1">
      <alignment horizontal="right" vertical="center"/>
    </xf>
    <xf numFmtId="165" fontId="9" fillId="6" borderId="15" xfId="0" applyNumberFormat="1" applyFont="1" applyFill="1" applyBorder="1" applyAlignment="1">
      <alignment horizontal="right" vertical="center"/>
    </xf>
    <xf numFmtId="0" fontId="17" fillId="6" borderId="0" xfId="3" applyFont="1" applyFill="1" applyAlignment="1">
      <alignment horizontal="left"/>
    </xf>
    <xf numFmtId="0" fontId="17" fillId="6" borderId="3" xfId="3" applyFont="1" applyFill="1" applyBorder="1" applyAlignment="1">
      <alignment horizontal="center" vertical="center"/>
    </xf>
    <xf numFmtId="165" fontId="17" fillId="6" borderId="3" xfId="3" applyNumberFormat="1" applyFont="1" applyFill="1" applyBorder="1" applyAlignment="1">
      <alignment horizontal="center" vertical="center"/>
    </xf>
    <xf numFmtId="0" fontId="9" fillId="6" borderId="25" xfId="3" applyFont="1" applyFill="1" applyBorder="1" applyAlignment="1">
      <alignment horizontal="center" vertical="center" wrapText="1"/>
    </xf>
    <xf numFmtId="0" fontId="9" fillId="6" borderId="0" xfId="3" applyFont="1" applyFill="1" applyAlignment="1">
      <alignment horizontal="center" vertical="center" wrapText="1"/>
    </xf>
    <xf numFmtId="0" fontId="9" fillId="6" borderId="45" xfId="3" applyFont="1" applyFill="1" applyBorder="1" applyAlignment="1">
      <alignment horizontal="center" vertical="center" wrapText="1"/>
    </xf>
    <xf numFmtId="0" fontId="17" fillId="6" borderId="5" xfId="3" applyFont="1" applyFill="1" applyBorder="1" applyAlignment="1">
      <alignment horizontal="center" vertical="center"/>
    </xf>
    <xf numFmtId="0" fontId="17" fillId="6" borderId="50" xfId="3" applyFont="1" applyFill="1" applyBorder="1" applyAlignment="1">
      <alignment horizontal="left"/>
    </xf>
    <xf numFmtId="0" fontId="17" fillId="6" borderId="49" xfId="3" applyFont="1" applyFill="1" applyBorder="1" applyAlignment="1">
      <alignment horizontal="left"/>
    </xf>
    <xf numFmtId="2" fontId="17" fillId="6" borderId="14" xfId="0" applyNumberFormat="1" applyFont="1" applyFill="1" applyBorder="1" applyAlignment="1">
      <alignment horizontal="center"/>
    </xf>
    <xf numFmtId="2" fontId="17" fillId="6" borderId="15" xfId="0" applyNumberFormat="1" applyFont="1" applyFill="1" applyBorder="1" applyAlignment="1">
      <alignment horizontal="center"/>
    </xf>
    <xf numFmtId="2" fontId="17" fillId="6" borderId="21" xfId="0" applyNumberFormat="1" applyFont="1" applyFill="1" applyBorder="1" applyAlignment="1">
      <alignment horizontal="center"/>
    </xf>
    <xf numFmtId="0" fontId="9" fillId="6" borderId="14" xfId="3" applyFont="1" applyFill="1" applyBorder="1" applyAlignment="1">
      <alignment horizontal="center"/>
    </xf>
    <xf numFmtId="0" fontId="9" fillId="6" borderId="15" xfId="3" applyFont="1" applyFill="1" applyBorder="1" applyAlignment="1">
      <alignment horizontal="center"/>
    </xf>
    <xf numFmtId="0" fontId="9" fillId="6" borderId="21" xfId="3" applyFont="1" applyFill="1" applyBorder="1" applyAlignment="1">
      <alignment horizontal="center"/>
    </xf>
    <xf numFmtId="0" fontId="17" fillId="6" borderId="0" xfId="3" applyFont="1" applyFill="1" applyAlignment="1">
      <alignment horizontal="center"/>
    </xf>
    <xf numFmtId="165" fontId="9" fillId="6" borderId="6" xfId="0" applyNumberFormat="1" applyFont="1" applyFill="1" applyBorder="1" applyAlignment="1">
      <alignment horizontal="center"/>
    </xf>
    <xf numFmtId="164" fontId="9" fillId="2" borderId="8" xfId="3" applyNumberFormat="1" applyFont="1" applyFill="1" applyBorder="1" applyAlignment="1">
      <alignment horizontal="center"/>
    </xf>
    <xf numFmtId="0" fontId="7" fillId="0" borderId="35" xfId="0" applyFont="1" applyBorder="1" applyAlignment="1">
      <alignment horizontal="center" vertical="center"/>
    </xf>
    <xf numFmtId="0" fontId="7" fillId="0" borderId="36" xfId="0" applyFont="1" applyBorder="1" applyAlignment="1">
      <alignment horizontal="center" vertical="center"/>
    </xf>
    <xf numFmtId="170" fontId="9" fillId="0" borderId="6" xfId="0" applyNumberFormat="1" applyFont="1" applyBorder="1" applyAlignment="1">
      <alignment horizontal="center" vertical="center"/>
    </xf>
    <xf numFmtId="170" fontId="9" fillId="0" borderId="6" xfId="3" applyNumberFormat="1" applyFont="1" applyBorder="1" applyAlignment="1">
      <alignment horizontal="center"/>
    </xf>
    <xf numFmtId="1" fontId="9" fillId="6" borderId="15" xfId="0" applyNumberFormat="1" applyFont="1" applyFill="1" applyBorder="1" applyAlignment="1">
      <alignment horizontal="left" vertical="center"/>
    </xf>
    <xf numFmtId="1" fontId="9" fillId="6" borderId="21" xfId="0" applyNumberFormat="1" applyFont="1" applyFill="1" applyBorder="1" applyAlignment="1">
      <alignment horizontal="left" vertical="center"/>
    </xf>
    <xf numFmtId="18" fontId="9" fillId="6" borderId="6" xfId="3" quotePrefix="1" applyNumberFormat="1" applyFont="1" applyFill="1" applyBorder="1" applyAlignment="1">
      <alignment horizontal="center" vertical="center"/>
    </xf>
    <xf numFmtId="0" fontId="9" fillId="6" borderId="46" xfId="3" applyFont="1" applyFill="1" applyBorder="1" applyAlignment="1">
      <alignment horizontal="center"/>
    </xf>
    <xf numFmtId="0" fontId="9" fillId="6" borderId="1" xfId="3" applyFont="1" applyFill="1" applyBorder="1" applyAlignment="1">
      <alignment horizontal="center"/>
    </xf>
    <xf numFmtId="0" fontId="9" fillId="6" borderId="24" xfId="3" applyFont="1" applyFill="1" applyBorder="1" applyAlignment="1">
      <alignment horizontal="center"/>
    </xf>
    <xf numFmtId="0" fontId="9" fillId="6" borderId="27" xfId="3" applyFont="1" applyFill="1" applyBorder="1" applyAlignment="1">
      <alignment horizontal="center"/>
    </xf>
    <xf numFmtId="0" fontId="9" fillId="6" borderId="28" xfId="3" applyFont="1" applyFill="1" applyBorder="1" applyAlignment="1">
      <alignment horizontal="center"/>
    </xf>
    <xf numFmtId="0" fontId="9" fillId="6" borderId="47" xfId="3" applyFont="1" applyFill="1" applyBorder="1" applyAlignment="1">
      <alignment horizontal="center"/>
    </xf>
    <xf numFmtId="0" fontId="9" fillId="6" borderId="44" xfId="3" applyFont="1" applyFill="1" applyBorder="1" applyAlignment="1">
      <alignment horizontal="center"/>
    </xf>
    <xf numFmtId="0" fontId="9" fillId="6" borderId="23" xfId="3" applyFont="1" applyFill="1" applyBorder="1" applyAlignment="1">
      <alignment horizontal="center"/>
    </xf>
    <xf numFmtId="0" fontId="9" fillId="6" borderId="52" xfId="3" applyFont="1" applyFill="1" applyBorder="1" applyAlignment="1">
      <alignment horizontal="center"/>
    </xf>
    <xf numFmtId="0" fontId="9" fillId="6" borderId="53" xfId="3" applyFont="1" applyFill="1" applyBorder="1" applyAlignment="1">
      <alignment horizontal="center"/>
    </xf>
    <xf numFmtId="0" fontId="9" fillId="6" borderId="54" xfId="3" applyFont="1" applyFill="1" applyBorder="1" applyAlignment="1">
      <alignment horizontal="center"/>
    </xf>
    <xf numFmtId="0" fontId="9" fillId="6" borderId="55" xfId="3" applyFont="1" applyFill="1" applyBorder="1" applyAlignment="1">
      <alignment horizontal="center"/>
    </xf>
    <xf numFmtId="0" fontId="9" fillId="6" borderId="56" xfId="3" applyFont="1" applyFill="1" applyBorder="1" applyAlignment="1">
      <alignment horizontal="center"/>
    </xf>
    <xf numFmtId="0" fontId="9" fillId="6" borderId="57" xfId="3" applyFont="1" applyFill="1" applyBorder="1" applyAlignment="1">
      <alignment horizontal="center"/>
    </xf>
    <xf numFmtId="0" fontId="7" fillId="6" borderId="2" xfId="3" applyFont="1" applyFill="1" applyBorder="1" applyAlignment="1">
      <alignment horizontal="center"/>
    </xf>
    <xf numFmtId="0" fontId="9" fillId="6" borderId="45" xfId="3" applyFont="1" applyFill="1" applyBorder="1" applyAlignment="1">
      <alignment horizontal="left"/>
    </xf>
    <xf numFmtId="0" fontId="16" fillId="5" borderId="2" xfId="3" applyFont="1" applyFill="1" applyBorder="1" applyAlignment="1">
      <alignment horizontal="center"/>
    </xf>
    <xf numFmtId="0" fontId="16" fillId="5" borderId="22" xfId="3" applyFont="1" applyFill="1" applyBorder="1" applyAlignment="1">
      <alignment horizontal="center"/>
    </xf>
    <xf numFmtId="0" fontId="16" fillId="5" borderId="3" xfId="3" applyFont="1" applyFill="1" applyBorder="1" applyAlignment="1">
      <alignment horizontal="center"/>
    </xf>
    <xf numFmtId="0" fontId="16" fillId="5" borderId="63" xfId="3" applyFont="1" applyFill="1" applyBorder="1" applyAlignment="1">
      <alignment horizontal="center"/>
    </xf>
    <xf numFmtId="168" fontId="17" fillId="6" borderId="2" xfId="3" applyNumberFormat="1" applyFont="1" applyFill="1" applyBorder="1" applyAlignment="1">
      <alignment horizontal="left"/>
    </xf>
    <xf numFmtId="168" fontId="17" fillId="6" borderId="48" xfId="3" applyNumberFormat="1" applyFont="1" applyFill="1" applyBorder="1" applyAlignment="1">
      <alignment horizontal="left"/>
    </xf>
    <xf numFmtId="168" fontId="17" fillId="6" borderId="3" xfId="3" applyNumberFormat="1" applyFont="1" applyFill="1" applyBorder="1" applyAlignment="1">
      <alignment horizontal="left"/>
    </xf>
    <xf numFmtId="168" fontId="17" fillId="6" borderId="49" xfId="3" applyNumberFormat="1" applyFont="1" applyFill="1" applyBorder="1" applyAlignment="1">
      <alignment horizontal="left"/>
    </xf>
    <xf numFmtId="0" fontId="7" fillId="5" borderId="58" xfId="3" applyFont="1" applyFill="1" applyBorder="1" applyAlignment="1">
      <alignment horizontal="center"/>
    </xf>
    <xf numFmtId="0" fontId="7" fillId="5" borderId="59" xfId="3" applyFont="1" applyFill="1" applyBorder="1" applyAlignment="1">
      <alignment horizontal="center"/>
    </xf>
    <xf numFmtId="0" fontId="7" fillId="5" borderId="62" xfId="3" applyFont="1" applyFill="1" applyBorder="1" applyAlignment="1">
      <alignment horizontal="center"/>
    </xf>
    <xf numFmtId="0" fontId="7" fillId="5" borderId="58" xfId="3" applyFont="1" applyFill="1" applyBorder="1" applyAlignment="1">
      <alignment horizontal="left"/>
    </xf>
    <xf numFmtId="0" fontId="7" fillId="5" borderId="59" xfId="3" applyFont="1" applyFill="1" applyBorder="1" applyAlignment="1">
      <alignment horizontal="left"/>
    </xf>
    <xf numFmtId="0" fontId="7" fillId="5" borderId="62" xfId="3" applyFont="1" applyFill="1" applyBorder="1" applyAlignment="1">
      <alignment horizontal="left"/>
    </xf>
    <xf numFmtId="0" fontId="7" fillId="6" borderId="25" xfId="3" applyFont="1" applyFill="1" applyBorder="1" applyAlignment="1">
      <alignment horizontal="center"/>
    </xf>
    <xf numFmtId="0" fontId="7" fillId="6" borderId="45" xfId="3" applyFont="1" applyFill="1" applyBorder="1" applyAlignment="1">
      <alignment horizontal="center"/>
    </xf>
    <xf numFmtId="0" fontId="9" fillId="6" borderId="3" xfId="3" applyFont="1" applyFill="1" applyBorder="1" applyAlignment="1">
      <alignment horizontal="center" vertical="center"/>
    </xf>
    <xf numFmtId="0" fontId="9" fillId="6" borderId="5" xfId="3" applyFont="1" applyFill="1" applyBorder="1" applyAlignment="1">
      <alignment horizontal="center" vertical="center"/>
    </xf>
    <xf numFmtId="0" fontId="7" fillId="5" borderId="60" xfId="3" applyFont="1" applyFill="1" applyBorder="1" applyAlignment="1">
      <alignment horizontal="left"/>
    </xf>
    <xf numFmtId="0" fontId="7" fillId="5" borderId="61" xfId="3" applyFont="1" applyFill="1" applyBorder="1" applyAlignment="1">
      <alignment horizontal="left"/>
    </xf>
    <xf numFmtId="0" fontId="17" fillId="5" borderId="64" xfId="3" applyFont="1" applyFill="1" applyBorder="1" applyAlignment="1">
      <alignment horizontal="center"/>
    </xf>
    <xf numFmtId="0" fontId="17" fillId="5" borderId="4" xfId="3" applyFont="1" applyFill="1" applyBorder="1" applyAlignment="1">
      <alignment horizontal="center"/>
    </xf>
    <xf numFmtId="0" fontId="17" fillId="5" borderId="13" xfId="3" applyFont="1" applyFill="1" applyBorder="1" applyAlignment="1">
      <alignment horizontal="center"/>
    </xf>
    <xf numFmtId="0" fontId="17" fillId="5" borderId="20" xfId="3" applyFont="1" applyFill="1" applyBorder="1" applyAlignment="1">
      <alignment horizontal="center"/>
    </xf>
    <xf numFmtId="0" fontId="9" fillId="0" borderId="14" xfId="0" applyFont="1" applyBorder="1" applyAlignment="1">
      <alignment horizontal="center" vertical="center" wrapText="1"/>
    </xf>
    <xf numFmtId="0" fontId="9" fillId="0" borderId="15" xfId="0" applyFont="1" applyBorder="1" applyAlignment="1">
      <alignment horizontal="center" vertical="center" wrapText="1"/>
    </xf>
    <xf numFmtId="0" fontId="9" fillId="0" borderId="21" xfId="0" applyFont="1" applyBorder="1" applyAlignment="1">
      <alignment horizontal="center" vertical="center" wrapText="1"/>
    </xf>
    <xf numFmtId="0" fontId="9" fillId="2" borderId="0" xfId="3" applyFont="1" applyFill="1" applyAlignment="1">
      <alignment horizontal="center"/>
    </xf>
    <xf numFmtId="0" fontId="9" fillId="6" borderId="2" xfId="3" quotePrefix="1" applyFont="1" applyFill="1" applyBorder="1" applyAlignment="1">
      <alignment horizontal="center" vertical="center"/>
    </xf>
    <xf numFmtId="0" fontId="9" fillId="6" borderId="2" xfId="3" applyFont="1" applyFill="1" applyBorder="1" applyAlignment="1">
      <alignment horizontal="center" vertical="center"/>
    </xf>
    <xf numFmtId="0" fontId="18" fillId="6" borderId="2" xfId="3" applyFont="1" applyFill="1" applyBorder="1" applyAlignment="1">
      <alignment horizontal="left"/>
    </xf>
    <xf numFmtId="0" fontId="18" fillId="6" borderId="3" xfId="3" applyFont="1" applyFill="1" applyBorder="1" applyAlignment="1">
      <alignment horizontal="left"/>
    </xf>
    <xf numFmtId="0" fontId="17" fillId="6" borderId="2" xfId="3" applyFont="1" applyFill="1" applyBorder="1" applyAlignment="1">
      <alignment horizontal="left"/>
    </xf>
    <xf numFmtId="0" fontId="9" fillId="6" borderId="51" xfId="3" applyFont="1" applyFill="1" applyBorder="1" applyAlignment="1">
      <alignment horizontal="center"/>
    </xf>
    <xf numFmtId="0" fontId="9" fillId="6" borderId="2" xfId="3" applyFont="1" applyFill="1" applyBorder="1" applyAlignment="1">
      <alignment horizontal="center"/>
    </xf>
    <xf numFmtId="0" fontId="9" fillId="6" borderId="19" xfId="3" applyFont="1" applyFill="1" applyBorder="1" applyAlignment="1">
      <alignment horizontal="center"/>
    </xf>
    <xf numFmtId="0" fontId="9" fillId="6" borderId="22" xfId="3" applyFont="1" applyFill="1" applyBorder="1" applyAlignment="1">
      <alignment horizontal="center"/>
    </xf>
    <xf numFmtId="0" fontId="9" fillId="6" borderId="48" xfId="3" applyFont="1" applyFill="1" applyBorder="1" applyAlignment="1">
      <alignment horizontal="center"/>
    </xf>
    <xf numFmtId="172" fontId="9" fillId="6" borderId="14" xfId="3" applyNumberFormat="1" applyFont="1" applyFill="1" applyBorder="1" applyAlignment="1">
      <alignment horizontal="center"/>
    </xf>
    <xf numFmtId="172" fontId="9" fillId="6" borderId="15" xfId="3" applyNumberFormat="1" applyFont="1" applyFill="1" applyBorder="1" applyAlignment="1">
      <alignment horizontal="center"/>
    </xf>
    <xf numFmtId="172" fontId="9" fillId="6" borderId="21" xfId="3" applyNumberFormat="1" applyFont="1" applyFill="1" applyBorder="1" applyAlignment="1">
      <alignment horizontal="center"/>
    </xf>
    <xf numFmtId="0" fontId="9" fillId="6" borderId="3" xfId="3" applyFont="1" applyFill="1" applyBorder="1" applyAlignment="1">
      <alignment horizontal="left"/>
    </xf>
    <xf numFmtId="0" fontId="17" fillId="5" borderId="0" xfId="3" applyFont="1" applyFill="1" applyAlignment="1">
      <alignment horizontal="center" vertical="center" wrapText="1"/>
    </xf>
    <xf numFmtId="0" fontId="17" fillId="5" borderId="23" xfId="3" applyFont="1" applyFill="1" applyBorder="1" applyAlignment="1">
      <alignment horizontal="center" vertical="center" wrapText="1"/>
    </xf>
    <xf numFmtId="1" fontId="17" fillId="5" borderId="20" xfId="0" applyNumberFormat="1" applyFont="1" applyFill="1" applyBorder="1" applyAlignment="1">
      <alignment horizontal="center" wrapText="1"/>
    </xf>
    <xf numFmtId="1" fontId="17" fillId="5" borderId="4" xfId="0" applyNumberFormat="1" applyFont="1" applyFill="1" applyBorder="1" applyAlignment="1">
      <alignment horizontal="center"/>
    </xf>
    <xf numFmtId="1" fontId="17" fillId="5" borderId="13" xfId="0" applyNumberFormat="1" applyFont="1" applyFill="1" applyBorder="1" applyAlignment="1">
      <alignment horizontal="center"/>
    </xf>
    <xf numFmtId="169" fontId="17" fillId="5" borderId="20" xfId="0" applyNumberFormat="1" applyFont="1" applyFill="1" applyBorder="1" applyAlignment="1">
      <alignment horizontal="center"/>
    </xf>
    <xf numFmtId="169" fontId="17" fillId="5" borderId="4" xfId="0" applyNumberFormat="1" applyFont="1" applyFill="1" applyBorder="1" applyAlignment="1">
      <alignment horizontal="center"/>
    </xf>
    <xf numFmtId="169" fontId="17" fillId="5" borderId="65" xfId="0" applyNumberFormat="1" applyFont="1" applyFill="1" applyBorder="1" applyAlignment="1">
      <alignment horizontal="center"/>
    </xf>
    <xf numFmtId="1" fontId="9" fillId="6" borderId="14" xfId="3" applyNumberFormat="1" applyFont="1" applyFill="1" applyBorder="1" applyAlignment="1">
      <alignment horizontal="right" vertical="center"/>
    </xf>
    <xf numFmtId="1" fontId="9" fillId="6" borderId="15" xfId="3" applyNumberFormat="1" applyFont="1" applyFill="1" applyBorder="1" applyAlignment="1">
      <alignment horizontal="right" vertical="center"/>
    </xf>
    <xf numFmtId="0" fontId="7" fillId="6" borderId="14" xfId="3" applyFont="1" applyFill="1" applyBorder="1" applyAlignment="1">
      <alignment horizontal="center" vertical="center"/>
    </xf>
    <xf numFmtId="0" fontId="7" fillId="6" borderId="15" xfId="3" applyFont="1" applyFill="1" applyBorder="1" applyAlignment="1">
      <alignment horizontal="center" vertical="center"/>
    </xf>
    <xf numFmtId="0" fontId="7" fillId="6" borderId="21" xfId="3" applyFont="1" applyFill="1" applyBorder="1" applyAlignment="1">
      <alignment horizontal="center" vertical="center"/>
    </xf>
    <xf numFmtId="165" fontId="9" fillId="6" borderId="14" xfId="3" applyNumberFormat="1" applyFont="1" applyFill="1" applyBorder="1" applyAlignment="1">
      <alignment horizontal="center"/>
    </xf>
    <xf numFmtId="165" fontId="9" fillId="6" borderId="15" xfId="3" applyNumberFormat="1" applyFont="1" applyFill="1" applyBorder="1" applyAlignment="1">
      <alignment horizontal="center"/>
    </xf>
    <xf numFmtId="165" fontId="9" fillId="6" borderId="21" xfId="3" applyNumberFormat="1" applyFont="1" applyFill="1" applyBorder="1" applyAlignment="1">
      <alignment horizontal="center"/>
    </xf>
    <xf numFmtId="164" fontId="9" fillId="0" borderId="6" xfId="3" quotePrefix="1" applyNumberFormat="1" applyFont="1" applyBorder="1" applyAlignment="1">
      <alignment horizontal="center"/>
    </xf>
    <xf numFmtId="1" fontId="9" fillId="6" borderId="14" xfId="0" applyNumberFormat="1" applyFont="1" applyFill="1" applyBorder="1" applyAlignment="1">
      <alignment horizontal="right" vertical="center" wrapText="1"/>
    </xf>
    <xf numFmtId="1" fontId="9" fillId="6" borderId="15" xfId="0" applyNumberFormat="1" applyFont="1" applyFill="1" applyBorder="1" applyAlignment="1">
      <alignment horizontal="right" vertical="center" wrapText="1"/>
    </xf>
    <xf numFmtId="164" fontId="9" fillId="6" borderId="15" xfId="0" applyNumberFormat="1" applyFont="1" applyFill="1" applyBorder="1" applyAlignment="1">
      <alignment horizontal="left" vertical="center" wrapText="1"/>
    </xf>
    <xf numFmtId="164" fontId="9" fillId="6" borderId="21" xfId="0" applyNumberFormat="1" applyFont="1" applyFill="1" applyBorder="1" applyAlignment="1">
      <alignment horizontal="left" vertical="center" wrapText="1"/>
    </xf>
    <xf numFmtId="1" fontId="9" fillId="6" borderId="14" xfId="0" applyNumberFormat="1" applyFont="1" applyFill="1" applyBorder="1" applyAlignment="1">
      <alignment horizontal="center" vertical="center"/>
    </xf>
    <xf numFmtId="1" fontId="9" fillId="6" borderId="15" xfId="0" applyNumberFormat="1" applyFont="1" applyFill="1" applyBorder="1" applyAlignment="1">
      <alignment horizontal="center" vertical="center"/>
    </xf>
    <xf numFmtId="1" fontId="9" fillId="6" borderId="21" xfId="0" applyNumberFormat="1" applyFont="1" applyFill="1" applyBorder="1" applyAlignment="1">
      <alignment horizontal="center" vertical="center"/>
    </xf>
  </cellXfs>
  <cellStyles count="8">
    <cellStyle name="Normal" xfId="0" builtinId="0"/>
    <cellStyle name="Normal 2" xfId="1" xr:uid="{00000000-0005-0000-0000-000001000000}"/>
    <cellStyle name="Normal 2 2" xfId="4" xr:uid="{00000000-0005-0000-0000-000002000000}"/>
    <cellStyle name="Normal 2 2 2" xfId="7" xr:uid="{00000000-0005-0000-0000-000003000000}"/>
    <cellStyle name="Normal 3" xfId="2" xr:uid="{00000000-0005-0000-0000-000004000000}"/>
    <cellStyle name="Normal 4" xfId="3" xr:uid="{00000000-0005-0000-0000-000005000000}"/>
    <cellStyle name="Normal 4 2" xfId="6" xr:uid="{00000000-0005-0000-0000-000006000000}"/>
    <cellStyle name="Normal 5" xfId="5" xr:uid="{00000000-0005-0000-0000-000007000000}"/>
  </cellStyles>
  <dxfs count="27">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theme="1" tint="0.499984740745262"/>
        </patternFill>
      </fill>
    </dxf>
  </dxfs>
  <tableStyles count="0" defaultTableStyle="TableStyleMedium9" defaultPivotStyle="PivotStyleLight16"/>
  <colors>
    <mruColors>
      <color rgb="FF00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2.xml"/><Relationship Id="rId7" Type="http://schemas.openxmlformats.org/officeDocument/2006/relationships/sharedStrings" Target="sharedStrings.xml"/><Relationship Id="rId2" Type="http://schemas.openxmlformats.org/officeDocument/2006/relationships/chartsheet" Target="chartsheets/sheet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strRef>
              <c:f>DataSheet!$F$120:$S$120</c:f>
              <c:strCache>
                <c:ptCount val="14"/>
                <c:pt idx="0">
                  <c:v>Resistance Test</c:v>
                </c:pt>
              </c:strCache>
            </c:strRef>
          </c:tx>
          <c:invertIfNegative val="0"/>
          <c:val>
            <c:numRef>
              <c:f>DataSheet!$T$120:$AV$120</c:f>
              <c:numCache>
                <c:formatCode>General</c:formatCode>
                <c:ptCount val="29"/>
              </c:numCache>
            </c:numRef>
          </c:val>
          <c:extLst>
            <c:ext xmlns:c16="http://schemas.microsoft.com/office/drawing/2014/chart" uri="{C3380CC4-5D6E-409C-BE32-E72D297353CC}">
              <c16:uniqueId val="{00000000-C7A7-4031-9B57-838D2EF004F5}"/>
            </c:ext>
          </c:extLst>
        </c:ser>
        <c:ser>
          <c:idx val="1"/>
          <c:order val="1"/>
          <c:tx>
            <c:strRef>
              <c:f>DataSheet!$F$121:$S$121</c:f>
              <c:strCache>
                <c:ptCount val="14"/>
                <c:pt idx="0">
                  <c:v>Range</c:v>
                </c:pt>
                <c:pt idx="6">
                  <c:v>Nominal Value</c:v>
                </c:pt>
                <c:pt idx="13">
                  <c:v>Frequency</c:v>
                </c:pt>
              </c:strCache>
            </c:strRef>
          </c:tx>
          <c:invertIfNegative val="0"/>
          <c:val>
            <c:numRef>
              <c:f>DataSheet!$T$121:$AV$121</c:f>
              <c:numCache>
                <c:formatCode>General</c:formatCode>
                <c:ptCount val="29"/>
                <c:pt idx="4">
                  <c:v>0</c:v>
                </c:pt>
                <c:pt idx="19">
                  <c:v>0</c:v>
                </c:pt>
                <c:pt idx="24">
                  <c:v>0</c:v>
                </c:pt>
              </c:numCache>
            </c:numRef>
          </c:val>
          <c:extLst>
            <c:ext xmlns:c16="http://schemas.microsoft.com/office/drawing/2014/chart" uri="{C3380CC4-5D6E-409C-BE32-E72D297353CC}">
              <c16:uniqueId val="{00000001-C7A7-4031-9B57-838D2EF004F5}"/>
            </c:ext>
          </c:extLst>
        </c:ser>
        <c:ser>
          <c:idx val="2"/>
          <c:order val="2"/>
          <c:tx>
            <c:strRef>
              <c:f>DataSheet!$F$122:$S$122</c:f>
              <c:strCache>
                <c:ptCount val="14"/>
                <c:pt idx="0">
                  <c:v>Range</c:v>
                </c:pt>
                <c:pt idx="6">
                  <c:v>Nominal Value</c:v>
                </c:pt>
                <c:pt idx="13">
                  <c:v>Frequency</c:v>
                </c:pt>
              </c:strCache>
            </c:strRef>
          </c:tx>
          <c:invertIfNegative val="0"/>
          <c:val>
            <c:numRef>
              <c:f>DataSheet!$T$122:$AV$122</c:f>
              <c:numCache>
                <c:formatCode>General</c:formatCode>
                <c:ptCount val="29"/>
                <c:pt idx="4">
                  <c:v>1</c:v>
                </c:pt>
                <c:pt idx="9">
                  <c:v>2</c:v>
                </c:pt>
                <c:pt idx="14">
                  <c:v>3</c:v>
                </c:pt>
              </c:numCache>
            </c:numRef>
          </c:val>
          <c:extLst>
            <c:ext xmlns:c16="http://schemas.microsoft.com/office/drawing/2014/chart" uri="{C3380CC4-5D6E-409C-BE32-E72D297353CC}">
              <c16:uniqueId val="{00000002-C7A7-4031-9B57-838D2EF004F5}"/>
            </c:ext>
          </c:extLst>
        </c:ser>
        <c:ser>
          <c:idx val="3"/>
          <c:order val="3"/>
          <c:tx>
            <c:strRef>
              <c:f>DataSheet!$F$123:$S$123</c:f>
              <c:strCache>
                <c:ptCount val="14"/>
                <c:pt idx="0">
                  <c:v>50 Ω</c:v>
                </c:pt>
                <c:pt idx="6">
                  <c:v>0.2</c:v>
                </c:pt>
                <c:pt idx="10">
                  <c:v>Ω</c:v>
                </c:pt>
                <c:pt idx="13">
                  <c:v>-</c:v>
                </c:pt>
              </c:strCache>
            </c:strRef>
          </c:tx>
          <c:invertIfNegative val="0"/>
          <c:val>
            <c:numRef>
              <c:f>DataSheet!$T$123:$AV$123</c:f>
              <c:numCache>
                <c:formatCode>General</c:formatCode>
                <c:ptCount val="29"/>
                <c:pt idx="19" formatCode="0.000">
                  <c:v>0</c:v>
                </c:pt>
                <c:pt idx="24" formatCode="0.000">
                  <c:v>0</c:v>
                </c:pt>
              </c:numCache>
            </c:numRef>
          </c:val>
          <c:extLst>
            <c:ext xmlns:c16="http://schemas.microsoft.com/office/drawing/2014/chart" uri="{C3380CC4-5D6E-409C-BE32-E72D297353CC}">
              <c16:uniqueId val="{00000003-C7A7-4031-9B57-838D2EF004F5}"/>
            </c:ext>
          </c:extLst>
        </c:ser>
        <c:ser>
          <c:idx val="4"/>
          <c:order val="4"/>
          <c:tx>
            <c:strRef>
              <c:f>DataSheet!$F$124:$S$124</c:f>
              <c:strCache>
                <c:ptCount val="14"/>
                <c:pt idx="0">
                  <c:v>50 Ω</c:v>
                </c:pt>
                <c:pt idx="6">
                  <c:v>50</c:v>
                </c:pt>
                <c:pt idx="10">
                  <c:v>Ω</c:v>
                </c:pt>
                <c:pt idx="13">
                  <c:v>-</c:v>
                </c:pt>
              </c:strCache>
            </c:strRef>
          </c:tx>
          <c:invertIfNegative val="0"/>
          <c:val>
            <c:numRef>
              <c:f>DataSheet!$T$124:$AV$124</c:f>
              <c:numCache>
                <c:formatCode>General</c:formatCode>
                <c:ptCount val="29"/>
                <c:pt idx="19" formatCode="0.000">
                  <c:v>0</c:v>
                </c:pt>
                <c:pt idx="24" formatCode="0.000">
                  <c:v>0</c:v>
                </c:pt>
              </c:numCache>
            </c:numRef>
          </c:val>
          <c:extLst>
            <c:ext xmlns:c16="http://schemas.microsoft.com/office/drawing/2014/chart" uri="{C3380CC4-5D6E-409C-BE32-E72D297353CC}">
              <c16:uniqueId val="{00000004-C7A7-4031-9B57-838D2EF004F5}"/>
            </c:ext>
          </c:extLst>
        </c:ser>
        <c:ser>
          <c:idx val="5"/>
          <c:order val="5"/>
          <c:tx>
            <c:strRef>
              <c:f>DataSheet!$F$125:$S$125</c:f>
              <c:strCache>
                <c:ptCount val="14"/>
                <c:pt idx="0">
                  <c:v>500 Ω</c:v>
                </c:pt>
                <c:pt idx="6">
                  <c:v>0</c:v>
                </c:pt>
                <c:pt idx="10">
                  <c:v>Ω</c:v>
                </c:pt>
                <c:pt idx="13">
                  <c:v>-</c:v>
                </c:pt>
              </c:strCache>
            </c:strRef>
          </c:tx>
          <c:invertIfNegative val="0"/>
          <c:val>
            <c:numRef>
              <c:f>DataSheet!$T$125:$AV$125</c:f>
              <c:numCache>
                <c:formatCode>General</c:formatCode>
                <c:ptCount val="29"/>
                <c:pt idx="19" formatCode="0.00">
                  <c:v>0</c:v>
                </c:pt>
                <c:pt idx="24" formatCode="0.00">
                  <c:v>0</c:v>
                </c:pt>
              </c:numCache>
            </c:numRef>
          </c:val>
          <c:extLst>
            <c:ext xmlns:c16="http://schemas.microsoft.com/office/drawing/2014/chart" uri="{C3380CC4-5D6E-409C-BE32-E72D297353CC}">
              <c16:uniqueId val="{00000005-C7A7-4031-9B57-838D2EF004F5}"/>
            </c:ext>
          </c:extLst>
        </c:ser>
        <c:ser>
          <c:idx val="6"/>
          <c:order val="6"/>
          <c:tx>
            <c:strRef>
              <c:f>DataSheet!$F$126:$S$126</c:f>
              <c:strCache>
                <c:ptCount val="14"/>
                <c:pt idx="0">
                  <c:v>500 Ω</c:v>
                </c:pt>
                <c:pt idx="6">
                  <c:v>0.2</c:v>
                </c:pt>
                <c:pt idx="10">
                  <c:v>Ω</c:v>
                </c:pt>
                <c:pt idx="13">
                  <c:v>-</c:v>
                </c:pt>
              </c:strCache>
            </c:strRef>
          </c:tx>
          <c:invertIfNegative val="0"/>
          <c:val>
            <c:numRef>
              <c:f>DataSheet!$T$126:$AV$126</c:f>
              <c:numCache>
                <c:formatCode>General</c:formatCode>
                <c:ptCount val="29"/>
                <c:pt idx="19" formatCode="0.00">
                  <c:v>0</c:v>
                </c:pt>
                <c:pt idx="24" formatCode="0.00">
                  <c:v>0</c:v>
                </c:pt>
              </c:numCache>
            </c:numRef>
          </c:val>
          <c:extLst>
            <c:ext xmlns:c16="http://schemas.microsoft.com/office/drawing/2014/chart" uri="{C3380CC4-5D6E-409C-BE32-E72D297353CC}">
              <c16:uniqueId val="{00000006-C7A7-4031-9B57-838D2EF004F5}"/>
            </c:ext>
          </c:extLst>
        </c:ser>
        <c:ser>
          <c:idx val="7"/>
          <c:order val="7"/>
          <c:tx>
            <c:strRef>
              <c:f>DataSheet!$F$127:$S$127</c:f>
              <c:strCache>
                <c:ptCount val="14"/>
                <c:pt idx="0">
                  <c:v>500 Ω</c:v>
                </c:pt>
                <c:pt idx="6">
                  <c:v>500</c:v>
                </c:pt>
                <c:pt idx="10">
                  <c:v>Ω</c:v>
                </c:pt>
                <c:pt idx="13">
                  <c:v>-</c:v>
                </c:pt>
              </c:strCache>
            </c:strRef>
          </c:tx>
          <c:invertIfNegative val="0"/>
          <c:val>
            <c:numRef>
              <c:f>DataSheet!$T$127:$AV$127</c:f>
              <c:numCache>
                <c:formatCode>General</c:formatCode>
                <c:ptCount val="29"/>
                <c:pt idx="19" formatCode="0.00">
                  <c:v>0</c:v>
                </c:pt>
                <c:pt idx="24" formatCode="0.00">
                  <c:v>0</c:v>
                </c:pt>
              </c:numCache>
            </c:numRef>
          </c:val>
          <c:extLst>
            <c:ext xmlns:c16="http://schemas.microsoft.com/office/drawing/2014/chart" uri="{C3380CC4-5D6E-409C-BE32-E72D297353CC}">
              <c16:uniqueId val="{00000007-C7A7-4031-9B57-838D2EF004F5}"/>
            </c:ext>
          </c:extLst>
        </c:ser>
        <c:ser>
          <c:idx val="8"/>
          <c:order val="8"/>
          <c:tx>
            <c:strRef>
              <c:f>DataSheet!$F$128:$S$128</c:f>
              <c:strCache>
                <c:ptCount val="14"/>
                <c:pt idx="0">
                  <c:v>5 kΩ</c:v>
                </c:pt>
                <c:pt idx="6">
                  <c:v>5</c:v>
                </c:pt>
                <c:pt idx="10">
                  <c:v>kΩ</c:v>
                </c:pt>
                <c:pt idx="13">
                  <c:v>-</c:v>
                </c:pt>
              </c:strCache>
            </c:strRef>
          </c:tx>
          <c:invertIfNegative val="0"/>
          <c:val>
            <c:numRef>
              <c:f>DataSheet!$T$128:$AV$128</c:f>
              <c:numCache>
                <c:formatCode>General</c:formatCode>
                <c:ptCount val="29"/>
                <c:pt idx="19" formatCode="0.000">
                  <c:v>0</c:v>
                </c:pt>
                <c:pt idx="24" formatCode="0.0000">
                  <c:v>0</c:v>
                </c:pt>
              </c:numCache>
            </c:numRef>
          </c:val>
          <c:extLst>
            <c:ext xmlns:c16="http://schemas.microsoft.com/office/drawing/2014/chart" uri="{C3380CC4-5D6E-409C-BE32-E72D297353CC}">
              <c16:uniqueId val="{00000008-C7A7-4031-9B57-838D2EF004F5}"/>
            </c:ext>
          </c:extLst>
        </c:ser>
        <c:ser>
          <c:idx val="9"/>
          <c:order val="9"/>
          <c:tx>
            <c:strRef>
              <c:f>DataSheet!$F$129:$S$129</c:f>
              <c:strCache>
                <c:ptCount val="14"/>
                <c:pt idx="0">
                  <c:v>50 kΩ</c:v>
                </c:pt>
                <c:pt idx="6">
                  <c:v>50</c:v>
                </c:pt>
                <c:pt idx="10">
                  <c:v>kΩ</c:v>
                </c:pt>
                <c:pt idx="13">
                  <c:v>-</c:v>
                </c:pt>
              </c:strCache>
            </c:strRef>
          </c:tx>
          <c:invertIfNegative val="0"/>
          <c:val>
            <c:numRef>
              <c:f>DataSheet!$T$129:$AV$129</c:f>
              <c:numCache>
                <c:formatCode>General</c:formatCode>
                <c:ptCount val="29"/>
                <c:pt idx="19" formatCode="0.000">
                  <c:v>0</c:v>
                </c:pt>
                <c:pt idx="24" formatCode="0.000">
                  <c:v>0</c:v>
                </c:pt>
              </c:numCache>
            </c:numRef>
          </c:val>
          <c:extLst>
            <c:ext xmlns:c16="http://schemas.microsoft.com/office/drawing/2014/chart" uri="{C3380CC4-5D6E-409C-BE32-E72D297353CC}">
              <c16:uniqueId val="{00000009-C7A7-4031-9B57-838D2EF004F5}"/>
            </c:ext>
          </c:extLst>
        </c:ser>
        <c:ser>
          <c:idx val="10"/>
          <c:order val="10"/>
          <c:tx>
            <c:strRef>
              <c:f>DataSheet!$F$130:$S$130</c:f>
              <c:strCache>
                <c:ptCount val="14"/>
                <c:pt idx="0">
                  <c:v>500 kΩ</c:v>
                </c:pt>
                <c:pt idx="6">
                  <c:v>500</c:v>
                </c:pt>
                <c:pt idx="10">
                  <c:v>kΩ</c:v>
                </c:pt>
                <c:pt idx="13">
                  <c:v>-</c:v>
                </c:pt>
              </c:strCache>
            </c:strRef>
          </c:tx>
          <c:invertIfNegative val="0"/>
          <c:val>
            <c:numRef>
              <c:f>DataSheet!$T$130:$AV$130</c:f>
              <c:numCache>
                <c:formatCode>General</c:formatCode>
                <c:ptCount val="29"/>
                <c:pt idx="19" formatCode="0.00">
                  <c:v>0</c:v>
                </c:pt>
                <c:pt idx="24" formatCode="0.00">
                  <c:v>0</c:v>
                </c:pt>
              </c:numCache>
            </c:numRef>
          </c:val>
          <c:extLst>
            <c:ext xmlns:c16="http://schemas.microsoft.com/office/drawing/2014/chart" uri="{C3380CC4-5D6E-409C-BE32-E72D297353CC}">
              <c16:uniqueId val="{0000000A-C7A7-4031-9B57-838D2EF004F5}"/>
            </c:ext>
          </c:extLst>
        </c:ser>
        <c:ser>
          <c:idx val="11"/>
          <c:order val="11"/>
          <c:tx>
            <c:strRef>
              <c:f>DataSheet!$F$131:$S$131</c:f>
              <c:strCache>
                <c:ptCount val="14"/>
                <c:pt idx="0">
                  <c:v>5 MΩ</c:v>
                </c:pt>
                <c:pt idx="6">
                  <c:v>5</c:v>
                </c:pt>
                <c:pt idx="10">
                  <c:v>MΩ</c:v>
                </c:pt>
                <c:pt idx="13">
                  <c:v>-</c:v>
                </c:pt>
              </c:strCache>
            </c:strRef>
          </c:tx>
          <c:invertIfNegative val="0"/>
          <c:val>
            <c:numRef>
              <c:f>DataSheet!$T$131:$AV$131</c:f>
              <c:numCache>
                <c:formatCode>General</c:formatCode>
                <c:ptCount val="29"/>
                <c:pt idx="19" formatCode="0.0000">
                  <c:v>0</c:v>
                </c:pt>
                <c:pt idx="24" formatCode="0.0000">
                  <c:v>0</c:v>
                </c:pt>
              </c:numCache>
            </c:numRef>
          </c:val>
          <c:extLst>
            <c:ext xmlns:c16="http://schemas.microsoft.com/office/drawing/2014/chart" uri="{C3380CC4-5D6E-409C-BE32-E72D297353CC}">
              <c16:uniqueId val="{0000000B-C7A7-4031-9B57-838D2EF004F5}"/>
            </c:ext>
          </c:extLst>
        </c:ser>
        <c:ser>
          <c:idx val="12"/>
          <c:order val="12"/>
          <c:tx>
            <c:strRef>
              <c:f>DataSheet!$F$132:$S$132</c:f>
              <c:strCache>
                <c:ptCount val="14"/>
                <c:pt idx="0">
                  <c:v>30 MΩ</c:v>
                </c:pt>
                <c:pt idx="6">
                  <c:v>30</c:v>
                </c:pt>
                <c:pt idx="10">
                  <c:v>MΩ</c:v>
                </c:pt>
                <c:pt idx="13">
                  <c:v>-</c:v>
                </c:pt>
              </c:strCache>
            </c:strRef>
          </c:tx>
          <c:invertIfNegative val="0"/>
          <c:val>
            <c:numRef>
              <c:f>DataSheet!$T$132:$AV$132</c:f>
              <c:numCache>
                <c:formatCode>General</c:formatCode>
                <c:ptCount val="29"/>
                <c:pt idx="19" formatCode="0.000">
                  <c:v>0</c:v>
                </c:pt>
                <c:pt idx="24" formatCode="0.000">
                  <c:v>0</c:v>
                </c:pt>
              </c:numCache>
            </c:numRef>
          </c:val>
          <c:extLst>
            <c:ext xmlns:c16="http://schemas.microsoft.com/office/drawing/2014/chart" uri="{C3380CC4-5D6E-409C-BE32-E72D297353CC}">
              <c16:uniqueId val="{0000000C-C7A7-4031-9B57-838D2EF004F5}"/>
            </c:ext>
          </c:extLst>
        </c:ser>
        <c:ser>
          <c:idx val="13"/>
          <c:order val="13"/>
          <c:tx>
            <c:strRef>
              <c:f>DataSheet!$F$133:$S$133</c:f>
              <c:strCache>
                <c:ptCount val="14"/>
                <c:pt idx="0">
                  <c:v>500 MΩ</c:v>
                </c:pt>
                <c:pt idx="6">
                  <c:v>300</c:v>
                </c:pt>
                <c:pt idx="10">
                  <c:v>MΩ</c:v>
                </c:pt>
                <c:pt idx="13">
                  <c:v>-</c:v>
                </c:pt>
              </c:strCache>
            </c:strRef>
          </c:tx>
          <c:invertIfNegative val="0"/>
          <c:val>
            <c:numRef>
              <c:f>DataSheet!$T$133:$AV$133</c:f>
              <c:numCache>
                <c:formatCode>General</c:formatCode>
                <c:ptCount val="29"/>
                <c:pt idx="19" formatCode="0.0">
                  <c:v>0</c:v>
                </c:pt>
                <c:pt idx="24" formatCode="0.0">
                  <c:v>0</c:v>
                </c:pt>
              </c:numCache>
            </c:numRef>
          </c:val>
          <c:extLst>
            <c:ext xmlns:c16="http://schemas.microsoft.com/office/drawing/2014/chart" uri="{C3380CC4-5D6E-409C-BE32-E72D297353CC}">
              <c16:uniqueId val="{0000000D-C7A7-4031-9B57-838D2EF004F5}"/>
            </c:ext>
          </c:extLst>
        </c:ser>
        <c:dLbls>
          <c:showLegendKey val="0"/>
          <c:showVal val="0"/>
          <c:showCatName val="0"/>
          <c:showSerName val="0"/>
          <c:showPercent val="0"/>
          <c:showBubbleSize val="0"/>
        </c:dLbls>
        <c:gapWidth val="150"/>
        <c:axId val="1394223328"/>
        <c:axId val="1394218976"/>
      </c:barChart>
      <c:catAx>
        <c:axId val="1394223328"/>
        <c:scaling>
          <c:orientation val="minMax"/>
        </c:scaling>
        <c:delete val="0"/>
        <c:axPos val="b"/>
        <c:majorTickMark val="out"/>
        <c:minorTickMark val="none"/>
        <c:tickLblPos val="nextTo"/>
        <c:crossAx val="1394218976"/>
        <c:crosses val="autoZero"/>
        <c:auto val="1"/>
        <c:lblAlgn val="ctr"/>
        <c:lblOffset val="100"/>
        <c:noMultiLvlLbl val="0"/>
      </c:catAx>
      <c:valAx>
        <c:axId val="1394218976"/>
        <c:scaling>
          <c:orientation val="minMax"/>
        </c:scaling>
        <c:delete val="0"/>
        <c:axPos val="l"/>
        <c:majorGridlines/>
        <c:numFmt formatCode="General" sourceLinked="1"/>
        <c:majorTickMark val="out"/>
        <c:minorTickMark val="none"/>
        <c:tickLblPos val="nextTo"/>
        <c:crossAx val="1394223328"/>
        <c:crosses val="autoZero"/>
        <c:crossBetween val="between"/>
      </c:valAx>
    </c:plotArea>
    <c:legend>
      <c:legendPos val="r"/>
      <c:overlay val="0"/>
    </c:legend>
    <c:plotVisOnly val="1"/>
    <c:dispBlanksAs val="gap"/>
    <c:showDLblsOverMax val="0"/>
  </c:chart>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2.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100-000000000000}">
  <sheetPr/>
  <sheetViews>
    <sheetView zoomScale="132" workbookViewId="0"/>
  </sheetViews>
  <pageMargins left="0.7" right="0.7" top="0.75" bottom="0.75" header="0.3" footer="0.3"/>
  <drawing r:id="rId1"/>
</chartsheet>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 Id="rId4"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2</xdr:col>
      <xdr:colOff>38965</xdr:colOff>
      <xdr:row>7</xdr:row>
      <xdr:rowOff>41563</xdr:rowOff>
    </xdr:from>
    <xdr:to>
      <xdr:col>25</xdr:col>
      <xdr:colOff>186170</xdr:colOff>
      <xdr:row>7</xdr:row>
      <xdr:rowOff>41564</xdr:rowOff>
    </xdr:to>
    <xdr:cxnSp macro="">
      <xdr:nvCxnSpPr>
        <xdr:cNvPr id="2" name="AutoShape 1">
          <a:extLst>
            <a:ext uri="{FF2B5EF4-FFF2-40B4-BE49-F238E27FC236}">
              <a16:creationId xmlns:a16="http://schemas.microsoft.com/office/drawing/2014/main" id="{00000000-0008-0000-0000-000002000000}"/>
            </a:ext>
          </a:extLst>
        </xdr:cNvPr>
        <xdr:cNvCxnSpPr>
          <a:cxnSpLocks noChangeShapeType="1"/>
        </xdr:cNvCxnSpPr>
      </xdr:nvCxnSpPr>
      <xdr:spPr>
        <a:xfrm flipV="1">
          <a:off x="677140" y="1279813"/>
          <a:ext cx="6062230" cy="1"/>
        </a:xfrm>
        <a:prstGeom prst="straightConnector1">
          <a:avLst/>
        </a:prstGeom>
        <a:noFill/>
        <a:ln w="28575">
          <a:solidFill>
            <a:srgbClr val="336600"/>
          </a:solidFill>
          <a:round/>
        </a:ln>
        <a:effectLst>
          <a:outerShdw dist="35921" dir="2700000" algn="ctr" rotWithShape="0">
            <a:srgbClr val="808080"/>
          </a:outerShdw>
        </a:effectLst>
      </xdr:spPr>
    </xdr:cxnSp>
    <xdr:clientData/>
  </xdr:twoCellAnchor>
  <xdr:twoCellAnchor>
    <xdr:from>
      <xdr:col>2</xdr:col>
      <xdr:colOff>38965</xdr:colOff>
      <xdr:row>58</xdr:row>
      <xdr:rowOff>38100</xdr:rowOff>
    </xdr:from>
    <xdr:to>
      <xdr:col>25</xdr:col>
      <xdr:colOff>171450</xdr:colOff>
      <xdr:row>58</xdr:row>
      <xdr:rowOff>39688</xdr:rowOff>
    </xdr:to>
    <xdr:cxnSp macro="">
      <xdr:nvCxnSpPr>
        <xdr:cNvPr id="22" name="AutoShape 1">
          <a:extLst>
            <a:ext uri="{FF2B5EF4-FFF2-40B4-BE49-F238E27FC236}">
              <a16:creationId xmlns:a16="http://schemas.microsoft.com/office/drawing/2014/main" id="{00000000-0008-0000-0000-000016000000}"/>
            </a:ext>
          </a:extLst>
        </xdr:cNvPr>
        <xdr:cNvCxnSpPr>
          <a:cxnSpLocks noChangeShapeType="1"/>
        </xdr:cNvCxnSpPr>
      </xdr:nvCxnSpPr>
      <xdr:spPr>
        <a:xfrm>
          <a:off x="677140" y="10544175"/>
          <a:ext cx="6047510" cy="1588"/>
        </a:xfrm>
        <a:prstGeom prst="straightConnector1">
          <a:avLst/>
        </a:prstGeom>
        <a:noFill/>
        <a:ln w="28575">
          <a:solidFill>
            <a:srgbClr val="336600"/>
          </a:solidFill>
          <a:round/>
        </a:ln>
        <a:effectLst>
          <a:outerShdw dist="35921" dir="2700000" algn="ctr" rotWithShape="0">
            <a:srgbClr val="808080"/>
          </a:outerShdw>
        </a:effectLst>
      </xdr:spPr>
    </xdr:cxnSp>
    <xdr:clientData/>
  </xdr:twoCellAnchor>
  <xdr:oneCellAnchor>
    <xdr:from>
      <xdr:col>9</xdr:col>
      <xdr:colOff>230141</xdr:colOff>
      <xdr:row>59</xdr:row>
      <xdr:rowOff>188565</xdr:rowOff>
    </xdr:from>
    <xdr:ext cx="2458494" cy="386644"/>
    <xdr:sp macro="" textlink="">
      <xdr:nvSpPr>
        <xdr:cNvPr id="23" name="TextBox 22">
          <a:extLst>
            <a:ext uri="{FF2B5EF4-FFF2-40B4-BE49-F238E27FC236}">
              <a16:creationId xmlns:a16="http://schemas.microsoft.com/office/drawing/2014/main" id="{00000000-0008-0000-0000-000017000000}"/>
            </a:ext>
          </a:extLst>
        </xdr:cNvPr>
        <xdr:cNvSpPr txBox="1"/>
      </xdr:nvSpPr>
      <xdr:spPr>
        <a:xfrm>
          <a:off x="2668541" y="10885140"/>
          <a:ext cx="2458494" cy="386644"/>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pPr algn="ctr"/>
          <a:r>
            <a:rPr lang="en-US" sz="1000">
              <a:latin typeface="Arial Narrow" panose="020B0606020202030204" pitchFamily="34" charset="0"/>
            </a:rPr>
            <a:t>This report shall not be reproduced except in full,</a:t>
          </a:r>
        </a:p>
        <a:p>
          <a:pPr algn="ctr"/>
          <a:r>
            <a:rPr lang="en-US" sz="1000">
              <a:latin typeface="Arial Narrow" panose="020B0606020202030204" pitchFamily="34" charset="0"/>
            </a:rPr>
            <a:t>without the written approval from the laboratory</a:t>
          </a:r>
        </a:p>
      </xdr:txBody>
    </xdr:sp>
    <xdr:clientData/>
  </xdr:oneCellAnchor>
  <xdr:oneCellAnchor>
    <xdr:from>
      <xdr:col>2</xdr:col>
      <xdr:colOff>9525</xdr:colOff>
      <xdr:row>58</xdr:row>
      <xdr:rowOff>93677</xdr:rowOff>
    </xdr:from>
    <xdr:ext cx="2283317" cy="975267"/>
    <xdr:sp macro="" textlink="">
      <xdr:nvSpPr>
        <xdr:cNvPr id="24" name="TextBox 15">
          <a:extLst>
            <a:ext uri="{FF2B5EF4-FFF2-40B4-BE49-F238E27FC236}">
              <a16:creationId xmlns:a16="http://schemas.microsoft.com/office/drawing/2014/main" id="{00000000-0008-0000-0000-000018000000}"/>
            </a:ext>
          </a:extLst>
        </xdr:cNvPr>
        <xdr:cNvSpPr txBox="1"/>
      </xdr:nvSpPr>
      <xdr:spPr>
        <a:xfrm>
          <a:off x="724420" y="10443022"/>
          <a:ext cx="2283317" cy="97526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r>
            <a:rPr lang="en-US" sz="1000">
              <a:solidFill>
                <a:schemeClr val="tx1"/>
              </a:solidFill>
              <a:effectLst/>
              <a:latin typeface="Arial Narrow" panose="020B0606020202030204" pitchFamily="34" charset="0"/>
              <a:ea typeface="+mn-ea"/>
              <a:cs typeface="+mn-cs"/>
            </a:rPr>
            <a:t>Block 1 Lot 49, Jubilation Commercial Strip, </a:t>
          </a:r>
          <a:endParaRPr lang="en-PH" sz="1000">
            <a:effectLst/>
            <a:latin typeface="Arial Narrow" panose="020B0606020202030204" pitchFamily="34" charset="0"/>
          </a:endParaRPr>
        </a:p>
        <a:p>
          <a:r>
            <a:rPr lang="en-US" sz="1000">
              <a:solidFill>
                <a:schemeClr val="tx1"/>
              </a:solidFill>
              <a:effectLst/>
              <a:latin typeface="Arial Narrow" panose="020B0606020202030204" pitchFamily="34" charset="0"/>
              <a:ea typeface="+mn-ea"/>
              <a:cs typeface="+mn-cs"/>
            </a:rPr>
            <a:t>Brgy. Zapote, Biñan City, Laguna 4024 Phils.</a:t>
          </a:r>
          <a:endParaRPr lang="en-PH" sz="1000">
            <a:effectLst/>
            <a:latin typeface="Arial Narrow" panose="020B0606020202030204" pitchFamily="34" charset="0"/>
          </a:endParaRPr>
        </a:p>
        <a:p>
          <a:r>
            <a:rPr lang="en-US" sz="1000">
              <a:solidFill>
                <a:schemeClr val="tx1"/>
              </a:solidFill>
              <a:effectLst/>
              <a:latin typeface="Arial Narrow" panose="020B0606020202030204" pitchFamily="34" charset="0"/>
              <a:ea typeface="+mn-ea"/>
              <a:cs typeface="+mn-cs"/>
            </a:rPr>
            <a:t>Contact Nos.: (049)591-0807;</a:t>
          </a:r>
          <a:endParaRPr lang="en-PH" sz="1000">
            <a:effectLst/>
            <a:latin typeface="Arial Narrow" panose="020B0606020202030204" pitchFamily="34" charset="0"/>
          </a:endParaRPr>
        </a:p>
        <a:p>
          <a:r>
            <a:rPr lang="en-US" sz="1000">
              <a:solidFill>
                <a:schemeClr val="tx1"/>
              </a:solidFill>
              <a:effectLst/>
              <a:latin typeface="Arial Narrow" panose="020B0606020202030204" pitchFamily="34" charset="0"/>
              <a:ea typeface="+mn-ea"/>
              <a:cs typeface="+mn-cs"/>
            </a:rPr>
            <a:t>                 09171700815; 09171700231</a:t>
          </a:r>
          <a:endParaRPr lang="en-PH" sz="1000">
            <a:effectLst/>
            <a:latin typeface="Arial Narrow" panose="020B0606020202030204" pitchFamily="34" charset="0"/>
          </a:endParaRPr>
        </a:p>
        <a:p>
          <a:r>
            <a:rPr lang="en-US" sz="1000">
              <a:solidFill>
                <a:schemeClr val="tx1"/>
              </a:solidFill>
              <a:effectLst/>
              <a:latin typeface="Arial Narrow" panose="020B0606020202030204" pitchFamily="34" charset="0"/>
              <a:ea typeface="+mn-ea"/>
              <a:cs typeface="+mn-cs"/>
            </a:rPr>
            <a:t>Email: admin@sonju.ph</a:t>
          </a:r>
          <a:endParaRPr lang="en-PH" sz="1000">
            <a:effectLst/>
            <a:latin typeface="Arial Narrow" panose="020B0606020202030204" pitchFamily="34" charset="0"/>
          </a:endParaRPr>
        </a:p>
        <a:p>
          <a:r>
            <a:rPr lang="en-US" sz="1000">
              <a:solidFill>
                <a:schemeClr val="tx1"/>
              </a:solidFill>
              <a:effectLst/>
              <a:latin typeface="Arial Narrow" panose="020B0606020202030204" pitchFamily="34" charset="0"/>
              <a:ea typeface="+mn-ea"/>
              <a:cs typeface="+mn-cs"/>
            </a:rPr>
            <a:t>Website:</a:t>
          </a:r>
          <a:r>
            <a:rPr lang="en-US" sz="1000" baseline="0">
              <a:solidFill>
                <a:schemeClr val="tx1"/>
              </a:solidFill>
              <a:effectLst/>
              <a:latin typeface="Arial Narrow" panose="020B0606020202030204" pitchFamily="34" charset="0"/>
              <a:ea typeface="+mn-ea"/>
              <a:cs typeface="+mn-cs"/>
            </a:rPr>
            <a:t> www.sonjuengineering.com</a:t>
          </a:r>
          <a:endParaRPr lang="en-PH" sz="1000">
            <a:effectLst/>
            <a:latin typeface="Arial Narrow" panose="020B0606020202030204" pitchFamily="34" charset="0"/>
          </a:endParaRPr>
        </a:p>
      </xdr:txBody>
    </xdr:sp>
    <xdr:clientData/>
  </xdr:oneCellAnchor>
  <xdr:twoCellAnchor>
    <xdr:from>
      <xdr:col>2</xdr:col>
      <xdr:colOff>38965</xdr:colOff>
      <xdr:row>112</xdr:row>
      <xdr:rowOff>38100</xdr:rowOff>
    </xdr:from>
    <xdr:to>
      <xdr:col>25</xdr:col>
      <xdr:colOff>171450</xdr:colOff>
      <xdr:row>112</xdr:row>
      <xdr:rowOff>39688</xdr:rowOff>
    </xdr:to>
    <xdr:cxnSp macro="">
      <xdr:nvCxnSpPr>
        <xdr:cNvPr id="34" name="AutoShape 1">
          <a:extLst>
            <a:ext uri="{FF2B5EF4-FFF2-40B4-BE49-F238E27FC236}">
              <a16:creationId xmlns:a16="http://schemas.microsoft.com/office/drawing/2014/main" id="{00000000-0008-0000-0000-000022000000}"/>
            </a:ext>
          </a:extLst>
        </xdr:cNvPr>
        <xdr:cNvCxnSpPr>
          <a:cxnSpLocks noChangeShapeType="1"/>
        </xdr:cNvCxnSpPr>
      </xdr:nvCxnSpPr>
      <xdr:spPr>
        <a:xfrm>
          <a:off x="677140" y="20659725"/>
          <a:ext cx="6047510" cy="1588"/>
        </a:xfrm>
        <a:prstGeom prst="straightConnector1">
          <a:avLst/>
        </a:prstGeom>
        <a:noFill/>
        <a:ln w="28575">
          <a:solidFill>
            <a:srgbClr val="336600"/>
          </a:solidFill>
          <a:round/>
        </a:ln>
        <a:effectLst>
          <a:outerShdw dist="35921" dir="2700000" algn="ctr" rotWithShape="0">
            <a:srgbClr val="808080"/>
          </a:outerShdw>
        </a:effectLst>
      </xdr:spPr>
    </xdr:cxnSp>
    <xdr:clientData/>
  </xdr:twoCellAnchor>
  <xdr:oneCellAnchor>
    <xdr:from>
      <xdr:col>9</xdr:col>
      <xdr:colOff>230141</xdr:colOff>
      <xdr:row>113</xdr:row>
      <xdr:rowOff>188565</xdr:rowOff>
    </xdr:from>
    <xdr:ext cx="2458494" cy="386644"/>
    <xdr:sp macro="" textlink="">
      <xdr:nvSpPr>
        <xdr:cNvPr id="35" name="TextBox 34">
          <a:extLst>
            <a:ext uri="{FF2B5EF4-FFF2-40B4-BE49-F238E27FC236}">
              <a16:creationId xmlns:a16="http://schemas.microsoft.com/office/drawing/2014/main" id="{00000000-0008-0000-0000-000023000000}"/>
            </a:ext>
          </a:extLst>
        </xdr:cNvPr>
        <xdr:cNvSpPr txBox="1"/>
      </xdr:nvSpPr>
      <xdr:spPr>
        <a:xfrm>
          <a:off x="2668541" y="21000690"/>
          <a:ext cx="2458494" cy="386644"/>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pPr algn="ctr"/>
          <a:r>
            <a:rPr lang="en-US" sz="1000">
              <a:latin typeface="Arial Narrow" panose="020B0606020202030204" pitchFamily="34" charset="0"/>
            </a:rPr>
            <a:t>This report shall not be reproduced except in full,</a:t>
          </a:r>
        </a:p>
        <a:p>
          <a:pPr algn="ctr"/>
          <a:r>
            <a:rPr lang="en-US" sz="1000">
              <a:latin typeface="Arial Narrow" panose="020B0606020202030204" pitchFamily="34" charset="0"/>
            </a:rPr>
            <a:t>without the written approval from the laboratory</a:t>
          </a:r>
        </a:p>
      </xdr:txBody>
    </xdr:sp>
    <xdr:clientData/>
  </xdr:oneCellAnchor>
  <xdr:oneCellAnchor>
    <xdr:from>
      <xdr:col>2</xdr:col>
      <xdr:colOff>9525</xdr:colOff>
      <xdr:row>112</xdr:row>
      <xdr:rowOff>93677</xdr:rowOff>
    </xdr:from>
    <xdr:ext cx="2283317" cy="975267"/>
    <xdr:sp macro="" textlink="">
      <xdr:nvSpPr>
        <xdr:cNvPr id="36" name="TextBox 15">
          <a:extLst>
            <a:ext uri="{FF2B5EF4-FFF2-40B4-BE49-F238E27FC236}">
              <a16:creationId xmlns:a16="http://schemas.microsoft.com/office/drawing/2014/main" id="{00000000-0008-0000-0000-000024000000}"/>
            </a:ext>
          </a:extLst>
        </xdr:cNvPr>
        <xdr:cNvSpPr txBox="1"/>
      </xdr:nvSpPr>
      <xdr:spPr>
        <a:xfrm>
          <a:off x="724420" y="20767430"/>
          <a:ext cx="2283317" cy="97526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r>
            <a:rPr lang="en-US" sz="1000">
              <a:solidFill>
                <a:schemeClr val="tx1"/>
              </a:solidFill>
              <a:effectLst/>
              <a:latin typeface="Arial Narrow" panose="020B0606020202030204" pitchFamily="34" charset="0"/>
              <a:ea typeface="+mn-ea"/>
              <a:cs typeface="+mn-cs"/>
            </a:rPr>
            <a:t>Block 1 Lot 49, Jubilation Commercial Strip, </a:t>
          </a:r>
          <a:endParaRPr lang="en-PH" sz="1000">
            <a:effectLst/>
            <a:latin typeface="Arial Narrow" panose="020B0606020202030204" pitchFamily="34" charset="0"/>
          </a:endParaRPr>
        </a:p>
        <a:p>
          <a:r>
            <a:rPr lang="en-US" sz="1000">
              <a:solidFill>
                <a:schemeClr val="tx1"/>
              </a:solidFill>
              <a:effectLst/>
              <a:latin typeface="Arial Narrow" panose="020B0606020202030204" pitchFamily="34" charset="0"/>
              <a:ea typeface="+mn-ea"/>
              <a:cs typeface="+mn-cs"/>
            </a:rPr>
            <a:t>Brgy. Zapote, Biñan City, Laguna 4024 Phils.</a:t>
          </a:r>
          <a:endParaRPr lang="en-PH" sz="1000">
            <a:effectLst/>
            <a:latin typeface="Arial Narrow" panose="020B0606020202030204" pitchFamily="34" charset="0"/>
          </a:endParaRPr>
        </a:p>
        <a:p>
          <a:r>
            <a:rPr lang="en-US" sz="1000">
              <a:solidFill>
                <a:schemeClr val="tx1"/>
              </a:solidFill>
              <a:effectLst/>
              <a:latin typeface="Arial Narrow" panose="020B0606020202030204" pitchFamily="34" charset="0"/>
              <a:ea typeface="+mn-ea"/>
              <a:cs typeface="+mn-cs"/>
            </a:rPr>
            <a:t>Contact Nos.: (049)591-0807;</a:t>
          </a:r>
          <a:endParaRPr lang="en-PH" sz="1000">
            <a:effectLst/>
            <a:latin typeface="Arial Narrow" panose="020B0606020202030204" pitchFamily="34" charset="0"/>
          </a:endParaRPr>
        </a:p>
        <a:p>
          <a:r>
            <a:rPr lang="en-US" sz="1000">
              <a:solidFill>
                <a:schemeClr val="tx1"/>
              </a:solidFill>
              <a:effectLst/>
              <a:latin typeface="Arial Narrow" panose="020B0606020202030204" pitchFamily="34" charset="0"/>
              <a:ea typeface="+mn-ea"/>
              <a:cs typeface="+mn-cs"/>
            </a:rPr>
            <a:t>                 09171700815; 09171700231</a:t>
          </a:r>
          <a:endParaRPr lang="en-PH" sz="1000">
            <a:effectLst/>
            <a:latin typeface="Arial Narrow" panose="020B0606020202030204" pitchFamily="34" charset="0"/>
          </a:endParaRPr>
        </a:p>
        <a:p>
          <a:r>
            <a:rPr lang="en-US" sz="1000">
              <a:solidFill>
                <a:schemeClr val="tx1"/>
              </a:solidFill>
              <a:effectLst/>
              <a:latin typeface="Arial Narrow" panose="020B0606020202030204" pitchFamily="34" charset="0"/>
              <a:ea typeface="+mn-ea"/>
              <a:cs typeface="+mn-cs"/>
            </a:rPr>
            <a:t>Email: admin@sonju.ph</a:t>
          </a:r>
          <a:endParaRPr lang="en-PH" sz="1000">
            <a:effectLst/>
            <a:latin typeface="Arial Narrow" panose="020B0606020202030204" pitchFamily="34" charset="0"/>
          </a:endParaRPr>
        </a:p>
        <a:p>
          <a:r>
            <a:rPr lang="en-US" sz="1000">
              <a:solidFill>
                <a:schemeClr val="tx1"/>
              </a:solidFill>
              <a:effectLst/>
              <a:latin typeface="Arial Narrow" panose="020B0606020202030204" pitchFamily="34" charset="0"/>
              <a:ea typeface="+mn-ea"/>
              <a:cs typeface="+mn-cs"/>
            </a:rPr>
            <a:t>Website:</a:t>
          </a:r>
          <a:r>
            <a:rPr lang="en-US" sz="1000" baseline="0">
              <a:solidFill>
                <a:schemeClr val="tx1"/>
              </a:solidFill>
              <a:effectLst/>
              <a:latin typeface="Arial Narrow" panose="020B0606020202030204" pitchFamily="34" charset="0"/>
              <a:ea typeface="+mn-ea"/>
              <a:cs typeface="+mn-cs"/>
            </a:rPr>
            <a:t> www.sonjuengineering.com</a:t>
          </a:r>
          <a:endParaRPr lang="en-PH" sz="1000">
            <a:effectLst/>
            <a:latin typeface="Arial Narrow" panose="020B0606020202030204" pitchFamily="34" charset="0"/>
          </a:endParaRPr>
        </a:p>
      </xdr:txBody>
    </xdr:sp>
    <xdr:clientData/>
  </xdr:oneCellAnchor>
  <xdr:twoCellAnchor>
    <xdr:from>
      <xdr:col>2</xdr:col>
      <xdr:colOff>38965</xdr:colOff>
      <xdr:row>164</xdr:row>
      <xdr:rowOff>38100</xdr:rowOff>
    </xdr:from>
    <xdr:to>
      <xdr:col>25</xdr:col>
      <xdr:colOff>171450</xdr:colOff>
      <xdr:row>164</xdr:row>
      <xdr:rowOff>39688</xdr:rowOff>
    </xdr:to>
    <xdr:cxnSp macro="">
      <xdr:nvCxnSpPr>
        <xdr:cNvPr id="37" name="AutoShape 1">
          <a:extLst>
            <a:ext uri="{FF2B5EF4-FFF2-40B4-BE49-F238E27FC236}">
              <a16:creationId xmlns:a16="http://schemas.microsoft.com/office/drawing/2014/main" id="{00000000-0008-0000-0000-000025000000}"/>
            </a:ext>
          </a:extLst>
        </xdr:cNvPr>
        <xdr:cNvCxnSpPr>
          <a:cxnSpLocks noChangeShapeType="1"/>
        </xdr:cNvCxnSpPr>
      </xdr:nvCxnSpPr>
      <xdr:spPr>
        <a:xfrm>
          <a:off x="677140" y="30946725"/>
          <a:ext cx="6047510" cy="1588"/>
        </a:xfrm>
        <a:prstGeom prst="straightConnector1">
          <a:avLst/>
        </a:prstGeom>
        <a:noFill/>
        <a:ln w="28575">
          <a:solidFill>
            <a:srgbClr val="336600"/>
          </a:solidFill>
          <a:round/>
        </a:ln>
        <a:effectLst>
          <a:outerShdw dist="35921" dir="2700000" algn="ctr" rotWithShape="0">
            <a:srgbClr val="808080"/>
          </a:outerShdw>
        </a:effectLst>
      </xdr:spPr>
    </xdr:cxnSp>
    <xdr:clientData/>
  </xdr:twoCellAnchor>
  <xdr:oneCellAnchor>
    <xdr:from>
      <xdr:col>9</xdr:col>
      <xdr:colOff>230141</xdr:colOff>
      <xdr:row>165</xdr:row>
      <xdr:rowOff>188565</xdr:rowOff>
    </xdr:from>
    <xdr:ext cx="2458494" cy="386644"/>
    <xdr:sp macro="" textlink="">
      <xdr:nvSpPr>
        <xdr:cNvPr id="38" name="TextBox 37">
          <a:extLst>
            <a:ext uri="{FF2B5EF4-FFF2-40B4-BE49-F238E27FC236}">
              <a16:creationId xmlns:a16="http://schemas.microsoft.com/office/drawing/2014/main" id="{00000000-0008-0000-0000-000026000000}"/>
            </a:ext>
          </a:extLst>
        </xdr:cNvPr>
        <xdr:cNvSpPr txBox="1"/>
      </xdr:nvSpPr>
      <xdr:spPr>
        <a:xfrm>
          <a:off x="2668541" y="31287690"/>
          <a:ext cx="2458494" cy="386644"/>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pPr algn="ctr"/>
          <a:r>
            <a:rPr lang="en-US" sz="1000">
              <a:latin typeface="Arial Narrow" panose="020B0606020202030204" pitchFamily="34" charset="0"/>
            </a:rPr>
            <a:t>This report shall not be reproduced except in full,</a:t>
          </a:r>
        </a:p>
        <a:p>
          <a:pPr algn="ctr"/>
          <a:r>
            <a:rPr lang="en-US" sz="1000">
              <a:latin typeface="Arial Narrow" panose="020B0606020202030204" pitchFamily="34" charset="0"/>
            </a:rPr>
            <a:t>without the written approval from the laboratory</a:t>
          </a:r>
        </a:p>
      </xdr:txBody>
    </xdr:sp>
    <xdr:clientData/>
  </xdr:oneCellAnchor>
  <xdr:oneCellAnchor>
    <xdr:from>
      <xdr:col>2</xdr:col>
      <xdr:colOff>9525</xdr:colOff>
      <xdr:row>164</xdr:row>
      <xdr:rowOff>93677</xdr:rowOff>
    </xdr:from>
    <xdr:ext cx="2283317" cy="975267"/>
    <xdr:sp macro="" textlink="">
      <xdr:nvSpPr>
        <xdr:cNvPr id="39" name="TextBox 15">
          <a:extLst>
            <a:ext uri="{FF2B5EF4-FFF2-40B4-BE49-F238E27FC236}">
              <a16:creationId xmlns:a16="http://schemas.microsoft.com/office/drawing/2014/main" id="{00000000-0008-0000-0000-000027000000}"/>
            </a:ext>
          </a:extLst>
        </xdr:cNvPr>
        <xdr:cNvSpPr txBox="1"/>
      </xdr:nvSpPr>
      <xdr:spPr>
        <a:xfrm>
          <a:off x="724420" y="31075212"/>
          <a:ext cx="2283317" cy="97526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r>
            <a:rPr lang="en-US" sz="1000">
              <a:solidFill>
                <a:schemeClr val="tx1"/>
              </a:solidFill>
              <a:effectLst/>
              <a:latin typeface="Arial Narrow" panose="020B0606020202030204" pitchFamily="34" charset="0"/>
              <a:ea typeface="+mn-ea"/>
              <a:cs typeface="+mn-cs"/>
            </a:rPr>
            <a:t>Block 1 Lot 49, Jubilation Commercial Strip, </a:t>
          </a:r>
          <a:endParaRPr lang="en-PH" sz="1000">
            <a:effectLst/>
            <a:latin typeface="Arial Narrow" panose="020B0606020202030204" pitchFamily="34" charset="0"/>
          </a:endParaRPr>
        </a:p>
        <a:p>
          <a:r>
            <a:rPr lang="en-US" sz="1000">
              <a:solidFill>
                <a:schemeClr val="tx1"/>
              </a:solidFill>
              <a:effectLst/>
              <a:latin typeface="Arial Narrow" panose="020B0606020202030204" pitchFamily="34" charset="0"/>
              <a:ea typeface="+mn-ea"/>
              <a:cs typeface="+mn-cs"/>
            </a:rPr>
            <a:t>Brgy. Zapote, Biñan City, Laguna 4024 Phils.</a:t>
          </a:r>
          <a:endParaRPr lang="en-PH" sz="1000">
            <a:effectLst/>
            <a:latin typeface="Arial Narrow" panose="020B0606020202030204" pitchFamily="34" charset="0"/>
          </a:endParaRPr>
        </a:p>
        <a:p>
          <a:r>
            <a:rPr lang="en-US" sz="1000">
              <a:solidFill>
                <a:schemeClr val="tx1"/>
              </a:solidFill>
              <a:effectLst/>
              <a:latin typeface="Arial Narrow" panose="020B0606020202030204" pitchFamily="34" charset="0"/>
              <a:ea typeface="+mn-ea"/>
              <a:cs typeface="+mn-cs"/>
            </a:rPr>
            <a:t>Contact Nos.: (049)591-0807;</a:t>
          </a:r>
          <a:endParaRPr lang="en-PH" sz="1000">
            <a:effectLst/>
            <a:latin typeface="Arial Narrow" panose="020B0606020202030204" pitchFamily="34" charset="0"/>
          </a:endParaRPr>
        </a:p>
        <a:p>
          <a:r>
            <a:rPr lang="en-US" sz="1000">
              <a:solidFill>
                <a:schemeClr val="tx1"/>
              </a:solidFill>
              <a:effectLst/>
              <a:latin typeface="Arial Narrow" panose="020B0606020202030204" pitchFamily="34" charset="0"/>
              <a:ea typeface="+mn-ea"/>
              <a:cs typeface="+mn-cs"/>
            </a:rPr>
            <a:t>                 09171700815; 09171700231</a:t>
          </a:r>
          <a:endParaRPr lang="en-PH" sz="1000">
            <a:effectLst/>
            <a:latin typeface="Arial Narrow" panose="020B0606020202030204" pitchFamily="34" charset="0"/>
          </a:endParaRPr>
        </a:p>
        <a:p>
          <a:r>
            <a:rPr lang="en-US" sz="1000">
              <a:solidFill>
                <a:schemeClr val="tx1"/>
              </a:solidFill>
              <a:effectLst/>
              <a:latin typeface="Arial Narrow" panose="020B0606020202030204" pitchFamily="34" charset="0"/>
              <a:ea typeface="+mn-ea"/>
              <a:cs typeface="+mn-cs"/>
            </a:rPr>
            <a:t>Email: admin@sonju.ph</a:t>
          </a:r>
          <a:endParaRPr lang="en-PH" sz="1000">
            <a:effectLst/>
            <a:latin typeface="Arial Narrow" panose="020B0606020202030204" pitchFamily="34" charset="0"/>
          </a:endParaRPr>
        </a:p>
        <a:p>
          <a:r>
            <a:rPr lang="en-US" sz="1000">
              <a:solidFill>
                <a:schemeClr val="tx1"/>
              </a:solidFill>
              <a:effectLst/>
              <a:latin typeface="Arial Narrow" panose="020B0606020202030204" pitchFamily="34" charset="0"/>
              <a:ea typeface="+mn-ea"/>
              <a:cs typeface="+mn-cs"/>
            </a:rPr>
            <a:t>Website:</a:t>
          </a:r>
          <a:r>
            <a:rPr lang="en-US" sz="1000" baseline="0">
              <a:solidFill>
                <a:schemeClr val="tx1"/>
              </a:solidFill>
              <a:effectLst/>
              <a:latin typeface="Arial Narrow" panose="020B0606020202030204" pitchFamily="34" charset="0"/>
              <a:ea typeface="+mn-ea"/>
              <a:cs typeface="+mn-cs"/>
            </a:rPr>
            <a:t> www.sonjuengineering.com</a:t>
          </a:r>
          <a:endParaRPr lang="en-PH" sz="1000">
            <a:effectLst/>
            <a:latin typeface="Arial Narrow" panose="020B0606020202030204" pitchFamily="34" charset="0"/>
          </a:endParaRPr>
        </a:p>
      </xdr:txBody>
    </xdr:sp>
    <xdr:clientData/>
  </xdr:oneCellAnchor>
  <xdr:twoCellAnchor>
    <xdr:from>
      <xdr:col>2</xdr:col>
      <xdr:colOff>38965</xdr:colOff>
      <xdr:row>218</xdr:row>
      <xdr:rowOff>38100</xdr:rowOff>
    </xdr:from>
    <xdr:to>
      <xdr:col>25</xdr:col>
      <xdr:colOff>171450</xdr:colOff>
      <xdr:row>218</xdr:row>
      <xdr:rowOff>39688</xdr:rowOff>
    </xdr:to>
    <xdr:cxnSp macro="">
      <xdr:nvCxnSpPr>
        <xdr:cNvPr id="40" name="AutoShape 1">
          <a:extLst>
            <a:ext uri="{FF2B5EF4-FFF2-40B4-BE49-F238E27FC236}">
              <a16:creationId xmlns:a16="http://schemas.microsoft.com/office/drawing/2014/main" id="{00000000-0008-0000-0000-000028000000}"/>
            </a:ext>
          </a:extLst>
        </xdr:cNvPr>
        <xdr:cNvCxnSpPr>
          <a:cxnSpLocks noChangeShapeType="1"/>
        </xdr:cNvCxnSpPr>
      </xdr:nvCxnSpPr>
      <xdr:spPr>
        <a:xfrm>
          <a:off x="677140" y="41233725"/>
          <a:ext cx="6047510" cy="1588"/>
        </a:xfrm>
        <a:prstGeom prst="straightConnector1">
          <a:avLst/>
        </a:prstGeom>
        <a:noFill/>
        <a:ln w="28575">
          <a:solidFill>
            <a:srgbClr val="336600"/>
          </a:solidFill>
          <a:round/>
        </a:ln>
        <a:effectLst>
          <a:outerShdw dist="35921" dir="2700000" algn="ctr" rotWithShape="0">
            <a:srgbClr val="808080"/>
          </a:outerShdw>
        </a:effectLst>
      </xdr:spPr>
    </xdr:cxnSp>
    <xdr:clientData/>
  </xdr:twoCellAnchor>
  <xdr:oneCellAnchor>
    <xdr:from>
      <xdr:col>9</xdr:col>
      <xdr:colOff>230141</xdr:colOff>
      <xdr:row>220</xdr:row>
      <xdr:rowOff>7590</xdr:rowOff>
    </xdr:from>
    <xdr:ext cx="2458494" cy="386644"/>
    <xdr:sp macro="" textlink="">
      <xdr:nvSpPr>
        <xdr:cNvPr id="41" name="TextBox 40">
          <a:extLst>
            <a:ext uri="{FF2B5EF4-FFF2-40B4-BE49-F238E27FC236}">
              <a16:creationId xmlns:a16="http://schemas.microsoft.com/office/drawing/2014/main" id="{00000000-0008-0000-0000-000029000000}"/>
            </a:ext>
          </a:extLst>
        </xdr:cNvPr>
        <xdr:cNvSpPr txBox="1"/>
      </xdr:nvSpPr>
      <xdr:spPr>
        <a:xfrm>
          <a:off x="2668541" y="41584215"/>
          <a:ext cx="2458494" cy="386644"/>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pPr algn="ctr"/>
          <a:r>
            <a:rPr lang="en-US" sz="1000">
              <a:latin typeface="Arial Narrow" panose="020B0606020202030204" pitchFamily="34" charset="0"/>
            </a:rPr>
            <a:t>This report shall not be reproduced except in full,</a:t>
          </a:r>
        </a:p>
        <a:p>
          <a:pPr algn="ctr"/>
          <a:r>
            <a:rPr lang="en-US" sz="1000">
              <a:latin typeface="Arial Narrow" panose="020B0606020202030204" pitchFamily="34" charset="0"/>
            </a:rPr>
            <a:t>without the written approval from the laboratory</a:t>
          </a:r>
        </a:p>
      </xdr:txBody>
    </xdr:sp>
    <xdr:clientData/>
  </xdr:oneCellAnchor>
  <xdr:oneCellAnchor>
    <xdr:from>
      <xdr:col>2</xdr:col>
      <xdr:colOff>9525</xdr:colOff>
      <xdr:row>218</xdr:row>
      <xdr:rowOff>93677</xdr:rowOff>
    </xdr:from>
    <xdr:ext cx="2283317" cy="975267"/>
    <xdr:sp macro="" textlink="">
      <xdr:nvSpPr>
        <xdr:cNvPr id="42" name="TextBox 15">
          <a:extLst>
            <a:ext uri="{FF2B5EF4-FFF2-40B4-BE49-F238E27FC236}">
              <a16:creationId xmlns:a16="http://schemas.microsoft.com/office/drawing/2014/main" id="{00000000-0008-0000-0000-00002A000000}"/>
            </a:ext>
          </a:extLst>
        </xdr:cNvPr>
        <xdr:cNvSpPr txBox="1"/>
      </xdr:nvSpPr>
      <xdr:spPr>
        <a:xfrm>
          <a:off x="724420" y="39105306"/>
          <a:ext cx="2283317" cy="97526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r>
            <a:rPr lang="en-US" sz="1000">
              <a:solidFill>
                <a:schemeClr val="tx1"/>
              </a:solidFill>
              <a:effectLst/>
              <a:latin typeface="Arial Narrow" panose="020B0606020202030204" pitchFamily="34" charset="0"/>
              <a:ea typeface="+mn-ea"/>
              <a:cs typeface="+mn-cs"/>
            </a:rPr>
            <a:t>Block 1 Lot 49, Jubilation Commercial Strip, </a:t>
          </a:r>
          <a:endParaRPr lang="en-PH" sz="1000">
            <a:effectLst/>
            <a:latin typeface="Arial Narrow" panose="020B0606020202030204" pitchFamily="34" charset="0"/>
          </a:endParaRPr>
        </a:p>
        <a:p>
          <a:r>
            <a:rPr lang="en-US" sz="1000">
              <a:solidFill>
                <a:schemeClr val="tx1"/>
              </a:solidFill>
              <a:effectLst/>
              <a:latin typeface="Arial Narrow" panose="020B0606020202030204" pitchFamily="34" charset="0"/>
              <a:ea typeface="+mn-ea"/>
              <a:cs typeface="+mn-cs"/>
            </a:rPr>
            <a:t>Brgy. Zapote, Biñan City, Laguna 4024 Phils.</a:t>
          </a:r>
          <a:endParaRPr lang="en-PH" sz="1000">
            <a:effectLst/>
            <a:latin typeface="Arial Narrow" panose="020B0606020202030204" pitchFamily="34" charset="0"/>
          </a:endParaRPr>
        </a:p>
        <a:p>
          <a:r>
            <a:rPr lang="en-US" sz="1000">
              <a:solidFill>
                <a:schemeClr val="tx1"/>
              </a:solidFill>
              <a:effectLst/>
              <a:latin typeface="Arial Narrow" panose="020B0606020202030204" pitchFamily="34" charset="0"/>
              <a:ea typeface="+mn-ea"/>
              <a:cs typeface="+mn-cs"/>
            </a:rPr>
            <a:t>Contact Nos.: (049)591-0807;</a:t>
          </a:r>
          <a:endParaRPr lang="en-PH" sz="1000">
            <a:effectLst/>
            <a:latin typeface="Arial Narrow" panose="020B0606020202030204" pitchFamily="34" charset="0"/>
          </a:endParaRPr>
        </a:p>
        <a:p>
          <a:r>
            <a:rPr lang="en-US" sz="1000">
              <a:solidFill>
                <a:schemeClr val="tx1"/>
              </a:solidFill>
              <a:effectLst/>
              <a:latin typeface="Arial Narrow" panose="020B0606020202030204" pitchFamily="34" charset="0"/>
              <a:ea typeface="+mn-ea"/>
              <a:cs typeface="+mn-cs"/>
            </a:rPr>
            <a:t>                 09171700815; 09171700231</a:t>
          </a:r>
          <a:endParaRPr lang="en-PH" sz="1000">
            <a:effectLst/>
            <a:latin typeface="Arial Narrow" panose="020B0606020202030204" pitchFamily="34" charset="0"/>
          </a:endParaRPr>
        </a:p>
        <a:p>
          <a:r>
            <a:rPr lang="en-US" sz="1000">
              <a:solidFill>
                <a:schemeClr val="tx1"/>
              </a:solidFill>
              <a:effectLst/>
              <a:latin typeface="Arial Narrow" panose="020B0606020202030204" pitchFamily="34" charset="0"/>
              <a:ea typeface="+mn-ea"/>
              <a:cs typeface="+mn-cs"/>
            </a:rPr>
            <a:t>Email: admin@sonju.ph</a:t>
          </a:r>
          <a:endParaRPr lang="en-PH" sz="1000">
            <a:effectLst/>
            <a:latin typeface="Arial Narrow" panose="020B0606020202030204" pitchFamily="34" charset="0"/>
          </a:endParaRPr>
        </a:p>
        <a:p>
          <a:r>
            <a:rPr lang="en-US" sz="1000">
              <a:solidFill>
                <a:schemeClr val="tx1"/>
              </a:solidFill>
              <a:effectLst/>
              <a:latin typeface="Arial Narrow" panose="020B0606020202030204" pitchFamily="34" charset="0"/>
              <a:ea typeface="+mn-ea"/>
              <a:cs typeface="+mn-cs"/>
            </a:rPr>
            <a:t>Website:</a:t>
          </a:r>
          <a:r>
            <a:rPr lang="en-US" sz="1000" baseline="0">
              <a:solidFill>
                <a:schemeClr val="tx1"/>
              </a:solidFill>
              <a:effectLst/>
              <a:latin typeface="Arial Narrow" panose="020B0606020202030204" pitchFamily="34" charset="0"/>
              <a:ea typeface="+mn-ea"/>
              <a:cs typeface="+mn-cs"/>
            </a:rPr>
            <a:t> www.sonjuengineering.com</a:t>
          </a:r>
          <a:endParaRPr lang="en-PH" sz="1000">
            <a:effectLst/>
            <a:latin typeface="Arial Narrow" panose="020B0606020202030204" pitchFamily="34" charset="0"/>
          </a:endParaRPr>
        </a:p>
      </xdr:txBody>
    </xdr:sp>
    <xdr:clientData/>
  </xdr:oneCellAnchor>
  <xdr:twoCellAnchor editAs="oneCell">
    <xdr:from>
      <xdr:col>17</xdr:col>
      <xdr:colOff>174567</xdr:colOff>
      <xdr:row>0</xdr:row>
      <xdr:rowOff>33252</xdr:rowOff>
    </xdr:from>
    <xdr:to>
      <xdr:col>26</xdr:col>
      <xdr:colOff>8313</xdr:colOff>
      <xdr:row>6</xdr:row>
      <xdr:rowOff>16627</xdr:rowOff>
    </xdr:to>
    <xdr:pic>
      <xdr:nvPicPr>
        <xdr:cNvPr id="26" name="Picture 25">
          <a:extLst>
            <a:ext uri="{FF2B5EF4-FFF2-40B4-BE49-F238E27FC236}">
              <a16:creationId xmlns:a16="http://schemas.microsoft.com/office/drawing/2014/main" id="{D6CB04F1-1F13-4D26-8124-6BED04BDBBB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53643" y="33252"/>
          <a:ext cx="2452255" cy="1039091"/>
        </a:xfrm>
        <a:prstGeom prst="rect">
          <a:avLst/>
        </a:prstGeom>
      </xdr:spPr>
    </xdr:pic>
    <xdr:clientData/>
  </xdr:twoCellAnchor>
  <xdr:twoCellAnchor editAs="oneCell">
    <xdr:from>
      <xdr:col>3</xdr:col>
      <xdr:colOff>216132</xdr:colOff>
      <xdr:row>0</xdr:row>
      <xdr:rowOff>91438</xdr:rowOff>
    </xdr:from>
    <xdr:to>
      <xdr:col>10</xdr:col>
      <xdr:colOff>24938</xdr:colOff>
      <xdr:row>4</xdr:row>
      <xdr:rowOff>141316</xdr:rowOff>
    </xdr:to>
    <xdr:pic>
      <xdr:nvPicPr>
        <xdr:cNvPr id="27" name="Picture 26" descr="A logo with a maze&#10;&#10;AI-generated content may be incorrect.">
          <a:extLst>
            <a:ext uri="{FF2B5EF4-FFF2-40B4-BE49-F238E27FC236}">
              <a16:creationId xmlns:a16="http://schemas.microsoft.com/office/drawing/2014/main" id="{D955118D-6D02-468A-AE10-AC426D80AAC6}"/>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221972" y="91438"/>
          <a:ext cx="1845424" cy="68164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absoluteAnchor>
    <xdr:pos x="0" y="0"/>
    <xdr:ext cx="9294091" cy="6068580"/>
    <xdr:graphicFrame macro="">
      <xdr:nvGraphicFramePr>
        <xdr:cNvPr id="2" name="Chart 1">
          <a:extLst>
            <a:ext uri="{FF2B5EF4-FFF2-40B4-BE49-F238E27FC236}">
              <a16:creationId xmlns:a16="http://schemas.microsoft.com/office/drawing/2014/main" id="{00000000-0008-0000-01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xml><?xml version="1.0" encoding="utf-8"?>
<xdr:wsDr xmlns:xdr="http://schemas.openxmlformats.org/drawingml/2006/spreadsheetDrawing" xmlns:a="http://schemas.openxmlformats.org/drawingml/2006/main">
  <xdr:twoCellAnchor>
    <xdr:from>
      <xdr:col>46</xdr:col>
      <xdr:colOff>109902</xdr:colOff>
      <xdr:row>44</xdr:row>
      <xdr:rowOff>25644</xdr:rowOff>
    </xdr:from>
    <xdr:to>
      <xdr:col>47</xdr:col>
      <xdr:colOff>128953</xdr:colOff>
      <xdr:row>44</xdr:row>
      <xdr:rowOff>149469</xdr:rowOff>
    </xdr:to>
    <xdr:sp macro="" textlink="">
      <xdr:nvSpPr>
        <xdr:cNvPr id="3" name="Rectangle 2">
          <a:extLst>
            <a:ext uri="{FF2B5EF4-FFF2-40B4-BE49-F238E27FC236}">
              <a16:creationId xmlns:a16="http://schemas.microsoft.com/office/drawing/2014/main" id="{00000000-0008-0000-0200-000003000000}"/>
            </a:ext>
          </a:extLst>
        </xdr:cNvPr>
        <xdr:cNvSpPr/>
      </xdr:nvSpPr>
      <xdr:spPr>
        <a:xfrm>
          <a:off x="6718787" y="5916490"/>
          <a:ext cx="150935" cy="123825"/>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46</xdr:col>
      <xdr:colOff>109902</xdr:colOff>
      <xdr:row>45</xdr:row>
      <xdr:rowOff>21248</xdr:rowOff>
    </xdr:from>
    <xdr:to>
      <xdr:col>47</xdr:col>
      <xdr:colOff>128953</xdr:colOff>
      <xdr:row>45</xdr:row>
      <xdr:rowOff>154598</xdr:rowOff>
    </xdr:to>
    <xdr:sp macro="" textlink="">
      <xdr:nvSpPr>
        <xdr:cNvPr id="4" name="Rectangle 3">
          <a:extLst>
            <a:ext uri="{FF2B5EF4-FFF2-40B4-BE49-F238E27FC236}">
              <a16:creationId xmlns:a16="http://schemas.microsoft.com/office/drawing/2014/main" id="{00000000-0008-0000-0200-000004000000}"/>
            </a:ext>
          </a:extLst>
        </xdr:cNvPr>
        <xdr:cNvSpPr/>
      </xdr:nvSpPr>
      <xdr:spPr>
        <a:xfrm>
          <a:off x="6718787" y="6080613"/>
          <a:ext cx="150935" cy="133350"/>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30</xdr:col>
      <xdr:colOff>2868</xdr:colOff>
      <xdr:row>22</xdr:row>
      <xdr:rowOff>50495</xdr:rowOff>
    </xdr:from>
    <xdr:to>
      <xdr:col>31</xdr:col>
      <xdr:colOff>16868</xdr:colOff>
      <xdr:row>23</xdr:row>
      <xdr:rowOff>88595</xdr:rowOff>
    </xdr:to>
    <xdr:sp macro="" textlink="">
      <xdr:nvSpPr>
        <xdr:cNvPr id="6" name="Rectangle 5">
          <a:extLst>
            <a:ext uri="{FF2B5EF4-FFF2-40B4-BE49-F238E27FC236}">
              <a16:creationId xmlns:a16="http://schemas.microsoft.com/office/drawing/2014/main" id="{00000000-0008-0000-0200-000006000000}"/>
            </a:ext>
          </a:extLst>
        </xdr:cNvPr>
        <xdr:cNvSpPr/>
      </xdr:nvSpPr>
      <xdr:spPr>
        <a:xfrm>
          <a:off x="18290868" y="4241495"/>
          <a:ext cx="623600" cy="228600"/>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30</xdr:col>
      <xdr:colOff>2868</xdr:colOff>
      <xdr:row>24</xdr:row>
      <xdr:rowOff>50495</xdr:rowOff>
    </xdr:from>
    <xdr:to>
      <xdr:col>31</xdr:col>
      <xdr:colOff>16868</xdr:colOff>
      <xdr:row>25</xdr:row>
      <xdr:rowOff>88595</xdr:rowOff>
    </xdr:to>
    <xdr:sp macro="" textlink="">
      <xdr:nvSpPr>
        <xdr:cNvPr id="7" name="Rectangle 6">
          <a:extLst>
            <a:ext uri="{FF2B5EF4-FFF2-40B4-BE49-F238E27FC236}">
              <a16:creationId xmlns:a16="http://schemas.microsoft.com/office/drawing/2014/main" id="{00000000-0008-0000-0200-000007000000}"/>
            </a:ext>
          </a:extLst>
        </xdr:cNvPr>
        <xdr:cNvSpPr/>
      </xdr:nvSpPr>
      <xdr:spPr>
        <a:xfrm>
          <a:off x="4501599" y="2673533"/>
          <a:ext cx="145884" cy="133350"/>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editAs="oneCell">
    <xdr:from>
      <xdr:col>39</xdr:col>
      <xdr:colOff>49877</xdr:colOff>
      <xdr:row>0</xdr:row>
      <xdr:rowOff>33252</xdr:rowOff>
    </xdr:from>
    <xdr:to>
      <xdr:col>50</xdr:col>
      <xdr:colOff>16625</xdr:colOff>
      <xdr:row>3</xdr:row>
      <xdr:rowOff>49877</xdr:rowOff>
    </xdr:to>
    <xdr:pic>
      <xdr:nvPicPr>
        <xdr:cNvPr id="8" name="Picture 7" descr="A logo with a maze&#10;&#10;AI-generated content may be incorrect.">
          <a:extLst>
            <a:ext uri="{FF2B5EF4-FFF2-40B4-BE49-F238E27FC236}">
              <a16:creationId xmlns:a16="http://schemas.microsoft.com/office/drawing/2014/main" id="{C5CD360B-38AE-4517-ACF3-74B5A69117D9}"/>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492241" y="33252"/>
          <a:ext cx="1612668" cy="54032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56305</xdr:colOff>
      <xdr:row>36</xdr:row>
      <xdr:rowOff>27715</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0" y="0"/>
          <a:ext cx="6776357" cy="6885715"/>
        </a:xfrm>
        <a:prstGeom prst="rect">
          <a:avLst/>
        </a:prstGeom>
      </xdr:spPr>
    </xdr:pic>
    <xdr:clientData/>
  </xdr:twoCellAnchor>
  <xdr:twoCellAnchor editAs="oneCell">
    <xdr:from>
      <xdr:col>11</xdr:col>
      <xdr:colOff>504825</xdr:colOff>
      <xdr:row>0</xdr:row>
      <xdr:rowOff>114300</xdr:rowOff>
    </xdr:from>
    <xdr:to>
      <xdr:col>19</xdr:col>
      <xdr:colOff>56597</xdr:colOff>
      <xdr:row>32</xdr:row>
      <xdr:rowOff>132586</xdr:rowOff>
    </xdr:to>
    <xdr:pic>
      <xdr:nvPicPr>
        <xdr:cNvPr id="3" name="Picture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2"/>
        <a:stretch>
          <a:fillRect/>
        </a:stretch>
      </xdr:blipFill>
      <xdr:spPr>
        <a:xfrm>
          <a:off x="7210425" y="114300"/>
          <a:ext cx="4428572" cy="6114286"/>
        </a:xfrm>
        <a:prstGeom prst="rect">
          <a:avLst/>
        </a:prstGeom>
      </xdr:spPr>
    </xdr:pic>
    <xdr:clientData/>
  </xdr:twoCellAnchor>
  <xdr:twoCellAnchor editAs="oneCell">
    <xdr:from>
      <xdr:col>1</xdr:col>
      <xdr:colOff>66675</xdr:colOff>
      <xdr:row>37</xdr:row>
      <xdr:rowOff>133350</xdr:rowOff>
    </xdr:from>
    <xdr:to>
      <xdr:col>8</xdr:col>
      <xdr:colOff>285190</xdr:colOff>
      <xdr:row>60</xdr:row>
      <xdr:rowOff>132803</xdr:rowOff>
    </xdr:to>
    <xdr:pic>
      <xdr:nvPicPr>
        <xdr:cNvPr id="4" name="Picture 3">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xfrm>
          <a:off x="676275" y="7181850"/>
          <a:ext cx="4485715" cy="4380953"/>
        </a:xfrm>
        <a:prstGeom prst="rect">
          <a:avLst/>
        </a:prstGeom>
      </xdr:spPr>
    </xdr:pic>
    <xdr:clientData/>
  </xdr:twoCellAnchor>
  <xdr:twoCellAnchor editAs="oneCell">
    <xdr:from>
      <xdr:col>11</xdr:col>
      <xdr:colOff>276225</xdr:colOff>
      <xdr:row>33</xdr:row>
      <xdr:rowOff>123825</xdr:rowOff>
    </xdr:from>
    <xdr:to>
      <xdr:col>20</xdr:col>
      <xdr:colOff>294587</xdr:colOff>
      <xdr:row>70</xdr:row>
      <xdr:rowOff>94373</xdr:rowOff>
    </xdr:to>
    <xdr:pic>
      <xdr:nvPicPr>
        <xdr:cNvPr id="5" name="Picture 4">
          <a:extLst>
            <a:ext uri="{FF2B5EF4-FFF2-40B4-BE49-F238E27FC236}">
              <a16:creationId xmlns:a16="http://schemas.microsoft.com/office/drawing/2014/main" id="{00000000-0008-0000-0300-000005000000}"/>
            </a:ext>
          </a:extLst>
        </xdr:cNvPr>
        <xdr:cNvPicPr>
          <a:picLocks noChangeAspect="1"/>
        </xdr:cNvPicPr>
      </xdr:nvPicPr>
      <xdr:blipFill>
        <a:blip xmlns:r="http://schemas.openxmlformats.org/officeDocument/2006/relationships" r:embed="rId4"/>
        <a:stretch>
          <a:fillRect/>
        </a:stretch>
      </xdr:blipFill>
      <xdr:spPr>
        <a:xfrm>
          <a:off x="6981825" y="6410325"/>
          <a:ext cx="5504762" cy="7019048"/>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V226"/>
  <sheetViews>
    <sheetView showGridLines="0" view="pageBreakPreview" zoomScaleNormal="120" zoomScaleSheetLayoutView="100" workbookViewId="0">
      <selection activeCell="N2" sqref="N2"/>
    </sheetView>
  </sheetViews>
  <sheetFormatPr defaultColWidth="0" defaultRowHeight="12.75"/>
  <cols>
    <col min="1" max="1" width="3.85546875" style="1" customWidth="1"/>
    <col min="2" max="2" width="5.7109375" style="2" customWidth="1"/>
    <col min="3" max="26" width="3.85546875" style="2" customWidth="1"/>
    <col min="27" max="27" width="3" style="2" customWidth="1"/>
    <col min="28" max="48" width="3.85546875" style="2" hidden="1" customWidth="1"/>
    <col min="49" max="16384" width="9.140625" style="2" hidden="1"/>
  </cols>
  <sheetData>
    <row r="1" spans="1:26" ht="12.75" customHeight="1"/>
    <row r="2" spans="1:26">
      <c r="N2" s="2" t="s">
        <v>162</v>
      </c>
    </row>
    <row r="5" spans="1:26" ht="21" customHeight="1">
      <c r="C5" s="196" t="s">
        <v>0</v>
      </c>
      <c r="D5" s="196"/>
      <c r="E5" s="196"/>
      <c r="F5" s="196"/>
      <c r="G5" s="196"/>
      <c r="H5" s="196"/>
      <c r="I5" s="196"/>
      <c r="J5" s="196"/>
      <c r="K5" s="196"/>
      <c r="L5" s="196"/>
      <c r="M5" s="196"/>
      <c r="N5" s="196"/>
      <c r="O5" s="196"/>
      <c r="P5" s="196"/>
      <c r="Q5" s="196"/>
      <c r="R5" s="196"/>
      <c r="S5" s="196"/>
      <c r="T5" s="196"/>
      <c r="U5" s="196"/>
      <c r="V5" s="196"/>
      <c r="W5" s="196"/>
      <c r="X5" s="196"/>
      <c r="Y5" s="196"/>
      <c r="Z5" s="196"/>
    </row>
    <row r="6" spans="1:26" ht="12.75" customHeight="1">
      <c r="C6" s="196"/>
      <c r="D6" s="196"/>
      <c r="E6" s="196"/>
      <c r="F6" s="196"/>
      <c r="G6" s="196"/>
      <c r="H6" s="196"/>
      <c r="I6" s="196"/>
      <c r="J6" s="196"/>
      <c r="K6" s="196"/>
      <c r="L6" s="196"/>
      <c r="M6" s="196"/>
      <c r="N6" s="196"/>
      <c r="O6" s="196"/>
      <c r="P6" s="196"/>
      <c r="Q6" s="196"/>
      <c r="R6" s="196"/>
      <c r="S6" s="196"/>
      <c r="T6" s="196"/>
      <c r="U6" s="196"/>
      <c r="V6" s="196"/>
      <c r="W6" s="196"/>
      <c r="X6" s="196"/>
      <c r="Y6" s="196"/>
      <c r="Z6" s="196"/>
    </row>
    <row r="7" spans="1:26" s="31" customFormat="1" ht="12.75" customHeight="1">
      <c r="A7" s="30"/>
      <c r="R7" s="199" t="s">
        <v>1</v>
      </c>
      <c r="S7" s="199"/>
      <c r="T7" s="199"/>
      <c r="U7" s="199"/>
      <c r="V7" s="200" t="str">
        <f>CONCATENATE("25-",DataSheet!L5,DataSheet!N5,DataSheet!O5,DataSheet!AN5," ","Rev.00")</f>
        <v>25- Rev.00</v>
      </c>
      <c r="W7" s="200"/>
      <c r="X7" s="200"/>
      <c r="Y7" s="200"/>
      <c r="Z7" s="200"/>
    </row>
    <row r="8" spans="1:26" s="31" customFormat="1" ht="13.5">
      <c r="A8" s="30"/>
    </row>
    <row r="9" spans="1:26" s="31" customFormat="1" ht="15" customHeight="1">
      <c r="A9" s="30"/>
      <c r="C9" s="32" t="s">
        <v>2</v>
      </c>
      <c r="O9" s="32" t="s">
        <v>3</v>
      </c>
    </row>
    <row r="10" spans="1:26" s="31" customFormat="1" ht="15" customHeight="1">
      <c r="A10" s="30"/>
      <c r="D10" s="32">
        <f>DataSheet!H23</f>
        <v>0</v>
      </c>
      <c r="E10" s="32"/>
      <c r="F10" s="32"/>
      <c r="G10" s="32"/>
      <c r="H10" s="32"/>
      <c r="I10" s="32"/>
      <c r="J10" s="32"/>
      <c r="K10" s="32"/>
      <c r="L10" s="32"/>
      <c r="M10" s="32"/>
      <c r="N10" s="32"/>
      <c r="P10" s="33" t="str">
        <f>IF(DataSheet!AE23="x","SONJU ENGINEERING SERVICES",D10)</f>
        <v>SONJU ENGINEERING SERVICES</v>
      </c>
      <c r="Q10" s="33"/>
      <c r="R10" s="33"/>
      <c r="S10" s="33"/>
      <c r="T10" s="33"/>
      <c r="U10" s="33"/>
      <c r="V10" s="33"/>
      <c r="W10" s="33"/>
      <c r="X10" s="33"/>
      <c r="Y10" s="33"/>
      <c r="Z10" s="33"/>
    </row>
    <row r="11" spans="1:26" s="31" customFormat="1" ht="12.95" customHeight="1">
      <c r="A11" s="30"/>
      <c r="C11" s="32"/>
      <c r="D11" s="197">
        <f>DataSheet!H25</f>
        <v>0</v>
      </c>
      <c r="E11" s="197"/>
      <c r="F11" s="197"/>
      <c r="G11" s="197"/>
      <c r="H11" s="197"/>
      <c r="I11" s="197"/>
      <c r="J11" s="197"/>
      <c r="K11" s="197"/>
      <c r="L11" s="197"/>
      <c r="M11" s="197"/>
      <c r="N11" s="197"/>
      <c r="O11" s="29"/>
      <c r="P11" s="197" t="str">
        <f>DataSheet!AE27</f>
        <v>Electrical Calibration Area</v>
      </c>
      <c r="Q11" s="197"/>
      <c r="R11" s="197"/>
      <c r="S11" s="197"/>
      <c r="T11" s="197"/>
      <c r="U11" s="197"/>
      <c r="V11" s="197"/>
      <c r="W11" s="197"/>
      <c r="X11" s="197"/>
      <c r="Y11" s="197"/>
      <c r="Z11" s="34"/>
    </row>
    <row r="12" spans="1:26" s="31" customFormat="1" ht="12.95" customHeight="1">
      <c r="A12" s="30"/>
      <c r="D12" s="197"/>
      <c r="E12" s="197"/>
      <c r="F12" s="197"/>
      <c r="G12" s="197"/>
      <c r="H12" s="197"/>
      <c r="I12" s="197"/>
      <c r="J12" s="197"/>
      <c r="K12" s="197"/>
      <c r="L12" s="197"/>
      <c r="M12" s="197"/>
      <c r="N12" s="197"/>
      <c r="O12" s="29"/>
      <c r="P12" s="197"/>
      <c r="Q12" s="197"/>
      <c r="R12" s="197"/>
      <c r="S12" s="197"/>
      <c r="T12" s="197"/>
      <c r="U12" s="197"/>
      <c r="V12" s="197"/>
      <c r="W12" s="197"/>
      <c r="X12" s="197"/>
      <c r="Y12" s="197"/>
      <c r="Z12" s="34"/>
    </row>
    <row r="13" spans="1:26" s="31" customFormat="1" ht="12.95" customHeight="1">
      <c r="A13" s="30"/>
      <c r="D13" s="34"/>
      <c r="E13" s="34"/>
      <c r="F13" s="34"/>
      <c r="G13" s="34"/>
      <c r="H13" s="34"/>
      <c r="I13" s="34"/>
      <c r="J13" s="34"/>
      <c r="K13" s="34"/>
      <c r="L13" s="34"/>
      <c r="M13" s="34"/>
      <c r="N13" s="34"/>
      <c r="O13" s="34"/>
      <c r="P13" s="35"/>
      <c r="Q13" s="35"/>
      <c r="R13" s="35"/>
      <c r="S13" s="35"/>
      <c r="T13" s="35"/>
      <c r="U13" s="35"/>
      <c r="V13" s="35"/>
      <c r="W13" s="35"/>
      <c r="X13" s="35"/>
      <c r="Y13" s="35"/>
      <c r="Z13" s="35"/>
    </row>
    <row r="14" spans="1:26" s="31" customFormat="1" ht="15" customHeight="1">
      <c r="A14" s="30"/>
      <c r="C14" s="32" t="s">
        <v>4</v>
      </c>
      <c r="H14" s="201" t="str">
        <f>DataSheet!K9</f>
        <v>Fluke</v>
      </c>
      <c r="I14" s="201"/>
      <c r="J14" s="201"/>
      <c r="K14" s="201"/>
      <c r="L14" s="201"/>
      <c r="M14" s="201"/>
      <c r="N14" s="36"/>
      <c r="O14" s="32" t="s">
        <v>5</v>
      </c>
      <c r="T14" s="31" t="str">
        <f>DataSheet!K7</f>
        <v>True RMS Digital Multimeter</v>
      </c>
    </row>
    <row r="15" spans="1:26" s="31" customFormat="1" ht="15" customHeight="1">
      <c r="A15" s="30"/>
      <c r="C15" s="32" t="s">
        <v>6</v>
      </c>
      <c r="H15" s="201">
        <f>DataSheet!K11</f>
        <v>289</v>
      </c>
      <c r="I15" s="201"/>
      <c r="J15" s="201"/>
      <c r="K15" s="201"/>
      <c r="L15" s="201"/>
      <c r="M15" s="201"/>
      <c r="N15" s="36"/>
      <c r="O15" s="32" t="s">
        <v>7</v>
      </c>
      <c r="T15" s="201" t="str">
        <f>DataSheet!AL11</f>
        <v>none</v>
      </c>
      <c r="U15" s="201"/>
      <c r="V15" s="201"/>
      <c r="W15" s="201"/>
      <c r="X15" s="201"/>
      <c r="Y15" s="201"/>
      <c r="Z15" s="201"/>
    </row>
    <row r="16" spans="1:26" s="31" customFormat="1" ht="15" customHeight="1">
      <c r="A16" s="30"/>
      <c r="C16" s="37" t="s">
        <v>8</v>
      </c>
      <c r="H16" s="204">
        <f>DataSheet!K13</f>
        <v>0</v>
      </c>
      <c r="I16" s="201"/>
      <c r="J16" s="201"/>
      <c r="K16" s="201"/>
      <c r="L16" s="201"/>
      <c r="M16" s="201"/>
      <c r="N16" s="36"/>
      <c r="O16" s="32" t="s">
        <v>9</v>
      </c>
      <c r="T16" s="201">
        <f>DataSheet!AL15</f>
        <v>0</v>
      </c>
      <c r="U16" s="201"/>
      <c r="V16" s="201"/>
      <c r="W16" s="201"/>
      <c r="X16" s="201"/>
      <c r="Y16" s="201"/>
      <c r="Z16" s="201"/>
    </row>
    <row r="17" spans="1:26" s="31" customFormat="1" ht="15" customHeight="1">
      <c r="A17" s="30"/>
      <c r="C17" s="32" t="s">
        <v>10</v>
      </c>
      <c r="H17" s="202">
        <f>DataSheet!AL9</f>
        <v>0</v>
      </c>
      <c r="I17" s="202"/>
      <c r="J17" s="202"/>
      <c r="K17" s="202"/>
      <c r="L17" s="202"/>
      <c r="M17" s="202"/>
      <c r="N17" s="36"/>
      <c r="O17" s="32" t="s">
        <v>11</v>
      </c>
      <c r="T17" s="201">
        <f>DataSheet!L5</f>
        <v>0</v>
      </c>
      <c r="U17" s="201"/>
      <c r="V17" s="201"/>
      <c r="W17" s="201"/>
      <c r="X17" s="201"/>
      <c r="Y17" s="201"/>
      <c r="Z17" s="201"/>
    </row>
    <row r="18" spans="1:26" s="31" customFormat="1" ht="15" customHeight="1">
      <c r="A18" s="30"/>
      <c r="C18" s="32" t="s">
        <v>195</v>
      </c>
      <c r="H18" s="203">
        <f>DataSheet!AL7</f>
        <v>0</v>
      </c>
      <c r="I18" s="203"/>
      <c r="J18" s="203"/>
      <c r="K18" s="203"/>
      <c r="L18" s="203"/>
      <c r="M18" s="203"/>
      <c r="N18" s="203"/>
      <c r="O18" s="32" t="s">
        <v>12</v>
      </c>
      <c r="T18" s="201" t="str">
        <f>DataSheet!AL13</f>
        <v>none</v>
      </c>
      <c r="U18" s="201"/>
      <c r="V18" s="201"/>
      <c r="W18" s="201"/>
      <c r="X18" s="201"/>
      <c r="Y18" s="201"/>
      <c r="Z18" s="201"/>
    </row>
    <row r="19" spans="1:26" s="31" customFormat="1" ht="15" customHeight="1">
      <c r="A19" s="30"/>
      <c r="C19" s="32" t="s">
        <v>13</v>
      </c>
      <c r="H19" s="201" t="str">
        <f>IF(DataSheet!AE23="x","23 °C ± 5 °C",CONCATENATE(ROUND(AVERAGE(DataSheet!I39:J40),1)," ","°C"))</f>
        <v>23 °C ± 5 °C</v>
      </c>
      <c r="I19" s="201"/>
      <c r="J19" s="201"/>
      <c r="K19" s="201"/>
      <c r="L19" s="201"/>
      <c r="M19" s="201"/>
      <c r="N19" s="36"/>
      <c r="O19" s="32" t="s">
        <v>14</v>
      </c>
      <c r="T19" s="201" t="str">
        <f>IF(DataSheet!AE23="x","55 %rh ± 15 %rh",CONCATENATE(ROUND(AVERAGE(DataSheet!R39:S40),1)," ","%rh"))</f>
        <v>55 %rh ± 15 %rh</v>
      </c>
      <c r="U19" s="201"/>
      <c r="V19" s="201"/>
      <c r="W19" s="201"/>
      <c r="X19" s="201"/>
      <c r="Y19" s="201"/>
      <c r="Z19" s="201"/>
    </row>
    <row r="20" spans="1:26" s="31" customFormat="1" ht="12.95" customHeight="1">
      <c r="A20" s="30"/>
    </row>
    <row r="21" spans="1:26" s="31" customFormat="1" ht="12.95" customHeight="1">
      <c r="A21" s="30"/>
    </row>
    <row r="22" spans="1:26" s="31" customFormat="1" ht="15" customHeight="1">
      <c r="A22" s="30"/>
      <c r="C22" s="32" t="s">
        <v>15</v>
      </c>
      <c r="J22" s="34"/>
      <c r="K22" s="34"/>
      <c r="L22" s="34"/>
      <c r="M22" s="34"/>
      <c r="N22" s="34"/>
      <c r="O22" s="34"/>
      <c r="P22" s="34"/>
      <c r="Q22" s="34"/>
      <c r="R22" s="34"/>
      <c r="S22" s="34"/>
      <c r="T22" s="34"/>
      <c r="U22" s="34"/>
      <c r="V22" s="34"/>
      <c r="W22" s="34"/>
      <c r="X22" s="34"/>
      <c r="Y22" s="34"/>
      <c r="Z22" s="34"/>
    </row>
    <row r="23" spans="1:26" s="31" customFormat="1" ht="15" customHeight="1">
      <c r="A23" s="30"/>
      <c r="C23" s="198" t="str">
        <f>DataSheet!AB38</f>
        <v>As per Manufacturer's recommended performance tests procedure for Fluke 287/289 True RMS Digital Multimeter Calibration Manual, February 2008, Rev. 1, 3/09.</v>
      </c>
      <c r="D23" s="198"/>
      <c r="E23" s="198"/>
      <c r="F23" s="198"/>
      <c r="G23" s="198"/>
      <c r="H23" s="198"/>
      <c r="I23" s="198"/>
      <c r="J23" s="198"/>
      <c r="K23" s="198"/>
      <c r="L23" s="198"/>
      <c r="M23" s="198"/>
      <c r="N23" s="198"/>
      <c r="O23" s="198"/>
      <c r="P23" s="198"/>
      <c r="Q23" s="198"/>
      <c r="R23" s="198"/>
      <c r="S23" s="198"/>
      <c r="T23" s="198"/>
      <c r="U23" s="198"/>
      <c r="V23" s="198"/>
      <c r="W23" s="198"/>
      <c r="X23" s="198"/>
      <c r="Y23" s="198"/>
      <c r="Z23" s="198"/>
    </row>
    <row r="24" spans="1:26" s="31" customFormat="1" ht="15" customHeight="1">
      <c r="A24" s="30"/>
      <c r="C24" s="198"/>
      <c r="D24" s="198"/>
      <c r="E24" s="198"/>
      <c r="F24" s="198"/>
      <c r="G24" s="198"/>
      <c r="H24" s="198"/>
      <c r="I24" s="198"/>
      <c r="J24" s="198"/>
      <c r="K24" s="198"/>
      <c r="L24" s="198"/>
      <c r="M24" s="198"/>
      <c r="N24" s="198"/>
      <c r="O24" s="198"/>
      <c r="P24" s="198"/>
      <c r="Q24" s="198"/>
      <c r="R24" s="198"/>
      <c r="S24" s="198"/>
      <c r="T24" s="198"/>
      <c r="U24" s="198"/>
      <c r="V24" s="198"/>
      <c r="W24" s="198"/>
      <c r="X24" s="198"/>
      <c r="Y24" s="198"/>
      <c r="Z24" s="198"/>
    </row>
    <row r="25" spans="1:26" s="31" customFormat="1" ht="9.9499999999999993" customHeight="1">
      <c r="A25" s="30"/>
    </row>
    <row r="26" spans="1:26" s="31" customFormat="1" ht="15" customHeight="1">
      <c r="A26" s="30"/>
      <c r="C26" s="198" t="s">
        <v>16</v>
      </c>
      <c r="D26" s="198"/>
      <c r="E26" s="198"/>
      <c r="F26" s="198"/>
      <c r="G26" s="198"/>
      <c r="H26" s="198"/>
      <c r="I26" s="198"/>
      <c r="J26" s="198"/>
      <c r="K26" s="198"/>
      <c r="L26" s="198"/>
      <c r="M26" s="198"/>
      <c r="N26" s="198"/>
      <c r="O26" s="198"/>
      <c r="P26" s="198"/>
      <c r="Q26" s="198"/>
      <c r="R26" s="198"/>
      <c r="S26" s="198"/>
      <c r="T26" s="198"/>
      <c r="U26" s="198"/>
      <c r="V26" s="198"/>
      <c r="W26" s="198"/>
      <c r="X26" s="198"/>
      <c r="Y26" s="198"/>
      <c r="Z26" s="198"/>
    </row>
    <row r="27" spans="1:26" s="31" customFormat="1" ht="15" customHeight="1">
      <c r="A27" s="30"/>
      <c r="C27" s="198"/>
      <c r="D27" s="198"/>
      <c r="E27" s="198"/>
      <c r="F27" s="198"/>
      <c r="G27" s="198"/>
      <c r="H27" s="198"/>
      <c r="I27" s="198"/>
      <c r="J27" s="198"/>
      <c r="K27" s="198"/>
      <c r="L27" s="198"/>
      <c r="M27" s="198"/>
      <c r="N27" s="198"/>
      <c r="O27" s="198"/>
      <c r="P27" s="198"/>
      <c r="Q27" s="198"/>
      <c r="R27" s="198"/>
      <c r="S27" s="198"/>
      <c r="T27" s="198"/>
      <c r="U27" s="198"/>
      <c r="V27" s="198"/>
      <c r="W27" s="198"/>
      <c r="X27" s="198"/>
      <c r="Y27" s="198"/>
      <c r="Z27" s="198"/>
    </row>
    <row r="28" spans="1:26" s="31" customFormat="1" ht="9.9499999999999993" customHeight="1">
      <c r="A28" s="30"/>
    </row>
    <row r="29" spans="1:26" s="31" customFormat="1" ht="15" customHeight="1">
      <c r="A29" s="30"/>
      <c r="C29" s="205" t="s">
        <v>136</v>
      </c>
      <c r="D29" s="205"/>
      <c r="E29" s="205"/>
      <c r="F29" s="34"/>
      <c r="G29" s="34"/>
      <c r="H29" s="34"/>
      <c r="I29" s="34"/>
      <c r="J29" s="34"/>
      <c r="K29" s="34"/>
      <c r="L29" s="34"/>
      <c r="M29" s="34"/>
      <c r="N29" s="34"/>
      <c r="O29" s="34"/>
      <c r="P29" s="34"/>
      <c r="Q29" s="34"/>
      <c r="R29" s="34"/>
      <c r="S29" s="34"/>
      <c r="T29" s="34"/>
      <c r="U29" s="34"/>
      <c r="V29" s="34"/>
      <c r="W29" s="34"/>
      <c r="X29" s="34"/>
      <c r="Y29" s="34"/>
      <c r="Z29" s="34"/>
    </row>
    <row r="30" spans="1:26" s="31" customFormat="1" ht="15" customHeight="1">
      <c r="A30" s="30"/>
      <c r="C30" s="198" t="s">
        <v>161</v>
      </c>
      <c r="D30" s="198"/>
      <c r="E30" s="198"/>
      <c r="F30" s="198"/>
      <c r="G30" s="198"/>
      <c r="H30" s="198"/>
      <c r="I30" s="198"/>
      <c r="J30" s="198"/>
      <c r="K30" s="198"/>
      <c r="L30" s="198"/>
      <c r="M30" s="198"/>
      <c r="N30" s="198"/>
      <c r="O30" s="198"/>
      <c r="P30" s="198"/>
      <c r="Q30" s="198"/>
      <c r="R30" s="198"/>
      <c r="S30" s="198"/>
      <c r="T30" s="198"/>
      <c r="U30" s="198"/>
      <c r="V30" s="198"/>
      <c r="W30" s="198"/>
      <c r="X30" s="198"/>
      <c r="Y30" s="198"/>
      <c r="Z30" s="198"/>
    </row>
    <row r="31" spans="1:26" s="31" customFormat="1" ht="15" customHeight="1">
      <c r="A31" s="30"/>
      <c r="C31" s="198"/>
      <c r="D31" s="198"/>
      <c r="E31" s="198"/>
      <c r="F31" s="198"/>
      <c r="G31" s="198"/>
      <c r="H31" s="198"/>
      <c r="I31" s="198"/>
      <c r="J31" s="198"/>
      <c r="K31" s="198"/>
      <c r="L31" s="198"/>
      <c r="M31" s="198"/>
      <c r="N31" s="198"/>
      <c r="O31" s="198"/>
      <c r="P31" s="198"/>
      <c r="Q31" s="198"/>
      <c r="R31" s="198"/>
      <c r="S31" s="198"/>
      <c r="T31" s="198"/>
      <c r="U31" s="198"/>
      <c r="V31" s="198"/>
      <c r="W31" s="198"/>
      <c r="X31" s="198"/>
      <c r="Y31" s="198"/>
      <c r="Z31" s="198"/>
    </row>
    <row r="32" spans="1:26" s="31" customFormat="1" ht="15" customHeight="1">
      <c r="A32" s="30"/>
      <c r="C32" s="198"/>
      <c r="D32" s="198"/>
      <c r="E32" s="198"/>
      <c r="F32" s="198"/>
      <c r="G32" s="198"/>
      <c r="H32" s="198"/>
      <c r="I32" s="198"/>
      <c r="J32" s="198"/>
      <c r="K32" s="198"/>
      <c r="L32" s="198"/>
      <c r="M32" s="198"/>
      <c r="N32" s="198"/>
      <c r="O32" s="198"/>
      <c r="P32" s="198"/>
      <c r="Q32" s="198"/>
      <c r="R32" s="198"/>
      <c r="S32" s="198"/>
      <c r="T32" s="198"/>
      <c r="U32" s="198"/>
      <c r="V32" s="198"/>
      <c r="W32" s="198"/>
      <c r="X32" s="198"/>
      <c r="Y32" s="198"/>
      <c r="Z32" s="198"/>
    </row>
    <row r="33" spans="1:30" s="31" customFormat="1" ht="9.9499999999999993" customHeight="1">
      <c r="A33" s="30"/>
    </row>
    <row r="34" spans="1:30" ht="15" customHeight="1">
      <c r="C34" s="32" t="s">
        <v>185</v>
      </c>
      <c r="D34" s="31"/>
      <c r="E34" s="31"/>
      <c r="F34" s="31"/>
      <c r="G34" s="31"/>
      <c r="H34" s="31"/>
      <c r="I34" s="31"/>
      <c r="J34" s="31"/>
      <c r="K34" s="31"/>
      <c r="L34" s="31"/>
      <c r="M34" s="31"/>
      <c r="N34" s="31"/>
      <c r="O34" s="31"/>
      <c r="P34" s="31"/>
      <c r="Q34" s="31"/>
      <c r="R34" s="31"/>
      <c r="S34" s="31"/>
      <c r="T34" s="31"/>
      <c r="U34" s="31"/>
      <c r="V34" s="31"/>
      <c r="W34" s="31"/>
      <c r="X34" s="31"/>
      <c r="Y34" s="31"/>
      <c r="Z34" s="31"/>
      <c r="AA34" s="31"/>
      <c r="AB34" s="31"/>
      <c r="AC34" s="31"/>
      <c r="AD34" s="31"/>
    </row>
    <row r="35" spans="1:30" ht="15" customHeight="1">
      <c r="C35" s="198" t="s">
        <v>196</v>
      </c>
      <c r="D35" s="198"/>
      <c r="E35" s="198"/>
      <c r="F35" s="198"/>
      <c r="G35" s="198"/>
      <c r="H35" s="198"/>
      <c r="I35" s="198"/>
      <c r="J35" s="198"/>
      <c r="K35" s="198"/>
      <c r="L35" s="198"/>
      <c r="M35" s="198"/>
      <c r="N35" s="198"/>
      <c r="O35" s="198"/>
      <c r="P35" s="198"/>
      <c r="Q35" s="198"/>
      <c r="R35" s="198"/>
      <c r="S35" s="198"/>
      <c r="T35" s="198"/>
      <c r="U35" s="198"/>
      <c r="V35" s="198"/>
      <c r="W35" s="198"/>
      <c r="X35" s="198"/>
      <c r="Y35" s="198"/>
      <c r="Z35" s="198"/>
      <c r="AA35" s="31"/>
      <c r="AB35" s="34"/>
      <c r="AC35" s="34"/>
      <c r="AD35" s="34"/>
    </row>
    <row r="36" spans="1:30" ht="15" customHeight="1">
      <c r="C36" s="198"/>
      <c r="D36" s="198"/>
      <c r="E36" s="198"/>
      <c r="F36" s="198"/>
      <c r="G36" s="198"/>
      <c r="H36" s="198"/>
      <c r="I36" s="198"/>
      <c r="J36" s="198"/>
      <c r="K36" s="198"/>
      <c r="L36" s="198"/>
      <c r="M36" s="198"/>
      <c r="N36" s="198"/>
      <c r="O36" s="198"/>
      <c r="P36" s="198"/>
      <c r="Q36" s="198"/>
      <c r="R36" s="198"/>
      <c r="S36" s="198"/>
      <c r="T36" s="198"/>
      <c r="U36" s="198"/>
      <c r="V36" s="198"/>
      <c r="W36" s="198"/>
      <c r="X36" s="198"/>
      <c r="Y36" s="198"/>
      <c r="Z36" s="198"/>
      <c r="AA36" s="31"/>
      <c r="AB36" s="34"/>
      <c r="AC36" s="34"/>
      <c r="AD36" s="34"/>
    </row>
    <row r="37" spans="1:30" s="31" customFormat="1" ht="9.9499999999999993" customHeight="1">
      <c r="A37" s="30"/>
    </row>
    <row r="38" spans="1:30" s="31" customFormat="1" ht="15" customHeight="1">
      <c r="A38" s="30"/>
      <c r="C38" s="32" t="s">
        <v>17</v>
      </c>
    </row>
    <row r="39" spans="1:30" s="31" customFormat="1" ht="9.9499999999999993" customHeight="1">
      <c r="A39" s="30"/>
    </row>
    <row r="40" spans="1:30" s="31" customFormat="1" ht="15" customHeight="1">
      <c r="A40" s="30"/>
      <c r="D40" s="187" t="s">
        <v>18</v>
      </c>
      <c r="E40" s="188"/>
      <c r="F40" s="188"/>
      <c r="G40" s="188"/>
      <c r="H40" s="188"/>
      <c r="I40" s="189"/>
      <c r="J40" s="187" t="s">
        <v>19</v>
      </c>
      <c r="K40" s="188"/>
      <c r="L40" s="188"/>
      <c r="M40" s="188"/>
      <c r="N40" s="188"/>
      <c r="O40" s="189"/>
      <c r="P40" s="187" t="s">
        <v>20</v>
      </c>
      <c r="Q40" s="188"/>
      <c r="R40" s="188"/>
      <c r="S40" s="188"/>
      <c r="T40" s="188"/>
      <c r="U40" s="189"/>
      <c r="V40" s="187" t="s">
        <v>21</v>
      </c>
      <c r="W40" s="188"/>
      <c r="X40" s="188"/>
      <c r="Y40" s="188"/>
      <c r="Z40" s="189"/>
    </row>
    <row r="41" spans="1:30" s="31" customFormat="1" ht="15" customHeight="1">
      <c r="A41" s="30"/>
      <c r="D41" s="190"/>
      <c r="E41" s="191"/>
      <c r="F41" s="191"/>
      <c r="G41" s="191"/>
      <c r="H41" s="191"/>
      <c r="I41" s="192"/>
      <c r="J41" s="190"/>
      <c r="K41" s="191"/>
      <c r="L41" s="191"/>
      <c r="M41" s="191"/>
      <c r="N41" s="191"/>
      <c r="O41" s="192"/>
      <c r="P41" s="190"/>
      <c r="Q41" s="191"/>
      <c r="R41" s="191"/>
      <c r="S41" s="191"/>
      <c r="T41" s="191"/>
      <c r="U41" s="192"/>
      <c r="V41" s="190"/>
      <c r="W41" s="191"/>
      <c r="X41" s="191"/>
      <c r="Y41" s="191"/>
      <c r="Z41" s="192"/>
    </row>
    <row r="42" spans="1:30" s="31" customFormat="1" ht="15" customHeight="1">
      <c r="A42" s="30"/>
      <c r="D42" s="180" t="str">
        <f>DataSheet!B31</f>
        <v>Multiproduct Calibrator</v>
      </c>
      <c r="E42" s="181"/>
      <c r="F42" s="181"/>
      <c r="G42" s="181"/>
      <c r="H42" s="181"/>
      <c r="I42" s="182"/>
      <c r="J42" s="180">
        <f>DataSheet!Q31</f>
        <v>8100021</v>
      </c>
      <c r="K42" s="181"/>
      <c r="L42" s="181"/>
      <c r="M42" s="181"/>
      <c r="N42" s="181"/>
      <c r="O42" s="182"/>
      <c r="P42" s="215" t="str">
        <f>DataSheet!AB31</f>
        <v>24-9973-01ALT Rev.00</v>
      </c>
      <c r="Q42" s="216"/>
      <c r="R42" s="216"/>
      <c r="S42" s="216"/>
      <c r="T42" s="216"/>
      <c r="U42" s="217"/>
      <c r="V42" s="193">
        <f>DataSheet!AO31</f>
        <v>45851</v>
      </c>
      <c r="W42" s="194"/>
      <c r="X42" s="194"/>
      <c r="Y42" s="194"/>
      <c r="Z42" s="195"/>
    </row>
    <row r="43" spans="1:30" s="31" customFormat="1" ht="9.9499999999999993" customHeight="1">
      <c r="A43" s="30"/>
    </row>
    <row r="44" spans="1:30" s="31" customFormat="1" ht="15" customHeight="1">
      <c r="A44" s="30"/>
      <c r="C44" s="32" t="s">
        <v>22</v>
      </c>
    </row>
    <row r="45" spans="1:30" s="31" customFormat="1" ht="15" customHeight="1">
      <c r="A45" s="30"/>
      <c r="C45" s="206" t="s">
        <v>135</v>
      </c>
      <c r="D45" s="206"/>
      <c r="E45" s="206"/>
      <c r="F45" s="206"/>
      <c r="G45" s="206"/>
      <c r="H45" s="206"/>
      <c r="I45" s="206"/>
      <c r="J45" s="206"/>
      <c r="K45" s="206"/>
      <c r="L45" s="206"/>
      <c r="M45" s="206"/>
      <c r="N45" s="206"/>
      <c r="O45" s="206"/>
      <c r="P45" s="206"/>
      <c r="Q45" s="206"/>
      <c r="R45" s="206"/>
      <c r="S45" s="206"/>
      <c r="T45" s="206"/>
      <c r="U45" s="206"/>
      <c r="V45" s="206"/>
      <c r="W45" s="206"/>
      <c r="X45" s="206"/>
      <c r="Y45" s="206"/>
      <c r="Z45" s="206"/>
      <c r="AA45" s="70"/>
    </row>
    <row r="46" spans="1:30" s="31" customFormat="1" ht="15" customHeight="1">
      <c r="A46" s="30"/>
      <c r="C46" s="206"/>
      <c r="D46" s="206"/>
      <c r="E46" s="206"/>
      <c r="F46" s="206"/>
      <c r="G46" s="206"/>
      <c r="H46" s="206"/>
      <c r="I46" s="206"/>
      <c r="J46" s="206"/>
      <c r="K46" s="206"/>
      <c r="L46" s="206"/>
      <c r="M46" s="206"/>
      <c r="N46" s="206"/>
      <c r="O46" s="206"/>
      <c r="P46" s="206"/>
      <c r="Q46" s="206"/>
      <c r="R46" s="206"/>
      <c r="S46" s="206"/>
      <c r="T46" s="206"/>
      <c r="U46" s="206"/>
      <c r="V46" s="206"/>
      <c r="W46" s="206"/>
      <c r="X46" s="206"/>
      <c r="Y46" s="206"/>
      <c r="Z46" s="206"/>
      <c r="AA46" s="70"/>
    </row>
    <row r="47" spans="1:30" s="31" customFormat="1" ht="15" customHeight="1">
      <c r="A47" s="30"/>
      <c r="C47" s="206"/>
      <c r="D47" s="206"/>
      <c r="E47" s="206"/>
      <c r="F47" s="206"/>
      <c r="G47" s="206"/>
      <c r="H47" s="206"/>
      <c r="I47" s="206"/>
      <c r="J47" s="206"/>
      <c r="K47" s="206"/>
      <c r="L47" s="206"/>
      <c r="M47" s="206"/>
      <c r="N47" s="206"/>
      <c r="O47" s="206"/>
      <c r="P47" s="206"/>
      <c r="Q47" s="206"/>
      <c r="R47" s="206"/>
      <c r="S47" s="206"/>
      <c r="T47" s="206"/>
      <c r="U47" s="206"/>
      <c r="V47" s="206"/>
      <c r="W47" s="206"/>
      <c r="X47" s="206"/>
      <c r="Y47" s="206"/>
      <c r="Z47" s="206"/>
      <c r="AA47" s="70"/>
    </row>
    <row r="48" spans="1:30" s="31" customFormat="1" ht="15" customHeight="1">
      <c r="A48" s="30"/>
      <c r="C48" s="31" t="s">
        <v>23</v>
      </c>
    </row>
    <row r="49" spans="1:48" s="31" customFormat="1" ht="15" customHeight="1">
      <c r="A49" s="30"/>
      <c r="C49" s="31" t="s">
        <v>200</v>
      </c>
    </row>
    <row r="50" spans="1:48" s="31" customFormat="1" ht="15" customHeight="1">
      <c r="C50" s="31" t="s">
        <v>160</v>
      </c>
      <c r="D50" s="70"/>
      <c r="E50" s="70"/>
      <c r="F50" s="70"/>
      <c r="G50" s="70"/>
      <c r="H50" s="70"/>
      <c r="I50" s="70"/>
      <c r="J50" s="70"/>
      <c r="K50" s="70"/>
      <c r="L50" s="70"/>
      <c r="M50" s="70"/>
      <c r="N50" s="70"/>
      <c r="O50" s="70"/>
      <c r="P50" s="70"/>
      <c r="Q50" s="70"/>
      <c r="R50" s="70"/>
      <c r="S50" s="70"/>
      <c r="T50" s="70"/>
      <c r="U50" s="70"/>
      <c r="V50" s="70"/>
      <c r="W50" s="70"/>
      <c r="X50" s="70"/>
      <c r="Y50" s="70"/>
      <c r="Z50" s="70"/>
      <c r="AA50" s="70"/>
    </row>
    <row r="51" spans="1:48" s="165" customFormat="1" ht="15" customHeight="1">
      <c r="A51" s="164"/>
      <c r="B51" s="36"/>
      <c r="C51" s="36" t="s">
        <v>197</v>
      </c>
      <c r="D51" s="36"/>
      <c r="E51" s="36"/>
      <c r="F51" s="36"/>
      <c r="G51" s="36"/>
      <c r="H51" s="36"/>
      <c r="I51" s="36"/>
      <c r="J51" s="36"/>
      <c r="K51" s="36"/>
      <c r="L51" s="36"/>
      <c r="M51" s="36"/>
      <c r="N51" s="36"/>
      <c r="O51" s="36"/>
      <c r="P51" s="36"/>
      <c r="Q51" s="36"/>
      <c r="R51" s="36"/>
      <c r="S51" s="36"/>
      <c r="T51" s="36"/>
      <c r="U51" s="36"/>
      <c r="V51" s="36"/>
      <c r="W51" s="36"/>
      <c r="X51" s="36"/>
      <c r="Y51" s="36"/>
      <c r="Z51" s="36"/>
      <c r="AA51" s="36"/>
      <c r="AB51" s="36"/>
      <c r="AC51" s="36"/>
      <c r="AD51" s="36"/>
      <c r="AE51" s="36"/>
      <c r="AF51" s="36"/>
      <c r="AG51" s="36"/>
      <c r="AH51" s="36"/>
      <c r="AI51" s="36"/>
      <c r="AJ51" s="36"/>
      <c r="AK51" s="36"/>
      <c r="AL51" s="36"/>
      <c r="AM51" s="36"/>
      <c r="AN51" s="36"/>
      <c r="AO51" s="36"/>
      <c r="AP51" s="36"/>
      <c r="AQ51" s="36"/>
      <c r="AR51" s="36"/>
      <c r="AS51" s="36"/>
      <c r="AT51" s="36"/>
      <c r="AU51" s="36"/>
      <c r="AV51" s="36"/>
    </row>
    <row r="52" spans="1:48" s="31" customFormat="1" ht="15" customHeight="1">
      <c r="A52" s="30"/>
      <c r="C52" s="31" t="s">
        <v>198</v>
      </c>
      <c r="O52" s="207">
        <f>EDATE(DataSheet!AL9,12)</f>
        <v>366</v>
      </c>
      <c r="P52" s="207"/>
      <c r="Q52" s="207"/>
    </row>
    <row r="53" spans="1:48" s="31" customFormat="1" ht="13.5">
      <c r="A53" s="30"/>
    </row>
    <row r="54" spans="1:48" s="31" customFormat="1" ht="13.5">
      <c r="A54" s="30"/>
    </row>
    <row r="55" spans="1:48" s="31" customFormat="1" ht="15" customHeight="1">
      <c r="A55" s="30"/>
      <c r="E55" s="178">
        <f>DataSheet!B175</f>
        <v>0</v>
      </c>
      <c r="F55" s="178"/>
      <c r="G55" s="178"/>
      <c r="H55" s="178"/>
      <c r="I55" s="178"/>
      <c r="J55" s="178"/>
      <c r="R55" s="178">
        <f>DataSheet!B178</f>
        <v>0</v>
      </c>
      <c r="S55" s="178"/>
      <c r="T55" s="178"/>
      <c r="U55" s="178"/>
      <c r="V55" s="178"/>
      <c r="W55" s="178"/>
    </row>
    <row r="56" spans="1:48" s="31" customFormat="1" ht="15" customHeight="1">
      <c r="A56" s="30"/>
      <c r="E56" s="179" t="s">
        <v>24</v>
      </c>
      <c r="F56" s="179"/>
      <c r="G56" s="179"/>
      <c r="H56" s="179"/>
      <c r="I56" s="179"/>
      <c r="J56" s="179"/>
      <c r="K56" s="36"/>
      <c r="R56" s="179" t="s">
        <v>192</v>
      </c>
      <c r="S56" s="179"/>
      <c r="T56" s="179"/>
      <c r="U56" s="179"/>
      <c r="V56" s="179"/>
      <c r="W56" s="179"/>
    </row>
    <row r="57" spans="1:48" s="31" customFormat="1" ht="15" customHeight="1">
      <c r="A57" s="30"/>
      <c r="D57" s="38"/>
      <c r="E57" s="38"/>
      <c r="F57" s="38"/>
      <c r="G57" s="38"/>
      <c r="H57" s="38"/>
      <c r="S57" s="38"/>
      <c r="T57" s="38"/>
      <c r="U57" s="38"/>
      <c r="V57" s="38"/>
      <c r="W57" s="38"/>
    </row>
    <row r="58" spans="1:48" s="31" customFormat="1" ht="15" customHeight="1">
      <c r="A58" s="30"/>
      <c r="D58" s="32" t="s">
        <v>25</v>
      </c>
      <c r="G58" s="214"/>
      <c r="H58" s="214"/>
      <c r="I58" s="214"/>
      <c r="J58" s="214"/>
    </row>
    <row r="59" spans="1:48" s="31" customFormat="1" ht="15" customHeight="1">
      <c r="A59" s="30"/>
      <c r="D59" s="32"/>
      <c r="G59" s="39"/>
      <c r="H59" s="39"/>
      <c r="I59" s="39"/>
      <c r="J59" s="39"/>
    </row>
    <row r="60" spans="1:48" s="31" customFormat="1" ht="15" customHeight="1">
      <c r="A60" s="30"/>
    </row>
    <row r="61" spans="1:48" s="31" customFormat="1" ht="15" customHeight="1">
      <c r="A61" s="30"/>
    </row>
    <row r="62" spans="1:48" s="31" customFormat="1" ht="15" customHeight="1">
      <c r="A62" s="30"/>
    </row>
    <row r="63" spans="1:48" s="31" customFormat="1" ht="15" customHeight="1">
      <c r="A63" s="30"/>
    </row>
    <row r="64" spans="1:48" s="31" customFormat="1" ht="15" customHeight="1">
      <c r="A64" s="30"/>
    </row>
    <row r="65" spans="1:26" s="31" customFormat="1" ht="15" customHeight="1">
      <c r="A65" s="30"/>
    </row>
    <row r="66" spans="1:26" s="31" customFormat="1" ht="15" customHeight="1">
      <c r="A66" s="30"/>
      <c r="C66" s="32" t="s">
        <v>26</v>
      </c>
    </row>
    <row r="67" spans="1:26" s="31" customFormat="1" ht="15" customHeight="1">
      <c r="A67" s="30"/>
      <c r="C67" s="32"/>
    </row>
    <row r="68" spans="1:26" s="31" customFormat="1" ht="15" customHeight="1">
      <c r="A68" s="30"/>
      <c r="C68" s="32"/>
      <c r="E68" s="40" t="str">
        <f>DataSheet!F50</f>
        <v>DC Voltage Test</v>
      </c>
      <c r="F68" s="41"/>
      <c r="G68" s="41"/>
      <c r="H68" s="41"/>
      <c r="I68" s="41"/>
      <c r="J68" s="41"/>
      <c r="K68" s="41"/>
      <c r="L68" s="41"/>
      <c r="O68" s="36"/>
      <c r="P68" s="42"/>
      <c r="Q68" s="41"/>
      <c r="R68" s="41"/>
      <c r="S68" s="41"/>
      <c r="T68" s="41"/>
      <c r="U68" s="41"/>
      <c r="V68" s="41"/>
      <c r="W68" s="41"/>
      <c r="X68" s="41"/>
      <c r="Y68" s="41"/>
      <c r="Z68" s="41"/>
    </row>
    <row r="69" spans="1:26" s="31" customFormat="1" ht="15" customHeight="1">
      <c r="A69" s="30"/>
      <c r="C69" s="32"/>
      <c r="E69" s="170" t="s">
        <v>27</v>
      </c>
      <c r="F69" s="170"/>
      <c r="G69" s="170"/>
      <c r="H69" s="170"/>
      <c r="I69" s="170" t="s">
        <v>28</v>
      </c>
      <c r="J69" s="170"/>
      <c r="K69" s="170"/>
      <c r="L69" s="170"/>
      <c r="M69" s="170" t="s">
        <v>73</v>
      </c>
      <c r="N69" s="170"/>
      <c r="O69" s="170"/>
      <c r="P69" s="170"/>
      <c r="Q69" s="170" t="s">
        <v>29</v>
      </c>
      <c r="R69" s="170"/>
      <c r="S69" s="170"/>
      <c r="T69" s="170"/>
      <c r="U69" s="170" t="s">
        <v>137</v>
      </c>
      <c r="V69" s="170"/>
      <c r="W69" s="170"/>
      <c r="X69" s="170"/>
    </row>
    <row r="70" spans="1:26" s="31" customFormat="1" ht="15" customHeight="1">
      <c r="A70" s="30"/>
      <c r="C70" s="32"/>
      <c r="E70" s="170"/>
      <c r="F70" s="170"/>
      <c r="G70" s="170"/>
      <c r="H70" s="170"/>
      <c r="I70" s="170"/>
      <c r="J70" s="170"/>
      <c r="K70" s="170"/>
      <c r="L70" s="170"/>
      <c r="M70" s="170"/>
      <c r="N70" s="170"/>
      <c r="O70" s="170"/>
      <c r="P70" s="170"/>
      <c r="Q70" s="170"/>
      <c r="R70" s="170"/>
      <c r="S70" s="170"/>
      <c r="T70" s="170"/>
      <c r="U70" s="170"/>
      <c r="V70" s="170"/>
      <c r="W70" s="170"/>
      <c r="X70" s="170"/>
    </row>
    <row r="71" spans="1:26" s="31" customFormat="1" ht="15" customHeight="1">
      <c r="A71" s="30"/>
      <c r="C71" s="32"/>
      <c r="E71" s="183" t="str">
        <f>DataSheet!F53</f>
        <v>50 mV</v>
      </c>
      <c r="F71" s="184"/>
      <c r="G71" s="184"/>
      <c r="H71" s="185"/>
      <c r="I71" s="166" t="str">
        <f>CONCATENATE(DataSheet!L53," ",DataSheet!P53)</f>
        <v>0 mV</v>
      </c>
      <c r="J71" s="167"/>
      <c r="K71" s="167"/>
      <c r="L71" s="168"/>
      <c r="M71" s="166" t="e">
        <f>CONCATENATE(DataSheet!AM53," ",DataSheet!P53)</f>
        <v>#DIV/0!</v>
      </c>
      <c r="N71" s="167"/>
      <c r="O71" s="167"/>
      <c r="P71" s="168"/>
      <c r="Q71" s="180" t="e">
        <f>CONCATENATE(TEXT(DataSheet!AR53,"0.000")," ",DataSheet!P53)</f>
        <v>#DIV/0!</v>
      </c>
      <c r="R71" s="181"/>
      <c r="S71" s="181"/>
      <c r="T71" s="182"/>
      <c r="U71" s="166" t="e">
        <f>CONCATENATE(TEXT(DataSheet!DD53,"0.000 00")," ",DataSheet!DE53)</f>
        <v>#DIV/0!</v>
      </c>
      <c r="V71" s="167"/>
      <c r="W71" s="167"/>
      <c r="X71" s="168"/>
    </row>
    <row r="72" spans="1:26" s="31" customFormat="1" ht="15" customHeight="1">
      <c r="A72" s="30"/>
      <c r="C72" s="32"/>
      <c r="E72" s="208"/>
      <c r="F72" s="209"/>
      <c r="G72" s="209"/>
      <c r="H72" s="210"/>
      <c r="I72" s="166" t="str">
        <f>CONCATENATE(DataSheet!L54," ",DataSheet!P54)</f>
        <v>0.025 mV</v>
      </c>
      <c r="J72" s="167"/>
      <c r="K72" s="167"/>
      <c r="L72" s="168"/>
      <c r="M72" s="166" t="e">
        <f>CONCATENATE(DataSheet!AM54," ",DataSheet!P54)</f>
        <v>#DIV/0!</v>
      </c>
      <c r="N72" s="167"/>
      <c r="O72" s="167"/>
      <c r="P72" s="168"/>
      <c r="Q72" s="180" t="e">
        <f>CONCATENATE(TEXT(DataSheet!AR54,"0.000")," ",DataSheet!P54)</f>
        <v>#DIV/0!</v>
      </c>
      <c r="R72" s="181"/>
      <c r="S72" s="181"/>
      <c r="T72" s="182"/>
      <c r="U72" s="166" t="e">
        <f>CONCATENATE(TEXT(DataSheet!DD54,"0.000 0")," ",DataSheet!DE54)</f>
        <v>#DIV/0!</v>
      </c>
      <c r="V72" s="167"/>
      <c r="W72" s="167"/>
      <c r="X72" s="168"/>
    </row>
    <row r="73" spans="1:26" s="31" customFormat="1" ht="15" customHeight="1">
      <c r="A73" s="30"/>
      <c r="C73" s="32"/>
      <c r="E73" s="208"/>
      <c r="F73" s="209"/>
      <c r="G73" s="209"/>
      <c r="H73" s="210"/>
      <c r="I73" s="166" t="str">
        <f>CONCATENATE(DataSheet!L55," ",DataSheet!P55)</f>
        <v>-0.025 mV</v>
      </c>
      <c r="J73" s="167"/>
      <c r="K73" s="167"/>
      <c r="L73" s="168"/>
      <c r="M73" s="166" t="e">
        <f>CONCATENATE(DataSheet!AM55," ",DataSheet!P55)</f>
        <v>#DIV/0!</v>
      </c>
      <c r="N73" s="167"/>
      <c r="O73" s="167"/>
      <c r="P73" s="168"/>
      <c r="Q73" s="180" t="e">
        <f>CONCATENATE(TEXT(DataSheet!AR55,"0.000")," ",DataSheet!P55)</f>
        <v>#DIV/0!</v>
      </c>
      <c r="R73" s="181"/>
      <c r="S73" s="181"/>
      <c r="T73" s="182"/>
      <c r="U73" s="166" t="e">
        <f>CONCATENATE(TEXT(DataSheet!DD55,"0.000 0")," ",DataSheet!DE55)</f>
        <v>#DIV/0!</v>
      </c>
      <c r="V73" s="167"/>
      <c r="W73" s="167"/>
      <c r="X73" s="168"/>
    </row>
    <row r="74" spans="1:26" s="31" customFormat="1" ht="15" customHeight="1">
      <c r="A74" s="30"/>
      <c r="C74" s="32"/>
      <c r="E74" s="211"/>
      <c r="F74" s="212"/>
      <c r="G74" s="212"/>
      <c r="H74" s="213"/>
      <c r="I74" s="166" t="str">
        <f>CONCATENATE(DataSheet!L56," ",DataSheet!P56)</f>
        <v>50 mV</v>
      </c>
      <c r="J74" s="167"/>
      <c r="K74" s="167"/>
      <c r="L74" s="168"/>
      <c r="M74" s="166" t="e">
        <f>CONCATENATE(DataSheet!AM56," ",DataSheet!P56)</f>
        <v>#DIV/0!</v>
      </c>
      <c r="N74" s="167"/>
      <c r="O74" s="167"/>
      <c r="P74" s="168"/>
      <c r="Q74" s="180" t="e">
        <f>CONCATENATE(TEXT(DataSheet!AR56,"0.000")," ",DataSheet!P56)</f>
        <v>#DIV/0!</v>
      </c>
      <c r="R74" s="181"/>
      <c r="S74" s="181"/>
      <c r="T74" s="182"/>
      <c r="U74" s="166" t="e">
        <f>CONCATENATE(TEXT(DataSheet!DD56,"0.000 0")," ",DataSheet!DE56)</f>
        <v>#DIV/0!</v>
      </c>
      <c r="V74" s="167"/>
      <c r="W74" s="167"/>
      <c r="X74" s="168"/>
    </row>
    <row r="75" spans="1:26" s="31" customFormat="1" ht="15" customHeight="1">
      <c r="A75" s="30"/>
      <c r="C75" s="32"/>
      <c r="E75" s="169" t="str">
        <f>DataSheet!F57</f>
        <v>500 mV</v>
      </c>
      <c r="F75" s="169"/>
      <c r="G75" s="169"/>
      <c r="H75" s="169"/>
      <c r="I75" s="169" t="str">
        <f>CONCATENATE(DataSheet!L57," ",DataSheet!P57)</f>
        <v>500 mV</v>
      </c>
      <c r="J75" s="169"/>
      <c r="K75" s="169"/>
      <c r="L75" s="169"/>
      <c r="M75" s="169" t="e">
        <f>CONCATENATE(DataSheet!AM57," ",DataSheet!P57)</f>
        <v>#DIV/0!</v>
      </c>
      <c r="N75" s="169"/>
      <c r="O75" s="169"/>
      <c r="P75" s="169"/>
      <c r="Q75" s="180" t="e">
        <f>CONCATENATE(TEXT(DataSheet!AR57,"0.00")," ",DataSheet!P57)</f>
        <v>#DIV/0!</v>
      </c>
      <c r="R75" s="181"/>
      <c r="S75" s="181"/>
      <c r="T75" s="182"/>
      <c r="U75" s="169" t="e">
        <f>CONCATENATE(TEXT(DataSheet!DD57,"0.000 0")," ",DataSheet!DE57)</f>
        <v>#DIV/0!</v>
      </c>
      <c r="V75" s="169"/>
      <c r="W75" s="169"/>
      <c r="X75" s="169"/>
    </row>
    <row r="76" spans="1:26" s="31" customFormat="1" ht="15" customHeight="1">
      <c r="A76" s="30"/>
      <c r="C76" s="32"/>
      <c r="E76" s="169"/>
      <c r="F76" s="169"/>
      <c r="G76" s="169"/>
      <c r="H76" s="169"/>
      <c r="I76" s="169" t="str">
        <f>CONCATENATE(DataSheet!L58," ",DataSheet!P58)</f>
        <v>-250 mV</v>
      </c>
      <c r="J76" s="169"/>
      <c r="K76" s="169"/>
      <c r="L76" s="169"/>
      <c r="M76" s="169" t="e">
        <f>CONCATENATE(DataSheet!AM58," ",DataSheet!P58)</f>
        <v>#DIV/0!</v>
      </c>
      <c r="N76" s="169"/>
      <c r="O76" s="169"/>
      <c r="P76" s="169"/>
      <c r="Q76" s="180" t="e">
        <f>CONCATENATE(TEXT(DataSheet!AR58,"0.00")," ",DataSheet!P58)</f>
        <v>#DIV/0!</v>
      </c>
      <c r="R76" s="181"/>
      <c r="S76" s="181"/>
      <c r="T76" s="182"/>
      <c r="U76" s="169" t="e">
        <f>CONCATENATE(TEXT(DataSheet!DD58,"0.000 0")," ",DataSheet!DE58)</f>
        <v>#DIV/0!</v>
      </c>
      <c r="V76" s="169"/>
      <c r="W76" s="169"/>
      <c r="X76" s="169"/>
    </row>
    <row r="77" spans="1:26" s="31" customFormat="1" ht="15" customHeight="1">
      <c r="A77" s="30"/>
      <c r="C77" s="32"/>
      <c r="E77" s="169" t="str">
        <f>DataSheet!F59</f>
        <v>5 V</v>
      </c>
      <c r="F77" s="169"/>
      <c r="G77" s="169"/>
      <c r="H77" s="169"/>
      <c r="I77" s="169" t="str">
        <f>CONCATENATE(DataSheet!L59," ",DataSheet!P59)</f>
        <v>4 V</v>
      </c>
      <c r="J77" s="169"/>
      <c r="K77" s="169"/>
      <c r="L77" s="169"/>
      <c r="M77" s="169" t="e">
        <f>CONCATENATE(TEXT(DataSheet!AM59,"0.000 0")," ",DataSheet!P59)</f>
        <v>#DIV/0!</v>
      </c>
      <c r="N77" s="169"/>
      <c r="O77" s="169"/>
      <c r="P77" s="169"/>
      <c r="Q77" s="180" t="e">
        <f>CONCATENATE(TEXT(DataSheet!AR59,"0.000 0")," ",DataSheet!P59)</f>
        <v>#DIV/0!</v>
      </c>
      <c r="R77" s="181"/>
      <c r="S77" s="181"/>
      <c r="T77" s="182"/>
      <c r="U77" s="169" t="e">
        <f>CONCATENATE(TEXT(DataSheet!DD59,"0.000 000")," ",DataSheet!DE59)</f>
        <v>#DIV/0!</v>
      </c>
      <c r="V77" s="169"/>
      <c r="W77" s="169"/>
      <c r="X77" s="169"/>
    </row>
    <row r="78" spans="1:26" s="31" customFormat="1" ht="15" customHeight="1">
      <c r="A78" s="30"/>
      <c r="C78" s="32"/>
      <c r="E78" s="169" t="str">
        <f>DataSheet!F60</f>
        <v>50 V</v>
      </c>
      <c r="F78" s="169"/>
      <c r="G78" s="169"/>
      <c r="H78" s="169"/>
      <c r="I78" s="169" t="str">
        <f>CONCATENATE(DataSheet!L60," ",DataSheet!P60)</f>
        <v>-40 V</v>
      </c>
      <c r="J78" s="169"/>
      <c r="K78" s="169"/>
      <c r="L78" s="169"/>
      <c r="M78" s="169" t="e">
        <f>CONCATENATE(DataSheet!AM60," ",DataSheet!P60)</f>
        <v>#DIV/0!</v>
      </c>
      <c r="N78" s="169"/>
      <c r="O78" s="169"/>
      <c r="P78" s="169"/>
      <c r="Q78" s="180" t="e">
        <f>CONCATENATE(TEXT(DataSheet!AR60,"0.000")," ",DataSheet!P60)</f>
        <v>#DIV/0!</v>
      </c>
      <c r="R78" s="181"/>
      <c r="S78" s="181"/>
      <c r="T78" s="182"/>
      <c r="U78" s="169" t="e">
        <f>CONCATENATE(TEXT(DataSheet!DD60,"0.000 00")," ",DataSheet!DE60)</f>
        <v>#DIV/0!</v>
      </c>
      <c r="V78" s="169"/>
      <c r="W78" s="169"/>
      <c r="X78" s="169"/>
    </row>
    <row r="79" spans="1:26" s="31" customFormat="1" ht="15" customHeight="1">
      <c r="A79" s="30"/>
      <c r="C79" s="32"/>
      <c r="E79" s="169" t="str">
        <f>DataSheet!F61</f>
        <v>500 V</v>
      </c>
      <c r="F79" s="169"/>
      <c r="G79" s="169"/>
      <c r="H79" s="169"/>
      <c r="I79" s="169" t="str">
        <f>CONCATENATE(DataSheet!L61," ",DataSheet!P61)</f>
        <v>400 V</v>
      </c>
      <c r="J79" s="169"/>
      <c r="K79" s="169"/>
      <c r="L79" s="169"/>
      <c r="M79" s="169" t="e">
        <f>CONCATENATE(DataSheet!AM61," ",DataSheet!P61)</f>
        <v>#DIV/0!</v>
      </c>
      <c r="N79" s="169"/>
      <c r="O79" s="169"/>
      <c r="P79" s="169"/>
      <c r="Q79" s="180" t="e">
        <f>CONCATENATE(TEXT(DataSheet!AR61,"0.00")," ",DataSheet!P61)</f>
        <v>#DIV/0!</v>
      </c>
      <c r="R79" s="181"/>
      <c r="S79" s="181"/>
      <c r="T79" s="182"/>
      <c r="U79" s="169" t="e">
        <f>CONCATENATE(TEXT(DataSheet!DD61,"0.000 0")," ",DataSheet!DE61)</f>
        <v>#DIV/0!</v>
      </c>
      <c r="V79" s="169"/>
      <c r="W79" s="169"/>
      <c r="X79" s="169"/>
    </row>
    <row r="80" spans="1:26" s="31" customFormat="1" ht="15" customHeight="1">
      <c r="A80" s="30"/>
      <c r="C80" s="32"/>
      <c r="E80" s="169" t="str">
        <f>DataSheet!F62</f>
        <v>1 000 V</v>
      </c>
      <c r="F80" s="169"/>
      <c r="G80" s="169"/>
      <c r="H80" s="169"/>
      <c r="I80" s="169" t="str">
        <f>CONCATENATE(DataSheet!L62," ",DataSheet!P62)</f>
        <v>600 V</v>
      </c>
      <c r="J80" s="169"/>
      <c r="K80" s="169"/>
      <c r="L80" s="169"/>
      <c r="M80" s="169" t="e">
        <f>CONCATENATE(DataSheet!AM62," ",DataSheet!P62)</f>
        <v>#DIV/0!</v>
      </c>
      <c r="N80" s="169"/>
      <c r="O80" s="169"/>
      <c r="P80" s="169"/>
      <c r="Q80" s="180" t="e">
        <f>CONCATENATE(TEXT(DataSheet!AR62,"0.0")," ",DataSheet!P62)</f>
        <v>#DIV/0!</v>
      </c>
      <c r="R80" s="181"/>
      <c r="S80" s="181"/>
      <c r="T80" s="182"/>
      <c r="U80" s="169" t="e">
        <f>CONCATENATE(TEXT(DataSheet!DD62,"0.000")," ",DataSheet!DE62)</f>
        <v>#DIV/0!</v>
      </c>
      <c r="V80" s="169"/>
      <c r="W80" s="169"/>
      <c r="X80" s="169"/>
    </row>
    <row r="81" spans="1:24" s="31" customFormat="1" ht="15" customHeight="1">
      <c r="A81" s="30"/>
    </row>
    <row r="82" spans="1:24" s="31" customFormat="1" ht="15" customHeight="1">
      <c r="A82" s="30"/>
      <c r="D82" s="41"/>
      <c r="E82" s="32" t="str">
        <f>DataSheet!F64</f>
        <v>DC/AC Voltage Test</v>
      </c>
      <c r="H82" s="41"/>
      <c r="I82" s="41"/>
      <c r="J82" s="41"/>
      <c r="M82" s="41"/>
      <c r="P82" s="41"/>
      <c r="Q82" s="41"/>
      <c r="R82" s="41"/>
      <c r="S82" s="41"/>
      <c r="T82" s="41"/>
      <c r="U82" s="41"/>
      <c r="W82" s="41"/>
      <c r="X82" s="41"/>
    </row>
    <row r="83" spans="1:24" s="31" customFormat="1" ht="15" customHeight="1">
      <c r="A83" s="30"/>
      <c r="E83" s="170" t="s">
        <v>27</v>
      </c>
      <c r="F83" s="170"/>
      <c r="G83" s="170"/>
      <c r="H83" s="170"/>
      <c r="I83" s="170" t="s">
        <v>28</v>
      </c>
      <c r="J83" s="170"/>
      <c r="K83" s="170"/>
      <c r="L83" s="170"/>
      <c r="M83" s="170" t="s">
        <v>73</v>
      </c>
      <c r="N83" s="170"/>
      <c r="O83" s="170"/>
      <c r="P83" s="170"/>
      <c r="Q83" s="170" t="s">
        <v>29</v>
      </c>
      <c r="R83" s="170"/>
      <c r="S83" s="170"/>
      <c r="T83" s="170"/>
      <c r="U83" s="170" t="s">
        <v>137</v>
      </c>
      <c r="V83" s="170"/>
      <c r="W83" s="170"/>
      <c r="X83" s="170"/>
    </row>
    <row r="84" spans="1:24" s="31" customFormat="1" ht="15" customHeight="1">
      <c r="A84" s="30"/>
      <c r="E84" s="170"/>
      <c r="F84" s="170"/>
      <c r="G84" s="170"/>
      <c r="H84" s="170"/>
      <c r="I84" s="170"/>
      <c r="J84" s="170"/>
      <c r="K84" s="170"/>
      <c r="L84" s="170"/>
      <c r="M84" s="170"/>
      <c r="N84" s="170"/>
      <c r="O84" s="170"/>
      <c r="P84" s="170"/>
      <c r="Q84" s="170"/>
      <c r="R84" s="170"/>
      <c r="S84" s="170"/>
      <c r="T84" s="170"/>
      <c r="U84" s="170"/>
      <c r="V84" s="170"/>
      <c r="W84" s="170"/>
      <c r="X84" s="170"/>
    </row>
    <row r="85" spans="1:24" s="31" customFormat="1" ht="15" customHeight="1">
      <c r="A85" s="30"/>
      <c r="E85" s="169" t="str">
        <f>DataSheet!F67</f>
        <v>500 mV</v>
      </c>
      <c r="F85" s="169"/>
      <c r="G85" s="169"/>
      <c r="H85" s="169"/>
      <c r="I85" s="169" t="str">
        <f>CONCATENATE(DataSheet!L67," ",DataSheet!P67)</f>
        <v>50 mV</v>
      </c>
      <c r="J85" s="169"/>
      <c r="K85" s="169"/>
      <c r="L85" s="169"/>
      <c r="M85" s="169" t="e">
        <f>CONCATENATE(TEXT(DataSheet!AM67,"0.00")," ",DataSheet!P67)</f>
        <v>#DIV/0!</v>
      </c>
      <c r="N85" s="169"/>
      <c r="O85" s="169"/>
      <c r="P85" s="169"/>
      <c r="Q85" s="186" t="e">
        <f>CONCATENATE(TEXT(DataSheet!AR67,"0.00")," ",DataSheet!P67)</f>
        <v>#DIV/0!</v>
      </c>
      <c r="R85" s="186"/>
      <c r="S85" s="186"/>
      <c r="T85" s="186"/>
      <c r="U85" s="169" t="e">
        <f>CONCATENATE(TEXT(DataSheet!DD67,"0.000 0")," ",DataSheet!DE67)</f>
        <v>#DIV/0!</v>
      </c>
      <c r="V85" s="169"/>
      <c r="W85" s="169"/>
      <c r="X85" s="169"/>
    </row>
    <row r="86" spans="1:24" s="31" customFormat="1" ht="15" customHeight="1">
      <c r="A86" s="30"/>
      <c r="E86" s="169" t="str">
        <f>DataSheet!F68</f>
        <v>5 V</v>
      </c>
      <c r="F86" s="169"/>
      <c r="G86" s="169"/>
      <c r="H86" s="169"/>
      <c r="I86" s="169" t="str">
        <f>CONCATENATE(DataSheet!L68," ",DataSheet!P68)</f>
        <v>0.2 V</v>
      </c>
      <c r="J86" s="169"/>
      <c r="K86" s="169"/>
      <c r="L86" s="169"/>
      <c r="M86" s="169" t="e">
        <f>CONCATENATE(TEXT(DataSheet!AM68,"0.000 0")," ",DataSheet!P68)</f>
        <v>#DIV/0!</v>
      </c>
      <c r="N86" s="169"/>
      <c r="O86" s="169"/>
      <c r="P86" s="169"/>
      <c r="Q86" s="186" t="e">
        <f>CONCATENATE(TEXT(DataSheet!AR68,"0.00")," ",DataSheet!P68)</f>
        <v>#DIV/0!</v>
      </c>
      <c r="R86" s="186"/>
      <c r="S86" s="186"/>
      <c r="T86" s="186"/>
      <c r="U86" s="169" t="e">
        <f>CONCATENATE(TEXT(DataSheet!DD68,"0.000 000")," ",DataSheet!DE68)</f>
        <v>#DIV/0!</v>
      </c>
      <c r="V86" s="169"/>
      <c r="W86" s="169"/>
      <c r="X86" s="169"/>
    </row>
    <row r="87" spans="1:24" s="31" customFormat="1" ht="15" customHeight="1">
      <c r="A87" s="30"/>
      <c r="G87" s="65"/>
      <c r="H87" s="65"/>
      <c r="I87" s="65"/>
      <c r="J87" s="65"/>
      <c r="K87" s="65"/>
      <c r="L87" s="65"/>
      <c r="M87" s="65"/>
      <c r="N87" s="65"/>
      <c r="O87" s="65"/>
      <c r="P87" s="65"/>
      <c r="Q87" s="65"/>
      <c r="R87" s="65"/>
      <c r="S87" s="65"/>
      <c r="T87" s="65"/>
      <c r="U87" s="65"/>
      <c r="V87" s="65"/>
      <c r="W87" s="65"/>
      <c r="X87" s="65"/>
    </row>
    <row r="88" spans="1:24" s="31" customFormat="1" ht="15" customHeight="1">
      <c r="A88" s="30"/>
      <c r="D88" s="41"/>
      <c r="E88" s="32" t="str">
        <f>DataSheet!F70</f>
        <v>AC/DC Voltage Test</v>
      </c>
      <c r="H88" s="41"/>
      <c r="I88" s="41"/>
      <c r="J88" s="41"/>
      <c r="M88" s="41"/>
      <c r="P88" s="41"/>
      <c r="Q88" s="41"/>
      <c r="R88" s="41"/>
      <c r="S88" s="41"/>
      <c r="T88" s="41"/>
      <c r="U88" s="41"/>
      <c r="W88" s="41"/>
      <c r="X88" s="41"/>
    </row>
    <row r="89" spans="1:24" s="31" customFormat="1" ht="15" customHeight="1">
      <c r="A89" s="30"/>
      <c r="E89" s="170" t="s">
        <v>27</v>
      </c>
      <c r="F89" s="170"/>
      <c r="G89" s="170"/>
      <c r="H89" s="170"/>
      <c r="I89" s="170" t="s">
        <v>28</v>
      </c>
      <c r="J89" s="170"/>
      <c r="K89" s="170"/>
      <c r="L89" s="170"/>
      <c r="M89" s="170" t="s">
        <v>73</v>
      </c>
      <c r="N89" s="170"/>
      <c r="O89" s="170"/>
      <c r="P89" s="170"/>
      <c r="Q89" s="170" t="s">
        <v>29</v>
      </c>
      <c r="R89" s="170"/>
      <c r="S89" s="170"/>
      <c r="T89" s="170"/>
      <c r="U89" s="170" t="s">
        <v>137</v>
      </c>
      <c r="V89" s="170"/>
      <c r="W89" s="170"/>
      <c r="X89" s="170"/>
    </row>
    <row r="90" spans="1:24" s="31" customFormat="1" ht="15" customHeight="1">
      <c r="A90" s="30"/>
      <c r="E90" s="170"/>
      <c r="F90" s="170"/>
      <c r="G90" s="170"/>
      <c r="H90" s="170"/>
      <c r="I90" s="170"/>
      <c r="J90" s="170"/>
      <c r="K90" s="170"/>
      <c r="L90" s="170"/>
      <c r="M90" s="170"/>
      <c r="N90" s="170"/>
      <c r="O90" s="170"/>
      <c r="P90" s="170"/>
      <c r="Q90" s="170"/>
      <c r="R90" s="170"/>
      <c r="S90" s="170"/>
      <c r="T90" s="170"/>
      <c r="U90" s="170"/>
      <c r="V90" s="170"/>
      <c r="W90" s="170"/>
      <c r="X90" s="170"/>
    </row>
    <row r="91" spans="1:24" s="31" customFormat="1" ht="15" customHeight="1">
      <c r="A91" s="30"/>
      <c r="E91" s="183" t="str">
        <f>DataSheet!F73</f>
        <v>500 mV</v>
      </c>
      <c r="F91" s="184"/>
      <c r="G91" s="184"/>
      <c r="H91" s="185"/>
      <c r="I91" s="169" t="str">
        <f>CONCATENATE(DataSheet!L73," ",DataSheet!P73," / ",DataSheet!S73)</f>
        <v>250 mV / 35 kHz</v>
      </c>
      <c r="J91" s="169"/>
      <c r="K91" s="169"/>
      <c r="L91" s="169"/>
      <c r="M91" s="169" t="e">
        <f>CONCATENATE(TEXT(DataSheet!AM73,"0.00")," ",DataSheet!P73)</f>
        <v>#DIV/0!</v>
      </c>
      <c r="N91" s="169"/>
      <c r="O91" s="169"/>
      <c r="P91" s="169"/>
      <c r="Q91" s="186" t="e">
        <f>CONCATENATE(TEXT(DataSheet!AR73,"0.00")," ",DataSheet!P73)</f>
        <v>#DIV/0!</v>
      </c>
      <c r="R91" s="186"/>
      <c r="S91" s="186"/>
      <c r="T91" s="186"/>
      <c r="U91" s="169" t="e">
        <f>CONCATENATE(TEXT(DataSheet!DD73,"0.000")," ",DataSheet!DE73)</f>
        <v>#DIV/0!</v>
      </c>
      <c r="V91" s="169"/>
      <c r="W91" s="169"/>
      <c r="X91" s="169"/>
    </row>
    <row r="92" spans="1:24" s="31" customFormat="1" ht="15" customHeight="1">
      <c r="A92" s="30"/>
      <c r="E92" s="169" t="str">
        <f>DataSheet!F74</f>
        <v>5 V</v>
      </c>
      <c r="F92" s="169"/>
      <c r="G92" s="169"/>
      <c r="H92" s="169"/>
      <c r="I92" s="169" t="str">
        <f>CONCATENATE(DataSheet!L74," ",DataSheet!P74," / ",DataSheet!S74)</f>
        <v>2 V / 5 kHz</v>
      </c>
      <c r="J92" s="169"/>
      <c r="K92" s="169"/>
      <c r="L92" s="169"/>
      <c r="M92" s="169" t="e">
        <f>CONCATENATE(TEXT(DataSheet!AM74,"0.000 0")," ",DataSheet!P74)</f>
        <v>#DIV/0!</v>
      </c>
      <c r="N92" s="169"/>
      <c r="O92" s="169"/>
      <c r="P92" s="169"/>
      <c r="Q92" s="186" t="e">
        <f>CONCATENATE(TEXT(DataSheet!AR74,"0.00")," ",DataSheet!P74)</f>
        <v>#DIV/0!</v>
      </c>
      <c r="R92" s="186"/>
      <c r="S92" s="186"/>
      <c r="T92" s="186"/>
      <c r="U92" s="169" t="e">
        <f>CONCATENATE(TEXT(DataSheet!DD74,"0.000 0")," ",DataSheet!DE74)</f>
        <v>#DIV/0!</v>
      </c>
      <c r="V92" s="169"/>
      <c r="W92" s="169"/>
      <c r="X92" s="169"/>
    </row>
    <row r="93" spans="1:24" s="31" customFormat="1" ht="15" customHeight="1">
      <c r="A93" s="30"/>
      <c r="E93" s="65"/>
      <c r="F93" s="65"/>
      <c r="G93" s="65"/>
      <c r="H93" s="65"/>
      <c r="I93" s="65"/>
      <c r="J93" s="65"/>
      <c r="K93" s="65"/>
      <c r="L93" s="65"/>
      <c r="M93" s="65"/>
      <c r="N93" s="65"/>
      <c r="O93" s="65"/>
      <c r="P93" s="65"/>
      <c r="Q93" s="65"/>
      <c r="R93" s="65"/>
      <c r="S93" s="65"/>
      <c r="T93" s="65"/>
      <c r="U93" s="65"/>
      <c r="V93" s="65"/>
    </row>
    <row r="94" spans="1:24" s="31" customFormat="1" ht="15" customHeight="1">
      <c r="A94" s="30"/>
      <c r="E94" s="32" t="str">
        <f>DataSheet!F76</f>
        <v>AC Voltage Test</v>
      </c>
      <c r="H94" s="41"/>
      <c r="I94" s="41"/>
      <c r="J94" s="41"/>
      <c r="M94" s="41"/>
      <c r="P94" s="41"/>
      <c r="Q94" s="41"/>
      <c r="R94" s="41"/>
      <c r="S94" s="41"/>
      <c r="T94" s="41"/>
      <c r="U94" s="41"/>
      <c r="W94" s="41"/>
      <c r="X94" s="41"/>
    </row>
    <row r="95" spans="1:24" s="31" customFormat="1" ht="15" customHeight="1">
      <c r="A95" s="30"/>
      <c r="E95" s="170" t="s">
        <v>27</v>
      </c>
      <c r="F95" s="170"/>
      <c r="G95" s="170"/>
      <c r="H95" s="170"/>
      <c r="I95" s="170" t="s">
        <v>28</v>
      </c>
      <c r="J95" s="170"/>
      <c r="K95" s="170"/>
      <c r="L95" s="170"/>
      <c r="M95" s="170" t="s">
        <v>73</v>
      </c>
      <c r="N95" s="170"/>
      <c r="O95" s="170"/>
      <c r="P95" s="170"/>
      <c r="Q95" s="170" t="s">
        <v>29</v>
      </c>
      <c r="R95" s="170"/>
      <c r="S95" s="170"/>
      <c r="T95" s="170"/>
      <c r="U95" s="170" t="s">
        <v>137</v>
      </c>
      <c r="V95" s="170"/>
      <c r="W95" s="170"/>
      <c r="X95" s="170"/>
    </row>
    <row r="96" spans="1:24" s="31" customFormat="1" ht="15" customHeight="1">
      <c r="A96" s="30"/>
      <c r="E96" s="170"/>
      <c r="F96" s="170"/>
      <c r="G96" s="170"/>
      <c r="H96" s="170"/>
      <c r="I96" s="170"/>
      <c r="J96" s="170"/>
      <c r="K96" s="170"/>
      <c r="L96" s="170"/>
      <c r="M96" s="170"/>
      <c r="N96" s="170"/>
      <c r="O96" s="170"/>
      <c r="P96" s="170"/>
      <c r="Q96" s="170"/>
      <c r="R96" s="170"/>
      <c r="S96" s="170"/>
      <c r="T96" s="170"/>
      <c r="U96" s="170"/>
      <c r="V96" s="170"/>
      <c r="W96" s="170"/>
      <c r="X96" s="170"/>
    </row>
    <row r="97" spans="1:27" s="31" customFormat="1" ht="15" customHeight="1">
      <c r="A97" s="30"/>
      <c r="E97" s="169" t="str">
        <f>DataSheet!F79</f>
        <v>50 mV</v>
      </c>
      <c r="F97" s="169"/>
      <c r="G97" s="169"/>
      <c r="H97" s="169"/>
      <c r="I97" s="169" t="str">
        <f>CONCATENATE(DataSheet!L79," ",DataSheet!P79," / ",DataSheet!S79)</f>
        <v>5 mV / 20 Hz</v>
      </c>
      <c r="J97" s="169"/>
      <c r="K97" s="169"/>
      <c r="L97" s="169"/>
      <c r="M97" s="166" t="e">
        <f>CONCATENATE(DataSheet!AM79," ",DataSheet!P79)</f>
        <v>#DIV/0!</v>
      </c>
      <c r="N97" s="167"/>
      <c r="O97" s="167"/>
      <c r="P97" s="168"/>
      <c r="Q97" s="180" t="e">
        <f>CONCATENATE(TEXT(DataSheet!AR79,"0.000")," ",DataSheet!P79)</f>
        <v>#DIV/0!</v>
      </c>
      <c r="R97" s="181"/>
      <c r="S97" s="181"/>
      <c r="T97" s="182"/>
      <c r="U97" s="169" t="e">
        <f>CONCATENATE(TEXT(DataSheet!DD79,"0.000 0")," ",DataSheet!DE79)</f>
        <v>#DIV/0!</v>
      </c>
      <c r="V97" s="169"/>
      <c r="W97" s="169"/>
      <c r="X97" s="169"/>
    </row>
    <row r="98" spans="1:27" s="31" customFormat="1" ht="15" customHeight="1">
      <c r="A98" s="30"/>
      <c r="E98" s="169"/>
      <c r="F98" s="169"/>
      <c r="G98" s="169"/>
      <c r="H98" s="169"/>
      <c r="I98" s="169" t="str">
        <f>CONCATENATE(DataSheet!L80," ",DataSheet!P80," / ",DataSheet!S80)</f>
        <v>50 mV / 65 kHz</v>
      </c>
      <c r="J98" s="169"/>
      <c r="K98" s="169"/>
      <c r="L98" s="169"/>
      <c r="M98" s="169" t="e">
        <f>CONCATENATE(DataSheet!AM80," ",DataSheet!P80)</f>
        <v>#DIV/0!</v>
      </c>
      <c r="N98" s="169"/>
      <c r="O98" s="169"/>
      <c r="P98" s="169"/>
      <c r="Q98" s="180" t="e">
        <f>CONCATENATE(TEXT(DataSheet!AR80,"0.000")," ",DataSheet!P80)</f>
        <v>#DIV/0!</v>
      </c>
      <c r="R98" s="181"/>
      <c r="S98" s="181"/>
      <c r="T98" s="182"/>
      <c r="U98" s="169" t="e">
        <f>CONCATENATE(TEXT(DataSheet!DD80,"0.00")," ",DataSheet!DE80)</f>
        <v>#DIV/0!</v>
      </c>
      <c r="V98" s="169"/>
      <c r="W98" s="169"/>
      <c r="X98" s="169"/>
    </row>
    <row r="99" spans="1:27" s="31" customFormat="1" ht="15" customHeight="1">
      <c r="A99" s="30"/>
      <c r="E99" s="169" t="str">
        <f>DataSheet!F81</f>
        <v>500 mV</v>
      </c>
      <c r="F99" s="169"/>
      <c r="G99" s="169"/>
      <c r="H99" s="169"/>
      <c r="I99" s="169" t="str">
        <f>CONCATENATE(DataSheet!L81," ",DataSheet!P81," / ",DataSheet!S81)</f>
        <v>50 mV / 100 kHz</v>
      </c>
      <c r="J99" s="169"/>
      <c r="K99" s="169"/>
      <c r="L99" s="169"/>
      <c r="M99" s="169" t="e">
        <f>CONCATENATE(DataSheet!AM81," ",DataSheet!P81)</f>
        <v>#DIV/0!</v>
      </c>
      <c r="N99" s="169"/>
      <c r="O99" s="169"/>
      <c r="P99" s="169"/>
      <c r="Q99" s="180" t="e">
        <f>CONCATENATE(TEXT(DataSheet!AR81,"0.00")," ",DataSheet!P81)</f>
        <v>#DIV/0!</v>
      </c>
      <c r="R99" s="181"/>
      <c r="S99" s="181"/>
      <c r="T99" s="182"/>
      <c r="U99" s="169" t="e">
        <f>CONCATENATE(TEXT(DataSheet!DD81,"0.00")," ",DataSheet!DE81)</f>
        <v>#DIV/0!</v>
      </c>
      <c r="V99" s="169"/>
      <c r="W99" s="169"/>
      <c r="X99" s="169"/>
    </row>
    <row r="100" spans="1:27" s="31" customFormat="1" ht="15" customHeight="1">
      <c r="A100" s="30"/>
      <c r="E100" s="169"/>
      <c r="F100" s="169"/>
      <c r="G100" s="169"/>
      <c r="H100" s="169"/>
      <c r="I100" s="169" t="str">
        <f>CONCATENATE(DataSheet!L82," ",DataSheet!P82," / ",DataSheet!S82)</f>
        <v>250 mV / 65 Hz</v>
      </c>
      <c r="J100" s="169"/>
      <c r="K100" s="169"/>
      <c r="L100" s="169"/>
      <c r="M100" s="169" t="e">
        <f>CONCATENATE(DataSheet!AM82," ",DataSheet!P82)</f>
        <v>#DIV/0!</v>
      </c>
      <c r="N100" s="169"/>
      <c r="O100" s="169"/>
      <c r="P100" s="169"/>
      <c r="Q100" s="180" t="e">
        <f>CONCATENATE(TEXT(DataSheet!AR82,"0.00")," ",DataSheet!P82)</f>
        <v>#DIV/0!</v>
      </c>
      <c r="R100" s="181"/>
      <c r="S100" s="181"/>
      <c r="T100" s="182"/>
      <c r="U100" s="169" t="e">
        <f>CONCATENATE(TEXT(DataSheet!DD82,"0.000")," ",DataSheet!DE82)</f>
        <v>#DIV/0!</v>
      </c>
      <c r="V100" s="169"/>
      <c r="W100" s="169"/>
      <c r="X100" s="169"/>
    </row>
    <row r="101" spans="1:27" s="31" customFormat="1" ht="15" customHeight="1">
      <c r="A101" s="30"/>
      <c r="E101" s="169"/>
      <c r="F101" s="169"/>
      <c r="G101" s="169"/>
      <c r="H101" s="169"/>
      <c r="I101" s="169" t="str">
        <f>CONCATENATE(DataSheet!L83," ",DataSheet!P83," / ",DataSheet!S83)</f>
        <v>500 mV / 45 Hz</v>
      </c>
      <c r="J101" s="169"/>
      <c r="K101" s="169"/>
      <c r="L101" s="169"/>
      <c r="M101" s="169" t="e">
        <f>CONCATENATE(DataSheet!AM83," ",DataSheet!P83)</f>
        <v>#DIV/0!</v>
      </c>
      <c r="N101" s="169"/>
      <c r="O101" s="169"/>
      <c r="P101" s="169"/>
      <c r="Q101" s="180" t="e">
        <f>CONCATENATE(TEXT(DataSheet!AR83,"0.00")," ",DataSheet!P83)</f>
        <v>#DIV/0!</v>
      </c>
      <c r="R101" s="181"/>
      <c r="S101" s="181"/>
      <c r="T101" s="182"/>
      <c r="U101" s="169" t="e">
        <f>CONCATENATE(TEXT(DataSheet!DD83,"0.00")," ",DataSheet!DE83)</f>
        <v>#DIV/0!</v>
      </c>
      <c r="V101" s="169"/>
      <c r="W101" s="169"/>
      <c r="X101" s="169"/>
    </row>
    <row r="102" spans="1:27" s="31" customFormat="1" ht="15" customHeight="1">
      <c r="A102" s="30"/>
      <c r="E102" s="169" t="str">
        <f>DataSheet!F84</f>
        <v>5 V</v>
      </c>
      <c r="F102" s="169"/>
      <c r="G102" s="169"/>
      <c r="H102" s="169"/>
      <c r="I102" s="169" t="str">
        <f>CONCATENATE(DataSheet!L84," ",DataSheet!P84," / ",DataSheet!S84)</f>
        <v>0.1 V / 60 Hz</v>
      </c>
      <c r="J102" s="169"/>
      <c r="K102" s="169"/>
      <c r="L102" s="169"/>
      <c r="M102" s="169" t="e">
        <f>CONCATENATE(TEXT(DataSheet!AM84,"0.000 0")," ",DataSheet!P84)</f>
        <v>#DIV/0!</v>
      </c>
      <c r="N102" s="169"/>
      <c r="O102" s="169"/>
      <c r="P102" s="169"/>
      <c r="Q102" s="180" t="e">
        <f>CONCATENATE(TEXT(DataSheet!AR84,"0.000 0")," ",DataSheet!P84)</f>
        <v>#DIV/0!</v>
      </c>
      <c r="R102" s="181"/>
      <c r="S102" s="181"/>
      <c r="T102" s="182"/>
      <c r="U102" s="169" t="e">
        <f>CONCATENATE(TEXT(DataSheet!DD84,"0.000 000")," ",DataSheet!DE84)</f>
        <v>#DIV/0!</v>
      </c>
      <c r="V102" s="169"/>
      <c r="W102" s="169"/>
      <c r="X102" s="169"/>
    </row>
    <row r="103" spans="1:27" s="31" customFormat="1" ht="15" customHeight="1">
      <c r="A103" s="30"/>
      <c r="E103" s="169"/>
      <c r="F103" s="169"/>
      <c r="G103" s="169"/>
      <c r="H103" s="169"/>
      <c r="I103" s="169" t="str">
        <f>CONCATENATE(DataSheet!L85," ",DataSheet!P85," / ",DataSheet!S85)</f>
        <v>0.5 V / 10 kHz</v>
      </c>
      <c r="J103" s="169"/>
      <c r="K103" s="169"/>
      <c r="L103" s="169"/>
      <c r="M103" s="169" t="e">
        <f>CONCATENATE(TEXT(DataSheet!AM85,"0.000 0")," ",DataSheet!P85)</f>
        <v>#DIV/0!</v>
      </c>
      <c r="N103" s="169"/>
      <c r="O103" s="169"/>
      <c r="P103" s="169"/>
      <c r="Q103" s="180" t="e">
        <f>CONCATENATE(TEXT(DataSheet!AR85,"0.000 0")," ",DataSheet!P85)</f>
        <v>#DIV/0!</v>
      </c>
      <c r="R103" s="181"/>
      <c r="S103" s="181"/>
      <c r="T103" s="182"/>
      <c r="U103" s="169" t="e">
        <f>CONCATENATE(TEXT(DataSheet!DD85,"0.000 0")," ",DataSheet!DE85)</f>
        <v>#DIV/0!</v>
      </c>
      <c r="V103" s="169"/>
      <c r="W103" s="169"/>
      <c r="X103" s="169"/>
    </row>
    <row r="104" spans="1:27" s="31" customFormat="1" ht="15" customHeight="1">
      <c r="A104" s="30"/>
      <c r="E104" s="169"/>
      <c r="F104" s="169"/>
      <c r="G104" s="169"/>
      <c r="H104" s="169"/>
      <c r="I104" s="169" t="str">
        <f>CONCATENATE(DataSheet!L86," ",DataSheet!P86," / ",DataSheet!S86)</f>
        <v>3 V / 100 kHz</v>
      </c>
      <c r="J104" s="169"/>
      <c r="K104" s="169"/>
      <c r="L104" s="169"/>
      <c r="M104" s="169" t="e">
        <f>CONCATENATE(TEXT(DataSheet!AM86,"0.000 0")," ",DataSheet!P86)</f>
        <v>#DIV/0!</v>
      </c>
      <c r="N104" s="169"/>
      <c r="O104" s="169"/>
      <c r="P104" s="169"/>
      <c r="Q104" s="180" t="e">
        <f>CONCATENATE(TEXT(DataSheet!AR86,"0.000 0")," ",DataSheet!P86)</f>
        <v>#DIV/0!</v>
      </c>
      <c r="R104" s="181"/>
      <c r="S104" s="181"/>
      <c r="T104" s="182"/>
      <c r="U104" s="169" t="e">
        <f>CONCATENATE(TEXT(DataSheet!DD86,"0.000 0")," ",DataSheet!DE86)</f>
        <v>#DIV/0!</v>
      </c>
      <c r="V104" s="169"/>
      <c r="W104" s="169"/>
      <c r="X104" s="169"/>
    </row>
    <row r="105" spans="1:27" s="31" customFormat="1" ht="15" customHeight="1">
      <c r="A105" s="30"/>
      <c r="E105" s="169" t="str">
        <f>DataSheet!F87</f>
        <v>50 V</v>
      </c>
      <c r="F105" s="169"/>
      <c r="G105" s="169"/>
      <c r="H105" s="169"/>
      <c r="I105" s="169" t="str">
        <f>CONCATENATE(DataSheet!L87," ",DataSheet!P87," / ",DataSheet!S87)</f>
        <v>15 V / 100 kHz</v>
      </c>
      <c r="J105" s="169"/>
      <c r="K105" s="169"/>
      <c r="L105" s="169"/>
      <c r="M105" s="169" t="e">
        <f>CONCATENATE(DataSheet!AM87," ",DataSheet!P87)</f>
        <v>#DIV/0!</v>
      </c>
      <c r="N105" s="169"/>
      <c r="O105" s="169"/>
      <c r="P105" s="169"/>
      <c r="Q105" s="180" t="e">
        <f>CONCATENATE(TEXT(DataSheet!AR87,"0.000")," ",DataSheet!P87)</f>
        <v>#DIV/0!</v>
      </c>
      <c r="R105" s="181"/>
      <c r="S105" s="181"/>
      <c r="T105" s="182"/>
      <c r="U105" s="169" t="e">
        <f>CONCATENATE(TEXT(DataSheet!DD87,"0.000")," ",DataSheet!DE87)</f>
        <v>#DIV/0!</v>
      </c>
      <c r="V105" s="169"/>
      <c r="W105" s="169"/>
      <c r="X105" s="169"/>
    </row>
    <row r="106" spans="1:27" s="31" customFormat="1" ht="15" customHeight="1">
      <c r="A106" s="30"/>
      <c r="E106" s="169" t="str">
        <f>DataSheet!F88</f>
        <v>500 V</v>
      </c>
      <c r="F106" s="169"/>
      <c r="G106" s="169"/>
      <c r="H106" s="169"/>
      <c r="I106" s="169" t="str">
        <f>CONCATENATE(DataSheet!L88," ",DataSheet!P88," / ",DataSheet!S88)</f>
        <v>500 V / 10 kHz</v>
      </c>
      <c r="J106" s="169"/>
      <c r="K106" s="169"/>
      <c r="L106" s="169"/>
      <c r="M106" s="169" t="e">
        <f>CONCATENATE(DataSheet!AM88," ",DataSheet!P88)</f>
        <v>#DIV/0!</v>
      </c>
      <c r="N106" s="169"/>
      <c r="O106" s="169"/>
      <c r="P106" s="169"/>
      <c r="Q106" s="180" t="e">
        <f>CONCATENATE(TEXT(DataSheet!AR88,"0.00")," ",DataSheet!P88)</f>
        <v>#DIV/0!</v>
      </c>
      <c r="R106" s="181"/>
      <c r="S106" s="181"/>
      <c r="T106" s="182"/>
      <c r="U106" s="169" t="e">
        <f>CONCATENATE(TEXT(DataSheet!DD88,"0.00")," ",DataSheet!DE88)</f>
        <v>#DIV/0!</v>
      </c>
      <c r="V106" s="169"/>
      <c r="W106" s="169"/>
      <c r="X106" s="169"/>
    </row>
    <row r="107" spans="1:27" s="31" customFormat="1" ht="15" customHeight="1">
      <c r="A107" s="30"/>
      <c r="E107" s="169" t="str">
        <f>DataSheet!F89</f>
        <v>1 000 V</v>
      </c>
      <c r="F107" s="169"/>
      <c r="G107" s="169"/>
      <c r="H107" s="169"/>
      <c r="I107" s="169" t="str">
        <f>CONCATENATE(TEXT(DataSheet!L89,"0 000")," ",DataSheet!P89," / ",DataSheet!S89)</f>
        <v>1 000 V / 10 kHz</v>
      </c>
      <c r="J107" s="169"/>
      <c r="K107" s="169"/>
      <c r="L107" s="169"/>
      <c r="M107" s="169" t="e">
        <f>CONCATENATE(DataSheet!AM89," ",DataSheet!P89)</f>
        <v>#DIV/0!</v>
      </c>
      <c r="N107" s="169"/>
      <c r="O107" s="169"/>
      <c r="P107" s="169"/>
      <c r="Q107" s="180" t="e">
        <f>CONCATENATE(TEXT(DataSheet!AR89,"0.0")," ",DataSheet!P89)</f>
        <v>#DIV/0!</v>
      </c>
      <c r="R107" s="181"/>
      <c r="S107" s="181"/>
      <c r="T107" s="182"/>
      <c r="U107" s="169" t="e">
        <f>CONCATENATE(TEXT(DataSheet!DD89,"0.00")," ",DataSheet!DE89)</f>
        <v>#DIV/0!</v>
      </c>
      <c r="V107" s="169"/>
      <c r="W107" s="169"/>
      <c r="X107" s="169"/>
    </row>
    <row r="108" spans="1:27" s="31" customFormat="1" ht="15" customHeight="1">
      <c r="A108" s="30"/>
      <c r="C108" s="41"/>
      <c r="D108" s="41"/>
      <c r="E108" s="41"/>
      <c r="F108" s="41"/>
      <c r="G108" s="41"/>
      <c r="H108" s="41"/>
      <c r="I108" s="41"/>
      <c r="J108" s="41"/>
      <c r="K108" s="33"/>
      <c r="M108" s="36"/>
      <c r="N108" s="42"/>
      <c r="O108" s="41"/>
      <c r="P108" s="41"/>
      <c r="Q108" s="41"/>
      <c r="R108" s="41"/>
      <c r="S108" s="41"/>
      <c r="T108" s="41"/>
      <c r="U108" s="41"/>
      <c r="V108" s="41"/>
      <c r="W108" s="41"/>
      <c r="X108" s="41"/>
      <c r="Y108" s="41"/>
      <c r="Z108" s="41"/>
    </row>
    <row r="109" spans="1:27" s="31" customFormat="1" ht="15" customHeight="1">
      <c r="A109" s="30"/>
    </row>
    <row r="110" spans="1:27" s="31" customFormat="1" ht="15" customHeight="1">
      <c r="A110" s="30"/>
      <c r="C110" s="178">
        <f>DataSheet!B175</f>
        <v>0</v>
      </c>
      <c r="D110" s="178"/>
      <c r="E110" s="178"/>
      <c r="F110" s="178"/>
      <c r="G110" s="178"/>
      <c r="H110" s="178"/>
      <c r="I110" s="178"/>
      <c r="J110" s="178"/>
      <c r="K110" s="178"/>
      <c r="L110" s="178"/>
      <c r="M110" s="178"/>
      <c r="N110" s="178"/>
      <c r="O110" s="178"/>
      <c r="P110" s="178"/>
      <c r="Q110" s="178"/>
      <c r="R110" s="178"/>
      <c r="S110" s="178"/>
      <c r="T110" s="178"/>
      <c r="U110" s="178"/>
      <c r="V110" s="178"/>
      <c r="W110" s="178"/>
      <c r="X110" s="178"/>
      <c r="Y110" s="178"/>
      <c r="Z110" s="178"/>
      <c r="AA110" s="33"/>
    </row>
    <row r="111" spans="1:27" s="31" customFormat="1" ht="15" customHeight="1">
      <c r="A111" s="30"/>
      <c r="C111" s="179" t="s">
        <v>24</v>
      </c>
      <c r="D111" s="179"/>
      <c r="E111" s="179"/>
      <c r="F111" s="179"/>
      <c r="G111" s="179"/>
      <c r="H111" s="179"/>
      <c r="I111" s="179"/>
      <c r="J111" s="179"/>
      <c r="K111" s="179"/>
      <c r="L111" s="179"/>
      <c r="M111" s="179"/>
      <c r="N111" s="179"/>
      <c r="O111" s="179"/>
      <c r="P111" s="179"/>
      <c r="Q111" s="179"/>
      <c r="R111" s="179"/>
      <c r="S111" s="179"/>
      <c r="T111" s="179"/>
      <c r="U111" s="179"/>
      <c r="V111" s="179"/>
      <c r="W111" s="179"/>
      <c r="X111" s="179"/>
      <c r="Y111" s="179"/>
      <c r="Z111" s="179"/>
      <c r="AA111" s="36"/>
    </row>
    <row r="112" spans="1:27" s="31" customFormat="1" ht="15" customHeight="1">
      <c r="A112" s="30"/>
      <c r="AA112" s="36"/>
    </row>
    <row r="113" spans="1:28" s="31" customFormat="1" ht="15" customHeight="1">
      <c r="A113" s="30"/>
      <c r="C113" s="38"/>
      <c r="D113" s="38"/>
      <c r="E113" s="38"/>
      <c r="F113" s="38"/>
      <c r="G113" s="38"/>
      <c r="H113" s="38"/>
      <c r="I113" s="38"/>
      <c r="J113" s="38"/>
      <c r="K113" s="38"/>
      <c r="L113" s="38"/>
      <c r="M113" s="38"/>
      <c r="N113" s="38"/>
      <c r="O113" s="38"/>
      <c r="P113" s="38"/>
      <c r="Q113" s="38"/>
      <c r="R113" s="38"/>
      <c r="S113" s="38"/>
      <c r="T113" s="38"/>
      <c r="U113" s="38"/>
      <c r="V113" s="38"/>
      <c r="W113" s="38"/>
      <c r="X113" s="38"/>
      <c r="Y113" s="38"/>
      <c r="Z113" s="38"/>
      <c r="AA113" s="36"/>
    </row>
    <row r="114" spans="1:28" s="31" customFormat="1" ht="15" customHeight="1">
      <c r="A114" s="30"/>
      <c r="D114" s="36"/>
      <c r="F114" s="36"/>
      <c r="G114" s="38"/>
      <c r="H114" s="38"/>
      <c r="I114" s="38"/>
      <c r="J114" s="38"/>
      <c r="K114" s="36"/>
      <c r="L114" s="36"/>
      <c r="M114" s="36"/>
      <c r="N114" s="36"/>
      <c r="O114" s="36"/>
      <c r="P114" s="36"/>
      <c r="Q114" s="36"/>
      <c r="R114" s="38"/>
      <c r="S114" s="38"/>
      <c r="T114" s="38"/>
      <c r="U114" s="38"/>
      <c r="V114" s="38"/>
      <c r="W114" s="36"/>
      <c r="X114" s="36"/>
      <c r="Y114" s="36"/>
      <c r="Z114" s="36"/>
      <c r="AA114" s="36"/>
    </row>
    <row r="115" spans="1:28" s="31" customFormat="1" ht="15" customHeight="1">
      <c r="A115" s="30"/>
      <c r="E115" s="43"/>
      <c r="F115" s="43"/>
      <c r="G115" s="43"/>
      <c r="H115" s="43"/>
      <c r="L115" s="36"/>
      <c r="M115" s="36"/>
      <c r="N115" s="36"/>
      <c r="R115" s="36"/>
      <c r="S115" s="36"/>
      <c r="T115" s="36"/>
      <c r="U115" s="36"/>
      <c r="V115" s="36"/>
      <c r="W115" s="36"/>
      <c r="X115" s="36"/>
      <c r="Y115" s="36"/>
    </row>
    <row r="116" spans="1:28" s="31" customFormat="1" ht="15" customHeight="1">
      <c r="A116" s="30"/>
    </row>
    <row r="117" spans="1:28" s="31" customFormat="1" ht="15" customHeight="1">
      <c r="A117" s="30"/>
    </row>
    <row r="118" spans="1:28" s="31" customFormat="1" ht="15" customHeight="1">
      <c r="A118" s="30"/>
      <c r="Q118" s="33"/>
      <c r="R118" s="33"/>
      <c r="S118" s="33"/>
      <c r="T118" s="33"/>
    </row>
    <row r="119" spans="1:28" s="31" customFormat="1" ht="15" customHeight="1">
      <c r="A119" s="30"/>
      <c r="Q119" s="33"/>
      <c r="R119" s="33"/>
      <c r="S119" s="33"/>
      <c r="T119" s="33"/>
    </row>
    <row r="120" spans="1:28" s="31" customFormat="1" ht="15" customHeight="1">
      <c r="A120" s="30"/>
      <c r="C120" s="32" t="s">
        <v>26</v>
      </c>
      <c r="Q120" s="33"/>
      <c r="R120" s="33"/>
      <c r="S120" s="33"/>
      <c r="T120" s="33"/>
    </row>
    <row r="121" spans="1:28" s="31" customFormat="1" ht="15" customHeight="1">
      <c r="A121" s="30"/>
      <c r="Q121" s="33"/>
      <c r="R121" s="33"/>
      <c r="S121" s="33"/>
      <c r="T121" s="33"/>
    </row>
    <row r="122" spans="1:28" s="31" customFormat="1" ht="15" customHeight="1">
      <c r="A122" s="30"/>
      <c r="D122" s="41"/>
      <c r="E122" s="32" t="str">
        <f>DataSheet!F91</f>
        <v>AC Voltage Frequency Test</v>
      </c>
      <c r="H122" s="41"/>
      <c r="I122" s="41"/>
      <c r="J122" s="41"/>
      <c r="M122" s="36"/>
      <c r="O122" s="41"/>
      <c r="P122" s="41"/>
      <c r="Q122" s="41"/>
      <c r="T122" s="41"/>
      <c r="U122" s="41"/>
      <c r="V122" s="41"/>
      <c r="W122" s="41"/>
      <c r="X122" s="41"/>
      <c r="Y122" s="41"/>
      <c r="Z122" s="41"/>
      <c r="AA122" s="36"/>
      <c r="AB122" s="43"/>
    </row>
    <row r="123" spans="1:28" s="31" customFormat="1" ht="15" customHeight="1">
      <c r="A123" s="30"/>
      <c r="E123" s="170" t="s">
        <v>27</v>
      </c>
      <c r="F123" s="170"/>
      <c r="G123" s="170"/>
      <c r="H123" s="170"/>
      <c r="I123" s="170" t="s">
        <v>28</v>
      </c>
      <c r="J123" s="170"/>
      <c r="K123" s="170"/>
      <c r="L123" s="170"/>
      <c r="M123" s="170" t="s">
        <v>73</v>
      </c>
      <c r="N123" s="170"/>
      <c r="O123" s="170"/>
      <c r="P123" s="170"/>
      <c r="Q123" s="171" t="s">
        <v>29</v>
      </c>
      <c r="R123" s="171"/>
      <c r="S123" s="171"/>
      <c r="T123" s="171"/>
      <c r="U123" s="170" t="s">
        <v>137</v>
      </c>
      <c r="V123" s="170"/>
      <c r="W123" s="170"/>
      <c r="X123" s="170"/>
    </row>
    <row r="124" spans="1:28" s="31" customFormat="1" ht="15" customHeight="1">
      <c r="A124" s="30"/>
      <c r="E124" s="170"/>
      <c r="F124" s="170"/>
      <c r="G124" s="170"/>
      <c r="H124" s="170"/>
      <c r="I124" s="170"/>
      <c r="J124" s="170"/>
      <c r="K124" s="170"/>
      <c r="L124" s="170"/>
      <c r="M124" s="170"/>
      <c r="N124" s="170"/>
      <c r="O124" s="170"/>
      <c r="P124" s="170"/>
      <c r="Q124" s="171"/>
      <c r="R124" s="171"/>
      <c r="S124" s="171"/>
      <c r="T124" s="171"/>
      <c r="U124" s="170"/>
      <c r="V124" s="170"/>
      <c r="W124" s="170"/>
      <c r="X124" s="170"/>
    </row>
    <row r="125" spans="1:28" s="31" customFormat="1" ht="15" customHeight="1">
      <c r="A125" s="30"/>
      <c r="E125" s="169" t="str">
        <f>DataSheet!F94</f>
        <v>500 mV</v>
      </c>
      <c r="F125" s="169"/>
      <c r="G125" s="169"/>
      <c r="H125" s="169"/>
      <c r="I125" s="169" t="str">
        <f>CONCATENATE(DataSheet!L94," ",DataSheet!BZ94," / ",DataSheet!S94)</f>
        <v>45 Hz / 500 mV</v>
      </c>
      <c r="J125" s="169"/>
      <c r="K125" s="169"/>
      <c r="L125" s="169"/>
      <c r="M125" s="169" t="e">
        <f>CONCATENATE(DataSheet!AM94," ",DataSheet!BZ94)</f>
        <v>#DIV/0!</v>
      </c>
      <c r="N125" s="169"/>
      <c r="O125" s="169"/>
      <c r="P125" s="169"/>
      <c r="Q125" s="169" t="e">
        <f>CONCATENATE(TEXT(DataSheet!AR94,"0.000")," ",DataSheet!BZ94)</f>
        <v>#DIV/0!</v>
      </c>
      <c r="R125" s="169"/>
      <c r="S125" s="169"/>
      <c r="T125" s="169"/>
      <c r="U125" s="169" t="e">
        <f>CONCATENATE(TEXT(DataSheet!DD94,"0.000 00")," ",DataSheet!DE94)</f>
        <v>#DIV/0!</v>
      </c>
      <c r="V125" s="169"/>
      <c r="W125" s="169"/>
      <c r="X125" s="169"/>
    </row>
    <row r="126" spans="1:28" s="31" customFormat="1" ht="15" customHeight="1">
      <c r="A126" s="30"/>
      <c r="E126" s="169"/>
      <c r="F126" s="169"/>
      <c r="G126" s="169"/>
      <c r="H126" s="169"/>
      <c r="I126" s="169" t="str">
        <f>CONCATENATE(DataSheet!L95," ",DataSheet!BZ95," / ",DataSheet!S95)</f>
        <v>950 kHz / 600 mV</v>
      </c>
      <c r="J126" s="169"/>
      <c r="K126" s="169"/>
      <c r="L126" s="169"/>
      <c r="M126" s="169" t="e">
        <f>CONCATENATE(DataSheet!AM95," ",DataSheet!BZ95)</f>
        <v>#DIV/0!</v>
      </c>
      <c r="N126" s="169"/>
      <c r="O126" s="169"/>
      <c r="P126" s="169"/>
      <c r="Q126" s="169" t="e">
        <f>CONCATENATE(TEXT(DataSheet!AR95,"0.000")," ",DataSheet!BZ95)</f>
        <v>#DIV/0!</v>
      </c>
      <c r="R126" s="169"/>
      <c r="S126" s="169"/>
      <c r="T126" s="169"/>
      <c r="U126" s="169" t="e">
        <f>CONCATENATE(TEXT(DataSheet!DD95,"0.000 0")," ",DataSheet!DE95)</f>
        <v>#DIV/0!</v>
      </c>
      <c r="V126" s="169"/>
      <c r="W126" s="169"/>
      <c r="X126" s="169"/>
    </row>
    <row r="127" spans="1:28" s="31" customFormat="1" ht="15" customHeight="1">
      <c r="A127" s="30"/>
      <c r="G127" s="65"/>
      <c r="H127" s="65"/>
      <c r="I127" s="65"/>
      <c r="J127" s="65"/>
      <c r="K127" s="65"/>
      <c r="L127" s="65"/>
      <c r="M127" s="65"/>
      <c r="N127" s="65"/>
      <c r="O127" s="65"/>
      <c r="P127" s="65"/>
      <c r="Q127" s="65"/>
      <c r="R127" s="65"/>
      <c r="S127" s="65"/>
      <c r="T127" s="65"/>
      <c r="U127" s="65"/>
      <c r="V127" s="65"/>
      <c r="W127" s="65"/>
      <c r="X127" s="65"/>
      <c r="Y127" s="65"/>
      <c r="Z127" s="65"/>
    </row>
    <row r="128" spans="1:28" s="31" customFormat="1" ht="15" customHeight="1">
      <c r="A128" s="30"/>
      <c r="E128" s="66" t="str">
        <f>DataSheet!F97</f>
        <v>AC Voltage Duty Cycle Test</v>
      </c>
    </row>
    <row r="129" spans="1:26" s="31" customFormat="1" ht="15" customHeight="1">
      <c r="A129" s="30"/>
      <c r="E129" s="170" t="s">
        <v>173</v>
      </c>
      <c r="F129" s="170"/>
      <c r="G129" s="170"/>
      <c r="H129" s="170"/>
      <c r="I129" s="170" t="s">
        <v>28</v>
      </c>
      <c r="J129" s="170"/>
      <c r="K129" s="170"/>
      <c r="L129" s="170"/>
      <c r="M129" s="170" t="s">
        <v>73</v>
      </c>
      <c r="N129" s="170"/>
      <c r="O129" s="170"/>
      <c r="P129" s="170"/>
      <c r="Q129" s="171" t="s">
        <v>29</v>
      </c>
      <c r="R129" s="171"/>
      <c r="S129" s="171"/>
      <c r="T129" s="171"/>
      <c r="U129" s="170" t="s">
        <v>137</v>
      </c>
      <c r="V129" s="170"/>
      <c r="W129" s="170"/>
      <c r="X129" s="170"/>
    </row>
    <row r="130" spans="1:26" s="31" customFormat="1" ht="15" customHeight="1">
      <c r="A130" s="30"/>
      <c r="E130" s="170"/>
      <c r="F130" s="170"/>
      <c r="G130" s="170"/>
      <c r="H130" s="170"/>
      <c r="I130" s="170"/>
      <c r="J130" s="170"/>
      <c r="K130" s="170"/>
      <c r="L130" s="170"/>
      <c r="M130" s="170"/>
      <c r="N130" s="170"/>
      <c r="O130" s="170"/>
      <c r="P130" s="170"/>
      <c r="Q130" s="171"/>
      <c r="R130" s="171"/>
      <c r="S130" s="171"/>
      <c r="T130" s="171"/>
      <c r="U130" s="170"/>
      <c r="V130" s="170"/>
      <c r="W130" s="170"/>
      <c r="X130" s="170"/>
    </row>
    <row r="131" spans="1:26" s="31" customFormat="1" ht="30" customHeight="1">
      <c r="A131" s="30"/>
      <c r="E131" s="218" t="str">
        <f>DataSheet!S100</f>
        <v>5 V p-p Sq. Wave / 50 kHz</v>
      </c>
      <c r="F131" s="218"/>
      <c r="G131" s="218"/>
      <c r="H131" s="218"/>
      <c r="I131" s="218" t="str">
        <f>CONCATENATE(DataSheet!L100," ",DataSheet!P100," *")</f>
        <v>15 % *</v>
      </c>
      <c r="J131" s="218"/>
      <c r="K131" s="218"/>
      <c r="L131" s="218"/>
      <c r="M131" s="218" t="e">
        <f>CONCATENATE(DataSheet!AM100," ",DataSheet!P100)</f>
        <v>#DIV/0!</v>
      </c>
      <c r="N131" s="218"/>
      <c r="O131" s="218"/>
      <c r="P131" s="218"/>
      <c r="Q131" s="169" t="e">
        <f>CONCATENATE(TEXT(DataSheet!AR100,"0.00")," ",DataSheet!P100)</f>
        <v>#DIV/0!</v>
      </c>
      <c r="R131" s="169"/>
      <c r="S131" s="169"/>
      <c r="T131" s="169"/>
      <c r="U131" s="219" t="s">
        <v>30</v>
      </c>
      <c r="V131" s="219"/>
      <c r="W131" s="219"/>
      <c r="X131" s="219"/>
    </row>
    <row r="132" spans="1:26" s="31" customFormat="1" ht="15" customHeight="1">
      <c r="A132" s="30"/>
      <c r="H132" s="65"/>
      <c r="I132" s="65"/>
      <c r="J132" s="65"/>
      <c r="K132" s="65"/>
      <c r="M132" s="65"/>
      <c r="N132" s="65"/>
      <c r="O132" s="65"/>
      <c r="P132" s="65"/>
      <c r="R132" s="65"/>
      <c r="S132" s="65"/>
      <c r="T132" s="65"/>
      <c r="U132" s="65"/>
      <c r="W132" s="65"/>
      <c r="X132" s="65"/>
      <c r="Y132" s="65"/>
      <c r="Z132" s="65"/>
    </row>
    <row r="133" spans="1:26" s="31" customFormat="1" ht="15" customHeight="1">
      <c r="A133" s="30"/>
      <c r="E133" s="66" t="str">
        <f>DataSheet!F108</f>
        <v>AC Voltage Peak Test</v>
      </c>
    </row>
    <row r="134" spans="1:26" s="31" customFormat="1" ht="15" customHeight="1">
      <c r="A134" s="30"/>
      <c r="E134" s="170" t="s">
        <v>173</v>
      </c>
      <c r="F134" s="170"/>
      <c r="G134" s="170"/>
      <c r="H134" s="170"/>
      <c r="I134" s="170" t="s">
        <v>28</v>
      </c>
      <c r="J134" s="170"/>
      <c r="K134" s="170"/>
      <c r="L134" s="170"/>
      <c r="M134" s="170" t="s">
        <v>73</v>
      </c>
      <c r="N134" s="170"/>
      <c r="O134" s="170"/>
      <c r="P134" s="170"/>
      <c r="Q134" s="171" t="s">
        <v>29</v>
      </c>
      <c r="R134" s="171"/>
      <c r="S134" s="171"/>
      <c r="T134" s="171"/>
      <c r="U134" s="170" t="s">
        <v>137</v>
      </c>
      <c r="V134" s="170"/>
      <c r="W134" s="170"/>
      <c r="X134" s="170"/>
    </row>
    <row r="135" spans="1:26" s="31" customFormat="1" ht="15" customHeight="1">
      <c r="A135" s="30"/>
      <c r="E135" s="170"/>
      <c r="F135" s="170"/>
      <c r="G135" s="170"/>
      <c r="H135" s="170"/>
      <c r="I135" s="170"/>
      <c r="J135" s="170"/>
      <c r="K135" s="170"/>
      <c r="L135" s="170"/>
      <c r="M135" s="170"/>
      <c r="N135" s="170"/>
      <c r="O135" s="170"/>
      <c r="P135" s="170"/>
      <c r="Q135" s="171"/>
      <c r="R135" s="171"/>
      <c r="S135" s="171"/>
      <c r="T135" s="171"/>
      <c r="U135" s="170"/>
      <c r="V135" s="170"/>
      <c r="W135" s="170"/>
      <c r="X135" s="170"/>
    </row>
    <row r="136" spans="1:26" s="31" customFormat="1" ht="30" customHeight="1">
      <c r="A136" s="30"/>
      <c r="E136" s="218" t="str">
        <f>DataSheet!S111</f>
        <v>4 V p-p Sq. Wave, +1 V offset</v>
      </c>
      <c r="F136" s="218"/>
      <c r="G136" s="218"/>
      <c r="H136" s="218"/>
      <c r="I136" s="218" t="str">
        <f>DataSheet!L111&amp;" "&amp;DataSheet!P111</f>
        <v>2 kHz</v>
      </c>
      <c r="J136" s="218"/>
      <c r="K136" s="218"/>
      <c r="L136" s="218"/>
      <c r="M136" s="218" t="e">
        <f>CONCATENATE(DataSheet!AM111," ",DataSheet!P111)</f>
        <v>#DIV/0!</v>
      </c>
      <c r="N136" s="218"/>
      <c r="O136" s="218"/>
      <c r="P136" s="218"/>
      <c r="Q136" s="169" t="e">
        <f>CONCATENATE(TEXT(DataSheet!AR111,"0.000")," ",DataSheet!BZ105)</f>
        <v>#DIV/0!</v>
      </c>
      <c r="R136" s="169"/>
      <c r="S136" s="169"/>
      <c r="T136" s="169"/>
      <c r="U136" s="169" t="e">
        <f>CONCATENATE(TEXT(DataSheet!DD111,"0.000 00")," ",DataSheet!DE111)</f>
        <v>#DIV/0!</v>
      </c>
      <c r="V136" s="169"/>
      <c r="W136" s="169"/>
      <c r="X136" s="169"/>
    </row>
    <row r="137" spans="1:26" s="31" customFormat="1" ht="15" customHeight="1">
      <c r="A137" s="30"/>
      <c r="E137" s="67"/>
      <c r="F137" s="67"/>
      <c r="G137" s="67"/>
      <c r="H137" s="67"/>
      <c r="I137" s="67"/>
      <c r="J137" s="67"/>
      <c r="K137" s="67"/>
      <c r="L137" s="67"/>
      <c r="M137" s="67"/>
      <c r="N137" s="67"/>
      <c r="O137" s="67"/>
      <c r="P137" s="67"/>
      <c r="Q137" s="67"/>
      <c r="R137" s="67"/>
      <c r="S137" s="67"/>
      <c r="T137" s="68"/>
      <c r="U137" s="68"/>
      <c r="V137" s="68"/>
      <c r="W137" s="68"/>
      <c r="X137" s="68"/>
    </row>
    <row r="138" spans="1:26" s="31" customFormat="1" ht="15" customHeight="1">
      <c r="A138" s="30"/>
      <c r="E138" s="40" t="str">
        <f>DataSheet!F113</f>
        <v>Temperature Test</v>
      </c>
      <c r="F138" s="41"/>
      <c r="G138" s="41"/>
      <c r="H138" s="41"/>
      <c r="I138" s="41"/>
      <c r="J138" s="41"/>
      <c r="K138" s="41"/>
      <c r="L138" s="41"/>
      <c r="M138" s="41"/>
      <c r="N138" s="41"/>
      <c r="O138" s="41"/>
      <c r="P138" s="41"/>
      <c r="Q138" s="41"/>
      <c r="R138" s="41"/>
      <c r="S138" s="41"/>
      <c r="T138" s="41"/>
      <c r="U138" s="41"/>
      <c r="V138" s="41"/>
      <c r="W138" s="41"/>
      <c r="X138" s="41"/>
    </row>
    <row r="139" spans="1:26" s="31" customFormat="1" ht="15" customHeight="1">
      <c r="A139" s="30"/>
      <c r="E139" s="170" t="s">
        <v>27</v>
      </c>
      <c r="F139" s="170"/>
      <c r="G139" s="170"/>
      <c r="H139" s="170"/>
      <c r="I139" s="170" t="s">
        <v>28</v>
      </c>
      <c r="J139" s="170"/>
      <c r="K139" s="170"/>
      <c r="L139" s="170"/>
      <c r="M139" s="170" t="s">
        <v>73</v>
      </c>
      <c r="N139" s="170"/>
      <c r="O139" s="170"/>
      <c r="P139" s="170"/>
      <c r="Q139" s="171" t="s">
        <v>29</v>
      </c>
      <c r="R139" s="171"/>
      <c r="S139" s="171"/>
      <c r="T139" s="171"/>
      <c r="U139" s="170" t="s">
        <v>137</v>
      </c>
      <c r="V139" s="170"/>
      <c r="W139" s="170"/>
      <c r="X139" s="170"/>
    </row>
    <row r="140" spans="1:26" s="31" customFormat="1" ht="15" customHeight="1">
      <c r="A140" s="30"/>
      <c r="E140" s="170"/>
      <c r="F140" s="170"/>
      <c r="G140" s="170"/>
      <c r="H140" s="170"/>
      <c r="I140" s="170"/>
      <c r="J140" s="170"/>
      <c r="K140" s="170"/>
      <c r="L140" s="170"/>
      <c r="M140" s="170"/>
      <c r="N140" s="170"/>
      <c r="O140" s="170"/>
      <c r="P140" s="170"/>
      <c r="Q140" s="171"/>
      <c r="R140" s="171"/>
      <c r="S140" s="171"/>
      <c r="T140" s="171"/>
      <c r="U140" s="170"/>
      <c r="V140" s="170"/>
      <c r="W140" s="170"/>
      <c r="X140" s="170"/>
    </row>
    <row r="141" spans="1:26" s="31" customFormat="1" ht="15" customHeight="1">
      <c r="A141" s="30"/>
      <c r="E141" s="183" t="s">
        <v>174</v>
      </c>
      <c r="F141" s="184"/>
      <c r="G141" s="184"/>
      <c r="H141" s="185"/>
      <c r="I141" s="169" t="str">
        <f>CONCATENATE(DataSheet!L116," ",DataSheet!P116)</f>
        <v>0 °C</v>
      </c>
      <c r="J141" s="169"/>
      <c r="K141" s="169"/>
      <c r="L141" s="169"/>
      <c r="M141" s="169" t="e">
        <f>CONCATENATE(DataSheet!AM116," ",DataSheet!P116)</f>
        <v>#DIV/0!</v>
      </c>
      <c r="N141" s="169"/>
      <c r="O141" s="169"/>
      <c r="P141" s="169"/>
      <c r="Q141" s="169" t="e">
        <f>CONCATENATE(TEXT(DataSheet!AR116,"0.0")," ",DataSheet!P116)</f>
        <v>#DIV/0!</v>
      </c>
      <c r="R141" s="169"/>
      <c r="S141" s="169"/>
      <c r="T141" s="169"/>
      <c r="U141" s="169" t="e">
        <f>CONCATENATE(TEXT(DataSheet!DD116,"0.00")," ",DataSheet!DE116)</f>
        <v>#DIV/0!</v>
      </c>
      <c r="V141" s="169"/>
      <c r="W141" s="169"/>
      <c r="X141" s="169"/>
    </row>
    <row r="142" spans="1:26" s="31" customFormat="1" ht="15" customHeight="1">
      <c r="A142" s="30"/>
      <c r="E142" s="208"/>
      <c r="F142" s="209"/>
      <c r="G142" s="209"/>
      <c r="H142" s="210"/>
      <c r="I142" s="169" t="str">
        <f>CONCATENATE(DataSheet!L117," ",DataSheet!P117)</f>
        <v>100 °C</v>
      </c>
      <c r="J142" s="169"/>
      <c r="K142" s="169"/>
      <c r="L142" s="169"/>
      <c r="M142" s="169" t="e">
        <f>CONCATENATE(DataSheet!AM117," ",DataSheet!P117)</f>
        <v>#DIV/0!</v>
      </c>
      <c r="N142" s="169"/>
      <c r="O142" s="169"/>
      <c r="P142" s="169"/>
      <c r="Q142" s="169" t="e">
        <f>CONCATENATE(TEXT(DataSheet!AR117,"0.0")," ",DataSheet!P117)</f>
        <v>#DIV/0!</v>
      </c>
      <c r="R142" s="169"/>
      <c r="S142" s="169"/>
      <c r="T142" s="169"/>
      <c r="U142" s="169" t="e">
        <f>CONCATENATE(TEXT(DataSheet!DD117,"0.00")," ",DataSheet!DE117)</f>
        <v>#DIV/0!</v>
      </c>
      <c r="V142" s="169"/>
      <c r="W142" s="169"/>
      <c r="X142" s="169"/>
    </row>
    <row r="143" spans="1:26" s="31" customFormat="1" ht="15" customHeight="1">
      <c r="A143" s="30"/>
      <c r="E143" s="211"/>
      <c r="F143" s="212"/>
      <c r="G143" s="212"/>
      <c r="H143" s="213"/>
      <c r="I143" s="169" t="str">
        <f>CONCATENATE(TEXT(DataSheet!L118,"0 000.0")," ",DataSheet!P118)</f>
        <v>1 000.0 °C</v>
      </c>
      <c r="J143" s="169"/>
      <c r="K143" s="169"/>
      <c r="L143" s="169"/>
      <c r="M143" s="169" t="e">
        <f>CONCATENATE(TEXT(DataSheet!AM118,"0 000.0")," ",DataSheet!P118)</f>
        <v>#DIV/0!</v>
      </c>
      <c r="N143" s="169"/>
      <c r="O143" s="169"/>
      <c r="P143" s="169"/>
      <c r="Q143" s="169" t="e">
        <f>CONCATENATE(TEXT(DataSheet!AR118,"0.0")," ",DataSheet!P118)</f>
        <v>#DIV/0!</v>
      </c>
      <c r="R143" s="169"/>
      <c r="S143" s="169"/>
      <c r="T143" s="169"/>
      <c r="U143" s="169" t="e">
        <f>CONCATENATE(TEXT(DataSheet!DD118,"0.00")," ",DataSheet!DE118)</f>
        <v>#DIV/0!</v>
      </c>
      <c r="V143" s="169"/>
      <c r="W143" s="169"/>
      <c r="X143" s="169"/>
    </row>
    <row r="144" spans="1:26" s="31" customFormat="1" ht="15" customHeight="1">
      <c r="A144" s="30"/>
      <c r="E144" s="67"/>
      <c r="F144" s="67"/>
      <c r="G144" s="67"/>
      <c r="H144" s="67"/>
      <c r="I144" s="65"/>
      <c r="J144" s="65"/>
      <c r="K144" s="65"/>
      <c r="L144" s="65"/>
      <c r="M144" s="65"/>
      <c r="N144" s="65"/>
      <c r="O144" s="65"/>
      <c r="P144" s="65"/>
      <c r="Q144" s="65"/>
      <c r="R144" s="65"/>
      <c r="S144" s="65"/>
      <c r="T144" s="65"/>
      <c r="U144" s="65"/>
      <c r="V144" s="65"/>
      <c r="W144" s="65"/>
      <c r="X144" s="65"/>
    </row>
    <row r="145" spans="1:26" s="31" customFormat="1" ht="15" customHeight="1">
      <c r="A145" s="30"/>
      <c r="E145" s="40" t="str">
        <f>DataSheet!F120</f>
        <v>Resistance Test</v>
      </c>
      <c r="H145" s="41"/>
      <c r="I145" s="41"/>
      <c r="J145" s="41"/>
      <c r="M145" s="41"/>
      <c r="N145" s="41"/>
      <c r="P145" s="41"/>
      <c r="Q145" s="41"/>
      <c r="R145" s="41"/>
      <c r="S145" s="33"/>
      <c r="T145" s="41"/>
      <c r="U145" s="41"/>
      <c r="V145" s="33"/>
      <c r="X145" s="41"/>
    </row>
    <row r="146" spans="1:26" s="31" customFormat="1" ht="15" customHeight="1">
      <c r="A146" s="30"/>
      <c r="E146" s="172" t="s">
        <v>27</v>
      </c>
      <c r="F146" s="173"/>
      <c r="G146" s="173"/>
      <c r="H146" s="174"/>
      <c r="I146" s="170" t="s">
        <v>28</v>
      </c>
      <c r="J146" s="170"/>
      <c r="K146" s="170"/>
      <c r="L146" s="170"/>
      <c r="M146" s="170" t="s">
        <v>73</v>
      </c>
      <c r="N146" s="170"/>
      <c r="O146" s="170"/>
      <c r="P146" s="170"/>
      <c r="Q146" s="171" t="s">
        <v>29</v>
      </c>
      <c r="R146" s="171"/>
      <c r="S146" s="171"/>
      <c r="T146" s="171"/>
      <c r="U146" s="172" t="s">
        <v>137</v>
      </c>
      <c r="V146" s="173"/>
      <c r="W146" s="173"/>
      <c r="X146" s="174"/>
    </row>
    <row r="147" spans="1:26" s="31" customFormat="1" ht="15" customHeight="1">
      <c r="A147" s="30"/>
      <c r="E147" s="175"/>
      <c r="F147" s="176"/>
      <c r="G147" s="176"/>
      <c r="H147" s="177"/>
      <c r="I147" s="170"/>
      <c r="J147" s="170"/>
      <c r="K147" s="170"/>
      <c r="L147" s="170"/>
      <c r="M147" s="170"/>
      <c r="N147" s="170"/>
      <c r="O147" s="170"/>
      <c r="P147" s="170"/>
      <c r="Q147" s="171"/>
      <c r="R147" s="171"/>
      <c r="S147" s="171"/>
      <c r="T147" s="171"/>
      <c r="U147" s="175"/>
      <c r="V147" s="176"/>
      <c r="W147" s="176"/>
      <c r="X147" s="177"/>
    </row>
    <row r="148" spans="1:26" s="31" customFormat="1" ht="15" customHeight="1">
      <c r="A148" s="30"/>
      <c r="E148" s="183" t="str">
        <f>CONCATENATE(DataSheet!F123," ",DataSheet!I123)</f>
        <v xml:space="preserve">50 Ω </v>
      </c>
      <c r="F148" s="184"/>
      <c r="G148" s="184"/>
      <c r="H148" s="185"/>
      <c r="I148" s="169" t="str">
        <f>CONCATENATE(DataSheet!L123," ",DataSheet!P123)</f>
        <v>0.2 Ω</v>
      </c>
      <c r="J148" s="169"/>
      <c r="K148" s="169"/>
      <c r="L148" s="169"/>
      <c r="M148" s="169" t="e">
        <f>CONCATENATE(DataSheet!AM123," ",DataSheet!BZ123)</f>
        <v>#DIV/0!</v>
      </c>
      <c r="N148" s="169"/>
      <c r="O148" s="169"/>
      <c r="P148" s="169"/>
      <c r="Q148" s="169" t="e">
        <f>CONCATENATE(TEXT(DataSheet!AR123,"0.000")," ",DataSheet!P123)</f>
        <v>#DIV/0!</v>
      </c>
      <c r="R148" s="169"/>
      <c r="S148" s="169"/>
      <c r="T148" s="169"/>
      <c r="U148" s="166" t="e">
        <f>CONCATENATE(TEXT(DataSheet!DD123,"0.000 00")," ",DataSheet!DE123)</f>
        <v>#DIV/0!</v>
      </c>
      <c r="V148" s="167"/>
      <c r="W148" s="167"/>
      <c r="X148" s="168"/>
    </row>
    <row r="149" spans="1:26" s="31" customFormat="1" ht="15" customHeight="1">
      <c r="A149" s="30"/>
      <c r="E149" s="211"/>
      <c r="F149" s="212"/>
      <c r="G149" s="212"/>
      <c r="H149" s="213"/>
      <c r="I149" s="169" t="str">
        <f>CONCATENATE(DataSheet!L124," ",DataSheet!P124)</f>
        <v>50 Ω</v>
      </c>
      <c r="J149" s="169"/>
      <c r="K149" s="169"/>
      <c r="L149" s="169"/>
      <c r="M149" s="169" t="e">
        <f>CONCATENATE(DataSheet!AM124," ",DataSheet!BZ124)</f>
        <v>#DIV/0!</v>
      </c>
      <c r="N149" s="169"/>
      <c r="O149" s="169"/>
      <c r="P149" s="169"/>
      <c r="Q149" s="169" t="e">
        <f>CONCATENATE(TEXT(DataSheet!AR124,"0.000")," ",DataSheet!P124)</f>
        <v>#DIV/0!</v>
      </c>
      <c r="R149" s="169"/>
      <c r="S149" s="169"/>
      <c r="T149" s="169"/>
      <c r="U149" s="166" t="e">
        <f>CONCATENATE(TEXT(DataSheet!DD124,"0.000")," ",DataSheet!DE124)</f>
        <v>#DIV/0!</v>
      </c>
      <c r="V149" s="167"/>
      <c r="W149" s="167"/>
      <c r="X149" s="168"/>
    </row>
    <row r="150" spans="1:26" s="31" customFormat="1" ht="15" customHeight="1">
      <c r="A150" s="30"/>
      <c r="E150" s="220" t="str">
        <f>DataSheet!F125</f>
        <v>500 Ω</v>
      </c>
      <c r="F150" s="221"/>
      <c r="G150" s="221"/>
      <c r="H150" s="222"/>
      <c r="I150" s="169" t="str">
        <f>CONCATENATE(DataSheet!L125," ",DataSheet!P125)</f>
        <v>0 Ω</v>
      </c>
      <c r="J150" s="169"/>
      <c r="K150" s="169"/>
      <c r="L150" s="169"/>
      <c r="M150" s="169" t="e">
        <f>CONCATENATE(DataSheet!AM125," ",DataSheet!P125)</f>
        <v>#DIV/0!</v>
      </c>
      <c r="N150" s="169"/>
      <c r="O150" s="169"/>
      <c r="P150" s="169"/>
      <c r="Q150" s="169" t="e">
        <f>CONCATENATE(TEXT(DataSheet!AR125,"0.00")," ",DataSheet!P125)</f>
        <v>#DIV/0!</v>
      </c>
      <c r="R150" s="169"/>
      <c r="S150" s="169"/>
      <c r="T150" s="169"/>
      <c r="U150" s="166" t="e">
        <f>CONCATENATE(TEXT(DataSheet!DD125,"0.000 0")," ",DataSheet!DE125)</f>
        <v>#DIV/0!</v>
      </c>
      <c r="V150" s="167"/>
      <c r="W150" s="167"/>
      <c r="X150" s="168"/>
    </row>
    <row r="151" spans="1:26" s="31" customFormat="1" ht="15" customHeight="1">
      <c r="A151" s="30"/>
      <c r="E151" s="226"/>
      <c r="F151" s="227"/>
      <c r="G151" s="227"/>
      <c r="H151" s="228"/>
      <c r="I151" s="169" t="str">
        <f>CONCATENATE(DataSheet!L126," ",DataSheet!P126)</f>
        <v>0.2 Ω</v>
      </c>
      <c r="J151" s="169"/>
      <c r="K151" s="169"/>
      <c r="L151" s="169"/>
      <c r="M151" s="169" t="e">
        <f>CONCATENATE(DataSheet!AM126," ",DataSheet!P126)</f>
        <v>#DIV/0!</v>
      </c>
      <c r="N151" s="169"/>
      <c r="O151" s="169"/>
      <c r="P151" s="169"/>
      <c r="Q151" s="169" t="e">
        <f>CONCATENATE(TEXT(DataSheet!AR126,"0.00")," ",DataSheet!P126)</f>
        <v>#DIV/0!</v>
      </c>
      <c r="R151" s="169"/>
      <c r="S151" s="169"/>
      <c r="T151" s="169"/>
      <c r="U151" s="166" t="e">
        <f>CONCATENATE(TEXT(DataSheet!DD126,"0.000 0")," ",DataSheet!DE126)</f>
        <v>#DIV/0!</v>
      </c>
      <c r="V151" s="167"/>
      <c r="W151" s="167"/>
      <c r="X151" s="168"/>
    </row>
    <row r="152" spans="1:26" s="31" customFormat="1" ht="15" customHeight="1">
      <c r="A152" s="30"/>
      <c r="E152" s="223"/>
      <c r="F152" s="224"/>
      <c r="G152" s="224"/>
      <c r="H152" s="225"/>
      <c r="I152" s="169" t="str">
        <f>CONCATENATE(DataSheet!L127," ",DataSheet!P127)</f>
        <v>500 Ω</v>
      </c>
      <c r="J152" s="169"/>
      <c r="K152" s="169"/>
      <c r="L152" s="169"/>
      <c r="M152" s="169" t="e">
        <f>CONCATENATE(DataSheet!AM127," ",DataSheet!P127)</f>
        <v>#DIV/0!</v>
      </c>
      <c r="N152" s="169"/>
      <c r="O152" s="169"/>
      <c r="P152" s="169"/>
      <c r="Q152" s="169" t="e">
        <f>CONCATENATE(TEXT(DataSheet!AR127,"0.00")," ",DataSheet!P127)</f>
        <v>#DIV/0!</v>
      </c>
      <c r="R152" s="169"/>
      <c r="S152" s="169"/>
      <c r="T152" s="169"/>
      <c r="U152" s="166" t="e">
        <f>CONCATENATE(TEXT(DataSheet!DD127,"0.000")," ",DataSheet!DE127)</f>
        <v>#DIV/0!</v>
      </c>
      <c r="V152" s="167"/>
      <c r="W152" s="167"/>
      <c r="X152" s="168"/>
    </row>
    <row r="153" spans="1:26" s="31" customFormat="1" ht="15" customHeight="1">
      <c r="A153" s="30"/>
      <c r="E153" s="166" t="str">
        <f>DataSheet!F128</f>
        <v>5 kΩ</v>
      </c>
      <c r="F153" s="167"/>
      <c r="G153" s="167"/>
      <c r="H153" s="168"/>
      <c r="I153" s="169" t="str">
        <f>CONCATENATE(DataSheet!L128," ",DataSheet!P128)</f>
        <v>5 kΩ</v>
      </c>
      <c r="J153" s="169"/>
      <c r="K153" s="169"/>
      <c r="L153" s="169"/>
      <c r="M153" s="169" t="e">
        <f>CONCATENATE(TEXT(DataSheet!AM128,"0.000 0")," ",DataSheet!P128)</f>
        <v>#DIV/0!</v>
      </c>
      <c r="N153" s="169"/>
      <c r="O153" s="169"/>
      <c r="P153" s="169"/>
      <c r="Q153" s="169" t="e">
        <f>CONCATENATE(TEXT(DataSheet!AR128,"0.000 0")," ",DataSheet!P128)</f>
        <v>#DIV/0!</v>
      </c>
      <c r="R153" s="169"/>
      <c r="S153" s="169"/>
      <c r="T153" s="169"/>
      <c r="U153" s="166" t="e">
        <f>CONCATENATE(TEXT(DataSheet!DD128,"0.000 00")," ",DataSheet!DE128)</f>
        <v>#DIV/0!</v>
      </c>
      <c r="V153" s="167"/>
      <c r="W153" s="167"/>
      <c r="X153" s="168"/>
    </row>
    <row r="154" spans="1:26" s="31" customFormat="1" ht="15" customHeight="1">
      <c r="A154" s="30"/>
      <c r="E154" s="166" t="str">
        <f>DataSheet!F129</f>
        <v>50 kΩ</v>
      </c>
      <c r="F154" s="167"/>
      <c r="G154" s="167"/>
      <c r="H154" s="168"/>
      <c r="I154" s="169" t="str">
        <f>CONCATENATE(DataSheet!L129," ",DataSheet!P129)</f>
        <v>50 kΩ</v>
      </c>
      <c r="J154" s="169"/>
      <c r="K154" s="169"/>
      <c r="L154" s="169"/>
      <c r="M154" s="169" t="e">
        <f>CONCATENATE(DataSheet!AM129," ",DataSheet!P129)</f>
        <v>#DIV/0!</v>
      </c>
      <c r="N154" s="169"/>
      <c r="O154" s="169"/>
      <c r="P154" s="169"/>
      <c r="Q154" s="169" t="e">
        <f>CONCATENATE(TEXT(DataSheet!AR129,"0.000")," ",DataSheet!P129)</f>
        <v>#DIV/0!</v>
      </c>
      <c r="R154" s="169"/>
      <c r="S154" s="169"/>
      <c r="T154" s="169"/>
      <c r="U154" s="166" t="e">
        <f>CONCATENATE(TEXT(DataSheet!DD129,"0.000 0")," ",DataSheet!DE129)</f>
        <v>#DIV/0!</v>
      </c>
      <c r="V154" s="167"/>
      <c r="W154" s="167"/>
      <c r="X154" s="168"/>
    </row>
    <row r="155" spans="1:26" s="31" customFormat="1" ht="15" customHeight="1">
      <c r="A155" s="30"/>
      <c r="E155" s="166" t="str">
        <f>DataSheet!F130</f>
        <v>500 kΩ</v>
      </c>
      <c r="F155" s="167"/>
      <c r="G155" s="167"/>
      <c r="H155" s="168"/>
      <c r="I155" s="169" t="str">
        <f>CONCATENATE(DataSheet!L130," ",DataSheet!P130)</f>
        <v>500 kΩ</v>
      </c>
      <c r="J155" s="169"/>
      <c r="K155" s="169"/>
      <c r="L155" s="169"/>
      <c r="M155" s="169" t="e">
        <f>CONCATENATE(DataSheet!AM130," ",DataSheet!P130)</f>
        <v>#DIV/0!</v>
      </c>
      <c r="N155" s="169"/>
      <c r="O155" s="169"/>
      <c r="P155" s="169"/>
      <c r="Q155" s="169" t="e">
        <f>CONCATENATE(TEXT(DataSheet!AR130,"0.00")," ",DataSheet!P130)</f>
        <v>#DIV/0!</v>
      </c>
      <c r="R155" s="169"/>
      <c r="S155" s="169"/>
      <c r="T155" s="169"/>
      <c r="U155" s="166" t="e">
        <f>CONCATENATE(TEXT(DataSheet!DD130,"0.000")," ",DataSheet!DE130)</f>
        <v>#DIV/0!</v>
      </c>
      <c r="V155" s="167"/>
      <c r="W155" s="167"/>
      <c r="X155" s="168"/>
    </row>
    <row r="156" spans="1:26" s="31" customFormat="1" ht="15" customHeight="1">
      <c r="A156" s="30"/>
      <c r="E156" s="166" t="str">
        <f>DataSheet!F131</f>
        <v>5 MΩ</v>
      </c>
      <c r="F156" s="167"/>
      <c r="G156" s="167"/>
      <c r="H156" s="168"/>
      <c r="I156" s="169" t="str">
        <f>CONCATENATE(DataSheet!L131," ",DataSheet!P131)</f>
        <v>5 MΩ</v>
      </c>
      <c r="J156" s="169"/>
      <c r="K156" s="169"/>
      <c r="L156" s="169"/>
      <c r="M156" s="169" t="e">
        <f>CONCATENATE(TEXT(DataSheet!AM131,"0.000 0")," ",DataSheet!P131)</f>
        <v>#DIV/0!</v>
      </c>
      <c r="N156" s="169"/>
      <c r="O156" s="169"/>
      <c r="P156" s="169"/>
      <c r="Q156" s="169" t="e">
        <f>CONCATENATE(TEXT(DataSheet!AR131,"0.000 0")," ",DataSheet!P131)</f>
        <v>#DIV/0!</v>
      </c>
      <c r="R156" s="169"/>
      <c r="S156" s="169"/>
      <c r="T156" s="169"/>
      <c r="U156" s="166" t="e">
        <f>CONCATENATE(TEXT(DataSheet!DD131,"0.000 00")," ",DataSheet!DE131)</f>
        <v>#DIV/0!</v>
      </c>
      <c r="V156" s="167"/>
      <c r="W156" s="167"/>
      <c r="X156" s="168"/>
    </row>
    <row r="157" spans="1:26" s="31" customFormat="1" ht="15" customHeight="1">
      <c r="A157" s="30"/>
      <c r="E157" s="166" t="str">
        <f>DataSheet!F132</f>
        <v>30 MΩ</v>
      </c>
      <c r="F157" s="167"/>
      <c r="G157" s="167"/>
      <c r="H157" s="168"/>
      <c r="I157" s="169" t="str">
        <f>CONCATENATE(DataSheet!L132," ",DataSheet!P132)</f>
        <v>30 MΩ</v>
      </c>
      <c r="J157" s="169"/>
      <c r="K157" s="169"/>
      <c r="L157" s="169"/>
      <c r="M157" s="169" t="e">
        <f>CONCATENATE(DataSheet!AM132," ",DataSheet!P132)</f>
        <v>#DIV/0!</v>
      </c>
      <c r="N157" s="169"/>
      <c r="O157" s="169"/>
      <c r="P157" s="169"/>
      <c r="Q157" s="169" t="e">
        <f>CONCATENATE(TEXT(DataSheet!AR132,"0.000")," ",DataSheet!P132)</f>
        <v>#DIV/0!</v>
      </c>
      <c r="R157" s="169"/>
      <c r="S157" s="169"/>
      <c r="T157" s="169"/>
      <c r="U157" s="166" t="e">
        <f>CONCATENATE(TEXT(DataSheet!DD132,"0.000 0")," ",DataSheet!DE132)</f>
        <v>#DIV/0!</v>
      </c>
      <c r="V157" s="167"/>
      <c r="W157" s="167"/>
      <c r="X157" s="168"/>
    </row>
    <row r="158" spans="1:26" s="31" customFormat="1" ht="15" customHeight="1">
      <c r="A158" s="30"/>
      <c r="E158" s="166" t="str">
        <f>DataSheet!F133</f>
        <v>500 MΩ</v>
      </c>
      <c r="F158" s="167"/>
      <c r="G158" s="167"/>
      <c r="H158" s="168"/>
      <c r="I158" s="169" t="str">
        <f>CONCATENATE(DataSheet!L133," ",DataSheet!P133)</f>
        <v>300 MΩ</v>
      </c>
      <c r="J158" s="169"/>
      <c r="K158" s="169"/>
      <c r="L158" s="169"/>
      <c r="M158" s="169" t="e">
        <f>CONCATENATE(DataSheet!AM133," ",DataSheet!P133)</f>
        <v>#DIV/0!</v>
      </c>
      <c r="N158" s="169"/>
      <c r="O158" s="169"/>
      <c r="P158" s="169"/>
      <c r="Q158" s="169" t="e">
        <f>CONCATENATE(TEXT(DataSheet!AR133,"0.0")," ",DataSheet!P133)</f>
        <v>#DIV/0!</v>
      </c>
      <c r="R158" s="169"/>
      <c r="S158" s="169"/>
      <c r="T158" s="169"/>
      <c r="U158" s="166" t="e">
        <f>CONCATENATE(TEXT(DataSheet!DD133,"0.00")," ",DataSheet!DE133)</f>
        <v>#DIV/0!</v>
      </c>
      <c r="V158" s="167"/>
      <c r="W158" s="167"/>
      <c r="X158" s="168"/>
    </row>
    <row r="159" spans="1:26" s="31" customFormat="1" ht="15" customHeight="1">
      <c r="A159" s="30"/>
      <c r="C159" s="65"/>
      <c r="D159" s="65"/>
      <c r="E159" s="65"/>
      <c r="F159" s="65"/>
      <c r="G159" s="65"/>
      <c r="H159" s="65"/>
      <c r="I159" s="65"/>
      <c r="J159" s="65"/>
      <c r="K159" s="65"/>
      <c r="L159" s="65"/>
      <c r="M159" s="65"/>
      <c r="N159" s="65"/>
      <c r="O159" s="65"/>
      <c r="P159" s="65"/>
      <c r="Q159" s="65"/>
      <c r="R159" s="65"/>
      <c r="S159" s="65"/>
      <c r="T159" s="65"/>
      <c r="U159" s="65"/>
      <c r="V159" s="65"/>
      <c r="W159" s="65"/>
      <c r="X159" s="65"/>
      <c r="Y159" s="65"/>
      <c r="Z159" s="65"/>
    </row>
    <row r="160" spans="1:26" s="31" customFormat="1" ht="15" customHeight="1">
      <c r="A160" s="30"/>
      <c r="Q160" s="33"/>
      <c r="R160" s="33"/>
      <c r="S160" s="33"/>
      <c r="T160" s="33"/>
    </row>
    <row r="161" spans="1:27" s="31" customFormat="1" ht="15" customHeight="1">
      <c r="A161" s="30"/>
    </row>
    <row r="162" spans="1:27" s="31" customFormat="1" ht="15" customHeight="1">
      <c r="A162" s="30"/>
      <c r="C162" s="178">
        <f>DataSheet!B175</f>
        <v>0</v>
      </c>
      <c r="D162" s="178"/>
      <c r="E162" s="178"/>
      <c r="F162" s="178"/>
      <c r="G162" s="178"/>
      <c r="H162" s="178"/>
      <c r="I162" s="178"/>
      <c r="J162" s="178"/>
      <c r="K162" s="178"/>
      <c r="L162" s="178"/>
      <c r="M162" s="178"/>
      <c r="N162" s="178"/>
      <c r="O162" s="178"/>
      <c r="P162" s="178"/>
      <c r="Q162" s="178"/>
      <c r="R162" s="178"/>
      <c r="S162" s="178"/>
      <c r="T162" s="178"/>
      <c r="U162" s="178"/>
      <c r="V162" s="178"/>
      <c r="W162" s="178"/>
      <c r="X162" s="178"/>
      <c r="Y162" s="178"/>
      <c r="Z162" s="178"/>
      <c r="AA162" s="36"/>
    </row>
    <row r="163" spans="1:27" s="31" customFormat="1" ht="15" customHeight="1">
      <c r="A163" s="30"/>
      <c r="C163" s="179" t="s">
        <v>24</v>
      </c>
      <c r="D163" s="179"/>
      <c r="E163" s="179"/>
      <c r="F163" s="179"/>
      <c r="G163" s="179"/>
      <c r="H163" s="179"/>
      <c r="I163" s="179"/>
      <c r="J163" s="179"/>
      <c r="K163" s="179"/>
      <c r="L163" s="179"/>
      <c r="M163" s="179"/>
      <c r="N163" s="179"/>
      <c r="O163" s="179"/>
      <c r="P163" s="179"/>
      <c r="Q163" s="179"/>
      <c r="R163" s="179"/>
      <c r="S163" s="179"/>
      <c r="T163" s="179"/>
      <c r="U163" s="179"/>
      <c r="V163" s="179"/>
      <c r="W163" s="179"/>
      <c r="X163" s="179"/>
      <c r="Y163" s="179"/>
      <c r="Z163" s="179"/>
      <c r="AA163" s="36"/>
    </row>
    <row r="164" spans="1:27" s="31" customFormat="1" ht="15" customHeight="1">
      <c r="A164" s="30"/>
      <c r="C164" s="69"/>
      <c r="D164" s="69"/>
      <c r="E164" s="69"/>
      <c r="F164" s="69"/>
      <c r="G164" s="69"/>
      <c r="H164" s="69"/>
      <c r="I164" s="69"/>
      <c r="J164" s="69"/>
      <c r="K164" s="69"/>
      <c r="L164" s="69"/>
      <c r="M164" s="69"/>
      <c r="N164" s="69"/>
      <c r="O164" s="69"/>
      <c r="P164" s="69"/>
      <c r="Q164" s="69"/>
      <c r="R164" s="69"/>
      <c r="S164" s="69"/>
      <c r="T164" s="69"/>
      <c r="U164" s="69"/>
      <c r="V164" s="69"/>
      <c r="W164" s="69"/>
      <c r="X164" s="69"/>
      <c r="Y164" s="69"/>
      <c r="Z164" s="69"/>
      <c r="AA164" s="36"/>
    </row>
    <row r="165" spans="1:27" s="31" customFormat="1" ht="15" customHeight="1">
      <c r="A165" s="30"/>
      <c r="C165" s="38"/>
      <c r="D165" s="38"/>
      <c r="E165" s="38"/>
      <c r="F165" s="38"/>
      <c r="G165" s="38"/>
      <c r="H165" s="38"/>
      <c r="I165" s="38"/>
      <c r="J165" s="38"/>
      <c r="K165" s="38"/>
      <c r="L165" s="38"/>
      <c r="M165" s="38"/>
      <c r="N165" s="38"/>
      <c r="O165" s="38"/>
      <c r="P165" s="38"/>
      <c r="Q165" s="38"/>
      <c r="R165" s="38"/>
      <c r="S165" s="38"/>
      <c r="T165" s="38"/>
      <c r="U165" s="38"/>
      <c r="V165" s="38"/>
      <c r="W165" s="38"/>
      <c r="X165" s="38"/>
      <c r="Y165" s="38"/>
      <c r="Z165" s="38"/>
      <c r="AA165" s="36"/>
    </row>
    <row r="166" spans="1:27" s="31" customFormat="1" ht="15" customHeight="1">
      <c r="A166" s="30"/>
      <c r="D166" s="36"/>
      <c r="F166" s="36"/>
      <c r="G166" s="38"/>
      <c r="H166" s="38"/>
      <c r="I166" s="38"/>
      <c r="J166" s="38"/>
      <c r="K166" s="36"/>
      <c r="L166" s="36"/>
      <c r="M166" s="36"/>
      <c r="N166" s="36"/>
      <c r="O166" s="36"/>
      <c r="P166" s="36"/>
      <c r="Q166" s="36"/>
      <c r="R166" s="38"/>
      <c r="S166" s="38"/>
      <c r="T166" s="38"/>
      <c r="U166" s="38"/>
      <c r="V166" s="38"/>
      <c r="W166" s="36"/>
      <c r="X166" s="36"/>
      <c r="Y166" s="36"/>
      <c r="Z166" s="36"/>
      <c r="AA166" s="36"/>
    </row>
    <row r="167" spans="1:27" s="31" customFormat="1" ht="15" customHeight="1">
      <c r="A167" s="30"/>
      <c r="E167" s="43"/>
      <c r="F167" s="43"/>
      <c r="G167" s="43"/>
      <c r="H167" s="43"/>
      <c r="L167" s="36"/>
      <c r="M167" s="36"/>
      <c r="N167" s="36"/>
      <c r="R167" s="36"/>
      <c r="S167" s="36"/>
      <c r="T167" s="36"/>
      <c r="U167" s="36"/>
      <c r="V167" s="36"/>
      <c r="W167" s="36"/>
      <c r="X167" s="36"/>
      <c r="Y167" s="36"/>
    </row>
    <row r="168" spans="1:27" s="31" customFormat="1" ht="15" customHeight="1">
      <c r="A168" s="30"/>
    </row>
    <row r="169" spans="1:27" s="31" customFormat="1" ht="15" customHeight="1">
      <c r="A169" s="30"/>
    </row>
    <row r="170" spans="1:27" s="31" customFormat="1" ht="15" customHeight="1">
      <c r="A170" s="30"/>
    </row>
    <row r="171" spans="1:27" s="31" customFormat="1" ht="15" customHeight="1">
      <c r="A171" s="30"/>
    </row>
    <row r="172" spans="1:27" s="31" customFormat="1" ht="15" customHeight="1">
      <c r="A172" s="30"/>
      <c r="C172" s="32" t="s">
        <v>26</v>
      </c>
    </row>
    <row r="173" spans="1:27" s="31" customFormat="1" ht="15" customHeight="1">
      <c r="A173" s="30"/>
      <c r="C173" s="32"/>
    </row>
    <row r="174" spans="1:27" s="31" customFormat="1" ht="15" customHeight="1">
      <c r="A174" s="30"/>
      <c r="C174" s="32"/>
      <c r="E174" s="32" t="str">
        <f>DataSheet!F135</f>
        <v>Capacitance Test</v>
      </c>
      <c r="W174" s="33"/>
      <c r="X174" s="33"/>
    </row>
    <row r="175" spans="1:27" s="31" customFormat="1" ht="15" customHeight="1">
      <c r="A175" s="30"/>
      <c r="C175" s="32"/>
      <c r="E175" s="172" t="s">
        <v>27</v>
      </c>
      <c r="F175" s="173"/>
      <c r="G175" s="173"/>
      <c r="H175" s="174"/>
      <c r="I175" s="170" t="s">
        <v>28</v>
      </c>
      <c r="J175" s="170"/>
      <c r="K175" s="170"/>
      <c r="L175" s="170"/>
      <c r="M175" s="170" t="s">
        <v>73</v>
      </c>
      <c r="N175" s="170"/>
      <c r="O175" s="170"/>
      <c r="P175" s="170"/>
      <c r="Q175" s="171" t="s">
        <v>29</v>
      </c>
      <c r="R175" s="171"/>
      <c r="S175" s="171"/>
      <c r="T175" s="171"/>
      <c r="U175" s="172" t="s">
        <v>137</v>
      </c>
      <c r="V175" s="173"/>
      <c r="W175" s="173"/>
      <c r="X175" s="174"/>
    </row>
    <row r="176" spans="1:27" s="31" customFormat="1" ht="15" customHeight="1">
      <c r="A176" s="30"/>
      <c r="C176" s="32"/>
      <c r="E176" s="175"/>
      <c r="F176" s="176"/>
      <c r="G176" s="176"/>
      <c r="H176" s="177"/>
      <c r="I176" s="170"/>
      <c r="J176" s="170"/>
      <c r="K176" s="170"/>
      <c r="L176" s="170"/>
      <c r="M176" s="170"/>
      <c r="N176" s="170"/>
      <c r="O176" s="170"/>
      <c r="P176" s="170"/>
      <c r="Q176" s="171"/>
      <c r="R176" s="171"/>
      <c r="S176" s="171"/>
      <c r="T176" s="171"/>
      <c r="U176" s="175"/>
      <c r="V176" s="176"/>
      <c r="W176" s="176"/>
      <c r="X176" s="177"/>
    </row>
    <row r="177" spans="1:24" s="31" customFormat="1" ht="15" customHeight="1">
      <c r="A177" s="30"/>
      <c r="C177" s="32"/>
      <c r="E177" s="169" t="str">
        <f>CONCATENATE(DataSheet!F138," ",DataSheet!I138)</f>
        <v>10 nF</v>
      </c>
      <c r="F177" s="169"/>
      <c r="G177" s="169"/>
      <c r="H177" s="169"/>
      <c r="I177" s="169" t="str">
        <f>CONCATENATE(DataSheet!L138," ",DataSheet!P138," *")</f>
        <v>5 nF *</v>
      </c>
      <c r="J177" s="169"/>
      <c r="K177" s="169"/>
      <c r="L177" s="169"/>
      <c r="M177" s="169" t="str">
        <f>CONCATENATE(TEXT(DataSheet!AM138,"0.00")," ",DataSheet!BZ138)</f>
        <v>5.10 nF</v>
      </c>
      <c r="N177" s="169"/>
      <c r="O177" s="169"/>
      <c r="P177" s="169"/>
      <c r="Q177" s="169" t="str">
        <f>CONCATENATE(TEXT(DataSheet!AR138,"0.00")," ",DataSheet!BZ138)</f>
        <v>0.10 nF</v>
      </c>
      <c r="R177" s="169"/>
      <c r="S177" s="169"/>
      <c r="T177" s="169"/>
      <c r="U177" s="166" t="e">
        <f>CONCATENATE(TEXT(DataSheet!DD138,"0.000")," ",DataSheet!DE138)</f>
        <v>#DIV/0!</v>
      </c>
      <c r="V177" s="167"/>
      <c r="W177" s="167"/>
      <c r="X177" s="168"/>
    </row>
    <row r="178" spans="1:24" s="31" customFormat="1" ht="15" customHeight="1">
      <c r="A178" s="30"/>
      <c r="C178" s="32"/>
      <c r="Q178" s="33"/>
      <c r="R178" s="33"/>
      <c r="S178" s="33"/>
      <c r="T178" s="33"/>
    </row>
    <row r="179" spans="1:24" s="31" customFormat="1" ht="15" customHeight="1">
      <c r="A179" s="30"/>
      <c r="C179" s="32"/>
      <c r="E179" s="32" t="str">
        <f>DataSheet!F140</f>
        <v>Diode Test</v>
      </c>
      <c r="S179" s="33"/>
      <c r="T179" s="33"/>
      <c r="U179" s="33"/>
      <c r="V179" s="33"/>
    </row>
    <row r="180" spans="1:24" s="31" customFormat="1" ht="15" customHeight="1">
      <c r="A180" s="30"/>
      <c r="C180" s="32"/>
      <c r="E180" s="172" t="s">
        <v>27</v>
      </c>
      <c r="F180" s="173"/>
      <c r="G180" s="173"/>
      <c r="H180" s="174"/>
      <c r="I180" s="170" t="s">
        <v>28</v>
      </c>
      <c r="J180" s="170"/>
      <c r="K180" s="170"/>
      <c r="L180" s="170"/>
      <c r="M180" s="170" t="s">
        <v>73</v>
      </c>
      <c r="N180" s="170"/>
      <c r="O180" s="170"/>
      <c r="P180" s="170"/>
      <c r="Q180" s="171" t="s">
        <v>29</v>
      </c>
      <c r="R180" s="171"/>
      <c r="S180" s="171"/>
      <c r="T180" s="171"/>
      <c r="U180" s="172" t="s">
        <v>137</v>
      </c>
      <c r="V180" s="173"/>
      <c r="W180" s="173"/>
      <c r="X180" s="174"/>
    </row>
    <row r="181" spans="1:24" s="31" customFormat="1" ht="15" customHeight="1">
      <c r="A181" s="30"/>
      <c r="C181" s="32"/>
      <c r="E181" s="175"/>
      <c r="F181" s="176"/>
      <c r="G181" s="176"/>
      <c r="H181" s="177"/>
      <c r="I181" s="170"/>
      <c r="J181" s="170"/>
      <c r="K181" s="170"/>
      <c r="L181" s="170"/>
      <c r="M181" s="170"/>
      <c r="N181" s="170"/>
      <c r="O181" s="170"/>
      <c r="P181" s="170"/>
      <c r="Q181" s="171"/>
      <c r="R181" s="171"/>
      <c r="S181" s="171"/>
      <c r="T181" s="171"/>
      <c r="U181" s="175"/>
      <c r="V181" s="176"/>
      <c r="W181" s="176"/>
      <c r="X181" s="177"/>
    </row>
    <row r="182" spans="1:24" s="31" customFormat="1" ht="15" customHeight="1">
      <c r="A182" s="30"/>
      <c r="C182" s="32"/>
      <c r="E182" s="169" t="str">
        <f>CONCATENATE(DataSheet!F143," ",DataSheet!I143)</f>
        <v xml:space="preserve">3.100 V </v>
      </c>
      <c r="F182" s="169"/>
      <c r="G182" s="169"/>
      <c r="H182" s="169"/>
      <c r="I182" s="169" t="str">
        <f>CONCATENATE(DataSheet!L143," ",DataSheet!P143)</f>
        <v>3.5 kΩ</v>
      </c>
      <c r="J182" s="169"/>
      <c r="K182" s="169"/>
      <c r="L182" s="169"/>
      <c r="M182" s="169" t="e">
        <f>CONCATENATE(TEXT(DataSheet!AM143,"0.000 0")," ",DataSheet!BZ143)</f>
        <v>#DIV/0!</v>
      </c>
      <c r="N182" s="169"/>
      <c r="O182" s="169"/>
      <c r="P182" s="169"/>
      <c r="Q182" s="169" t="e">
        <f>CONCATENATE(TEXT(DataSheet!AR143,"0.000 0")," ",DataSheet!BZ143)</f>
        <v>#DIV/0!</v>
      </c>
      <c r="R182" s="169"/>
      <c r="S182" s="169"/>
      <c r="T182" s="169"/>
      <c r="U182" s="166" t="e">
        <f>CONCATENATE(TEXT(DataSheet!DD143,"0.000 00")," ",DataSheet!DE143)</f>
        <v>#DIV/0!</v>
      </c>
      <c r="V182" s="167"/>
      <c r="W182" s="167"/>
      <c r="X182" s="168"/>
    </row>
    <row r="183" spans="1:24" s="31" customFormat="1" ht="15" customHeight="1">
      <c r="A183" s="30"/>
      <c r="C183" s="32"/>
      <c r="Q183" s="33"/>
      <c r="R183" s="33"/>
      <c r="S183" s="33"/>
      <c r="T183" s="33"/>
    </row>
    <row r="184" spans="1:24" s="31" customFormat="1" ht="15" customHeight="1">
      <c r="A184" s="30"/>
      <c r="C184" s="32"/>
      <c r="E184" s="32" t="str">
        <f>DataSheet!F145</f>
        <v>DC Curent Test</v>
      </c>
      <c r="S184" s="33"/>
      <c r="T184" s="33"/>
      <c r="U184" s="33"/>
      <c r="V184" s="33"/>
    </row>
    <row r="185" spans="1:24" s="31" customFormat="1" ht="15" customHeight="1">
      <c r="A185" s="30"/>
      <c r="C185" s="32"/>
      <c r="E185" s="172" t="s">
        <v>27</v>
      </c>
      <c r="F185" s="173"/>
      <c r="G185" s="173"/>
      <c r="H185" s="174"/>
      <c r="I185" s="170" t="s">
        <v>28</v>
      </c>
      <c r="J185" s="170"/>
      <c r="K185" s="170"/>
      <c r="L185" s="170"/>
      <c r="M185" s="170" t="s">
        <v>73</v>
      </c>
      <c r="N185" s="170"/>
      <c r="O185" s="170"/>
      <c r="P185" s="170"/>
      <c r="Q185" s="171" t="s">
        <v>29</v>
      </c>
      <c r="R185" s="171"/>
      <c r="S185" s="171"/>
      <c r="T185" s="171"/>
      <c r="U185" s="172" t="s">
        <v>137</v>
      </c>
      <c r="V185" s="173"/>
      <c r="W185" s="173"/>
      <c r="X185" s="174"/>
    </row>
    <row r="186" spans="1:24" s="31" customFormat="1" ht="15" customHeight="1">
      <c r="A186" s="30"/>
      <c r="C186" s="32"/>
      <c r="E186" s="175"/>
      <c r="F186" s="176"/>
      <c r="G186" s="176"/>
      <c r="H186" s="177"/>
      <c r="I186" s="170"/>
      <c r="J186" s="170"/>
      <c r="K186" s="170"/>
      <c r="L186" s="170"/>
      <c r="M186" s="170"/>
      <c r="N186" s="170"/>
      <c r="O186" s="170"/>
      <c r="P186" s="170"/>
      <c r="Q186" s="171"/>
      <c r="R186" s="171"/>
      <c r="S186" s="171"/>
      <c r="T186" s="171"/>
      <c r="U186" s="175"/>
      <c r="V186" s="176"/>
      <c r="W186" s="176"/>
      <c r="X186" s="177"/>
    </row>
    <row r="187" spans="1:24" s="31" customFormat="1" ht="15" customHeight="1">
      <c r="A187" s="30"/>
      <c r="C187" s="32"/>
      <c r="E187" s="180" t="str">
        <f>DataSheet!F148</f>
        <v>500 µA</v>
      </c>
      <c r="F187" s="181"/>
      <c r="G187" s="181"/>
      <c r="H187" s="182"/>
      <c r="I187" s="169" t="str">
        <f>CONCATENATE(DataSheet!L148," ",DataSheet!P148)</f>
        <v>500 µA</v>
      </c>
      <c r="J187" s="169"/>
      <c r="K187" s="169"/>
      <c r="L187" s="169"/>
      <c r="M187" s="169" t="e">
        <f>CONCATENATE(TEXT(DataSheet!AM148,"0.00")," ",DataSheet!P148)</f>
        <v>#DIV/0!</v>
      </c>
      <c r="N187" s="169"/>
      <c r="O187" s="169"/>
      <c r="P187" s="169"/>
      <c r="Q187" s="169" t="e">
        <f>CONCATENATE(TEXT(DataSheet!AR148,"0.00")," ",DataSheet!BZ148)</f>
        <v>#DIV/0!</v>
      </c>
      <c r="R187" s="169"/>
      <c r="S187" s="169"/>
      <c r="T187" s="169"/>
      <c r="U187" s="166" t="e">
        <f>CONCATENATE(TEXT(DataSheet!DD148,"0.000")," ",DataSheet!DE148)</f>
        <v>#DIV/0!</v>
      </c>
      <c r="V187" s="167"/>
      <c r="W187" s="167"/>
      <c r="X187" s="168"/>
    </row>
    <row r="188" spans="1:24" s="31" customFormat="1" ht="15" customHeight="1">
      <c r="A188" s="30"/>
      <c r="C188" s="32"/>
      <c r="E188" s="180" t="str">
        <f>DataSheet!F149</f>
        <v>5 000 µA</v>
      </c>
      <c r="F188" s="181"/>
      <c r="G188" s="181"/>
      <c r="H188" s="182"/>
      <c r="I188" s="169" t="str">
        <f>CONCATENATE(TEXT(DataSheet!L149,"0 000")," ",DataSheet!P149)</f>
        <v>5 000 µA</v>
      </c>
      <c r="J188" s="169"/>
      <c r="K188" s="169"/>
      <c r="L188" s="169"/>
      <c r="M188" s="169" t="e">
        <f>CONCATENATE(TEXT(DataSheet!AM149,"0 000.0")," ",DataSheet!P149)</f>
        <v>#DIV/0!</v>
      </c>
      <c r="N188" s="169"/>
      <c r="O188" s="169"/>
      <c r="P188" s="169"/>
      <c r="Q188" s="169" t="e">
        <f>CONCATENATE(TEXT(DataSheet!AR149,"0.0")," ",DataSheet!BZ149)</f>
        <v>#DIV/0!</v>
      </c>
      <c r="R188" s="169"/>
      <c r="S188" s="169"/>
      <c r="T188" s="169"/>
      <c r="U188" s="166" t="e">
        <f>CONCATENATE(TEXT(DataSheet!DD149,"0.00")," ",DataSheet!DE149)</f>
        <v>#DIV/0!</v>
      </c>
      <c r="V188" s="167"/>
      <c r="W188" s="167"/>
      <c r="X188" s="168"/>
    </row>
    <row r="189" spans="1:24" s="31" customFormat="1" ht="15" customHeight="1">
      <c r="A189" s="30"/>
      <c r="C189" s="32"/>
      <c r="E189" s="220" t="str">
        <f>DataSheet!F150</f>
        <v>50 mA</v>
      </c>
      <c r="F189" s="221"/>
      <c r="G189" s="221"/>
      <c r="H189" s="222"/>
      <c r="I189" s="169" t="str">
        <f>CONCATENATE(DataSheet!L150," ",DataSheet!P150)</f>
        <v>0.1 mA</v>
      </c>
      <c r="J189" s="169"/>
      <c r="K189" s="169"/>
      <c r="L189" s="169"/>
      <c r="M189" s="169" t="e">
        <f>CONCATENATE(TEXT(DataSheet!AM150,"0.000")," ",DataSheet!P150)</f>
        <v>#DIV/0!</v>
      </c>
      <c r="N189" s="169"/>
      <c r="O189" s="169"/>
      <c r="P189" s="169"/>
      <c r="Q189" s="169" t="e">
        <f>CONCATENATE(TEXT(DataSheet!AR150,"0.000")," ",DataSheet!BZ150)</f>
        <v>#DIV/0!</v>
      </c>
      <c r="R189" s="169"/>
      <c r="S189" s="169"/>
      <c r="T189" s="169"/>
      <c r="U189" s="166" t="e">
        <f>CONCATENATE(TEXT(DataSheet!DD150,"0.000 00")," ",DataSheet!DE150)</f>
        <v>#DIV/0!</v>
      </c>
      <c r="V189" s="167"/>
      <c r="W189" s="167"/>
      <c r="X189" s="168"/>
    </row>
    <row r="190" spans="1:24" s="31" customFormat="1" ht="15" customHeight="1">
      <c r="A190" s="30"/>
      <c r="C190" s="32"/>
      <c r="E190" s="223"/>
      <c r="F190" s="224"/>
      <c r="G190" s="224"/>
      <c r="H190" s="225"/>
      <c r="I190" s="169" t="str">
        <f>CONCATENATE(DataSheet!L151," ",DataSheet!P151)</f>
        <v>50 mA</v>
      </c>
      <c r="J190" s="169"/>
      <c r="K190" s="169"/>
      <c r="L190" s="169"/>
      <c r="M190" s="169" t="e">
        <f>CONCATENATE(TEXT(DataSheet!AM151,"0.000")," ",DataSheet!P151)</f>
        <v>#DIV/0!</v>
      </c>
      <c r="N190" s="169"/>
      <c r="O190" s="169"/>
      <c r="P190" s="169"/>
      <c r="Q190" s="169" t="e">
        <f>CONCATENATE(TEXT(DataSheet!AR151,"0.000")," ",DataSheet!BZ151)</f>
        <v>#DIV/0!</v>
      </c>
      <c r="R190" s="169"/>
      <c r="S190" s="169"/>
      <c r="T190" s="169"/>
      <c r="U190" s="166" t="e">
        <f>CONCATENATE(TEXT(DataSheet!DD151,"0.000 0")," ",DataSheet!DE151)</f>
        <v>#DIV/0!</v>
      </c>
      <c r="V190" s="167"/>
      <c r="W190" s="167"/>
      <c r="X190" s="168"/>
    </row>
    <row r="191" spans="1:24" s="31" customFormat="1" ht="15" customHeight="1">
      <c r="A191" s="30"/>
      <c r="C191" s="32"/>
      <c r="E191" s="180" t="str">
        <f>DataSheet!F152</f>
        <v>400 mA</v>
      </c>
      <c r="F191" s="181"/>
      <c r="G191" s="181"/>
      <c r="H191" s="182"/>
      <c r="I191" s="169" t="str">
        <f>CONCATENATE(DataSheet!L152," ",DataSheet!P152)</f>
        <v>400 mA</v>
      </c>
      <c r="J191" s="169"/>
      <c r="K191" s="169"/>
      <c r="L191" s="169"/>
      <c r="M191" s="169" t="e">
        <f>CONCATENATE(TEXT(DataSheet!AM152,"0.00")," ",DataSheet!P152)</f>
        <v>#DIV/0!</v>
      </c>
      <c r="N191" s="169"/>
      <c r="O191" s="169"/>
      <c r="P191" s="169"/>
      <c r="Q191" s="169" t="e">
        <f>CONCATENATE(TEXT(DataSheet!AR152,"0.00")," ",DataSheet!BZ152)</f>
        <v>#DIV/0!</v>
      </c>
      <c r="R191" s="169"/>
      <c r="S191" s="169"/>
      <c r="T191" s="169"/>
      <c r="U191" s="166" t="e">
        <f>CONCATENATE(TEXT(DataSheet!DD152,"0.000")," ",DataSheet!DE152)</f>
        <v>#DIV/0!</v>
      </c>
      <c r="V191" s="167"/>
      <c r="W191" s="167"/>
      <c r="X191" s="168"/>
    </row>
    <row r="192" spans="1:24" s="31" customFormat="1" ht="15" customHeight="1">
      <c r="A192" s="30"/>
      <c r="C192" s="32"/>
      <c r="E192" s="180" t="str">
        <f>DataSheet!F153</f>
        <v>5 A</v>
      </c>
      <c r="F192" s="181"/>
      <c r="G192" s="181"/>
      <c r="H192" s="182"/>
      <c r="I192" s="169" t="str">
        <f>CONCATENATE(DataSheet!L153," ",DataSheet!P153)</f>
        <v>5 A</v>
      </c>
      <c r="J192" s="169"/>
      <c r="K192" s="169"/>
      <c r="L192" s="169"/>
      <c r="M192" s="169" t="e">
        <f>CONCATENATE(TEXT(DataSheet!AM153,"0.000 0")," ",DataSheet!P153)</f>
        <v>#DIV/0!</v>
      </c>
      <c r="N192" s="169"/>
      <c r="O192" s="169"/>
      <c r="P192" s="169"/>
      <c r="Q192" s="169" t="e">
        <f>CONCATENATE(TEXT(DataSheet!AR153,"0.000 0")," ",DataSheet!BZ153)</f>
        <v>#DIV/0!</v>
      </c>
      <c r="R192" s="169"/>
      <c r="S192" s="169"/>
      <c r="T192" s="169"/>
      <c r="U192" s="166" t="e">
        <f>CONCATENATE(TEXT(DataSheet!DD153,"0.000 0")," ",DataSheet!DE153)</f>
        <v>#DIV/0!</v>
      </c>
      <c r="V192" s="167"/>
      <c r="W192" s="167"/>
      <c r="X192" s="168"/>
    </row>
    <row r="193" spans="1:24" s="31" customFormat="1" ht="15" customHeight="1">
      <c r="A193" s="30"/>
      <c r="C193" s="32"/>
      <c r="E193" s="180" t="str">
        <f>DataSheet!F154</f>
        <v>10 A</v>
      </c>
      <c r="F193" s="181"/>
      <c r="G193" s="181"/>
      <c r="H193" s="182"/>
      <c r="I193" s="169" t="str">
        <f>CONCATENATE(DataSheet!L154," ",DataSheet!P154)</f>
        <v>10 A</v>
      </c>
      <c r="J193" s="169"/>
      <c r="K193" s="169"/>
      <c r="L193" s="169"/>
      <c r="M193" s="169" t="e">
        <f>CONCATENATE(TEXT(DataSheet!AM154,"0.000")," ",DataSheet!P154)</f>
        <v>#DIV/0!</v>
      </c>
      <c r="N193" s="169"/>
      <c r="O193" s="169"/>
      <c r="P193" s="169"/>
      <c r="Q193" s="169" t="e">
        <f>CONCATENATE(TEXT(DataSheet!AR154,"0.000")," ",DataSheet!BZ154)</f>
        <v>#DIV/0!</v>
      </c>
      <c r="R193" s="169"/>
      <c r="S193" s="169"/>
      <c r="T193" s="169"/>
      <c r="U193" s="166" t="e">
        <f>CONCATENATE(TEXT(DataSheet!DD154,"0.000 0")," ",DataSheet!DE154)</f>
        <v>#DIV/0!</v>
      </c>
      <c r="V193" s="167"/>
      <c r="W193" s="167"/>
      <c r="X193" s="168"/>
    </row>
    <row r="194" spans="1:24" s="31" customFormat="1" ht="15" customHeight="1">
      <c r="A194" s="30"/>
      <c r="Q194" s="33"/>
      <c r="R194" s="33"/>
      <c r="S194" s="33"/>
      <c r="T194" s="33"/>
    </row>
    <row r="195" spans="1:24" s="31" customFormat="1" ht="15" customHeight="1">
      <c r="A195" s="30"/>
      <c r="E195" s="32" t="str">
        <f>DataSheet!F156</f>
        <v>AC Curent Test</v>
      </c>
      <c r="S195" s="33"/>
      <c r="T195" s="33"/>
      <c r="U195" s="33"/>
      <c r="V195" s="33"/>
    </row>
    <row r="196" spans="1:24" s="31" customFormat="1" ht="15" customHeight="1">
      <c r="A196" s="30"/>
      <c r="E196" s="172" t="s">
        <v>27</v>
      </c>
      <c r="F196" s="173"/>
      <c r="G196" s="173"/>
      <c r="H196" s="174"/>
      <c r="I196" s="170" t="s">
        <v>28</v>
      </c>
      <c r="J196" s="170"/>
      <c r="K196" s="170"/>
      <c r="L196" s="170"/>
      <c r="M196" s="170" t="s">
        <v>73</v>
      </c>
      <c r="N196" s="170"/>
      <c r="O196" s="170"/>
      <c r="P196" s="170"/>
      <c r="Q196" s="171" t="s">
        <v>29</v>
      </c>
      <c r="R196" s="171"/>
      <c r="S196" s="171"/>
      <c r="T196" s="171"/>
      <c r="U196" s="172" t="s">
        <v>137</v>
      </c>
      <c r="V196" s="173"/>
      <c r="W196" s="173"/>
      <c r="X196" s="174"/>
    </row>
    <row r="197" spans="1:24" s="31" customFormat="1" ht="15" customHeight="1">
      <c r="A197" s="30"/>
      <c r="E197" s="175"/>
      <c r="F197" s="176"/>
      <c r="G197" s="176"/>
      <c r="H197" s="177"/>
      <c r="I197" s="170"/>
      <c r="J197" s="170"/>
      <c r="K197" s="170"/>
      <c r="L197" s="170"/>
      <c r="M197" s="170"/>
      <c r="N197" s="170"/>
      <c r="O197" s="170"/>
      <c r="P197" s="170"/>
      <c r="Q197" s="171"/>
      <c r="R197" s="171"/>
      <c r="S197" s="171"/>
      <c r="T197" s="171"/>
      <c r="U197" s="175"/>
      <c r="V197" s="176"/>
      <c r="W197" s="176"/>
      <c r="X197" s="177"/>
    </row>
    <row r="198" spans="1:24" s="31" customFormat="1" ht="15" customHeight="1">
      <c r="A198" s="30"/>
      <c r="E198" s="220" t="str">
        <f>DataSheet!F159</f>
        <v>5 00 µA</v>
      </c>
      <c r="F198" s="221"/>
      <c r="G198" s="221"/>
      <c r="H198" s="222"/>
      <c r="I198" s="169" t="str">
        <f>CONCATENATE(DataSheet!L159," ",DataSheet!P159," / ",DataSheet!S159)</f>
        <v>500 µA / 60 Hz</v>
      </c>
      <c r="J198" s="169"/>
      <c r="K198" s="169"/>
      <c r="L198" s="169"/>
      <c r="M198" s="169" t="e">
        <f>CONCATENATE(TEXT(DataSheet!AM159,"0.00")," ",DataSheet!P159)</f>
        <v>#DIV/0!</v>
      </c>
      <c r="N198" s="169"/>
      <c r="O198" s="169"/>
      <c r="P198" s="169"/>
      <c r="Q198" s="169" t="e">
        <f>CONCATENATE(TEXT(DataSheet!AR159,"0.00")," ",DataSheet!BZ159)</f>
        <v>#DIV/0!</v>
      </c>
      <c r="R198" s="169"/>
      <c r="S198" s="169"/>
      <c r="T198" s="169"/>
      <c r="U198" s="166" t="e">
        <f>CONCATENATE(TEXT(DataSheet!DD159,"0.0")," ",DataSheet!DE159)</f>
        <v>#DIV/0!</v>
      </c>
      <c r="V198" s="167"/>
      <c r="W198" s="167"/>
      <c r="X198" s="168"/>
    </row>
    <row r="199" spans="1:24" s="31" customFormat="1" ht="15" customHeight="1">
      <c r="A199" s="30"/>
      <c r="E199" s="223"/>
      <c r="F199" s="224"/>
      <c r="G199" s="224"/>
      <c r="H199" s="225"/>
      <c r="I199" s="169" t="str">
        <f>CONCATENATE(DataSheet!L160," ",DataSheet!P160," / ",DataSheet!S160)</f>
        <v>500 µA / 30 kHz</v>
      </c>
      <c r="J199" s="169"/>
      <c r="K199" s="169"/>
      <c r="L199" s="169"/>
      <c r="M199" s="169" t="e">
        <f>CONCATENATE(TEXT(DataSheet!AM160,"0.00")," ",DataSheet!P160)</f>
        <v>#DIV/0!</v>
      </c>
      <c r="N199" s="169"/>
      <c r="O199" s="169"/>
      <c r="P199" s="169"/>
      <c r="Q199" s="169" t="e">
        <f>CONCATENATE(TEXT(DataSheet!AR160,"0.00")," ",DataSheet!BZ160)</f>
        <v>#DIV/0!</v>
      </c>
      <c r="R199" s="169"/>
      <c r="S199" s="169"/>
      <c r="T199" s="169"/>
      <c r="U199" s="166" t="e">
        <f>CONCATENATE(TEXT(DataSheet!DD160,"0.0")," ",DataSheet!DE160)</f>
        <v>#DIV/0!</v>
      </c>
      <c r="V199" s="167"/>
      <c r="W199" s="167"/>
      <c r="X199" s="168"/>
    </row>
    <row r="200" spans="1:24" s="31" customFormat="1" ht="15" customHeight="1">
      <c r="A200" s="30"/>
      <c r="E200" s="180" t="str">
        <f>DataSheet!F161</f>
        <v>5 000 µA</v>
      </c>
      <c r="F200" s="181"/>
      <c r="G200" s="181"/>
      <c r="H200" s="182"/>
      <c r="I200" s="169" t="str">
        <f>CONCATENATE(TEXT(DataSheet!L161,"0 000")," ",DataSheet!P161," / ",DataSheet!S161)</f>
        <v>5 000 µA / 30 kHz</v>
      </c>
      <c r="J200" s="169"/>
      <c r="K200" s="169"/>
      <c r="L200" s="169"/>
      <c r="M200" s="169" t="e">
        <f>CONCATENATE(TEXT(DataSheet!AM161,"0 000.0")," ",DataSheet!P161)</f>
        <v>#DIV/0!</v>
      </c>
      <c r="N200" s="169"/>
      <c r="O200" s="169"/>
      <c r="P200" s="169"/>
      <c r="Q200" s="169" t="e">
        <f>CONCATENATE(TEXT(DataSheet!AR161,"0.0")," ",DataSheet!BZ161)</f>
        <v>#DIV/0!</v>
      </c>
      <c r="R200" s="169"/>
      <c r="S200" s="169"/>
      <c r="T200" s="169"/>
      <c r="U200" s="166" t="e">
        <f>CONCATENATE(TEXT(DataSheet!DD161,"0")," ",DataSheet!DE161)</f>
        <v>#DIV/0!</v>
      </c>
      <c r="V200" s="167"/>
      <c r="W200" s="167"/>
      <c r="X200" s="168"/>
    </row>
    <row r="201" spans="1:24" s="31" customFormat="1" ht="15" customHeight="1">
      <c r="A201" s="30"/>
      <c r="E201" s="220" t="str">
        <f>DataSheet!F162</f>
        <v>50 mA</v>
      </c>
      <c r="F201" s="221"/>
      <c r="G201" s="221"/>
      <c r="H201" s="222"/>
      <c r="I201" s="169" t="str">
        <f>CONCATENATE(DataSheet!L162," ",DataSheet!P162," / ",DataSheet!S162)</f>
        <v>4 mA / 20 Hz</v>
      </c>
      <c r="J201" s="169"/>
      <c r="K201" s="169"/>
      <c r="L201" s="169"/>
      <c r="M201" s="169" t="e">
        <f>CONCATENATE(TEXT(DataSheet!AM162,"0.000")," ",DataSheet!P162)</f>
        <v>#DIV/0!</v>
      </c>
      <c r="N201" s="169"/>
      <c r="O201" s="169"/>
      <c r="P201" s="169"/>
      <c r="Q201" s="169" t="e">
        <f>CONCATENATE(TEXT(DataSheet!AR162,"0.000")," ",DataSheet!BZ162)</f>
        <v>#DIV/0!</v>
      </c>
      <c r="R201" s="169"/>
      <c r="S201" s="169"/>
      <c r="T201" s="169"/>
      <c r="U201" s="166" t="e">
        <f>CONCATENATE(TEXT(DataSheet!DD162,"0.000")," ",DataSheet!DE162)</f>
        <v>#DIV/0!</v>
      </c>
      <c r="V201" s="167"/>
      <c r="W201" s="167"/>
      <c r="X201" s="168"/>
    </row>
    <row r="202" spans="1:24" s="31" customFormat="1" ht="15" customHeight="1">
      <c r="A202" s="30"/>
      <c r="E202" s="223"/>
      <c r="F202" s="224"/>
      <c r="G202" s="224"/>
      <c r="H202" s="225"/>
      <c r="I202" s="169" t="str">
        <f>CONCATENATE(DataSheet!L163," ",DataSheet!P163," / ",DataSheet!S163)</f>
        <v>30 mA / 30 kHz</v>
      </c>
      <c r="J202" s="169"/>
      <c r="K202" s="169"/>
      <c r="L202" s="169"/>
      <c r="M202" s="169" t="e">
        <f>CONCATENATE(TEXT(DataSheet!AM163,"0.000")," ",DataSheet!P163)</f>
        <v>#DIV/0!</v>
      </c>
      <c r="N202" s="169"/>
      <c r="O202" s="169"/>
      <c r="P202" s="169"/>
      <c r="Q202" s="169" t="e">
        <f>CONCATENATE(TEXT(DataSheet!AR163,"0.000")," ",DataSheet!BZ163)</f>
        <v>#DIV/0!</v>
      </c>
      <c r="R202" s="169"/>
      <c r="S202" s="169"/>
      <c r="T202" s="169"/>
      <c r="U202" s="166" t="e">
        <f>CONCATENATE(TEXT(DataSheet!DD163,"0.000")," ",DataSheet!DE163)</f>
        <v>#DIV/0!</v>
      </c>
      <c r="V202" s="167"/>
      <c r="W202" s="167"/>
      <c r="X202" s="168"/>
    </row>
    <row r="203" spans="1:24" s="31" customFormat="1" ht="15" customHeight="1">
      <c r="A203" s="30"/>
      <c r="E203" s="220" t="str">
        <f>DataSheet!F164</f>
        <v>400 mA</v>
      </c>
      <c r="F203" s="221"/>
      <c r="G203" s="221"/>
      <c r="H203" s="222"/>
      <c r="I203" s="169" t="str">
        <f>CONCATENATE(DataSheet!L164," ",DataSheet!P164," / ",DataSheet!S164)</f>
        <v>300 mA / 30 kHz</v>
      </c>
      <c r="J203" s="169"/>
      <c r="K203" s="169"/>
      <c r="L203" s="169"/>
      <c r="M203" s="169" t="e">
        <f>CONCATENATE(TEXT(DataSheet!AM164,"0.00")," ",DataSheet!P164)</f>
        <v>#DIV/0!</v>
      </c>
      <c r="N203" s="169"/>
      <c r="O203" s="169"/>
      <c r="P203" s="169"/>
      <c r="Q203" s="169" t="e">
        <f>CONCATENATE(TEXT(DataSheet!AR164,"0.00")," ",DataSheet!BZ164)</f>
        <v>#DIV/0!</v>
      </c>
      <c r="R203" s="169"/>
      <c r="S203" s="169"/>
      <c r="T203" s="169"/>
      <c r="U203" s="166" t="e">
        <f>CONCATENATE(TEXT(DataSheet!DD164,"0.00")," ",DataSheet!DE164)</f>
        <v>#DIV/0!</v>
      </c>
      <c r="V203" s="167"/>
      <c r="W203" s="167"/>
      <c r="X203" s="168"/>
    </row>
    <row r="204" spans="1:24" s="31" customFormat="1" ht="15" customHeight="1">
      <c r="A204" s="30"/>
      <c r="E204" s="223"/>
      <c r="F204" s="224"/>
      <c r="G204" s="224"/>
      <c r="H204" s="225"/>
      <c r="I204" s="169" t="str">
        <f>CONCATENATE(DataSheet!L165," ",DataSheet!P165," / ",DataSheet!S165)</f>
        <v>400 mA / 60 Hz</v>
      </c>
      <c r="J204" s="169"/>
      <c r="K204" s="169"/>
      <c r="L204" s="169"/>
      <c r="M204" s="169" t="e">
        <f>CONCATENATE(TEXT(DataSheet!AM165,"0.00")," ",DataSheet!P165)</f>
        <v>#DIV/0!</v>
      </c>
      <c r="N204" s="169"/>
      <c r="O204" s="169"/>
      <c r="P204" s="169"/>
      <c r="Q204" s="169" t="e">
        <f>CONCATENATE(TEXT(DataSheet!AR165,"0.00")," ",DataSheet!BZ165)</f>
        <v>#DIV/0!</v>
      </c>
      <c r="R204" s="169"/>
      <c r="S204" s="169"/>
      <c r="T204" s="169"/>
      <c r="U204" s="166" t="e">
        <f>CONCATENATE(TEXT(DataSheet!DD165,"0.00")," ",DataSheet!DE165)</f>
        <v>#DIV/0!</v>
      </c>
      <c r="V204" s="167"/>
      <c r="W204" s="167"/>
      <c r="X204" s="168"/>
    </row>
    <row r="205" spans="1:24" s="31" customFormat="1" ht="15" customHeight="1">
      <c r="A205" s="30"/>
      <c r="E205" s="180" t="str">
        <f>DataSheet!F166</f>
        <v>5 A</v>
      </c>
      <c r="F205" s="181"/>
      <c r="G205" s="181"/>
      <c r="H205" s="182"/>
      <c r="I205" s="169" t="str">
        <f>CONCATENATE(DataSheet!L166," ",DataSheet!P166," / ",DataSheet!S166)</f>
        <v>5 A / 1 kHz</v>
      </c>
      <c r="J205" s="169"/>
      <c r="K205" s="169"/>
      <c r="L205" s="169"/>
      <c r="M205" s="169" t="e">
        <f>CONCATENATE(TEXT(DataSheet!AM166,"0.000 0")," ",DataSheet!P166)</f>
        <v>#DIV/0!</v>
      </c>
      <c r="N205" s="169"/>
      <c r="O205" s="169"/>
      <c r="P205" s="169"/>
      <c r="Q205" s="169" t="e">
        <f>CONCATENATE(TEXT(DataSheet!AR166,"0.000")," ",DataSheet!BZ166)</f>
        <v>#DIV/0!</v>
      </c>
      <c r="R205" s="169"/>
      <c r="S205" s="169"/>
      <c r="T205" s="169"/>
      <c r="U205" s="166" t="e">
        <f>CONCATENATE(TEXT(DataSheet!DD166,"0.000")," ",DataSheet!DE166)</f>
        <v>#DIV/0!</v>
      </c>
      <c r="V205" s="167"/>
      <c r="W205" s="167"/>
      <c r="X205" s="168"/>
    </row>
    <row r="206" spans="1:24" s="31" customFormat="1" ht="15" customHeight="1">
      <c r="A206" s="30"/>
      <c r="E206" s="180" t="str">
        <f>DataSheet!F167</f>
        <v>10 A</v>
      </c>
      <c r="F206" s="181"/>
      <c r="G206" s="181"/>
      <c r="H206" s="182"/>
      <c r="I206" s="169" t="str">
        <f>CONCATENATE(DataSheet!L167," ",DataSheet!P167," / ",DataSheet!S167)</f>
        <v>5 A / 1 kHz</v>
      </c>
      <c r="J206" s="169"/>
      <c r="K206" s="169"/>
      <c r="L206" s="169"/>
      <c r="M206" s="169" t="e">
        <f>CONCATENATE(TEXT(DataSheet!AM167,"0.000")," ",DataSheet!P167)</f>
        <v>#DIV/0!</v>
      </c>
      <c r="N206" s="169"/>
      <c r="O206" s="169"/>
      <c r="P206" s="169"/>
      <c r="Q206" s="169" t="e">
        <f>CONCATENATE(TEXT(DataSheet!AR167,"0.000")," ",DataSheet!BZ167)</f>
        <v>#DIV/0!</v>
      </c>
      <c r="R206" s="169"/>
      <c r="S206" s="169"/>
      <c r="T206" s="169"/>
      <c r="U206" s="166" t="e">
        <f>CONCATENATE(TEXT(DataSheet!DD167,"0.000")," ",DataSheet!DE167)</f>
        <v>#DIV/0!</v>
      </c>
      <c r="V206" s="167"/>
      <c r="W206" s="167"/>
      <c r="X206" s="168"/>
    </row>
    <row r="207" spans="1:24" s="31" customFormat="1" ht="15" customHeight="1">
      <c r="A207" s="30"/>
      <c r="E207" s="38"/>
      <c r="F207" s="38"/>
      <c r="G207" s="38"/>
      <c r="H207" s="38"/>
      <c r="I207" s="65"/>
      <c r="J207" s="65"/>
      <c r="K207" s="65"/>
      <c r="L207" s="65"/>
      <c r="M207" s="65"/>
      <c r="N207" s="65"/>
      <c r="O207" s="65"/>
      <c r="P207" s="65"/>
      <c r="Q207" s="65"/>
      <c r="R207" s="65"/>
      <c r="S207" s="65"/>
      <c r="T207" s="65"/>
      <c r="U207" s="65"/>
      <c r="V207" s="65"/>
    </row>
    <row r="208" spans="1:24" s="31" customFormat="1" ht="15" customHeight="1">
      <c r="A208" s="30"/>
      <c r="E208" s="32" t="str">
        <f>DataSheet!F169</f>
        <v>LoZ Test</v>
      </c>
      <c r="S208" s="33"/>
      <c r="T208" s="33"/>
      <c r="U208" s="33"/>
      <c r="V208" s="33"/>
    </row>
    <row r="209" spans="1:27" s="31" customFormat="1" ht="15" customHeight="1">
      <c r="A209" s="30"/>
      <c r="E209" s="172" t="s">
        <v>27</v>
      </c>
      <c r="F209" s="173"/>
      <c r="G209" s="173"/>
      <c r="H209" s="174"/>
      <c r="I209" s="170" t="s">
        <v>28</v>
      </c>
      <c r="J209" s="170"/>
      <c r="K209" s="170"/>
      <c r="L209" s="170"/>
      <c r="M209" s="170" t="s">
        <v>73</v>
      </c>
      <c r="N209" s="170"/>
      <c r="O209" s="170"/>
      <c r="P209" s="170"/>
      <c r="Q209" s="171" t="s">
        <v>29</v>
      </c>
      <c r="R209" s="171"/>
      <c r="S209" s="171"/>
      <c r="T209" s="171"/>
      <c r="U209" s="172" t="s">
        <v>137</v>
      </c>
      <c r="V209" s="173"/>
      <c r="W209" s="173"/>
      <c r="X209" s="174"/>
    </row>
    <row r="210" spans="1:27" s="31" customFormat="1" ht="15" customHeight="1">
      <c r="A210" s="30"/>
      <c r="E210" s="175"/>
      <c r="F210" s="176"/>
      <c r="G210" s="176"/>
      <c r="H210" s="177"/>
      <c r="I210" s="170"/>
      <c r="J210" s="170"/>
      <c r="K210" s="170"/>
      <c r="L210" s="170"/>
      <c r="M210" s="170"/>
      <c r="N210" s="170"/>
      <c r="O210" s="170"/>
      <c r="P210" s="170"/>
      <c r="Q210" s="171"/>
      <c r="R210" s="171"/>
      <c r="S210" s="171"/>
      <c r="T210" s="171"/>
      <c r="U210" s="175"/>
      <c r="V210" s="176"/>
      <c r="W210" s="176"/>
      <c r="X210" s="177"/>
    </row>
    <row r="211" spans="1:27" s="31" customFormat="1" ht="15" customHeight="1">
      <c r="A211" s="30"/>
      <c r="E211" s="186" t="str">
        <f>DataSheet!F172</f>
        <v>1 000 V</v>
      </c>
      <c r="F211" s="186"/>
      <c r="G211" s="186"/>
      <c r="H211" s="186"/>
      <c r="I211" s="169" t="str">
        <f>CONCATENATE(DataSheet!L172," ",DataSheet!P172," / ",DataSheet!S172)</f>
        <v>120 V / 60 Hz</v>
      </c>
      <c r="J211" s="169"/>
      <c r="K211" s="169"/>
      <c r="L211" s="169"/>
      <c r="M211" s="169" t="e">
        <f>CONCATENATE(TEXT(DataSheet!AM172,"0.00")," ",DataSheet!P172)</f>
        <v>#DIV/0!</v>
      </c>
      <c r="N211" s="169"/>
      <c r="O211" s="169"/>
      <c r="P211" s="169"/>
      <c r="Q211" s="169" t="e">
        <f>CONCATENATE(TEXT(DataSheet!AR172,"0.00")," ",DataSheet!BZ172)</f>
        <v>#DIV/0!</v>
      </c>
      <c r="R211" s="169"/>
      <c r="S211" s="169"/>
      <c r="T211" s="169"/>
      <c r="U211" s="166" t="e">
        <f>CONCATENATE(TEXT(DataSheet!DD172,"0.000")," ",DataSheet!DE172)</f>
        <v>#DIV/0!</v>
      </c>
      <c r="V211" s="167"/>
      <c r="W211" s="167"/>
      <c r="X211" s="168"/>
    </row>
    <row r="212" spans="1:27" s="31" customFormat="1" ht="15" customHeight="1">
      <c r="A212" s="30"/>
      <c r="E212" s="38"/>
      <c r="F212" s="38"/>
      <c r="G212" s="38"/>
      <c r="H212" s="38"/>
      <c r="I212" s="65"/>
      <c r="J212" s="65"/>
      <c r="K212" s="65"/>
      <c r="L212" s="65"/>
      <c r="M212" s="65"/>
      <c r="N212" s="65"/>
      <c r="O212" s="65"/>
      <c r="P212" s="65"/>
      <c r="Q212" s="65"/>
      <c r="R212" s="65"/>
      <c r="S212" s="65"/>
      <c r="T212" s="65"/>
      <c r="U212" s="65"/>
      <c r="V212" s="65"/>
      <c r="W212" s="65"/>
      <c r="X212" s="65"/>
    </row>
    <row r="213" spans="1:27" s="31" customFormat="1" ht="15" customHeight="1">
      <c r="A213" s="30"/>
      <c r="E213" s="38"/>
      <c r="F213" s="38"/>
      <c r="G213" s="38"/>
      <c r="H213" s="38"/>
      <c r="I213" s="65"/>
      <c r="J213" s="65"/>
      <c r="K213" s="65"/>
      <c r="L213" s="65"/>
      <c r="M213" s="65"/>
      <c r="N213" s="65"/>
      <c r="O213" s="65"/>
      <c r="P213" s="65"/>
      <c r="Q213" s="65"/>
      <c r="R213" s="65"/>
      <c r="S213" s="65"/>
      <c r="T213" s="65"/>
      <c r="U213" s="65"/>
      <c r="V213" s="65"/>
      <c r="W213" s="65"/>
      <c r="X213" s="65"/>
    </row>
    <row r="214" spans="1:27" s="31" customFormat="1" ht="15" customHeight="1">
      <c r="A214" s="30"/>
      <c r="E214" s="38"/>
      <c r="F214" s="38"/>
      <c r="G214" s="38"/>
      <c r="H214" s="38"/>
      <c r="I214" s="65"/>
      <c r="J214" s="65"/>
      <c r="K214" s="65"/>
      <c r="L214" s="65"/>
      <c r="M214" s="65"/>
      <c r="N214" s="65"/>
      <c r="O214" s="65"/>
      <c r="P214" s="65"/>
      <c r="Q214" s="65"/>
      <c r="R214" s="65"/>
      <c r="S214" s="65"/>
      <c r="T214" s="65"/>
      <c r="U214" s="65"/>
      <c r="V214" s="65"/>
      <c r="W214" s="65"/>
      <c r="X214" s="65"/>
    </row>
    <row r="215" spans="1:27" s="31" customFormat="1" ht="15" customHeight="1">
      <c r="A215" s="30"/>
      <c r="E215" s="38"/>
      <c r="F215" s="38"/>
      <c r="G215" s="38"/>
      <c r="H215" s="38"/>
      <c r="I215" s="65"/>
      <c r="J215" s="65"/>
      <c r="K215" s="65"/>
      <c r="L215" s="65"/>
      <c r="M215" s="65"/>
      <c r="N215" s="65"/>
      <c r="O215" s="65"/>
      <c r="P215" s="65"/>
      <c r="Q215" s="65"/>
      <c r="R215" s="65"/>
      <c r="S215" s="65"/>
      <c r="T215" s="65"/>
      <c r="U215" s="65"/>
      <c r="V215" s="65"/>
      <c r="W215" s="65"/>
      <c r="X215" s="65"/>
    </row>
    <row r="216" spans="1:27" s="31" customFormat="1" ht="15" customHeight="1">
      <c r="A216" s="30"/>
      <c r="C216" s="178">
        <f>DataSheet!B175</f>
        <v>0</v>
      </c>
      <c r="D216" s="178"/>
      <c r="E216" s="178"/>
      <c r="F216" s="178"/>
      <c r="G216" s="178"/>
      <c r="H216" s="178"/>
      <c r="I216" s="178"/>
      <c r="J216" s="178"/>
      <c r="K216" s="178"/>
      <c r="L216" s="178"/>
      <c r="M216" s="178"/>
      <c r="N216" s="178"/>
      <c r="O216" s="178"/>
      <c r="P216" s="178"/>
      <c r="Q216" s="178"/>
      <c r="R216" s="178"/>
      <c r="S216" s="178"/>
      <c r="T216" s="178"/>
      <c r="U216" s="178"/>
      <c r="V216" s="178"/>
      <c r="W216" s="178"/>
      <c r="X216" s="178"/>
      <c r="Y216" s="178"/>
      <c r="Z216" s="178"/>
      <c r="AA216" s="36"/>
    </row>
    <row r="217" spans="1:27" s="31" customFormat="1" ht="15" customHeight="1">
      <c r="A217" s="30"/>
      <c r="C217" s="179" t="s">
        <v>24</v>
      </c>
      <c r="D217" s="179"/>
      <c r="E217" s="179"/>
      <c r="F217" s="179"/>
      <c r="G217" s="179"/>
      <c r="H217" s="179"/>
      <c r="I217" s="179"/>
      <c r="J217" s="179"/>
      <c r="K217" s="179"/>
      <c r="L217" s="179"/>
      <c r="M217" s="179"/>
      <c r="N217" s="179"/>
      <c r="O217" s="179"/>
      <c r="P217" s="179"/>
      <c r="Q217" s="179"/>
      <c r="R217" s="179"/>
      <c r="S217" s="179"/>
      <c r="T217" s="179"/>
      <c r="U217" s="179"/>
      <c r="V217" s="179"/>
      <c r="W217" s="179"/>
      <c r="X217" s="179"/>
      <c r="Y217" s="179"/>
      <c r="Z217" s="179"/>
      <c r="AA217" s="36"/>
    </row>
    <row r="218" spans="1:27" s="31" customFormat="1" ht="15" customHeight="1">
      <c r="A218" s="30"/>
      <c r="C218" s="69"/>
      <c r="D218" s="69"/>
      <c r="E218" s="69"/>
      <c r="F218" s="69"/>
      <c r="G218" s="69"/>
      <c r="H218" s="69"/>
      <c r="I218" s="69"/>
      <c r="J218" s="69"/>
      <c r="K218" s="69"/>
      <c r="L218" s="69"/>
      <c r="M218" s="69"/>
      <c r="N218" s="69"/>
      <c r="O218" s="69"/>
      <c r="P218" s="69"/>
      <c r="Q218" s="69"/>
      <c r="R218" s="69"/>
      <c r="S218" s="69"/>
      <c r="T218" s="69"/>
      <c r="U218" s="69"/>
      <c r="V218" s="69"/>
      <c r="W218" s="69"/>
      <c r="X218" s="69"/>
      <c r="Y218" s="69"/>
      <c r="Z218" s="69"/>
      <c r="AA218" s="36"/>
    </row>
    <row r="219" spans="1:27" s="31" customFormat="1" ht="15" customHeight="1">
      <c r="A219" s="30"/>
      <c r="C219" s="38"/>
      <c r="D219" s="38"/>
      <c r="E219" s="38"/>
      <c r="F219" s="38"/>
      <c r="G219" s="38"/>
      <c r="H219" s="38"/>
      <c r="I219" s="38"/>
      <c r="J219" s="38"/>
      <c r="K219" s="38"/>
      <c r="L219" s="38"/>
      <c r="M219" s="38"/>
      <c r="N219" s="38"/>
      <c r="O219" s="38"/>
      <c r="P219" s="38"/>
      <c r="Q219" s="38"/>
      <c r="R219" s="38"/>
      <c r="S219" s="38"/>
      <c r="T219" s="38"/>
      <c r="U219" s="38"/>
      <c r="V219" s="38"/>
      <c r="W219" s="38"/>
      <c r="X219" s="38"/>
      <c r="Y219" s="38"/>
      <c r="Z219" s="38"/>
      <c r="AA219" s="36"/>
    </row>
    <row r="220" spans="1:27" s="31" customFormat="1" ht="15" customHeight="1">
      <c r="A220" s="30"/>
      <c r="D220" s="36"/>
      <c r="F220" s="36"/>
      <c r="G220" s="38"/>
      <c r="H220" s="38"/>
      <c r="I220" s="38"/>
      <c r="J220" s="38"/>
      <c r="K220" s="36"/>
      <c r="L220" s="36"/>
      <c r="M220" s="36"/>
      <c r="N220" s="36"/>
      <c r="O220" s="36"/>
      <c r="P220" s="36"/>
      <c r="Q220" s="36"/>
      <c r="R220" s="38"/>
      <c r="S220" s="38"/>
      <c r="T220" s="38"/>
      <c r="U220" s="38"/>
      <c r="V220" s="38"/>
      <c r="W220" s="36"/>
      <c r="X220" s="36"/>
      <c r="Y220" s="36"/>
      <c r="Z220" s="36"/>
      <c r="AA220" s="36"/>
    </row>
    <row r="221" spans="1:27" s="31" customFormat="1" ht="15" customHeight="1">
      <c r="A221" s="30"/>
      <c r="E221" s="43"/>
      <c r="F221" s="43"/>
      <c r="G221" s="43"/>
      <c r="H221" s="43"/>
      <c r="L221" s="36"/>
      <c r="M221" s="36"/>
      <c r="N221" s="36"/>
      <c r="R221" s="36"/>
      <c r="S221" s="36"/>
      <c r="T221" s="36"/>
      <c r="U221" s="36"/>
      <c r="V221" s="36"/>
      <c r="W221" s="36"/>
      <c r="X221" s="36"/>
      <c r="Y221" s="36"/>
    </row>
    <row r="222" spans="1:27" s="31" customFormat="1" ht="15" customHeight="1">
      <c r="A222" s="30"/>
    </row>
    <row r="223" spans="1:27" s="31" customFormat="1" ht="15" customHeight="1">
      <c r="A223" s="30"/>
    </row>
    <row r="224" spans="1:27" s="31" customFormat="1" ht="15" customHeight="1">
      <c r="A224" s="30"/>
    </row>
    <row r="225" spans="1:1" s="31" customFormat="1" ht="12.75" customHeight="1">
      <c r="A225" s="30"/>
    </row>
    <row r="226" spans="1:1" s="31" customFormat="1" ht="12.75" customHeight="1">
      <c r="A226" s="30"/>
    </row>
  </sheetData>
  <mergeCells count="403">
    <mergeCell ref="E205:H205"/>
    <mergeCell ref="M146:P147"/>
    <mergeCell ref="E188:H188"/>
    <mergeCell ref="E203:H204"/>
    <mergeCell ref="I188:L188"/>
    <mergeCell ref="M188:P188"/>
    <mergeCell ref="I203:L203"/>
    <mergeCell ref="E153:H153"/>
    <mergeCell ref="I149:L149"/>
    <mergeCell ref="Q204:T204"/>
    <mergeCell ref="Q189:T189"/>
    <mergeCell ref="E200:H200"/>
    <mergeCell ref="E201:H202"/>
    <mergeCell ref="Q203:T203"/>
    <mergeCell ref="E150:H152"/>
    <mergeCell ref="E148:H149"/>
    <mergeCell ref="E141:H143"/>
    <mergeCell ref="E139:H140"/>
    <mergeCell ref="I139:L140"/>
    <mergeCell ref="M139:P140"/>
    <mergeCell ref="E185:H186"/>
    <mergeCell ref="I185:L186"/>
    <mergeCell ref="M185:P186"/>
    <mergeCell ref="I157:L157"/>
    <mergeCell ref="M157:P157"/>
    <mergeCell ref="Q146:T147"/>
    <mergeCell ref="M189:P189"/>
    <mergeCell ref="Q185:T186"/>
    <mergeCell ref="M190:P190"/>
    <mergeCell ref="E198:H199"/>
    <mergeCell ref="Q190:T190"/>
    <mergeCell ref="E189:H190"/>
    <mergeCell ref="U209:X210"/>
    <mergeCell ref="E211:H211"/>
    <mergeCell ref="I211:L211"/>
    <mergeCell ref="M211:P211"/>
    <mergeCell ref="Q211:T211"/>
    <mergeCell ref="U211:X211"/>
    <mergeCell ref="I206:L206"/>
    <mergeCell ref="M206:P206"/>
    <mergeCell ref="Q206:T206"/>
    <mergeCell ref="U206:X206"/>
    <mergeCell ref="Q209:T210"/>
    <mergeCell ref="E209:H210"/>
    <mergeCell ref="I209:L210"/>
    <mergeCell ref="M209:P210"/>
    <mergeCell ref="I123:L124"/>
    <mergeCell ref="I125:L125"/>
    <mergeCell ref="M125:P125"/>
    <mergeCell ref="Q125:T125"/>
    <mergeCell ref="Q157:T157"/>
    <mergeCell ref="M154:P154"/>
    <mergeCell ref="I152:L152"/>
    <mergeCell ref="M152:P152"/>
    <mergeCell ref="Q152:T152"/>
    <mergeCell ref="I151:L151"/>
    <mergeCell ref="I150:L150"/>
    <mergeCell ref="M150:P150"/>
    <mergeCell ref="Q150:T150"/>
    <mergeCell ref="Q151:T151"/>
    <mergeCell ref="Q154:T154"/>
    <mergeCell ref="I155:L155"/>
    <mergeCell ref="M155:P155"/>
    <mergeCell ref="Q155:T155"/>
    <mergeCell ref="I156:L156"/>
    <mergeCell ref="I154:L154"/>
    <mergeCell ref="I136:L136"/>
    <mergeCell ref="M136:P136"/>
    <mergeCell ref="Q136:T136"/>
    <mergeCell ref="M123:P124"/>
    <mergeCell ref="Q123:T124"/>
    <mergeCell ref="Q107:T107"/>
    <mergeCell ref="E129:H130"/>
    <mergeCell ref="E131:H131"/>
    <mergeCell ref="E134:H135"/>
    <mergeCell ref="E136:H136"/>
    <mergeCell ref="Q126:T126"/>
    <mergeCell ref="I126:L126"/>
    <mergeCell ref="M126:P126"/>
    <mergeCell ref="E125:H126"/>
    <mergeCell ref="C111:Z111"/>
    <mergeCell ref="U136:X136"/>
    <mergeCell ref="U129:X130"/>
    <mergeCell ref="I134:L135"/>
    <mergeCell ref="I131:L131"/>
    <mergeCell ref="M131:P131"/>
    <mergeCell ref="Q131:T131"/>
    <mergeCell ref="U131:X131"/>
    <mergeCell ref="I129:L130"/>
    <mergeCell ref="C110:Z110"/>
    <mergeCell ref="I107:L107"/>
    <mergeCell ref="M107:P107"/>
    <mergeCell ref="E123:H124"/>
    <mergeCell ref="U107:X107"/>
    <mergeCell ref="E77:H77"/>
    <mergeCell ref="D40:I41"/>
    <mergeCell ref="J40:O41"/>
    <mergeCell ref="E78:H78"/>
    <mergeCell ref="E79:H79"/>
    <mergeCell ref="E80:H80"/>
    <mergeCell ref="E75:H76"/>
    <mergeCell ref="I74:L74"/>
    <mergeCell ref="G58:J58"/>
    <mergeCell ref="E69:H70"/>
    <mergeCell ref="I69:L70"/>
    <mergeCell ref="M69:P70"/>
    <mergeCell ref="I75:L75"/>
    <mergeCell ref="I76:L76"/>
    <mergeCell ref="M76:P76"/>
    <mergeCell ref="P40:U41"/>
    <mergeCell ref="Q77:T77"/>
    <mergeCell ref="P42:U42"/>
    <mergeCell ref="J42:O42"/>
    <mergeCell ref="D42:I42"/>
    <mergeCell ref="M75:P75"/>
    <mergeCell ref="Q75:T75"/>
    <mergeCell ref="Q69:T70"/>
    <mergeCell ref="M73:P73"/>
    <mergeCell ref="C216:Z216"/>
    <mergeCell ref="C217:Z217"/>
    <mergeCell ref="E175:H176"/>
    <mergeCell ref="I175:L176"/>
    <mergeCell ref="M175:P176"/>
    <mergeCell ref="Q175:T176"/>
    <mergeCell ref="U175:X176"/>
    <mergeCell ref="I177:L177"/>
    <mergeCell ref="M177:P177"/>
    <mergeCell ref="Q177:T177"/>
    <mergeCell ref="U177:X177"/>
    <mergeCell ref="E177:H177"/>
    <mergeCell ref="U196:X197"/>
    <mergeCell ref="E196:H197"/>
    <mergeCell ref="E206:H206"/>
    <mergeCell ref="E192:H192"/>
    <mergeCell ref="E193:H193"/>
    <mergeCell ref="E187:H187"/>
    <mergeCell ref="I187:L187"/>
    <mergeCell ref="M187:P187"/>
    <mergeCell ref="Q187:T187"/>
    <mergeCell ref="I205:L205"/>
    <mergeCell ref="M205:P205"/>
    <mergeCell ref="Q205:T205"/>
    <mergeCell ref="Q76:T76"/>
    <mergeCell ref="U142:X142"/>
    <mergeCell ref="U83:X84"/>
    <mergeCell ref="Q148:T148"/>
    <mergeCell ref="U148:X148"/>
    <mergeCell ref="M151:P151"/>
    <mergeCell ref="U151:X151"/>
    <mergeCell ref="U76:X76"/>
    <mergeCell ref="M134:P135"/>
    <mergeCell ref="Q134:T135"/>
    <mergeCell ref="U134:X135"/>
    <mergeCell ref="U126:X126"/>
    <mergeCell ref="U125:X125"/>
    <mergeCell ref="U123:X124"/>
    <mergeCell ref="M101:P101"/>
    <mergeCell ref="U92:X92"/>
    <mergeCell ref="U95:X96"/>
    <mergeCell ref="U146:X147"/>
    <mergeCell ref="U149:X149"/>
    <mergeCell ref="M149:P149"/>
    <mergeCell ref="Q149:T149"/>
    <mergeCell ref="M129:P130"/>
    <mergeCell ref="Q129:T130"/>
    <mergeCell ref="Q139:T140"/>
    <mergeCell ref="U139:X140"/>
    <mergeCell ref="I141:L141"/>
    <mergeCell ref="M141:P141"/>
    <mergeCell ref="Q141:T141"/>
    <mergeCell ref="U141:X141"/>
    <mergeCell ref="I143:L143"/>
    <mergeCell ref="M143:P143"/>
    <mergeCell ref="Q143:T143"/>
    <mergeCell ref="U143:X143"/>
    <mergeCell ref="I142:L142"/>
    <mergeCell ref="M142:P142"/>
    <mergeCell ref="Q142:T142"/>
    <mergeCell ref="U152:X152"/>
    <mergeCell ref="U156:X156"/>
    <mergeCell ref="U155:X155"/>
    <mergeCell ref="U153:X153"/>
    <mergeCell ref="Q71:T71"/>
    <mergeCell ref="Q72:T72"/>
    <mergeCell ref="U71:X71"/>
    <mergeCell ref="U75:X75"/>
    <mergeCell ref="E71:H74"/>
    <mergeCell ref="I73:L73"/>
    <mergeCell ref="Q73:T73"/>
    <mergeCell ref="U73:X73"/>
    <mergeCell ref="M74:P74"/>
    <mergeCell ref="Q74:T74"/>
    <mergeCell ref="U74:X74"/>
    <mergeCell ref="I85:L85"/>
    <mergeCell ref="M85:P85"/>
    <mergeCell ref="Q85:T85"/>
    <mergeCell ref="U85:X85"/>
    <mergeCell ref="I86:L86"/>
    <mergeCell ref="M86:P86"/>
    <mergeCell ref="I91:L91"/>
    <mergeCell ref="M80:P80"/>
    <mergeCell ref="Q80:T80"/>
    <mergeCell ref="C45:Z47"/>
    <mergeCell ref="E55:J55"/>
    <mergeCell ref="E56:J56"/>
    <mergeCell ref="R55:W55"/>
    <mergeCell ref="R56:W56"/>
    <mergeCell ref="O52:Q52"/>
    <mergeCell ref="I71:L71"/>
    <mergeCell ref="I72:L72"/>
    <mergeCell ref="M71:P71"/>
    <mergeCell ref="M72:P72"/>
    <mergeCell ref="U72:X72"/>
    <mergeCell ref="U69:X70"/>
    <mergeCell ref="V40:Z41"/>
    <mergeCell ref="V42:Z42"/>
    <mergeCell ref="C5:Z6"/>
    <mergeCell ref="D11:N12"/>
    <mergeCell ref="P11:Y12"/>
    <mergeCell ref="C26:Z27"/>
    <mergeCell ref="R7:U7"/>
    <mergeCell ref="V7:Z7"/>
    <mergeCell ref="T16:Z16"/>
    <mergeCell ref="H17:M17"/>
    <mergeCell ref="T17:Z17"/>
    <mergeCell ref="H18:N18"/>
    <mergeCell ref="T18:Z18"/>
    <mergeCell ref="H19:M19"/>
    <mergeCell ref="T19:Z19"/>
    <mergeCell ref="H14:M14"/>
    <mergeCell ref="H15:M15"/>
    <mergeCell ref="T15:Z15"/>
    <mergeCell ref="H16:M16"/>
    <mergeCell ref="C30:Z32"/>
    <mergeCell ref="C35:Z36"/>
    <mergeCell ref="C23:Z24"/>
    <mergeCell ref="C29:E29"/>
    <mergeCell ref="U80:X80"/>
    <mergeCell ref="I89:L90"/>
    <mergeCell ref="U86:X86"/>
    <mergeCell ref="U91:X91"/>
    <mergeCell ref="U89:X90"/>
    <mergeCell ref="E95:H96"/>
    <mergeCell ref="I95:L96"/>
    <mergeCell ref="I78:L78"/>
    <mergeCell ref="I79:L79"/>
    <mergeCell ref="I80:L80"/>
    <mergeCell ref="E83:H84"/>
    <mergeCell ref="I83:L84"/>
    <mergeCell ref="M83:P84"/>
    <mergeCell ref="Q83:T84"/>
    <mergeCell ref="E85:H85"/>
    <mergeCell ref="E86:H86"/>
    <mergeCell ref="E89:H90"/>
    <mergeCell ref="E91:H91"/>
    <mergeCell ref="E92:H92"/>
    <mergeCell ref="Q86:T86"/>
    <mergeCell ref="Q91:T91"/>
    <mergeCell ref="I92:L92"/>
    <mergeCell ref="M92:P92"/>
    <mergeCell ref="Q92:T92"/>
    <mergeCell ref="M91:P91"/>
    <mergeCell ref="M89:P90"/>
    <mergeCell ref="Q89:T90"/>
    <mergeCell ref="M95:P96"/>
    <mergeCell ref="Q95:T96"/>
    <mergeCell ref="E97:H98"/>
    <mergeCell ref="E99:H101"/>
    <mergeCell ref="E102:H104"/>
    <mergeCell ref="I99:L99"/>
    <mergeCell ref="M99:P99"/>
    <mergeCell ref="Q99:T99"/>
    <mergeCell ref="I97:L97"/>
    <mergeCell ref="M97:P97"/>
    <mergeCell ref="Q97:T97"/>
    <mergeCell ref="U99:X99"/>
    <mergeCell ref="E105:H105"/>
    <mergeCell ref="E106:H106"/>
    <mergeCell ref="I100:L100"/>
    <mergeCell ref="M100:P100"/>
    <mergeCell ref="Q100:T100"/>
    <mergeCell ref="U100:X100"/>
    <mergeCell ref="I98:L98"/>
    <mergeCell ref="M98:P98"/>
    <mergeCell ref="M106:P106"/>
    <mergeCell ref="Q98:T98"/>
    <mergeCell ref="U98:X98"/>
    <mergeCell ref="U105:X105"/>
    <mergeCell ref="U104:X104"/>
    <mergeCell ref="I105:L105"/>
    <mergeCell ref="M105:P105"/>
    <mergeCell ref="U106:X106"/>
    <mergeCell ref="Q105:T105"/>
    <mergeCell ref="U97:X97"/>
    <mergeCell ref="U101:X101"/>
    <mergeCell ref="U205:X205"/>
    <mergeCell ref="Q198:T198"/>
    <mergeCell ref="U198:X198"/>
    <mergeCell ref="I199:L199"/>
    <mergeCell ref="M199:P199"/>
    <mergeCell ref="Q199:T199"/>
    <mergeCell ref="U199:X199"/>
    <mergeCell ref="I202:L202"/>
    <mergeCell ref="M202:P202"/>
    <mergeCell ref="Q202:T202"/>
    <mergeCell ref="I200:L200"/>
    <mergeCell ref="M200:P200"/>
    <mergeCell ref="Q200:T200"/>
    <mergeCell ref="U203:X203"/>
    <mergeCell ref="I204:L204"/>
    <mergeCell ref="M204:P204"/>
    <mergeCell ref="U200:X200"/>
    <mergeCell ref="U204:X204"/>
    <mergeCell ref="I201:L201"/>
    <mergeCell ref="M201:P201"/>
    <mergeCell ref="Q201:T201"/>
    <mergeCell ref="U201:X201"/>
    <mergeCell ref="U202:X202"/>
    <mergeCell ref="M203:P203"/>
    <mergeCell ref="I77:L77"/>
    <mergeCell ref="U77:X77"/>
    <mergeCell ref="M78:P78"/>
    <mergeCell ref="Q78:T78"/>
    <mergeCell ref="U78:X78"/>
    <mergeCell ref="M79:P79"/>
    <mergeCell ref="Q79:T79"/>
    <mergeCell ref="U79:X79"/>
    <mergeCell ref="M77:P77"/>
    <mergeCell ref="I102:L102"/>
    <mergeCell ref="M102:P102"/>
    <mergeCell ref="Q102:T102"/>
    <mergeCell ref="U102:X102"/>
    <mergeCell ref="I103:L103"/>
    <mergeCell ref="M103:P103"/>
    <mergeCell ref="Q103:T103"/>
    <mergeCell ref="U103:X103"/>
    <mergeCell ref="I101:L101"/>
    <mergeCell ref="Q101:T101"/>
    <mergeCell ref="I104:L104"/>
    <mergeCell ref="M104:P104"/>
    <mergeCell ref="Q104:T104"/>
    <mergeCell ref="E107:H107"/>
    <mergeCell ref="I106:L106"/>
    <mergeCell ref="Q106:T106"/>
    <mergeCell ref="U158:X158"/>
    <mergeCell ref="E154:H154"/>
    <mergeCell ref="E155:H155"/>
    <mergeCell ref="E156:H156"/>
    <mergeCell ref="E157:H157"/>
    <mergeCell ref="E146:H147"/>
    <mergeCell ref="M153:P153"/>
    <mergeCell ref="Q153:T153"/>
    <mergeCell ref="I146:L147"/>
    <mergeCell ref="E158:H158"/>
    <mergeCell ref="I158:L158"/>
    <mergeCell ref="M158:P158"/>
    <mergeCell ref="Q158:T158"/>
    <mergeCell ref="I153:L153"/>
    <mergeCell ref="M156:P156"/>
    <mergeCell ref="I148:L148"/>
    <mergeCell ref="M148:P148"/>
    <mergeCell ref="U150:X150"/>
    <mergeCell ref="U157:X157"/>
    <mergeCell ref="Q156:T156"/>
    <mergeCell ref="U154:X154"/>
    <mergeCell ref="U185:X186"/>
    <mergeCell ref="I198:L198"/>
    <mergeCell ref="M198:P198"/>
    <mergeCell ref="Q188:T188"/>
    <mergeCell ref="C162:Z162"/>
    <mergeCell ref="C163:Z163"/>
    <mergeCell ref="U180:X181"/>
    <mergeCell ref="E182:H182"/>
    <mergeCell ref="I182:L182"/>
    <mergeCell ref="M182:P182"/>
    <mergeCell ref="Q182:T182"/>
    <mergeCell ref="U182:X182"/>
    <mergeCell ref="I180:L181"/>
    <mergeCell ref="M180:P181"/>
    <mergeCell ref="Q180:T181"/>
    <mergeCell ref="E180:H181"/>
    <mergeCell ref="U187:X187"/>
    <mergeCell ref="I192:L192"/>
    <mergeCell ref="U188:X188"/>
    <mergeCell ref="M192:P192"/>
    <mergeCell ref="U191:X191"/>
    <mergeCell ref="E191:H191"/>
    <mergeCell ref="U189:X189"/>
    <mergeCell ref="I190:L190"/>
    <mergeCell ref="U190:X190"/>
    <mergeCell ref="U193:X193"/>
    <mergeCell ref="Q192:T192"/>
    <mergeCell ref="I189:L189"/>
    <mergeCell ref="U192:X192"/>
    <mergeCell ref="I193:L193"/>
    <mergeCell ref="M193:P193"/>
    <mergeCell ref="I196:L197"/>
    <mergeCell ref="M196:P197"/>
    <mergeCell ref="Q196:T197"/>
    <mergeCell ref="Q193:T193"/>
    <mergeCell ref="I191:L191"/>
    <mergeCell ref="M191:P191"/>
    <mergeCell ref="Q191:T191"/>
  </mergeCells>
  <conditionalFormatting sqref="C35 AB35:AD36">
    <cfRule type="containsBlanks" dxfId="26" priority="1">
      <formula>LEN(TRIM(C35))=0</formula>
    </cfRule>
  </conditionalFormatting>
  <printOptions horizontalCentered="1"/>
  <pageMargins left="0" right="0" top="0.2" bottom="0" header="0.2" footer="0.55000000000000004"/>
  <pageSetup paperSize="10000" scale="91" orientation="portrait" r:id="rId1"/>
  <headerFooter alignWithMargins="0">
    <oddFooter>&amp;R&amp;"Arial Narrow,Regular"&amp;10Page &amp;P of &amp;N
7F-08-01 Rev. 01
Effectivity Date: August 01, 2019</oddFooter>
  </headerFooter>
  <rowBreaks count="3" manualBreakCount="3">
    <brk id="64" min="1" max="26" man="1"/>
    <brk id="118" min="1" max="26" man="1"/>
    <brk id="170" min="1" max="26"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P223"/>
  <sheetViews>
    <sheetView tabSelected="1" zoomScaleNormal="100" workbookViewId="0">
      <selection activeCell="B178" sqref="B178:T178"/>
    </sheetView>
  </sheetViews>
  <sheetFormatPr defaultColWidth="9.140625" defaultRowHeight="0" customHeight="1" zeroHeight="1"/>
  <cols>
    <col min="1" max="1" width="10.140625" style="72" customWidth="1"/>
    <col min="2" max="52" width="2" style="24" customWidth="1"/>
    <col min="53" max="58" width="1.85546875" style="72" customWidth="1"/>
    <col min="59" max="74" width="2" style="72" customWidth="1"/>
    <col min="75" max="75" width="2" style="24" customWidth="1"/>
    <col min="76" max="76" width="11.5703125" style="24" customWidth="1"/>
    <col min="77" max="77" width="10.28515625" style="24" customWidth="1"/>
    <col min="78" max="78" width="6.7109375" style="24" customWidth="1"/>
    <col min="79" max="79" width="5.28515625" style="24" customWidth="1"/>
    <col min="80" max="80" width="10.7109375" style="24" customWidth="1"/>
    <col min="81" max="81" width="2.28515625" style="24" customWidth="1"/>
    <col min="82" max="83" width="10.7109375" style="24" customWidth="1"/>
    <col min="84" max="84" width="5.28515625" style="24" customWidth="1"/>
    <col min="85" max="85" width="7.85546875" style="24" customWidth="1"/>
    <col min="86" max="86" width="9.42578125" style="24" customWidth="1"/>
    <col min="87" max="87" width="2.28515625" style="24" customWidth="1"/>
    <col min="88" max="89" width="10.7109375" style="24" customWidth="1"/>
    <col min="90" max="90" width="5.28515625" style="24" customWidth="1"/>
    <col min="91" max="91" width="7.85546875" style="24" customWidth="1"/>
    <col min="92" max="92" width="9.42578125" style="24" customWidth="1"/>
    <col min="93" max="93" width="2.42578125" style="24" customWidth="1"/>
    <col min="94" max="94" width="14" style="24" customWidth="1"/>
    <col min="95" max="95" width="11.28515625" style="24" customWidth="1"/>
    <col min="96" max="96" width="5.42578125" style="24" customWidth="1"/>
    <col min="97" max="97" width="8" style="24" customWidth="1"/>
    <col min="98" max="98" width="9.42578125" style="24" customWidth="1"/>
    <col min="99" max="99" width="2" style="24" customWidth="1"/>
    <col min="100" max="100" width="13.5703125" style="24" customWidth="1"/>
    <col min="101" max="101" width="14.7109375" style="24" customWidth="1"/>
    <col min="102" max="102" width="17.42578125" style="24" customWidth="1"/>
    <col min="103" max="103" width="11.140625" style="24" customWidth="1"/>
    <col min="104" max="104" width="8.28515625" style="24" customWidth="1"/>
    <col min="105" max="105" width="2" style="24" customWidth="1"/>
    <col min="106" max="106" width="10.140625" style="121" bestFit="1" customWidth="1"/>
    <col min="107" max="109" width="9.140625" style="121"/>
    <col min="110" max="16384" width="9.140625" style="24"/>
  </cols>
  <sheetData>
    <row r="1" spans="2:52" ht="13.5">
      <c r="B1" s="73"/>
      <c r="C1" s="74"/>
      <c r="D1" s="74"/>
      <c r="E1" s="74"/>
      <c r="F1" s="74"/>
      <c r="G1" s="74"/>
      <c r="H1" s="74"/>
      <c r="I1" s="74"/>
      <c r="J1" s="74"/>
      <c r="K1" s="74"/>
      <c r="L1" s="74"/>
      <c r="M1" s="74"/>
      <c r="N1" s="74"/>
      <c r="O1" s="74"/>
      <c r="P1" s="74"/>
      <c r="Q1" s="74"/>
      <c r="R1" s="74"/>
      <c r="S1" s="74"/>
      <c r="T1" s="74"/>
      <c r="U1" s="74"/>
      <c r="V1" s="74"/>
      <c r="W1" s="74"/>
      <c r="X1" s="74"/>
      <c r="Y1" s="74"/>
      <c r="Z1" s="74"/>
      <c r="AA1" s="74"/>
      <c r="AB1" s="74"/>
      <c r="AC1" s="74"/>
      <c r="AD1" s="74"/>
      <c r="AE1" s="74"/>
      <c r="AF1" s="74"/>
      <c r="AG1" s="74"/>
      <c r="AH1" s="74"/>
      <c r="AI1" s="74"/>
      <c r="AJ1" s="74"/>
      <c r="AK1" s="74"/>
      <c r="AL1" s="74"/>
      <c r="AM1" s="74"/>
      <c r="AN1" s="74"/>
      <c r="AO1" s="74"/>
      <c r="AP1" s="74"/>
      <c r="AQ1" s="74"/>
      <c r="AR1" s="74"/>
      <c r="AS1" s="74"/>
      <c r="AT1" s="74"/>
      <c r="AU1" s="74"/>
      <c r="AV1" s="74"/>
      <c r="AW1" s="74"/>
      <c r="AX1" s="74"/>
      <c r="AY1" s="74"/>
      <c r="AZ1" s="75"/>
    </row>
    <row r="2" spans="2:52" ht="13.5">
      <c r="B2" s="76"/>
      <c r="C2" s="71"/>
      <c r="D2" s="71"/>
      <c r="E2" s="71"/>
      <c r="F2" s="71"/>
      <c r="G2" s="71"/>
      <c r="H2" s="71"/>
      <c r="I2" s="71"/>
      <c r="J2" s="71"/>
      <c r="K2" s="71"/>
      <c r="L2" s="71"/>
      <c r="M2" s="71"/>
      <c r="N2" s="71"/>
      <c r="O2" s="71"/>
      <c r="P2" s="71"/>
      <c r="Q2" s="71"/>
      <c r="R2" s="71"/>
      <c r="S2" s="71"/>
      <c r="T2" s="71"/>
      <c r="U2" s="71"/>
      <c r="V2" s="71"/>
      <c r="W2" s="71"/>
      <c r="X2" s="71"/>
      <c r="Y2" s="71"/>
      <c r="Z2" s="71"/>
      <c r="AA2" s="71"/>
      <c r="AB2" s="71"/>
      <c r="AC2" s="71"/>
      <c r="AD2" s="71"/>
      <c r="AE2" s="71"/>
      <c r="AF2" s="71"/>
      <c r="AG2" s="71"/>
      <c r="AH2" s="71"/>
      <c r="AI2" s="71"/>
      <c r="AJ2" s="71"/>
      <c r="AK2" s="71"/>
      <c r="AL2" s="71"/>
      <c r="AM2" s="71"/>
      <c r="AN2" s="71"/>
      <c r="AO2" s="71"/>
      <c r="AP2" s="71"/>
      <c r="AQ2" s="71"/>
      <c r="AR2" s="71"/>
      <c r="AS2" s="71"/>
      <c r="AT2" s="71"/>
      <c r="AU2" s="71"/>
      <c r="AV2" s="71"/>
      <c r="AW2" s="71"/>
      <c r="AX2" s="71"/>
      <c r="AY2" s="71"/>
      <c r="AZ2" s="77"/>
    </row>
    <row r="3" spans="2:52" ht="18.75">
      <c r="B3" s="78" t="s">
        <v>31</v>
      </c>
      <c r="C3" s="71"/>
      <c r="D3" s="71"/>
      <c r="E3" s="71"/>
      <c r="F3" s="71"/>
      <c r="G3" s="71"/>
      <c r="H3" s="71"/>
      <c r="I3" s="71"/>
      <c r="J3" s="71"/>
      <c r="K3" s="71"/>
      <c r="L3" s="71"/>
      <c r="M3" s="71"/>
      <c r="N3" s="71"/>
      <c r="O3" s="71"/>
      <c r="P3" s="71"/>
      <c r="Q3" s="71"/>
      <c r="R3" s="71"/>
      <c r="S3" s="71"/>
      <c r="T3" s="71"/>
      <c r="U3" s="71"/>
      <c r="V3" s="71"/>
      <c r="W3" s="71"/>
      <c r="X3" s="71"/>
      <c r="Y3" s="71"/>
      <c r="Z3" s="71"/>
      <c r="AA3" s="71"/>
      <c r="AB3" s="71"/>
      <c r="AC3" s="71"/>
      <c r="AD3" s="71"/>
      <c r="AE3" s="71"/>
      <c r="AF3" s="71"/>
      <c r="AG3" s="71"/>
      <c r="AH3" s="71"/>
      <c r="AI3" s="71"/>
      <c r="AJ3" s="71"/>
      <c r="AK3" s="71"/>
      <c r="AL3" s="71"/>
      <c r="AM3" s="71"/>
      <c r="AN3" s="71"/>
      <c r="AO3" s="71"/>
      <c r="AP3" s="71"/>
      <c r="AQ3" s="71"/>
      <c r="AR3" s="71"/>
      <c r="AS3" s="71"/>
      <c r="AT3" s="71"/>
      <c r="AU3" s="71"/>
      <c r="AV3" s="71"/>
      <c r="AW3" s="71"/>
      <c r="AX3" s="71"/>
      <c r="AY3" s="71"/>
      <c r="AZ3" s="77"/>
    </row>
    <row r="4" spans="2:52" ht="6" customHeight="1">
      <c r="B4" s="79"/>
      <c r="C4" s="80"/>
      <c r="D4" s="80"/>
      <c r="E4" s="80"/>
      <c r="F4" s="80"/>
      <c r="G4" s="80"/>
      <c r="H4" s="80"/>
      <c r="I4" s="80"/>
      <c r="J4" s="80"/>
      <c r="K4" s="80"/>
      <c r="L4" s="80"/>
      <c r="M4" s="80"/>
      <c r="N4" s="80"/>
      <c r="O4" s="80"/>
      <c r="P4" s="80"/>
      <c r="Q4" s="80"/>
      <c r="R4" s="80"/>
      <c r="S4" s="80"/>
      <c r="T4" s="80"/>
      <c r="U4" s="80"/>
      <c r="V4" s="80"/>
      <c r="W4" s="80"/>
      <c r="X4" s="80"/>
      <c r="Y4" s="80"/>
      <c r="Z4" s="80"/>
      <c r="AA4" s="80"/>
      <c r="AB4" s="80"/>
      <c r="AC4" s="80"/>
      <c r="AD4" s="80"/>
      <c r="AE4" s="80"/>
      <c r="AF4" s="80"/>
      <c r="AG4" s="80"/>
      <c r="AH4" s="80"/>
      <c r="AI4" s="80"/>
      <c r="AJ4" s="80"/>
      <c r="AK4" s="80"/>
      <c r="AL4" s="80"/>
      <c r="AM4" s="80"/>
      <c r="AN4" s="80"/>
      <c r="AO4" s="80"/>
      <c r="AP4" s="80"/>
      <c r="AQ4" s="80"/>
      <c r="AR4" s="80"/>
      <c r="AS4" s="80"/>
      <c r="AT4" s="80"/>
      <c r="AU4" s="80"/>
      <c r="AV4" s="80"/>
      <c r="AW4" s="80"/>
      <c r="AX4" s="80"/>
      <c r="AY4" s="80"/>
      <c r="AZ4" s="81"/>
    </row>
    <row r="5" spans="2:52" ht="17.25" customHeight="1" thickBot="1">
      <c r="B5" s="76"/>
      <c r="C5" s="71"/>
      <c r="D5" s="71"/>
      <c r="E5" s="71"/>
      <c r="F5" s="82" t="s">
        <v>11</v>
      </c>
      <c r="G5" s="82"/>
      <c r="H5" s="82"/>
      <c r="I5" s="82"/>
      <c r="J5" s="82"/>
      <c r="K5" s="82"/>
      <c r="L5" s="452"/>
      <c r="M5" s="453"/>
      <c r="N5" s="453"/>
      <c r="O5" s="83"/>
      <c r="P5" s="83"/>
      <c r="Q5" s="71"/>
      <c r="R5" s="71"/>
      <c r="S5" s="71"/>
      <c r="T5" s="71"/>
      <c r="U5" s="71"/>
      <c r="V5" s="71"/>
      <c r="W5" s="71"/>
      <c r="X5" s="71"/>
      <c r="Y5" s="71"/>
      <c r="Z5" s="71"/>
      <c r="AA5" s="71"/>
      <c r="AB5" s="71"/>
      <c r="AC5" s="71"/>
      <c r="AD5" s="71"/>
      <c r="AE5" s="71"/>
      <c r="AF5" s="71"/>
      <c r="AG5" s="71"/>
      <c r="AH5" s="71"/>
      <c r="AI5" s="82" t="s">
        <v>32</v>
      </c>
      <c r="AJ5" s="82"/>
      <c r="AK5" s="82"/>
      <c r="AL5" s="82"/>
      <c r="AM5" s="82"/>
      <c r="AN5" s="453"/>
      <c r="AO5" s="453"/>
      <c r="AP5" s="453"/>
      <c r="AQ5" s="83"/>
      <c r="AR5" s="71"/>
      <c r="AS5" s="71"/>
      <c r="AT5" s="71"/>
      <c r="AU5" s="71"/>
      <c r="AV5" s="71"/>
      <c r="AW5" s="71"/>
      <c r="AX5" s="71"/>
      <c r="AY5" s="71"/>
      <c r="AZ5" s="77"/>
    </row>
    <row r="6" spans="2:52" ht="14.25" thickBot="1">
      <c r="B6" s="435" t="s">
        <v>33</v>
      </c>
      <c r="C6" s="436"/>
      <c r="D6" s="436"/>
      <c r="E6" s="436"/>
      <c r="F6" s="436"/>
      <c r="G6" s="436"/>
      <c r="H6" s="436"/>
      <c r="I6" s="436"/>
      <c r="J6" s="436"/>
      <c r="K6" s="436"/>
      <c r="L6" s="436"/>
      <c r="M6" s="436"/>
      <c r="N6" s="436"/>
      <c r="O6" s="436"/>
      <c r="P6" s="436"/>
      <c r="Q6" s="436"/>
      <c r="R6" s="436"/>
      <c r="S6" s="436"/>
      <c r="T6" s="436"/>
      <c r="U6" s="436"/>
      <c r="V6" s="436"/>
      <c r="W6" s="436"/>
      <c r="X6" s="436"/>
      <c r="Y6" s="436"/>
      <c r="Z6" s="436"/>
      <c r="AA6" s="436"/>
      <c r="AB6" s="436"/>
      <c r="AC6" s="436"/>
      <c r="AD6" s="436"/>
      <c r="AE6" s="436"/>
      <c r="AF6" s="436"/>
      <c r="AG6" s="436"/>
      <c r="AH6" s="436"/>
      <c r="AI6" s="436"/>
      <c r="AJ6" s="436"/>
      <c r="AK6" s="436"/>
      <c r="AL6" s="436"/>
      <c r="AM6" s="436"/>
      <c r="AN6" s="436"/>
      <c r="AO6" s="436"/>
      <c r="AP6" s="436"/>
      <c r="AQ6" s="436"/>
      <c r="AR6" s="436"/>
      <c r="AS6" s="436"/>
      <c r="AT6" s="436"/>
      <c r="AU6" s="436"/>
      <c r="AV6" s="436"/>
      <c r="AW6" s="436"/>
      <c r="AX6" s="436"/>
      <c r="AY6" s="436"/>
      <c r="AZ6" s="437"/>
    </row>
    <row r="7" spans="2:52" ht="8.25" customHeight="1">
      <c r="B7" s="364" t="s">
        <v>18</v>
      </c>
      <c r="C7" s="365"/>
      <c r="D7" s="365"/>
      <c r="E7" s="365"/>
      <c r="F7" s="365"/>
      <c r="G7" s="365"/>
      <c r="H7" s="365"/>
      <c r="I7" s="365"/>
      <c r="J7" s="356" t="s">
        <v>34</v>
      </c>
      <c r="K7" s="454" t="s">
        <v>199</v>
      </c>
      <c r="L7" s="454"/>
      <c r="M7" s="454"/>
      <c r="N7" s="454"/>
      <c r="O7" s="454"/>
      <c r="P7" s="454"/>
      <c r="Q7" s="454"/>
      <c r="R7" s="454"/>
      <c r="S7" s="454"/>
      <c r="T7" s="454"/>
      <c r="U7" s="454"/>
      <c r="V7" s="454"/>
      <c r="W7" s="454"/>
      <c r="X7" s="454"/>
      <c r="Y7" s="454"/>
      <c r="Z7" s="454"/>
      <c r="AA7" s="454"/>
      <c r="AB7" s="456" t="s">
        <v>35</v>
      </c>
      <c r="AC7" s="456"/>
      <c r="AD7" s="456"/>
      <c r="AE7" s="456"/>
      <c r="AF7" s="456"/>
      <c r="AG7" s="456"/>
      <c r="AH7" s="456"/>
      <c r="AI7" s="456"/>
      <c r="AJ7" s="456"/>
      <c r="AK7" s="398" t="s">
        <v>34</v>
      </c>
      <c r="AL7" s="428"/>
      <c r="AM7" s="428"/>
      <c r="AN7" s="428"/>
      <c r="AO7" s="428"/>
      <c r="AP7" s="428"/>
      <c r="AQ7" s="428"/>
      <c r="AR7" s="428"/>
      <c r="AS7" s="428"/>
      <c r="AT7" s="428"/>
      <c r="AU7" s="428"/>
      <c r="AV7" s="428"/>
      <c r="AW7" s="428"/>
      <c r="AX7" s="428"/>
      <c r="AY7" s="428"/>
      <c r="AZ7" s="429"/>
    </row>
    <row r="8" spans="2:52" ht="8.25" customHeight="1">
      <c r="B8" s="364"/>
      <c r="C8" s="365"/>
      <c r="D8" s="365"/>
      <c r="E8" s="365"/>
      <c r="F8" s="365"/>
      <c r="G8" s="365"/>
      <c r="H8" s="365"/>
      <c r="I8" s="365"/>
      <c r="J8" s="356"/>
      <c r="K8" s="455"/>
      <c r="L8" s="455"/>
      <c r="M8" s="455"/>
      <c r="N8" s="455"/>
      <c r="O8" s="455"/>
      <c r="P8" s="455"/>
      <c r="Q8" s="455"/>
      <c r="R8" s="455"/>
      <c r="S8" s="455"/>
      <c r="T8" s="455"/>
      <c r="U8" s="455"/>
      <c r="V8" s="455"/>
      <c r="W8" s="455"/>
      <c r="X8" s="455"/>
      <c r="Y8" s="455"/>
      <c r="Z8" s="455"/>
      <c r="AA8" s="455"/>
      <c r="AB8" s="383"/>
      <c r="AC8" s="383"/>
      <c r="AD8" s="383"/>
      <c r="AE8" s="383"/>
      <c r="AF8" s="383"/>
      <c r="AG8" s="383"/>
      <c r="AH8" s="383"/>
      <c r="AI8" s="383"/>
      <c r="AJ8" s="383"/>
      <c r="AK8" s="398"/>
      <c r="AL8" s="430"/>
      <c r="AM8" s="430"/>
      <c r="AN8" s="430"/>
      <c r="AO8" s="430"/>
      <c r="AP8" s="430"/>
      <c r="AQ8" s="430"/>
      <c r="AR8" s="430"/>
      <c r="AS8" s="430"/>
      <c r="AT8" s="430"/>
      <c r="AU8" s="430"/>
      <c r="AV8" s="430"/>
      <c r="AW8" s="430"/>
      <c r="AX8" s="430"/>
      <c r="AY8" s="430"/>
      <c r="AZ8" s="431"/>
    </row>
    <row r="9" spans="2:52" ht="8.25" customHeight="1">
      <c r="B9" s="364" t="s">
        <v>36</v>
      </c>
      <c r="C9" s="365"/>
      <c r="D9" s="365"/>
      <c r="E9" s="365"/>
      <c r="F9" s="365"/>
      <c r="G9" s="365"/>
      <c r="H9" s="365"/>
      <c r="I9" s="365"/>
      <c r="J9" s="356" t="s">
        <v>34</v>
      </c>
      <c r="K9" s="366" t="s">
        <v>37</v>
      </c>
      <c r="L9" s="366"/>
      <c r="M9" s="366"/>
      <c r="N9" s="366"/>
      <c r="O9" s="366"/>
      <c r="P9" s="366"/>
      <c r="Q9" s="366"/>
      <c r="R9" s="366"/>
      <c r="S9" s="366"/>
      <c r="T9" s="366"/>
      <c r="U9" s="366"/>
      <c r="V9" s="366"/>
      <c r="W9" s="366"/>
      <c r="X9" s="366"/>
      <c r="Y9" s="366"/>
      <c r="Z9" s="366"/>
      <c r="AA9" s="366"/>
      <c r="AB9" s="383" t="s">
        <v>38</v>
      </c>
      <c r="AC9" s="383"/>
      <c r="AD9" s="383"/>
      <c r="AE9" s="383"/>
      <c r="AF9" s="383"/>
      <c r="AG9" s="383"/>
      <c r="AH9" s="383"/>
      <c r="AI9" s="383"/>
      <c r="AJ9" s="383"/>
      <c r="AK9" s="398" t="s">
        <v>34</v>
      </c>
      <c r="AL9" s="428"/>
      <c r="AM9" s="428"/>
      <c r="AN9" s="428"/>
      <c r="AO9" s="428"/>
      <c r="AP9" s="428"/>
      <c r="AQ9" s="428"/>
      <c r="AR9" s="428"/>
      <c r="AS9" s="428"/>
      <c r="AT9" s="428"/>
      <c r="AU9" s="428"/>
      <c r="AV9" s="428"/>
      <c r="AW9" s="428"/>
      <c r="AX9" s="428"/>
      <c r="AY9" s="428"/>
      <c r="AZ9" s="429"/>
    </row>
    <row r="10" spans="2:52" ht="8.25" customHeight="1">
      <c r="B10" s="364"/>
      <c r="C10" s="365"/>
      <c r="D10" s="365"/>
      <c r="E10" s="365"/>
      <c r="F10" s="365"/>
      <c r="G10" s="365"/>
      <c r="H10" s="365"/>
      <c r="I10" s="365"/>
      <c r="J10" s="356"/>
      <c r="K10" s="367"/>
      <c r="L10" s="367"/>
      <c r="M10" s="367"/>
      <c r="N10" s="367"/>
      <c r="O10" s="367"/>
      <c r="P10" s="367"/>
      <c r="Q10" s="367"/>
      <c r="R10" s="367"/>
      <c r="S10" s="367"/>
      <c r="T10" s="367"/>
      <c r="U10" s="367"/>
      <c r="V10" s="367"/>
      <c r="W10" s="367"/>
      <c r="X10" s="367"/>
      <c r="Y10" s="367"/>
      <c r="Z10" s="367"/>
      <c r="AA10" s="367"/>
      <c r="AB10" s="383"/>
      <c r="AC10" s="383"/>
      <c r="AD10" s="383"/>
      <c r="AE10" s="383"/>
      <c r="AF10" s="383"/>
      <c r="AG10" s="383"/>
      <c r="AH10" s="383"/>
      <c r="AI10" s="383"/>
      <c r="AJ10" s="383"/>
      <c r="AK10" s="398"/>
      <c r="AL10" s="430"/>
      <c r="AM10" s="430"/>
      <c r="AN10" s="430"/>
      <c r="AO10" s="430"/>
      <c r="AP10" s="430"/>
      <c r="AQ10" s="430"/>
      <c r="AR10" s="430"/>
      <c r="AS10" s="430"/>
      <c r="AT10" s="430"/>
      <c r="AU10" s="430"/>
      <c r="AV10" s="430"/>
      <c r="AW10" s="430"/>
      <c r="AX10" s="430"/>
      <c r="AY10" s="430"/>
      <c r="AZ10" s="431"/>
    </row>
    <row r="11" spans="2:52" ht="8.25" customHeight="1">
      <c r="B11" s="364" t="s">
        <v>39</v>
      </c>
      <c r="C11" s="365"/>
      <c r="D11" s="365"/>
      <c r="E11" s="365"/>
      <c r="F11" s="365"/>
      <c r="G11" s="365"/>
      <c r="H11" s="365"/>
      <c r="I11" s="365"/>
      <c r="J11" s="356" t="s">
        <v>34</v>
      </c>
      <c r="K11" s="366">
        <v>289</v>
      </c>
      <c r="L11" s="366"/>
      <c r="M11" s="366"/>
      <c r="N11" s="366"/>
      <c r="O11" s="366"/>
      <c r="P11" s="366"/>
      <c r="Q11" s="366"/>
      <c r="R11" s="366"/>
      <c r="S11" s="366"/>
      <c r="T11" s="366"/>
      <c r="U11" s="366"/>
      <c r="V11" s="366"/>
      <c r="W11" s="366"/>
      <c r="X11" s="366"/>
      <c r="Y11" s="366"/>
      <c r="Z11" s="366"/>
      <c r="AA11" s="366"/>
      <c r="AB11" s="383" t="s">
        <v>40</v>
      </c>
      <c r="AC11" s="383"/>
      <c r="AD11" s="383"/>
      <c r="AE11" s="383"/>
      <c r="AF11" s="383"/>
      <c r="AG11" s="383"/>
      <c r="AH11" s="383"/>
      <c r="AI11" s="383"/>
      <c r="AJ11" s="383"/>
      <c r="AK11" s="398" t="s">
        <v>34</v>
      </c>
      <c r="AL11" s="366" t="s">
        <v>132</v>
      </c>
      <c r="AM11" s="366"/>
      <c r="AN11" s="366"/>
      <c r="AO11" s="366"/>
      <c r="AP11" s="366"/>
      <c r="AQ11" s="366"/>
      <c r="AR11" s="366"/>
      <c r="AS11" s="366"/>
      <c r="AT11" s="366"/>
      <c r="AU11" s="366"/>
      <c r="AV11" s="366"/>
      <c r="AW11" s="366"/>
      <c r="AX11" s="366"/>
      <c r="AY11" s="366"/>
      <c r="AZ11" s="390"/>
    </row>
    <row r="12" spans="2:52" ht="8.25" customHeight="1">
      <c r="B12" s="364"/>
      <c r="C12" s="365"/>
      <c r="D12" s="365"/>
      <c r="E12" s="365"/>
      <c r="F12" s="365"/>
      <c r="G12" s="365"/>
      <c r="H12" s="365"/>
      <c r="I12" s="365"/>
      <c r="J12" s="356"/>
      <c r="K12" s="367"/>
      <c r="L12" s="367"/>
      <c r="M12" s="367"/>
      <c r="N12" s="367"/>
      <c r="O12" s="367"/>
      <c r="P12" s="367"/>
      <c r="Q12" s="367"/>
      <c r="R12" s="367"/>
      <c r="S12" s="367"/>
      <c r="T12" s="367"/>
      <c r="U12" s="367"/>
      <c r="V12" s="367"/>
      <c r="W12" s="367"/>
      <c r="X12" s="367"/>
      <c r="Y12" s="367"/>
      <c r="Z12" s="367"/>
      <c r="AA12" s="367"/>
      <c r="AB12" s="383"/>
      <c r="AC12" s="383"/>
      <c r="AD12" s="383"/>
      <c r="AE12" s="383"/>
      <c r="AF12" s="383"/>
      <c r="AG12" s="383"/>
      <c r="AH12" s="383"/>
      <c r="AI12" s="383"/>
      <c r="AJ12" s="383"/>
      <c r="AK12" s="398"/>
      <c r="AL12" s="367"/>
      <c r="AM12" s="367"/>
      <c r="AN12" s="367"/>
      <c r="AO12" s="367"/>
      <c r="AP12" s="367"/>
      <c r="AQ12" s="367"/>
      <c r="AR12" s="367"/>
      <c r="AS12" s="367"/>
      <c r="AT12" s="367"/>
      <c r="AU12" s="367"/>
      <c r="AV12" s="367"/>
      <c r="AW12" s="367"/>
      <c r="AX12" s="367"/>
      <c r="AY12" s="367"/>
      <c r="AZ12" s="391"/>
    </row>
    <row r="13" spans="2:52" ht="8.25" customHeight="1">
      <c r="B13" s="364" t="s">
        <v>41</v>
      </c>
      <c r="C13" s="365"/>
      <c r="D13" s="365"/>
      <c r="E13" s="365"/>
      <c r="F13" s="365"/>
      <c r="G13" s="365"/>
      <c r="H13" s="365"/>
      <c r="I13" s="365"/>
      <c r="J13" s="356" t="s">
        <v>34</v>
      </c>
      <c r="K13" s="366"/>
      <c r="L13" s="366"/>
      <c r="M13" s="366"/>
      <c r="N13" s="366"/>
      <c r="O13" s="366"/>
      <c r="P13" s="366"/>
      <c r="Q13" s="366"/>
      <c r="R13" s="366"/>
      <c r="S13" s="366"/>
      <c r="T13" s="366"/>
      <c r="U13" s="366"/>
      <c r="V13" s="366"/>
      <c r="W13" s="366"/>
      <c r="X13" s="366"/>
      <c r="Y13" s="366"/>
      <c r="Z13" s="366"/>
      <c r="AA13" s="366"/>
      <c r="AB13" s="383" t="s">
        <v>42</v>
      </c>
      <c r="AC13" s="383"/>
      <c r="AD13" s="383"/>
      <c r="AE13" s="383"/>
      <c r="AF13" s="383"/>
      <c r="AG13" s="383"/>
      <c r="AH13" s="383"/>
      <c r="AI13" s="383"/>
      <c r="AJ13" s="383"/>
      <c r="AK13" s="398" t="s">
        <v>34</v>
      </c>
      <c r="AL13" s="366" t="s">
        <v>132</v>
      </c>
      <c r="AM13" s="366"/>
      <c r="AN13" s="366"/>
      <c r="AO13" s="366"/>
      <c r="AP13" s="366"/>
      <c r="AQ13" s="366"/>
      <c r="AR13" s="366"/>
      <c r="AS13" s="366"/>
      <c r="AT13" s="366"/>
      <c r="AU13" s="366"/>
      <c r="AV13" s="366"/>
      <c r="AW13" s="366"/>
      <c r="AX13" s="366"/>
      <c r="AY13" s="366"/>
      <c r="AZ13" s="390"/>
    </row>
    <row r="14" spans="2:52" ht="8.25" customHeight="1">
      <c r="B14" s="364"/>
      <c r="C14" s="365"/>
      <c r="D14" s="365"/>
      <c r="E14" s="365"/>
      <c r="F14" s="365"/>
      <c r="G14" s="365"/>
      <c r="H14" s="365"/>
      <c r="I14" s="365"/>
      <c r="J14" s="356"/>
      <c r="K14" s="367"/>
      <c r="L14" s="367"/>
      <c r="M14" s="367"/>
      <c r="N14" s="367"/>
      <c r="O14" s="367"/>
      <c r="P14" s="367"/>
      <c r="Q14" s="367"/>
      <c r="R14" s="367"/>
      <c r="S14" s="367"/>
      <c r="T14" s="367"/>
      <c r="U14" s="367"/>
      <c r="V14" s="367"/>
      <c r="W14" s="367"/>
      <c r="X14" s="367"/>
      <c r="Y14" s="367"/>
      <c r="Z14" s="367"/>
      <c r="AA14" s="367"/>
      <c r="AB14" s="383"/>
      <c r="AC14" s="383"/>
      <c r="AD14" s="383"/>
      <c r="AE14" s="383"/>
      <c r="AF14" s="383"/>
      <c r="AG14" s="383"/>
      <c r="AH14" s="383"/>
      <c r="AI14" s="383"/>
      <c r="AJ14" s="383"/>
      <c r="AK14" s="398"/>
      <c r="AL14" s="367"/>
      <c r="AM14" s="367"/>
      <c r="AN14" s="367"/>
      <c r="AO14" s="367"/>
      <c r="AP14" s="367"/>
      <c r="AQ14" s="367"/>
      <c r="AR14" s="367"/>
      <c r="AS14" s="367"/>
      <c r="AT14" s="367"/>
      <c r="AU14" s="367"/>
      <c r="AV14" s="367"/>
      <c r="AW14" s="367"/>
      <c r="AX14" s="367"/>
      <c r="AY14" s="367"/>
      <c r="AZ14" s="391"/>
    </row>
    <row r="15" spans="2:52" ht="8.25" customHeight="1">
      <c r="B15" s="364" t="s">
        <v>27</v>
      </c>
      <c r="C15" s="365"/>
      <c r="D15" s="365"/>
      <c r="E15" s="365"/>
      <c r="F15" s="365"/>
      <c r="G15" s="365"/>
      <c r="H15" s="365"/>
      <c r="I15" s="365"/>
      <c r="J15" s="356" t="s">
        <v>34</v>
      </c>
      <c r="K15" s="366" t="s">
        <v>163</v>
      </c>
      <c r="L15" s="366"/>
      <c r="M15" s="366"/>
      <c r="N15" s="366"/>
      <c r="O15" s="366"/>
      <c r="P15" s="366"/>
      <c r="Q15" s="366"/>
      <c r="R15" s="366"/>
      <c r="S15" s="366"/>
      <c r="T15" s="366"/>
      <c r="U15" s="366"/>
      <c r="V15" s="366"/>
      <c r="W15" s="366"/>
      <c r="X15" s="366"/>
      <c r="Y15" s="366"/>
      <c r="Z15" s="366"/>
      <c r="AA15" s="366"/>
      <c r="AB15" s="383" t="s">
        <v>43</v>
      </c>
      <c r="AC15" s="383"/>
      <c r="AD15" s="383"/>
      <c r="AE15" s="383"/>
      <c r="AF15" s="383"/>
      <c r="AG15" s="383"/>
      <c r="AH15" s="383"/>
      <c r="AI15" s="383"/>
      <c r="AJ15" s="383"/>
      <c r="AK15" s="398" t="s">
        <v>34</v>
      </c>
      <c r="AL15" s="366"/>
      <c r="AM15" s="366"/>
      <c r="AN15" s="366"/>
      <c r="AO15" s="366"/>
      <c r="AP15" s="366"/>
      <c r="AQ15" s="366"/>
      <c r="AR15" s="366"/>
      <c r="AS15" s="366"/>
      <c r="AT15" s="366"/>
      <c r="AU15" s="366"/>
      <c r="AV15" s="366"/>
      <c r="AW15" s="366"/>
      <c r="AX15" s="366"/>
      <c r="AY15" s="366"/>
      <c r="AZ15" s="390"/>
    </row>
    <row r="16" spans="2:52" ht="8.25" customHeight="1">
      <c r="B16" s="364"/>
      <c r="C16" s="365"/>
      <c r="D16" s="365"/>
      <c r="E16" s="365"/>
      <c r="F16" s="365"/>
      <c r="G16" s="365"/>
      <c r="H16" s="365"/>
      <c r="I16" s="365"/>
      <c r="J16" s="356"/>
      <c r="K16" s="367"/>
      <c r="L16" s="367"/>
      <c r="M16" s="367"/>
      <c r="N16" s="367"/>
      <c r="O16" s="367"/>
      <c r="P16" s="367"/>
      <c r="Q16" s="367"/>
      <c r="R16" s="367"/>
      <c r="S16" s="367"/>
      <c r="T16" s="367"/>
      <c r="U16" s="367"/>
      <c r="V16" s="367"/>
      <c r="W16" s="367"/>
      <c r="X16" s="367"/>
      <c r="Y16" s="367"/>
      <c r="Z16" s="367"/>
      <c r="AA16" s="367"/>
      <c r="AB16" s="383"/>
      <c r="AC16" s="383"/>
      <c r="AD16" s="383"/>
      <c r="AE16" s="383"/>
      <c r="AF16" s="383"/>
      <c r="AG16" s="383"/>
      <c r="AH16" s="383"/>
      <c r="AI16" s="383"/>
      <c r="AJ16" s="383"/>
      <c r="AK16" s="398"/>
      <c r="AL16" s="367"/>
      <c r="AM16" s="367"/>
      <c r="AN16" s="367"/>
      <c r="AO16" s="367"/>
      <c r="AP16" s="367"/>
      <c r="AQ16" s="367"/>
      <c r="AR16" s="367"/>
      <c r="AS16" s="367"/>
      <c r="AT16" s="367"/>
      <c r="AU16" s="367"/>
      <c r="AV16" s="367"/>
      <c r="AW16" s="367"/>
      <c r="AX16" s="367"/>
      <c r="AY16" s="367"/>
      <c r="AZ16" s="391"/>
    </row>
    <row r="17" spans="2:68" ht="8.25" customHeight="1">
      <c r="B17" s="364" t="s">
        <v>44</v>
      </c>
      <c r="C17" s="365"/>
      <c r="D17" s="365"/>
      <c r="E17" s="365"/>
      <c r="F17" s="365"/>
      <c r="G17" s="365"/>
      <c r="H17" s="365"/>
      <c r="I17" s="365"/>
      <c r="J17" s="356" t="s">
        <v>34</v>
      </c>
      <c r="K17" s="366" t="s">
        <v>163</v>
      </c>
      <c r="L17" s="366"/>
      <c r="M17" s="366"/>
      <c r="N17" s="366"/>
      <c r="O17" s="366"/>
      <c r="P17" s="366"/>
      <c r="Q17" s="366"/>
      <c r="R17" s="366"/>
      <c r="S17" s="366"/>
      <c r="T17" s="366"/>
      <c r="U17" s="366"/>
      <c r="V17" s="366"/>
      <c r="W17" s="366"/>
      <c r="X17" s="366"/>
      <c r="Y17" s="366"/>
      <c r="Z17" s="366"/>
      <c r="AA17" s="366"/>
      <c r="AB17" s="383" t="s">
        <v>45</v>
      </c>
      <c r="AC17" s="383"/>
      <c r="AD17" s="383"/>
      <c r="AE17" s="383"/>
      <c r="AF17" s="383"/>
      <c r="AG17" s="383"/>
      <c r="AH17" s="383"/>
      <c r="AI17" s="383"/>
      <c r="AJ17" s="383"/>
      <c r="AK17" s="398" t="s">
        <v>34</v>
      </c>
      <c r="AL17" s="366" t="s">
        <v>163</v>
      </c>
      <c r="AM17" s="366"/>
      <c r="AN17" s="366"/>
      <c r="AO17" s="366"/>
      <c r="AP17" s="366"/>
      <c r="AQ17" s="366"/>
      <c r="AR17" s="366"/>
      <c r="AS17" s="366"/>
      <c r="AT17" s="366"/>
      <c r="AU17" s="366"/>
      <c r="AV17" s="366"/>
      <c r="AW17" s="366"/>
      <c r="AX17" s="366"/>
      <c r="AY17" s="366"/>
      <c r="AZ17" s="390"/>
    </row>
    <row r="18" spans="2:68" ht="8.25" customHeight="1">
      <c r="B18" s="364"/>
      <c r="C18" s="365"/>
      <c r="D18" s="365"/>
      <c r="E18" s="365"/>
      <c r="F18" s="365"/>
      <c r="G18" s="365"/>
      <c r="H18" s="365"/>
      <c r="I18" s="365"/>
      <c r="J18" s="356"/>
      <c r="K18" s="367"/>
      <c r="L18" s="367"/>
      <c r="M18" s="367"/>
      <c r="N18" s="367"/>
      <c r="O18" s="367"/>
      <c r="P18" s="367"/>
      <c r="Q18" s="367"/>
      <c r="R18" s="367"/>
      <c r="S18" s="367"/>
      <c r="T18" s="367"/>
      <c r="U18" s="367"/>
      <c r="V18" s="367"/>
      <c r="W18" s="367"/>
      <c r="X18" s="367"/>
      <c r="Y18" s="367"/>
      <c r="Z18" s="367"/>
      <c r="AA18" s="367"/>
      <c r="AB18" s="383"/>
      <c r="AC18" s="383"/>
      <c r="AD18" s="383"/>
      <c r="AE18" s="383"/>
      <c r="AF18" s="383"/>
      <c r="AG18" s="383"/>
      <c r="AH18" s="383"/>
      <c r="AI18" s="383"/>
      <c r="AJ18" s="383"/>
      <c r="AK18" s="398"/>
      <c r="AL18" s="367"/>
      <c r="AM18" s="367"/>
      <c r="AN18" s="367"/>
      <c r="AO18" s="367"/>
      <c r="AP18" s="367"/>
      <c r="AQ18" s="367"/>
      <c r="AR18" s="367"/>
      <c r="AS18" s="367"/>
      <c r="AT18" s="367"/>
      <c r="AU18" s="367"/>
      <c r="AV18" s="367"/>
      <c r="AW18" s="367"/>
      <c r="AX18" s="367"/>
      <c r="AY18" s="367"/>
      <c r="AZ18" s="391"/>
    </row>
    <row r="19" spans="2:68" ht="8.25" customHeight="1">
      <c r="B19" s="364" t="s">
        <v>46</v>
      </c>
      <c r="C19" s="365"/>
      <c r="D19" s="365"/>
      <c r="E19" s="365"/>
      <c r="F19" s="365"/>
      <c r="G19" s="365"/>
      <c r="H19" s="365"/>
      <c r="I19" s="365"/>
      <c r="J19" s="356" t="s">
        <v>34</v>
      </c>
      <c r="K19" s="366" t="s">
        <v>132</v>
      </c>
      <c r="L19" s="366"/>
      <c r="M19" s="366"/>
      <c r="N19" s="366"/>
      <c r="O19" s="366"/>
      <c r="P19" s="366"/>
      <c r="Q19" s="366"/>
      <c r="R19" s="366"/>
      <c r="S19" s="366"/>
      <c r="T19" s="366"/>
      <c r="U19" s="366"/>
      <c r="V19" s="366"/>
      <c r="W19" s="366"/>
      <c r="X19" s="366"/>
      <c r="Y19" s="366"/>
      <c r="Z19" s="366"/>
      <c r="AA19" s="366"/>
      <c r="AB19" s="383" t="s">
        <v>47</v>
      </c>
      <c r="AC19" s="383"/>
      <c r="AD19" s="383"/>
      <c r="AE19" s="383"/>
      <c r="AF19" s="383"/>
      <c r="AG19" s="383"/>
      <c r="AH19" s="383"/>
      <c r="AI19" s="383"/>
      <c r="AJ19" s="383"/>
      <c r="AK19" s="398" t="s">
        <v>34</v>
      </c>
      <c r="AL19" s="366" t="s">
        <v>132</v>
      </c>
      <c r="AM19" s="366"/>
      <c r="AN19" s="366"/>
      <c r="AO19" s="366"/>
      <c r="AP19" s="366"/>
      <c r="AQ19" s="366"/>
      <c r="AR19" s="366"/>
      <c r="AS19" s="366"/>
      <c r="AT19" s="366"/>
      <c r="AU19" s="366"/>
      <c r="AV19" s="366"/>
      <c r="AW19" s="366"/>
      <c r="AX19" s="366"/>
      <c r="AY19" s="366"/>
      <c r="AZ19" s="390"/>
    </row>
    <row r="20" spans="2:68" ht="7.5" customHeight="1">
      <c r="B20" s="364"/>
      <c r="C20" s="365"/>
      <c r="D20" s="365"/>
      <c r="E20" s="365"/>
      <c r="F20" s="365"/>
      <c r="G20" s="365"/>
      <c r="H20" s="365"/>
      <c r="I20" s="365"/>
      <c r="J20" s="356"/>
      <c r="K20" s="367"/>
      <c r="L20" s="367"/>
      <c r="M20" s="367"/>
      <c r="N20" s="367"/>
      <c r="O20" s="367"/>
      <c r="P20" s="367"/>
      <c r="Q20" s="367"/>
      <c r="R20" s="367"/>
      <c r="S20" s="367"/>
      <c r="T20" s="367"/>
      <c r="U20" s="367"/>
      <c r="V20" s="367"/>
      <c r="W20" s="367"/>
      <c r="X20" s="367"/>
      <c r="Y20" s="367"/>
      <c r="Z20" s="367"/>
      <c r="AA20" s="367"/>
      <c r="AB20" s="383"/>
      <c r="AC20" s="383"/>
      <c r="AD20" s="383"/>
      <c r="AE20" s="383"/>
      <c r="AF20" s="383"/>
      <c r="AG20" s="383"/>
      <c r="AH20" s="383"/>
      <c r="AI20" s="383"/>
      <c r="AJ20" s="383"/>
      <c r="AK20" s="398"/>
      <c r="AL20" s="367"/>
      <c r="AM20" s="367"/>
      <c r="AN20" s="367"/>
      <c r="AO20" s="367"/>
      <c r="AP20" s="367"/>
      <c r="AQ20" s="367"/>
      <c r="AR20" s="367"/>
      <c r="AS20" s="367"/>
      <c r="AT20" s="367"/>
      <c r="AU20" s="367"/>
      <c r="AV20" s="367"/>
      <c r="AW20" s="367"/>
      <c r="AX20" s="367"/>
      <c r="AY20" s="367"/>
      <c r="AZ20" s="391"/>
    </row>
    <row r="21" spans="2:68" ht="3" customHeight="1" thickBot="1">
      <c r="B21" s="138"/>
      <c r="C21" s="135"/>
      <c r="D21" s="135"/>
      <c r="E21" s="135"/>
      <c r="F21" s="135"/>
      <c r="G21" s="135"/>
      <c r="H21" s="135"/>
      <c r="I21" s="135"/>
      <c r="J21" s="136"/>
      <c r="K21" s="135"/>
      <c r="L21" s="135"/>
      <c r="M21" s="135"/>
      <c r="N21" s="135"/>
      <c r="O21" s="135"/>
      <c r="P21" s="135"/>
      <c r="Q21" s="135"/>
      <c r="R21" s="135"/>
      <c r="S21" s="135"/>
      <c r="T21" s="135"/>
      <c r="U21" s="135"/>
      <c r="V21" s="135"/>
      <c r="W21" s="135"/>
      <c r="X21" s="135"/>
      <c r="Y21" s="135"/>
      <c r="Z21" s="135"/>
      <c r="AA21" s="135"/>
      <c r="AB21" s="135"/>
      <c r="AC21" s="135"/>
      <c r="AD21" s="135"/>
      <c r="AE21" s="135"/>
      <c r="AF21" s="135"/>
      <c r="AG21" s="135"/>
      <c r="AH21" s="135"/>
      <c r="AI21" s="135"/>
      <c r="AJ21" s="135"/>
      <c r="AK21" s="136"/>
      <c r="AL21" s="135"/>
      <c r="AM21" s="135"/>
      <c r="AN21" s="135"/>
      <c r="AO21" s="135"/>
      <c r="AP21" s="135"/>
      <c r="AQ21" s="135"/>
      <c r="AR21" s="135"/>
      <c r="AS21" s="135"/>
      <c r="AT21" s="135"/>
      <c r="AU21" s="135"/>
      <c r="AV21" s="135"/>
      <c r="AW21" s="135"/>
      <c r="AX21" s="135"/>
      <c r="AY21" s="135"/>
      <c r="AZ21" s="141"/>
    </row>
    <row r="22" spans="2:68" ht="14.25" thickBot="1">
      <c r="B22" s="435" t="s">
        <v>48</v>
      </c>
      <c r="C22" s="436"/>
      <c r="D22" s="436"/>
      <c r="E22" s="436"/>
      <c r="F22" s="436"/>
      <c r="G22" s="436"/>
      <c r="H22" s="436"/>
      <c r="I22" s="436"/>
      <c r="J22" s="436"/>
      <c r="K22" s="436"/>
      <c r="L22" s="436"/>
      <c r="M22" s="436"/>
      <c r="N22" s="436"/>
      <c r="O22" s="436"/>
      <c r="P22" s="436"/>
      <c r="Q22" s="436"/>
      <c r="R22" s="436"/>
      <c r="S22" s="436"/>
      <c r="T22" s="436"/>
      <c r="U22" s="436"/>
      <c r="V22" s="436"/>
      <c r="W22" s="436"/>
      <c r="X22" s="436"/>
      <c r="Y22" s="436"/>
      <c r="Z22" s="436"/>
      <c r="AA22" s="442"/>
      <c r="AB22" s="443" t="s">
        <v>49</v>
      </c>
      <c r="AC22" s="436"/>
      <c r="AD22" s="436"/>
      <c r="AE22" s="436"/>
      <c r="AF22" s="436"/>
      <c r="AG22" s="436"/>
      <c r="AH22" s="436"/>
      <c r="AI22" s="436"/>
      <c r="AJ22" s="436"/>
      <c r="AK22" s="436"/>
      <c r="AL22" s="436"/>
      <c r="AM22" s="436"/>
      <c r="AN22" s="436"/>
      <c r="AO22" s="436"/>
      <c r="AP22" s="436"/>
      <c r="AQ22" s="436"/>
      <c r="AR22" s="436"/>
      <c r="AS22" s="436"/>
      <c r="AT22" s="436"/>
      <c r="AU22" s="436"/>
      <c r="AV22" s="436"/>
      <c r="AW22" s="436"/>
      <c r="AX22" s="436"/>
      <c r="AY22" s="436"/>
      <c r="AZ22" s="437"/>
    </row>
    <row r="23" spans="2:68" ht="7.5" customHeight="1">
      <c r="B23" s="364" t="s">
        <v>50</v>
      </c>
      <c r="C23" s="365"/>
      <c r="D23" s="365"/>
      <c r="E23" s="365"/>
      <c r="F23" s="365"/>
      <c r="G23" s="356" t="s">
        <v>34</v>
      </c>
      <c r="H23" s="424"/>
      <c r="I23" s="424"/>
      <c r="J23" s="424"/>
      <c r="K23" s="424"/>
      <c r="L23" s="424"/>
      <c r="M23" s="424"/>
      <c r="N23" s="424"/>
      <c r="O23" s="424"/>
      <c r="P23" s="424"/>
      <c r="Q23" s="424"/>
      <c r="R23" s="424"/>
      <c r="S23" s="424"/>
      <c r="T23" s="424"/>
      <c r="U23" s="424"/>
      <c r="V23" s="424"/>
      <c r="W23" s="424"/>
      <c r="X23" s="424"/>
      <c r="Y23" s="424"/>
      <c r="Z23" s="424"/>
      <c r="AA23" s="424"/>
      <c r="AB23" s="424"/>
      <c r="AC23" s="425"/>
      <c r="AD23" s="71"/>
      <c r="AE23" s="359" t="s">
        <v>51</v>
      </c>
      <c r="AF23" s="71"/>
      <c r="AG23" s="365" t="s">
        <v>52</v>
      </c>
      <c r="AH23" s="365"/>
      <c r="AI23" s="365"/>
      <c r="AJ23" s="365"/>
      <c r="AK23" s="365"/>
      <c r="AL23" s="365"/>
      <c r="AM23" s="365"/>
      <c r="AN23" s="365"/>
      <c r="AO23" s="365"/>
      <c r="AP23" s="365"/>
      <c r="AQ23" s="365"/>
      <c r="AR23" s="365"/>
      <c r="AS23" s="365"/>
      <c r="AT23" s="365"/>
      <c r="AU23" s="365"/>
      <c r="AV23" s="365"/>
      <c r="AW23" s="365"/>
      <c r="AX23" s="365"/>
      <c r="AY23" s="365"/>
      <c r="AZ23" s="423"/>
    </row>
    <row r="24" spans="2:68" ht="7.5" customHeight="1">
      <c r="B24" s="364"/>
      <c r="C24" s="365"/>
      <c r="D24" s="365"/>
      <c r="E24" s="365"/>
      <c r="F24" s="365"/>
      <c r="G24" s="356"/>
      <c r="H24" s="426"/>
      <c r="I24" s="426"/>
      <c r="J24" s="426"/>
      <c r="K24" s="426"/>
      <c r="L24" s="426"/>
      <c r="M24" s="426"/>
      <c r="N24" s="426"/>
      <c r="O24" s="426"/>
      <c r="P24" s="426"/>
      <c r="Q24" s="426"/>
      <c r="R24" s="426"/>
      <c r="S24" s="426"/>
      <c r="T24" s="426"/>
      <c r="U24" s="426"/>
      <c r="V24" s="426"/>
      <c r="W24" s="426"/>
      <c r="X24" s="426"/>
      <c r="Y24" s="426"/>
      <c r="Z24" s="426"/>
      <c r="AA24" s="426"/>
      <c r="AB24" s="426"/>
      <c r="AC24" s="427"/>
      <c r="AD24" s="71"/>
      <c r="AE24" s="359"/>
      <c r="AF24" s="71"/>
      <c r="AG24" s="365"/>
      <c r="AH24" s="365"/>
      <c r="AI24" s="365"/>
      <c r="AJ24" s="365"/>
      <c r="AK24" s="365"/>
      <c r="AL24" s="365"/>
      <c r="AM24" s="365"/>
      <c r="AN24" s="365"/>
      <c r="AO24" s="365"/>
      <c r="AP24" s="365"/>
      <c r="AQ24" s="365"/>
      <c r="AR24" s="365"/>
      <c r="AS24" s="365"/>
      <c r="AT24" s="365"/>
      <c r="AU24" s="365"/>
      <c r="AV24" s="365"/>
      <c r="AW24" s="365"/>
      <c r="AX24" s="365"/>
      <c r="AY24" s="365"/>
      <c r="AZ24" s="423"/>
    </row>
    <row r="25" spans="2:68" ht="7.5" customHeight="1">
      <c r="B25" s="364" t="s">
        <v>53</v>
      </c>
      <c r="C25" s="365"/>
      <c r="D25" s="365"/>
      <c r="E25" s="365"/>
      <c r="F25" s="365"/>
      <c r="G25" s="356" t="s">
        <v>34</v>
      </c>
      <c r="H25" s="466"/>
      <c r="I25" s="466"/>
      <c r="J25" s="466"/>
      <c r="K25" s="466"/>
      <c r="L25" s="466"/>
      <c r="M25" s="466"/>
      <c r="N25" s="466"/>
      <c r="O25" s="466"/>
      <c r="P25" s="466"/>
      <c r="Q25" s="466"/>
      <c r="R25" s="466"/>
      <c r="S25" s="466"/>
      <c r="T25" s="466"/>
      <c r="U25" s="466"/>
      <c r="V25" s="466"/>
      <c r="W25" s="466"/>
      <c r="X25" s="466"/>
      <c r="Y25" s="466"/>
      <c r="Z25" s="466"/>
      <c r="AA25" s="466"/>
      <c r="AB25" s="466"/>
      <c r="AC25" s="467"/>
      <c r="AD25" s="71"/>
      <c r="AE25" s="422"/>
      <c r="AF25" s="71"/>
      <c r="AG25" s="365" t="s">
        <v>54</v>
      </c>
      <c r="AH25" s="365"/>
      <c r="AI25" s="365"/>
      <c r="AJ25" s="365"/>
      <c r="AK25" s="365"/>
      <c r="AL25" s="365"/>
      <c r="AM25" s="365"/>
      <c r="AN25" s="365"/>
      <c r="AO25" s="365"/>
      <c r="AP25" s="365"/>
      <c r="AQ25" s="365"/>
      <c r="AR25" s="365"/>
      <c r="AS25" s="365"/>
      <c r="AT25" s="365"/>
      <c r="AU25" s="365"/>
      <c r="AV25" s="365"/>
      <c r="AW25" s="365"/>
      <c r="AX25" s="365"/>
      <c r="AY25" s="365"/>
      <c r="AZ25" s="423"/>
      <c r="BO25" s="451"/>
      <c r="BP25" s="451"/>
    </row>
    <row r="26" spans="2:68" ht="7.5" customHeight="1">
      <c r="B26" s="364"/>
      <c r="C26" s="365"/>
      <c r="D26" s="365"/>
      <c r="E26" s="365"/>
      <c r="F26" s="365"/>
      <c r="G26" s="356"/>
      <c r="H26" s="466"/>
      <c r="I26" s="466"/>
      <c r="J26" s="466"/>
      <c r="K26" s="466"/>
      <c r="L26" s="466"/>
      <c r="M26" s="466"/>
      <c r="N26" s="466"/>
      <c r="O26" s="466"/>
      <c r="P26" s="466"/>
      <c r="Q26" s="466"/>
      <c r="R26" s="466"/>
      <c r="S26" s="466"/>
      <c r="T26" s="466"/>
      <c r="U26" s="466"/>
      <c r="V26" s="466"/>
      <c r="W26" s="466"/>
      <c r="X26" s="466"/>
      <c r="Y26" s="466"/>
      <c r="Z26" s="466"/>
      <c r="AA26" s="466"/>
      <c r="AB26" s="466"/>
      <c r="AC26" s="467"/>
      <c r="AD26" s="71"/>
      <c r="AE26" s="359"/>
      <c r="AF26" s="71"/>
      <c r="AG26" s="365"/>
      <c r="AH26" s="365"/>
      <c r="AI26" s="365"/>
      <c r="AJ26" s="365"/>
      <c r="AK26" s="365"/>
      <c r="AL26" s="365"/>
      <c r="AM26" s="365"/>
      <c r="AN26" s="365"/>
      <c r="AO26" s="365"/>
      <c r="AP26" s="365"/>
      <c r="AQ26" s="365"/>
      <c r="AR26" s="365"/>
      <c r="AS26" s="365"/>
      <c r="AT26" s="365"/>
      <c r="AU26" s="365"/>
      <c r="AV26" s="365"/>
      <c r="AW26" s="365"/>
      <c r="AX26" s="365"/>
      <c r="AY26" s="365"/>
      <c r="AZ26" s="423"/>
      <c r="BO26" s="451"/>
      <c r="BP26" s="451"/>
    </row>
    <row r="27" spans="2:68" ht="13.7" customHeight="1">
      <c r="B27" s="76"/>
      <c r="C27" s="71"/>
      <c r="D27" s="71"/>
      <c r="E27" s="71"/>
      <c r="F27" s="71"/>
      <c r="G27" s="71"/>
      <c r="H27" s="466"/>
      <c r="I27" s="466"/>
      <c r="J27" s="466"/>
      <c r="K27" s="466"/>
      <c r="L27" s="466"/>
      <c r="M27" s="466"/>
      <c r="N27" s="466"/>
      <c r="O27" s="466"/>
      <c r="P27" s="466"/>
      <c r="Q27" s="466"/>
      <c r="R27" s="466"/>
      <c r="S27" s="466"/>
      <c r="T27" s="466"/>
      <c r="U27" s="466"/>
      <c r="V27" s="466"/>
      <c r="W27" s="466"/>
      <c r="X27" s="466"/>
      <c r="Y27" s="466"/>
      <c r="Z27" s="466"/>
      <c r="AA27" s="466"/>
      <c r="AB27" s="466"/>
      <c r="AC27" s="467"/>
      <c r="AD27" s="71"/>
      <c r="AE27" s="465" t="s">
        <v>181</v>
      </c>
      <c r="AF27" s="465"/>
      <c r="AG27" s="465"/>
      <c r="AH27" s="465"/>
      <c r="AI27" s="465"/>
      <c r="AJ27" s="465"/>
      <c r="AK27" s="465"/>
      <c r="AL27" s="465"/>
      <c r="AM27" s="465"/>
      <c r="AN27" s="465"/>
      <c r="AO27" s="465"/>
      <c r="AP27" s="465"/>
      <c r="AQ27" s="465"/>
      <c r="AR27" s="465"/>
      <c r="AS27" s="465"/>
      <c r="AT27" s="465"/>
      <c r="AU27" s="465"/>
      <c r="AV27" s="465"/>
      <c r="AW27" s="465"/>
      <c r="AX27" s="465"/>
      <c r="AY27" s="71"/>
      <c r="AZ27" s="77"/>
    </row>
    <row r="28" spans="2:68" ht="2.25" customHeight="1" thickBot="1">
      <c r="B28" s="76"/>
      <c r="C28" s="71"/>
      <c r="D28" s="71"/>
      <c r="E28" s="71"/>
      <c r="F28" s="71"/>
      <c r="G28" s="71"/>
      <c r="H28" s="71"/>
      <c r="I28" s="71"/>
      <c r="J28" s="71"/>
      <c r="K28" s="71"/>
      <c r="L28" s="71"/>
      <c r="M28" s="71"/>
      <c r="N28" s="71"/>
      <c r="O28" s="71"/>
      <c r="P28" s="71"/>
      <c r="Q28" s="71"/>
      <c r="R28" s="71"/>
      <c r="S28" s="71"/>
      <c r="T28" s="71"/>
      <c r="U28" s="71"/>
      <c r="V28" s="71"/>
      <c r="W28" s="71"/>
      <c r="X28" s="71"/>
      <c r="Y28" s="71"/>
      <c r="Z28" s="71"/>
      <c r="AA28" s="85"/>
      <c r="AB28" s="71"/>
      <c r="AC28" s="71"/>
      <c r="AD28" s="84"/>
      <c r="AE28" s="71"/>
      <c r="AF28" s="71"/>
      <c r="AG28" s="71"/>
      <c r="AH28" s="71"/>
      <c r="AI28" s="71"/>
      <c r="AJ28" s="71"/>
      <c r="AK28" s="71"/>
      <c r="AL28" s="71"/>
      <c r="AM28" s="71"/>
      <c r="AN28" s="71"/>
      <c r="AO28" s="71"/>
      <c r="AP28" s="71"/>
      <c r="AQ28" s="71"/>
      <c r="AR28" s="71"/>
      <c r="AS28" s="71"/>
      <c r="AT28" s="71"/>
      <c r="AU28" s="71"/>
      <c r="AV28" s="71"/>
      <c r="AW28" s="71"/>
      <c r="AX28" s="71"/>
      <c r="AY28" s="71"/>
      <c r="AZ28" s="77"/>
    </row>
    <row r="29" spans="2:68" ht="14.25" thickBot="1">
      <c r="B29" s="435" t="s">
        <v>55</v>
      </c>
      <c r="C29" s="436"/>
      <c r="D29" s="436"/>
      <c r="E29" s="436"/>
      <c r="F29" s="436"/>
      <c r="G29" s="436"/>
      <c r="H29" s="436"/>
      <c r="I29" s="436"/>
      <c r="J29" s="436"/>
      <c r="K29" s="436"/>
      <c r="L29" s="436"/>
      <c r="M29" s="436"/>
      <c r="N29" s="436"/>
      <c r="O29" s="436"/>
      <c r="P29" s="436"/>
      <c r="Q29" s="436"/>
      <c r="R29" s="436"/>
      <c r="S29" s="436"/>
      <c r="T29" s="436"/>
      <c r="U29" s="436"/>
      <c r="V29" s="436"/>
      <c r="W29" s="436"/>
      <c r="X29" s="436"/>
      <c r="Y29" s="436"/>
      <c r="Z29" s="436"/>
      <c r="AA29" s="436"/>
      <c r="AB29" s="436"/>
      <c r="AC29" s="436"/>
      <c r="AD29" s="436"/>
      <c r="AE29" s="436"/>
      <c r="AF29" s="436"/>
      <c r="AG29" s="436"/>
      <c r="AH29" s="436"/>
      <c r="AI29" s="436"/>
      <c r="AJ29" s="436"/>
      <c r="AK29" s="436"/>
      <c r="AL29" s="436"/>
      <c r="AM29" s="436"/>
      <c r="AN29" s="436"/>
      <c r="AO29" s="436"/>
      <c r="AP29" s="436"/>
      <c r="AQ29" s="436"/>
      <c r="AR29" s="436"/>
      <c r="AS29" s="436"/>
      <c r="AT29" s="436"/>
      <c r="AU29" s="436"/>
      <c r="AV29" s="436"/>
      <c r="AW29" s="436"/>
      <c r="AX29" s="436"/>
      <c r="AY29" s="436"/>
      <c r="AZ29" s="437"/>
    </row>
    <row r="30" spans="2:68" ht="13.5">
      <c r="B30" s="358" t="s">
        <v>18</v>
      </c>
      <c r="C30" s="359"/>
      <c r="D30" s="359"/>
      <c r="E30" s="359"/>
      <c r="F30" s="359"/>
      <c r="G30" s="359"/>
      <c r="H30" s="359"/>
      <c r="I30" s="359"/>
      <c r="J30" s="359"/>
      <c r="K30" s="359"/>
      <c r="L30" s="359"/>
      <c r="M30" s="359"/>
      <c r="N30" s="359"/>
      <c r="O30" s="359"/>
      <c r="P30" s="359"/>
      <c r="Q30" s="438" t="s">
        <v>19</v>
      </c>
      <c r="R30" s="359"/>
      <c r="S30" s="359"/>
      <c r="T30" s="359"/>
      <c r="U30" s="359"/>
      <c r="V30" s="359"/>
      <c r="W30" s="359"/>
      <c r="X30" s="359"/>
      <c r="Y30" s="359"/>
      <c r="Z30" s="359"/>
      <c r="AA30" s="360"/>
      <c r="AB30" s="359" t="s">
        <v>20</v>
      </c>
      <c r="AC30" s="359"/>
      <c r="AD30" s="359"/>
      <c r="AE30" s="359"/>
      <c r="AF30" s="359"/>
      <c r="AG30" s="359"/>
      <c r="AH30" s="359"/>
      <c r="AI30" s="359"/>
      <c r="AJ30" s="359"/>
      <c r="AK30" s="359"/>
      <c r="AL30" s="359"/>
      <c r="AM30" s="359"/>
      <c r="AN30" s="360"/>
      <c r="AO30" s="359" t="s">
        <v>21</v>
      </c>
      <c r="AP30" s="359"/>
      <c r="AQ30" s="359"/>
      <c r="AR30" s="359"/>
      <c r="AS30" s="359"/>
      <c r="AT30" s="359"/>
      <c r="AU30" s="359"/>
      <c r="AV30" s="359"/>
      <c r="AW30" s="359"/>
      <c r="AX30" s="359"/>
      <c r="AY30" s="359"/>
      <c r="AZ30" s="439"/>
    </row>
    <row r="31" spans="2:68" ht="13.5">
      <c r="B31" s="444" t="s">
        <v>190</v>
      </c>
      <c r="C31" s="445"/>
      <c r="D31" s="445"/>
      <c r="E31" s="445"/>
      <c r="F31" s="445"/>
      <c r="G31" s="445"/>
      <c r="H31" s="445"/>
      <c r="I31" s="445"/>
      <c r="J31" s="445"/>
      <c r="K31" s="445"/>
      <c r="L31" s="445"/>
      <c r="M31" s="445"/>
      <c r="N31" s="445"/>
      <c r="O31" s="445"/>
      <c r="P31" s="446"/>
      <c r="Q31" s="447">
        <v>8100021</v>
      </c>
      <c r="R31" s="445"/>
      <c r="S31" s="445"/>
      <c r="T31" s="445"/>
      <c r="U31" s="445"/>
      <c r="V31" s="445"/>
      <c r="W31" s="445"/>
      <c r="X31" s="445"/>
      <c r="Y31" s="445"/>
      <c r="Z31" s="445"/>
      <c r="AA31" s="446"/>
      <c r="AB31" s="468" t="s">
        <v>193</v>
      </c>
      <c r="AC31" s="469"/>
      <c r="AD31" s="469"/>
      <c r="AE31" s="469"/>
      <c r="AF31" s="469"/>
      <c r="AG31" s="469"/>
      <c r="AH31" s="469"/>
      <c r="AI31" s="469"/>
      <c r="AJ31" s="469"/>
      <c r="AK31" s="469"/>
      <c r="AL31" s="469"/>
      <c r="AM31" s="469"/>
      <c r="AN31" s="470"/>
      <c r="AO31" s="471">
        <v>45851</v>
      </c>
      <c r="AP31" s="472"/>
      <c r="AQ31" s="472"/>
      <c r="AR31" s="472"/>
      <c r="AS31" s="472"/>
      <c r="AT31" s="472"/>
      <c r="AU31" s="472"/>
      <c r="AV31" s="472"/>
      <c r="AW31" s="472"/>
      <c r="AX31" s="472"/>
      <c r="AY31" s="472"/>
      <c r="AZ31" s="473"/>
    </row>
    <row r="32" spans="2:68" ht="14.25" thickBot="1">
      <c r="B32" s="457" t="s">
        <v>30</v>
      </c>
      <c r="C32" s="458"/>
      <c r="D32" s="458"/>
      <c r="E32" s="458"/>
      <c r="F32" s="458"/>
      <c r="G32" s="458"/>
      <c r="H32" s="458"/>
      <c r="I32" s="458"/>
      <c r="J32" s="458"/>
      <c r="K32" s="458"/>
      <c r="L32" s="458"/>
      <c r="M32" s="458"/>
      <c r="N32" s="458"/>
      <c r="O32" s="458"/>
      <c r="P32" s="458"/>
      <c r="Q32" s="459" t="s">
        <v>30</v>
      </c>
      <c r="R32" s="458"/>
      <c r="S32" s="458"/>
      <c r="T32" s="458"/>
      <c r="U32" s="458"/>
      <c r="V32" s="458"/>
      <c r="W32" s="458"/>
      <c r="X32" s="458"/>
      <c r="Y32" s="458"/>
      <c r="Z32" s="458"/>
      <c r="AA32" s="460"/>
      <c r="AB32" s="458" t="s">
        <v>30</v>
      </c>
      <c r="AC32" s="458"/>
      <c r="AD32" s="458"/>
      <c r="AE32" s="458"/>
      <c r="AF32" s="458"/>
      <c r="AG32" s="458"/>
      <c r="AH32" s="458"/>
      <c r="AI32" s="458"/>
      <c r="AJ32" s="458"/>
      <c r="AK32" s="458"/>
      <c r="AL32" s="458"/>
      <c r="AM32" s="458"/>
      <c r="AN32" s="460"/>
      <c r="AO32" s="458" t="s">
        <v>30</v>
      </c>
      <c r="AP32" s="458"/>
      <c r="AQ32" s="458"/>
      <c r="AR32" s="458"/>
      <c r="AS32" s="458"/>
      <c r="AT32" s="458"/>
      <c r="AU32" s="458"/>
      <c r="AV32" s="458"/>
      <c r="AW32" s="458"/>
      <c r="AX32" s="458"/>
      <c r="AY32" s="458"/>
      <c r="AZ32" s="461"/>
    </row>
    <row r="33" spans="2:52" ht="14.25" thickBot="1">
      <c r="B33" s="435" t="s">
        <v>56</v>
      </c>
      <c r="C33" s="436"/>
      <c r="D33" s="436"/>
      <c r="E33" s="436"/>
      <c r="F33" s="436"/>
      <c r="G33" s="436"/>
      <c r="H33" s="436"/>
      <c r="I33" s="436"/>
      <c r="J33" s="436"/>
      <c r="K33" s="436"/>
      <c r="L33" s="436"/>
      <c r="M33" s="436"/>
      <c r="N33" s="436"/>
      <c r="O33" s="436"/>
      <c r="P33" s="436"/>
      <c r="Q33" s="436"/>
      <c r="R33" s="436"/>
      <c r="S33" s="436"/>
      <c r="T33" s="436"/>
      <c r="U33" s="436"/>
      <c r="V33" s="436"/>
      <c r="W33" s="436"/>
      <c r="X33" s="436"/>
      <c r="Y33" s="436"/>
      <c r="Z33" s="436"/>
      <c r="AA33" s="436"/>
      <c r="AB33" s="436"/>
      <c r="AC33" s="436"/>
      <c r="AD33" s="436"/>
      <c r="AE33" s="436"/>
      <c r="AF33" s="436"/>
      <c r="AG33" s="436"/>
      <c r="AH33" s="436"/>
      <c r="AI33" s="436"/>
      <c r="AJ33" s="436"/>
      <c r="AK33" s="436"/>
      <c r="AL33" s="436"/>
      <c r="AM33" s="436"/>
      <c r="AN33" s="436"/>
      <c r="AO33" s="436"/>
      <c r="AP33" s="436"/>
      <c r="AQ33" s="436"/>
      <c r="AR33" s="436"/>
      <c r="AS33" s="436"/>
      <c r="AT33" s="436"/>
      <c r="AU33" s="436"/>
      <c r="AV33" s="436"/>
      <c r="AW33" s="436"/>
      <c r="AX33" s="436"/>
      <c r="AY33" s="436"/>
      <c r="AZ33" s="437"/>
    </row>
    <row r="34" spans="2:52" ht="13.5">
      <c r="B34" s="358" t="s">
        <v>18</v>
      </c>
      <c r="C34" s="359"/>
      <c r="D34" s="359"/>
      <c r="E34" s="359"/>
      <c r="F34" s="359"/>
      <c r="G34" s="359"/>
      <c r="H34" s="359"/>
      <c r="I34" s="359"/>
      <c r="J34" s="359"/>
      <c r="K34" s="359"/>
      <c r="L34" s="359"/>
      <c r="M34" s="359"/>
      <c r="N34" s="359"/>
      <c r="O34" s="359"/>
      <c r="P34" s="359"/>
      <c r="Q34" s="438" t="s">
        <v>19</v>
      </c>
      <c r="R34" s="359"/>
      <c r="S34" s="359"/>
      <c r="T34" s="359"/>
      <c r="U34" s="359"/>
      <c r="V34" s="359"/>
      <c r="W34" s="359"/>
      <c r="X34" s="359"/>
      <c r="Y34" s="359"/>
      <c r="Z34" s="359"/>
      <c r="AA34" s="360"/>
      <c r="AB34" s="359" t="s">
        <v>57</v>
      </c>
      <c r="AC34" s="359"/>
      <c r="AD34" s="359"/>
      <c r="AE34" s="359"/>
      <c r="AF34" s="359"/>
      <c r="AG34" s="359"/>
      <c r="AH34" s="359"/>
      <c r="AI34" s="359"/>
      <c r="AJ34" s="359"/>
      <c r="AK34" s="359"/>
      <c r="AL34" s="359"/>
      <c r="AM34" s="359"/>
      <c r="AN34" s="360"/>
      <c r="AO34" s="359" t="s">
        <v>39</v>
      </c>
      <c r="AP34" s="359"/>
      <c r="AQ34" s="359"/>
      <c r="AR34" s="359"/>
      <c r="AS34" s="359"/>
      <c r="AT34" s="359"/>
      <c r="AU34" s="359"/>
      <c r="AV34" s="359"/>
      <c r="AW34" s="359"/>
      <c r="AX34" s="359"/>
      <c r="AY34" s="359"/>
      <c r="AZ34" s="439"/>
    </row>
    <row r="35" spans="2:52" ht="13.5">
      <c r="B35" s="457" t="s">
        <v>30</v>
      </c>
      <c r="C35" s="458"/>
      <c r="D35" s="458"/>
      <c r="E35" s="458"/>
      <c r="F35" s="458"/>
      <c r="G35" s="458"/>
      <c r="H35" s="458"/>
      <c r="I35" s="458"/>
      <c r="J35" s="458"/>
      <c r="K35" s="458"/>
      <c r="L35" s="458"/>
      <c r="M35" s="458"/>
      <c r="N35" s="458"/>
      <c r="O35" s="458"/>
      <c r="P35" s="458"/>
      <c r="Q35" s="459" t="s">
        <v>30</v>
      </c>
      <c r="R35" s="458"/>
      <c r="S35" s="458"/>
      <c r="T35" s="458"/>
      <c r="U35" s="458"/>
      <c r="V35" s="458"/>
      <c r="W35" s="458"/>
      <c r="X35" s="458"/>
      <c r="Y35" s="458"/>
      <c r="Z35" s="458"/>
      <c r="AA35" s="460"/>
      <c r="AB35" s="458" t="s">
        <v>30</v>
      </c>
      <c r="AC35" s="458"/>
      <c r="AD35" s="458"/>
      <c r="AE35" s="458"/>
      <c r="AF35" s="458"/>
      <c r="AG35" s="458"/>
      <c r="AH35" s="458"/>
      <c r="AI35" s="458"/>
      <c r="AJ35" s="458"/>
      <c r="AK35" s="458"/>
      <c r="AL35" s="458"/>
      <c r="AM35" s="458"/>
      <c r="AN35" s="460"/>
      <c r="AO35" s="458" t="s">
        <v>30</v>
      </c>
      <c r="AP35" s="458"/>
      <c r="AQ35" s="458"/>
      <c r="AR35" s="458"/>
      <c r="AS35" s="458"/>
      <c r="AT35" s="458"/>
      <c r="AU35" s="458"/>
      <c r="AV35" s="458"/>
      <c r="AW35" s="458"/>
      <c r="AX35" s="458"/>
      <c r="AY35" s="458"/>
      <c r="AZ35" s="461"/>
    </row>
    <row r="36" spans="2:52" ht="14.25" thickBot="1">
      <c r="B36" s="457" t="s">
        <v>30</v>
      </c>
      <c r="C36" s="458"/>
      <c r="D36" s="458"/>
      <c r="E36" s="458"/>
      <c r="F36" s="458"/>
      <c r="G36" s="458"/>
      <c r="H36" s="458"/>
      <c r="I36" s="458"/>
      <c r="J36" s="458"/>
      <c r="K36" s="458"/>
      <c r="L36" s="458"/>
      <c r="M36" s="458"/>
      <c r="N36" s="458"/>
      <c r="O36" s="458"/>
      <c r="P36" s="458"/>
      <c r="Q36" s="459" t="s">
        <v>30</v>
      </c>
      <c r="R36" s="458"/>
      <c r="S36" s="458"/>
      <c r="T36" s="458"/>
      <c r="U36" s="458"/>
      <c r="V36" s="458"/>
      <c r="W36" s="458"/>
      <c r="X36" s="458"/>
      <c r="Y36" s="458"/>
      <c r="Z36" s="458"/>
      <c r="AA36" s="460"/>
      <c r="AB36" s="458" t="s">
        <v>30</v>
      </c>
      <c r="AC36" s="458"/>
      <c r="AD36" s="458"/>
      <c r="AE36" s="458"/>
      <c r="AF36" s="458"/>
      <c r="AG36" s="458"/>
      <c r="AH36" s="458"/>
      <c r="AI36" s="458"/>
      <c r="AJ36" s="458"/>
      <c r="AK36" s="458"/>
      <c r="AL36" s="458"/>
      <c r="AM36" s="458"/>
      <c r="AN36" s="460"/>
      <c r="AO36" s="458" t="s">
        <v>30</v>
      </c>
      <c r="AP36" s="458"/>
      <c r="AQ36" s="458"/>
      <c r="AR36" s="458"/>
      <c r="AS36" s="458"/>
      <c r="AT36" s="458"/>
      <c r="AU36" s="458"/>
      <c r="AV36" s="458"/>
      <c r="AW36" s="458"/>
      <c r="AX36" s="458"/>
      <c r="AY36" s="458"/>
      <c r="AZ36" s="461"/>
    </row>
    <row r="37" spans="2:52" ht="15" customHeight="1" thickBot="1">
      <c r="B37" s="435" t="s">
        <v>58</v>
      </c>
      <c r="C37" s="436"/>
      <c r="D37" s="436"/>
      <c r="E37" s="436"/>
      <c r="F37" s="436"/>
      <c r="G37" s="436"/>
      <c r="H37" s="436"/>
      <c r="I37" s="436"/>
      <c r="J37" s="436"/>
      <c r="K37" s="436"/>
      <c r="L37" s="436"/>
      <c r="M37" s="436"/>
      <c r="N37" s="436"/>
      <c r="O37" s="436"/>
      <c r="P37" s="436"/>
      <c r="Q37" s="436"/>
      <c r="R37" s="436"/>
      <c r="S37" s="436"/>
      <c r="T37" s="436"/>
      <c r="U37" s="436"/>
      <c r="V37" s="436"/>
      <c r="W37" s="436"/>
      <c r="X37" s="436"/>
      <c r="Y37" s="436"/>
      <c r="Z37" s="436"/>
      <c r="AA37" s="442"/>
      <c r="AB37" s="443" t="s">
        <v>59</v>
      </c>
      <c r="AC37" s="436"/>
      <c r="AD37" s="436"/>
      <c r="AE37" s="436"/>
      <c r="AF37" s="436"/>
      <c r="AG37" s="436"/>
      <c r="AH37" s="436"/>
      <c r="AI37" s="436"/>
      <c r="AJ37" s="436"/>
      <c r="AK37" s="436"/>
      <c r="AL37" s="436"/>
      <c r="AM37" s="436"/>
      <c r="AN37" s="436"/>
      <c r="AO37" s="436"/>
      <c r="AP37" s="436"/>
      <c r="AQ37" s="436"/>
      <c r="AR37" s="436"/>
      <c r="AS37" s="436"/>
      <c r="AT37" s="436"/>
      <c r="AU37" s="436"/>
      <c r="AV37" s="436"/>
      <c r="AW37" s="436"/>
      <c r="AX37" s="436"/>
      <c r="AY37" s="436"/>
      <c r="AZ37" s="437"/>
    </row>
    <row r="38" spans="2:52" ht="13.7" customHeight="1">
      <c r="B38" s="76"/>
      <c r="C38" s="71"/>
      <c r="D38" s="71"/>
      <c r="E38" s="71"/>
      <c r="F38" s="135" t="s">
        <v>60</v>
      </c>
      <c r="G38" s="71"/>
      <c r="H38" s="71"/>
      <c r="I38" s="71"/>
      <c r="J38" s="71"/>
      <c r="K38" s="71"/>
      <c r="L38" s="71"/>
      <c r="M38" s="71"/>
      <c r="N38" s="71"/>
      <c r="O38" s="71" t="s">
        <v>61</v>
      </c>
      <c r="P38" s="71"/>
      <c r="Q38" s="71"/>
      <c r="R38" s="71"/>
      <c r="S38" s="71"/>
      <c r="T38" s="71"/>
      <c r="U38" s="71"/>
      <c r="V38" s="71"/>
      <c r="W38" s="71"/>
      <c r="X38" s="71"/>
      <c r="Y38" s="71"/>
      <c r="Z38" s="71"/>
      <c r="AA38" s="71"/>
      <c r="AB38" s="386" t="s">
        <v>164</v>
      </c>
      <c r="AC38" s="387"/>
      <c r="AD38" s="387"/>
      <c r="AE38" s="387"/>
      <c r="AF38" s="387"/>
      <c r="AG38" s="387"/>
      <c r="AH38" s="387"/>
      <c r="AI38" s="387"/>
      <c r="AJ38" s="387"/>
      <c r="AK38" s="387"/>
      <c r="AL38" s="387"/>
      <c r="AM38" s="387"/>
      <c r="AN38" s="387"/>
      <c r="AO38" s="387"/>
      <c r="AP38" s="387"/>
      <c r="AQ38" s="387"/>
      <c r="AR38" s="387"/>
      <c r="AS38" s="387"/>
      <c r="AT38" s="387"/>
      <c r="AU38" s="387"/>
      <c r="AV38" s="387"/>
      <c r="AW38" s="387"/>
      <c r="AX38" s="387"/>
      <c r="AY38" s="387"/>
      <c r="AZ38" s="388"/>
    </row>
    <row r="39" spans="2:52" ht="15.75">
      <c r="B39" s="76"/>
      <c r="C39" s="71"/>
      <c r="D39" s="71"/>
      <c r="E39" s="71"/>
      <c r="F39" s="71"/>
      <c r="G39" s="71"/>
      <c r="H39" s="86" t="s">
        <v>62</v>
      </c>
      <c r="I39" s="384"/>
      <c r="J39" s="384"/>
      <c r="K39" s="144" t="s">
        <v>184</v>
      </c>
      <c r="L39" s="145"/>
      <c r="M39" s="145"/>
      <c r="N39" s="145"/>
      <c r="O39" s="145"/>
      <c r="P39" s="145"/>
      <c r="Q39" s="146" t="s">
        <v>62</v>
      </c>
      <c r="R39" s="385"/>
      <c r="S39" s="385"/>
      <c r="T39" s="71" t="s">
        <v>134</v>
      </c>
      <c r="U39" s="71"/>
      <c r="V39" s="71"/>
      <c r="W39" s="71"/>
      <c r="X39" s="71"/>
      <c r="Y39" s="71"/>
      <c r="Z39" s="71"/>
      <c r="AA39" s="71"/>
      <c r="AB39" s="386"/>
      <c r="AC39" s="387"/>
      <c r="AD39" s="387"/>
      <c r="AE39" s="387"/>
      <c r="AF39" s="387"/>
      <c r="AG39" s="387"/>
      <c r="AH39" s="387"/>
      <c r="AI39" s="387"/>
      <c r="AJ39" s="387"/>
      <c r="AK39" s="387"/>
      <c r="AL39" s="387"/>
      <c r="AM39" s="387"/>
      <c r="AN39" s="387"/>
      <c r="AO39" s="387"/>
      <c r="AP39" s="387"/>
      <c r="AQ39" s="387"/>
      <c r="AR39" s="387"/>
      <c r="AS39" s="387"/>
      <c r="AT39" s="387"/>
      <c r="AU39" s="387"/>
      <c r="AV39" s="387"/>
      <c r="AW39" s="387"/>
      <c r="AX39" s="387"/>
      <c r="AY39" s="387"/>
      <c r="AZ39" s="388"/>
    </row>
    <row r="40" spans="2:52" ht="15.75">
      <c r="B40" s="76"/>
      <c r="C40" s="71"/>
      <c r="D40" s="71"/>
      <c r="E40" s="71"/>
      <c r="F40" s="71"/>
      <c r="G40" s="71"/>
      <c r="H40" s="86" t="s">
        <v>63</v>
      </c>
      <c r="I40" s="389"/>
      <c r="J40" s="389"/>
      <c r="K40" s="144" t="s">
        <v>184</v>
      </c>
      <c r="L40" s="145"/>
      <c r="M40" s="145"/>
      <c r="N40" s="145"/>
      <c r="O40" s="145"/>
      <c r="P40" s="145"/>
      <c r="Q40" s="146" t="s">
        <v>63</v>
      </c>
      <c r="R40" s="385"/>
      <c r="S40" s="385"/>
      <c r="T40" s="71" t="s">
        <v>134</v>
      </c>
      <c r="U40" s="71"/>
      <c r="V40" s="71"/>
      <c r="W40" s="71"/>
      <c r="X40" s="71"/>
      <c r="Y40" s="71"/>
      <c r="Z40" s="71"/>
      <c r="AA40" s="71"/>
      <c r="AB40" s="386"/>
      <c r="AC40" s="387"/>
      <c r="AD40" s="387"/>
      <c r="AE40" s="387"/>
      <c r="AF40" s="387"/>
      <c r="AG40" s="387"/>
      <c r="AH40" s="387"/>
      <c r="AI40" s="387"/>
      <c r="AJ40" s="387"/>
      <c r="AK40" s="387"/>
      <c r="AL40" s="387"/>
      <c r="AM40" s="387"/>
      <c r="AN40" s="387"/>
      <c r="AO40" s="387"/>
      <c r="AP40" s="387"/>
      <c r="AQ40" s="387"/>
      <c r="AR40" s="387"/>
      <c r="AS40" s="387"/>
      <c r="AT40" s="387"/>
      <c r="AU40" s="387"/>
      <c r="AV40" s="387"/>
      <c r="AW40" s="387"/>
      <c r="AX40" s="387"/>
      <c r="AY40" s="387"/>
      <c r="AZ40" s="388"/>
    </row>
    <row r="41" spans="2:52" ht="3.75" customHeight="1" thickBot="1">
      <c r="B41" s="76"/>
      <c r="C41" s="71"/>
      <c r="D41" s="71"/>
      <c r="E41" s="71"/>
      <c r="F41" s="71"/>
      <c r="G41" s="71"/>
      <c r="H41" s="71"/>
      <c r="I41" s="71"/>
      <c r="J41" s="71"/>
      <c r="K41" s="71"/>
      <c r="L41" s="71"/>
      <c r="M41" s="71"/>
      <c r="N41" s="71"/>
      <c r="O41" s="71"/>
      <c r="P41" s="71"/>
      <c r="Q41" s="71"/>
      <c r="R41" s="71"/>
      <c r="S41" s="71"/>
      <c r="T41" s="71"/>
      <c r="U41" s="71"/>
      <c r="V41" s="71"/>
      <c r="W41" s="71"/>
      <c r="X41" s="71"/>
      <c r="Y41" s="71"/>
      <c r="Z41" s="71"/>
      <c r="AA41" s="85"/>
      <c r="AB41" s="386"/>
      <c r="AC41" s="387"/>
      <c r="AD41" s="387"/>
      <c r="AE41" s="387"/>
      <c r="AF41" s="387"/>
      <c r="AG41" s="387"/>
      <c r="AH41" s="387"/>
      <c r="AI41" s="387"/>
      <c r="AJ41" s="387"/>
      <c r="AK41" s="387"/>
      <c r="AL41" s="387"/>
      <c r="AM41" s="387"/>
      <c r="AN41" s="387"/>
      <c r="AO41" s="387"/>
      <c r="AP41" s="387"/>
      <c r="AQ41" s="387"/>
      <c r="AR41" s="387"/>
      <c r="AS41" s="387"/>
      <c r="AT41" s="387"/>
      <c r="AU41" s="387"/>
      <c r="AV41" s="387"/>
      <c r="AW41" s="387"/>
      <c r="AX41" s="387"/>
      <c r="AY41" s="387"/>
      <c r="AZ41" s="388"/>
    </row>
    <row r="42" spans="2:52" ht="14.25" thickBot="1">
      <c r="B42" s="87" t="s">
        <v>64</v>
      </c>
      <c r="C42" s="88"/>
      <c r="D42" s="88"/>
      <c r="E42" s="88"/>
      <c r="F42" s="88"/>
      <c r="G42" s="88"/>
      <c r="H42" s="88"/>
      <c r="I42" s="88"/>
      <c r="J42" s="88"/>
      <c r="K42" s="88"/>
      <c r="L42" s="88"/>
      <c r="M42" s="88"/>
      <c r="N42" s="88"/>
      <c r="O42" s="88"/>
      <c r="P42" s="88"/>
      <c r="Q42" s="88"/>
      <c r="R42" s="88"/>
      <c r="S42" s="88"/>
      <c r="T42" s="88"/>
      <c r="U42" s="88"/>
      <c r="V42" s="88"/>
      <c r="W42" s="88"/>
      <c r="X42" s="88"/>
      <c r="Y42" s="88"/>
      <c r="Z42" s="88"/>
      <c r="AA42" s="88"/>
      <c r="AB42" s="88"/>
      <c r="AC42" s="88"/>
      <c r="AD42" s="88"/>
      <c r="AE42" s="88"/>
      <c r="AF42" s="88"/>
      <c r="AG42" s="88"/>
      <c r="AH42" s="88"/>
      <c r="AI42" s="88"/>
      <c r="AJ42" s="88"/>
      <c r="AK42" s="88"/>
      <c r="AL42" s="88"/>
      <c r="AM42" s="88"/>
      <c r="AN42" s="88"/>
      <c r="AO42" s="88"/>
      <c r="AP42" s="88"/>
      <c r="AQ42" s="88"/>
      <c r="AR42" s="88"/>
      <c r="AS42" s="88"/>
      <c r="AT42" s="88"/>
      <c r="AU42" s="88"/>
      <c r="AV42" s="88"/>
      <c r="AW42" s="88"/>
      <c r="AX42" s="88"/>
      <c r="AY42" s="88"/>
      <c r="AZ42" s="89"/>
    </row>
    <row r="43" spans="2:52" ht="13.7" customHeight="1">
      <c r="B43" s="76"/>
      <c r="C43" s="440"/>
      <c r="D43" s="440"/>
      <c r="E43" s="440"/>
      <c r="F43" s="440"/>
      <c r="G43" s="440"/>
      <c r="H43" s="440"/>
      <c r="I43" s="440"/>
      <c r="J43" s="440"/>
      <c r="K43" s="440"/>
      <c r="L43" s="440"/>
      <c r="M43" s="440"/>
      <c r="N43" s="440"/>
      <c r="O43" s="440"/>
      <c r="P43" s="440"/>
      <c r="Q43" s="440"/>
      <c r="R43" s="440"/>
      <c r="S43" s="440"/>
      <c r="T43" s="440"/>
      <c r="U43" s="440"/>
      <c r="V43" s="440"/>
      <c r="W43" s="440"/>
      <c r="X43" s="440"/>
      <c r="Y43" s="440"/>
      <c r="Z43" s="440"/>
      <c r="AA43" s="440"/>
      <c r="AB43" s="440"/>
      <c r="AC43" s="440"/>
      <c r="AD43" s="440"/>
      <c r="AE43" s="440"/>
      <c r="AF43" s="440"/>
      <c r="AG43" s="440"/>
      <c r="AH43" s="440"/>
      <c r="AI43" s="440"/>
      <c r="AJ43" s="440"/>
      <c r="AK43" s="440"/>
      <c r="AL43" s="440"/>
      <c r="AM43" s="440"/>
      <c r="AN43" s="440"/>
      <c r="AO43" s="440"/>
      <c r="AP43" s="440"/>
      <c r="AQ43" s="440"/>
      <c r="AR43" s="440"/>
      <c r="AS43" s="440"/>
      <c r="AT43" s="71"/>
      <c r="AU43" s="71" t="s">
        <v>65</v>
      </c>
      <c r="AV43" s="71"/>
      <c r="AW43" s="71"/>
      <c r="AX43" s="71"/>
      <c r="AY43" s="71"/>
      <c r="AZ43" s="77"/>
    </row>
    <row r="44" spans="2:52" ht="13.5">
      <c r="B44" s="76"/>
      <c r="C44" s="441"/>
      <c r="D44" s="441"/>
      <c r="E44" s="441"/>
      <c r="F44" s="441"/>
      <c r="G44" s="441"/>
      <c r="H44" s="441"/>
      <c r="I44" s="441"/>
      <c r="J44" s="441"/>
      <c r="K44" s="441"/>
      <c r="L44" s="441"/>
      <c r="M44" s="441"/>
      <c r="N44" s="441"/>
      <c r="O44" s="441"/>
      <c r="P44" s="441"/>
      <c r="Q44" s="441"/>
      <c r="R44" s="441"/>
      <c r="S44" s="441"/>
      <c r="T44" s="441"/>
      <c r="U44" s="441"/>
      <c r="V44" s="441"/>
      <c r="W44" s="441"/>
      <c r="X44" s="441"/>
      <c r="Y44" s="441"/>
      <c r="Z44" s="441"/>
      <c r="AA44" s="441"/>
      <c r="AB44" s="441"/>
      <c r="AC44" s="441"/>
      <c r="AD44" s="441"/>
      <c r="AE44" s="441"/>
      <c r="AF44" s="441"/>
      <c r="AG44" s="441"/>
      <c r="AH44" s="441"/>
      <c r="AI44" s="441"/>
      <c r="AJ44" s="441"/>
      <c r="AK44" s="441"/>
      <c r="AL44" s="441"/>
      <c r="AM44" s="441"/>
      <c r="AN44" s="441"/>
      <c r="AO44" s="441"/>
      <c r="AP44" s="441"/>
      <c r="AQ44" s="441"/>
      <c r="AR44" s="441"/>
      <c r="AS44" s="441"/>
      <c r="AT44" s="71"/>
      <c r="AU44" s="90" t="s">
        <v>66</v>
      </c>
      <c r="AV44" s="71"/>
      <c r="AW44" s="71"/>
      <c r="AX44" s="71"/>
      <c r="AY44" s="71"/>
      <c r="AZ44" s="77"/>
    </row>
    <row r="45" spans="2:52" ht="13.5">
      <c r="B45" s="76"/>
      <c r="C45" s="441" t="s">
        <v>30</v>
      </c>
      <c r="D45" s="441"/>
      <c r="E45" s="441"/>
      <c r="F45" s="441"/>
      <c r="G45" s="441"/>
      <c r="H45" s="441"/>
      <c r="I45" s="441"/>
      <c r="J45" s="441"/>
      <c r="K45" s="441"/>
      <c r="L45" s="441"/>
      <c r="M45" s="441"/>
      <c r="N45" s="441"/>
      <c r="O45" s="441"/>
      <c r="P45" s="441"/>
      <c r="Q45" s="441"/>
      <c r="R45" s="441"/>
      <c r="S45" s="441"/>
      <c r="T45" s="441"/>
      <c r="U45" s="441"/>
      <c r="V45" s="441"/>
      <c r="W45" s="441"/>
      <c r="X45" s="441"/>
      <c r="Y45" s="441"/>
      <c r="Z45" s="441"/>
      <c r="AA45" s="441"/>
      <c r="AB45" s="441"/>
      <c r="AC45" s="441"/>
      <c r="AD45" s="441"/>
      <c r="AE45" s="441"/>
      <c r="AF45" s="441"/>
      <c r="AG45" s="441"/>
      <c r="AH45" s="441"/>
      <c r="AI45" s="441"/>
      <c r="AJ45" s="441"/>
      <c r="AK45" s="441"/>
      <c r="AL45" s="441"/>
      <c r="AM45" s="441"/>
      <c r="AN45" s="441"/>
      <c r="AO45" s="441"/>
      <c r="AP45" s="441"/>
      <c r="AQ45" s="441"/>
      <c r="AR45" s="441"/>
      <c r="AS45" s="441"/>
      <c r="AT45" s="71"/>
      <c r="AU45" s="71"/>
      <c r="AV45" s="71"/>
      <c r="AW45" s="71"/>
      <c r="AX45" s="71" t="s">
        <v>67</v>
      </c>
      <c r="AY45" s="71"/>
      <c r="AZ45" s="77"/>
    </row>
    <row r="46" spans="2:52" ht="13.5">
      <c r="B46" s="76"/>
      <c r="C46" s="334" t="s">
        <v>30</v>
      </c>
      <c r="D46" s="334"/>
      <c r="E46" s="334"/>
      <c r="F46" s="334"/>
      <c r="G46" s="334"/>
      <c r="H46" s="334"/>
      <c r="I46" s="334"/>
      <c r="J46" s="334"/>
      <c r="K46" s="334"/>
      <c r="L46" s="334"/>
      <c r="M46" s="334"/>
      <c r="N46" s="334"/>
      <c r="O46" s="334"/>
      <c r="P46" s="334"/>
      <c r="Q46" s="334"/>
      <c r="R46" s="334"/>
      <c r="S46" s="334"/>
      <c r="T46" s="334"/>
      <c r="U46" s="334"/>
      <c r="V46" s="334"/>
      <c r="W46" s="334"/>
      <c r="X46" s="334"/>
      <c r="Y46" s="334"/>
      <c r="Z46" s="334"/>
      <c r="AA46" s="334"/>
      <c r="AB46" s="334"/>
      <c r="AC46" s="334"/>
      <c r="AD46" s="334"/>
      <c r="AE46" s="334"/>
      <c r="AF46" s="334"/>
      <c r="AG46" s="334"/>
      <c r="AH46" s="334"/>
      <c r="AI46" s="334"/>
      <c r="AJ46" s="334"/>
      <c r="AK46" s="334"/>
      <c r="AL46" s="334"/>
      <c r="AM46" s="334"/>
      <c r="AN46" s="334"/>
      <c r="AO46" s="334"/>
      <c r="AP46" s="334"/>
      <c r="AQ46" s="334"/>
      <c r="AR46" s="334"/>
      <c r="AS46" s="334"/>
      <c r="AT46" s="71"/>
      <c r="AU46" s="71"/>
      <c r="AV46" s="71" t="s">
        <v>51</v>
      </c>
      <c r="AW46" s="91"/>
      <c r="AX46" s="71" t="s">
        <v>68</v>
      </c>
      <c r="AY46" s="71"/>
      <c r="AZ46" s="77"/>
    </row>
    <row r="47" spans="2:52" ht="3.75" customHeight="1" thickBot="1">
      <c r="B47" s="76"/>
      <c r="C47" s="92"/>
      <c r="D47" s="92"/>
      <c r="E47" s="92"/>
      <c r="F47" s="92"/>
      <c r="G47" s="92"/>
      <c r="H47" s="92"/>
      <c r="I47" s="92"/>
      <c r="J47" s="92"/>
      <c r="K47" s="92"/>
      <c r="L47" s="92"/>
      <c r="M47" s="92"/>
      <c r="N47" s="92"/>
      <c r="O47" s="92"/>
      <c r="P47" s="92"/>
      <c r="Q47" s="92"/>
      <c r="R47" s="92"/>
      <c r="S47" s="92"/>
      <c r="T47" s="92"/>
      <c r="U47" s="92"/>
      <c r="V47" s="92"/>
      <c r="W47" s="92"/>
      <c r="X47" s="92"/>
      <c r="Y47" s="92"/>
      <c r="Z47" s="92"/>
      <c r="AA47" s="92"/>
      <c r="AB47" s="92"/>
      <c r="AC47" s="92"/>
      <c r="AD47" s="92"/>
      <c r="AE47" s="92"/>
      <c r="AF47" s="92"/>
      <c r="AG47" s="92"/>
      <c r="AH47" s="92"/>
      <c r="AI47" s="92"/>
      <c r="AJ47" s="92"/>
      <c r="AK47" s="92"/>
      <c r="AL47" s="92"/>
      <c r="AM47" s="92"/>
      <c r="AN47" s="92"/>
      <c r="AO47" s="92"/>
      <c r="AP47" s="92"/>
      <c r="AQ47" s="92"/>
      <c r="AR47" s="92"/>
      <c r="AS47" s="92"/>
      <c r="AT47" s="71"/>
      <c r="AU47" s="71"/>
      <c r="AV47" s="71"/>
      <c r="AW47" s="71"/>
      <c r="AX47" s="71"/>
      <c r="AY47" s="71"/>
      <c r="AZ47" s="77"/>
    </row>
    <row r="48" spans="2:52" ht="14.25" thickBot="1">
      <c r="B48" s="432" t="s">
        <v>69</v>
      </c>
      <c r="C48" s="433"/>
      <c r="D48" s="433"/>
      <c r="E48" s="433"/>
      <c r="F48" s="433"/>
      <c r="G48" s="433"/>
      <c r="H48" s="433"/>
      <c r="I48" s="433"/>
      <c r="J48" s="433"/>
      <c r="K48" s="433"/>
      <c r="L48" s="433"/>
      <c r="M48" s="433"/>
      <c r="N48" s="433"/>
      <c r="O48" s="433"/>
      <c r="P48" s="433"/>
      <c r="Q48" s="433"/>
      <c r="R48" s="433"/>
      <c r="S48" s="433"/>
      <c r="T48" s="433"/>
      <c r="U48" s="433"/>
      <c r="V48" s="433"/>
      <c r="W48" s="433"/>
      <c r="X48" s="433"/>
      <c r="Y48" s="433"/>
      <c r="Z48" s="433"/>
      <c r="AA48" s="433"/>
      <c r="AB48" s="433"/>
      <c r="AC48" s="433"/>
      <c r="AD48" s="433"/>
      <c r="AE48" s="433"/>
      <c r="AF48" s="433"/>
      <c r="AG48" s="433"/>
      <c r="AH48" s="433"/>
      <c r="AI48" s="433"/>
      <c r="AJ48" s="433"/>
      <c r="AK48" s="433"/>
      <c r="AL48" s="433"/>
      <c r="AM48" s="433"/>
      <c r="AN48" s="433"/>
      <c r="AO48" s="433"/>
      <c r="AP48" s="433"/>
      <c r="AQ48" s="433"/>
      <c r="AR48" s="433"/>
      <c r="AS48" s="433"/>
      <c r="AT48" s="433"/>
      <c r="AU48" s="433"/>
      <c r="AV48" s="433"/>
      <c r="AW48" s="433"/>
      <c r="AX48" s="433"/>
      <c r="AY48" s="433"/>
      <c r="AZ48" s="434"/>
    </row>
    <row r="49" spans="1:117" ht="12" customHeight="1">
      <c r="B49" s="93"/>
      <c r="C49" s="82"/>
      <c r="D49" s="82"/>
      <c r="E49" s="82"/>
      <c r="F49" s="82"/>
      <c r="G49" s="82"/>
      <c r="H49" s="82"/>
      <c r="I49" s="82"/>
      <c r="J49" s="82"/>
      <c r="K49" s="82"/>
      <c r="L49" s="82"/>
      <c r="M49" s="82"/>
      <c r="N49" s="82"/>
      <c r="O49" s="82"/>
      <c r="P49" s="82"/>
      <c r="Q49" s="82"/>
      <c r="R49" s="82"/>
      <c r="S49" s="82"/>
      <c r="T49" s="82"/>
      <c r="U49" s="82"/>
      <c r="V49" s="82"/>
      <c r="W49" s="82"/>
      <c r="X49" s="82"/>
      <c r="Y49" s="82"/>
      <c r="Z49" s="82"/>
      <c r="AA49" s="82"/>
      <c r="AB49" s="82"/>
      <c r="AC49" s="82"/>
      <c r="AD49" s="82"/>
      <c r="AE49" s="82"/>
      <c r="AF49" s="82"/>
      <c r="AG49" s="82"/>
      <c r="AH49" s="82"/>
      <c r="AI49" s="82"/>
      <c r="AJ49" s="82"/>
      <c r="AK49" s="82"/>
      <c r="AL49" s="82"/>
      <c r="AM49" s="82"/>
      <c r="AN49" s="82"/>
      <c r="AO49" s="82"/>
      <c r="AP49" s="82"/>
      <c r="AQ49" s="82"/>
      <c r="AR49" s="82"/>
      <c r="AS49" s="82"/>
      <c r="AT49" s="82"/>
      <c r="AU49" s="82"/>
      <c r="AV49" s="82"/>
      <c r="AW49" s="82"/>
      <c r="AX49" s="82"/>
      <c r="AY49" s="82"/>
      <c r="AZ49" s="94"/>
    </row>
    <row r="50" spans="1:117" ht="15" customHeight="1">
      <c r="B50" s="93"/>
      <c r="C50" s="82"/>
      <c r="D50" s="71"/>
      <c r="E50" s="82"/>
      <c r="F50" s="95" t="s">
        <v>101</v>
      </c>
      <c r="G50" s="82"/>
      <c r="H50" s="82"/>
      <c r="I50" s="82"/>
      <c r="J50" s="82"/>
      <c r="K50" s="82"/>
      <c r="L50" s="82"/>
      <c r="M50" s="82"/>
      <c r="N50" s="82"/>
      <c r="O50" s="82"/>
      <c r="P50" s="82"/>
      <c r="Q50" s="82"/>
      <c r="R50" s="82"/>
      <c r="S50" s="82"/>
      <c r="T50" s="82"/>
      <c r="U50" s="82"/>
      <c r="V50" s="82"/>
      <c r="W50" s="82"/>
      <c r="X50" s="82"/>
      <c r="Y50" s="82"/>
      <c r="Z50" s="82"/>
      <c r="AA50" s="82"/>
      <c r="AB50" s="82"/>
      <c r="AC50" s="82"/>
      <c r="AD50" s="82"/>
      <c r="AE50" s="82"/>
      <c r="AF50" s="82"/>
      <c r="AG50" s="82"/>
      <c r="AH50" s="82"/>
      <c r="AI50" s="82"/>
      <c r="AJ50" s="82"/>
      <c r="AK50" s="82"/>
      <c r="AL50" s="82"/>
      <c r="AM50" s="82"/>
      <c r="AN50" s="82"/>
      <c r="AO50" s="82"/>
      <c r="AP50" s="82"/>
      <c r="AQ50" s="82"/>
      <c r="AR50" s="82"/>
      <c r="AS50" s="82"/>
      <c r="AT50" s="82"/>
      <c r="AU50" s="82"/>
      <c r="AV50" s="82"/>
      <c r="AW50" s="82"/>
      <c r="AX50" s="82"/>
      <c r="AY50" s="82"/>
      <c r="AZ50" s="94"/>
      <c r="BX50" s="257" t="s">
        <v>70</v>
      </c>
      <c r="BY50" s="257"/>
      <c r="BZ50" s="257"/>
      <c r="CA50" s="257"/>
      <c r="CB50" s="257"/>
      <c r="CC50" s="25"/>
      <c r="CD50" s="257" t="s">
        <v>70</v>
      </c>
      <c r="CE50" s="257"/>
      <c r="CF50" s="257"/>
      <c r="CG50" s="257"/>
      <c r="CH50" s="257"/>
      <c r="CI50" s="25"/>
      <c r="CJ50" s="257" t="s">
        <v>180</v>
      </c>
      <c r="CK50" s="257"/>
      <c r="CL50" s="257"/>
      <c r="CM50" s="257"/>
      <c r="CN50" s="257"/>
      <c r="CO50" s="25"/>
      <c r="CP50" s="257" t="s">
        <v>180</v>
      </c>
      <c r="CQ50" s="257"/>
      <c r="CR50" s="257"/>
      <c r="CS50" s="257"/>
      <c r="CT50" s="257"/>
      <c r="CV50" s="257" t="s">
        <v>71</v>
      </c>
      <c r="CW50" s="257"/>
      <c r="CX50" s="257"/>
      <c r="CY50" s="257"/>
      <c r="CZ50" s="257"/>
      <c r="DB50" s="251" t="s">
        <v>191</v>
      </c>
      <c r="DC50" s="251"/>
      <c r="DD50" s="251" t="s">
        <v>158</v>
      </c>
      <c r="DE50" s="251"/>
    </row>
    <row r="51" spans="1:117" ht="13.7" customHeight="1">
      <c r="B51" s="93"/>
      <c r="C51" s="82"/>
      <c r="D51" s="71"/>
      <c r="E51" s="71"/>
      <c r="F51" s="286" t="s">
        <v>27</v>
      </c>
      <c r="G51" s="286"/>
      <c r="H51" s="286"/>
      <c r="I51" s="286"/>
      <c r="J51" s="286"/>
      <c r="K51" s="286"/>
      <c r="L51" s="286" t="s">
        <v>28</v>
      </c>
      <c r="M51" s="286"/>
      <c r="N51" s="286"/>
      <c r="O51" s="286"/>
      <c r="P51" s="286"/>
      <c r="Q51" s="286"/>
      <c r="R51" s="286"/>
      <c r="S51" s="286" t="s">
        <v>72</v>
      </c>
      <c r="T51" s="286"/>
      <c r="U51" s="286"/>
      <c r="V51" s="286"/>
      <c r="W51" s="286"/>
      <c r="X51" s="286" t="s">
        <v>73</v>
      </c>
      <c r="Y51" s="286"/>
      <c r="Z51" s="286"/>
      <c r="AA51" s="286"/>
      <c r="AB51" s="286"/>
      <c r="AC51" s="286"/>
      <c r="AD51" s="286"/>
      <c r="AE51" s="286"/>
      <c r="AF51" s="286"/>
      <c r="AG51" s="286"/>
      <c r="AH51" s="286"/>
      <c r="AI51" s="286"/>
      <c r="AJ51" s="286"/>
      <c r="AK51" s="286"/>
      <c r="AL51" s="286"/>
      <c r="AM51" s="286" t="s">
        <v>74</v>
      </c>
      <c r="AN51" s="286"/>
      <c r="AO51" s="286"/>
      <c r="AP51" s="286"/>
      <c r="AQ51" s="286"/>
      <c r="AR51" s="286" t="s">
        <v>29</v>
      </c>
      <c r="AS51" s="286"/>
      <c r="AT51" s="286"/>
      <c r="AU51" s="286"/>
      <c r="AV51" s="286"/>
      <c r="AW51" s="82"/>
      <c r="AX51" s="82"/>
      <c r="AY51" s="82"/>
      <c r="AZ51" s="94"/>
      <c r="BB51" s="231" t="s">
        <v>188</v>
      </c>
      <c r="BC51" s="232"/>
      <c r="BD51" s="232"/>
      <c r="BE51" s="232"/>
      <c r="BF51" s="233"/>
      <c r="BG51" s="275" t="s">
        <v>138</v>
      </c>
      <c r="BH51" s="275"/>
      <c r="BI51" s="275"/>
      <c r="BJ51" s="275"/>
      <c r="BK51" s="275"/>
      <c r="BL51" s="275" t="s">
        <v>139</v>
      </c>
      <c r="BM51" s="275"/>
      <c r="BN51" s="275"/>
      <c r="BO51" s="275"/>
      <c r="BP51" s="275"/>
      <c r="BQ51" s="275" t="s">
        <v>144</v>
      </c>
      <c r="BR51" s="275"/>
      <c r="BS51" s="275"/>
      <c r="BT51" s="275"/>
      <c r="BU51" s="275"/>
      <c r="BX51" s="256" t="s">
        <v>75</v>
      </c>
      <c r="BY51" s="252" t="s">
        <v>137</v>
      </c>
      <c r="BZ51" s="253"/>
      <c r="CA51" s="256" t="s">
        <v>76</v>
      </c>
      <c r="CB51" s="256" t="s">
        <v>77</v>
      </c>
      <c r="CC51" s="23"/>
      <c r="CD51" s="256" t="s">
        <v>75</v>
      </c>
      <c r="CE51" s="252" t="s">
        <v>137</v>
      </c>
      <c r="CF51" s="253"/>
      <c r="CG51" s="256" t="s">
        <v>76</v>
      </c>
      <c r="CH51" s="256" t="s">
        <v>77</v>
      </c>
      <c r="CI51" s="23"/>
      <c r="CJ51" s="256" t="s">
        <v>75</v>
      </c>
      <c r="CK51" s="252" t="s">
        <v>137</v>
      </c>
      <c r="CL51" s="253"/>
      <c r="CM51" s="256" t="s">
        <v>76</v>
      </c>
      <c r="CN51" s="256" t="s">
        <v>77</v>
      </c>
      <c r="CO51" s="23"/>
      <c r="CP51" s="256" t="s">
        <v>75</v>
      </c>
      <c r="CQ51" s="252" t="s">
        <v>137</v>
      </c>
      <c r="CR51" s="253"/>
      <c r="CS51" s="256" t="s">
        <v>76</v>
      </c>
      <c r="CT51" s="256" t="s">
        <v>77</v>
      </c>
      <c r="CU51" s="22"/>
      <c r="CV51" s="133" t="s">
        <v>78</v>
      </c>
      <c r="CW51" s="21" t="s">
        <v>79</v>
      </c>
      <c r="CX51" s="133" t="s">
        <v>80</v>
      </c>
      <c r="CY51" s="256" t="s">
        <v>81</v>
      </c>
      <c r="CZ51" s="256"/>
      <c r="DA51" s="22"/>
      <c r="DB51" s="251"/>
      <c r="DC51" s="251"/>
      <c r="DD51" s="251"/>
      <c r="DE51" s="251"/>
    </row>
    <row r="52" spans="1:117" ht="13.5">
      <c r="B52" s="93"/>
      <c r="C52" s="82"/>
      <c r="D52" s="71"/>
      <c r="E52" s="71"/>
      <c r="F52" s="286"/>
      <c r="G52" s="286"/>
      <c r="H52" s="286"/>
      <c r="I52" s="286"/>
      <c r="J52" s="286"/>
      <c r="K52" s="286"/>
      <c r="L52" s="286"/>
      <c r="M52" s="286"/>
      <c r="N52" s="286"/>
      <c r="O52" s="286"/>
      <c r="P52" s="286"/>
      <c r="Q52" s="286"/>
      <c r="R52" s="286"/>
      <c r="S52" s="286"/>
      <c r="T52" s="286"/>
      <c r="U52" s="286"/>
      <c r="V52" s="286"/>
      <c r="W52" s="286"/>
      <c r="X52" s="286">
        <v>1</v>
      </c>
      <c r="Y52" s="286"/>
      <c r="Z52" s="286"/>
      <c r="AA52" s="286"/>
      <c r="AB52" s="286"/>
      <c r="AC52" s="476">
        <v>2</v>
      </c>
      <c r="AD52" s="477"/>
      <c r="AE52" s="477"/>
      <c r="AF52" s="477"/>
      <c r="AG52" s="478"/>
      <c r="AH52" s="286">
        <v>3</v>
      </c>
      <c r="AI52" s="286"/>
      <c r="AJ52" s="286"/>
      <c r="AK52" s="286"/>
      <c r="AL52" s="286"/>
      <c r="AM52" s="286"/>
      <c r="AN52" s="286"/>
      <c r="AO52" s="286"/>
      <c r="AP52" s="286"/>
      <c r="AQ52" s="286"/>
      <c r="AR52" s="286"/>
      <c r="AS52" s="286"/>
      <c r="AT52" s="286"/>
      <c r="AU52" s="286"/>
      <c r="AV52" s="286"/>
      <c r="AW52" s="82"/>
      <c r="AX52" s="82"/>
      <c r="AY52" s="82"/>
      <c r="AZ52" s="94"/>
      <c r="BB52" s="234"/>
      <c r="BC52" s="235"/>
      <c r="BD52" s="235"/>
      <c r="BE52" s="235"/>
      <c r="BF52" s="236"/>
      <c r="BG52" s="275"/>
      <c r="BH52" s="275"/>
      <c r="BI52" s="275"/>
      <c r="BJ52" s="275"/>
      <c r="BK52" s="275"/>
      <c r="BL52" s="275"/>
      <c r="BM52" s="275"/>
      <c r="BN52" s="275"/>
      <c r="BO52" s="275"/>
      <c r="BP52" s="275"/>
      <c r="BQ52" s="275"/>
      <c r="BR52" s="275"/>
      <c r="BS52" s="275"/>
      <c r="BT52" s="275"/>
      <c r="BU52" s="275"/>
      <c r="BX52" s="256"/>
      <c r="BY52" s="254"/>
      <c r="BZ52" s="255"/>
      <c r="CA52" s="256"/>
      <c r="CB52" s="256"/>
      <c r="CC52" s="23"/>
      <c r="CD52" s="256"/>
      <c r="CE52" s="254"/>
      <c r="CF52" s="255"/>
      <c r="CG52" s="256"/>
      <c r="CH52" s="256"/>
      <c r="CI52" s="23"/>
      <c r="CJ52" s="256"/>
      <c r="CK52" s="254"/>
      <c r="CL52" s="255"/>
      <c r="CM52" s="256"/>
      <c r="CN52" s="256"/>
      <c r="CO52" s="23"/>
      <c r="CP52" s="256"/>
      <c r="CQ52" s="254"/>
      <c r="CR52" s="255"/>
      <c r="CS52" s="256"/>
      <c r="CT52" s="256"/>
      <c r="CU52" s="22"/>
      <c r="CV52" s="133" t="s">
        <v>82</v>
      </c>
      <c r="CW52" s="21" t="s">
        <v>83</v>
      </c>
      <c r="CX52" s="133" t="s">
        <v>84</v>
      </c>
      <c r="CY52" s="256" t="s">
        <v>85</v>
      </c>
      <c r="CZ52" s="256"/>
      <c r="DA52" s="22"/>
      <c r="DB52" s="251"/>
      <c r="DC52" s="251"/>
      <c r="DD52" s="251"/>
      <c r="DE52" s="251"/>
    </row>
    <row r="53" spans="1:117" ht="13.7" customHeight="1">
      <c r="B53" s="93"/>
      <c r="C53" s="82"/>
      <c r="D53" s="82"/>
      <c r="E53" s="82"/>
      <c r="F53" s="341" t="s">
        <v>91</v>
      </c>
      <c r="G53" s="342"/>
      <c r="H53" s="342"/>
      <c r="I53" s="342"/>
      <c r="J53" s="342"/>
      <c r="K53" s="343"/>
      <c r="L53" s="313">
        <v>0</v>
      </c>
      <c r="M53" s="314"/>
      <c r="N53" s="314"/>
      <c r="O53" s="314"/>
      <c r="P53" s="281" t="s">
        <v>92</v>
      </c>
      <c r="Q53" s="281"/>
      <c r="R53" s="282"/>
      <c r="S53" s="395" t="s">
        <v>30</v>
      </c>
      <c r="T53" s="396"/>
      <c r="U53" s="396"/>
      <c r="V53" s="396"/>
      <c r="W53" s="397"/>
      <c r="X53" s="269"/>
      <c r="Y53" s="270"/>
      <c r="Z53" s="270"/>
      <c r="AA53" s="270"/>
      <c r="AB53" s="271"/>
      <c r="AC53" s="269"/>
      <c r="AD53" s="270"/>
      <c r="AE53" s="270"/>
      <c r="AF53" s="270"/>
      <c r="AG53" s="271"/>
      <c r="AH53" s="269"/>
      <c r="AI53" s="270"/>
      <c r="AJ53" s="270"/>
      <c r="AK53" s="270"/>
      <c r="AL53" s="271"/>
      <c r="AM53" s="272" t="e">
        <f>AVERAGE(X53:AL53)</f>
        <v>#DIV/0!</v>
      </c>
      <c r="AN53" s="273"/>
      <c r="AO53" s="273"/>
      <c r="AP53" s="273"/>
      <c r="AQ53" s="274"/>
      <c r="AR53" s="272" t="e">
        <f t="shared" ref="AR53:AR56" si="0">AM53-L53</f>
        <v>#DIV/0!</v>
      </c>
      <c r="AS53" s="273"/>
      <c r="AT53" s="273"/>
      <c r="AU53" s="273"/>
      <c r="AV53" s="274"/>
      <c r="AW53" s="82"/>
      <c r="AX53" s="82"/>
      <c r="AY53" s="82"/>
      <c r="AZ53" s="94"/>
      <c r="BB53" s="239" t="e">
        <f>ABS(0.05%*AM53)+20*CK53</f>
        <v>#DIV/0!</v>
      </c>
      <c r="BC53" s="239"/>
      <c r="BD53" s="239"/>
      <c r="BE53" s="239"/>
      <c r="BF53" s="239"/>
      <c r="BG53" s="239">
        <v>0.02</v>
      </c>
      <c r="BH53" s="239"/>
      <c r="BI53" s="239"/>
      <c r="BJ53" s="239"/>
      <c r="BK53" s="239"/>
      <c r="BL53" s="482">
        <v>-0.02</v>
      </c>
      <c r="BM53" s="239"/>
      <c r="BN53" s="239"/>
      <c r="BO53" s="239"/>
      <c r="BP53" s="239"/>
      <c r="BQ53" s="265" t="e">
        <f t="shared" ref="BQ53:BQ62" si="1">IF(AND(AVERAGE(X53:AL53)&lt;=BG53,AVERAGE(X53:AL53)&gt;=BL53),"PASS","FAIL")</f>
        <v>#DIV/0!</v>
      </c>
      <c r="BR53" s="265"/>
      <c r="BS53" s="265"/>
      <c r="BT53" s="265"/>
      <c r="BU53" s="265"/>
      <c r="BX53" s="20" t="s">
        <v>86</v>
      </c>
      <c r="BY53" s="17">
        <v>3.1E-4</v>
      </c>
      <c r="BZ53" s="19" t="str">
        <f t="shared" ref="BZ53:BZ62" si="2">P53</f>
        <v>mV</v>
      </c>
      <c r="CA53" s="20">
        <v>2</v>
      </c>
      <c r="CB53" s="16">
        <f t="shared" ref="CB53:CB56" si="3">BY53/CA53</f>
        <v>1.55E-4</v>
      </c>
      <c r="CC53" s="6"/>
      <c r="CD53" s="20" t="s">
        <v>170</v>
      </c>
      <c r="CE53" s="15">
        <v>0</v>
      </c>
      <c r="CF53" s="19" t="str">
        <f t="shared" ref="CF53:CF62" si="4">P53</f>
        <v>mV</v>
      </c>
      <c r="CG53" s="18">
        <f t="shared" ref="CG53:CG56" si="5">SQRT(3)</f>
        <v>1.7320508075688772</v>
      </c>
      <c r="CH53" s="16">
        <f t="shared" ref="CH53:CH56" si="6">CE53/CG53</f>
        <v>0</v>
      </c>
      <c r="CI53" s="6"/>
      <c r="CJ53" s="20" t="s">
        <v>87</v>
      </c>
      <c r="CK53" s="20">
        <v>1E-3</v>
      </c>
      <c r="CL53" s="19" t="str">
        <f t="shared" ref="CL53:CL62" si="7">P53</f>
        <v>mV</v>
      </c>
      <c r="CM53" s="18">
        <f>SQRT(12)</f>
        <v>3.4641016151377544</v>
      </c>
      <c r="CN53" s="16">
        <f>CK53/CM53</f>
        <v>2.886751345948129E-4</v>
      </c>
      <c r="CO53" s="6"/>
      <c r="CP53" s="20" t="s">
        <v>88</v>
      </c>
      <c r="CQ53" s="17" t="e">
        <f t="shared" ref="CQ53:CQ62" si="8">STDEV(X53:AL53)</f>
        <v>#DIV/0!</v>
      </c>
      <c r="CR53" s="19" t="str">
        <f t="shared" ref="CR53:CR62" si="9">P53</f>
        <v>mV</v>
      </c>
      <c r="CS53" s="18">
        <f>SQRT(3)</f>
        <v>1.7320508075688772</v>
      </c>
      <c r="CT53" s="17" t="e">
        <f>CQ53/CS53</f>
        <v>#DIV/0!</v>
      </c>
      <c r="CU53" s="7"/>
      <c r="CV53" s="16" t="e">
        <f>SQRT(SUMSQ(CT53,CN53,CH53,CB53))</f>
        <v>#DIV/0!</v>
      </c>
      <c r="CW53" s="14" t="e">
        <f>(CV53^4)/(((CT53^4)/2)+((CN53^4)/200)+((CH53^4)/200)+((CB53^4)/200))</f>
        <v>#DIV/0!</v>
      </c>
      <c r="CX53" s="14" t="e">
        <f t="shared" ref="CX53:CX56" si="10">ROUND(TINV(0.05,CW53),0)</f>
        <v>#DIV/0!</v>
      </c>
      <c r="CY53" s="28" t="e">
        <f t="shared" ref="CY53:CY56" si="11">(CV53*CX53)</f>
        <v>#DIV/0!</v>
      </c>
      <c r="CZ53" s="12" t="str">
        <f t="shared" ref="CZ53:CZ62" si="12">P53</f>
        <v>mV</v>
      </c>
      <c r="DA53" s="7"/>
      <c r="DB53" s="122">
        <v>7.7999999999999999E-4</v>
      </c>
      <c r="DC53" s="123" t="str">
        <f>CZ53</f>
        <v>mV</v>
      </c>
      <c r="DD53" s="124" t="e">
        <f>MAX(DB53,CY53)</f>
        <v>#DIV/0!</v>
      </c>
      <c r="DE53" s="123" t="str">
        <f t="shared" ref="DE53:DE62" si="13">DC53</f>
        <v>mV</v>
      </c>
    </row>
    <row r="54" spans="1:117" ht="13.7" customHeight="1">
      <c r="B54" s="93"/>
      <c r="C54" s="82"/>
      <c r="D54" s="82"/>
      <c r="E54" s="82"/>
      <c r="F54" s="368"/>
      <c r="G54" s="369"/>
      <c r="H54" s="369"/>
      <c r="I54" s="369"/>
      <c r="J54" s="369"/>
      <c r="K54" s="370"/>
      <c r="L54" s="313">
        <v>2.5000000000000001E-2</v>
      </c>
      <c r="M54" s="314"/>
      <c r="N54" s="314"/>
      <c r="O54" s="314"/>
      <c r="P54" s="281" t="s">
        <v>92</v>
      </c>
      <c r="Q54" s="281"/>
      <c r="R54" s="282"/>
      <c r="S54" s="395" t="s">
        <v>30</v>
      </c>
      <c r="T54" s="396"/>
      <c r="U54" s="396"/>
      <c r="V54" s="396"/>
      <c r="W54" s="397"/>
      <c r="X54" s="269"/>
      <c r="Y54" s="270"/>
      <c r="Z54" s="270"/>
      <c r="AA54" s="270"/>
      <c r="AB54" s="271"/>
      <c r="AC54" s="269"/>
      <c r="AD54" s="270"/>
      <c r="AE54" s="270"/>
      <c r="AF54" s="270"/>
      <c r="AG54" s="271"/>
      <c r="AH54" s="269"/>
      <c r="AI54" s="270"/>
      <c r="AJ54" s="270"/>
      <c r="AK54" s="270"/>
      <c r="AL54" s="271"/>
      <c r="AM54" s="272" t="e">
        <f t="shared" ref="AM54:AM62" si="14">AVERAGE(X54:AL54)</f>
        <v>#DIV/0!</v>
      </c>
      <c r="AN54" s="273"/>
      <c r="AO54" s="273"/>
      <c r="AP54" s="273"/>
      <c r="AQ54" s="274"/>
      <c r="AR54" s="272" t="e">
        <f t="shared" si="0"/>
        <v>#DIV/0!</v>
      </c>
      <c r="AS54" s="273"/>
      <c r="AT54" s="273"/>
      <c r="AU54" s="273"/>
      <c r="AV54" s="274"/>
      <c r="AW54" s="82"/>
      <c r="AX54" s="82"/>
      <c r="AY54" s="82"/>
      <c r="AZ54" s="94"/>
      <c r="BB54" s="239" t="e">
        <f t="shared" ref="BB54:BB56" si="15">ABS(0.05%*AM54)+20*CK54</f>
        <v>#DIV/0!</v>
      </c>
      <c r="BC54" s="239"/>
      <c r="BD54" s="239"/>
      <c r="BE54" s="239"/>
      <c r="BF54" s="239"/>
      <c r="BG54" s="239">
        <v>4.4999999999999998E-2</v>
      </c>
      <c r="BH54" s="239"/>
      <c r="BI54" s="239"/>
      <c r="BJ54" s="239"/>
      <c r="BK54" s="239"/>
      <c r="BL54" s="239">
        <v>5.0000000000000001E-3</v>
      </c>
      <c r="BM54" s="239"/>
      <c r="BN54" s="239"/>
      <c r="BO54" s="239"/>
      <c r="BP54" s="239"/>
      <c r="BQ54" s="265" t="e">
        <f t="shared" si="1"/>
        <v>#DIV/0!</v>
      </c>
      <c r="BR54" s="265"/>
      <c r="BS54" s="265"/>
      <c r="BT54" s="265"/>
      <c r="BU54" s="265"/>
      <c r="BX54" s="20" t="s">
        <v>86</v>
      </c>
      <c r="BY54" s="17">
        <v>7.6999999999999996E-4</v>
      </c>
      <c r="BZ54" s="19" t="str">
        <f t="shared" si="2"/>
        <v>mV</v>
      </c>
      <c r="CA54" s="20">
        <v>2</v>
      </c>
      <c r="CB54" s="16">
        <f t="shared" si="3"/>
        <v>3.8499999999999998E-4</v>
      </c>
      <c r="CC54" s="6"/>
      <c r="CD54" s="20" t="s">
        <v>170</v>
      </c>
      <c r="CE54" s="15">
        <v>0</v>
      </c>
      <c r="CF54" s="19" t="str">
        <f t="shared" si="4"/>
        <v>mV</v>
      </c>
      <c r="CG54" s="18">
        <f t="shared" si="5"/>
        <v>1.7320508075688772</v>
      </c>
      <c r="CH54" s="16">
        <f t="shared" si="6"/>
        <v>0</v>
      </c>
      <c r="CI54" s="6"/>
      <c r="CJ54" s="20" t="s">
        <v>87</v>
      </c>
      <c r="CK54" s="20">
        <v>1E-3</v>
      </c>
      <c r="CL54" s="19" t="str">
        <f t="shared" si="7"/>
        <v>mV</v>
      </c>
      <c r="CM54" s="18">
        <f t="shared" ref="CM54:CM62" si="16">SQRT(12)</f>
        <v>3.4641016151377544</v>
      </c>
      <c r="CN54" s="16">
        <f t="shared" ref="CN54:CN62" si="17">CK54/CM54</f>
        <v>2.886751345948129E-4</v>
      </c>
      <c r="CO54" s="6"/>
      <c r="CP54" s="20" t="s">
        <v>88</v>
      </c>
      <c r="CQ54" s="17" t="e">
        <f t="shared" si="8"/>
        <v>#DIV/0!</v>
      </c>
      <c r="CR54" s="19" t="str">
        <f t="shared" si="9"/>
        <v>mV</v>
      </c>
      <c r="CS54" s="18">
        <f t="shared" ref="CS54:CS62" si="18">SQRT(3)</f>
        <v>1.7320508075688772</v>
      </c>
      <c r="CT54" s="17" t="e">
        <f t="shared" ref="CT54:CT62" si="19">CQ54/CS54</f>
        <v>#DIV/0!</v>
      </c>
      <c r="CU54" s="7"/>
      <c r="CV54" s="16" t="e">
        <f t="shared" ref="CV54:CV62" si="20">SQRT(SUMSQ(CT54,CN54,CH54,CB54))</f>
        <v>#DIV/0!</v>
      </c>
      <c r="CW54" s="14" t="e">
        <f t="shared" ref="CW54:CW62" si="21">(CV54^4)/(((CT54^4)/2)+((CN54^4)/200)+((CH54^4)/200)+((CB54^4)/200))</f>
        <v>#DIV/0!</v>
      </c>
      <c r="CX54" s="14" t="e">
        <f t="shared" si="10"/>
        <v>#DIV/0!</v>
      </c>
      <c r="CY54" s="28" t="e">
        <f t="shared" si="11"/>
        <v>#DIV/0!</v>
      </c>
      <c r="CZ54" s="12" t="str">
        <f t="shared" si="12"/>
        <v>mV</v>
      </c>
      <c r="DA54" s="7"/>
      <c r="DB54" s="122">
        <v>7.7999999999999999E-4</v>
      </c>
      <c r="DC54" s="123" t="str">
        <f t="shared" ref="DC54" si="22">CZ54</f>
        <v>mV</v>
      </c>
      <c r="DD54" s="124" t="e">
        <f t="shared" ref="DD54:DD62" si="23">MAX(DB54,CY54)</f>
        <v>#DIV/0!</v>
      </c>
      <c r="DE54" s="123" t="str">
        <f t="shared" si="13"/>
        <v>mV</v>
      </c>
    </row>
    <row r="55" spans="1:117" ht="13.7" customHeight="1">
      <c r="B55" s="93"/>
      <c r="C55" s="82"/>
      <c r="D55" s="82"/>
      <c r="E55" s="82"/>
      <c r="F55" s="368"/>
      <c r="G55" s="369"/>
      <c r="H55" s="369"/>
      <c r="I55" s="369"/>
      <c r="J55" s="369"/>
      <c r="K55" s="370"/>
      <c r="L55" s="313">
        <v>-2.5000000000000001E-2</v>
      </c>
      <c r="M55" s="314"/>
      <c r="N55" s="314"/>
      <c r="O55" s="314"/>
      <c r="P55" s="281" t="s">
        <v>92</v>
      </c>
      <c r="Q55" s="281"/>
      <c r="R55" s="282"/>
      <c r="S55" s="395" t="s">
        <v>30</v>
      </c>
      <c r="T55" s="396"/>
      <c r="U55" s="396"/>
      <c r="V55" s="396"/>
      <c r="W55" s="397"/>
      <c r="X55" s="269"/>
      <c r="Y55" s="270"/>
      <c r="Z55" s="270"/>
      <c r="AA55" s="270"/>
      <c r="AB55" s="271"/>
      <c r="AC55" s="269"/>
      <c r="AD55" s="270"/>
      <c r="AE55" s="270"/>
      <c r="AF55" s="270"/>
      <c r="AG55" s="271"/>
      <c r="AH55" s="269"/>
      <c r="AI55" s="270"/>
      <c r="AJ55" s="270"/>
      <c r="AK55" s="270"/>
      <c r="AL55" s="271"/>
      <c r="AM55" s="272" t="e">
        <f t="shared" si="14"/>
        <v>#DIV/0!</v>
      </c>
      <c r="AN55" s="273"/>
      <c r="AO55" s="273"/>
      <c r="AP55" s="273"/>
      <c r="AQ55" s="274"/>
      <c r="AR55" s="272" t="e">
        <f t="shared" si="0"/>
        <v>#DIV/0!</v>
      </c>
      <c r="AS55" s="273"/>
      <c r="AT55" s="273"/>
      <c r="AU55" s="273"/>
      <c r="AV55" s="274"/>
      <c r="AW55" s="82"/>
      <c r="AX55" s="82"/>
      <c r="AY55" s="82"/>
      <c r="AZ55" s="94"/>
      <c r="BB55" s="239" t="e">
        <f t="shared" si="15"/>
        <v>#DIV/0!</v>
      </c>
      <c r="BC55" s="239"/>
      <c r="BD55" s="239"/>
      <c r="BE55" s="239"/>
      <c r="BF55" s="239"/>
      <c r="BG55" s="239">
        <v>-5.0000000000000001E-3</v>
      </c>
      <c r="BH55" s="239"/>
      <c r="BI55" s="239"/>
      <c r="BJ55" s="239"/>
      <c r="BK55" s="239"/>
      <c r="BL55" s="239">
        <v>-4.4999999999999998E-2</v>
      </c>
      <c r="BM55" s="239"/>
      <c r="BN55" s="239"/>
      <c r="BO55" s="239"/>
      <c r="BP55" s="239"/>
      <c r="BQ55" s="265" t="e">
        <f t="shared" si="1"/>
        <v>#DIV/0!</v>
      </c>
      <c r="BR55" s="265"/>
      <c r="BS55" s="265"/>
      <c r="BT55" s="265"/>
      <c r="BU55" s="265"/>
      <c r="BX55" s="20" t="s">
        <v>86</v>
      </c>
      <c r="BY55" s="17">
        <v>7.6999999999999996E-4</v>
      </c>
      <c r="BZ55" s="19" t="str">
        <f t="shared" si="2"/>
        <v>mV</v>
      </c>
      <c r="CA55" s="20">
        <v>2</v>
      </c>
      <c r="CB55" s="16">
        <f t="shared" si="3"/>
        <v>3.8499999999999998E-4</v>
      </c>
      <c r="CC55" s="6"/>
      <c r="CD55" s="20" t="s">
        <v>170</v>
      </c>
      <c r="CE55" s="15">
        <v>0</v>
      </c>
      <c r="CF55" s="19" t="str">
        <f t="shared" si="4"/>
        <v>mV</v>
      </c>
      <c r="CG55" s="18">
        <f t="shared" si="5"/>
        <v>1.7320508075688772</v>
      </c>
      <c r="CH55" s="16">
        <f t="shared" si="6"/>
        <v>0</v>
      </c>
      <c r="CI55" s="6"/>
      <c r="CJ55" s="20" t="s">
        <v>87</v>
      </c>
      <c r="CK55" s="20">
        <v>1E-3</v>
      </c>
      <c r="CL55" s="19" t="str">
        <f t="shared" si="7"/>
        <v>mV</v>
      </c>
      <c r="CM55" s="18">
        <f t="shared" si="16"/>
        <v>3.4641016151377544</v>
      </c>
      <c r="CN55" s="16">
        <f t="shared" si="17"/>
        <v>2.886751345948129E-4</v>
      </c>
      <c r="CO55" s="6"/>
      <c r="CP55" s="20" t="s">
        <v>88</v>
      </c>
      <c r="CQ55" s="17" t="e">
        <f t="shared" si="8"/>
        <v>#DIV/0!</v>
      </c>
      <c r="CR55" s="19" t="str">
        <f t="shared" si="9"/>
        <v>mV</v>
      </c>
      <c r="CS55" s="18">
        <f t="shared" si="18"/>
        <v>1.7320508075688772</v>
      </c>
      <c r="CT55" s="17" t="e">
        <f t="shared" si="19"/>
        <v>#DIV/0!</v>
      </c>
      <c r="CU55" s="7"/>
      <c r="CV55" s="16" t="e">
        <f t="shared" si="20"/>
        <v>#DIV/0!</v>
      </c>
      <c r="CW55" s="14" t="e">
        <f t="shared" si="21"/>
        <v>#DIV/0!</v>
      </c>
      <c r="CX55" s="14" t="e">
        <f t="shared" si="10"/>
        <v>#DIV/0!</v>
      </c>
      <c r="CY55" s="28" t="e">
        <f t="shared" si="11"/>
        <v>#DIV/0!</v>
      </c>
      <c r="CZ55" s="12" t="str">
        <f t="shared" si="12"/>
        <v>mV</v>
      </c>
      <c r="DA55" s="7"/>
      <c r="DB55" s="122">
        <v>7.7999999999999999E-4</v>
      </c>
      <c r="DC55" s="123" t="str">
        <f t="shared" ref="DC55:DC56" si="24">CZ55</f>
        <v>mV</v>
      </c>
      <c r="DD55" s="124" t="e">
        <f t="shared" si="23"/>
        <v>#DIV/0!</v>
      </c>
      <c r="DE55" s="123" t="str">
        <f t="shared" si="13"/>
        <v>mV</v>
      </c>
    </row>
    <row r="56" spans="1:117" ht="13.7" customHeight="1">
      <c r="B56" s="93"/>
      <c r="C56" s="82"/>
      <c r="D56" s="82"/>
      <c r="E56" s="82"/>
      <c r="F56" s="344"/>
      <c r="G56" s="345"/>
      <c r="H56" s="345"/>
      <c r="I56" s="345"/>
      <c r="J56" s="345"/>
      <c r="K56" s="346"/>
      <c r="L56" s="313">
        <v>50</v>
      </c>
      <c r="M56" s="314"/>
      <c r="N56" s="314"/>
      <c r="O56" s="314"/>
      <c r="P56" s="281" t="s">
        <v>92</v>
      </c>
      <c r="Q56" s="281"/>
      <c r="R56" s="282"/>
      <c r="S56" s="395" t="s">
        <v>30</v>
      </c>
      <c r="T56" s="396"/>
      <c r="U56" s="396"/>
      <c r="V56" s="396"/>
      <c r="W56" s="397"/>
      <c r="X56" s="269"/>
      <c r="Y56" s="270"/>
      <c r="Z56" s="270"/>
      <c r="AA56" s="270"/>
      <c r="AB56" s="271"/>
      <c r="AC56" s="269"/>
      <c r="AD56" s="270"/>
      <c r="AE56" s="270"/>
      <c r="AF56" s="270"/>
      <c r="AG56" s="271"/>
      <c r="AH56" s="269"/>
      <c r="AI56" s="270"/>
      <c r="AJ56" s="270"/>
      <c r="AK56" s="270"/>
      <c r="AL56" s="271"/>
      <c r="AM56" s="272" t="e">
        <f t="shared" si="14"/>
        <v>#DIV/0!</v>
      </c>
      <c r="AN56" s="273"/>
      <c r="AO56" s="273"/>
      <c r="AP56" s="273"/>
      <c r="AQ56" s="274"/>
      <c r="AR56" s="272" t="e">
        <f t="shared" si="0"/>
        <v>#DIV/0!</v>
      </c>
      <c r="AS56" s="273"/>
      <c r="AT56" s="273"/>
      <c r="AU56" s="273"/>
      <c r="AV56" s="274"/>
      <c r="AW56" s="82"/>
      <c r="AX56" s="82"/>
      <c r="AY56" s="82"/>
      <c r="AZ56" s="94"/>
      <c r="BB56" s="239" t="e">
        <f t="shared" si="15"/>
        <v>#DIV/0!</v>
      </c>
      <c r="BC56" s="239"/>
      <c r="BD56" s="239"/>
      <c r="BE56" s="239"/>
      <c r="BF56" s="239"/>
      <c r="BG56" s="239">
        <v>50.045000000000002</v>
      </c>
      <c r="BH56" s="239"/>
      <c r="BI56" s="239"/>
      <c r="BJ56" s="239"/>
      <c r="BK56" s="239"/>
      <c r="BL56" s="239">
        <v>49.954999999999998</v>
      </c>
      <c r="BM56" s="239"/>
      <c r="BN56" s="239"/>
      <c r="BO56" s="239"/>
      <c r="BP56" s="239"/>
      <c r="BQ56" s="265" t="e">
        <f t="shared" si="1"/>
        <v>#DIV/0!</v>
      </c>
      <c r="BR56" s="265"/>
      <c r="BS56" s="265"/>
      <c r="BT56" s="265"/>
      <c r="BU56" s="265"/>
      <c r="BX56" s="20" t="s">
        <v>86</v>
      </c>
      <c r="BY56" s="17">
        <v>7.6999999999999996E-4</v>
      </c>
      <c r="BZ56" s="19" t="str">
        <f t="shared" si="2"/>
        <v>mV</v>
      </c>
      <c r="CA56" s="20">
        <v>2</v>
      </c>
      <c r="CB56" s="16">
        <f t="shared" si="3"/>
        <v>3.8499999999999998E-4</v>
      </c>
      <c r="CC56" s="6"/>
      <c r="CD56" s="20" t="s">
        <v>170</v>
      </c>
      <c r="CE56" s="15">
        <v>0</v>
      </c>
      <c r="CF56" s="19" t="str">
        <f t="shared" si="4"/>
        <v>mV</v>
      </c>
      <c r="CG56" s="18">
        <f t="shared" si="5"/>
        <v>1.7320508075688772</v>
      </c>
      <c r="CH56" s="16">
        <f t="shared" si="6"/>
        <v>0</v>
      </c>
      <c r="CI56" s="6"/>
      <c r="CJ56" s="20" t="s">
        <v>87</v>
      </c>
      <c r="CK56" s="20">
        <v>1E-3</v>
      </c>
      <c r="CL56" s="19" t="str">
        <f t="shared" si="7"/>
        <v>mV</v>
      </c>
      <c r="CM56" s="18">
        <f t="shared" si="16"/>
        <v>3.4641016151377544</v>
      </c>
      <c r="CN56" s="16">
        <f t="shared" si="17"/>
        <v>2.886751345948129E-4</v>
      </c>
      <c r="CO56" s="6"/>
      <c r="CP56" s="20" t="s">
        <v>88</v>
      </c>
      <c r="CQ56" s="17" t="e">
        <f t="shared" si="8"/>
        <v>#DIV/0!</v>
      </c>
      <c r="CR56" s="19" t="str">
        <f t="shared" si="9"/>
        <v>mV</v>
      </c>
      <c r="CS56" s="18">
        <f t="shared" si="18"/>
        <v>1.7320508075688772</v>
      </c>
      <c r="CT56" s="17" t="e">
        <f t="shared" si="19"/>
        <v>#DIV/0!</v>
      </c>
      <c r="CU56" s="7"/>
      <c r="CV56" s="16" t="e">
        <f t="shared" si="20"/>
        <v>#DIV/0!</v>
      </c>
      <c r="CW56" s="14" t="e">
        <f t="shared" si="21"/>
        <v>#DIV/0!</v>
      </c>
      <c r="CX56" s="14" t="e">
        <f t="shared" si="10"/>
        <v>#DIV/0!</v>
      </c>
      <c r="CY56" s="28" t="e">
        <f t="shared" si="11"/>
        <v>#DIV/0!</v>
      </c>
      <c r="CZ56" s="12" t="str">
        <f t="shared" si="12"/>
        <v>mV</v>
      </c>
      <c r="DA56" s="7"/>
      <c r="DB56" s="122">
        <v>7.7999999999999999E-4</v>
      </c>
      <c r="DC56" s="123" t="str">
        <f t="shared" si="24"/>
        <v>mV</v>
      </c>
      <c r="DD56" s="124" t="e">
        <f t="shared" si="23"/>
        <v>#DIV/0!</v>
      </c>
      <c r="DE56" s="123" t="str">
        <f t="shared" si="13"/>
        <v>mV</v>
      </c>
    </row>
    <row r="57" spans="1:117" ht="13.5">
      <c r="B57" s="93"/>
      <c r="C57" s="82"/>
      <c r="D57" s="82"/>
      <c r="E57" s="82"/>
      <c r="F57" s="341" t="s">
        <v>93</v>
      </c>
      <c r="G57" s="342"/>
      <c r="H57" s="342"/>
      <c r="I57" s="342"/>
      <c r="J57" s="342"/>
      <c r="K57" s="343"/>
      <c r="L57" s="313">
        <v>500</v>
      </c>
      <c r="M57" s="314"/>
      <c r="N57" s="314"/>
      <c r="O57" s="314"/>
      <c r="P57" s="281" t="s">
        <v>92</v>
      </c>
      <c r="Q57" s="281"/>
      <c r="R57" s="282"/>
      <c r="S57" s="278" t="s">
        <v>30</v>
      </c>
      <c r="T57" s="278"/>
      <c r="U57" s="278"/>
      <c r="V57" s="278"/>
      <c r="W57" s="278"/>
      <c r="X57" s="264"/>
      <c r="Y57" s="264"/>
      <c r="Z57" s="264"/>
      <c r="AA57" s="264"/>
      <c r="AB57" s="264"/>
      <c r="AC57" s="264"/>
      <c r="AD57" s="264"/>
      <c r="AE57" s="264"/>
      <c r="AF57" s="264"/>
      <c r="AG57" s="264"/>
      <c r="AH57" s="264"/>
      <c r="AI57" s="264"/>
      <c r="AJ57" s="264"/>
      <c r="AK57" s="264"/>
      <c r="AL57" s="264"/>
      <c r="AM57" s="266" t="e">
        <f t="shared" si="14"/>
        <v>#DIV/0!</v>
      </c>
      <c r="AN57" s="267"/>
      <c r="AO57" s="267"/>
      <c r="AP57" s="267"/>
      <c r="AQ57" s="268"/>
      <c r="AR57" s="259" t="e">
        <f t="shared" ref="AR57:AR62" si="25">AM57-L57</f>
        <v>#DIV/0!</v>
      </c>
      <c r="AS57" s="259"/>
      <c r="AT57" s="259"/>
      <c r="AU57" s="259"/>
      <c r="AV57" s="259"/>
      <c r="AW57" s="82"/>
      <c r="AX57" s="82"/>
      <c r="AY57" s="82"/>
      <c r="AZ57" s="94"/>
      <c r="BB57" s="245" t="e">
        <f>ABS(0.025%*AM57)+2*CK57</f>
        <v>#DIV/0!</v>
      </c>
      <c r="BC57" s="246"/>
      <c r="BD57" s="246"/>
      <c r="BE57" s="246"/>
      <c r="BF57" s="247"/>
      <c r="BG57" s="237">
        <v>500.15</v>
      </c>
      <c r="BH57" s="237"/>
      <c r="BI57" s="237"/>
      <c r="BJ57" s="237"/>
      <c r="BK57" s="237"/>
      <c r="BL57" s="237">
        <v>499.85</v>
      </c>
      <c r="BM57" s="237"/>
      <c r="BN57" s="237"/>
      <c r="BO57" s="237"/>
      <c r="BP57" s="237"/>
      <c r="BQ57" s="265" t="e">
        <f t="shared" si="1"/>
        <v>#DIV/0!</v>
      </c>
      <c r="BR57" s="265"/>
      <c r="BS57" s="265"/>
      <c r="BT57" s="265"/>
      <c r="BU57" s="265"/>
      <c r="BX57" s="20" t="s">
        <v>86</v>
      </c>
      <c r="BY57" s="142">
        <v>2.0999999999999999E-3</v>
      </c>
      <c r="BZ57" s="19" t="str">
        <f t="shared" si="2"/>
        <v>mV</v>
      </c>
      <c r="CA57" s="20">
        <v>2</v>
      </c>
      <c r="CB57" s="16">
        <f t="shared" ref="CB57:CB62" si="26">BY57/CA57</f>
        <v>1.0499999999999999E-3</v>
      </c>
      <c r="CC57" s="6"/>
      <c r="CD57" s="20" t="s">
        <v>170</v>
      </c>
      <c r="CE57" s="15">
        <v>0</v>
      </c>
      <c r="CF57" s="19" t="str">
        <f t="shared" si="4"/>
        <v>mV</v>
      </c>
      <c r="CG57" s="18">
        <f t="shared" ref="CG57:CG62" si="27">SQRT(3)</f>
        <v>1.7320508075688772</v>
      </c>
      <c r="CH57" s="16">
        <f t="shared" ref="CH57:CH62" si="28">CE57/CG57</f>
        <v>0</v>
      </c>
      <c r="CI57" s="6"/>
      <c r="CJ57" s="20" t="s">
        <v>87</v>
      </c>
      <c r="CK57" s="20">
        <v>0.01</v>
      </c>
      <c r="CL57" s="19" t="str">
        <f t="shared" si="7"/>
        <v>mV</v>
      </c>
      <c r="CM57" s="18">
        <f t="shared" si="16"/>
        <v>3.4641016151377544</v>
      </c>
      <c r="CN57" s="16">
        <f t="shared" si="17"/>
        <v>2.886751345948129E-3</v>
      </c>
      <c r="CO57" s="6"/>
      <c r="CP57" s="20" t="s">
        <v>88</v>
      </c>
      <c r="CQ57" s="17" t="e">
        <f t="shared" si="8"/>
        <v>#DIV/0!</v>
      </c>
      <c r="CR57" s="19" t="str">
        <f t="shared" si="9"/>
        <v>mV</v>
      </c>
      <c r="CS57" s="18">
        <f t="shared" si="18"/>
        <v>1.7320508075688772</v>
      </c>
      <c r="CT57" s="17" t="e">
        <f t="shared" si="19"/>
        <v>#DIV/0!</v>
      </c>
      <c r="CU57" s="7"/>
      <c r="CV57" s="16" t="e">
        <f t="shared" si="20"/>
        <v>#DIV/0!</v>
      </c>
      <c r="CW57" s="14" t="e">
        <f t="shared" si="21"/>
        <v>#DIV/0!</v>
      </c>
      <c r="CX57" s="14" t="e">
        <f t="shared" ref="CX57:CX62" si="29">ROUND(TINV(0.05,CW57),0)</f>
        <v>#DIV/0!</v>
      </c>
      <c r="CY57" s="28" t="e">
        <f t="shared" ref="CY57:CY62" si="30">(CV57*CX57)</f>
        <v>#DIV/0!</v>
      </c>
      <c r="CZ57" s="12" t="str">
        <f t="shared" si="12"/>
        <v>mV</v>
      </c>
      <c r="DA57" s="7"/>
      <c r="DB57" s="122">
        <v>1.6999999999999999E-3</v>
      </c>
      <c r="DC57" s="123" t="str">
        <f t="shared" ref="DC57:DC62" si="31">CZ57</f>
        <v>mV</v>
      </c>
      <c r="DD57" s="124" t="e">
        <f t="shared" si="23"/>
        <v>#DIV/0!</v>
      </c>
      <c r="DE57" s="123" t="str">
        <f t="shared" si="13"/>
        <v>mV</v>
      </c>
    </row>
    <row r="58" spans="1:117" ht="13.5">
      <c r="B58" s="93"/>
      <c r="C58" s="82"/>
      <c r="D58" s="82"/>
      <c r="E58" s="82"/>
      <c r="F58" s="344"/>
      <c r="G58" s="345"/>
      <c r="H58" s="345"/>
      <c r="I58" s="345"/>
      <c r="J58" s="345"/>
      <c r="K58" s="346"/>
      <c r="L58" s="313">
        <v>-250</v>
      </c>
      <c r="M58" s="314"/>
      <c r="N58" s="314"/>
      <c r="O58" s="314"/>
      <c r="P58" s="281" t="s">
        <v>92</v>
      </c>
      <c r="Q58" s="281"/>
      <c r="R58" s="282"/>
      <c r="S58" s="278" t="s">
        <v>30</v>
      </c>
      <c r="T58" s="278"/>
      <c r="U58" s="278"/>
      <c r="V58" s="278"/>
      <c r="W58" s="278"/>
      <c r="X58" s="260"/>
      <c r="Y58" s="261"/>
      <c r="Z58" s="261"/>
      <c r="AA58" s="261"/>
      <c r="AB58" s="262"/>
      <c r="AC58" s="260"/>
      <c r="AD58" s="261"/>
      <c r="AE58" s="261"/>
      <c r="AF58" s="261"/>
      <c r="AG58" s="262"/>
      <c r="AH58" s="260"/>
      <c r="AI58" s="261"/>
      <c r="AJ58" s="261"/>
      <c r="AK58" s="261"/>
      <c r="AL58" s="262"/>
      <c r="AM58" s="266" t="e">
        <f t="shared" si="14"/>
        <v>#DIV/0!</v>
      </c>
      <c r="AN58" s="267"/>
      <c r="AO58" s="267"/>
      <c r="AP58" s="267"/>
      <c r="AQ58" s="268"/>
      <c r="AR58" s="259" t="e">
        <f t="shared" si="25"/>
        <v>#DIV/0!</v>
      </c>
      <c r="AS58" s="259"/>
      <c r="AT58" s="259"/>
      <c r="AU58" s="259"/>
      <c r="AV58" s="259"/>
      <c r="AW58" s="82"/>
      <c r="AX58" s="82"/>
      <c r="AY58" s="82"/>
      <c r="AZ58" s="94"/>
      <c r="BB58" s="239" t="e">
        <f>ABS(0.025%*AM58)+2*CK58</f>
        <v>#DIV/0!</v>
      </c>
      <c r="BC58" s="239"/>
      <c r="BD58" s="239"/>
      <c r="BE58" s="239"/>
      <c r="BF58" s="239"/>
      <c r="BG58" s="237">
        <v>-249.92</v>
      </c>
      <c r="BH58" s="237"/>
      <c r="BI58" s="237"/>
      <c r="BJ58" s="237"/>
      <c r="BK58" s="237"/>
      <c r="BL58" s="237">
        <v>-250.08</v>
      </c>
      <c r="BM58" s="237"/>
      <c r="BN58" s="237"/>
      <c r="BO58" s="237"/>
      <c r="BP58" s="237"/>
      <c r="BQ58" s="265" t="e">
        <f t="shared" si="1"/>
        <v>#DIV/0!</v>
      </c>
      <c r="BR58" s="265"/>
      <c r="BS58" s="265"/>
      <c r="BT58" s="265"/>
      <c r="BU58" s="265"/>
      <c r="BX58" s="20" t="s">
        <v>86</v>
      </c>
      <c r="BY58" s="17">
        <v>8.3000000000000001E-4</v>
      </c>
      <c r="BZ58" s="19" t="str">
        <f t="shared" si="2"/>
        <v>mV</v>
      </c>
      <c r="CA58" s="20">
        <v>2</v>
      </c>
      <c r="CB58" s="16">
        <f t="shared" si="26"/>
        <v>4.15E-4</v>
      </c>
      <c r="CC58" s="6"/>
      <c r="CD58" s="20" t="s">
        <v>170</v>
      </c>
      <c r="CE58" s="15">
        <v>0</v>
      </c>
      <c r="CF58" s="19" t="str">
        <f t="shared" si="4"/>
        <v>mV</v>
      </c>
      <c r="CG58" s="18">
        <f t="shared" si="27"/>
        <v>1.7320508075688772</v>
      </c>
      <c r="CH58" s="16">
        <f t="shared" si="28"/>
        <v>0</v>
      </c>
      <c r="CI58" s="6"/>
      <c r="CJ58" s="20" t="s">
        <v>87</v>
      </c>
      <c r="CK58" s="20">
        <v>0.01</v>
      </c>
      <c r="CL58" s="19" t="str">
        <f t="shared" si="7"/>
        <v>mV</v>
      </c>
      <c r="CM58" s="18">
        <f t="shared" si="16"/>
        <v>3.4641016151377544</v>
      </c>
      <c r="CN58" s="16">
        <f t="shared" si="17"/>
        <v>2.886751345948129E-3</v>
      </c>
      <c r="CO58" s="6"/>
      <c r="CP58" s="20" t="s">
        <v>88</v>
      </c>
      <c r="CQ58" s="17" t="e">
        <f t="shared" si="8"/>
        <v>#DIV/0!</v>
      </c>
      <c r="CR58" s="19" t="str">
        <f t="shared" si="9"/>
        <v>mV</v>
      </c>
      <c r="CS58" s="18">
        <f t="shared" si="18"/>
        <v>1.7320508075688772</v>
      </c>
      <c r="CT58" s="17" t="e">
        <f t="shared" si="19"/>
        <v>#DIV/0!</v>
      </c>
      <c r="CU58" s="7"/>
      <c r="CV58" s="16" t="e">
        <f t="shared" si="20"/>
        <v>#DIV/0!</v>
      </c>
      <c r="CW58" s="14" t="e">
        <f t="shared" si="21"/>
        <v>#DIV/0!</v>
      </c>
      <c r="CX58" s="14" t="e">
        <f t="shared" si="29"/>
        <v>#DIV/0!</v>
      </c>
      <c r="CY58" s="28" t="e">
        <f t="shared" si="30"/>
        <v>#DIV/0!</v>
      </c>
      <c r="CZ58" s="12" t="str">
        <f t="shared" si="12"/>
        <v>mV</v>
      </c>
      <c r="DA58" s="7"/>
      <c r="DB58" s="122">
        <v>7.7999999999999999E-4</v>
      </c>
      <c r="DC58" s="123" t="str">
        <f t="shared" si="31"/>
        <v>mV</v>
      </c>
      <c r="DD58" s="124" t="e">
        <f t="shared" si="23"/>
        <v>#DIV/0!</v>
      </c>
      <c r="DE58" s="123" t="str">
        <f t="shared" si="13"/>
        <v>mV</v>
      </c>
    </row>
    <row r="59" spans="1:117" ht="13.5">
      <c r="B59" s="93"/>
      <c r="C59" s="82"/>
      <c r="D59" s="82"/>
      <c r="E59" s="82"/>
      <c r="F59" s="341" t="s">
        <v>94</v>
      </c>
      <c r="G59" s="342"/>
      <c r="H59" s="342"/>
      <c r="I59" s="342"/>
      <c r="J59" s="342"/>
      <c r="K59" s="343"/>
      <c r="L59" s="313">
        <v>4</v>
      </c>
      <c r="M59" s="314"/>
      <c r="N59" s="314"/>
      <c r="O59" s="314"/>
      <c r="P59" s="281" t="s">
        <v>95</v>
      </c>
      <c r="Q59" s="281"/>
      <c r="R59" s="282"/>
      <c r="S59" s="278" t="s">
        <v>30</v>
      </c>
      <c r="T59" s="278"/>
      <c r="U59" s="278"/>
      <c r="V59" s="278"/>
      <c r="W59" s="278"/>
      <c r="X59" s="263"/>
      <c r="Y59" s="263"/>
      <c r="Z59" s="263"/>
      <c r="AA59" s="263"/>
      <c r="AB59" s="263"/>
      <c r="AC59" s="263"/>
      <c r="AD59" s="263"/>
      <c r="AE59" s="263"/>
      <c r="AF59" s="263"/>
      <c r="AG59" s="263"/>
      <c r="AH59" s="263"/>
      <c r="AI59" s="263"/>
      <c r="AJ59" s="263"/>
      <c r="AK59" s="263"/>
      <c r="AL59" s="263"/>
      <c r="AM59" s="462" t="e">
        <f t="shared" si="14"/>
        <v>#DIV/0!</v>
      </c>
      <c r="AN59" s="463"/>
      <c r="AO59" s="463"/>
      <c r="AP59" s="463"/>
      <c r="AQ59" s="464"/>
      <c r="AR59" s="287" t="e">
        <f t="shared" si="25"/>
        <v>#DIV/0!</v>
      </c>
      <c r="AS59" s="287"/>
      <c r="AT59" s="287"/>
      <c r="AU59" s="287"/>
      <c r="AV59" s="287"/>
      <c r="AW59" s="82"/>
      <c r="AX59" s="82"/>
      <c r="AY59" s="82"/>
      <c r="AZ59" s="94"/>
      <c r="BB59" s="242" t="e">
        <f t="shared" ref="BB59:BB60" si="32">ABS(0.025%*AM59)+2*CK59</f>
        <v>#DIV/0!</v>
      </c>
      <c r="BC59" s="242"/>
      <c r="BD59" s="242"/>
      <c r="BE59" s="242"/>
      <c r="BF59" s="242"/>
      <c r="BG59" s="242">
        <v>4.0011999999999999</v>
      </c>
      <c r="BH59" s="242"/>
      <c r="BI59" s="242"/>
      <c r="BJ59" s="242"/>
      <c r="BK59" s="242"/>
      <c r="BL59" s="242">
        <v>3.9988000000000001</v>
      </c>
      <c r="BM59" s="242"/>
      <c r="BN59" s="242"/>
      <c r="BO59" s="242"/>
      <c r="BP59" s="242"/>
      <c r="BQ59" s="265" t="e">
        <f t="shared" si="1"/>
        <v>#DIV/0!</v>
      </c>
      <c r="BR59" s="265"/>
      <c r="BS59" s="265"/>
      <c r="BT59" s="265"/>
      <c r="BU59" s="265"/>
      <c r="BX59" s="20" t="s">
        <v>86</v>
      </c>
      <c r="BY59" s="15">
        <v>1.8E-5</v>
      </c>
      <c r="BZ59" s="19" t="str">
        <f t="shared" si="2"/>
        <v>V</v>
      </c>
      <c r="CA59" s="20">
        <v>2</v>
      </c>
      <c r="CB59" s="16">
        <f t="shared" si="26"/>
        <v>9.0000000000000002E-6</v>
      </c>
      <c r="CC59" s="6"/>
      <c r="CD59" s="20" t="s">
        <v>170</v>
      </c>
      <c r="CE59" s="15">
        <v>0</v>
      </c>
      <c r="CF59" s="19" t="str">
        <f t="shared" si="4"/>
        <v>V</v>
      </c>
      <c r="CG59" s="18">
        <f t="shared" si="27"/>
        <v>1.7320508075688772</v>
      </c>
      <c r="CH59" s="16">
        <f t="shared" si="28"/>
        <v>0</v>
      </c>
      <c r="CI59" s="6"/>
      <c r="CJ59" s="20" t="s">
        <v>87</v>
      </c>
      <c r="CK59" s="20">
        <v>1E-4</v>
      </c>
      <c r="CL59" s="19" t="str">
        <f t="shared" si="7"/>
        <v>V</v>
      </c>
      <c r="CM59" s="18">
        <f t="shared" si="16"/>
        <v>3.4641016151377544</v>
      </c>
      <c r="CN59" s="16">
        <f t="shared" si="17"/>
        <v>2.8867513459481293E-5</v>
      </c>
      <c r="CO59" s="6"/>
      <c r="CP59" s="20" t="s">
        <v>88</v>
      </c>
      <c r="CQ59" s="17" t="e">
        <f t="shared" si="8"/>
        <v>#DIV/0!</v>
      </c>
      <c r="CR59" s="19" t="str">
        <f t="shared" si="9"/>
        <v>V</v>
      </c>
      <c r="CS59" s="18">
        <f t="shared" si="18"/>
        <v>1.7320508075688772</v>
      </c>
      <c r="CT59" s="17" t="e">
        <f t="shared" si="19"/>
        <v>#DIV/0!</v>
      </c>
      <c r="CU59" s="7"/>
      <c r="CV59" s="16" t="e">
        <f t="shared" si="20"/>
        <v>#DIV/0!</v>
      </c>
      <c r="CW59" s="14" t="e">
        <f t="shared" si="21"/>
        <v>#DIV/0!</v>
      </c>
      <c r="CX59" s="14" t="e">
        <f t="shared" si="29"/>
        <v>#DIV/0!</v>
      </c>
      <c r="CY59" s="28" t="e">
        <f t="shared" si="30"/>
        <v>#DIV/0!</v>
      </c>
      <c r="CZ59" s="12" t="str">
        <f t="shared" si="12"/>
        <v>V</v>
      </c>
      <c r="DA59" s="7"/>
      <c r="DB59" s="122">
        <v>1.7E-5</v>
      </c>
      <c r="DC59" s="123" t="str">
        <f t="shared" si="31"/>
        <v>V</v>
      </c>
      <c r="DD59" s="124" t="e">
        <f t="shared" si="23"/>
        <v>#DIV/0!</v>
      </c>
      <c r="DE59" s="123" t="str">
        <f t="shared" si="13"/>
        <v>V</v>
      </c>
    </row>
    <row r="60" spans="1:117" ht="13.5">
      <c r="B60" s="93"/>
      <c r="C60" s="82"/>
      <c r="D60" s="82"/>
      <c r="E60" s="82"/>
      <c r="F60" s="330" t="s">
        <v>96</v>
      </c>
      <c r="G60" s="330"/>
      <c r="H60" s="330"/>
      <c r="I60" s="330"/>
      <c r="J60" s="330"/>
      <c r="K60" s="330"/>
      <c r="L60" s="313">
        <v>-40</v>
      </c>
      <c r="M60" s="314"/>
      <c r="N60" s="314"/>
      <c r="O60" s="314"/>
      <c r="P60" s="281" t="s">
        <v>95</v>
      </c>
      <c r="Q60" s="281"/>
      <c r="R60" s="282"/>
      <c r="S60" s="278" t="s">
        <v>30</v>
      </c>
      <c r="T60" s="278"/>
      <c r="U60" s="278"/>
      <c r="V60" s="278"/>
      <c r="W60" s="278"/>
      <c r="X60" s="283"/>
      <c r="Y60" s="283"/>
      <c r="Z60" s="283"/>
      <c r="AA60" s="283"/>
      <c r="AB60" s="283"/>
      <c r="AC60" s="283"/>
      <c r="AD60" s="283"/>
      <c r="AE60" s="283"/>
      <c r="AF60" s="283"/>
      <c r="AG60" s="283"/>
      <c r="AH60" s="283"/>
      <c r="AI60" s="283"/>
      <c r="AJ60" s="283"/>
      <c r="AK60" s="283"/>
      <c r="AL60" s="283"/>
      <c r="AM60" s="272" t="e">
        <f t="shared" si="14"/>
        <v>#DIV/0!</v>
      </c>
      <c r="AN60" s="273"/>
      <c r="AO60" s="273"/>
      <c r="AP60" s="273"/>
      <c r="AQ60" s="274"/>
      <c r="AR60" s="284" t="e">
        <f t="shared" si="25"/>
        <v>#DIV/0!</v>
      </c>
      <c r="AS60" s="284"/>
      <c r="AT60" s="284"/>
      <c r="AU60" s="284"/>
      <c r="AV60" s="284"/>
      <c r="AW60" s="82"/>
      <c r="AX60" s="82"/>
      <c r="AY60" s="82"/>
      <c r="AZ60" s="94"/>
      <c r="BB60" s="239" t="e">
        <f t="shared" si="32"/>
        <v>#DIV/0!</v>
      </c>
      <c r="BC60" s="239"/>
      <c r="BD60" s="239"/>
      <c r="BE60" s="239"/>
      <c r="BF60" s="239"/>
      <c r="BG60" s="239">
        <v>-39.988</v>
      </c>
      <c r="BH60" s="239"/>
      <c r="BI60" s="239"/>
      <c r="BJ60" s="239"/>
      <c r="BK60" s="239"/>
      <c r="BL60" s="239">
        <v>-40.012</v>
      </c>
      <c r="BM60" s="239"/>
      <c r="BN60" s="239"/>
      <c r="BO60" s="239"/>
      <c r="BP60" s="239"/>
      <c r="BQ60" s="265" t="e">
        <f t="shared" si="1"/>
        <v>#DIV/0!</v>
      </c>
      <c r="BR60" s="265"/>
      <c r="BS60" s="265"/>
      <c r="BT60" s="265"/>
      <c r="BU60" s="265"/>
      <c r="BX60" s="20" t="s">
        <v>86</v>
      </c>
      <c r="BY60" s="17">
        <v>1.6000000000000001E-4</v>
      </c>
      <c r="BZ60" s="19" t="str">
        <f t="shared" si="2"/>
        <v>V</v>
      </c>
      <c r="CA60" s="20">
        <v>2</v>
      </c>
      <c r="CB60" s="16">
        <f t="shared" si="26"/>
        <v>8.0000000000000007E-5</v>
      </c>
      <c r="CC60" s="6"/>
      <c r="CD60" s="20" t="s">
        <v>170</v>
      </c>
      <c r="CE60" s="15">
        <v>0</v>
      </c>
      <c r="CF60" s="19" t="str">
        <f t="shared" si="4"/>
        <v>V</v>
      </c>
      <c r="CG60" s="18">
        <f t="shared" si="27"/>
        <v>1.7320508075688772</v>
      </c>
      <c r="CH60" s="16">
        <f t="shared" si="28"/>
        <v>0</v>
      </c>
      <c r="CI60" s="6"/>
      <c r="CJ60" s="20" t="s">
        <v>87</v>
      </c>
      <c r="CK60" s="20">
        <v>1E-3</v>
      </c>
      <c r="CL60" s="19" t="str">
        <f t="shared" si="7"/>
        <v>V</v>
      </c>
      <c r="CM60" s="18">
        <f t="shared" si="16"/>
        <v>3.4641016151377544</v>
      </c>
      <c r="CN60" s="16">
        <f t="shared" si="17"/>
        <v>2.886751345948129E-4</v>
      </c>
      <c r="CO60" s="6"/>
      <c r="CP60" s="20" t="s">
        <v>88</v>
      </c>
      <c r="CQ60" s="17" t="e">
        <f t="shared" si="8"/>
        <v>#DIV/0!</v>
      </c>
      <c r="CR60" s="19" t="str">
        <f t="shared" si="9"/>
        <v>V</v>
      </c>
      <c r="CS60" s="18">
        <f t="shared" si="18"/>
        <v>1.7320508075688772</v>
      </c>
      <c r="CT60" s="17" t="e">
        <f t="shared" si="19"/>
        <v>#DIV/0!</v>
      </c>
      <c r="CU60" s="7"/>
      <c r="CV60" s="16" t="e">
        <f t="shared" si="20"/>
        <v>#DIV/0!</v>
      </c>
      <c r="CW60" s="14" t="e">
        <f t="shared" si="21"/>
        <v>#DIV/0!</v>
      </c>
      <c r="CX60" s="14" t="e">
        <f t="shared" si="29"/>
        <v>#DIV/0!</v>
      </c>
      <c r="CY60" s="28" t="e">
        <f t="shared" si="30"/>
        <v>#DIV/0!</v>
      </c>
      <c r="CZ60" s="12" t="str">
        <f t="shared" si="12"/>
        <v>V</v>
      </c>
      <c r="DA60" s="7"/>
      <c r="DB60" s="122">
        <v>1.2999999999999999E-4</v>
      </c>
      <c r="DC60" s="123" t="str">
        <f t="shared" si="31"/>
        <v>V</v>
      </c>
      <c r="DD60" s="124" t="e">
        <f t="shared" si="23"/>
        <v>#DIV/0!</v>
      </c>
      <c r="DE60" s="123" t="str">
        <f t="shared" si="13"/>
        <v>V</v>
      </c>
    </row>
    <row r="61" spans="1:117" ht="13.5">
      <c r="B61" s="93"/>
      <c r="C61" s="82"/>
      <c r="D61" s="82"/>
      <c r="E61" s="82"/>
      <c r="F61" s="330" t="s">
        <v>97</v>
      </c>
      <c r="G61" s="330"/>
      <c r="H61" s="330"/>
      <c r="I61" s="330"/>
      <c r="J61" s="330"/>
      <c r="K61" s="330"/>
      <c r="L61" s="313">
        <v>400</v>
      </c>
      <c r="M61" s="314"/>
      <c r="N61" s="314"/>
      <c r="O61" s="314"/>
      <c r="P61" s="281" t="s">
        <v>95</v>
      </c>
      <c r="Q61" s="281"/>
      <c r="R61" s="282"/>
      <c r="S61" s="278" t="s">
        <v>30</v>
      </c>
      <c r="T61" s="278"/>
      <c r="U61" s="278"/>
      <c r="V61" s="278"/>
      <c r="W61" s="278"/>
      <c r="X61" s="264"/>
      <c r="Y61" s="264"/>
      <c r="Z61" s="264"/>
      <c r="AA61" s="264"/>
      <c r="AB61" s="264"/>
      <c r="AC61" s="264"/>
      <c r="AD61" s="264"/>
      <c r="AE61" s="264"/>
      <c r="AF61" s="264"/>
      <c r="AG61" s="264"/>
      <c r="AH61" s="264"/>
      <c r="AI61" s="264"/>
      <c r="AJ61" s="264"/>
      <c r="AK61" s="264"/>
      <c r="AL61" s="264"/>
      <c r="AM61" s="266" t="e">
        <f t="shared" si="14"/>
        <v>#DIV/0!</v>
      </c>
      <c r="AN61" s="267"/>
      <c r="AO61" s="267"/>
      <c r="AP61" s="267"/>
      <c r="AQ61" s="268"/>
      <c r="AR61" s="259" t="e">
        <f t="shared" si="25"/>
        <v>#DIV/0!</v>
      </c>
      <c r="AS61" s="259"/>
      <c r="AT61" s="259"/>
      <c r="AU61" s="259"/>
      <c r="AV61" s="259"/>
      <c r="AW61" s="82"/>
      <c r="AX61" s="82"/>
      <c r="AY61" s="82"/>
      <c r="AZ61" s="94"/>
      <c r="BB61" s="237" t="e">
        <f>ABS(0.03%*AM61)+2*CK61</f>
        <v>#DIV/0!</v>
      </c>
      <c r="BC61" s="237"/>
      <c r="BD61" s="237"/>
      <c r="BE61" s="237"/>
      <c r="BF61" s="237"/>
      <c r="BG61" s="237">
        <v>400.14</v>
      </c>
      <c r="BH61" s="237"/>
      <c r="BI61" s="237"/>
      <c r="BJ61" s="237"/>
      <c r="BK61" s="237"/>
      <c r="BL61" s="237">
        <v>399.86</v>
      </c>
      <c r="BM61" s="237"/>
      <c r="BN61" s="237"/>
      <c r="BO61" s="237"/>
      <c r="BP61" s="237"/>
      <c r="BQ61" s="265" t="e">
        <f t="shared" si="1"/>
        <v>#DIV/0!</v>
      </c>
      <c r="BR61" s="265"/>
      <c r="BS61" s="265"/>
      <c r="BT61" s="265"/>
      <c r="BU61" s="265"/>
      <c r="BX61" s="20" t="s">
        <v>86</v>
      </c>
      <c r="BY61" s="142">
        <v>3.3E-3</v>
      </c>
      <c r="BZ61" s="19" t="str">
        <f t="shared" si="2"/>
        <v>V</v>
      </c>
      <c r="CA61" s="20">
        <v>2</v>
      </c>
      <c r="CB61" s="16">
        <f t="shared" si="26"/>
        <v>1.65E-3</v>
      </c>
      <c r="CC61" s="6"/>
      <c r="CD61" s="20" t="s">
        <v>170</v>
      </c>
      <c r="CE61" s="15">
        <v>0</v>
      </c>
      <c r="CF61" s="19" t="str">
        <f t="shared" si="4"/>
        <v>V</v>
      </c>
      <c r="CG61" s="18">
        <f t="shared" si="27"/>
        <v>1.7320508075688772</v>
      </c>
      <c r="CH61" s="16">
        <f t="shared" si="28"/>
        <v>0</v>
      </c>
      <c r="CI61" s="6"/>
      <c r="CJ61" s="20" t="s">
        <v>87</v>
      </c>
      <c r="CK61" s="20">
        <v>0.01</v>
      </c>
      <c r="CL61" s="19" t="str">
        <f t="shared" si="7"/>
        <v>V</v>
      </c>
      <c r="CM61" s="18">
        <f t="shared" si="16"/>
        <v>3.4641016151377544</v>
      </c>
      <c r="CN61" s="16">
        <f t="shared" si="17"/>
        <v>2.886751345948129E-3</v>
      </c>
      <c r="CO61" s="6"/>
      <c r="CP61" s="20" t="s">
        <v>88</v>
      </c>
      <c r="CQ61" s="17" t="e">
        <f t="shared" si="8"/>
        <v>#DIV/0!</v>
      </c>
      <c r="CR61" s="19" t="str">
        <f t="shared" si="9"/>
        <v>V</v>
      </c>
      <c r="CS61" s="18">
        <f t="shared" si="18"/>
        <v>1.7320508075688772</v>
      </c>
      <c r="CT61" s="17" t="e">
        <f t="shared" si="19"/>
        <v>#DIV/0!</v>
      </c>
      <c r="CU61" s="7"/>
      <c r="CV61" s="16" t="e">
        <f t="shared" si="20"/>
        <v>#DIV/0!</v>
      </c>
      <c r="CW61" s="14" t="e">
        <f t="shared" si="21"/>
        <v>#DIV/0!</v>
      </c>
      <c r="CX61" s="14" t="e">
        <f t="shared" si="29"/>
        <v>#DIV/0!</v>
      </c>
      <c r="CY61" s="28" t="e">
        <f t="shared" si="30"/>
        <v>#DIV/0!</v>
      </c>
      <c r="CZ61" s="12" t="str">
        <f t="shared" si="12"/>
        <v>V</v>
      </c>
      <c r="DA61" s="7"/>
      <c r="DB61" s="122">
        <v>1.2999999999999999E-3</v>
      </c>
      <c r="DC61" s="123" t="str">
        <f t="shared" si="31"/>
        <v>V</v>
      </c>
      <c r="DD61" s="124" t="e">
        <f t="shared" si="23"/>
        <v>#DIV/0!</v>
      </c>
      <c r="DE61" s="123" t="str">
        <f t="shared" si="13"/>
        <v>V</v>
      </c>
    </row>
    <row r="62" spans="1:117" ht="13.5">
      <c r="B62" s="93"/>
      <c r="C62" s="82"/>
      <c r="D62" s="82"/>
      <c r="E62" s="82"/>
      <c r="F62" s="330" t="s">
        <v>183</v>
      </c>
      <c r="G62" s="330"/>
      <c r="H62" s="330"/>
      <c r="I62" s="330"/>
      <c r="J62" s="330"/>
      <c r="K62" s="330"/>
      <c r="L62" s="313">
        <v>600</v>
      </c>
      <c r="M62" s="314"/>
      <c r="N62" s="314"/>
      <c r="O62" s="314"/>
      <c r="P62" s="281" t="s">
        <v>95</v>
      </c>
      <c r="Q62" s="281"/>
      <c r="R62" s="282"/>
      <c r="S62" s="278" t="s">
        <v>30</v>
      </c>
      <c r="T62" s="278"/>
      <c r="U62" s="278"/>
      <c r="V62" s="278"/>
      <c r="W62" s="278"/>
      <c r="X62" s="279"/>
      <c r="Y62" s="279"/>
      <c r="Z62" s="279"/>
      <c r="AA62" s="279"/>
      <c r="AB62" s="279"/>
      <c r="AC62" s="279"/>
      <c r="AD62" s="279"/>
      <c r="AE62" s="279"/>
      <c r="AF62" s="279"/>
      <c r="AG62" s="279"/>
      <c r="AH62" s="279"/>
      <c r="AI62" s="279"/>
      <c r="AJ62" s="279"/>
      <c r="AK62" s="279"/>
      <c r="AL62" s="279"/>
      <c r="AM62" s="479" t="e">
        <f t="shared" si="14"/>
        <v>#DIV/0!</v>
      </c>
      <c r="AN62" s="480"/>
      <c r="AO62" s="480"/>
      <c r="AP62" s="480"/>
      <c r="AQ62" s="481"/>
      <c r="AR62" s="362" t="e">
        <f t="shared" si="25"/>
        <v>#DIV/0!</v>
      </c>
      <c r="AS62" s="362"/>
      <c r="AT62" s="362"/>
      <c r="AU62" s="362"/>
      <c r="AV62" s="362"/>
      <c r="AW62" s="82"/>
      <c r="AX62" s="82"/>
      <c r="AY62" s="82"/>
      <c r="AZ62" s="94"/>
      <c r="BB62" s="237" t="e">
        <f>ABS(0.03%*AM62)+2*CK62</f>
        <v>#DIV/0!</v>
      </c>
      <c r="BC62" s="237"/>
      <c r="BD62" s="237"/>
      <c r="BE62" s="237"/>
      <c r="BF62" s="237"/>
      <c r="BG62" s="238">
        <v>600.4</v>
      </c>
      <c r="BH62" s="238"/>
      <c r="BI62" s="238"/>
      <c r="BJ62" s="238"/>
      <c r="BK62" s="238"/>
      <c r="BL62" s="238">
        <v>599.6</v>
      </c>
      <c r="BM62" s="238"/>
      <c r="BN62" s="238"/>
      <c r="BO62" s="238"/>
      <c r="BP62" s="238"/>
      <c r="BQ62" s="265" t="e">
        <f t="shared" si="1"/>
        <v>#DIV/0!</v>
      </c>
      <c r="BR62" s="265"/>
      <c r="BS62" s="265"/>
      <c r="BT62" s="265"/>
      <c r="BU62" s="265"/>
      <c r="BX62" s="20" t="s">
        <v>86</v>
      </c>
      <c r="BY62" s="142">
        <v>3.3E-3</v>
      </c>
      <c r="BZ62" s="19" t="str">
        <f t="shared" si="2"/>
        <v>V</v>
      </c>
      <c r="CA62" s="20">
        <v>2</v>
      </c>
      <c r="CB62" s="16">
        <f t="shared" si="26"/>
        <v>1.65E-3</v>
      </c>
      <c r="CC62" s="6"/>
      <c r="CD62" s="20" t="s">
        <v>170</v>
      </c>
      <c r="CE62" s="15">
        <v>0</v>
      </c>
      <c r="CF62" s="19" t="str">
        <f t="shared" si="4"/>
        <v>V</v>
      </c>
      <c r="CG62" s="18">
        <f t="shared" si="27"/>
        <v>1.7320508075688772</v>
      </c>
      <c r="CH62" s="16">
        <f t="shared" si="28"/>
        <v>0</v>
      </c>
      <c r="CI62" s="6"/>
      <c r="CJ62" s="20" t="s">
        <v>87</v>
      </c>
      <c r="CK62" s="20">
        <v>0.1</v>
      </c>
      <c r="CL62" s="19" t="str">
        <f t="shared" si="7"/>
        <v>V</v>
      </c>
      <c r="CM62" s="18">
        <f t="shared" si="16"/>
        <v>3.4641016151377544</v>
      </c>
      <c r="CN62" s="16">
        <f t="shared" si="17"/>
        <v>2.8867513459481291E-2</v>
      </c>
      <c r="CO62" s="6"/>
      <c r="CP62" s="20" t="s">
        <v>88</v>
      </c>
      <c r="CQ62" s="17" t="e">
        <f t="shared" si="8"/>
        <v>#DIV/0!</v>
      </c>
      <c r="CR62" s="19" t="str">
        <f t="shared" si="9"/>
        <v>V</v>
      </c>
      <c r="CS62" s="18">
        <f t="shared" si="18"/>
        <v>1.7320508075688772</v>
      </c>
      <c r="CT62" s="17" t="e">
        <f t="shared" si="19"/>
        <v>#DIV/0!</v>
      </c>
      <c r="CU62" s="7"/>
      <c r="CV62" s="16" t="e">
        <f t="shared" si="20"/>
        <v>#DIV/0!</v>
      </c>
      <c r="CW62" s="14" t="e">
        <f t="shared" si="21"/>
        <v>#DIV/0!</v>
      </c>
      <c r="CX62" s="14" t="e">
        <f t="shared" si="29"/>
        <v>#DIV/0!</v>
      </c>
      <c r="CY62" s="28" t="e">
        <f t="shared" si="30"/>
        <v>#DIV/0!</v>
      </c>
      <c r="CZ62" s="12" t="str">
        <f t="shared" si="12"/>
        <v>V</v>
      </c>
      <c r="DA62" s="7"/>
      <c r="DB62" s="122">
        <v>1.2999999999999999E-3</v>
      </c>
      <c r="DC62" s="123" t="str">
        <f t="shared" si="31"/>
        <v>V</v>
      </c>
      <c r="DD62" s="124" t="e">
        <f t="shared" si="23"/>
        <v>#DIV/0!</v>
      </c>
      <c r="DE62" s="123" t="str">
        <f t="shared" si="13"/>
        <v>V</v>
      </c>
    </row>
    <row r="63" spans="1:117" ht="13.5">
      <c r="B63" s="93"/>
      <c r="C63" s="82"/>
      <c r="D63" s="82"/>
      <c r="E63" s="82"/>
      <c r="F63" s="82"/>
      <c r="G63" s="82"/>
      <c r="H63" s="82"/>
      <c r="I63" s="82"/>
      <c r="J63" s="82"/>
      <c r="K63" s="82"/>
      <c r="L63" s="82"/>
      <c r="M63" s="82"/>
      <c r="N63" s="82"/>
      <c r="O63" s="82"/>
      <c r="P63" s="82"/>
      <c r="Q63" s="82"/>
      <c r="R63" s="82"/>
      <c r="S63" s="82"/>
      <c r="T63" s="82"/>
      <c r="U63" s="82"/>
      <c r="V63" s="82"/>
      <c r="W63" s="82"/>
      <c r="X63" s="147"/>
      <c r="Y63" s="147"/>
      <c r="Z63" s="147"/>
      <c r="AA63" s="147"/>
      <c r="AB63" s="147"/>
      <c r="AC63" s="147"/>
      <c r="AD63" s="147"/>
      <c r="AE63" s="147"/>
      <c r="AF63" s="147"/>
      <c r="AG63" s="147"/>
      <c r="AH63" s="147"/>
      <c r="AI63" s="147"/>
      <c r="AJ63" s="147"/>
      <c r="AK63" s="147"/>
      <c r="AL63" s="147"/>
      <c r="AM63" s="82"/>
      <c r="AN63" s="82"/>
      <c r="AO63" s="82"/>
      <c r="AP63" s="82"/>
      <c r="AQ63" s="82"/>
      <c r="AR63" s="82"/>
      <c r="AS63" s="82"/>
      <c r="AT63" s="82"/>
      <c r="AU63" s="82"/>
      <c r="AV63" s="82"/>
      <c r="AW63" s="82"/>
      <c r="AX63" s="82"/>
      <c r="AY63" s="82"/>
      <c r="AZ63" s="94"/>
    </row>
    <row r="64" spans="1:117" s="45" customFormat="1" ht="13.7" customHeight="1">
      <c r="A64" s="96"/>
      <c r="B64" s="97"/>
      <c r="C64" s="98"/>
      <c r="D64" s="98"/>
      <c r="E64" s="98"/>
      <c r="F64" s="99" t="s">
        <v>172</v>
      </c>
      <c r="G64" s="98"/>
      <c r="H64" s="98"/>
      <c r="I64" s="98"/>
      <c r="J64" s="98"/>
      <c r="K64" s="98"/>
      <c r="L64" s="98"/>
      <c r="M64" s="98"/>
      <c r="N64" s="98"/>
      <c r="O64" s="98"/>
      <c r="P64" s="98"/>
      <c r="Q64" s="98"/>
      <c r="R64" s="98"/>
      <c r="S64" s="98"/>
      <c r="T64" s="98"/>
      <c r="U64" s="98"/>
      <c r="V64" s="98"/>
      <c r="W64" s="98"/>
      <c r="X64" s="148"/>
      <c r="Y64" s="148"/>
      <c r="Z64" s="148"/>
      <c r="AA64" s="148"/>
      <c r="AB64" s="148"/>
      <c r="AC64" s="148"/>
      <c r="AD64" s="148"/>
      <c r="AE64" s="148"/>
      <c r="AF64" s="148"/>
      <c r="AG64" s="148"/>
      <c r="AH64" s="148"/>
      <c r="AI64" s="148"/>
      <c r="AJ64" s="148"/>
      <c r="AK64" s="148"/>
      <c r="AL64" s="148"/>
      <c r="AM64" s="98"/>
      <c r="AN64" s="98"/>
      <c r="AO64" s="98"/>
      <c r="AP64" s="98"/>
      <c r="AQ64" s="98"/>
      <c r="AR64" s="98"/>
      <c r="AS64" s="98"/>
      <c r="AT64" s="98"/>
      <c r="AU64" s="98"/>
      <c r="AV64" s="98"/>
      <c r="AW64" s="98"/>
      <c r="AX64" s="98"/>
      <c r="AY64" s="98"/>
      <c r="AZ64" s="100"/>
      <c r="BA64" s="96"/>
      <c r="BB64" s="277"/>
      <c r="BC64" s="277"/>
      <c r="BD64" s="277"/>
      <c r="BE64" s="277"/>
      <c r="BF64" s="277"/>
      <c r="BG64" s="277"/>
      <c r="BH64" s="277"/>
      <c r="BI64" s="277"/>
      <c r="BJ64" s="277"/>
      <c r="BK64" s="277"/>
      <c r="BL64" s="72"/>
      <c r="BM64" s="72"/>
      <c r="BN64" s="72"/>
      <c r="BO64" s="72"/>
      <c r="BP64" s="72"/>
      <c r="BQ64" s="72"/>
      <c r="BR64" s="72"/>
      <c r="BS64" s="72"/>
      <c r="BT64" s="72"/>
      <c r="BU64" s="72"/>
      <c r="BV64" s="96"/>
      <c r="BW64" s="24"/>
      <c r="BX64" s="257" t="s">
        <v>70</v>
      </c>
      <c r="BY64" s="257"/>
      <c r="BZ64" s="257"/>
      <c r="CA64" s="257"/>
      <c r="CB64" s="257"/>
      <c r="CC64" s="25"/>
      <c r="CD64" s="257" t="s">
        <v>70</v>
      </c>
      <c r="CE64" s="257"/>
      <c r="CF64" s="257"/>
      <c r="CG64" s="257"/>
      <c r="CH64" s="257"/>
      <c r="CI64" s="25"/>
      <c r="CJ64" s="257" t="s">
        <v>180</v>
      </c>
      <c r="CK64" s="257"/>
      <c r="CL64" s="257"/>
      <c r="CM64" s="257"/>
      <c r="CN64" s="257"/>
      <c r="CO64" s="25"/>
      <c r="CP64" s="257" t="s">
        <v>180</v>
      </c>
      <c r="CQ64" s="257"/>
      <c r="CR64" s="257"/>
      <c r="CS64" s="257"/>
      <c r="CT64" s="257"/>
      <c r="CU64" s="24"/>
      <c r="CV64" s="257" t="s">
        <v>71</v>
      </c>
      <c r="CW64" s="257"/>
      <c r="CX64" s="257"/>
      <c r="CY64" s="257"/>
      <c r="CZ64" s="257"/>
      <c r="DA64" s="24"/>
      <c r="DB64" s="251" t="s">
        <v>191</v>
      </c>
      <c r="DC64" s="251"/>
      <c r="DD64" s="251" t="s">
        <v>158</v>
      </c>
      <c r="DE64" s="251"/>
      <c r="DG64" s="62"/>
      <c r="DH64" s="62"/>
      <c r="DI64" s="62"/>
      <c r="DJ64" s="62"/>
      <c r="DK64" s="62"/>
      <c r="DL64" s="62"/>
      <c r="DM64" s="62"/>
    </row>
    <row r="65" spans="1:117" s="45" customFormat="1" ht="13.7" customHeight="1">
      <c r="A65" s="96"/>
      <c r="B65" s="97"/>
      <c r="C65" s="98"/>
      <c r="D65" s="101"/>
      <c r="E65" s="101"/>
      <c r="F65" s="258" t="s">
        <v>27</v>
      </c>
      <c r="G65" s="258"/>
      <c r="H65" s="258"/>
      <c r="I65" s="258"/>
      <c r="J65" s="258"/>
      <c r="K65" s="258"/>
      <c r="L65" s="258" t="s">
        <v>28</v>
      </c>
      <c r="M65" s="258"/>
      <c r="N65" s="258"/>
      <c r="O65" s="258"/>
      <c r="P65" s="258"/>
      <c r="Q65" s="258"/>
      <c r="R65" s="258"/>
      <c r="S65" s="258" t="s">
        <v>72</v>
      </c>
      <c r="T65" s="258"/>
      <c r="U65" s="258"/>
      <c r="V65" s="258"/>
      <c r="W65" s="258"/>
      <c r="X65" s="276" t="s">
        <v>73</v>
      </c>
      <c r="Y65" s="276"/>
      <c r="Z65" s="276"/>
      <c r="AA65" s="276"/>
      <c r="AB65" s="276"/>
      <c r="AC65" s="276"/>
      <c r="AD65" s="276"/>
      <c r="AE65" s="276"/>
      <c r="AF65" s="276"/>
      <c r="AG65" s="276"/>
      <c r="AH65" s="276"/>
      <c r="AI65" s="276"/>
      <c r="AJ65" s="276"/>
      <c r="AK65" s="276"/>
      <c r="AL65" s="276"/>
      <c r="AM65" s="258" t="s">
        <v>74</v>
      </c>
      <c r="AN65" s="258"/>
      <c r="AO65" s="258"/>
      <c r="AP65" s="258"/>
      <c r="AQ65" s="258"/>
      <c r="AR65" s="258" t="s">
        <v>29</v>
      </c>
      <c r="AS65" s="258"/>
      <c r="AT65" s="258"/>
      <c r="AU65" s="258"/>
      <c r="AV65" s="258"/>
      <c r="AW65" s="98"/>
      <c r="AX65" s="98"/>
      <c r="AY65" s="98"/>
      <c r="AZ65" s="100"/>
      <c r="BA65" s="96"/>
      <c r="BB65" s="231" t="s">
        <v>188</v>
      </c>
      <c r="BC65" s="232"/>
      <c r="BD65" s="232"/>
      <c r="BE65" s="232"/>
      <c r="BF65" s="233"/>
      <c r="BG65" s="275" t="s">
        <v>138</v>
      </c>
      <c r="BH65" s="275"/>
      <c r="BI65" s="275"/>
      <c r="BJ65" s="275"/>
      <c r="BK65" s="275"/>
      <c r="BL65" s="275" t="s">
        <v>139</v>
      </c>
      <c r="BM65" s="275"/>
      <c r="BN65" s="275"/>
      <c r="BO65" s="275"/>
      <c r="BP65" s="275"/>
      <c r="BQ65" s="275" t="s">
        <v>144</v>
      </c>
      <c r="BR65" s="275"/>
      <c r="BS65" s="275"/>
      <c r="BT65" s="275"/>
      <c r="BU65" s="275"/>
      <c r="BV65" s="96"/>
      <c r="BW65" s="24"/>
      <c r="BX65" s="256" t="s">
        <v>75</v>
      </c>
      <c r="BY65" s="252" t="s">
        <v>137</v>
      </c>
      <c r="BZ65" s="253"/>
      <c r="CA65" s="256" t="s">
        <v>76</v>
      </c>
      <c r="CB65" s="256" t="s">
        <v>77</v>
      </c>
      <c r="CC65" s="23"/>
      <c r="CD65" s="256" t="s">
        <v>75</v>
      </c>
      <c r="CE65" s="252" t="s">
        <v>137</v>
      </c>
      <c r="CF65" s="253"/>
      <c r="CG65" s="256" t="s">
        <v>76</v>
      </c>
      <c r="CH65" s="256" t="s">
        <v>77</v>
      </c>
      <c r="CI65" s="23"/>
      <c r="CJ65" s="256" t="s">
        <v>75</v>
      </c>
      <c r="CK65" s="252" t="s">
        <v>137</v>
      </c>
      <c r="CL65" s="253"/>
      <c r="CM65" s="256" t="s">
        <v>76</v>
      </c>
      <c r="CN65" s="256" t="s">
        <v>77</v>
      </c>
      <c r="CO65" s="23"/>
      <c r="CP65" s="256" t="s">
        <v>75</v>
      </c>
      <c r="CQ65" s="252" t="s">
        <v>137</v>
      </c>
      <c r="CR65" s="253"/>
      <c r="CS65" s="256" t="s">
        <v>76</v>
      </c>
      <c r="CT65" s="256" t="s">
        <v>77</v>
      </c>
      <c r="CU65" s="22"/>
      <c r="CV65" s="133" t="s">
        <v>78</v>
      </c>
      <c r="CW65" s="21" t="s">
        <v>79</v>
      </c>
      <c r="CX65" s="133" t="s">
        <v>80</v>
      </c>
      <c r="CY65" s="256" t="s">
        <v>81</v>
      </c>
      <c r="CZ65" s="256"/>
      <c r="DA65" s="22"/>
      <c r="DB65" s="251"/>
      <c r="DC65" s="251"/>
      <c r="DD65" s="251"/>
      <c r="DE65" s="251"/>
      <c r="DF65" s="46"/>
      <c r="DG65" s="47"/>
      <c r="DH65" s="47"/>
      <c r="DI65" s="47"/>
      <c r="DJ65" s="63"/>
      <c r="DK65" s="47"/>
      <c r="DL65" s="64"/>
      <c r="DM65" s="64"/>
    </row>
    <row r="66" spans="1:117" s="45" customFormat="1" ht="13.5">
      <c r="A66" s="96"/>
      <c r="B66" s="97"/>
      <c r="C66" s="98"/>
      <c r="D66" s="101"/>
      <c r="E66" s="101"/>
      <c r="F66" s="258"/>
      <c r="G66" s="258"/>
      <c r="H66" s="258"/>
      <c r="I66" s="258"/>
      <c r="J66" s="258"/>
      <c r="K66" s="258"/>
      <c r="L66" s="258"/>
      <c r="M66" s="258"/>
      <c r="N66" s="258"/>
      <c r="O66" s="258"/>
      <c r="P66" s="258"/>
      <c r="Q66" s="258"/>
      <c r="R66" s="258"/>
      <c r="S66" s="258"/>
      <c r="T66" s="258"/>
      <c r="U66" s="258"/>
      <c r="V66" s="258"/>
      <c r="W66" s="258"/>
      <c r="X66" s="276">
        <v>1</v>
      </c>
      <c r="Y66" s="276"/>
      <c r="Z66" s="276"/>
      <c r="AA66" s="276"/>
      <c r="AB66" s="276"/>
      <c r="AC66" s="276">
        <v>2</v>
      </c>
      <c r="AD66" s="276"/>
      <c r="AE66" s="276"/>
      <c r="AF66" s="276"/>
      <c r="AG66" s="276"/>
      <c r="AH66" s="276">
        <v>3</v>
      </c>
      <c r="AI66" s="276"/>
      <c r="AJ66" s="276"/>
      <c r="AK66" s="276"/>
      <c r="AL66" s="276"/>
      <c r="AM66" s="258"/>
      <c r="AN66" s="258"/>
      <c r="AO66" s="258"/>
      <c r="AP66" s="258"/>
      <c r="AQ66" s="258"/>
      <c r="AR66" s="258"/>
      <c r="AS66" s="258"/>
      <c r="AT66" s="258"/>
      <c r="AU66" s="258"/>
      <c r="AV66" s="258"/>
      <c r="AW66" s="98"/>
      <c r="AX66" s="98"/>
      <c r="AY66" s="98"/>
      <c r="AZ66" s="100"/>
      <c r="BA66" s="96"/>
      <c r="BB66" s="234"/>
      <c r="BC66" s="235"/>
      <c r="BD66" s="235"/>
      <c r="BE66" s="235"/>
      <c r="BF66" s="236"/>
      <c r="BG66" s="275"/>
      <c r="BH66" s="275"/>
      <c r="BI66" s="275"/>
      <c r="BJ66" s="275"/>
      <c r="BK66" s="275"/>
      <c r="BL66" s="275"/>
      <c r="BM66" s="275"/>
      <c r="BN66" s="275"/>
      <c r="BO66" s="275"/>
      <c r="BP66" s="275"/>
      <c r="BQ66" s="275"/>
      <c r="BR66" s="275"/>
      <c r="BS66" s="275"/>
      <c r="BT66" s="275"/>
      <c r="BU66" s="275"/>
      <c r="BV66" s="96"/>
      <c r="BW66" s="24"/>
      <c r="BX66" s="256"/>
      <c r="BY66" s="254"/>
      <c r="BZ66" s="255"/>
      <c r="CA66" s="256"/>
      <c r="CB66" s="256"/>
      <c r="CC66" s="23"/>
      <c r="CD66" s="256"/>
      <c r="CE66" s="254"/>
      <c r="CF66" s="255"/>
      <c r="CG66" s="256"/>
      <c r="CH66" s="256"/>
      <c r="CI66" s="23"/>
      <c r="CJ66" s="256"/>
      <c r="CK66" s="254"/>
      <c r="CL66" s="255"/>
      <c r="CM66" s="256"/>
      <c r="CN66" s="256"/>
      <c r="CO66" s="23"/>
      <c r="CP66" s="256"/>
      <c r="CQ66" s="254"/>
      <c r="CR66" s="255"/>
      <c r="CS66" s="256"/>
      <c r="CT66" s="256"/>
      <c r="CU66" s="22"/>
      <c r="CV66" s="133" t="s">
        <v>82</v>
      </c>
      <c r="CW66" s="21" t="s">
        <v>83</v>
      </c>
      <c r="CX66" s="133" t="s">
        <v>84</v>
      </c>
      <c r="CY66" s="256" t="s">
        <v>85</v>
      </c>
      <c r="CZ66" s="256"/>
      <c r="DA66" s="22"/>
      <c r="DB66" s="251"/>
      <c r="DC66" s="251"/>
      <c r="DD66" s="251"/>
      <c r="DE66" s="251"/>
      <c r="DF66" s="46"/>
      <c r="DG66" s="47"/>
      <c r="DH66" s="47"/>
      <c r="DI66" s="47"/>
      <c r="DJ66" s="63"/>
      <c r="DK66" s="47"/>
      <c r="DL66" s="64"/>
      <c r="DM66" s="64"/>
    </row>
    <row r="67" spans="1:117" s="45" customFormat="1" ht="13.5">
      <c r="A67" s="96">
        <v>49.92</v>
      </c>
      <c r="B67" s="97"/>
      <c r="C67" s="98"/>
      <c r="D67" s="98"/>
      <c r="E67" s="98"/>
      <c r="F67" s="335" t="s">
        <v>93</v>
      </c>
      <c r="G67" s="335"/>
      <c r="H67" s="335"/>
      <c r="I67" s="335"/>
      <c r="J67" s="335"/>
      <c r="K67" s="335"/>
      <c r="L67" s="336">
        <v>50</v>
      </c>
      <c r="M67" s="337"/>
      <c r="N67" s="337"/>
      <c r="O67" s="337"/>
      <c r="P67" s="338" t="s">
        <v>92</v>
      </c>
      <c r="Q67" s="338"/>
      <c r="R67" s="339"/>
      <c r="S67" s="285" t="s">
        <v>30</v>
      </c>
      <c r="T67" s="285"/>
      <c r="U67" s="285"/>
      <c r="V67" s="285"/>
      <c r="W67" s="285"/>
      <c r="X67" s="392"/>
      <c r="Y67" s="393"/>
      <c r="Z67" s="393"/>
      <c r="AA67" s="393"/>
      <c r="AB67" s="394"/>
      <c r="AC67" s="392"/>
      <c r="AD67" s="393"/>
      <c r="AE67" s="393"/>
      <c r="AF67" s="393"/>
      <c r="AG67" s="394"/>
      <c r="AH67" s="392"/>
      <c r="AI67" s="393"/>
      <c r="AJ67" s="393"/>
      <c r="AK67" s="393"/>
      <c r="AL67" s="394"/>
      <c r="AM67" s="259" t="e">
        <f>AVERAGE(X67:AL67)</f>
        <v>#DIV/0!</v>
      </c>
      <c r="AN67" s="259"/>
      <c r="AO67" s="259"/>
      <c r="AP67" s="259"/>
      <c r="AQ67" s="259"/>
      <c r="AR67" s="297" t="e">
        <f t="shared" ref="AR67:AR68" si="33">AM67-L67</f>
        <v>#DIV/0!</v>
      </c>
      <c r="AS67" s="297"/>
      <c r="AT67" s="297"/>
      <c r="AU67" s="297"/>
      <c r="AV67" s="297"/>
      <c r="AW67" s="98"/>
      <c r="AX67" s="98"/>
      <c r="AY67" s="98"/>
      <c r="AZ67" s="100"/>
      <c r="BA67" s="96"/>
      <c r="BB67" s="229" t="e">
        <f>ABS(0.025%*AM67)+2*CK67</f>
        <v>#DIV/0!</v>
      </c>
      <c r="BC67" s="229"/>
      <c r="BD67" s="229"/>
      <c r="BE67" s="229"/>
      <c r="BF67" s="229"/>
      <c r="BG67" s="230" t="e">
        <f>BB67+L67</f>
        <v>#DIV/0!</v>
      </c>
      <c r="BH67" s="230"/>
      <c r="BI67" s="230"/>
      <c r="BJ67" s="230"/>
      <c r="BK67" s="230"/>
      <c r="BL67" s="230" t="e">
        <f t="shared" ref="BL67:BL68" si="34">L67-BB67</f>
        <v>#DIV/0!</v>
      </c>
      <c r="BM67" s="230"/>
      <c r="BN67" s="230"/>
      <c r="BO67" s="230"/>
      <c r="BP67" s="230"/>
      <c r="BQ67" s="265" t="e">
        <f>IF(AND(AVERAGE(X67:AL67)&lt;=BG67,AVERAGE(X67:AL67)&gt;=BL67),"PASS","FAIL")</f>
        <v>#DIV/0!</v>
      </c>
      <c r="BR67" s="265"/>
      <c r="BS67" s="265"/>
      <c r="BT67" s="265"/>
      <c r="BU67" s="265"/>
      <c r="BV67" s="96"/>
      <c r="BX67" s="48" t="s">
        <v>86</v>
      </c>
      <c r="BY67" s="17">
        <v>7.6999999999999996E-4</v>
      </c>
      <c r="BZ67" s="49" t="str">
        <f>P67</f>
        <v>mV</v>
      </c>
      <c r="CA67" s="48">
        <v>2</v>
      </c>
      <c r="CB67" s="50">
        <f t="shared" ref="CB67:CB68" si="35">BY67/CA67</f>
        <v>3.8499999999999998E-4</v>
      </c>
      <c r="CC67" s="51"/>
      <c r="CD67" s="20" t="s">
        <v>170</v>
      </c>
      <c r="CE67" s="15">
        <v>0</v>
      </c>
      <c r="CF67" s="19" t="str">
        <f>P67</f>
        <v>mV</v>
      </c>
      <c r="CG67" s="18">
        <f t="shared" ref="CG67:CG68" si="36">SQRT(3)</f>
        <v>1.7320508075688772</v>
      </c>
      <c r="CH67" s="16">
        <f t="shared" ref="CH67:CH68" si="37">CE67/CG67</f>
        <v>0</v>
      </c>
      <c r="CI67" s="51"/>
      <c r="CJ67" s="20" t="s">
        <v>87</v>
      </c>
      <c r="CK67" s="20">
        <v>0.01</v>
      </c>
      <c r="CL67" s="19" t="str">
        <f>P67</f>
        <v>mV</v>
      </c>
      <c r="CM67" s="18">
        <f t="shared" ref="CM67:CM68" si="38">SQRT(12)</f>
        <v>3.4641016151377544</v>
      </c>
      <c r="CN67" s="16">
        <f t="shared" ref="CN67:CN68" si="39">CK67/CM67</f>
        <v>2.886751345948129E-3</v>
      </c>
      <c r="CO67" s="6"/>
      <c r="CP67" s="20" t="s">
        <v>88</v>
      </c>
      <c r="CQ67" s="17" t="e">
        <f>STDEV(X67:AL67)</f>
        <v>#DIV/0!</v>
      </c>
      <c r="CR67" s="19" t="str">
        <f>P67</f>
        <v>mV</v>
      </c>
      <c r="CS67" s="18">
        <f t="shared" ref="CS67:CS68" si="40">SQRT(3)</f>
        <v>1.7320508075688772</v>
      </c>
      <c r="CT67" s="17" t="e">
        <f t="shared" ref="CT67:CT68" si="41">CQ67/CS67</f>
        <v>#DIV/0!</v>
      </c>
      <c r="CU67" s="7"/>
      <c r="CV67" s="16" t="e">
        <f t="shared" ref="CV67:CV68" si="42">SQRT(SUMSQ(CT67,CN67,CH67,CB67))</f>
        <v>#DIV/0!</v>
      </c>
      <c r="CW67" s="14" t="e">
        <f t="shared" ref="CW67:CW68" si="43">(CV67^4)/(((CT67^4)/2)+((CN67^4)/200)+((CH67^4)/200)+((CB67^4)/200))</f>
        <v>#DIV/0!</v>
      </c>
      <c r="CX67" s="14" t="e">
        <f t="shared" ref="CX67:CX68" si="44">ROUND(TINV(0.05,CW67),0)</f>
        <v>#DIV/0!</v>
      </c>
      <c r="CY67" s="28" t="e">
        <f t="shared" ref="CY67:CY68" si="45">(CV67*CX67)</f>
        <v>#DIV/0!</v>
      </c>
      <c r="CZ67" s="61" t="str">
        <f>P67</f>
        <v>mV</v>
      </c>
      <c r="DA67" s="7"/>
      <c r="DB67" s="122">
        <v>7.7999999999999999E-4</v>
      </c>
      <c r="DC67" s="123" t="str">
        <f t="shared" ref="DC67:DC68" si="46">CZ67</f>
        <v>mV</v>
      </c>
      <c r="DD67" s="125" t="e">
        <f t="shared" ref="DD67:DD68" si="47">MAX(DB67,CY67)</f>
        <v>#DIV/0!</v>
      </c>
      <c r="DE67" s="123" t="str">
        <f t="shared" ref="DE67:DE68" si="48">DC67</f>
        <v>mV</v>
      </c>
      <c r="DF67" s="51"/>
      <c r="DG67" s="53"/>
      <c r="DH67" s="53"/>
      <c r="DI67" s="53"/>
      <c r="DJ67" s="57"/>
      <c r="DK67" s="58"/>
      <c r="DL67" s="59"/>
      <c r="DM67" s="60"/>
    </row>
    <row r="68" spans="1:117" s="45" customFormat="1" ht="13.5">
      <c r="A68" s="96"/>
      <c r="B68" s="97"/>
      <c r="C68" s="98"/>
      <c r="D68" s="98"/>
      <c r="E68" s="98"/>
      <c r="F68" s="335" t="s">
        <v>94</v>
      </c>
      <c r="G68" s="335"/>
      <c r="H68" s="335"/>
      <c r="I68" s="335"/>
      <c r="J68" s="335"/>
      <c r="K68" s="335"/>
      <c r="L68" s="336">
        <v>0.2</v>
      </c>
      <c r="M68" s="337"/>
      <c r="N68" s="337"/>
      <c r="O68" s="337"/>
      <c r="P68" s="338" t="s">
        <v>95</v>
      </c>
      <c r="Q68" s="338"/>
      <c r="R68" s="339"/>
      <c r="S68" s="285" t="s">
        <v>30</v>
      </c>
      <c r="T68" s="285"/>
      <c r="U68" s="285"/>
      <c r="V68" s="285"/>
      <c r="W68" s="285"/>
      <c r="X68" s="350"/>
      <c r="Y68" s="350"/>
      <c r="Z68" s="350"/>
      <c r="AA68" s="350"/>
      <c r="AB68" s="350"/>
      <c r="AC68" s="350"/>
      <c r="AD68" s="350"/>
      <c r="AE68" s="350"/>
      <c r="AF68" s="350"/>
      <c r="AG68" s="350"/>
      <c r="AH68" s="350"/>
      <c r="AI68" s="350"/>
      <c r="AJ68" s="350"/>
      <c r="AK68" s="350"/>
      <c r="AL68" s="350"/>
      <c r="AM68" s="287" t="e">
        <f>AVERAGE(X68:AL68)</f>
        <v>#DIV/0!</v>
      </c>
      <c r="AN68" s="287"/>
      <c r="AO68" s="287"/>
      <c r="AP68" s="287"/>
      <c r="AQ68" s="287"/>
      <c r="AR68" s="351" t="e">
        <f t="shared" si="33"/>
        <v>#DIV/0!</v>
      </c>
      <c r="AS68" s="351"/>
      <c r="AT68" s="351"/>
      <c r="AU68" s="351"/>
      <c r="AV68" s="351"/>
      <c r="AW68" s="98"/>
      <c r="AX68" s="98"/>
      <c r="AY68" s="98"/>
      <c r="AZ68" s="100"/>
      <c r="BA68" s="96"/>
      <c r="BB68" s="240" t="e">
        <f t="shared" ref="BB68" si="49">ABS(0.025%*AM68)+2*CK68</f>
        <v>#DIV/0!</v>
      </c>
      <c r="BC68" s="240"/>
      <c r="BD68" s="240"/>
      <c r="BE68" s="240"/>
      <c r="BF68" s="240"/>
      <c r="BG68" s="241" t="e">
        <f t="shared" ref="BG68" si="50">BB68+L68</f>
        <v>#DIV/0!</v>
      </c>
      <c r="BH68" s="241"/>
      <c r="BI68" s="241"/>
      <c r="BJ68" s="241"/>
      <c r="BK68" s="241"/>
      <c r="BL68" s="241" t="e">
        <f t="shared" si="34"/>
        <v>#DIV/0!</v>
      </c>
      <c r="BM68" s="241"/>
      <c r="BN68" s="241"/>
      <c r="BO68" s="241"/>
      <c r="BP68" s="241"/>
      <c r="BQ68" s="265" t="e">
        <f>IF(AND(AVERAGE(X68:AL68)&lt;=BG68,AVERAGE(X68:AL68)&gt;=BL68),"PASS","FAIL")</f>
        <v>#DIV/0!</v>
      </c>
      <c r="BR68" s="265"/>
      <c r="BS68" s="265"/>
      <c r="BT68" s="265"/>
      <c r="BU68" s="265"/>
      <c r="BV68" s="96"/>
      <c r="BX68" s="48" t="s">
        <v>86</v>
      </c>
      <c r="BY68" s="160">
        <v>8.2999999999999999E-7</v>
      </c>
      <c r="BZ68" s="49" t="str">
        <f>P68</f>
        <v>V</v>
      </c>
      <c r="CA68" s="48">
        <v>2</v>
      </c>
      <c r="CB68" s="50">
        <f t="shared" si="35"/>
        <v>4.15E-7</v>
      </c>
      <c r="CC68" s="51"/>
      <c r="CD68" s="20" t="s">
        <v>170</v>
      </c>
      <c r="CE68" s="15">
        <v>0</v>
      </c>
      <c r="CF68" s="19" t="str">
        <f>P68</f>
        <v>V</v>
      </c>
      <c r="CG68" s="18">
        <f t="shared" si="36"/>
        <v>1.7320508075688772</v>
      </c>
      <c r="CH68" s="16">
        <f t="shared" si="37"/>
        <v>0</v>
      </c>
      <c r="CI68" s="51"/>
      <c r="CJ68" s="20" t="s">
        <v>87</v>
      </c>
      <c r="CK68" s="20">
        <v>1E-4</v>
      </c>
      <c r="CL68" s="19" t="str">
        <f>P68</f>
        <v>V</v>
      </c>
      <c r="CM68" s="18">
        <f t="shared" si="38"/>
        <v>3.4641016151377544</v>
      </c>
      <c r="CN68" s="16">
        <f t="shared" si="39"/>
        <v>2.8867513459481293E-5</v>
      </c>
      <c r="CO68" s="6"/>
      <c r="CP68" s="20" t="s">
        <v>88</v>
      </c>
      <c r="CQ68" s="17" t="e">
        <f>STDEV(X68:AL68)</f>
        <v>#DIV/0!</v>
      </c>
      <c r="CR68" s="19" t="str">
        <f>P68</f>
        <v>V</v>
      </c>
      <c r="CS68" s="18">
        <f t="shared" si="40"/>
        <v>1.7320508075688772</v>
      </c>
      <c r="CT68" s="17" t="e">
        <f t="shared" si="41"/>
        <v>#DIV/0!</v>
      </c>
      <c r="CU68" s="7"/>
      <c r="CV68" s="16" t="e">
        <f t="shared" si="42"/>
        <v>#DIV/0!</v>
      </c>
      <c r="CW68" s="14" t="e">
        <f t="shared" si="43"/>
        <v>#DIV/0!</v>
      </c>
      <c r="CX68" s="14" t="e">
        <f t="shared" si="44"/>
        <v>#DIV/0!</v>
      </c>
      <c r="CY68" s="28" t="e">
        <f t="shared" si="45"/>
        <v>#DIV/0!</v>
      </c>
      <c r="CZ68" s="61" t="str">
        <f>P68</f>
        <v>V</v>
      </c>
      <c r="DA68" s="7"/>
      <c r="DB68" s="122">
        <v>7.8000000000000005E-7</v>
      </c>
      <c r="DC68" s="123" t="str">
        <f t="shared" si="46"/>
        <v>V</v>
      </c>
      <c r="DD68" s="125" t="e">
        <f t="shared" si="47"/>
        <v>#DIV/0!</v>
      </c>
      <c r="DE68" s="123" t="str">
        <f t="shared" si="48"/>
        <v>V</v>
      </c>
      <c r="DF68" s="51"/>
      <c r="DG68" s="53"/>
      <c r="DH68" s="53"/>
      <c r="DI68" s="53"/>
      <c r="DJ68" s="57"/>
      <c r="DK68" s="58"/>
      <c r="DL68" s="59"/>
      <c r="DM68" s="60"/>
    </row>
    <row r="69" spans="1:117" ht="13.5">
      <c r="B69" s="93"/>
      <c r="C69" s="82"/>
      <c r="D69" s="82"/>
      <c r="E69" s="82"/>
      <c r="F69" s="82"/>
      <c r="G69" s="82"/>
      <c r="H69" s="82"/>
      <c r="I69" s="82"/>
      <c r="J69" s="82"/>
      <c r="K69" s="82"/>
      <c r="L69" s="82"/>
      <c r="M69" s="82"/>
      <c r="N69" s="82"/>
      <c r="O69" s="82"/>
      <c r="P69" s="82"/>
      <c r="Q69" s="82"/>
      <c r="R69" s="82"/>
      <c r="S69" s="82"/>
      <c r="T69" s="82"/>
      <c r="U69" s="82"/>
      <c r="V69" s="82"/>
      <c r="W69" s="82"/>
      <c r="X69" s="147"/>
      <c r="Y69" s="147"/>
      <c r="Z69" s="147"/>
      <c r="AA69" s="147"/>
      <c r="AB69" s="147"/>
      <c r="AC69" s="147"/>
      <c r="AD69" s="147"/>
      <c r="AE69" s="147"/>
      <c r="AF69" s="147"/>
      <c r="AG69" s="147"/>
      <c r="AH69" s="147"/>
      <c r="AI69" s="147"/>
      <c r="AJ69" s="147"/>
      <c r="AK69" s="147"/>
      <c r="AL69" s="147"/>
      <c r="AM69" s="82"/>
      <c r="AN69" s="82"/>
      <c r="AO69" s="82"/>
      <c r="AP69" s="82"/>
      <c r="AQ69" s="82"/>
      <c r="AR69" s="82"/>
      <c r="AS69" s="82"/>
      <c r="AT69" s="82"/>
      <c r="AU69" s="82"/>
      <c r="AV69" s="82"/>
      <c r="AW69" s="82"/>
      <c r="AX69" s="82"/>
      <c r="AY69" s="82"/>
      <c r="AZ69" s="94"/>
    </row>
    <row r="70" spans="1:117" s="45" customFormat="1" ht="13.7" customHeight="1">
      <c r="A70" s="96"/>
      <c r="B70" s="97"/>
      <c r="C70" s="98"/>
      <c r="D70" s="98"/>
      <c r="E70" s="98"/>
      <c r="F70" s="99" t="s">
        <v>171</v>
      </c>
      <c r="G70" s="98"/>
      <c r="H70" s="98"/>
      <c r="I70" s="98"/>
      <c r="J70" s="98"/>
      <c r="K70" s="98"/>
      <c r="L70" s="98"/>
      <c r="M70" s="98"/>
      <c r="N70" s="98"/>
      <c r="O70" s="98"/>
      <c r="P70" s="98"/>
      <c r="Q70" s="98"/>
      <c r="R70" s="98"/>
      <c r="S70" s="98"/>
      <c r="T70" s="98"/>
      <c r="U70" s="98"/>
      <c r="V70" s="98"/>
      <c r="W70" s="98"/>
      <c r="X70" s="148"/>
      <c r="Y70" s="148"/>
      <c r="Z70" s="148"/>
      <c r="AA70" s="148"/>
      <c r="AB70" s="148"/>
      <c r="AC70" s="148"/>
      <c r="AD70" s="148"/>
      <c r="AE70" s="148"/>
      <c r="AF70" s="148"/>
      <c r="AG70" s="148"/>
      <c r="AH70" s="148"/>
      <c r="AI70" s="148"/>
      <c r="AJ70" s="148"/>
      <c r="AK70" s="148"/>
      <c r="AL70" s="148"/>
      <c r="AM70" s="98"/>
      <c r="AN70" s="98"/>
      <c r="AO70" s="98"/>
      <c r="AP70" s="98"/>
      <c r="AQ70" s="98"/>
      <c r="AR70" s="98"/>
      <c r="AS70" s="98"/>
      <c r="AT70" s="98"/>
      <c r="AU70" s="98"/>
      <c r="AV70" s="98"/>
      <c r="AW70" s="98"/>
      <c r="AX70" s="98"/>
      <c r="AY70" s="98"/>
      <c r="AZ70" s="100"/>
      <c r="BA70" s="96"/>
      <c r="BB70" s="72"/>
      <c r="BC70" s="72"/>
      <c r="BD70" s="72"/>
      <c r="BE70" s="72"/>
      <c r="BF70" s="72"/>
      <c r="BG70" s="72"/>
      <c r="BH70" s="72"/>
      <c r="BI70" s="72"/>
      <c r="BJ70" s="72"/>
      <c r="BK70" s="72"/>
      <c r="BL70" s="72"/>
      <c r="BM70" s="72"/>
      <c r="BN70" s="72"/>
      <c r="BO70" s="72"/>
      <c r="BP70" s="72"/>
      <c r="BQ70" s="72"/>
      <c r="BR70" s="72"/>
      <c r="BS70" s="72"/>
      <c r="BT70" s="72"/>
      <c r="BU70" s="72"/>
      <c r="BV70" s="96"/>
      <c r="BW70" s="24"/>
      <c r="BX70" s="257" t="s">
        <v>70</v>
      </c>
      <c r="BY70" s="257"/>
      <c r="BZ70" s="257"/>
      <c r="CA70" s="257"/>
      <c r="CB70" s="257"/>
      <c r="CC70" s="25"/>
      <c r="CD70" s="257" t="s">
        <v>70</v>
      </c>
      <c r="CE70" s="257"/>
      <c r="CF70" s="257"/>
      <c r="CG70" s="257"/>
      <c r="CH70" s="257"/>
      <c r="CI70" s="25"/>
      <c r="CJ70" s="257" t="s">
        <v>180</v>
      </c>
      <c r="CK70" s="257"/>
      <c r="CL70" s="257"/>
      <c r="CM70" s="257"/>
      <c r="CN70" s="257"/>
      <c r="CO70" s="25"/>
      <c r="CP70" s="257" t="s">
        <v>180</v>
      </c>
      <c r="CQ70" s="257"/>
      <c r="CR70" s="257"/>
      <c r="CS70" s="257"/>
      <c r="CT70" s="257"/>
      <c r="CU70" s="24"/>
      <c r="CV70" s="257" t="s">
        <v>71</v>
      </c>
      <c r="CW70" s="257"/>
      <c r="CX70" s="257"/>
      <c r="CY70" s="257"/>
      <c r="CZ70" s="257"/>
      <c r="DA70" s="24"/>
      <c r="DB70" s="251" t="s">
        <v>191</v>
      </c>
      <c r="DC70" s="251"/>
      <c r="DD70" s="251" t="s">
        <v>158</v>
      </c>
      <c r="DE70" s="251"/>
      <c r="DG70" s="62"/>
      <c r="DH70" s="62"/>
      <c r="DI70" s="62"/>
      <c r="DJ70" s="62"/>
      <c r="DK70" s="62"/>
      <c r="DL70" s="62"/>
      <c r="DM70" s="62"/>
    </row>
    <row r="71" spans="1:117" s="45" customFormat="1" ht="13.7" customHeight="1">
      <c r="A71" s="96"/>
      <c r="B71" s="97"/>
      <c r="C71" s="98"/>
      <c r="D71" s="101"/>
      <c r="E71" s="101"/>
      <c r="F71" s="258" t="s">
        <v>27</v>
      </c>
      <c r="G71" s="258"/>
      <c r="H71" s="258"/>
      <c r="I71" s="258"/>
      <c r="J71" s="258"/>
      <c r="K71" s="258"/>
      <c r="L71" s="258" t="s">
        <v>28</v>
      </c>
      <c r="M71" s="258"/>
      <c r="N71" s="258"/>
      <c r="O71" s="258"/>
      <c r="P71" s="258"/>
      <c r="Q71" s="258"/>
      <c r="R71" s="258"/>
      <c r="S71" s="258" t="s">
        <v>72</v>
      </c>
      <c r="T71" s="258"/>
      <c r="U71" s="258"/>
      <c r="V71" s="258"/>
      <c r="W71" s="258"/>
      <c r="X71" s="276" t="s">
        <v>73</v>
      </c>
      <c r="Y71" s="276"/>
      <c r="Z71" s="276"/>
      <c r="AA71" s="276"/>
      <c r="AB71" s="276"/>
      <c r="AC71" s="276"/>
      <c r="AD71" s="276"/>
      <c r="AE71" s="276"/>
      <c r="AF71" s="276"/>
      <c r="AG71" s="276"/>
      <c r="AH71" s="276"/>
      <c r="AI71" s="276"/>
      <c r="AJ71" s="276"/>
      <c r="AK71" s="276"/>
      <c r="AL71" s="276"/>
      <c r="AM71" s="258" t="s">
        <v>74</v>
      </c>
      <c r="AN71" s="258"/>
      <c r="AO71" s="258"/>
      <c r="AP71" s="258"/>
      <c r="AQ71" s="258"/>
      <c r="AR71" s="258" t="s">
        <v>29</v>
      </c>
      <c r="AS71" s="258"/>
      <c r="AT71" s="258"/>
      <c r="AU71" s="258"/>
      <c r="AV71" s="258"/>
      <c r="AW71" s="98"/>
      <c r="AX71" s="98"/>
      <c r="AY71" s="98"/>
      <c r="AZ71" s="100"/>
      <c r="BA71" s="96"/>
      <c r="BB71" s="231" t="s">
        <v>188</v>
      </c>
      <c r="BC71" s="232"/>
      <c r="BD71" s="232"/>
      <c r="BE71" s="232"/>
      <c r="BF71" s="233"/>
      <c r="BG71" s="275" t="s">
        <v>138</v>
      </c>
      <c r="BH71" s="275"/>
      <c r="BI71" s="275"/>
      <c r="BJ71" s="275"/>
      <c r="BK71" s="275"/>
      <c r="BL71" s="275" t="s">
        <v>139</v>
      </c>
      <c r="BM71" s="275"/>
      <c r="BN71" s="275"/>
      <c r="BO71" s="275"/>
      <c r="BP71" s="275"/>
      <c r="BQ71" s="275" t="s">
        <v>144</v>
      </c>
      <c r="BR71" s="275"/>
      <c r="BS71" s="275"/>
      <c r="BT71" s="275"/>
      <c r="BU71" s="275"/>
      <c r="BV71" s="96"/>
      <c r="BW71" s="24"/>
      <c r="BX71" s="256" t="s">
        <v>75</v>
      </c>
      <c r="BY71" s="252" t="s">
        <v>137</v>
      </c>
      <c r="BZ71" s="253"/>
      <c r="CA71" s="256" t="s">
        <v>76</v>
      </c>
      <c r="CB71" s="256" t="s">
        <v>77</v>
      </c>
      <c r="CC71" s="23"/>
      <c r="CD71" s="256" t="s">
        <v>75</v>
      </c>
      <c r="CE71" s="252" t="s">
        <v>137</v>
      </c>
      <c r="CF71" s="253"/>
      <c r="CG71" s="256" t="s">
        <v>76</v>
      </c>
      <c r="CH71" s="256" t="s">
        <v>77</v>
      </c>
      <c r="CI71" s="23"/>
      <c r="CJ71" s="256" t="s">
        <v>75</v>
      </c>
      <c r="CK71" s="252" t="s">
        <v>137</v>
      </c>
      <c r="CL71" s="253"/>
      <c r="CM71" s="256" t="s">
        <v>76</v>
      </c>
      <c r="CN71" s="256" t="s">
        <v>77</v>
      </c>
      <c r="CO71" s="23"/>
      <c r="CP71" s="256" t="s">
        <v>75</v>
      </c>
      <c r="CQ71" s="252" t="s">
        <v>137</v>
      </c>
      <c r="CR71" s="253"/>
      <c r="CS71" s="256" t="s">
        <v>76</v>
      </c>
      <c r="CT71" s="256" t="s">
        <v>77</v>
      </c>
      <c r="CU71" s="22"/>
      <c r="CV71" s="133" t="s">
        <v>78</v>
      </c>
      <c r="CW71" s="21" t="s">
        <v>79</v>
      </c>
      <c r="CX71" s="133" t="s">
        <v>80</v>
      </c>
      <c r="CY71" s="256" t="s">
        <v>81</v>
      </c>
      <c r="CZ71" s="256"/>
      <c r="DA71" s="22"/>
      <c r="DB71" s="251"/>
      <c r="DC71" s="251"/>
      <c r="DD71" s="251"/>
      <c r="DE71" s="251"/>
      <c r="DF71" s="46"/>
      <c r="DG71" s="47"/>
      <c r="DH71" s="47"/>
      <c r="DI71" s="47"/>
      <c r="DJ71" s="63"/>
      <c r="DK71" s="47"/>
      <c r="DL71" s="64"/>
      <c r="DM71" s="64"/>
    </row>
    <row r="72" spans="1:117" s="45" customFormat="1" ht="13.5">
      <c r="A72" s="96"/>
      <c r="B72" s="97"/>
      <c r="C72" s="98"/>
      <c r="D72" s="101"/>
      <c r="E72" s="101"/>
      <c r="F72" s="258"/>
      <c r="G72" s="258"/>
      <c r="H72" s="258"/>
      <c r="I72" s="258"/>
      <c r="J72" s="258"/>
      <c r="K72" s="258"/>
      <c r="L72" s="258"/>
      <c r="M72" s="258"/>
      <c r="N72" s="258"/>
      <c r="O72" s="258"/>
      <c r="P72" s="258"/>
      <c r="Q72" s="258"/>
      <c r="R72" s="258"/>
      <c r="S72" s="258"/>
      <c r="T72" s="258"/>
      <c r="U72" s="258"/>
      <c r="V72" s="258"/>
      <c r="W72" s="258"/>
      <c r="X72" s="276">
        <v>1</v>
      </c>
      <c r="Y72" s="276"/>
      <c r="Z72" s="276"/>
      <c r="AA72" s="276"/>
      <c r="AB72" s="276"/>
      <c r="AC72" s="276">
        <v>2</v>
      </c>
      <c r="AD72" s="276"/>
      <c r="AE72" s="276"/>
      <c r="AF72" s="276"/>
      <c r="AG72" s="276"/>
      <c r="AH72" s="276">
        <v>3</v>
      </c>
      <c r="AI72" s="276"/>
      <c r="AJ72" s="276"/>
      <c r="AK72" s="276"/>
      <c r="AL72" s="276"/>
      <c r="AM72" s="258"/>
      <c r="AN72" s="258"/>
      <c r="AO72" s="258"/>
      <c r="AP72" s="258"/>
      <c r="AQ72" s="258"/>
      <c r="AR72" s="258"/>
      <c r="AS72" s="258"/>
      <c r="AT72" s="258"/>
      <c r="AU72" s="258"/>
      <c r="AV72" s="258"/>
      <c r="AW72" s="98"/>
      <c r="AX72" s="98"/>
      <c r="AY72" s="98"/>
      <c r="AZ72" s="100"/>
      <c r="BA72" s="96"/>
      <c r="BB72" s="234"/>
      <c r="BC72" s="235"/>
      <c r="BD72" s="235"/>
      <c r="BE72" s="235"/>
      <c r="BF72" s="236"/>
      <c r="BG72" s="275"/>
      <c r="BH72" s="275"/>
      <c r="BI72" s="275"/>
      <c r="BJ72" s="275"/>
      <c r="BK72" s="275"/>
      <c r="BL72" s="275"/>
      <c r="BM72" s="275"/>
      <c r="BN72" s="275"/>
      <c r="BO72" s="275"/>
      <c r="BP72" s="275"/>
      <c r="BQ72" s="275"/>
      <c r="BR72" s="275"/>
      <c r="BS72" s="275"/>
      <c r="BT72" s="275"/>
      <c r="BU72" s="275"/>
      <c r="BV72" s="96"/>
      <c r="BW72" s="24"/>
      <c r="BX72" s="256"/>
      <c r="BY72" s="254"/>
      <c r="BZ72" s="255"/>
      <c r="CA72" s="256"/>
      <c r="CB72" s="256"/>
      <c r="CC72" s="23"/>
      <c r="CD72" s="256"/>
      <c r="CE72" s="254"/>
      <c r="CF72" s="255"/>
      <c r="CG72" s="256"/>
      <c r="CH72" s="256"/>
      <c r="CI72" s="23"/>
      <c r="CJ72" s="256"/>
      <c r="CK72" s="254"/>
      <c r="CL72" s="255"/>
      <c r="CM72" s="256"/>
      <c r="CN72" s="256"/>
      <c r="CO72" s="23"/>
      <c r="CP72" s="256"/>
      <c r="CQ72" s="254"/>
      <c r="CR72" s="255"/>
      <c r="CS72" s="256"/>
      <c r="CT72" s="256"/>
      <c r="CU72" s="22"/>
      <c r="CV72" s="133" t="s">
        <v>82</v>
      </c>
      <c r="CW72" s="21" t="s">
        <v>83</v>
      </c>
      <c r="CX72" s="133" t="s">
        <v>84</v>
      </c>
      <c r="CY72" s="256" t="s">
        <v>85</v>
      </c>
      <c r="CZ72" s="256"/>
      <c r="DA72" s="22"/>
      <c r="DB72" s="251"/>
      <c r="DC72" s="251"/>
      <c r="DD72" s="251"/>
      <c r="DE72" s="251"/>
      <c r="DF72" s="46"/>
      <c r="DG72" s="47"/>
      <c r="DH72" s="47"/>
      <c r="DI72" s="47"/>
      <c r="DJ72" s="63"/>
      <c r="DK72" s="47"/>
      <c r="DL72" s="64"/>
      <c r="DM72" s="64"/>
    </row>
    <row r="73" spans="1:117" s="45" customFormat="1" ht="13.5">
      <c r="A73" s="96"/>
      <c r="B73" s="97"/>
      <c r="C73" s="98"/>
      <c r="D73" s="98"/>
      <c r="E73" s="98"/>
      <c r="F73" s="335" t="s">
        <v>93</v>
      </c>
      <c r="G73" s="335"/>
      <c r="H73" s="335"/>
      <c r="I73" s="335"/>
      <c r="J73" s="335"/>
      <c r="K73" s="335"/>
      <c r="L73" s="336">
        <v>250</v>
      </c>
      <c r="M73" s="337"/>
      <c r="N73" s="337"/>
      <c r="O73" s="337"/>
      <c r="P73" s="338" t="s">
        <v>92</v>
      </c>
      <c r="Q73" s="338"/>
      <c r="R73" s="339"/>
      <c r="S73" s="285" t="s">
        <v>165</v>
      </c>
      <c r="T73" s="285"/>
      <c r="U73" s="285"/>
      <c r="V73" s="285"/>
      <c r="W73" s="285"/>
      <c r="X73" s="296"/>
      <c r="Y73" s="296"/>
      <c r="Z73" s="296"/>
      <c r="AA73" s="296"/>
      <c r="AB73" s="296"/>
      <c r="AC73" s="296"/>
      <c r="AD73" s="296"/>
      <c r="AE73" s="296"/>
      <c r="AF73" s="296"/>
      <c r="AG73" s="296"/>
      <c r="AH73" s="296"/>
      <c r="AI73" s="296"/>
      <c r="AJ73" s="296"/>
      <c r="AK73" s="296"/>
      <c r="AL73" s="296"/>
      <c r="AM73" s="259" t="e">
        <f>AVERAGE(X73:AL73)</f>
        <v>#DIV/0!</v>
      </c>
      <c r="AN73" s="259"/>
      <c r="AO73" s="259"/>
      <c r="AP73" s="259"/>
      <c r="AQ73" s="259"/>
      <c r="AR73" s="297" t="e">
        <f t="shared" ref="AR73:AR74" si="51">AM73-L73</f>
        <v>#DIV/0!</v>
      </c>
      <c r="AS73" s="297"/>
      <c r="AT73" s="297"/>
      <c r="AU73" s="297"/>
      <c r="AV73" s="297"/>
      <c r="AW73" s="98"/>
      <c r="AX73" s="98"/>
      <c r="AY73" s="98"/>
      <c r="AZ73" s="100"/>
      <c r="BA73" s="96"/>
      <c r="BB73" s="230" t="e">
        <f>ABS(3.5%*AM73)+(40*CK73)</f>
        <v>#DIV/0!</v>
      </c>
      <c r="BC73" s="230"/>
      <c r="BD73" s="230"/>
      <c r="BE73" s="230"/>
      <c r="BF73" s="230"/>
      <c r="BG73" s="230">
        <v>262.89999999999998</v>
      </c>
      <c r="BH73" s="230"/>
      <c r="BI73" s="230"/>
      <c r="BJ73" s="230"/>
      <c r="BK73" s="230"/>
      <c r="BL73" s="230">
        <v>237.1</v>
      </c>
      <c r="BM73" s="230"/>
      <c r="BN73" s="230"/>
      <c r="BO73" s="230"/>
      <c r="BP73" s="230"/>
      <c r="BQ73" s="265" t="e">
        <f>IF(AND(AVERAGE(X73:AL73)&lt;=BG73,AVERAGE(X73:AL73)&gt;=BL73),"PASS","FAIL")</f>
        <v>#DIV/0!</v>
      </c>
      <c r="BR73" s="265"/>
      <c r="BS73" s="265"/>
      <c r="BT73" s="265"/>
      <c r="BU73" s="265"/>
      <c r="BV73" s="96"/>
      <c r="BX73" s="48" t="s">
        <v>86</v>
      </c>
      <c r="BY73" s="17">
        <v>7.0000000000000007E-2</v>
      </c>
      <c r="BZ73" s="49" t="str">
        <f>P73</f>
        <v>mV</v>
      </c>
      <c r="CA73" s="48">
        <v>2</v>
      </c>
      <c r="CB73" s="50">
        <f t="shared" ref="CB73:CB74" si="52">BY73/CA73</f>
        <v>3.5000000000000003E-2</v>
      </c>
      <c r="CC73" s="51"/>
      <c r="CD73" s="20" t="s">
        <v>170</v>
      </c>
      <c r="CE73" s="15">
        <v>0</v>
      </c>
      <c r="CF73" s="19" t="str">
        <f>P73</f>
        <v>mV</v>
      </c>
      <c r="CG73" s="18">
        <f t="shared" ref="CG73:CG74" si="53">SQRT(3)</f>
        <v>1.7320508075688772</v>
      </c>
      <c r="CH73" s="16">
        <f t="shared" ref="CH73:CH74" si="54">CE73/CG73</f>
        <v>0</v>
      </c>
      <c r="CI73" s="51"/>
      <c r="CJ73" s="20" t="s">
        <v>87</v>
      </c>
      <c r="CK73" s="20">
        <v>0.01</v>
      </c>
      <c r="CL73" s="19" t="str">
        <f>P73</f>
        <v>mV</v>
      </c>
      <c r="CM73" s="18">
        <f t="shared" ref="CM73:CM74" si="55">SQRT(12)</f>
        <v>3.4641016151377544</v>
      </c>
      <c r="CN73" s="16">
        <f t="shared" ref="CN73:CN74" si="56">CK73/CM73</f>
        <v>2.886751345948129E-3</v>
      </c>
      <c r="CO73" s="6"/>
      <c r="CP73" s="20" t="s">
        <v>88</v>
      </c>
      <c r="CQ73" s="17" t="e">
        <f>STDEV(X73:AL73)</f>
        <v>#DIV/0!</v>
      </c>
      <c r="CR73" s="19" t="str">
        <f>P73</f>
        <v>mV</v>
      </c>
      <c r="CS73" s="18">
        <f t="shared" ref="CS73:CS74" si="57">SQRT(3)</f>
        <v>1.7320508075688772</v>
      </c>
      <c r="CT73" s="17" t="e">
        <f t="shared" ref="CT73:CT74" si="58">CQ73/CS73</f>
        <v>#DIV/0!</v>
      </c>
      <c r="CU73" s="7"/>
      <c r="CV73" s="16" t="e">
        <f t="shared" ref="CV73:CV74" si="59">SQRT(SUMSQ(CT73,CN73,CH73,CB73))</f>
        <v>#DIV/0!</v>
      </c>
      <c r="CW73" s="14" t="e">
        <f t="shared" ref="CW73:CW74" si="60">(CV73^4)/(((CT73^4)/2)+((CN73^4)/200)+((CH73^4)/200)+((CB73^4)/200))</f>
        <v>#DIV/0!</v>
      </c>
      <c r="CX73" s="14" t="e">
        <f t="shared" ref="CX73:CX74" si="61">ROUND(TINV(0.05,CW73),0)</f>
        <v>#DIV/0!</v>
      </c>
      <c r="CY73" s="28" t="e">
        <f t="shared" ref="CY73:CY74" si="62">(CV73*CX73)</f>
        <v>#DIV/0!</v>
      </c>
      <c r="CZ73" s="61" t="str">
        <f>P73</f>
        <v>mV</v>
      </c>
      <c r="DA73" s="7"/>
      <c r="DB73" s="122">
        <v>1.4999999999999999E-2</v>
      </c>
      <c r="DC73" s="123" t="str">
        <f t="shared" ref="DC73:DC74" si="63">CZ73</f>
        <v>mV</v>
      </c>
      <c r="DD73" s="125" t="e">
        <f t="shared" ref="DD73:DD74" si="64">MAX(DB73,CY73)</f>
        <v>#DIV/0!</v>
      </c>
      <c r="DE73" s="123" t="str">
        <f t="shared" ref="DE73:DE74" si="65">DC73</f>
        <v>mV</v>
      </c>
      <c r="DF73" s="51"/>
      <c r="DG73" s="53"/>
      <c r="DH73" s="53"/>
      <c r="DI73" s="53"/>
      <c r="DJ73" s="57"/>
      <c r="DK73" s="58"/>
      <c r="DL73" s="59"/>
      <c r="DM73" s="60"/>
    </row>
    <row r="74" spans="1:117" s="45" customFormat="1" ht="13.5">
      <c r="A74" s="96"/>
      <c r="B74" s="97"/>
      <c r="C74" s="98"/>
      <c r="D74" s="98"/>
      <c r="E74" s="98"/>
      <c r="F74" s="335" t="s">
        <v>94</v>
      </c>
      <c r="G74" s="335"/>
      <c r="H74" s="335"/>
      <c r="I74" s="335"/>
      <c r="J74" s="335"/>
      <c r="K74" s="335"/>
      <c r="L74" s="336">
        <v>2</v>
      </c>
      <c r="M74" s="337"/>
      <c r="N74" s="337"/>
      <c r="O74" s="337"/>
      <c r="P74" s="338" t="s">
        <v>95</v>
      </c>
      <c r="Q74" s="338"/>
      <c r="R74" s="339"/>
      <c r="S74" s="285" t="s">
        <v>155</v>
      </c>
      <c r="T74" s="285"/>
      <c r="U74" s="285"/>
      <c r="V74" s="285"/>
      <c r="W74" s="285"/>
      <c r="X74" s="350"/>
      <c r="Y74" s="350"/>
      <c r="Z74" s="350"/>
      <c r="AA74" s="350"/>
      <c r="AB74" s="350"/>
      <c r="AC74" s="350"/>
      <c r="AD74" s="350"/>
      <c r="AE74" s="350"/>
      <c r="AF74" s="350"/>
      <c r="AG74" s="350"/>
      <c r="AH74" s="350"/>
      <c r="AI74" s="350"/>
      <c r="AJ74" s="350"/>
      <c r="AK74" s="350"/>
      <c r="AL74" s="350"/>
      <c r="AM74" s="287" t="e">
        <f>AVERAGE(X74:AL74)</f>
        <v>#DIV/0!</v>
      </c>
      <c r="AN74" s="287"/>
      <c r="AO74" s="287"/>
      <c r="AP74" s="287"/>
      <c r="AQ74" s="287"/>
      <c r="AR74" s="351" t="e">
        <f t="shared" si="51"/>
        <v>#DIV/0!</v>
      </c>
      <c r="AS74" s="351"/>
      <c r="AT74" s="351"/>
      <c r="AU74" s="351"/>
      <c r="AV74" s="351"/>
      <c r="AW74" s="98"/>
      <c r="AX74" s="98"/>
      <c r="AY74" s="98"/>
      <c r="AZ74" s="100"/>
      <c r="BA74" s="96"/>
      <c r="BB74" s="241" t="e">
        <f>ABS(0.3%*AM74)+(25*CK74)</f>
        <v>#DIV/0!</v>
      </c>
      <c r="BC74" s="241"/>
      <c r="BD74" s="241"/>
      <c r="BE74" s="241"/>
      <c r="BF74" s="241"/>
      <c r="BG74" s="241">
        <v>2.036</v>
      </c>
      <c r="BH74" s="241"/>
      <c r="BI74" s="241"/>
      <c r="BJ74" s="241"/>
      <c r="BK74" s="241"/>
      <c r="BL74" s="241">
        <v>1.964</v>
      </c>
      <c r="BM74" s="241"/>
      <c r="BN74" s="241"/>
      <c r="BO74" s="241"/>
      <c r="BP74" s="241"/>
      <c r="BQ74" s="265" t="e">
        <f>IF(AND(AVERAGE(X74:AL74)&lt;=BG74,AVERAGE(X74:AL74)&gt;=BL74),"PASS","FAIL")</f>
        <v>#DIV/0!</v>
      </c>
      <c r="BR74" s="265"/>
      <c r="BS74" s="265"/>
      <c r="BT74" s="265"/>
      <c r="BU74" s="265"/>
      <c r="BV74" s="96"/>
      <c r="BX74" s="48" t="s">
        <v>86</v>
      </c>
      <c r="BY74" s="17">
        <v>1.5E-3</v>
      </c>
      <c r="BZ74" s="49" t="str">
        <f>P74</f>
        <v>V</v>
      </c>
      <c r="CA74" s="48">
        <v>2</v>
      </c>
      <c r="CB74" s="50">
        <f t="shared" si="52"/>
        <v>7.5000000000000002E-4</v>
      </c>
      <c r="CC74" s="51"/>
      <c r="CD74" s="20" t="s">
        <v>170</v>
      </c>
      <c r="CE74" s="15">
        <v>0</v>
      </c>
      <c r="CF74" s="19" t="str">
        <f>P74</f>
        <v>V</v>
      </c>
      <c r="CG74" s="18">
        <f t="shared" si="53"/>
        <v>1.7320508075688772</v>
      </c>
      <c r="CH74" s="16">
        <f t="shared" si="54"/>
        <v>0</v>
      </c>
      <c r="CI74" s="51"/>
      <c r="CJ74" s="20" t="s">
        <v>87</v>
      </c>
      <c r="CK74" s="20">
        <v>1E-4</v>
      </c>
      <c r="CL74" s="19" t="str">
        <f>P74</f>
        <v>V</v>
      </c>
      <c r="CM74" s="18">
        <f t="shared" si="55"/>
        <v>3.4641016151377544</v>
      </c>
      <c r="CN74" s="16">
        <f t="shared" si="56"/>
        <v>2.8867513459481293E-5</v>
      </c>
      <c r="CO74" s="6"/>
      <c r="CP74" s="20" t="s">
        <v>88</v>
      </c>
      <c r="CQ74" s="17" t="e">
        <f>STDEV(X74:AL74)</f>
        <v>#DIV/0!</v>
      </c>
      <c r="CR74" s="19" t="str">
        <f>P74</f>
        <v>V</v>
      </c>
      <c r="CS74" s="18">
        <f t="shared" si="57"/>
        <v>1.7320508075688772</v>
      </c>
      <c r="CT74" s="17" t="e">
        <f t="shared" si="58"/>
        <v>#DIV/0!</v>
      </c>
      <c r="CU74" s="7"/>
      <c r="CV74" s="16" t="e">
        <f t="shared" si="59"/>
        <v>#DIV/0!</v>
      </c>
      <c r="CW74" s="14" t="e">
        <f t="shared" si="60"/>
        <v>#DIV/0!</v>
      </c>
      <c r="CX74" s="14" t="e">
        <f t="shared" si="61"/>
        <v>#DIV/0!</v>
      </c>
      <c r="CY74" s="28" t="e">
        <f t="shared" si="62"/>
        <v>#DIV/0!</v>
      </c>
      <c r="CZ74" s="61" t="str">
        <f>P74</f>
        <v>V</v>
      </c>
      <c r="DA74" s="7"/>
      <c r="DB74" s="122">
        <v>8.5000000000000006E-5</v>
      </c>
      <c r="DC74" s="123" t="str">
        <f t="shared" si="63"/>
        <v>V</v>
      </c>
      <c r="DD74" s="125" t="e">
        <f t="shared" si="64"/>
        <v>#DIV/0!</v>
      </c>
      <c r="DE74" s="123" t="str">
        <f t="shared" si="65"/>
        <v>V</v>
      </c>
      <c r="DF74" s="51"/>
      <c r="DG74" s="53"/>
      <c r="DH74" s="53"/>
      <c r="DI74" s="53"/>
      <c r="DJ74" s="57"/>
      <c r="DK74" s="58"/>
      <c r="DL74" s="59"/>
      <c r="DM74" s="60"/>
    </row>
    <row r="75" spans="1:117" ht="13.5">
      <c r="B75" s="93"/>
      <c r="C75" s="82"/>
      <c r="D75" s="82"/>
      <c r="E75" s="82"/>
      <c r="F75" s="82"/>
      <c r="G75" s="82"/>
      <c r="H75" s="82"/>
      <c r="I75" s="82"/>
      <c r="J75" s="82"/>
      <c r="K75" s="82"/>
      <c r="L75" s="82"/>
      <c r="M75" s="82"/>
      <c r="N75" s="82"/>
      <c r="O75" s="82"/>
      <c r="P75" s="82"/>
      <c r="Q75" s="82"/>
      <c r="R75" s="82"/>
      <c r="S75" s="82"/>
      <c r="T75" s="82"/>
      <c r="U75" s="82"/>
      <c r="V75" s="82"/>
      <c r="W75" s="82"/>
      <c r="X75" s="147"/>
      <c r="Y75" s="147"/>
      <c r="Z75" s="147"/>
      <c r="AA75" s="147"/>
      <c r="AB75" s="147"/>
      <c r="AC75" s="147"/>
      <c r="AD75" s="147"/>
      <c r="AE75" s="147"/>
      <c r="AF75" s="147"/>
      <c r="AG75" s="147"/>
      <c r="AH75" s="147"/>
      <c r="AI75" s="147"/>
      <c r="AJ75" s="147"/>
      <c r="AK75" s="147"/>
      <c r="AL75" s="147"/>
      <c r="AM75" s="82"/>
      <c r="AN75" s="82"/>
      <c r="AO75" s="82"/>
      <c r="AP75" s="82"/>
      <c r="AQ75" s="82"/>
      <c r="AR75" s="82"/>
      <c r="AS75" s="82"/>
      <c r="AT75" s="82"/>
      <c r="AU75" s="82"/>
      <c r="AV75" s="82"/>
      <c r="AW75" s="82"/>
      <c r="AX75" s="82"/>
      <c r="AY75" s="82"/>
      <c r="AZ75" s="94"/>
    </row>
    <row r="76" spans="1:117" ht="13.7" customHeight="1">
      <c r="B76" s="93"/>
      <c r="C76" s="82"/>
      <c r="D76" s="71"/>
      <c r="E76" s="82"/>
      <c r="F76" s="95" t="s">
        <v>90</v>
      </c>
      <c r="G76" s="82"/>
      <c r="H76" s="82"/>
      <c r="I76" s="82"/>
      <c r="J76" s="82"/>
      <c r="K76" s="82"/>
      <c r="L76" s="82"/>
      <c r="M76" s="82"/>
      <c r="N76" s="82"/>
      <c r="O76" s="82"/>
      <c r="P76" s="82"/>
      <c r="Q76" s="82"/>
      <c r="R76" s="82"/>
      <c r="S76" s="82"/>
      <c r="T76" s="82"/>
      <c r="U76" s="82"/>
      <c r="V76" s="82"/>
      <c r="W76" s="82"/>
      <c r="X76" s="147"/>
      <c r="Y76" s="147"/>
      <c r="Z76" s="147"/>
      <c r="AA76" s="147"/>
      <c r="AB76" s="147"/>
      <c r="AC76" s="147"/>
      <c r="AD76" s="147"/>
      <c r="AE76" s="147"/>
      <c r="AF76" s="147"/>
      <c r="AG76" s="147"/>
      <c r="AH76" s="147"/>
      <c r="AI76" s="147"/>
      <c r="AJ76" s="147"/>
      <c r="AK76" s="147"/>
      <c r="AL76" s="147"/>
      <c r="AM76" s="82"/>
      <c r="AN76" s="82"/>
      <c r="AO76" s="82"/>
      <c r="AP76" s="82"/>
      <c r="AQ76" s="82"/>
      <c r="AR76" s="82"/>
      <c r="AS76" s="82"/>
      <c r="AT76" s="82"/>
      <c r="AU76" s="82"/>
      <c r="AV76" s="82"/>
      <c r="AW76" s="82"/>
      <c r="AX76" s="82"/>
      <c r="AY76" s="82"/>
      <c r="AZ76" s="94"/>
      <c r="BX76" s="257" t="s">
        <v>70</v>
      </c>
      <c r="BY76" s="257"/>
      <c r="BZ76" s="257"/>
      <c r="CA76" s="257"/>
      <c r="CB76" s="257"/>
      <c r="CC76" s="25"/>
      <c r="CD76" s="257" t="s">
        <v>70</v>
      </c>
      <c r="CE76" s="257"/>
      <c r="CF76" s="257"/>
      <c r="CG76" s="257"/>
      <c r="CH76" s="257"/>
      <c r="CI76" s="25"/>
      <c r="CJ76" s="257" t="s">
        <v>180</v>
      </c>
      <c r="CK76" s="257"/>
      <c r="CL76" s="257"/>
      <c r="CM76" s="257"/>
      <c r="CN76" s="257"/>
      <c r="CO76" s="25"/>
      <c r="CP76" s="257" t="s">
        <v>180</v>
      </c>
      <c r="CQ76" s="257"/>
      <c r="CR76" s="257"/>
      <c r="CS76" s="257"/>
      <c r="CT76" s="257"/>
      <c r="CV76" s="257" t="s">
        <v>71</v>
      </c>
      <c r="CW76" s="257"/>
      <c r="CX76" s="257"/>
      <c r="CY76" s="257"/>
      <c r="CZ76" s="257"/>
      <c r="DB76" s="251" t="s">
        <v>191</v>
      </c>
      <c r="DC76" s="251"/>
      <c r="DD76" s="251" t="s">
        <v>158</v>
      </c>
      <c r="DE76" s="251"/>
    </row>
    <row r="77" spans="1:117" ht="13.7" customHeight="1">
      <c r="B77" s="93"/>
      <c r="C77" s="82"/>
      <c r="D77" s="71"/>
      <c r="E77" s="71"/>
      <c r="F77" s="286" t="s">
        <v>27</v>
      </c>
      <c r="G77" s="286"/>
      <c r="H77" s="286"/>
      <c r="I77" s="286"/>
      <c r="J77" s="286"/>
      <c r="K77" s="286"/>
      <c r="L77" s="286" t="s">
        <v>28</v>
      </c>
      <c r="M77" s="286"/>
      <c r="N77" s="286"/>
      <c r="O77" s="286"/>
      <c r="P77" s="286"/>
      <c r="Q77" s="286"/>
      <c r="R77" s="286"/>
      <c r="S77" s="286" t="s">
        <v>72</v>
      </c>
      <c r="T77" s="286"/>
      <c r="U77" s="286"/>
      <c r="V77" s="286"/>
      <c r="W77" s="286"/>
      <c r="X77" s="326" t="s">
        <v>73</v>
      </c>
      <c r="Y77" s="326"/>
      <c r="Z77" s="326"/>
      <c r="AA77" s="326"/>
      <c r="AB77" s="326"/>
      <c r="AC77" s="326"/>
      <c r="AD77" s="326"/>
      <c r="AE77" s="326"/>
      <c r="AF77" s="326"/>
      <c r="AG77" s="326"/>
      <c r="AH77" s="326"/>
      <c r="AI77" s="326"/>
      <c r="AJ77" s="326"/>
      <c r="AK77" s="326"/>
      <c r="AL77" s="326"/>
      <c r="AM77" s="286" t="s">
        <v>74</v>
      </c>
      <c r="AN77" s="286"/>
      <c r="AO77" s="286"/>
      <c r="AP77" s="286"/>
      <c r="AQ77" s="286"/>
      <c r="AR77" s="286" t="s">
        <v>29</v>
      </c>
      <c r="AS77" s="286"/>
      <c r="AT77" s="286"/>
      <c r="AU77" s="286"/>
      <c r="AV77" s="286"/>
      <c r="AW77" s="82"/>
      <c r="AX77" s="82"/>
      <c r="AY77" s="82"/>
      <c r="AZ77" s="94"/>
      <c r="BB77" s="231" t="s">
        <v>188</v>
      </c>
      <c r="BC77" s="232"/>
      <c r="BD77" s="232"/>
      <c r="BE77" s="232"/>
      <c r="BF77" s="233"/>
      <c r="BG77" s="257" t="s">
        <v>138</v>
      </c>
      <c r="BH77" s="257"/>
      <c r="BI77" s="257"/>
      <c r="BJ77" s="257"/>
      <c r="BK77" s="257"/>
      <c r="BL77" s="257" t="s">
        <v>139</v>
      </c>
      <c r="BM77" s="257"/>
      <c r="BN77" s="257"/>
      <c r="BO77" s="257"/>
      <c r="BP77" s="257"/>
      <c r="BQ77" s="257" t="s">
        <v>144</v>
      </c>
      <c r="BR77" s="257"/>
      <c r="BS77" s="257"/>
      <c r="BT77" s="257"/>
      <c r="BU77" s="257"/>
      <c r="BX77" s="256" t="s">
        <v>75</v>
      </c>
      <c r="BY77" s="252" t="s">
        <v>137</v>
      </c>
      <c r="BZ77" s="253"/>
      <c r="CA77" s="256" t="s">
        <v>76</v>
      </c>
      <c r="CB77" s="256" t="s">
        <v>77</v>
      </c>
      <c r="CC77" s="23"/>
      <c r="CD77" s="256" t="s">
        <v>75</v>
      </c>
      <c r="CE77" s="252" t="s">
        <v>137</v>
      </c>
      <c r="CF77" s="253"/>
      <c r="CG77" s="256" t="s">
        <v>76</v>
      </c>
      <c r="CH77" s="256" t="s">
        <v>77</v>
      </c>
      <c r="CI77" s="23"/>
      <c r="CJ77" s="256" t="s">
        <v>75</v>
      </c>
      <c r="CK77" s="252" t="s">
        <v>137</v>
      </c>
      <c r="CL77" s="253"/>
      <c r="CM77" s="256" t="s">
        <v>76</v>
      </c>
      <c r="CN77" s="256" t="s">
        <v>77</v>
      </c>
      <c r="CO77" s="23"/>
      <c r="CP77" s="256" t="s">
        <v>75</v>
      </c>
      <c r="CQ77" s="252" t="s">
        <v>137</v>
      </c>
      <c r="CR77" s="253"/>
      <c r="CS77" s="256" t="s">
        <v>76</v>
      </c>
      <c r="CT77" s="256" t="s">
        <v>77</v>
      </c>
      <c r="CU77" s="22"/>
      <c r="CV77" s="133" t="s">
        <v>78</v>
      </c>
      <c r="CW77" s="21" t="s">
        <v>79</v>
      </c>
      <c r="CX77" s="133" t="s">
        <v>80</v>
      </c>
      <c r="CY77" s="256" t="s">
        <v>81</v>
      </c>
      <c r="CZ77" s="256"/>
      <c r="DA77" s="22"/>
      <c r="DB77" s="251"/>
      <c r="DC77" s="251"/>
      <c r="DD77" s="251"/>
      <c r="DE77" s="251"/>
    </row>
    <row r="78" spans="1:117" ht="13.5">
      <c r="B78" s="93"/>
      <c r="C78" s="82"/>
      <c r="D78" s="71"/>
      <c r="E78" s="71"/>
      <c r="F78" s="286"/>
      <c r="G78" s="286"/>
      <c r="H78" s="286"/>
      <c r="I78" s="286"/>
      <c r="J78" s="286"/>
      <c r="K78" s="286"/>
      <c r="L78" s="286"/>
      <c r="M78" s="286"/>
      <c r="N78" s="286"/>
      <c r="O78" s="286"/>
      <c r="P78" s="286"/>
      <c r="Q78" s="286"/>
      <c r="R78" s="286"/>
      <c r="S78" s="286"/>
      <c r="T78" s="286"/>
      <c r="U78" s="286"/>
      <c r="V78" s="286"/>
      <c r="W78" s="286"/>
      <c r="X78" s="326">
        <v>1</v>
      </c>
      <c r="Y78" s="326"/>
      <c r="Z78" s="326"/>
      <c r="AA78" s="326"/>
      <c r="AB78" s="326"/>
      <c r="AC78" s="326">
        <v>2</v>
      </c>
      <c r="AD78" s="326"/>
      <c r="AE78" s="326"/>
      <c r="AF78" s="326"/>
      <c r="AG78" s="326"/>
      <c r="AH78" s="326">
        <v>3</v>
      </c>
      <c r="AI78" s="326"/>
      <c r="AJ78" s="326"/>
      <c r="AK78" s="326"/>
      <c r="AL78" s="326"/>
      <c r="AM78" s="286"/>
      <c r="AN78" s="286"/>
      <c r="AO78" s="286"/>
      <c r="AP78" s="286"/>
      <c r="AQ78" s="286"/>
      <c r="AR78" s="286"/>
      <c r="AS78" s="286"/>
      <c r="AT78" s="286"/>
      <c r="AU78" s="286"/>
      <c r="AV78" s="286"/>
      <c r="AW78" s="82"/>
      <c r="AX78" s="82"/>
      <c r="AY78" s="82"/>
      <c r="AZ78" s="94"/>
      <c r="BB78" s="234"/>
      <c r="BC78" s="235"/>
      <c r="BD78" s="235"/>
      <c r="BE78" s="235"/>
      <c r="BF78" s="236"/>
      <c r="BG78" s="257"/>
      <c r="BH78" s="257"/>
      <c r="BI78" s="257"/>
      <c r="BJ78" s="257"/>
      <c r="BK78" s="257"/>
      <c r="BL78" s="257"/>
      <c r="BM78" s="257"/>
      <c r="BN78" s="257"/>
      <c r="BO78" s="257"/>
      <c r="BP78" s="257"/>
      <c r="BQ78" s="257"/>
      <c r="BR78" s="257"/>
      <c r="BS78" s="257"/>
      <c r="BT78" s="257"/>
      <c r="BU78" s="257"/>
      <c r="BX78" s="256"/>
      <c r="BY78" s="254"/>
      <c r="BZ78" s="255"/>
      <c r="CA78" s="256"/>
      <c r="CB78" s="256"/>
      <c r="CC78" s="23"/>
      <c r="CD78" s="256"/>
      <c r="CE78" s="254"/>
      <c r="CF78" s="255"/>
      <c r="CG78" s="256"/>
      <c r="CH78" s="256"/>
      <c r="CI78" s="23"/>
      <c r="CJ78" s="256"/>
      <c r="CK78" s="254"/>
      <c r="CL78" s="255"/>
      <c r="CM78" s="256"/>
      <c r="CN78" s="256"/>
      <c r="CO78" s="23"/>
      <c r="CP78" s="256"/>
      <c r="CQ78" s="254"/>
      <c r="CR78" s="255"/>
      <c r="CS78" s="256"/>
      <c r="CT78" s="256"/>
      <c r="CU78" s="22"/>
      <c r="CV78" s="133" t="s">
        <v>82</v>
      </c>
      <c r="CW78" s="21" t="s">
        <v>83</v>
      </c>
      <c r="CX78" s="133" t="s">
        <v>84</v>
      </c>
      <c r="CY78" s="256" t="s">
        <v>85</v>
      </c>
      <c r="CZ78" s="256"/>
      <c r="DA78" s="22"/>
      <c r="DB78" s="251"/>
      <c r="DC78" s="251"/>
      <c r="DD78" s="251"/>
      <c r="DE78" s="251"/>
    </row>
    <row r="79" spans="1:117" ht="13.5">
      <c r="B79" s="93"/>
      <c r="C79" s="82"/>
      <c r="D79" s="82"/>
      <c r="E79" s="82"/>
      <c r="F79" s="341" t="s">
        <v>91</v>
      </c>
      <c r="G79" s="342"/>
      <c r="H79" s="342"/>
      <c r="I79" s="342"/>
      <c r="J79" s="342"/>
      <c r="K79" s="343"/>
      <c r="L79" s="373">
        <v>5</v>
      </c>
      <c r="M79" s="374"/>
      <c r="N79" s="374"/>
      <c r="O79" s="374"/>
      <c r="P79" s="281" t="s">
        <v>92</v>
      </c>
      <c r="Q79" s="281"/>
      <c r="R79" s="282"/>
      <c r="S79" s="278" t="s">
        <v>127</v>
      </c>
      <c r="T79" s="278"/>
      <c r="U79" s="278"/>
      <c r="V79" s="278"/>
      <c r="W79" s="278"/>
      <c r="X79" s="283"/>
      <c r="Y79" s="283"/>
      <c r="Z79" s="283"/>
      <c r="AA79" s="283"/>
      <c r="AB79" s="283"/>
      <c r="AC79" s="283"/>
      <c r="AD79" s="283"/>
      <c r="AE79" s="283"/>
      <c r="AF79" s="283"/>
      <c r="AG79" s="283"/>
      <c r="AH79" s="283"/>
      <c r="AI79" s="283"/>
      <c r="AJ79" s="283"/>
      <c r="AK79" s="283"/>
      <c r="AL79" s="283"/>
      <c r="AM79" s="284" t="e">
        <f>AVERAGE(X79:AL79)</f>
        <v>#DIV/0!</v>
      </c>
      <c r="AN79" s="284"/>
      <c r="AO79" s="284"/>
      <c r="AP79" s="284"/>
      <c r="AQ79" s="284"/>
      <c r="AR79" s="284" t="e">
        <f t="shared" ref="AR79:AR88" si="66">AM79-L79</f>
        <v>#DIV/0!</v>
      </c>
      <c r="AS79" s="284"/>
      <c r="AT79" s="284"/>
      <c r="AU79" s="284"/>
      <c r="AV79" s="284"/>
      <c r="AW79" s="82"/>
      <c r="AX79" s="82"/>
      <c r="AY79" s="82"/>
      <c r="AZ79" s="94"/>
      <c r="BB79" s="242" t="e">
        <f>ABS(1.5%*AM79)+(60*CK79)</f>
        <v>#DIV/0!</v>
      </c>
      <c r="BC79" s="242"/>
      <c r="BD79" s="242"/>
      <c r="BE79" s="242"/>
      <c r="BF79" s="242"/>
      <c r="BG79" s="239">
        <v>5.1349999999999998</v>
      </c>
      <c r="BH79" s="239"/>
      <c r="BI79" s="239"/>
      <c r="BJ79" s="239"/>
      <c r="BK79" s="239"/>
      <c r="BL79" s="239">
        <v>4.8650000000000002</v>
      </c>
      <c r="BM79" s="239"/>
      <c r="BN79" s="239"/>
      <c r="BO79" s="239"/>
      <c r="BP79" s="239"/>
      <c r="BQ79" s="265" t="e">
        <f t="shared" ref="BQ79:BQ89" si="67">IF(AND(AVERAGE(X79:AL79)&lt;=BG79,AVERAGE(X79:AL79)&gt;=BL79),"PASS","FAIL")</f>
        <v>#DIV/0!</v>
      </c>
      <c r="BR79" s="265"/>
      <c r="BS79" s="265"/>
      <c r="BT79" s="265"/>
      <c r="BU79" s="265"/>
      <c r="BX79" s="20" t="s">
        <v>86</v>
      </c>
      <c r="BY79" s="142">
        <v>8.8000000000000005E-3</v>
      </c>
      <c r="BZ79" s="19" t="str">
        <f t="shared" ref="BZ79:BZ89" si="68">P79</f>
        <v>mV</v>
      </c>
      <c r="CA79" s="20">
        <v>2</v>
      </c>
      <c r="CB79" s="16">
        <f t="shared" ref="CB79:CB89" si="69">BY79/CA79</f>
        <v>4.4000000000000003E-3</v>
      </c>
      <c r="CC79" s="6"/>
      <c r="CD79" s="20" t="s">
        <v>170</v>
      </c>
      <c r="CE79" s="15">
        <v>0</v>
      </c>
      <c r="CF79" s="19" t="str">
        <f t="shared" ref="CF79:CF89" si="70">P79</f>
        <v>mV</v>
      </c>
      <c r="CG79" s="18">
        <f t="shared" ref="CG79:CG89" si="71">SQRT(3)</f>
        <v>1.7320508075688772</v>
      </c>
      <c r="CH79" s="16">
        <f t="shared" ref="CH79:CH89" si="72">CE79/CG79</f>
        <v>0</v>
      </c>
      <c r="CI79" s="6"/>
      <c r="CJ79" s="20" t="s">
        <v>87</v>
      </c>
      <c r="CK79" s="20">
        <v>1E-3</v>
      </c>
      <c r="CL79" s="19" t="str">
        <f t="shared" ref="CL79:CL89" si="73">P79</f>
        <v>mV</v>
      </c>
      <c r="CM79" s="18">
        <f t="shared" ref="CM79:CM89" si="74">SQRT(12)</f>
        <v>3.4641016151377544</v>
      </c>
      <c r="CN79" s="16">
        <f t="shared" ref="CN79:CN89" si="75">CK79/CM79</f>
        <v>2.886751345948129E-4</v>
      </c>
      <c r="CO79" s="6"/>
      <c r="CP79" s="20" t="s">
        <v>88</v>
      </c>
      <c r="CQ79" s="17" t="e">
        <f t="shared" ref="CQ79:CQ89" si="76">STDEV(X79:AL79)</f>
        <v>#DIV/0!</v>
      </c>
      <c r="CR79" s="19" t="str">
        <f t="shared" ref="CR79:CR89" si="77">P79</f>
        <v>mV</v>
      </c>
      <c r="CS79" s="18">
        <f t="shared" ref="CS79:CS89" si="78">SQRT(3)</f>
        <v>1.7320508075688772</v>
      </c>
      <c r="CT79" s="17" t="e">
        <f t="shared" ref="CT79:CT89" si="79">CQ79/CS79</f>
        <v>#DIV/0!</v>
      </c>
      <c r="CU79" s="7"/>
      <c r="CV79" s="16" t="e">
        <f t="shared" ref="CV79:CV89" si="80">SQRT(SUMSQ(CT79,CN79,CH79,CB79))</f>
        <v>#DIV/0!</v>
      </c>
      <c r="CW79" s="14" t="e">
        <f t="shared" ref="CW79:CW89" si="81">(CV79^4)/(((CT79^4)/2)+((CN79^4)/200)+((CH79^4)/200)+((CB79^4)/200))</f>
        <v>#DIV/0!</v>
      </c>
      <c r="CX79" s="14" t="e">
        <f t="shared" ref="CX79:CX89" si="82">ROUND(TINV(0.05,CW79),0)</f>
        <v>#DIV/0!</v>
      </c>
      <c r="CY79" s="26" t="e">
        <f t="shared" ref="CY79:CY89" si="83">(CV79*CX79)</f>
        <v>#DIV/0!</v>
      </c>
      <c r="CZ79" s="12" t="str">
        <f t="shared" ref="CZ79:CZ89" si="84">P79</f>
        <v>mV</v>
      </c>
      <c r="DA79" s="7"/>
      <c r="DB79" s="122">
        <v>4.7999999999999996E-3</v>
      </c>
      <c r="DC79" s="123" t="str">
        <f t="shared" ref="DC79:DC89" si="85">CZ79</f>
        <v>mV</v>
      </c>
      <c r="DD79" s="125" t="e">
        <f t="shared" ref="DD79:DD89" si="86">MAX(DB79,CY79)</f>
        <v>#DIV/0!</v>
      </c>
      <c r="DE79" s="123" t="str">
        <f t="shared" ref="DE79:DE89" si="87">DC79</f>
        <v>mV</v>
      </c>
    </row>
    <row r="80" spans="1:117" ht="13.5">
      <c r="B80" s="93"/>
      <c r="C80" s="82"/>
      <c r="D80" s="82"/>
      <c r="E80" s="82"/>
      <c r="F80" s="368"/>
      <c r="G80" s="369"/>
      <c r="H80" s="369"/>
      <c r="I80" s="369"/>
      <c r="J80" s="369"/>
      <c r="K80" s="370"/>
      <c r="L80" s="373">
        <v>50</v>
      </c>
      <c r="M80" s="374"/>
      <c r="N80" s="374"/>
      <c r="O80" s="374"/>
      <c r="P80" s="281" t="s">
        <v>92</v>
      </c>
      <c r="Q80" s="281"/>
      <c r="R80" s="282"/>
      <c r="S80" s="278" t="s">
        <v>140</v>
      </c>
      <c r="T80" s="278"/>
      <c r="U80" s="278"/>
      <c r="V80" s="278"/>
      <c r="W80" s="278"/>
      <c r="X80" s="283"/>
      <c r="Y80" s="283"/>
      <c r="Z80" s="283"/>
      <c r="AA80" s="283"/>
      <c r="AB80" s="283"/>
      <c r="AC80" s="283"/>
      <c r="AD80" s="283"/>
      <c r="AE80" s="283"/>
      <c r="AF80" s="283"/>
      <c r="AG80" s="283"/>
      <c r="AH80" s="283"/>
      <c r="AI80" s="283"/>
      <c r="AJ80" s="283"/>
      <c r="AK80" s="283"/>
      <c r="AL80" s="283"/>
      <c r="AM80" s="284" t="e">
        <f t="shared" ref="AM80:AM89" si="88">AVERAGE(X80:AL80)</f>
        <v>#DIV/0!</v>
      </c>
      <c r="AN80" s="284"/>
      <c r="AO80" s="284"/>
      <c r="AP80" s="284"/>
      <c r="AQ80" s="284"/>
      <c r="AR80" s="284" t="e">
        <f t="shared" si="66"/>
        <v>#DIV/0!</v>
      </c>
      <c r="AS80" s="284"/>
      <c r="AT80" s="284"/>
      <c r="AU80" s="284"/>
      <c r="AV80" s="284"/>
      <c r="AW80" s="82"/>
      <c r="AX80" s="82"/>
      <c r="AY80" s="82"/>
      <c r="AZ80" s="94"/>
      <c r="BB80" s="239" t="e">
        <f>ABS(1.5%*AM80)+(60*CK80)</f>
        <v>#DIV/0!</v>
      </c>
      <c r="BC80" s="239"/>
      <c r="BD80" s="239"/>
      <c r="BE80" s="239"/>
      <c r="BF80" s="239"/>
      <c r="BG80" s="239">
        <v>51.79</v>
      </c>
      <c r="BH80" s="239"/>
      <c r="BI80" s="239"/>
      <c r="BJ80" s="239"/>
      <c r="BK80" s="239"/>
      <c r="BL80" s="239">
        <v>48.21</v>
      </c>
      <c r="BM80" s="239"/>
      <c r="BN80" s="239"/>
      <c r="BO80" s="239"/>
      <c r="BP80" s="239"/>
      <c r="BQ80" s="265" t="e">
        <f t="shared" si="67"/>
        <v>#DIV/0!</v>
      </c>
      <c r="BR80" s="265"/>
      <c r="BS80" s="265"/>
      <c r="BT80" s="265"/>
      <c r="BU80" s="265"/>
      <c r="BX80" s="20" t="s">
        <v>86</v>
      </c>
      <c r="BY80" s="18">
        <v>0.59</v>
      </c>
      <c r="BZ80" s="19" t="str">
        <f t="shared" si="68"/>
        <v>mV</v>
      </c>
      <c r="CA80" s="20">
        <v>2</v>
      </c>
      <c r="CB80" s="16">
        <f t="shared" si="69"/>
        <v>0.29499999999999998</v>
      </c>
      <c r="CC80" s="6"/>
      <c r="CD80" s="20" t="s">
        <v>170</v>
      </c>
      <c r="CE80" s="15">
        <v>0</v>
      </c>
      <c r="CF80" s="19" t="str">
        <f t="shared" si="70"/>
        <v>mV</v>
      </c>
      <c r="CG80" s="18">
        <f t="shared" si="71"/>
        <v>1.7320508075688772</v>
      </c>
      <c r="CH80" s="16">
        <f t="shared" si="72"/>
        <v>0</v>
      </c>
      <c r="CI80" s="6"/>
      <c r="CJ80" s="20" t="s">
        <v>87</v>
      </c>
      <c r="CK80" s="20">
        <v>1E-3</v>
      </c>
      <c r="CL80" s="19" t="str">
        <f t="shared" si="73"/>
        <v>mV</v>
      </c>
      <c r="CM80" s="18">
        <f t="shared" si="74"/>
        <v>3.4641016151377544</v>
      </c>
      <c r="CN80" s="16">
        <f t="shared" si="75"/>
        <v>2.886751345948129E-4</v>
      </c>
      <c r="CO80" s="6"/>
      <c r="CP80" s="20" t="s">
        <v>88</v>
      </c>
      <c r="CQ80" s="17" t="e">
        <f t="shared" si="76"/>
        <v>#DIV/0!</v>
      </c>
      <c r="CR80" s="19" t="str">
        <f t="shared" si="77"/>
        <v>mV</v>
      </c>
      <c r="CS80" s="18">
        <f t="shared" si="78"/>
        <v>1.7320508075688772</v>
      </c>
      <c r="CT80" s="17" t="e">
        <f t="shared" si="79"/>
        <v>#DIV/0!</v>
      </c>
      <c r="CU80" s="7"/>
      <c r="CV80" s="16" t="e">
        <f t="shared" si="80"/>
        <v>#DIV/0!</v>
      </c>
      <c r="CW80" s="14" t="e">
        <f t="shared" si="81"/>
        <v>#DIV/0!</v>
      </c>
      <c r="CX80" s="14" t="e">
        <f t="shared" si="82"/>
        <v>#DIV/0!</v>
      </c>
      <c r="CY80" s="26" t="e">
        <f t="shared" si="83"/>
        <v>#DIV/0!</v>
      </c>
      <c r="CZ80" s="12" t="str">
        <f t="shared" si="84"/>
        <v>mV</v>
      </c>
      <c r="DA80" s="7"/>
      <c r="DB80" s="122">
        <v>1.4999999999999999E-2</v>
      </c>
      <c r="DC80" s="123" t="str">
        <f t="shared" si="85"/>
        <v>mV</v>
      </c>
      <c r="DD80" s="125" t="e">
        <f t="shared" si="86"/>
        <v>#DIV/0!</v>
      </c>
      <c r="DE80" s="123" t="str">
        <f t="shared" si="87"/>
        <v>mV</v>
      </c>
    </row>
    <row r="81" spans="1:117" ht="13.5">
      <c r="B81" s="93"/>
      <c r="C81" s="82"/>
      <c r="D81" s="82"/>
      <c r="E81" s="82"/>
      <c r="F81" s="341" t="s">
        <v>93</v>
      </c>
      <c r="G81" s="342"/>
      <c r="H81" s="342"/>
      <c r="I81" s="342"/>
      <c r="J81" s="342"/>
      <c r="K81" s="343"/>
      <c r="L81" s="313">
        <v>50</v>
      </c>
      <c r="M81" s="314"/>
      <c r="N81" s="314"/>
      <c r="O81" s="314"/>
      <c r="P81" s="281" t="s">
        <v>92</v>
      </c>
      <c r="Q81" s="281"/>
      <c r="R81" s="282"/>
      <c r="S81" s="278" t="s">
        <v>141</v>
      </c>
      <c r="T81" s="278"/>
      <c r="U81" s="278"/>
      <c r="V81" s="278"/>
      <c r="W81" s="278"/>
      <c r="X81" s="260"/>
      <c r="Y81" s="261"/>
      <c r="Z81" s="261"/>
      <c r="AA81" s="261"/>
      <c r="AB81" s="262"/>
      <c r="AC81" s="260"/>
      <c r="AD81" s="261"/>
      <c r="AE81" s="261"/>
      <c r="AF81" s="261"/>
      <c r="AG81" s="262"/>
      <c r="AH81" s="260"/>
      <c r="AI81" s="261"/>
      <c r="AJ81" s="261"/>
      <c r="AK81" s="261"/>
      <c r="AL81" s="262"/>
      <c r="AM81" s="259" t="e">
        <f t="shared" si="88"/>
        <v>#DIV/0!</v>
      </c>
      <c r="AN81" s="259"/>
      <c r="AO81" s="259"/>
      <c r="AP81" s="259"/>
      <c r="AQ81" s="259"/>
      <c r="AR81" s="259" t="e">
        <f t="shared" si="66"/>
        <v>#DIV/0!</v>
      </c>
      <c r="AS81" s="259"/>
      <c r="AT81" s="259"/>
      <c r="AU81" s="259"/>
      <c r="AV81" s="259"/>
      <c r="AW81" s="82"/>
      <c r="AX81" s="82"/>
      <c r="AY81" s="82"/>
      <c r="AZ81" s="94"/>
      <c r="BB81" s="237" t="e">
        <f t="shared" ref="BB81" si="89">ABS(0.4%*AM81)+(25*CK81)</f>
        <v>#DIV/0!</v>
      </c>
      <c r="BC81" s="237"/>
      <c r="BD81" s="237"/>
      <c r="BE81" s="237"/>
      <c r="BF81" s="237"/>
      <c r="BG81" s="237">
        <v>52.15</v>
      </c>
      <c r="BH81" s="237"/>
      <c r="BI81" s="237"/>
      <c r="BJ81" s="237"/>
      <c r="BK81" s="237"/>
      <c r="BL81" s="237">
        <v>47.85</v>
      </c>
      <c r="BM81" s="237"/>
      <c r="BN81" s="237"/>
      <c r="BO81" s="237"/>
      <c r="BP81" s="237"/>
      <c r="BQ81" s="265" t="e">
        <f t="shared" si="67"/>
        <v>#DIV/0!</v>
      </c>
      <c r="BR81" s="265"/>
      <c r="BS81" s="265"/>
      <c r="BT81" s="265"/>
      <c r="BU81" s="265"/>
      <c r="BX81" s="20" t="s">
        <v>86</v>
      </c>
      <c r="BY81" s="18">
        <v>0.59</v>
      </c>
      <c r="BZ81" s="19" t="str">
        <f t="shared" si="68"/>
        <v>mV</v>
      </c>
      <c r="CA81" s="20">
        <v>2</v>
      </c>
      <c r="CB81" s="16">
        <f t="shared" si="69"/>
        <v>0.29499999999999998</v>
      </c>
      <c r="CC81" s="6"/>
      <c r="CD81" s="20" t="s">
        <v>170</v>
      </c>
      <c r="CE81" s="15">
        <v>0</v>
      </c>
      <c r="CF81" s="19" t="str">
        <f t="shared" si="70"/>
        <v>mV</v>
      </c>
      <c r="CG81" s="18">
        <f t="shared" si="71"/>
        <v>1.7320508075688772</v>
      </c>
      <c r="CH81" s="16">
        <f t="shared" si="72"/>
        <v>0</v>
      </c>
      <c r="CI81" s="6"/>
      <c r="CJ81" s="20" t="s">
        <v>87</v>
      </c>
      <c r="CK81" s="20">
        <v>0.01</v>
      </c>
      <c r="CL81" s="19" t="str">
        <f t="shared" si="73"/>
        <v>mV</v>
      </c>
      <c r="CM81" s="18">
        <f t="shared" si="74"/>
        <v>3.4641016151377544</v>
      </c>
      <c r="CN81" s="16">
        <f t="shared" si="75"/>
        <v>2.886751345948129E-3</v>
      </c>
      <c r="CO81" s="6"/>
      <c r="CP81" s="20" t="s">
        <v>88</v>
      </c>
      <c r="CQ81" s="17" t="e">
        <f t="shared" si="76"/>
        <v>#DIV/0!</v>
      </c>
      <c r="CR81" s="19" t="str">
        <f t="shared" si="77"/>
        <v>mV</v>
      </c>
      <c r="CS81" s="18">
        <f t="shared" si="78"/>
        <v>1.7320508075688772</v>
      </c>
      <c r="CT81" s="17" t="e">
        <f t="shared" si="79"/>
        <v>#DIV/0!</v>
      </c>
      <c r="CU81" s="7"/>
      <c r="CV81" s="16" t="e">
        <f t="shared" si="80"/>
        <v>#DIV/0!</v>
      </c>
      <c r="CW81" s="14" t="e">
        <f t="shared" si="81"/>
        <v>#DIV/0!</v>
      </c>
      <c r="CX81" s="14" t="e">
        <f t="shared" si="82"/>
        <v>#DIV/0!</v>
      </c>
      <c r="CY81" s="26" t="e">
        <f t="shared" si="83"/>
        <v>#DIV/0!</v>
      </c>
      <c r="CZ81" s="12" t="str">
        <f t="shared" si="84"/>
        <v>mV</v>
      </c>
      <c r="DA81" s="7"/>
      <c r="DB81" s="122">
        <v>4.4999999999999998E-2</v>
      </c>
      <c r="DC81" s="123" t="str">
        <f t="shared" si="85"/>
        <v>mV</v>
      </c>
      <c r="DD81" s="125" t="e">
        <f t="shared" si="86"/>
        <v>#DIV/0!</v>
      </c>
      <c r="DE81" s="123" t="str">
        <f t="shared" si="87"/>
        <v>mV</v>
      </c>
    </row>
    <row r="82" spans="1:117" ht="13.5">
      <c r="B82" s="93"/>
      <c r="C82" s="82"/>
      <c r="D82" s="82"/>
      <c r="E82" s="82"/>
      <c r="F82" s="368"/>
      <c r="G82" s="369"/>
      <c r="H82" s="369"/>
      <c r="I82" s="369"/>
      <c r="J82" s="369"/>
      <c r="K82" s="370"/>
      <c r="L82" s="313">
        <v>250</v>
      </c>
      <c r="M82" s="314"/>
      <c r="N82" s="314"/>
      <c r="O82" s="314"/>
      <c r="P82" s="281" t="s">
        <v>92</v>
      </c>
      <c r="Q82" s="281"/>
      <c r="R82" s="282"/>
      <c r="S82" s="278" t="s">
        <v>98</v>
      </c>
      <c r="T82" s="278"/>
      <c r="U82" s="278"/>
      <c r="V82" s="278"/>
      <c r="W82" s="278"/>
      <c r="X82" s="260"/>
      <c r="Y82" s="261"/>
      <c r="Z82" s="261"/>
      <c r="AA82" s="261"/>
      <c r="AB82" s="262"/>
      <c r="AC82" s="260"/>
      <c r="AD82" s="261"/>
      <c r="AE82" s="261"/>
      <c r="AF82" s="261"/>
      <c r="AG82" s="262"/>
      <c r="AH82" s="260"/>
      <c r="AI82" s="261"/>
      <c r="AJ82" s="261"/>
      <c r="AK82" s="261"/>
      <c r="AL82" s="262"/>
      <c r="AM82" s="259" t="e">
        <f t="shared" si="88"/>
        <v>#DIV/0!</v>
      </c>
      <c r="AN82" s="259"/>
      <c r="AO82" s="259"/>
      <c r="AP82" s="259"/>
      <c r="AQ82" s="259"/>
      <c r="AR82" s="259" t="e">
        <f t="shared" si="66"/>
        <v>#DIV/0!</v>
      </c>
      <c r="AS82" s="259"/>
      <c r="AT82" s="259"/>
      <c r="AU82" s="259"/>
      <c r="AV82" s="259"/>
      <c r="AW82" s="82"/>
      <c r="AX82" s="82"/>
      <c r="AY82" s="82"/>
      <c r="AZ82" s="94"/>
      <c r="BB82" s="237" t="e">
        <f>ABS(0.3%*AM82)+(60*CK82)</f>
        <v>#DIV/0!</v>
      </c>
      <c r="BC82" s="237"/>
      <c r="BD82" s="237"/>
      <c r="BE82" s="237"/>
      <c r="BF82" s="237"/>
      <c r="BG82" s="237">
        <v>259.14999999999998</v>
      </c>
      <c r="BH82" s="237"/>
      <c r="BI82" s="237"/>
      <c r="BJ82" s="237"/>
      <c r="BK82" s="237"/>
      <c r="BL82" s="237">
        <v>240.85</v>
      </c>
      <c r="BM82" s="237"/>
      <c r="BN82" s="237"/>
      <c r="BO82" s="237"/>
      <c r="BP82" s="237"/>
      <c r="BQ82" s="265" t="e">
        <f t="shared" si="67"/>
        <v>#DIV/0!</v>
      </c>
      <c r="BR82" s="265"/>
      <c r="BS82" s="265"/>
      <c r="BT82" s="265"/>
      <c r="BU82" s="265"/>
      <c r="BX82" s="20" t="s">
        <v>86</v>
      </c>
      <c r="BY82" s="18">
        <v>7.0000000000000007E-2</v>
      </c>
      <c r="BZ82" s="19" t="str">
        <f t="shared" si="68"/>
        <v>mV</v>
      </c>
      <c r="CA82" s="20">
        <v>2</v>
      </c>
      <c r="CB82" s="16">
        <f t="shared" si="69"/>
        <v>3.5000000000000003E-2</v>
      </c>
      <c r="CC82" s="6"/>
      <c r="CD82" s="20" t="s">
        <v>170</v>
      </c>
      <c r="CE82" s="15">
        <v>0</v>
      </c>
      <c r="CF82" s="19" t="str">
        <f t="shared" si="70"/>
        <v>mV</v>
      </c>
      <c r="CG82" s="18">
        <f t="shared" si="71"/>
        <v>1.7320508075688772</v>
      </c>
      <c r="CH82" s="16">
        <f t="shared" si="72"/>
        <v>0</v>
      </c>
      <c r="CI82" s="6"/>
      <c r="CJ82" s="20" t="s">
        <v>87</v>
      </c>
      <c r="CK82" s="20">
        <v>0.01</v>
      </c>
      <c r="CL82" s="19" t="str">
        <f t="shared" si="73"/>
        <v>mV</v>
      </c>
      <c r="CM82" s="18">
        <f t="shared" si="74"/>
        <v>3.4641016151377544</v>
      </c>
      <c r="CN82" s="16">
        <f t="shared" si="75"/>
        <v>2.886751345948129E-3</v>
      </c>
      <c r="CO82" s="6"/>
      <c r="CP82" s="20" t="s">
        <v>88</v>
      </c>
      <c r="CQ82" s="17" t="e">
        <f t="shared" si="76"/>
        <v>#DIV/0!</v>
      </c>
      <c r="CR82" s="19" t="str">
        <f t="shared" si="77"/>
        <v>mV</v>
      </c>
      <c r="CS82" s="18">
        <f t="shared" si="78"/>
        <v>1.7320508075688772</v>
      </c>
      <c r="CT82" s="17" t="e">
        <f t="shared" si="79"/>
        <v>#DIV/0!</v>
      </c>
      <c r="CU82" s="7"/>
      <c r="CV82" s="16" t="e">
        <f t="shared" si="80"/>
        <v>#DIV/0!</v>
      </c>
      <c r="CW82" s="14" t="e">
        <f t="shared" si="81"/>
        <v>#DIV/0!</v>
      </c>
      <c r="CX82" s="14" t="e">
        <f t="shared" si="82"/>
        <v>#DIV/0!</v>
      </c>
      <c r="CY82" s="26" t="e">
        <f t="shared" si="83"/>
        <v>#DIV/0!</v>
      </c>
      <c r="CZ82" s="12" t="str">
        <f t="shared" si="84"/>
        <v>mV</v>
      </c>
      <c r="DA82" s="7"/>
      <c r="DB82" s="122">
        <v>0.01</v>
      </c>
      <c r="DC82" s="123" t="str">
        <f t="shared" si="85"/>
        <v>mV</v>
      </c>
      <c r="DD82" s="125" t="e">
        <f t="shared" si="86"/>
        <v>#DIV/0!</v>
      </c>
      <c r="DE82" s="123" t="str">
        <f t="shared" si="87"/>
        <v>mV</v>
      </c>
    </row>
    <row r="83" spans="1:117" ht="13.5">
      <c r="B83" s="93"/>
      <c r="C83" s="82"/>
      <c r="D83" s="82"/>
      <c r="E83" s="82"/>
      <c r="F83" s="344"/>
      <c r="G83" s="345"/>
      <c r="H83" s="345"/>
      <c r="I83" s="345"/>
      <c r="J83" s="345"/>
      <c r="K83" s="346"/>
      <c r="L83" s="313">
        <v>500</v>
      </c>
      <c r="M83" s="314"/>
      <c r="N83" s="314"/>
      <c r="O83" s="314"/>
      <c r="P83" s="281" t="s">
        <v>92</v>
      </c>
      <c r="Q83" s="281"/>
      <c r="R83" s="282"/>
      <c r="S83" s="278" t="s">
        <v>128</v>
      </c>
      <c r="T83" s="278"/>
      <c r="U83" s="278"/>
      <c r="V83" s="278"/>
      <c r="W83" s="278"/>
      <c r="X83" s="260"/>
      <c r="Y83" s="261"/>
      <c r="Z83" s="261"/>
      <c r="AA83" s="261"/>
      <c r="AB83" s="262"/>
      <c r="AC83" s="260"/>
      <c r="AD83" s="261"/>
      <c r="AE83" s="261"/>
      <c r="AF83" s="261"/>
      <c r="AG83" s="262"/>
      <c r="AH83" s="260"/>
      <c r="AI83" s="261"/>
      <c r="AJ83" s="261"/>
      <c r="AK83" s="261"/>
      <c r="AL83" s="262"/>
      <c r="AM83" s="259" t="e">
        <f t="shared" si="88"/>
        <v>#DIV/0!</v>
      </c>
      <c r="AN83" s="259"/>
      <c r="AO83" s="259"/>
      <c r="AP83" s="259"/>
      <c r="AQ83" s="259"/>
      <c r="AR83" s="259" t="e">
        <f t="shared" si="66"/>
        <v>#DIV/0!</v>
      </c>
      <c r="AS83" s="259"/>
      <c r="AT83" s="259"/>
      <c r="AU83" s="259"/>
      <c r="AV83" s="259"/>
      <c r="AW83" s="82"/>
      <c r="AX83" s="82"/>
      <c r="AY83" s="82"/>
      <c r="AZ83" s="94"/>
      <c r="BB83" s="237" t="e">
        <f t="shared" ref="BB83" si="90">ABS(1.5%*AM83)+(60*CK83)</f>
        <v>#DIV/0!</v>
      </c>
      <c r="BC83" s="237"/>
      <c r="BD83" s="237"/>
      <c r="BE83" s="237"/>
      <c r="BF83" s="237"/>
      <c r="BG83" s="237">
        <v>501.75</v>
      </c>
      <c r="BH83" s="237"/>
      <c r="BI83" s="237"/>
      <c r="BJ83" s="237"/>
      <c r="BK83" s="237"/>
      <c r="BL83" s="237">
        <v>498.25</v>
      </c>
      <c r="BM83" s="237"/>
      <c r="BN83" s="237"/>
      <c r="BO83" s="237"/>
      <c r="BP83" s="237"/>
      <c r="BQ83" s="265" t="e">
        <f t="shared" si="67"/>
        <v>#DIV/0!</v>
      </c>
      <c r="BR83" s="265"/>
      <c r="BS83" s="265"/>
      <c r="BT83" s="265"/>
      <c r="BU83" s="265"/>
      <c r="BX83" s="20" t="s">
        <v>86</v>
      </c>
      <c r="BY83" s="18">
        <v>0.91</v>
      </c>
      <c r="BZ83" s="19" t="str">
        <f t="shared" si="68"/>
        <v>mV</v>
      </c>
      <c r="CA83" s="20">
        <v>2</v>
      </c>
      <c r="CB83" s="16">
        <f t="shared" si="69"/>
        <v>0.45500000000000002</v>
      </c>
      <c r="CC83" s="6"/>
      <c r="CD83" s="20" t="s">
        <v>170</v>
      </c>
      <c r="CE83" s="15">
        <v>0</v>
      </c>
      <c r="CF83" s="19" t="str">
        <f t="shared" si="70"/>
        <v>mV</v>
      </c>
      <c r="CG83" s="18">
        <f t="shared" si="71"/>
        <v>1.7320508075688772</v>
      </c>
      <c r="CH83" s="16">
        <f t="shared" si="72"/>
        <v>0</v>
      </c>
      <c r="CI83" s="6"/>
      <c r="CJ83" s="20" t="s">
        <v>87</v>
      </c>
      <c r="CK83" s="20">
        <v>0.01</v>
      </c>
      <c r="CL83" s="19" t="str">
        <f t="shared" si="73"/>
        <v>mV</v>
      </c>
      <c r="CM83" s="18">
        <f t="shared" si="74"/>
        <v>3.4641016151377544</v>
      </c>
      <c r="CN83" s="16">
        <f t="shared" si="75"/>
        <v>2.886751345948129E-3</v>
      </c>
      <c r="CO83" s="6"/>
      <c r="CP83" s="20" t="s">
        <v>88</v>
      </c>
      <c r="CQ83" s="17" t="e">
        <f t="shared" si="76"/>
        <v>#DIV/0!</v>
      </c>
      <c r="CR83" s="19" t="str">
        <f t="shared" si="77"/>
        <v>mV</v>
      </c>
      <c r="CS83" s="18">
        <f t="shared" si="78"/>
        <v>1.7320508075688772</v>
      </c>
      <c r="CT83" s="17" t="e">
        <f t="shared" si="79"/>
        <v>#DIV/0!</v>
      </c>
      <c r="CU83" s="7"/>
      <c r="CV83" s="16" t="e">
        <f t="shared" si="80"/>
        <v>#DIV/0!</v>
      </c>
      <c r="CW83" s="14" t="e">
        <f t="shared" si="81"/>
        <v>#DIV/0!</v>
      </c>
      <c r="CX83" s="14" t="e">
        <f t="shared" si="82"/>
        <v>#DIV/0!</v>
      </c>
      <c r="CY83" s="26" t="e">
        <f t="shared" si="83"/>
        <v>#DIV/0!</v>
      </c>
      <c r="CZ83" s="12" t="str">
        <f t="shared" si="84"/>
        <v>mV</v>
      </c>
      <c r="DA83" s="7"/>
      <c r="DB83" s="122">
        <v>0.12</v>
      </c>
      <c r="DC83" s="123" t="str">
        <f t="shared" si="85"/>
        <v>mV</v>
      </c>
      <c r="DD83" s="125" t="e">
        <f t="shared" si="86"/>
        <v>#DIV/0!</v>
      </c>
      <c r="DE83" s="123" t="str">
        <f t="shared" si="87"/>
        <v>mV</v>
      </c>
    </row>
    <row r="84" spans="1:117" ht="13.5">
      <c r="B84" s="93"/>
      <c r="C84" s="82"/>
      <c r="D84" s="82"/>
      <c r="E84" s="82"/>
      <c r="F84" s="341" t="s">
        <v>94</v>
      </c>
      <c r="G84" s="342"/>
      <c r="H84" s="342"/>
      <c r="I84" s="342"/>
      <c r="J84" s="342"/>
      <c r="K84" s="343"/>
      <c r="L84" s="373">
        <v>0.1</v>
      </c>
      <c r="M84" s="374"/>
      <c r="N84" s="374"/>
      <c r="O84" s="374"/>
      <c r="P84" s="281" t="s">
        <v>95</v>
      </c>
      <c r="Q84" s="281"/>
      <c r="R84" s="282"/>
      <c r="S84" s="278" t="s">
        <v>129</v>
      </c>
      <c r="T84" s="278"/>
      <c r="U84" s="278"/>
      <c r="V84" s="278"/>
      <c r="W84" s="278"/>
      <c r="X84" s="378"/>
      <c r="Y84" s="379"/>
      <c r="Z84" s="379"/>
      <c r="AA84" s="379"/>
      <c r="AB84" s="380"/>
      <c r="AC84" s="378"/>
      <c r="AD84" s="379"/>
      <c r="AE84" s="379"/>
      <c r="AF84" s="379"/>
      <c r="AG84" s="380"/>
      <c r="AH84" s="378"/>
      <c r="AI84" s="379"/>
      <c r="AJ84" s="379"/>
      <c r="AK84" s="379"/>
      <c r="AL84" s="380"/>
      <c r="AM84" s="287" t="e">
        <f t="shared" si="88"/>
        <v>#DIV/0!</v>
      </c>
      <c r="AN84" s="287"/>
      <c r="AO84" s="287"/>
      <c r="AP84" s="287"/>
      <c r="AQ84" s="287"/>
      <c r="AR84" s="287" t="e">
        <f t="shared" si="66"/>
        <v>#DIV/0!</v>
      </c>
      <c r="AS84" s="287"/>
      <c r="AT84" s="287"/>
      <c r="AU84" s="287"/>
      <c r="AV84" s="287"/>
      <c r="AW84" s="82"/>
      <c r="AX84" s="82"/>
      <c r="AY84" s="82"/>
      <c r="AZ84" s="94"/>
      <c r="BB84" s="239" t="e">
        <f>ABS(0.3%*AM84)+(60*CK84)</f>
        <v>#DIV/0!</v>
      </c>
      <c r="BC84" s="239"/>
      <c r="BD84" s="239"/>
      <c r="BE84" s="239"/>
      <c r="BF84" s="239"/>
      <c r="BG84" s="242">
        <v>0.1048</v>
      </c>
      <c r="BH84" s="242"/>
      <c r="BI84" s="242"/>
      <c r="BJ84" s="242"/>
      <c r="BK84" s="242"/>
      <c r="BL84" s="242">
        <v>9.5200000000000007E-2</v>
      </c>
      <c r="BM84" s="242"/>
      <c r="BN84" s="242"/>
      <c r="BO84" s="242"/>
      <c r="BP84" s="242"/>
      <c r="BQ84" s="265" t="e">
        <f t="shared" si="67"/>
        <v>#DIV/0!</v>
      </c>
      <c r="BR84" s="265"/>
      <c r="BS84" s="265"/>
      <c r="BT84" s="265"/>
      <c r="BU84" s="265"/>
      <c r="BX84" s="20" t="s">
        <v>86</v>
      </c>
      <c r="BY84" s="15">
        <v>6.9999999999999994E-5</v>
      </c>
      <c r="BZ84" s="19" t="str">
        <f t="shared" si="68"/>
        <v>V</v>
      </c>
      <c r="CA84" s="20">
        <v>2</v>
      </c>
      <c r="CB84" s="16">
        <f t="shared" si="69"/>
        <v>3.4999999999999997E-5</v>
      </c>
      <c r="CC84" s="6"/>
      <c r="CD84" s="20" t="s">
        <v>170</v>
      </c>
      <c r="CE84" s="15">
        <v>0</v>
      </c>
      <c r="CF84" s="19" t="str">
        <f t="shared" si="70"/>
        <v>V</v>
      </c>
      <c r="CG84" s="18">
        <f t="shared" si="71"/>
        <v>1.7320508075688772</v>
      </c>
      <c r="CH84" s="16">
        <f t="shared" si="72"/>
        <v>0</v>
      </c>
      <c r="CI84" s="6"/>
      <c r="CJ84" s="20" t="s">
        <v>87</v>
      </c>
      <c r="CK84" s="20">
        <v>1E-4</v>
      </c>
      <c r="CL84" s="19" t="str">
        <f t="shared" si="73"/>
        <v>V</v>
      </c>
      <c r="CM84" s="18">
        <f t="shared" si="74"/>
        <v>3.4641016151377544</v>
      </c>
      <c r="CN84" s="16">
        <f t="shared" si="75"/>
        <v>2.8867513459481293E-5</v>
      </c>
      <c r="CO84" s="6"/>
      <c r="CP84" s="20" t="s">
        <v>88</v>
      </c>
      <c r="CQ84" s="17" t="e">
        <f t="shared" si="76"/>
        <v>#DIV/0!</v>
      </c>
      <c r="CR84" s="19" t="str">
        <f t="shared" si="77"/>
        <v>V</v>
      </c>
      <c r="CS84" s="18">
        <f t="shared" si="78"/>
        <v>1.7320508075688772</v>
      </c>
      <c r="CT84" s="17" t="e">
        <f t="shared" si="79"/>
        <v>#DIV/0!</v>
      </c>
      <c r="CU84" s="7"/>
      <c r="CV84" s="16" t="e">
        <f t="shared" si="80"/>
        <v>#DIV/0!</v>
      </c>
      <c r="CW84" s="14" t="e">
        <f t="shared" si="81"/>
        <v>#DIV/0!</v>
      </c>
      <c r="CX84" s="14" t="e">
        <f t="shared" si="82"/>
        <v>#DIV/0!</v>
      </c>
      <c r="CY84" s="26" t="e">
        <f t="shared" si="83"/>
        <v>#DIV/0!</v>
      </c>
      <c r="CZ84" s="12" t="str">
        <f t="shared" si="84"/>
        <v>V</v>
      </c>
      <c r="DA84" s="7"/>
      <c r="DB84" s="122">
        <v>1.0000000000000001E-5</v>
      </c>
      <c r="DC84" s="123" t="str">
        <f t="shared" si="85"/>
        <v>V</v>
      </c>
      <c r="DD84" s="125" t="e">
        <f t="shared" si="86"/>
        <v>#DIV/0!</v>
      </c>
      <c r="DE84" s="123" t="str">
        <f t="shared" si="87"/>
        <v>V</v>
      </c>
    </row>
    <row r="85" spans="1:117" ht="13.5">
      <c r="B85" s="93"/>
      <c r="C85" s="82"/>
      <c r="D85" s="82"/>
      <c r="E85" s="82"/>
      <c r="F85" s="368"/>
      <c r="G85" s="369"/>
      <c r="H85" s="369"/>
      <c r="I85" s="369"/>
      <c r="J85" s="369"/>
      <c r="K85" s="370"/>
      <c r="L85" s="373">
        <v>0.5</v>
      </c>
      <c r="M85" s="374"/>
      <c r="N85" s="374"/>
      <c r="O85" s="374"/>
      <c r="P85" s="281" t="s">
        <v>95</v>
      </c>
      <c r="Q85" s="281"/>
      <c r="R85" s="282"/>
      <c r="S85" s="278" t="s">
        <v>133</v>
      </c>
      <c r="T85" s="278"/>
      <c r="U85" s="278"/>
      <c r="V85" s="278"/>
      <c r="W85" s="278"/>
      <c r="X85" s="378"/>
      <c r="Y85" s="379"/>
      <c r="Z85" s="379"/>
      <c r="AA85" s="379"/>
      <c r="AB85" s="380"/>
      <c r="AC85" s="378"/>
      <c r="AD85" s="379"/>
      <c r="AE85" s="379"/>
      <c r="AF85" s="379"/>
      <c r="AG85" s="380"/>
      <c r="AH85" s="378"/>
      <c r="AI85" s="379"/>
      <c r="AJ85" s="379"/>
      <c r="AK85" s="379"/>
      <c r="AL85" s="380"/>
      <c r="AM85" s="287" t="e">
        <f t="shared" si="88"/>
        <v>#DIV/0!</v>
      </c>
      <c r="AN85" s="287"/>
      <c r="AO85" s="287"/>
      <c r="AP85" s="287"/>
      <c r="AQ85" s="287"/>
      <c r="AR85" s="287" t="e">
        <f t="shared" si="66"/>
        <v>#DIV/0!</v>
      </c>
      <c r="AS85" s="287"/>
      <c r="AT85" s="287"/>
      <c r="AU85" s="287"/>
      <c r="AV85" s="287"/>
      <c r="AW85" s="82"/>
      <c r="AX85" s="82"/>
      <c r="AY85" s="82"/>
      <c r="AZ85" s="94"/>
      <c r="BB85" s="239" t="e">
        <f>ABS(1.5%*AM85)+(40*CK85)</f>
        <v>#DIV/0!</v>
      </c>
      <c r="BC85" s="239"/>
      <c r="BD85" s="239"/>
      <c r="BE85" s="239"/>
      <c r="BF85" s="239"/>
      <c r="BG85" s="242">
        <v>0.50549999999999995</v>
      </c>
      <c r="BH85" s="242"/>
      <c r="BI85" s="242"/>
      <c r="BJ85" s="242"/>
      <c r="BK85" s="242"/>
      <c r="BL85" s="242">
        <v>0.4945</v>
      </c>
      <c r="BM85" s="242"/>
      <c r="BN85" s="242"/>
      <c r="BO85" s="242"/>
      <c r="BP85" s="242"/>
      <c r="BQ85" s="265" t="e">
        <f t="shared" si="67"/>
        <v>#DIV/0!</v>
      </c>
      <c r="BR85" s="265"/>
      <c r="BS85" s="265"/>
      <c r="BT85" s="265"/>
      <c r="BU85" s="265"/>
      <c r="BX85" s="20" t="s">
        <v>86</v>
      </c>
      <c r="BY85" s="15">
        <v>1.5E-3</v>
      </c>
      <c r="BZ85" s="19" t="str">
        <f t="shared" si="68"/>
        <v>V</v>
      </c>
      <c r="CA85" s="20">
        <v>2</v>
      </c>
      <c r="CB85" s="16">
        <f t="shared" si="69"/>
        <v>7.5000000000000002E-4</v>
      </c>
      <c r="CC85" s="6"/>
      <c r="CD85" s="20" t="s">
        <v>170</v>
      </c>
      <c r="CE85" s="15">
        <v>0</v>
      </c>
      <c r="CF85" s="19" t="str">
        <f t="shared" si="70"/>
        <v>V</v>
      </c>
      <c r="CG85" s="18">
        <f t="shared" si="71"/>
        <v>1.7320508075688772</v>
      </c>
      <c r="CH85" s="16">
        <f t="shared" si="72"/>
        <v>0</v>
      </c>
      <c r="CI85" s="6"/>
      <c r="CJ85" s="20" t="s">
        <v>87</v>
      </c>
      <c r="CK85" s="20">
        <v>1E-4</v>
      </c>
      <c r="CL85" s="19" t="str">
        <f t="shared" si="73"/>
        <v>V</v>
      </c>
      <c r="CM85" s="18">
        <f t="shared" si="74"/>
        <v>3.4641016151377544</v>
      </c>
      <c r="CN85" s="16">
        <f t="shared" si="75"/>
        <v>2.8867513459481293E-5</v>
      </c>
      <c r="CO85" s="6"/>
      <c r="CP85" s="20" t="s">
        <v>88</v>
      </c>
      <c r="CQ85" s="17" t="e">
        <f t="shared" si="76"/>
        <v>#DIV/0!</v>
      </c>
      <c r="CR85" s="19" t="str">
        <f t="shared" si="77"/>
        <v>V</v>
      </c>
      <c r="CS85" s="18">
        <f t="shared" si="78"/>
        <v>1.7320508075688772</v>
      </c>
      <c r="CT85" s="17" t="e">
        <f t="shared" si="79"/>
        <v>#DIV/0!</v>
      </c>
      <c r="CU85" s="7"/>
      <c r="CV85" s="16" t="e">
        <f t="shared" si="80"/>
        <v>#DIV/0!</v>
      </c>
      <c r="CW85" s="14" t="e">
        <f t="shared" si="81"/>
        <v>#DIV/0!</v>
      </c>
      <c r="CX85" s="14" t="e">
        <f t="shared" si="82"/>
        <v>#DIV/0!</v>
      </c>
      <c r="CY85" s="26" t="e">
        <f t="shared" si="83"/>
        <v>#DIV/0!</v>
      </c>
      <c r="CZ85" s="12" t="str">
        <f t="shared" si="84"/>
        <v>V</v>
      </c>
      <c r="DA85" s="7"/>
      <c r="DB85" s="122">
        <v>8.5000000000000006E-5</v>
      </c>
      <c r="DC85" s="123" t="str">
        <f t="shared" si="85"/>
        <v>V</v>
      </c>
      <c r="DD85" s="125" t="e">
        <f t="shared" si="86"/>
        <v>#DIV/0!</v>
      </c>
      <c r="DE85" s="123" t="str">
        <f t="shared" si="87"/>
        <v>V</v>
      </c>
    </row>
    <row r="86" spans="1:117" ht="13.5">
      <c r="B86" s="93"/>
      <c r="C86" s="82"/>
      <c r="D86" s="82"/>
      <c r="E86" s="82"/>
      <c r="F86" s="344"/>
      <c r="G86" s="345"/>
      <c r="H86" s="345"/>
      <c r="I86" s="345"/>
      <c r="J86" s="345"/>
      <c r="K86" s="346"/>
      <c r="L86" s="474">
        <v>3</v>
      </c>
      <c r="M86" s="475"/>
      <c r="N86" s="475"/>
      <c r="O86" s="475"/>
      <c r="P86" s="281" t="s">
        <v>95</v>
      </c>
      <c r="Q86" s="281"/>
      <c r="R86" s="282"/>
      <c r="S86" s="278" t="s">
        <v>141</v>
      </c>
      <c r="T86" s="278"/>
      <c r="U86" s="278"/>
      <c r="V86" s="278"/>
      <c r="W86" s="278"/>
      <c r="X86" s="378"/>
      <c r="Y86" s="379"/>
      <c r="Z86" s="379"/>
      <c r="AA86" s="379"/>
      <c r="AB86" s="380"/>
      <c r="AC86" s="378"/>
      <c r="AD86" s="379"/>
      <c r="AE86" s="379"/>
      <c r="AF86" s="379"/>
      <c r="AG86" s="380"/>
      <c r="AH86" s="378"/>
      <c r="AI86" s="379"/>
      <c r="AJ86" s="379"/>
      <c r="AK86" s="379"/>
      <c r="AL86" s="380"/>
      <c r="AM86" s="287" t="e">
        <f t="shared" si="88"/>
        <v>#DIV/0!</v>
      </c>
      <c r="AN86" s="287"/>
      <c r="AO86" s="287"/>
      <c r="AP86" s="287"/>
      <c r="AQ86" s="287"/>
      <c r="AR86" s="287" t="e">
        <f t="shared" si="66"/>
        <v>#DIV/0!</v>
      </c>
      <c r="AS86" s="287"/>
      <c r="AT86" s="287"/>
      <c r="AU86" s="287"/>
      <c r="AV86" s="287"/>
      <c r="AW86" s="82"/>
      <c r="AX86" s="82"/>
      <c r="AY86" s="82"/>
      <c r="AZ86" s="94"/>
      <c r="BB86" s="245" t="e">
        <f>ABS(3.5%*AM86)+(40*CK86)</f>
        <v>#DIV/0!</v>
      </c>
      <c r="BC86" s="246"/>
      <c r="BD86" s="246"/>
      <c r="BE86" s="246"/>
      <c r="BF86" s="247"/>
      <c r="BG86" s="242">
        <v>3.1840000000000002</v>
      </c>
      <c r="BH86" s="242"/>
      <c r="BI86" s="242"/>
      <c r="BJ86" s="242"/>
      <c r="BK86" s="242"/>
      <c r="BL86" s="242">
        <v>2.8159999999999998</v>
      </c>
      <c r="BM86" s="242"/>
      <c r="BN86" s="242"/>
      <c r="BO86" s="242"/>
      <c r="BP86" s="242"/>
      <c r="BQ86" s="265" t="e">
        <f t="shared" si="67"/>
        <v>#DIV/0!</v>
      </c>
      <c r="BR86" s="265"/>
      <c r="BS86" s="265"/>
      <c r="BT86" s="265"/>
      <c r="BU86" s="265"/>
      <c r="BX86" s="20" t="s">
        <v>86</v>
      </c>
      <c r="BY86" s="17">
        <v>5.8999999999999999E-3</v>
      </c>
      <c r="BZ86" s="19" t="str">
        <f t="shared" si="68"/>
        <v>V</v>
      </c>
      <c r="CA86" s="20">
        <v>2</v>
      </c>
      <c r="CB86" s="16">
        <f t="shared" si="69"/>
        <v>2.9499999999999999E-3</v>
      </c>
      <c r="CC86" s="6"/>
      <c r="CD86" s="20" t="s">
        <v>170</v>
      </c>
      <c r="CE86" s="15">
        <v>0</v>
      </c>
      <c r="CF86" s="19" t="str">
        <f t="shared" si="70"/>
        <v>V</v>
      </c>
      <c r="CG86" s="18">
        <f t="shared" si="71"/>
        <v>1.7320508075688772</v>
      </c>
      <c r="CH86" s="16">
        <f t="shared" si="72"/>
        <v>0</v>
      </c>
      <c r="CI86" s="6"/>
      <c r="CJ86" s="20" t="s">
        <v>87</v>
      </c>
      <c r="CK86" s="20">
        <v>1E-4</v>
      </c>
      <c r="CL86" s="19" t="str">
        <f t="shared" si="73"/>
        <v>V</v>
      </c>
      <c r="CM86" s="18">
        <f t="shared" si="74"/>
        <v>3.4641016151377544</v>
      </c>
      <c r="CN86" s="16">
        <f t="shared" si="75"/>
        <v>2.8867513459481293E-5</v>
      </c>
      <c r="CO86" s="6"/>
      <c r="CP86" s="20" t="s">
        <v>88</v>
      </c>
      <c r="CQ86" s="17" t="e">
        <f t="shared" si="76"/>
        <v>#DIV/0!</v>
      </c>
      <c r="CR86" s="19" t="str">
        <f t="shared" si="77"/>
        <v>V</v>
      </c>
      <c r="CS86" s="18">
        <f t="shared" si="78"/>
        <v>1.7320508075688772</v>
      </c>
      <c r="CT86" s="17" t="e">
        <f t="shared" si="79"/>
        <v>#DIV/0!</v>
      </c>
      <c r="CU86" s="7"/>
      <c r="CV86" s="16" t="e">
        <f t="shared" si="80"/>
        <v>#DIV/0!</v>
      </c>
      <c r="CW86" s="14" t="e">
        <f t="shared" si="81"/>
        <v>#DIV/0!</v>
      </c>
      <c r="CX86" s="14" t="e">
        <f t="shared" si="82"/>
        <v>#DIV/0!</v>
      </c>
      <c r="CY86" s="26" t="e">
        <f t="shared" si="83"/>
        <v>#DIV/0!</v>
      </c>
      <c r="CZ86" s="12" t="str">
        <f t="shared" si="84"/>
        <v>V</v>
      </c>
      <c r="DA86" s="7"/>
      <c r="DB86" s="122">
        <v>2.7999999999999998E-4</v>
      </c>
      <c r="DC86" s="123" t="str">
        <f t="shared" si="85"/>
        <v>V</v>
      </c>
      <c r="DD86" s="125" t="e">
        <f t="shared" si="86"/>
        <v>#DIV/0!</v>
      </c>
      <c r="DE86" s="123" t="str">
        <f t="shared" si="87"/>
        <v>V</v>
      </c>
    </row>
    <row r="87" spans="1:117" ht="13.5">
      <c r="B87" s="93"/>
      <c r="C87" s="82"/>
      <c r="D87" s="82"/>
      <c r="E87" s="82"/>
      <c r="F87" s="341" t="s">
        <v>96</v>
      </c>
      <c r="G87" s="342"/>
      <c r="H87" s="342"/>
      <c r="I87" s="342"/>
      <c r="J87" s="342"/>
      <c r="K87" s="343"/>
      <c r="L87" s="313">
        <v>15</v>
      </c>
      <c r="M87" s="314"/>
      <c r="N87" s="314"/>
      <c r="O87" s="314"/>
      <c r="P87" s="281" t="s">
        <v>95</v>
      </c>
      <c r="Q87" s="281"/>
      <c r="R87" s="282"/>
      <c r="S87" s="278" t="s">
        <v>141</v>
      </c>
      <c r="T87" s="278"/>
      <c r="U87" s="278"/>
      <c r="V87" s="278"/>
      <c r="W87" s="278"/>
      <c r="X87" s="269"/>
      <c r="Y87" s="270"/>
      <c r="Z87" s="270"/>
      <c r="AA87" s="270"/>
      <c r="AB87" s="271"/>
      <c r="AC87" s="269"/>
      <c r="AD87" s="270"/>
      <c r="AE87" s="270"/>
      <c r="AF87" s="270"/>
      <c r="AG87" s="271"/>
      <c r="AH87" s="269"/>
      <c r="AI87" s="270"/>
      <c r="AJ87" s="270"/>
      <c r="AK87" s="270"/>
      <c r="AL87" s="271"/>
      <c r="AM87" s="284" t="e">
        <f t="shared" si="88"/>
        <v>#DIV/0!</v>
      </c>
      <c r="AN87" s="284"/>
      <c r="AO87" s="284"/>
      <c r="AP87" s="284"/>
      <c r="AQ87" s="284"/>
      <c r="AR87" s="284" t="e">
        <f t="shared" si="66"/>
        <v>#DIV/0!</v>
      </c>
      <c r="AS87" s="284"/>
      <c r="AT87" s="284"/>
      <c r="AU87" s="284"/>
      <c r="AV87" s="284"/>
      <c r="AW87" s="82"/>
      <c r="AX87" s="82"/>
      <c r="AY87" s="82"/>
      <c r="AZ87" s="94"/>
      <c r="BB87" s="245" t="e">
        <f>ABS(3.5%*AM87)+(40*CK87)</f>
        <v>#DIV/0!</v>
      </c>
      <c r="BC87" s="246"/>
      <c r="BD87" s="246"/>
      <c r="BE87" s="246"/>
      <c r="BF87" s="247"/>
      <c r="BG87" s="239">
        <v>15.565</v>
      </c>
      <c r="BH87" s="239"/>
      <c r="BI87" s="239"/>
      <c r="BJ87" s="239"/>
      <c r="BK87" s="239"/>
      <c r="BL87" s="239">
        <v>14.435</v>
      </c>
      <c r="BM87" s="239"/>
      <c r="BN87" s="239"/>
      <c r="BO87" s="239"/>
      <c r="BP87" s="239"/>
      <c r="BQ87" s="265" t="e">
        <f t="shared" si="67"/>
        <v>#DIV/0!</v>
      </c>
      <c r="BR87" s="265"/>
      <c r="BS87" s="265"/>
      <c r="BT87" s="265"/>
      <c r="BU87" s="265"/>
      <c r="BX87" s="20" t="s">
        <v>86</v>
      </c>
      <c r="BY87" s="142">
        <v>5.0999999999999997E-2</v>
      </c>
      <c r="BZ87" s="19" t="str">
        <f t="shared" si="68"/>
        <v>V</v>
      </c>
      <c r="CA87" s="20">
        <v>2</v>
      </c>
      <c r="CB87" s="16">
        <f t="shared" si="69"/>
        <v>2.5499999999999998E-2</v>
      </c>
      <c r="CC87" s="6"/>
      <c r="CD87" s="20" t="s">
        <v>170</v>
      </c>
      <c r="CE87" s="15">
        <v>0</v>
      </c>
      <c r="CF87" s="19" t="str">
        <f t="shared" si="70"/>
        <v>V</v>
      </c>
      <c r="CG87" s="18">
        <f t="shared" si="71"/>
        <v>1.7320508075688772</v>
      </c>
      <c r="CH87" s="16">
        <f t="shared" si="72"/>
        <v>0</v>
      </c>
      <c r="CI87" s="6"/>
      <c r="CJ87" s="20" t="s">
        <v>87</v>
      </c>
      <c r="CK87" s="20">
        <v>1E-3</v>
      </c>
      <c r="CL87" s="19" t="str">
        <f t="shared" si="73"/>
        <v>V</v>
      </c>
      <c r="CM87" s="18">
        <f t="shared" si="74"/>
        <v>3.4641016151377544</v>
      </c>
      <c r="CN87" s="16">
        <f t="shared" si="75"/>
        <v>2.886751345948129E-4</v>
      </c>
      <c r="CO87" s="6"/>
      <c r="CP87" s="20" t="s">
        <v>88</v>
      </c>
      <c r="CQ87" s="17" t="e">
        <f t="shared" si="76"/>
        <v>#DIV/0!</v>
      </c>
      <c r="CR87" s="19" t="str">
        <f t="shared" si="77"/>
        <v>V</v>
      </c>
      <c r="CS87" s="18">
        <f t="shared" si="78"/>
        <v>1.7320508075688772</v>
      </c>
      <c r="CT87" s="17" t="e">
        <f t="shared" si="79"/>
        <v>#DIV/0!</v>
      </c>
      <c r="CU87" s="7"/>
      <c r="CV87" s="16" t="e">
        <f t="shared" si="80"/>
        <v>#DIV/0!</v>
      </c>
      <c r="CW87" s="14" t="e">
        <f t="shared" si="81"/>
        <v>#DIV/0!</v>
      </c>
      <c r="CX87" s="14" t="e">
        <f t="shared" si="82"/>
        <v>#DIV/0!</v>
      </c>
      <c r="CY87" s="26" t="e">
        <f t="shared" si="83"/>
        <v>#DIV/0!</v>
      </c>
      <c r="CZ87" s="12" t="str">
        <f t="shared" si="84"/>
        <v>V</v>
      </c>
      <c r="DA87" s="7"/>
      <c r="DB87" s="122">
        <v>3.5000000000000001E-3</v>
      </c>
      <c r="DC87" s="123" t="str">
        <f t="shared" si="85"/>
        <v>V</v>
      </c>
      <c r="DD87" s="125" t="e">
        <f t="shared" si="86"/>
        <v>#DIV/0!</v>
      </c>
      <c r="DE87" s="123" t="str">
        <f t="shared" si="87"/>
        <v>V</v>
      </c>
    </row>
    <row r="88" spans="1:117" ht="13.5">
      <c r="B88" s="93"/>
      <c r="C88" s="82"/>
      <c r="D88" s="82"/>
      <c r="E88" s="82"/>
      <c r="F88" s="319" t="s">
        <v>97</v>
      </c>
      <c r="G88" s="320"/>
      <c r="H88" s="320"/>
      <c r="I88" s="320"/>
      <c r="J88" s="320"/>
      <c r="K88" s="321"/>
      <c r="L88" s="313">
        <v>500</v>
      </c>
      <c r="M88" s="314"/>
      <c r="N88" s="314"/>
      <c r="O88" s="314"/>
      <c r="P88" s="281" t="s">
        <v>95</v>
      </c>
      <c r="Q88" s="281"/>
      <c r="R88" s="282"/>
      <c r="S88" s="278" t="s">
        <v>133</v>
      </c>
      <c r="T88" s="278"/>
      <c r="U88" s="278"/>
      <c r="V88" s="278"/>
      <c r="W88" s="278"/>
      <c r="X88" s="260"/>
      <c r="Y88" s="261"/>
      <c r="Z88" s="261"/>
      <c r="AA88" s="261"/>
      <c r="AB88" s="262"/>
      <c r="AC88" s="260"/>
      <c r="AD88" s="261"/>
      <c r="AE88" s="261"/>
      <c r="AF88" s="261"/>
      <c r="AG88" s="262"/>
      <c r="AH88" s="260"/>
      <c r="AI88" s="261"/>
      <c r="AJ88" s="261"/>
      <c r="AK88" s="261"/>
      <c r="AL88" s="262"/>
      <c r="AM88" s="259" t="e">
        <f t="shared" si="88"/>
        <v>#DIV/0!</v>
      </c>
      <c r="AN88" s="259"/>
      <c r="AO88" s="259"/>
      <c r="AP88" s="259"/>
      <c r="AQ88" s="259"/>
      <c r="AR88" s="259" t="e">
        <f t="shared" si="66"/>
        <v>#DIV/0!</v>
      </c>
      <c r="AS88" s="259"/>
      <c r="AT88" s="259"/>
      <c r="AU88" s="259"/>
      <c r="AV88" s="259"/>
      <c r="AW88" s="82"/>
      <c r="AX88" s="82"/>
      <c r="AY88" s="82"/>
      <c r="AZ88" s="94"/>
      <c r="BB88" s="248" t="e">
        <f>ABS(0.4%*AM88)+(25*CK88)</f>
        <v>#DIV/0!</v>
      </c>
      <c r="BC88" s="249"/>
      <c r="BD88" s="249"/>
      <c r="BE88" s="249"/>
      <c r="BF88" s="250"/>
      <c r="BG88" s="237">
        <v>502.25</v>
      </c>
      <c r="BH88" s="237"/>
      <c r="BI88" s="237"/>
      <c r="BJ88" s="237"/>
      <c r="BK88" s="237"/>
      <c r="BL88" s="237">
        <v>497.75</v>
      </c>
      <c r="BM88" s="237"/>
      <c r="BN88" s="237"/>
      <c r="BO88" s="237"/>
      <c r="BP88" s="237"/>
      <c r="BQ88" s="265" t="e">
        <f t="shared" si="67"/>
        <v>#DIV/0!</v>
      </c>
      <c r="BR88" s="265"/>
      <c r="BS88" s="265"/>
      <c r="BT88" s="265"/>
      <c r="BU88" s="265"/>
      <c r="BX88" s="20" t="s">
        <v>86</v>
      </c>
      <c r="BY88" s="18">
        <v>0.1</v>
      </c>
      <c r="BZ88" s="19" t="str">
        <f t="shared" si="68"/>
        <v>V</v>
      </c>
      <c r="CA88" s="20">
        <v>2</v>
      </c>
      <c r="CB88" s="16">
        <f t="shared" si="69"/>
        <v>0.05</v>
      </c>
      <c r="CC88" s="6"/>
      <c r="CD88" s="20" t="s">
        <v>170</v>
      </c>
      <c r="CE88" s="15">
        <v>0</v>
      </c>
      <c r="CF88" s="19" t="str">
        <f t="shared" si="70"/>
        <v>V</v>
      </c>
      <c r="CG88" s="18">
        <f t="shared" si="71"/>
        <v>1.7320508075688772</v>
      </c>
      <c r="CH88" s="16">
        <f t="shared" si="72"/>
        <v>0</v>
      </c>
      <c r="CI88" s="6"/>
      <c r="CJ88" s="20" t="s">
        <v>87</v>
      </c>
      <c r="CK88" s="20">
        <v>0.01</v>
      </c>
      <c r="CL88" s="19" t="str">
        <f t="shared" si="73"/>
        <v>V</v>
      </c>
      <c r="CM88" s="18">
        <f t="shared" si="74"/>
        <v>3.4641016151377544</v>
      </c>
      <c r="CN88" s="16">
        <f t="shared" si="75"/>
        <v>2.886751345948129E-3</v>
      </c>
      <c r="CO88" s="6"/>
      <c r="CP88" s="20" t="s">
        <v>88</v>
      </c>
      <c r="CQ88" s="17" t="e">
        <f t="shared" si="76"/>
        <v>#DIV/0!</v>
      </c>
      <c r="CR88" s="19" t="str">
        <f t="shared" si="77"/>
        <v>V</v>
      </c>
      <c r="CS88" s="18">
        <f t="shared" si="78"/>
        <v>1.7320508075688772</v>
      </c>
      <c r="CT88" s="17" t="e">
        <f t="shared" si="79"/>
        <v>#DIV/0!</v>
      </c>
      <c r="CU88" s="7"/>
      <c r="CV88" s="16" t="e">
        <f t="shared" si="80"/>
        <v>#DIV/0!</v>
      </c>
      <c r="CW88" s="14" t="e">
        <f t="shared" si="81"/>
        <v>#DIV/0!</v>
      </c>
      <c r="CX88" s="14" t="e">
        <f t="shared" si="82"/>
        <v>#DIV/0!</v>
      </c>
      <c r="CY88" s="26" t="e">
        <f t="shared" si="83"/>
        <v>#DIV/0!</v>
      </c>
      <c r="CZ88" s="12" t="str">
        <f t="shared" si="84"/>
        <v>V</v>
      </c>
      <c r="DA88" s="7"/>
      <c r="DB88" s="122">
        <v>8.4000000000000005E-2</v>
      </c>
      <c r="DC88" s="123" t="str">
        <f t="shared" si="85"/>
        <v>V</v>
      </c>
      <c r="DD88" s="125" t="e">
        <f t="shared" si="86"/>
        <v>#DIV/0!</v>
      </c>
      <c r="DE88" s="123" t="str">
        <f t="shared" si="87"/>
        <v>V</v>
      </c>
    </row>
    <row r="89" spans="1:117" ht="13.5">
      <c r="B89" s="93"/>
      <c r="C89" s="82"/>
      <c r="D89" s="82"/>
      <c r="E89" s="82"/>
      <c r="F89" s="330" t="s">
        <v>183</v>
      </c>
      <c r="G89" s="330"/>
      <c r="H89" s="330"/>
      <c r="I89" s="330"/>
      <c r="J89" s="330"/>
      <c r="K89" s="330"/>
      <c r="L89" s="313">
        <v>1000</v>
      </c>
      <c r="M89" s="314"/>
      <c r="N89" s="314"/>
      <c r="O89" s="314"/>
      <c r="P89" s="281" t="s">
        <v>95</v>
      </c>
      <c r="Q89" s="281"/>
      <c r="R89" s="282"/>
      <c r="S89" s="278" t="s">
        <v>133</v>
      </c>
      <c r="T89" s="278"/>
      <c r="U89" s="278"/>
      <c r="V89" s="278"/>
      <c r="W89" s="278"/>
      <c r="X89" s="352"/>
      <c r="Y89" s="353"/>
      <c r="Z89" s="353"/>
      <c r="AA89" s="353"/>
      <c r="AB89" s="354"/>
      <c r="AC89" s="352"/>
      <c r="AD89" s="353"/>
      <c r="AE89" s="353"/>
      <c r="AF89" s="353"/>
      <c r="AG89" s="354"/>
      <c r="AH89" s="352"/>
      <c r="AI89" s="353"/>
      <c r="AJ89" s="353"/>
      <c r="AK89" s="353"/>
      <c r="AL89" s="354"/>
      <c r="AM89" s="362" t="e">
        <f t="shared" si="88"/>
        <v>#DIV/0!</v>
      </c>
      <c r="AN89" s="362"/>
      <c r="AO89" s="362"/>
      <c r="AP89" s="362"/>
      <c r="AQ89" s="362"/>
      <c r="AR89" s="362" t="e">
        <f>AM89-L89</f>
        <v>#DIV/0!</v>
      </c>
      <c r="AS89" s="362"/>
      <c r="AT89" s="362"/>
      <c r="AU89" s="362"/>
      <c r="AV89" s="362"/>
      <c r="AW89" s="82"/>
      <c r="AX89" s="82"/>
      <c r="AY89" s="82"/>
      <c r="AZ89" s="94"/>
      <c r="BB89" s="248" t="e">
        <f>ABS(0.4%*AM89)+(25*CK89)</f>
        <v>#DIV/0!</v>
      </c>
      <c r="BC89" s="249"/>
      <c r="BD89" s="249"/>
      <c r="BE89" s="249"/>
      <c r="BF89" s="250"/>
      <c r="BG89" s="238">
        <v>1006.5</v>
      </c>
      <c r="BH89" s="238"/>
      <c r="BI89" s="238"/>
      <c r="BJ89" s="238"/>
      <c r="BK89" s="238"/>
      <c r="BL89" s="238">
        <v>993.5</v>
      </c>
      <c r="BM89" s="238"/>
      <c r="BN89" s="238"/>
      <c r="BO89" s="238"/>
      <c r="BP89" s="238"/>
      <c r="BQ89" s="265" t="e">
        <f t="shared" si="67"/>
        <v>#DIV/0!</v>
      </c>
      <c r="BR89" s="265"/>
      <c r="BS89" s="265"/>
      <c r="BT89" s="265"/>
      <c r="BU89" s="265"/>
      <c r="BX89" s="20" t="s">
        <v>86</v>
      </c>
      <c r="BY89" s="18">
        <v>0.1</v>
      </c>
      <c r="BZ89" s="19" t="str">
        <f t="shared" si="68"/>
        <v>V</v>
      </c>
      <c r="CA89" s="20">
        <v>2</v>
      </c>
      <c r="CB89" s="16">
        <f t="shared" si="69"/>
        <v>0.05</v>
      </c>
      <c r="CC89" s="6"/>
      <c r="CD89" s="20" t="s">
        <v>170</v>
      </c>
      <c r="CE89" s="15">
        <v>0</v>
      </c>
      <c r="CF89" s="19" t="str">
        <f t="shared" si="70"/>
        <v>V</v>
      </c>
      <c r="CG89" s="18">
        <f t="shared" si="71"/>
        <v>1.7320508075688772</v>
      </c>
      <c r="CH89" s="16">
        <f t="shared" si="72"/>
        <v>0</v>
      </c>
      <c r="CI89" s="6"/>
      <c r="CJ89" s="20" t="s">
        <v>87</v>
      </c>
      <c r="CK89" s="20">
        <v>0.1</v>
      </c>
      <c r="CL89" s="19" t="str">
        <f t="shared" si="73"/>
        <v>V</v>
      </c>
      <c r="CM89" s="18">
        <f t="shared" si="74"/>
        <v>3.4641016151377544</v>
      </c>
      <c r="CN89" s="16">
        <f t="shared" si="75"/>
        <v>2.8867513459481291E-2</v>
      </c>
      <c r="CO89" s="6"/>
      <c r="CP89" s="20" t="s">
        <v>88</v>
      </c>
      <c r="CQ89" s="17" t="e">
        <f t="shared" si="76"/>
        <v>#DIV/0!</v>
      </c>
      <c r="CR89" s="19" t="str">
        <f t="shared" si="77"/>
        <v>V</v>
      </c>
      <c r="CS89" s="18">
        <f t="shared" si="78"/>
        <v>1.7320508075688772</v>
      </c>
      <c r="CT89" s="17" t="e">
        <f t="shared" si="79"/>
        <v>#DIV/0!</v>
      </c>
      <c r="CU89" s="7"/>
      <c r="CV89" s="16" t="e">
        <f t="shared" si="80"/>
        <v>#DIV/0!</v>
      </c>
      <c r="CW89" s="14" t="e">
        <f t="shared" si="81"/>
        <v>#DIV/0!</v>
      </c>
      <c r="CX89" s="14" t="e">
        <f t="shared" si="82"/>
        <v>#DIV/0!</v>
      </c>
      <c r="CY89" s="26" t="e">
        <f t="shared" si="83"/>
        <v>#DIV/0!</v>
      </c>
      <c r="CZ89" s="12" t="str">
        <f t="shared" si="84"/>
        <v>V</v>
      </c>
      <c r="DA89" s="7"/>
      <c r="DB89" s="122">
        <v>8.4000000000000005E-2</v>
      </c>
      <c r="DC89" s="123" t="str">
        <f t="shared" si="85"/>
        <v>V</v>
      </c>
      <c r="DD89" s="125" t="e">
        <f t="shared" si="86"/>
        <v>#DIV/0!</v>
      </c>
      <c r="DE89" s="123" t="str">
        <f t="shared" si="87"/>
        <v>V</v>
      </c>
    </row>
    <row r="90" spans="1:117" ht="13.5">
      <c r="B90" s="93"/>
      <c r="C90" s="82"/>
      <c r="D90" s="82"/>
      <c r="E90" s="82"/>
      <c r="F90" s="82"/>
      <c r="G90" s="82"/>
      <c r="H90" s="82"/>
      <c r="I90" s="82"/>
      <c r="J90" s="82"/>
      <c r="K90" s="82"/>
      <c r="L90" s="82"/>
      <c r="M90" s="82"/>
      <c r="N90" s="82"/>
      <c r="O90" s="82"/>
      <c r="P90" s="82"/>
      <c r="Q90" s="82"/>
      <c r="R90" s="82"/>
      <c r="S90" s="82"/>
      <c r="T90" s="82"/>
      <c r="U90" s="82"/>
      <c r="V90" s="82"/>
      <c r="W90" s="82"/>
      <c r="X90" s="147"/>
      <c r="Y90" s="147"/>
      <c r="Z90" s="147"/>
      <c r="AA90" s="147"/>
      <c r="AB90" s="147"/>
      <c r="AC90" s="147"/>
      <c r="AD90" s="147"/>
      <c r="AE90" s="147"/>
      <c r="AF90" s="147"/>
      <c r="AG90" s="147"/>
      <c r="AH90" s="147"/>
      <c r="AI90" s="147"/>
      <c r="AJ90" s="147"/>
      <c r="AK90" s="147"/>
      <c r="AL90" s="147"/>
      <c r="AM90" s="82"/>
      <c r="AN90" s="82"/>
      <c r="AO90" s="82"/>
      <c r="AP90" s="82"/>
      <c r="AQ90" s="82"/>
      <c r="AR90" s="82"/>
      <c r="AS90" s="82"/>
      <c r="AT90" s="82"/>
      <c r="AU90" s="82"/>
      <c r="AV90" s="82"/>
      <c r="AW90" s="82"/>
      <c r="AX90" s="82"/>
      <c r="AY90" s="82"/>
      <c r="AZ90" s="94"/>
    </row>
    <row r="91" spans="1:117" s="45" customFormat="1" ht="13.7" customHeight="1">
      <c r="A91" s="96"/>
      <c r="B91" s="97"/>
      <c r="C91" s="98"/>
      <c r="D91" s="98"/>
      <c r="E91" s="98"/>
      <c r="F91" s="99" t="s">
        <v>145</v>
      </c>
      <c r="G91" s="98"/>
      <c r="H91" s="98"/>
      <c r="I91" s="98"/>
      <c r="J91" s="98"/>
      <c r="K91" s="98"/>
      <c r="L91" s="98"/>
      <c r="M91" s="98"/>
      <c r="N91" s="98"/>
      <c r="O91" s="98"/>
      <c r="P91" s="98"/>
      <c r="Q91" s="98"/>
      <c r="R91" s="98"/>
      <c r="S91" s="98"/>
      <c r="T91" s="98"/>
      <c r="U91" s="98"/>
      <c r="V91" s="98"/>
      <c r="W91" s="98"/>
      <c r="X91" s="148"/>
      <c r="Y91" s="148"/>
      <c r="Z91" s="148"/>
      <c r="AA91" s="148"/>
      <c r="AB91" s="148"/>
      <c r="AC91" s="148"/>
      <c r="AD91" s="148"/>
      <c r="AE91" s="148"/>
      <c r="AF91" s="148"/>
      <c r="AG91" s="148"/>
      <c r="AH91" s="148"/>
      <c r="AI91" s="148"/>
      <c r="AJ91" s="148"/>
      <c r="AK91" s="148"/>
      <c r="AL91" s="148"/>
      <c r="AM91" s="98"/>
      <c r="AN91" s="98"/>
      <c r="AO91" s="98"/>
      <c r="AP91" s="98"/>
      <c r="AQ91" s="98"/>
      <c r="AR91" s="98"/>
      <c r="AS91" s="98"/>
      <c r="AT91" s="98"/>
      <c r="AU91" s="98"/>
      <c r="AV91" s="98"/>
      <c r="AW91" s="98"/>
      <c r="AX91" s="98"/>
      <c r="AY91" s="98"/>
      <c r="AZ91" s="100"/>
      <c r="BA91" s="96"/>
      <c r="BB91" s="72"/>
      <c r="BC91" s="72"/>
      <c r="BD91" s="72"/>
      <c r="BE91" s="72"/>
      <c r="BF91" s="72"/>
      <c r="BG91" s="72"/>
      <c r="BH91" s="72"/>
      <c r="BI91" s="72"/>
      <c r="BJ91" s="72"/>
      <c r="BK91" s="72"/>
      <c r="BL91" s="72"/>
      <c r="BM91" s="72"/>
      <c r="BN91" s="72"/>
      <c r="BO91" s="72"/>
      <c r="BP91" s="72"/>
      <c r="BQ91" s="72"/>
      <c r="BR91" s="72"/>
      <c r="BS91" s="72"/>
      <c r="BT91" s="72"/>
      <c r="BU91" s="72"/>
      <c r="BV91" s="96"/>
      <c r="BW91" s="24"/>
      <c r="BX91" s="257" t="s">
        <v>70</v>
      </c>
      <c r="BY91" s="257"/>
      <c r="BZ91" s="257"/>
      <c r="CA91" s="257"/>
      <c r="CB91" s="257"/>
      <c r="CC91" s="25"/>
      <c r="CD91" s="257" t="s">
        <v>70</v>
      </c>
      <c r="CE91" s="257"/>
      <c r="CF91" s="257"/>
      <c r="CG91" s="257"/>
      <c r="CH91" s="257"/>
      <c r="CI91" s="25"/>
      <c r="CJ91" s="257" t="s">
        <v>180</v>
      </c>
      <c r="CK91" s="257"/>
      <c r="CL91" s="257"/>
      <c r="CM91" s="257"/>
      <c r="CN91" s="257"/>
      <c r="CO91" s="25"/>
      <c r="CP91" s="257" t="s">
        <v>180</v>
      </c>
      <c r="CQ91" s="257"/>
      <c r="CR91" s="257"/>
      <c r="CS91" s="257"/>
      <c r="CT91" s="257"/>
      <c r="CU91" s="24"/>
      <c r="CV91" s="257" t="s">
        <v>71</v>
      </c>
      <c r="CW91" s="257"/>
      <c r="CX91" s="257"/>
      <c r="CY91" s="257"/>
      <c r="CZ91" s="257"/>
      <c r="DA91" s="24"/>
      <c r="DB91" s="251" t="s">
        <v>157</v>
      </c>
      <c r="DC91" s="251"/>
      <c r="DD91" s="251" t="s">
        <v>158</v>
      </c>
      <c r="DE91" s="251"/>
      <c r="DG91" s="62"/>
      <c r="DH91" s="62"/>
      <c r="DI91" s="62"/>
      <c r="DJ91" s="62"/>
      <c r="DK91" s="62"/>
      <c r="DL91" s="62"/>
      <c r="DM91" s="62"/>
    </row>
    <row r="92" spans="1:117" s="45" customFormat="1" ht="13.7" customHeight="1">
      <c r="A92" s="96"/>
      <c r="B92" s="97"/>
      <c r="C92" s="98"/>
      <c r="D92" s="101"/>
      <c r="E92" s="101"/>
      <c r="F92" s="258" t="s">
        <v>27</v>
      </c>
      <c r="G92" s="258"/>
      <c r="H92" s="258"/>
      <c r="I92" s="258"/>
      <c r="J92" s="258"/>
      <c r="K92" s="258"/>
      <c r="L92" s="258" t="s">
        <v>28</v>
      </c>
      <c r="M92" s="258"/>
      <c r="N92" s="258"/>
      <c r="O92" s="258"/>
      <c r="P92" s="258"/>
      <c r="Q92" s="258"/>
      <c r="R92" s="258"/>
      <c r="S92" s="258" t="s">
        <v>99</v>
      </c>
      <c r="T92" s="258"/>
      <c r="U92" s="258"/>
      <c r="V92" s="258"/>
      <c r="W92" s="258"/>
      <c r="X92" s="276" t="s">
        <v>73</v>
      </c>
      <c r="Y92" s="276"/>
      <c r="Z92" s="276"/>
      <c r="AA92" s="276"/>
      <c r="AB92" s="276"/>
      <c r="AC92" s="276"/>
      <c r="AD92" s="276"/>
      <c r="AE92" s="276"/>
      <c r="AF92" s="276"/>
      <c r="AG92" s="276"/>
      <c r="AH92" s="276"/>
      <c r="AI92" s="276"/>
      <c r="AJ92" s="276"/>
      <c r="AK92" s="276"/>
      <c r="AL92" s="276"/>
      <c r="AM92" s="258" t="s">
        <v>74</v>
      </c>
      <c r="AN92" s="258"/>
      <c r="AO92" s="258"/>
      <c r="AP92" s="258"/>
      <c r="AQ92" s="258"/>
      <c r="AR92" s="258" t="s">
        <v>29</v>
      </c>
      <c r="AS92" s="258"/>
      <c r="AT92" s="258"/>
      <c r="AU92" s="258"/>
      <c r="AV92" s="258"/>
      <c r="AW92" s="98"/>
      <c r="AX92" s="98"/>
      <c r="AY92" s="98"/>
      <c r="AZ92" s="100"/>
      <c r="BA92" s="96"/>
      <c r="BB92" s="231" t="s">
        <v>188</v>
      </c>
      <c r="BC92" s="232"/>
      <c r="BD92" s="232"/>
      <c r="BE92" s="232"/>
      <c r="BF92" s="233"/>
      <c r="BG92" s="275" t="s">
        <v>138</v>
      </c>
      <c r="BH92" s="275"/>
      <c r="BI92" s="275"/>
      <c r="BJ92" s="275"/>
      <c r="BK92" s="275"/>
      <c r="BL92" s="275" t="s">
        <v>139</v>
      </c>
      <c r="BM92" s="275"/>
      <c r="BN92" s="275"/>
      <c r="BO92" s="275"/>
      <c r="BP92" s="275"/>
      <c r="BQ92" s="275" t="s">
        <v>144</v>
      </c>
      <c r="BR92" s="275"/>
      <c r="BS92" s="275"/>
      <c r="BT92" s="275"/>
      <c r="BU92" s="275"/>
      <c r="BV92" s="96"/>
      <c r="BW92" s="24"/>
      <c r="BX92" s="256" t="s">
        <v>75</v>
      </c>
      <c r="BY92" s="252" t="s">
        <v>137</v>
      </c>
      <c r="BZ92" s="253"/>
      <c r="CA92" s="256" t="s">
        <v>76</v>
      </c>
      <c r="CB92" s="256" t="s">
        <v>77</v>
      </c>
      <c r="CC92" s="23"/>
      <c r="CD92" s="256" t="s">
        <v>75</v>
      </c>
      <c r="CE92" s="252" t="s">
        <v>137</v>
      </c>
      <c r="CF92" s="253"/>
      <c r="CG92" s="256" t="s">
        <v>76</v>
      </c>
      <c r="CH92" s="256" t="s">
        <v>77</v>
      </c>
      <c r="CI92" s="23"/>
      <c r="CJ92" s="256" t="s">
        <v>75</v>
      </c>
      <c r="CK92" s="252" t="s">
        <v>137</v>
      </c>
      <c r="CL92" s="253"/>
      <c r="CM92" s="256" t="s">
        <v>76</v>
      </c>
      <c r="CN92" s="256" t="s">
        <v>77</v>
      </c>
      <c r="CO92" s="23"/>
      <c r="CP92" s="256" t="s">
        <v>75</v>
      </c>
      <c r="CQ92" s="252" t="s">
        <v>137</v>
      </c>
      <c r="CR92" s="253"/>
      <c r="CS92" s="256" t="s">
        <v>76</v>
      </c>
      <c r="CT92" s="256" t="s">
        <v>77</v>
      </c>
      <c r="CU92" s="22"/>
      <c r="CV92" s="133" t="s">
        <v>78</v>
      </c>
      <c r="CW92" s="21" t="s">
        <v>79</v>
      </c>
      <c r="CX92" s="133" t="s">
        <v>80</v>
      </c>
      <c r="CY92" s="256" t="s">
        <v>81</v>
      </c>
      <c r="CZ92" s="256"/>
      <c r="DA92" s="22"/>
      <c r="DB92" s="251"/>
      <c r="DC92" s="251"/>
      <c r="DD92" s="251"/>
      <c r="DE92" s="251"/>
      <c r="DF92" s="46"/>
      <c r="DG92" s="47"/>
      <c r="DH92" s="47"/>
      <c r="DI92" s="47"/>
      <c r="DJ92" s="63"/>
      <c r="DK92" s="47"/>
      <c r="DL92" s="64"/>
      <c r="DM92" s="64"/>
    </row>
    <row r="93" spans="1:117" s="45" customFormat="1" ht="13.5">
      <c r="A93" s="96"/>
      <c r="B93" s="97"/>
      <c r="C93" s="98"/>
      <c r="D93" s="101"/>
      <c r="E93" s="101"/>
      <c r="F93" s="258"/>
      <c r="G93" s="258"/>
      <c r="H93" s="258"/>
      <c r="I93" s="258"/>
      <c r="J93" s="258"/>
      <c r="K93" s="258"/>
      <c r="L93" s="258"/>
      <c r="M93" s="258"/>
      <c r="N93" s="258"/>
      <c r="O93" s="258"/>
      <c r="P93" s="258"/>
      <c r="Q93" s="258"/>
      <c r="R93" s="258"/>
      <c r="S93" s="258"/>
      <c r="T93" s="258"/>
      <c r="U93" s="258"/>
      <c r="V93" s="258"/>
      <c r="W93" s="258"/>
      <c r="X93" s="276">
        <v>1</v>
      </c>
      <c r="Y93" s="276"/>
      <c r="Z93" s="276"/>
      <c r="AA93" s="276"/>
      <c r="AB93" s="276"/>
      <c r="AC93" s="276">
        <v>2</v>
      </c>
      <c r="AD93" s="276"/>
      <c r="AE93" s="276"/>
      <c r="AF93" s="276"/>
      <c r="AG93" s="276"/>
      <c r="AH93" s="276">
        <v>3</v>
      </c>
      <c r="AI93" s="276"/>
      <c r="AJ93" s="276"/>
      <c r="AK93" s="276"/>
      <c r="AL93" s="276"/>
      <c r="AM93" s="258"/>
      <c r="AN93" s="258"/>
      <c r="AO93" s="258"/>
      <c r="AP93" s="258"/>
      <c r="AQ93" s="258"/>
      <c r="AR93" s="258"/>
      <c r="AS93" s="258"/>
      <c r="AT93" s="258"/>
      <c r="AU93" s="258"/>
      <c r="AV93" s="258"/>
      <c r="AW93" s="98"/>
      <c r="AX93" s="98"/>
      <c r="AY93" s="98"/>
      <c r="AZ93" s="100"/>
      <c r="BA93" s="96"/>
      <c r="BB93" s="234"/>
      <c r="BC93" s="235"/>
      <c r="BD93" s="235"/>
      <c r="BE93" s="235"/>
      <c r="BF93" s="236"/>
      <c r="BG93" s="275"/>
      <c r="BH93" s="275"/>
      <c r="BI93" s="275"/>
      <c r="BJ93" s="275"/>
      <c r="BK93" s="275"/>
      <c r="BL93" s="275"/>
      <c r="BM93" s="275"/>
      <c r="BN93" s="275"/>
      <c r="BO93" s="275"/>
      <c r="BP93" s="275"/>
      <c r="BQ93" s="275"/>
      <c r="BR93" s="275"/>
      <c r="BS93" s="275"/>
      <c r="BT93" s="275"/>
      <c r="BU93" s="275"/>
      <c r="BV93" s="96"/>
      <c r="BW93" s="24"/>
      <c r="BX93" s="256"/>
      <c r="BY93" s="254"/>
      <c r="BZ93" s="255"/>
      <c r="CA93" s="256"/>
      <c r="CB93" s="256"/>
      <c r="CC93" s="23"/>
      <c r="CD93" s="256"/>
      <c r="CE93" s="254"/>
      <c r="CF93" s="255"/>
      <c r="CG93" s="256"/>
      <c r="CH93" s="256"/>
      <c r="CI93" s="23"/>
      <c r="CJ93" s="256"/>
      <c r="CK93" s="254"/>
      <c r="CL93" s="255"/>
      <c r="CM93" s="256"/>
      <c r="CN93" s="256"/>
      <c r="CO93" s="23"/>
      <c r="CP93" s="256"/>
      <c r="CQ93" s="254"/>
      <c r="CR93" s="255"/>
      <c r="CS93" s="256"/>
      <c r="CT93" s="256"/>
      <c r="CU93" s="22"/>
      <c r="CV93" s="133" t="s">
        <v>82</v>
      </c>
      <c r="CW93" s="21" t="s">
        <v>83</v>
      </c>
      <c r="CX93" s="133" t="s">
        <v>84</v>
      </c>
      <c r="CY93" s="256" t="s">
        <v>85</v>
      </c>
      <c r="CZ93" s="256"/>
      <c r="DA93" s="22"/>
      <c r="DB93" s="251"/>
      <c r="DC93" s="251"/>
      <c r="DD93" s="251"/>
      <c r="DE93" s="251"/>
      <c r="DF93" s="46"/>
      <c r="DG93" s="47"/>
      <c r="DH93" s="47"/>
      <c r="DI93" s="47"/>
      <c r="DJ93" s="63"/>
      <c r="DK93" s="47"/>
      <c r="DL93" s="64"/>
      <c r="DM93" s="64"/>
    </row>
    <row r="94" spans="1:117" s="45" customFormat="1" ht="13.5">
      <c r="A94" s="96"/>
      <c r="B94" s="97"/>
      <c r="C94" s="98"/>
      <c r="D94" s="98"/>
      <c r="E94" s="98"/>
      <c r="F94" s="335" t="s">
        <v>93</v>
      </c>
      <c r="G94" s="335"/>
      <c r="H94" s="335"/>
      <c r="I94" s="335"/>
      <c r="J94" s="335"/>
      <c r="K94" s="335"/>
      <c r="L94" s="336">
        <v>45</v>
      </c>
      <c r="M94" s="337"/>
      <c r="N94" s="337"/>
      <c r="O94" s="337"/>
      <c r="P94" s="338" t="s">
        <v>159</v>
      </c>
      <c r="Q94" s="338"/>
      <c r="R94" s="339"/>
      <c r="S94" s="285" t="s">
        <v>93</v>
      </c>
      <c r="T94" s="285"/>
      <c r="U94" s="285"/>
      <c r="V94" s="285"/>
      <c r="W94" s="285"/>
      <c r="X94" s="340"/>
      <c r="Y94" s="340"/>
      <c r="Z94" s="340"/>
      <c r="AA94" s="340"/>
      <c r="AB94" s="340"/>
      <c r="AC94" s="340"/>
      <c r="AD94" s="340"/>
      <c r="AE94" s="340"/>
      <c r="AF94" s="340"/>
      <c r="AG94" s="340"/>
      <c r="AH94" s="340"/>
      <c r="AI94" s="340"/>
      <c r="AJ94" s="340"/>
      <c r="AK94" s="340"/>
      <c r="AL94" s="340"/>
      <c r="AM94" s="284" t="e">
        <f>AVERAGE(X94:AL94)</f>
        <v>#DIV/0!</v>
      </c>
      <c r="AN94" s="284"/>
      <c r="AO94" s="284"/>
      <c r="AP94" s="284"/>
      <c r="AQ94" s="284"/>
      <c r="AR94" s="298" t="e">
        <f t="shared" ref="AR94:AR95" si="91">AM94-L94</f>
        <v>#DIV/0!</v>
      </c>
      <c r="AS94" s="298"/>
      <c r="AT94" s="298"/>
      <c r="AU94" s="298"/>
      <c r="AV94" s="298"/>
      <c r="AW94" s="98"/>
      <c r="AX94" s="98"/>
      <c r="AY94" s="98"/>
      <c r="AZ94" s="100"/>
      <c r="BA94" s="96"/>
      <c r="BB94" s="229" t="e">
        <f>ABS(0.2%*AM94)+(5*CK94)</f>
        <v>#DIV/0!</v>
      </c>
      <c r="BC94" s="229"/>
      <c r="BD94" s="229"/>
      <c r="BE94" s="229"/>
      <c r="BF94" s="229"/>
      <c r="BG94" s="229">
        <v>45.014000000000003</v>
      </c>
      <c r="BH94" s="229"/>
      <c r="BI94" s="229"/>
      <c r="BJ94" s="229"/>
      <c r="BK94" s="229"/>
      <c r="BL94" s="229">
        <v>44.985999999999997</v>
      </c>
      <c r="BM94" s="229"/>
      <c r="BN94" s="229"/>
      <c r="BO94" s="229"/>
      <c r="BP94" s="229"/>
      <c r="BQ94" s="265" t="e">
        <f>IF(AND(AVERAGE(X94:AL94)&lt;=BG94,AVERAGE(X94:AL94)&gt;=BL94),"PASS","FAIL")</f>
        <v>#DIV/0!</v>
      </c>
      <c r="BR94" s="265"/>
      <c r="BS94" s="265"/>
      <c r="BT94" s="265"/>
      <c r="BU94" s="265"/>
      <c r="BV94" s="96"/>
      <c r="BX94" s="48" t="s">
        <v>86</v>
      </c>
      <c r="BY94" s="153">
        <v>5.8E-5</v>
      </c>
      <c r="BZ94" s="49" t="s">
        <v>159</v>
      </c>
      <c r="CA94" s="48">
        <v>2</v>
      </c>
      <c r="CB94" s="50">
        <f t="shared" ref="CB94:CB95" si="92">BY94/CA94</f>
        <v>2.9E-5</v>
      </c>
      <c r="CC94" s="51"/>
      <c r="CD94" s="20" t="s">
        <v>170</v>
      </c>
      <c r="CE94" s="15">
        <v>0</v>
      </c>
      <c r="CF94" s="19" t="str">
        <f>P94</f>
        <v>Hz</v>
      </c>
      <c r="CG94" s="18">
        <f t="shared" ref="CG94:CG95" si="93">SQRT(3)</f>
        <v>1.7320508075688772</v>
      </c>
      <c r="CH94" s="16">
        <f t="shared" ref="CH94:CH95" si="94">CE94/CG94</f>
        <v>0</v>
      </c>
      <c r="CI94" s="51"/>
      <c r="CJ94" s="20" t="s">
        <v>87</v>
      </c>
      <c r="CK94" s="20">
        <v>1E-3</v>
      </c>
      <c r="CL94" s="19" t="str">
        <f>P94</f>
        <v>Hz</v>
      </c>
      <c r="CM94" s="18">
        <f t="shared" ref="CM94:CM95" si="95">SQRT(12)</f>
        <v>3.4641016151377544</v>
      </c>
      <c r="CN94" s="16">
        <f t="shared" ref="CN94:CN95" si="96">CK94/CM94</f>
        <v>2.886751345948129E-4</v>
      </c>
      <c r="CO94" s="6"/>
      <c r="CP94" s="20" t="s">
        <v>88</v>
      </c>
      <c r="CQ94" s="17" t="e">
        <f>STDEV(X94:AL94)</f>
        <v>#DIV/0!</v>
      </c>
      <c r="CR94" s="19" t="str">
        <f>P94</f>
        <v>Hz</v>
      </c>
      <c r="CS94" s="18">
        <f t="shared" ref="CS94:CS95" si="97">SQRT(3)</f>
        <v>1.7320508075688772</v>
      </c>
      <c r="CT94" s="17" t="e">
        <f t="shared" ref="CT94:CT95" si="98">CQ94/CS94</f>
        <v>#DIV/0!</v>
      </c>
      <c r="CU94" s="7"/>
      <c r="CV94" s="16" t="e">
        <f t="shared" ref="CV94:CV95" si="99">SQRT(SUMSQ(CT94,CN94,CH94,CB94))</f>
        <v>#DIV/0!</v>
      </c>
      <c r="CW94" s="14" t="e">
        <f t="shared" ref="CW94:CW95" si="100">(CV94^4)/(((CT94^4)/2)+((CN94^4)/200)+((CH94^4)/200)+((CB94^4)/200))</f>
        <v>#DIV/0!</v>
      </c>
      <c r="CX94" s="14" t="e">
        <f t="shared" ref="CX94:CX95" si="101">ROUND(TINV(0.05,CW94),0)</f>
        <v>#DIV/0!</v>
      </c>
      <c r="CY94" s="26" t="e">
        <f t="shared" ref="CY94:CY95" si="102">(CV94*CX94)</f>
        <v>#DIV/0!</v>
      </c>
      <c r="CZ94" s="61" t="str">
        <f>BZ94</f>
        <v>Hz</v>
      </c>
      <c r="DA94" s="7"/>
      <c r="DB94" s="122"/>
      <c r="DC94" s="123" t="str">
        <f t="shared" ref="DC94:DC95" si="103">CZ94</f>
        <v>Hz</v>
      </c>
      <c r="DD94" s="125" t="e">
        <f t="shared" ref="DD94:DD95" si="104">MAX(DB94,CY94)</f>
        <v>#DIV/0!</v>
      </c>
      <c r="DE94" s="123" t="str">
        <f t="shared" ref="DE94:DE95" si="105">DC94</f>
        <v>Hz</v>
      </c>
      <c r="DF94" s="51"/>
      <c r="DG94" s="53"/>
      <c r="DH94" s="53"/>
      <c r="DI94" s="53"/>
      <c r="DJ94" s="57"/>
      <c r="DK94" s="58"/>
      <c r="DL94" s="59"/>
      <c r="DM94" s="60"/>
    </row>
    <row r="95" spans="1:117" s="45" customFormat="1" ht="13.5">
      <c r="A95" s="96"/>
      <c r="B95" s="97"/>
      <c r="C95" s="98"/>
      <c r="D95" s="98"/>
      <c r="E95" s="98"/>
      <c r="F95" s="335" t="s">
        <v>93</v>
      </c>
      <c r="G95" s="335"/>
      <c r="H95" s="335"/>
      <c r="I95" s="335"/>
      <c r="J95" s="335"/>
      <c r="K95" s="335"/>
      <c r="L95" s="336">
        <v>950</v>
      </c>
      <c r="M95" s="337"/>
      <c r="N95" s="337"/>
      <c r="O95" s="337"/>
      <c r="P95" s="338" t="s">
        <v>100</v>
      </c>
      <c r="Q95" s="338"/>
      <c r="R95" s="339"/>
      <c r="S95" s="285" t="s">
        <v>146</v>
      </c>
      <c r="T95" s="285"/>
      <c r="U95" s="285"/>
      <c r="V95" s="285"/>
      <c r="W95" s="285"/>
      <c r="X95" s="296"/>
      <c r="Y95" s="296"/>
      <c r="Z95" s="296"/>
      <c r="AA95" s="296"/>
      <c r="AB95" s="296"/>
      <c r="AC95" s="296"/>
      <c r="AD95" s="296"/>
      <c r="AE95" s="296"/>
      <c r="AF95" s="296"/>
      <c r="AG95" s="296"/>
      <c r="AH95" s="296"/>
      <c r="AI95" s="296"/>
      <c r="AJ95" s="296"/>
      <c r="AK95" s="296"/>
      <c r="AL95" s="296"/>
      <c r="AM95" s="259" t="e">
        <f>AVERAGE(X95:AL95)</f>
        <v>#DIV/0!</v>
      </c>
      <c r="AN95" s="259"/>
      <c r="AO95" s="259"/>
      <c r="AP95" s="259"/>
      <c r="AQ95" s="259"/>
      <c r="AR95" s="297" t="e">
        <f t="shared" si="91"/>
        <v>#DIV/0!</v>
      </c>
      <c r="AS95" s="297"/>
      <c r="AT95" s="297"/>
      <c r="AU95" s="297"/>
      <c r="AV95" s="297"/>
      <c r="AW95" s="98"/>
      <c r="AX95" s="98"/>
      <c r="AY95" s="98"/>
      <c r="AZ95" s="100"/>
      <c r="BA95" s="96"/>
      <c r="BB95" s="230" t="e">
        <f>ABS(0.005%*AM95)+(5*CK95)</f>
        <v>#DIV/0!</v>
      </c>
      <c r="BC95" s="230"/>
      <c r="BD95" s="230"/>
      <c r="BE95" s="230"/>
      <c r="BF95" s="230"/>
      <c r="BG95" s="230">
        <v>950.1</v>
      </c>
      <c r="BH95" s="230"/>
      <c r="BI95" s="230"/>
      <c r="BJ95" s="230"/>
      <c r="BK95" s="230"/>
      <c r="BL95" s="230">
        <v>949.9</v>
      </c>
      <c r="BM95" s="230"/>
      <c r="BN95" s="230"/>
      <c r="BO95" s="230"/>
      <c r="BP95" s="230"/>
      <c r="BQ95" s="265" t="e">
        <f>IF(AND(AVERAGE(X95:AL95)&lt;=BG95,AVERAGE(X95:AL95)&gt;=BL95),"PASS","FAIL")</f>
        <v>#DIV/0!</v>
      </c>
      <c r="BR95" s="265"/>
      <c r="BS95" s="265"/>
      <c r="BT95" s="265"/>
      <c r="BU95" s="265"/>
      <c r="BV95" s="96"/>
      <c r="BX95" s="48" t="s">
        <v>86</v>
      </c>
      <c r="BY95" s="153">
        <v>5.8E-5</v>
      </c>
      <c r="BZ95" s="49" t="s">
        <v>100</v>
      </c>
      <c r="CA95" s="48">
        <v>2</v>
      </c>
      <c r="CB95" s="50">
        <f t="shared" si="92"/>
        <v>2.9E-5</v>
      </c>
      <c r="CC95" s="51"/>
      <c r="CD95" s="20" t="s">
        <v>170</v>
      </c>
      <c r="CE95" s="15">
        <v>0</v>
      </c>
      <c r="CF95" s="19" t="str">
        <f>P95</f>
        <v>kHz</v>
      </c>
      <c r="CG95" s="18">
        <f t="shared" si="93"/>
        <v>1.7320508075688772</v>
      </c>
      <c r="CH95" s="16">
        <f t="shared" si="94"/>
        <v>0</v>
      </c>
      <c r="CI95" s="51"/>
      <c r="CJ95" s="20" t="s">
        <v>87</v>
      </c>
      <c r="CK95" s="20">
        <v>0.01</v>
      </c>
      <c r="CL95" s="19" t="str">
        <f>P95</f>
        <v>kHz</v>
      </c>
      <c r="CM95" s="18">
        <f t="shared" si="95"/>
        <v>3.4641016151377544</v>
      </c>
      <c r="CN95" s="16">
        <f t="shared" si="96"/>
        <v>2.886751345948129E-3</v>
      </c>
      <c r="CO95" s="6"/>
      <c r="CP95" s="20" t="s">
        <v>88</v>
      </c>
      <c r="CQ95" s="17" t="e">
        <f>STDEV(X95:AL95)</f>
        <v>#DIV/0!</v>
      </c>
      <c r="CR95" s="19" t="str">
        <f>P95</f>
        <v>kHz</v>
      </c>
      <c r="CS95" s="18">
        <f t="shared" si="97"/>
        <v>1.7320508075688772</v>
      </c>
      <c r="CT95" s="17" t="e">
        <f t="shared" si="98"/>
        <v>#DIV/0!</v>
      </c>
      <c r="CU95" s="7"/>
      <c r="CV95" s="16" t="e">
        <f t="shared" si="99"/>
        <v>#DIV/0!</v>
      </c>
      <c r="CW95" s="14" t="e">
        <f t="shared" si="100"/>
        <v>#DIV/0!</v>
      </c>
      <c r="CX95" s="14" t="e">
        <f t="shared" si="101"/>
        <v>#DIV/0!</v>
      </c>
      <c r="CY95" s="26" t="e">
        <f t="shared" si="102"/>
        <v>#DIV/0!</v>
      </c>
      <c r="CZ95" s="61" t="str">
        <f>BZ95</f>
        <v>kHz</v>
      </c>
      <c r="DA95" s="7"/>
      <c r="DB95" s="122"/>
      <c r="DC95" s="123" t="str">
        <f t="shared" si="103"/>
        <v>kHz</v>
      </c>
      <c r="DD95" s="125" t="e">
        <f t="shared" si="104"/>
        <v>#DIV/0!</v>
      </c>
      <c r="DE95" s="123" t="str">
        <f t="shared" si="105"/>
        <v>kHz</v>
      </c>
      <c r="DF95" s="51"/>
      <c r="DG95" s="53"/>
      <c r="DH95" s="53"/>
      <c r="DI95" s="53"/>
      <c r="DJ95" s="57"/>
      <c r="DK95" s="58"/>
      <c r="DL95" s="59"/>
      <c r="DM95" s="60"/>
    </row>
    <row r="96" spans="1:117" s="45" customFormat="1" ht="13.5">
      <c r="A96" s="96"/>
      <c r="B96" s="97"/>
      <c r="C96" s="98"/>
      <c r="D96" s="98"/>
      <c r="E96" s="98"/>
      <c r="F96" s="102"/>
      <c r="G96" s="102"/>
      <c r="H96" s="102"/>
      <c r="I96" s="102"/>
      <c r="J96" s="102"/>
      <c r="K96" s="102"/>
      <c r="L96" s="103"/>
      <c r="M96" s="103"/>
      <c r="N96" s="103"/>
      <c r="O96" s="103"/>
      <c r="P96" s="104"/>
      <c r="Q96" s="104"/>
      <c r="R96" s="104"/>
      <c r="S96" s="105"/>
      <c r="T96" s="105"/>
      <c r="U96" s="105"/>
      <c r="V96" s="105"/>
      <c r="W96" s="105"/>
      <c r="X96" s="149"/>
      <c r="Y96" s="149"/>
      <c r="Z96" s="149"/>
      <c r="AA96" s="149"/>
      <c r="AB96" s="149"/>
      <c r="AC96" s="149"/>
      <c r="AD96" s="149"/>
      <c r="AE96" s="149"/>
      <c r="AF96" s="149"/>
      <c r="AG96" s="149"/>
      <c r="AH96" s="149"/>
      <c r="AI96" s="149"/>
      <c r="AJ96" s="149"/>
      <c r="AK96" s="149"/>
      <c r="AL96" s="149"/>
      <c r="AM96" s="106"/>
      <c r="AN96" s="106"/>
      <c r="AO96" s="106"/>
      <c r="AP96" s="106"/>
      <c r="AQ96" s="106"/>
      <c r="AR96" s="106"/>
      <c r="AS96" s="106"/>
      <c r="AT96" s="106"/>
      <c r="AU96" s="106"/>
      <c r="AV96" s="106"/>
      <c r="AW96" s="98"/>
      <c r="AX96" s="98"/>
      <c r="AY96" s="98"/>
      <c r="AZ96" s="100"/>
      <c r="BA96" s="96"/>
      <c r="BB96" s="72"/>
      <c r="BC96" s="72"/>
      <c r="BD96" s="72"/>
      <c r="BE96" s="72"/>
      <c r="BF96" s="72"/>
      <c r="BG96" s="72"/>
      <c r="BH96" s="72"/>
      <c r="BI96" s="72"/>
      <c r="BJ96" s="72"/>
      <c r="BK96" s="72"/>
      <c r="BL96" s="72"/>
      <c r="BM96" s="72"/>
      <c r="BN96" s="72"/>
      <c r="BO96" s="72"/>
      <c r="BP96" s="72"/>
      <c r="BQ96" s="72"/>
      <c r="BR96" s="72"/>
      <c r="BS96" s="72"/>
      <c r="BT96" s="72"/>
      <c r="BU96" s="72"/>
      <c r="BV96" s="96"/>
      <c r="BX96" s="154"/>
      <c r="BY96" s="159"/>
      <c r="BZ96" s="155"/>
      <c r="CA96" s="154"/>
      <c r="CB96" s="157"/>
      <c r="CC96" s="51"/>
      <c r="CD96" s="154"/>
      <c r="CE96" s="159"/>
      <c r="CF96" s="155"/>
      <c r="CG96" s="156"/>
      <c r="CH96" s="157"/>
      <c r="CI96" s="51"/>
      <c r="CJ96" s="154"/>
      <c r="CK96" s="154"/>
      <c r="CL96" s="155"/>
      <c r="CM96" s="156"/>
      <c r="CN96" s="157"/>
      <c r="CO96" s="53"/>
      <c r="CP96" s="154"/>
      <c r="CQ96" s="154"/>
      <c r="CR96" s="156"/>
      <c r="CS96" s="157"/>
      <c r="CT96" s="154"/>
      <c r="CU96" s="107"/>
      <c r="CV96" s="154"/>
      <c r="CW96" s="154"/>
      <c r="CX96" s="158"/>
      <c r="CY96" s="155"/>
      <c r="CZ96" s="156"/>
      <c r="DA96" s="107"/>
      <c r="DB96" s="126"/>
      <c r="DC96" s="127"/>
      <c r="DD96" s="127"/>
      <c r="DE96" s="128"/>
      <c r="DF96" s="51"/>
      <c r="DG96" s="53"/>
      <c r="DH96" s="53"/>
      <c r="DI96" s="53"/>
      <c r="DJ96" s="57"/>
      <c r="DK96" s="58"/>
      <c r="DL96" s="59"/>
      <c r="DM96" s="60"/>
    </row>
    <row r="97" spans="1:120" s="45" customFormat="1" ht="13.7" customHeight="1">
      <c r="A97" s="96"/>
      <c r="B97" s="97"/>
      <c r="C97" s="98"/>
      <c r="D97" s="98"/>
      <c r="E97" s="98"/>
      <c r="F97" s="108" t="s">
        <v>147</v>
      </c>
      <c r="G97" s="109"/>
      <c r="H97" s="109"/>
      <c r="I97" s="109"/>
      <c r="J97" s="104"/>
      <c r="K97" s="104"/>
      <c r="L97" s="104"/>
      <c r="M97" s="110"/>
      <c r="N97" s="110"/>
      <c r="O97" s="110"/>
      <c r="P97" s="110"/>
      <c r="Q97" s="110"/>
      <c r="R97" s="110"/>
      <c r="S97" s="110"/>
      <c r="T97" s="110"/>
      <c r="U97" s="110"/>
      <c r="V97" s="110"/>
      <c r="W97" s="110"/>
      <c r="X97" s="150"/>
      <c r="Y97" s="150"/>
      <c r="Z97" s="150"/>
      <c r="AA97" s="150"/>
      <c r="AB97" s="150"/>
      <c r="AC97" s="150"/>
      <c r="AD97" s="150"/>
      <c r="AE97" s="150"/>
      <c r="AF97" s="150"/>
      <c r="AG97" s="150"/>
      <c r="AH97" s="150"/>
      <c r="AI97" s="150"/>
      <c r="AJ97" s="150"/>
      <c r="AK97" s="150"/>
      <c r="AL97" s="150"/>
      <c r="AM97" s="110"/>
      <c r="AN97" s="110"/>
      <c r="AO97" s="110"/>
      <c r="AP97" s="110"/>
      <c r="AQ97" s="98"/>
      <c r="AR97" s="98"/>
      <c r="AS97" s="98"/>
      <c r="AT97" s="98"/>
      <c r="AU97" s="98"/>
      <c r="AV97" s="98"/>
      <c r="AW97" s="98"/>
      <c r="AX97" s="98"/>
      <c r="AY97" s="98"/>
      <c r="AZ97" s="100"/>
      <c r="BA97" s="96"/>
      <c r="BB97" s="72"/>
      <c r="BC97" s="72"/>
      <c r="BD97" s="72"/>
      <c r="BE97" s="72"/>
      <c r="BF97" s="72"/>
      <c r="BG97" s="72"/>
      <c r="BH97" s="72"/>
      <c r="BI97" s="72"/>
      <c r="BJ97" s="72"/>
      <c r="BK97" s="72"/>
      <c r="BL97" s="72"/>
      <c r="BM97" s="72"/>
      <c r="BN97" s="72"/>
      <c r="BO97" s="72"/>
      <c r="BP97" s="72"/>
      <c r="BQ97" s="72"/>
      <c r="BR97" s="72"/>
      <c r="BS97" s="72"/>
      <c r="BT97" s="72"/>
      <c r="BU97" s="72"/>
      <c r="BV97" s="96"/>
      <c r="DB97" s="129"/>
      <c r="DC97" s="129"/>
      <c r="DD97" s="129"/>
      <c r="DE97" s="129"/>
    </row>
    <row r="98" spans="1:120" s="45" customFormat="1" ht="13.7" customHeight="1">
      <c r="A98" s="96"/>
      <c r="B98" s="97"/>
      <c r="C98" s="98"/>
      <c r="D98" s="98"/>
      <c r="E98" s="98"/>
      <c r="F98" s="258" t="s">
        <v>27</v>
      </c>
      <c r="G98" s="258"/>
      <c r="H98" s="258"/>
      <c r="I98" s="258"/>
      <c r="J98" s="258"/>
      <c r="K98" s="258"/>
      <c r="L98" s="258" t="s">
        <v>28</v>
      </c>
      <c r="M98" s="258"/>
      <c r="N98" s="258"/>
      <c r="O98" s="258"/>
      <c r="P98" s="258"/>
      <c r="Q98" s="258"/>
      <c r="R98" s="258"/>
      <c r="S98" s="307" t="s">
        <v>186</v>
      </c>
      <c r="T98" s="308"/>
      <c r="U98" s="308"/>
      <c r="V98" s="308"/>
      <c r="W98" s="309"/>
      <c r="X98" s="276" t="s">
        <v>73</v>
      </c>
      <c r="Y98" s="276"/>
      <c r="Z98" s="276"/>
      <c r="AA98" s="276"/>
      <c r="AB98" s="276"/>
      <c r="AC98" s="276"/>
      <c r="AD98" s="276"/>
      <c r="AE98" s="276"/>
      <c r="AF98" s="276"/>
      <c r="AG98" s="276"/>
      <c r="AH98" s="276"/>
      <c r="AI98" s="276"/>
      <c r="AJ98" s="276"/>
      <c r="AK98" s="276"/>
      <c r="AL98" s="276"/>
      <c r="AM98" s="258" t="s">
        <v>74</v>
      </c>
      <c r="AN98" s="258"/>
      <c r="AO98" s="258"/>
      <c r="AP98" s="258"/>
      <c r="AQ98" s="258"/>
      <c r="AR98" s="258" t="s">
        <v>29</v>
      </c>
      <c r="AS98" s="258"/>
      <c r="AT98" s="258"/>
      <c r="AU98" s="258"/>
      <c r="AV98" s="258"/>
      <c r="AW98" s="98"/>
      <c r="AX98" s="98"/>
      <c r="AY98" s="98"/>
      <c r="AZ98" s="100"/>
      <c r="BA98" s="96"/>
      <c r="BB98" s="231" t="s">
        <v>188</v>
      </c>
      <c r="BC98" s="232"/>
      <c r="BD98" s="232"/>
      <c r="BE98" s="232"/>
      <c r="BF98" s="233"/>
      <c r="BG98" s="401" t="s">
        <v>138</v>
      </c>
      <c r="BH98" s="401"/>
      <c r="BI98" s="401"/>
      <c r="BJ98" s="401"/>
      <c r="BK98" s="401"/>
      <c r="BL98" s="401" t="s">
        <v>139</v>
      </c>
      <c r="BM98" s="401"/>
      <c r="BN98" s="401"/>
      <c r="BO98" s="401"/>
      <c r="BP98" s="401"/>
      <c r="BQ98" s="401" t="s">
        <v>148</v>
      </c>
      <c r="BR98" s="401"/>
      <c r="BS98" s="401"/>
      <c r="BT98" s="401"/>
      <c r="BU98" s="401"/>
      <c r="BV98" s="96"/>
      <c r="BX98" s="280" t="s">
        <v>189</v>
      </c>
      <c r="DB98" s="129"/>
      <c r="DC98" s="129"/>
      <c r="DD98" s="129"/>
      <c r="DE98" s="129"/>
    </row>
    <row r="99" spans="1:120" s="45" customFormat="1" ht="13.5">
      <c r="A99" s="96"/>
      <c r="B99" s="97"/>
      <c r="C99" s="98"/>
      <c r="D99" s="98"/>
      <c r="E99" s="98"/>
      <c r="F99" s="258"/>
      <c r="G99" s="258"/>
      <c r="H99" s="258"/>
      <c r="I99" s="258"/>
      <c r="J99" s="258"/>
      <c r="K99" s="258"/>
      <c r="L99" s="258"/>
      <c r="M99" s="258"/>
      <c r="N99" s="258"/>
      <c r="O99" s="258"/>
      <c r="P99" s="258"/>
      <c r="Q99" s="258"/>
      <c r="R99" s="258"/>
      <c r="S99" s="310"/>
      <c r="T99" s="311"/>
      <c r="U99" s="311"/>
      <c r="V99" s="311"/>
      <c r="W99" s="312"/>
      <c r="X99" s="276">
        <v>1</v>
      </c>
      <c r="Y99" s="276"/>
      <c r="Z99" s="276"/>
      <c r="AA99" s="276"/>
      <c r="AB99" s="276"/>
      <c r="AC99" s="276">
        <v>2</v>
      </c>
      <c r="AD99" s="276"/>
      <c r="AE99" s="276"/>
      <c r="AF99" s="276"/>
      <c r="AG99" s="276"/>
      <c r="AH99" s="276">
        <v>3</v>
      </c>
      <c r="AI99" s="276"/>
      <c r="AJ99" s="276"/>
      <c r="AK99" s="276"/>
      <c r="AL99" s="276"/>
      <c r="AM99" s="258"/>
      <c r="AN99" s="258"/>
      <c r="AO99" s="258"/>
      <c r="AP99" s="258"/>
      <c r="AQ99" s="258"/>
      <c r="AR99" s="258"/>
      <c r="AS99" s="258"/>
      <c r="AT99" s="258"/>
      <c r="AU99" s="258"/>
      <c r="AV99" s="258"/>
      <c r="AW99" s="98"/>
      <c r="AX99" s="98"/>
      <c r="AY99" s="98"/>
      <c r="AZ99" s="100"/>
      <c r="BA99" s="96"/>
      <c r="BB99" s="234"/>
      <c r="BC99" s="235"/>
      <c r="BD99" s="235"/>
      <c r="BE99" s="235"/>
      <c r="BF99" s="236"/>
      <c r="BG99" s="402"/>
      <c r="BH99" s="402"/>
      <c r="BI99" s="402"/>
      <c r="BJ99" s="402"/>
      <c r="BK99" s="402"/>
      <c r="BL99" s="402"/>
      <c r="BM99" s="402"/>
      <c r="BN99" s="402"/>
      <c r="BO99" s="402"/>
      <c r="BP99" s="402"/>
      <c r="BQ99" s="402"/>
      <c r="BR99" s="402"/>
      <c r="BS99" s="402"/>
      <c r="BT99" s="402"/>
      <c r="BU99" s="402"/>
      <c r="BV99" s="96"/>
      <c r="BX99" s="280"/>
      <c r="DB99" s="129"/>
      <c r="DC99" s="129"/>
      <c r="DD99" s="129"/>
      <c r="DE99" s="129"/>
    </row>
    <row r="100" spans="1:120" s="45" customFormat="1" ht="24.95" customHeight="1">
      <c r="A100" s="96"/>
      <c r="B100" s="97"/>
      <c r="C100" s="98"/>
      <c r="D100" s="98"/>
      <c r="E100" s="98"/>
      <c r="F100" s="327" t="s">
        <v>94</v>
      </c>
      <c r="G100" s="328"/>
      <c r="H100" s="328"/>
      <c r="I100" s="328"/>
      <c r="J100" s="328"/>
      <c r="K100" s="329"/>
      <c r="L100" s="371">
        <v>15</v>
      </c>
      <c r="M100" s="372"/>
      <c r="N100" s="372"/>
      <c r="O100" s="372"/>
      <c r="P100" s="405" t="s">
        <v>149</v>
      </c>
      <c r="Q100" s="405"/>
      <c r="R100" s="406"/>
      <c r="S100" s="299" t="s">
        <v>154</v>
      </c>
      <c r="T100" s="300"/>
      <c r="U100" s="300"/>
      <c r="V100" s="300"/>
      <c r="W100" s="301"/>
      <c r="X100" s="322"/>
      <c r="Y100" s="323"/>
      <c r="Z100" s="323"/>
      <c r="AA100" s="323"/>
      <c r="AB100" s="333"/>
      <c r="AC100" s="322"/>
      <c r="AD100" s="323"/>
      <c r="AE100" s="323"/>
      <c r="AF100" s="323"/>
      <c r="AG100" s="333"/>
      <c r="AH100" s="322"/>
      <c r="AI100" s="323"/>
      <c r="AJ100" s="323"/>
      <c r="AK100" s="323"/>
      <c r="AL100" s="333"/>
      <c r="AM100" s="324" t="e">
        <f>AVERAGE(X100:AL100)</f>
        <v>#DIV/0!</v>
      </c>
      <c r="AN100" s="325"/>
      <c r="AO100" s="325"/>
      <c r="AP100" s="325"/>
      <c r="AQ100" s="332"/>
      <c r="AR100" s="324" t="e">
        <f>AM100-L100</f>
        <v>#DIV/0!</v>
      </c>
      <c r="AS100" s="325"/>
      <c r="AT100" s="325"/>
      <c r="AU100" s="325"/>
      <c r="AV100" s="332"/>
      <c r="AW100" s="98"/>
      <c r="AX100" s="98"/>
      <c r="AY100" s="98"/>
      <c r="AZ100" s="100"/>
      <c r="BA100" s="96"/>
      <c r="BB100" s="243">
        <v>0</v>
      </c>
      <c r="BC100" s="243"/>
      <c r="BD100" s="243"/>
      <c r="BE100" s="243"/>
      <c r="BF100" s="243"/>
      <c r="BG100" s="331">
        <v>25.1</v>
      </c>
      <c r="BH100" s="331"/>
      <c r="BI100" s="331"/>
      <c r="BJ100" s="331"/>
      <c r="BK100" s="331"/>
      <c r="BL100" s="331">
        <v>4.9000000000000004</v>
      </c>
      <c r="BM100" s="331"/>
      <c r="BN100" s="331"/>
      <c r="BO100" s="331"/>
      <c r="BP100" s="331"/>
      <c r="BQ100" s="448" t="e">
        <f>IF(AND(AVERAGE(X100:AL100)&lt;=BG100,AVERAGE(X100:AL100)&gt;=BL100),"PASS","FAIL")</f>
        <v>#DIV/0!</v>
      </c>
      <c r="BR100" s="449"/>
      <c r="BS100" s="449"/>
      <c r="BT100" s="449"/>
      <c r="BU100" s="450"/>
      <c r="BV100" s="96"/>
      <c r="BX100" s="163">
        <v>0.01</v>
      </c>
      <c r="DB100" s="129"/>
      <c r="DC100" s="129"/>
      <c r="DD100" s="129"/>
      <c r="DE100" s="129"/>
    </row>
    <row r="101" spans="1:120" ht="13.5">
      <c r="B101" s="93"/>
      <c r="C101" s="82"/>
      <c r="D101" s="82"/>
      <c r="E101" s="82"/>
      <c r="F101" s="82"/>
      <c r="G101" s="82"/>
      <c r="H101" s="82"/>
      <c r="I101" s="82"/>
      <c r="J101" s="82"/>
      <c r="K101" s="82"/>
      <c r="L101" s="82"/>
      <c r="M101" s="82"/>
      <c r="N101" s="82"/>
      <c r="O101" s="82"/>
      <c r="P101" s="82"/>
      <c r="Q101" s="82"/>
      <c r="R101" s="82"/>
      <c r="S101" s="82"/>
      <c r="T101" s="82"/>
      <c r="U101" s="82"/>
      <c r="V101" s="82"/>
      <c r="W101" s="82"/>
      <c r="X101" s="147"/>
      <c r="Y101" s="147"/>
      <c r="Z101" s="147"/>
      <c r="AA101" s="147"/>
      <c r="AB101" s="147"/>
      <c r="AC101" s="147"/>
      <c r="AD101" s="147"/>
      <c r="AE101" s="147"/>
      <c r="AF101" s="147"/>
      <c r="AG101" s="147"/>
      <c r="AH101" s="147"/>
      <c r="AI101" s="147"/>
      <c r="AJ101" s="147"/>
      <c r="AK101" s="147"/>
      <c r="AL101" s="147"/>
      <c r="AM101" s="82"/>
      <c r="AN101" s="82"/>
      <c r="AO101" s="82"/>
      <c r="AP101" s="82"/>
      <c r="AQ101" s="82"/>
      <c r="AR101" s="82"/>
      <c r="AS101" s="82"/>
      <c r="AT101" s="82"/>
      <c r="AU101" s="82"/>
      <c r="AV101" s="82"/>
      <c r="AW101" s="82"/>
      <c r="AX101" s="82"/>
      <c r="AY101" s="82"/>
      <c r="AZ101" s="94"/>
    </row>
    <row r="102" spans="1:120" s="45" customFormat="1" ht="13.7" customHeight="1">
      <c r="A102" s="96"/>
      <c r="B102" s="97"/>
      <c r="C102" s="98"/>
      <c r="D102" s="98"/>
      <c r="E102" s="98"/>
      <c r="F102" s="99" t="s">
        <v>166</v>
      </c>
      <c r="G102" s="98"/>
      <c r="H102" s="98"/>
      <c r="I102" s="98"/>
      <c r="J102" s="98"/>
      <c r="K102" s="98"/>
      <c r="L102" s="98"/>
      <c r="M102" s="98"/>
      <c r="N102" s="98"/>
      <c r="O102" s="98"/>
      <c r="P102" s="98"/>
      <c r="Q102" s="98"/>
      <c r="R102" s="98"/>
      <c r="S102" s="98"/>
      <c r="T102" s="98"/>
      <c r="U102" s="98"/>
      <c r="V102" s="98"/>
      <c r="W102" s="98"/>
      <c r="X102" s="148"/>
      <c r="Y102" s="148"/>
      <c r="Z102" s="148"/>
      <c r="AA102" s="148"/>
      <c r="AB102" s="148"/>
      <c r="AC102" s="148"/>
      <c r="AD102" s="148"/>
      <c r="AE102" s="148"/>
      <c r="AF102" s="148"/>
      <c r="AG102" s="148"/>
      <c r="AH102" s="148"/>
      <c r="AI102" s="148"/>
      <c r="AJ102" s="148"/>
      <c r="AK102" s="148"/>
      <c r="AL102" s="148"/>
      <c r="AM102" s="98"/>
      <c r="AN102" s="98"/>
      <c r="AO102" s="98"/>
      <c r="AP102" s="98"/>
      <c r="AQ102" s="98"/>
      <c r="AR102" s="98"/>
      <c r="AS102" s="98"/>
      <c r="AT102" s="98"/>
      <c r="AU102" s="98"/>
      <c r="AV102" s="98"/>
      <c r="AW102" s="98"/>
      <c r="AX102" s="98"/>
      <c r="AY102" s="98"/>
      <c r="AZ102" s="100"/>
      <c r="BA102" s="96"/>
      <c r="BB102" s="72"/>
      <c r="BC102" s="72"/>
      <c r="BD102" s="72"/>
      <c r="BE102" s="72"/>
      <c r="BF102" s="72"/>
      <c r="BG102" s="72"/>
      <c r="BH102" s="72"/>
      <c r="BI102" s="72"/>
      <c r="BJ102" s="72"/>
      <c r="BK102" s="72"/>
      <c r="BL102" s="72"/>
      <c r="BM102" s="72"/>
      <c r="BN102" s="72"/>
      <c r="BO102" s="72"/>
      <c r="BP102" s="72"/>
      <c r="BQ102" s="72"/>
      <c r="BR102" s="72"/>
      <c r="BS102" s="72"/>
      <c r="BT102" s="72"/>
      <c r="BU102" s="72"/>
      <c r="BV102" s="96"/>
      <c r="BW102" s="24"/>
      <c r="BX102" s="257" t="s">
        <v>70</v>
      </c>
      <c r="BY102" s="257"/>
      <c r="BZ102" s="257"/>
      <c r="CA102" s="257"/>
      <c r="CB102" s="257"/>
      <c r="CC102" s="25"/>
      <c r="CD102" s="257" t="s">
        <v>70</v>
      </c>
      <c r="CE102" s="257"/>
      <c r="CF102" s="257"/>
      <c r="CG102" s="257"/>
      <c r="CH102" s="257"/>
      <c r="CI102" s="25"/>
      <c r="CJ102" s="257" t="s">
        <v>180</v>
      </c>
      <c r="CK102" s="257"/>
      <c r="CL102" s="257"/>
      <c r="CM102" s="257"/>
      <c r="CN102" s="257"/>
      <c r="CO102" s="25"/>
      <c r="CP102" s="257" t="s">
        <v>180</v>
      </c>
      <c r="CQ102" s="257"/>
      <c r="CR102" s="257"/>
      <c r="CS102" s="257"/>
      <c r="CT102" s="257"/>
      <c r="CU102" s="24"/>
      <c r="CV102" s="257" t="s">
        <v>71</v>
      </c>
      <c r="CW102" s="257"/>
      <c r="CX102" s="257"/>
      <c r="CY102" s="257"/>
      <c r="CZ102" s="257"/>
      <c r="DA102" s="24"/>
      <c r="DB102" s="251" t="s">
        <v>157</v>
      </c>
      <c r="DC102" s="251"/>
      <c r="DD102" s="251" t="s">
        <v>158</v>
      </c>
      <c r="DE102" s="251"/>
      <c r="DG102" s="62"/>
      <c r="DH102" s="62"/>
      <c r="DI102" s="62"/>
      <c r="DJ102" s="62"/>
      <c r="DK102" s="62"/>
      <c r="DL102" s="62"/>
      <c r="DM102" s="62"/>
    </row>
    <row r="103" spans="1:120" s="45" customFormat="1" ht="13.7" customHeight="1">
      <c r="A103" s="96"/>
      <c r="B103" s="97"/>
      <c r="C103" s="98"/>
      <c r="D103" s="101"/>
      <c r="E103" s="101"/>
      <c r="F103" s="258" t="s">
        <v>27</v>
      </c>
      <c r="G103" s="258"/>
      <c r="H103" s="258"/>
      <c r="I103" s="258"/>
      <c r="J103" s="258"/>
      <c r="K103" s="258"/>
      <c r="L103" s="258" t="s">
        <v>28</v>
      </c>
      <c r="M103" s="258"/>
      <c r="N103" s="258"/>
      <c r="O103" s="258"/>
      <c r="P103" s="258"/>
      <c r="Q103" s="258"/>
      <c r="R103" s="258"/>
      <c r="S103" s="258" t="s">
        <v>72</v>
      </c>
      <c r="T103" s="258"/>
      <c r="U103" s="258"/>
      <c r="V103" s="258"/>
      <c r="W103" s="258"/>
      <c r="X103" s="276" t="s">
        <v>73</v>
      </c>
      <c r="Y103" s="276"/>
      <c r="Z103" s="276"/>
      <c r="AA103" s="276"/>
      <c r="AB103" s="276"/>
      <c r="AC103" s="276"/>
      <c r="AD103" s="276"/>
      <c r="AE103" s="276"/>
      <c r="AF103" s="276"/>
      <c r="AG103" s="276"/>
      <c r="AH103" s="276"/>
      <c r="AI103" s="276"/>
      <c r="AJ103" s="276"/>
      <c r="AK103" s="276"/>
      <c r="AL103" s="276"/>
      <c r="AM103" s="258" t="s">
        <v>74</v>
      </c>
      <c r="AN103" s="258"/>
      <c r="AO103" s="258"/>
      <c r="AP103" s="258"/>
      <c r="AQ103" s="258"/>
      <c r="AR103" s="258" t="s">
        <v>29</v>
      </c>
      <c r="AS103" s="258"/>
      <c r="AT103" s="258"/>
      <c r="AU103" s="258"/>
      <c r="AV103" s="258"/>
      <c r="AW103" s="98"/>
      <c r="AX103" s="98"/>
      <c r="AY103" s="98"/>
      <c r="AZ103" s="100"/>
      <c r="BA103" s="96"/>
      <c r="BB103" s="231" t="s">
        <v>188</v>
      </c>
      <c r="BC103" s="232"/>
      <c r="BD103" s="232"/>
      <c r="BE103" s="232"/>
      <c r="BF103" s="233"/>
      <c r="BG103" s="275" t="s">
        <v>138</v>
      </c>
      <c r="BH103" s="275"/>
      <c r="BI103" s="275"/>
      <c r="BJ103" s="275"/>
      <c r="BK103" s="275"/>
      <c r="BL103" s="275" t="s">
        <v>139</v>
      </c>
      <c r="BM103" s="275"/>
      <c r="BN103" s="275"/>
      <c r="BO103" s="275"/>
      <c r="BP103" s="275"/>
      <c r="BQ103" s="275" t="s">
        <v>144</v>
      </c>
      <c r="BR103" s="275"/>
      <c r="BS103" s="275"/>
      <c r="BT103" s="275"/>
      <c r="BU103" s="275"/>
      <c r="BV103" s="96"/>
      <c r="BW103" s="24"/>
      <c r="BX103" s="256" t="s">
        <v>75</v>
      </c>
      <c r="BY103" s="252" t="s">
        <v>137</v>
      </c>
      <c r="BZ103" s="253"/>
      <c r="CA103" s="256" t="s">
        <v>76</v>
      </c>
      <c r="CB103" s="256" t="s">
        <v>77</v>
      </c>
      <c r="CC103" s="23"/>
      <c r="CD103" s="256" t="s">
        <v>75</v>
      </c>
      <c r="CE103" s="252" t="s">
        <v>137</v>
      </c>
      <c r="CF103" s="253"/>
      <c r="CG103" s="256" t="s">
        <v>76</v>
      </c>
      <c r="CH103" s="256" t="s">
        <v>77</v>
      </c>
      <c r="CI103" s="23"/>
      <c r="CJ103" s="256" t="s">
        <v>75</v>
      </c>
      <c r="CK103" s="252" t="s">
        <v>137</v>
      </c>
      <c r="CL103" s="253"/>
      <c r="CM103" s="256" t="s">
        <v>76</v>
      </c>
      <c r="CN103" s="256" t="s">
        <v>77</v>
      </c>
      <c r="CO103" s="23"/>
      <c r="CP103" s="256" t="s">
        <v>75</v>
      </c>
      <c r="CQ103" s="252" t="s">
        <v>137</v>
      </c>
      <c r="CR103" s="253"/>
      <c r="CS103" s="256" t="s">
        <v>76</v>
      </c>
      <c r="CT103" s="256" t="s">
        <v>77</v>
      </c>
      <c r="CU103" s="22"/>
      <c r="CV103" s="133" t="s">
        <v>78</v>
      </c>
      <c r="CW103" s="21" t="s">
        <v>79</v>
      </c>
      <c r="CX103" s="133" t="s">
        <v>80</v>
      </c>
      <c r="CY103" s="256" t="s">
        <v>81</v>
      </c>
      <c r="CZ103" s="256"/>
      <c r="DA103" s="22"/>
      <c r="DB103" s="251"/>
      <c r="DC103" s="251"/>
      <c r="DD103" s="251"/>
      <c r="DE103" s="251"/>
      <c r="DF103" s="46"/>
      <c r="DG103" s="47"/>
      <c r="DH103" s="47"/>
      <c r="DI103" s="47"/>
      <c r="DJ103" s="63"/>
      <c r="DK103" s="47"/>
      <c r="DL103" s="64"/>
      <c r="DM103" s="64"/>
    </row>
    <row r="104" spans="1:120" s="45" customFormat="1" ht="13.5">
      <c r="A104" s="96"/>
      <c r="B104" s="97"/>
      <c r="C104" s="98"/>
      <c r="D104" s="101"/>
      <c r="E104" s="101"/>
      <c r="F104" s="258"/>
      <c r="G104" s="258"/>
      <c r="H104" s="258"/>
      <c r="I104" s="258"/>
      <c r="J104" s="258"/>
      <c r="K104" s="258"/>
      <c r="L104" s="258"/>
      <c r="M104" s="258"/>
      <c r="N104" s="258"/>
      <c r="O104" s="258"/>
      <c r="P104" s="258"/>
      <c r="Q104" s="258"/>
      <c r="R104" s="258"/>
      <c r="S104" s="258"/>
      <c r="T104" s="258"/>
      <c r="U104" s="258"/>
      <c r="V104" s="258"/>
      <c r="W104" s="258"/>
      <c r="X104" s="276">
        <v>1</v>
      </c>
      <c r="Y104" s="276"/>
      <c r="Z104" s="276"/>
      <c r="AA104" s="276"/>
      <c r="AB104" s="276"/>
      <c r="AC104" s="276">
        <v>2</v>
      </c>
      <c r="AD104" s="276"/>
      <c r="AE104" s="276"/>
      <c r="AF104" s="276"/>
      <c r="AG104" s="276"/>
      <c r="AH104" s="276">
        <v>3</v>
      </c>
      <c r="AI104" s="276"/>
      <c r="AJ104" s="276"/>
      <c r="AK104" s="276"/>
      <c r="AL104" s="276"/>
      <c r="AM104" s="258"/>
      <c r="AN104" s="258"/>
      <c r="AO104" s="258"/>
      <c r="AP104" s="258"/>
      <c r="AQ104" s="258"/>
      <c r="AR104" s="258"/>
      <c r="AS104" s="258"/>
      <c r="AT104" s="258"/>
      <c r="AU104" s="258"/>
      <c r="AV104" s="258"/>
      <c r="AW104" s="98"/>
      <c r="AX104" s="98"/>
      <c r="AY104" s="98"/>
      <c r="AZ104" s="100"/>
      <c r="BA104" s="96"/>
      <c r="BB104" s="234"/>
      <c r="BC104" s="235"/>
      <c r="BD104" s="235"/>
      <c r="BE104" s="235"/>
      <c r="BF104" s="236"/>
      <c r="BG104" s="275"/>
      <c r="BH104" s="275"/>
      <c r="BI104" s="275"/>
      <c r="BJ104" s="275"/>
      <c r="BK104" s="275"/>
      <c r="BL104" s="275"/>
      <c r="BM104" s="275"/>
      <c r="BN104" s="275"/>
      <c r="BO104" s="275"/>
      <c r="BP104" s="275"/>
      <c r="BQ104" s="275"/>
      <c r="BR104" s="275"/>
      <c r="BS104" s="275"/>
      <c r="BT104" s="275"/>
      <c r="BU104" s="275"/>
      <c r="BV104" s="96"/>
      <c r="BW104" s="24"/>
      <c r="BX104" s="256"/>
      <c r="BY104" s="254"/>
      <c r="BZ104" s="255"/>
      <c r="CA104" s="256"/>
      <c r="CB104" s="256"/>
      <c r="CC104" s="23"/>
      <c r="CD104" s="256"/>
      <c r="CE104" s="254"/>
      <c r="CF104" s="255"/>
      <c r="CG104" s="256"/>
      <c r="CH104" s="256"/>
      <c r="CI104" s="23"/>
      <c r="CJ104" s="256"/>
      <c r="CK104" s="254"/>
      <c r="CL104" s="255"/>
      <c r="CM104" s="256"/>
      <c r="CN104" s="256"/>
      <c r="CO104" s="23"/>
      <c r="CP104" s="256"/>
      <c r="CQ104" s="254"/>
      <c r="CR104" s="255"/>
      <c r="CS104" s="256"/>
      <c r="CT104" s="256"/>
      <c r="CU104" s="22"/>
      <c r="CV104" s="133" t="s">
        <v>82</v>
      </c>
      <c r="CW104" s="21" t="s">
        <v>83</v>
      </c>
      <c r="CX104" s="133" t="s">
        <v>84</v>
      </c>
      <c r="CY104" s="256" t="s">
        <v>85</v>
      </c>
      <c r="CZ104" s="256"/>
      <c r="DA104" s="22"/>
      <c r="DB104" s="251"/>
      <c r="DC104" s="251"/>
      <c r="DD104" s="251"/>
      <c r="DE104" s="251"/>
      <c r="DF104" s="46"/>
      <c r="DG104" s="47"/>
      <c r="DH104" s="47"/>
      <c r="DI104" s="47"/>
      <c r="DJ104" s="63"/>
      <c r="DK104" s="47"/>
      <c r="DL104" s="64"/>
      <c r="DM104" s="64"/>
    </row>
    <row r="105" spans="1:120" s="45" customFormat="1" ht="13.5">
      <c r="A105" s="96"/>
      <c r="B105" s="97"/>
      <c r="C105" s="98"/>
      <c r="D105" s="98"/>
      <c r="E105" s="98"/>
      <c r="F105" s="335" t="s">
        <v>97</v>
      </c>
      <c r="G105" s="335"/>
      <c r="H105" s="335"/>
      <c r="I105" s="335"/>
      <c r="J105" s="335"/>
      <c r="K105" s="335"/>
      <c r="L105" s="336">
        <v>50</v>
      </c>
      <c r="M105" s="337"/>
      <c r="N105" s="337"/>
      <c r="O105" s="337"/>
      <c r="P105" s="338" t="s">
        <v>95</v>
      </c>
      <c r="Q105" s="338"/>
      <c r="R105" s="339"/>
      <c r="S105" s="285" t="s">
        <v>129</v>
      </c>
      <c r="T105" s="285"/>
      <c r="U105" s="285"/>
      <c r="V105" s="285"/>
      <c r="W105" s="285"/>
      <c r="X105" s="296"/>
      <c r="Y105" s="296"/>
      <c r="Z105" s="296"/>
      <c r="AA105" s="296"/>
      <c r="AB105" s="296"/>
      <c r="AC105" s="296"/>
      <c r="AD105" s="296"/>
      <c r="AE105" s="296"/>
      <c r="AF105" s="296"/>
      <c r="AG105" s="296"/>
      <c r="AH105" s="296"/>
      <c r="AI105" s="296"/>
      <c r="AJ105" s="296"/>
      <c r="AK105" s="296"/>
      <c r="AL105" s="296"/>
      <c r="AM105" s="259" t="e">
        <f>AVERAGE(X105:AL105)</f>
        <v>#DIV/0!</v>
      </c>
      <c r="AN105" s="259"/>
      <c r="AO105" s="259"/>
      <c r="AP105" s="259"/>
      <c r="AQ105" s="259"/>
      <c r="AR105" s="399" t="e">
        <f t="shared" ref="AR105:AR106" si="106">AM105-L105</f>
        <v>#DIV/0!</v>
      </c>
      <c r="AS105" s="399"/>
      <c r="AT105" s="399"/>
      <c r="AU105" s="399"/>
      <c r="AV105" s="399"/>
      <c r="AW105" s="98"/>
      <c r="AX105" s="98"/>
      <c r="AY105" s="98"/>
      <c r="AZ105" s="100"/>
      <c r="BA105" s="96"/>
      <c r="BB105" s="230" t="e">
        <f>ABS(2%*AM105)+(40*CK105)</f>
        <v>#DIV/0!</v>
      </c>
      <c r="BC105" s="230"/>
      <c r="BD105" s="230"/>
      <c r="BE105" s="230"/>
      <c r="BF105" s="230"/>
      <c r="BG105" s="230">
        <v>51.4</v>
      </c>
      <c r="BH105" s="230"/>
      <c r="BI105" s="230"/>
      <c r="BJ105" s="230"/>
      <c r="BK105" s="230"/>
      <c r="BL105" s="230">
        <v>48.6</v>
      </c>
      <c r="BM105" s="230"/>
      <c r="BN105" s="230"/>
      <c r="BO105" s="230"/>
      <c r="BP105" s="230"/>
      <c r="BQ105" s="265" t="e">
        <f>IF(AND(AVERAGE(X105:AL105)&lt;=BG105,AVERAGE(X105:AL105)&gt;=BL105),"PASS","FAIL")</f>
        <v>#DIV/0!</v>
      </c>
      <c r="BR105" s="265"/>
      <c r="BS105" s="265"/>
      <c r="BT105" s="265"/>
      <c r="BU105" s="265"/>
      <c r="BV105" s="96"/>
      <c r="BX105" s="48" t="s">
        <v>86</v>
      </c>
      <c r="BY105" s="161">
        <v>7.0999999999999994E-2</v>
      </c>
      <c r="BZ105" s="49" t="s">
        <v>95</v>
      </c>
      <c r="CA105" s="48">
        <v>2</v>
      </c>
      <c r="CB105" s="50">
        <f t="shared" ref="CB105:CB106" si="107">BY105/CA105</f>
        <v>3.5499999999999997E-2</v>
      </c>
      <c r="CC105" s="51"/>
      <c r="CD105" s="20" t="s">
        <v>170</v>
      </c>
      <c r="CE105" s="15">
        <v>0</v>
      </c>
      <c r="CF105" s="19" t="str">
        <f>P105</f>
        <v>V</v>
      </c>
      <c r="CG105" s="18">
        <f t="shared" ref="CG105:CG106" si="108">SQRT(3)</f>
        <v>1.7320508075688772</v>
      </c>
      <c r="CH105" s="16">
        <f t="shared" ref="CH105:CH106" si="109">CE105/CG105</f>
        <v>0</v>
      </c>
      <c r="CI105" s="51"/>
      <c r="CJ105" s="20" t="s">
        <v>87</v>
      </c>
      <c r="CK105" s="20">
        <v>0.01</v>
      </c>
      <c r="CL105" s="19" t="str">
        <f>P105</f>
        <v>V</v>
      </c>
      <c r="CM105" s="18">
        <f t="shared" ref="CM105:CM106" si="110">SQRT(12)</f>
        <v>3.4641016151377544</v>
      </c>
      <c r="CN105" s="16">
        <f t="shared" ref="CN105:CN106" si="111">CK105/CM105</f>
        <v>2.886751345948129E-3</v>
      </c>
      <c r="CO105" s="6"/>
      <c r="CP105" s="20" t="s">
        <v>88</v>
      </c>
      <c r="CQ105" s="17" t="e">
        <f>STDEV(X105:AL105)</f>
        <v>#DIV/0!</v>
      </c>
      <c r="CR105" s="19" t="str">
        <f>P105</f>
        <v>V</v>
      </c>
      <c r="CS105" s="18">
        <f t="shared" ref="CS105:CS106" si="112">SQRT(3)</f>
        <v>1.7320508075688772</v>
      </c>
      <c r="CT105" s="17" t="e">
        <f t="shared" ref="CT105:CT106" si="113">CQ105/CS105</f>
        <v>#DIV/0!</v>
      </c>
      <c r="CU105" s="7"/>
      <c r="CV105" s="16" t="e">
        <f t="shared" ref="CV105:CV106" si="114">SQRT(SUMSQ(CT105,CN105,CH105,CB105))</f>
        <v>#DIV/0!</v>
      </c>
      <c r="CW105" s="14" t="e">
        <f t="shared" ref="CW105:CW106" si="115">(CV105^4)/(((CT105^4)/2)+((CN105^4)/200)+((CH105^4)/200)+((CB105^4)/200))</f>
        <v>#DIV/0!</v>
      </c>
      <c r="CX105" s="14" t="e">
        <f t="shared" ref="CX105:CX106" si="116">ROUND(TINV(0.05,CW105),0)</f>
        <v>#DIV/0!</v>
      </c>
      <c r="CY105" s="26" t="e">
        <f t="shared" ref="CY105:CY106" si="117">(CV105*CX105)</f>
        <v>#DIV/0!</v>
      </c>
      <c r="CZ105" s="61" t="str">
        <f>BZ105</f>
        <v>V</v>
      </c>
      <c r="DA105" s="7"/>
      <c r="DB105" s="122"/>
      <c r="DC105" s="123" t="str">
        <f t="shared" ref="DC105:DC106" si="118">CZ105</f>
        <v>V</v>
      </c>
      <c r="DD105" s="125" t="e">
        <f t="shared" ref="DD105:DD106" si="119">MAX(DB105,CY105)</f>
        <v>#DIV/0!</v>
      </c>
      <c r="DE105" s="123" t="str">
        <f t="shared" ref="DE105:DE106" si="120">DC105</f>
        <v>V</v>
      </c>
      <c r="DF105" s="51"/>
      <c r="DG105" s="53"/>
      <c r="DH105" s="53"/>
      <c r="DI105" s="53"/>
      <c r="DJ105" s="57"/>
      <c r="DK105" s="58"/>
      <c r="DL105" s="59"/>
      <c r="DM105" s="60"/>
    </row>
    <row r="106" spans="1:120" s="45" customFormat="1" ht="13.5">
      <c r="A106" s="96"/>
      <c r="B106" s="97"/>
      <c r="C106" s="98"/>
      <c r="D106" s="98"/>
      <c r="E106" s="98"/>
      <c r="F106" s="335" t="s">
        <v>97</v>
      </c>
      <c r="G106" s="335"/>
      <c r="H106" s="335"/>
      <c r="I106" s="335"/>
      <c r="J106" s="335"/>
      <c r="K106" s="335"/>
      <c r="L106" s="336">
        <v>50</v>
      </c>
      <c r="M106" s="337"/>
      <c r="N106" s="337"/>
      <c r="O106" s="337"/>
      <c r="P106" s="338" t="s">
        <v>95</v>
      </c>
      <c r="Q106" s="338"/>
      <c r="R106" s="339"/>
      <c r="S106" s="285" t="s">
        <v>167</v>
      </c>
      <c r="T106" s="285"/>
      <c r="U106" s="285"/>
      <c r="V106" s="285"/>
      <c r="W106" s="285"/>
      <c r="X106" s="296"/>
      <c r="Y106" s="296"/>
      <c r="Z106" s="296"/>
      <c r="AA106" s="296"/>
      <c r="AB106" s="296"/>
      <c r="AC106" s="296"/>
      <c r="AD106" s="296"/>
      <c r="AE106" s="296"/>
      <c r="AF106" s="296"/>
      <c r="AG106" s="296"/>
      <c r="AH106" s="296"/>
      <c r="AI106" s="296"/>
      <c r="AJ106" s="296"/>
      <c r="AK106" s="296"/>
      <c r="AL106" s="296"/>
      <c r="AM106" s="259" t="e">
        <f>AVERAGE(X106:AL106)</f>
        <v>#DIV/0!</v>
      </c>
      <c r="AN106" s="259"/>
      <c r="AO106" s="259"/>
      <c r="AP106" s="259"/>
      <c r="AQ106" s="259"/>
      <c r="AR106" s="399" t="e">
        <f t="shared" si="106"/>
        <v>#DIV/0!</v>
      </c>
      <c r="AS106" s="399"/>
      <c r="AT106" s="399"/>
      <c r="AU106" s="399"/>
      <c r="AV106" s="399"/>
      <c r="AW106" s="98"/>
      <c r="AX106" s="98"/>
      <c r="AY106" s="98"/>
      <c r="AZ106" s="100"/>
      <c r="BA106" s="96"/>
      <c r="BB106" s="230" t="e">
        <f>ABS(2%*AM106)+(10*CK106)</f>
        <v>#DIV/0!</v>
      </c>
      <c r="BC106" s="230"/>
      <c r="BD106" s="230"/>
      <c r="BE106" s="230"/>
      <c r="BF106" s="230"/>
      <c r="BG106" s="230">
        <v>8</v>
      </c>
      <c r="BH106" s="230"/>
      <c r="BI106" s="230"/>
      <c r="BJ106" s="230"/>
      <c r="BK106" s="230"/>
      <c r="BL106" s="230">
        <v>0</v>
      </c>
      <c r="BM106" s="230"/>
      <c r="BN106" s="230"/>
      <c r="BO106" s="230"/>
      <c r="BP106" s="230"/>
      <c r="BQ106" s="265" t="e">
        <f>IF(AND(AVERAGE(X106:AL106)&lt;=BG106,AVERAGE(X106:AL106)&gt;=BL106),"PASS","FAIL")</f>
        <v>#DIV/0!</v>
      </c>
      <c r="BR106" s="265"/>
      <c r="BS106" s="265"/>
      <c r="BT106" s="265"/>
      <c r="BU106" s="265"/>
      <c r="BV106" s="96"/>
      <c r="BX106" s="48" t="s">
        <v>86</v>
      </c>
      <c r="BY106" s="161">
        <v>0.1</v>
      </c>
      <c r="BZ106" s="49" t="s">
        <v>95</v>
      </c>
      <c r="CA106" s="48">
        <v>2</v>
      </c>
      <c r="CB106" s="50">
        <f t="shared" si="107"/>
        <v>0.05</v>
      </c>
      <c r="CC106" s="51"/>
      <c r="CD106" s="20" t="s">
        <v>170</v>
      </c>
      <c r="CE106" s="15">
        <v>0</v>
      </c>
      <c r="CF106" s="19" t="str">
        <f>P106</f>
        <v>V</v>
      </c>
      <c r="CG106" s="18">
        <f t="shared" si="108"/>
        <v>1.7320508075688772</v>
      </c>
      <c r="CH106" s="16">
        <f t="shared" si="109"/>
        <v>0</v>
      </c>
      <c r="CI106" s="51"/>
      <c r="CJ106" s="20" t="s">
        <v>87</v>
      </c>
      <c r="CK106" s="20">
        <v>0.01</v>
      </c>
      <c r="CL106" s="19" t="str">
        <f>P106</f>
        <v>V</v>
      </c>
      <c r="CM106" s="18">
        <f t="shared" si="110"/>
        <v>3.4641016151377544</v>
      </c>
      <c r="CN106" s="16">
        <f t="shared" si="111"/>
        <v>2.886751345948129E-3</v>
      </c>
      <c r="CO106" s="6"/>
      <c r="CP106" s="20" t="s">
        <v>88</v>
      </c>
      <c r="CQ106" s="17" t="e">
        <f>STDEV(X106:AL106)</f>
        <v>#DIV/0!</v>
      </c>
      <c r="CR106" s="19" t="str">
        <f>P106</f>
        <v>V</v>
      </c>
      <c r="CS106" s="18">
        <f t="shared" si="112"/>
        <v>1.7320508075688772</v>
      </c>
      <c r="CT106" s="17" t="e">
        <f t="shared" si="113"/>
        <v>#DIV/0!</v>
      </c>
      <c r="CU106" s="7"/>
      <c r="CV106" s="16" t="e">
        <f t="shared" si="114"/>
        <v>#DIV/0!</v>
      </c>
      <c r="CW106" s="14" t="e">
        <f t="shared" si="115"/>
        <v>#DIV/0!</v>
      </c>
      <c r="CX106" s="14" t="e">
        <f t="shared" si="116"/>
        <v>#DIV/0!</v>
      </c>
      <c r="CY106" s="26" t="e">
        <f t="shared" si="117"/>
        <v>#DIV/0!</v>
      </c>
      <c r="CZ106" s="61" t="str">
        <f>BZ106</f>
        <v>V</v>
      </c>
      <c r="DA106" s="7"/>
      <c r="DB106" s="122"/>
      <c r="DC106" s="123" t="str">
        <f t="shared" si="118"/>
        <v>V</v>
      </c>
      <c r="DD106" s="125" t="e">
        <f t="shared" si="119"/>
        <v>#DIV/0!</v>
      </c>
      <c r="DE106" s="123" t="str">
        <f t="shared" si="120"/>
        <v>V</v>
      </c>
      <c r="DF106" s="51"/>
      <c r="DG106" s="53"/>
      <c r="DH106" s="53"/>
      <c r="DI106" s="53"/>
      <c r="DJ106" s="57"/>
      <c r="DK106" s="58"/>
      <c r="DL106" s="59"/>
      <c r="DM106" s="60"/>
    </row>
    <row r="107" spans="1:120" s="45" customFormat="1" ht="15.95" customHeight="1">
      <c r="A107" s="96"/>
      <c r="B107" s="97"/>
      <c r="C107" s="98"/>
      <c r="D107" s="98"/>
      <c r="E107" s="98"/>
      <c r="F107" s="111"/>
      <c r="G107" s="111"/>
      <c r="H107" s="111"/>
      <c r="I107" s="112"/>
      <c r="J107" s="112"/>
      <c r="K107" s="112"/>
      <c r="L107" s="110"/>
      <c r="M107" s="110"/>
      <c r="N107" s="110"/>
      <c r="O107" s="110"/>
      <c r="P107" s="110"/>
      <c r="Q107" s="110"/>
      <c r="R107" s="113"/>
      <c r="S107" s="113"/>
      <c r="T107" s="113"/>
      <c r="U107" s="113"/>
      <c r="V107" s="113"/>
      <c r="W107" s="113"/>
      <c r="X107" s="151"/>
      <c r="Y107" s="151"/>
      <c r="Z107" s="151"/>
      <c r="AA107" s="151"/>
      <c r="AB107" s="151"/>
      <c r="AC107" s="151"/>
      <c r="AD107" s="151"/>
      <c r="AE107" s="151"/>
      <c r="AF107" s="151"/>
      <c r="AG107" s="151"/>
      <c r="AH107" s="151"/>
      <c r="AI107" s="151"/>
      <c r="AJ107" s="151"/>
      <c r="AK107" s="151"/>
      <c r="AL107" s="151"/>
      <c r="AM107" s="113"/>
      <c r="AN107" s="113"/>
      <c r="AO107" s="113"/>
      <c r="AP107" s="113"/>
      <c r="AQ107" s="113"/>
      <c r="AR107" s="113"/>
      <c r="AS107" s="113"/>
      <c r="AT107" s="113"/>
      <c r="AU107" s="113"/>
      <c r="AV107" s="98"/>
      <c r="AW107" s="98"/>
      <c r="AX107" s="98"/>
      <c r="AY107" s="98"/>
      <c r="AZ107" s="100"/>
      <c r="BA107" s="96"/>
      <c r="BB107" s="400">
        <f>200*2%</f>
        <v>4</v>
      </c>
      <c r="BC107" s="400"/>
      <c r="BD107" s="400"/>
      <c r="BE107" s="400"/>
      <c r="BF107" s="400"/>
      <c r="BG107" s="72"/>
      <c r="BH107" s="72"/>
      <c r="BI107" s="72"/>
      <c r="BJ107" s="72"/>
      <c r="BK107" s="72"/>
      <c r="BL107" s="72"/>
      <c r="BM107" s="72"/>
      <c r="BN107" s="72"/>
      <c r="BO107" s="72"/>
      <c r="BP107" s="72"/>
      <c r="BQ107" s="72"/>
      <c r="BR107" s="72"/>
      <c r="BS107" s="72"/>
      <c r="BT107" s="72"/>
      <c r="BU107" s="72"/>
      <c r="BV107" s="96"/>
      <c r="DB107" s="129"/>
      <c r="DC107" s="129"/>
      <c r="DD107" s="129"/>
      <c r="DE107" s="129"/>
    </row>
    <row r="108" spans="1:120" s="45" customFormat="1" ht="13.7" customHeight="1">
      <c r="A108" s="96"/>
      <c r="B108" s="97"/>
      <c r="C108" s="98"/>
      <c r="D108" s="98"/>
      <c r="E108" s="98"/>
      <c r="F108" s="108" t="s">
        <v>150</v>
      </c>
      <c r="G108" s="109"/>
      <c r="H108" s="109"/>
      <c r="I108" s="109"/>
      <c r="J108" s="104"/>
      <c r="K108" s="104"/>
      <c r="L108" s="104"/>
      <c r="M108" s="110"/>
      <c r="N108" s="110"/>
      <c r="O108" s="110"/>
      <c r="P108" s="110"/>
      <c r="Q108" s="110"/>
      <c r="R108" s="110"/>
      <c r="S108" s="110"/>
      <c r="T108" s="110"/>
      <c r="U108" s="110"/>
      <c r="V108" s="110"/>
      <c r="W108" s="110"/>
      <c r="X108" s="150"/>
      <c r="Y108" s="150"/>
      <c r="Z108" s="150"/>
      <c r="AA108" s="150"/>
      <c r="AB108" s="150"/>
      <c r="AC108" s="150"/>
      <c r="AD108" s="150"/>
      <c r="AE108" s="150"/>
      <c r="AF108" s="150"/>
      <c r="AG108" s="150"/>
      <c r="AH108" s="150"/>
      <c r="AI108" s="150"/>
      <c r="AJ108" s="150"/>
      <c r="AK108" s="150"/>
      <c r="AL108" s="150"/>
      <c r="AM108" s="110"/>
      <c r="AN108" s="110"/>
      <c r="AO108" s="110"/>
      <c r="AP108" s="110"/>
      <c r="AQ108" s="98"/>
      <c r="AR108" s="98"/>
      <c r="AS108" s="98"/>
      <c r="AT108" s="98"/>
      <c r="AU108" s="98"/>
      <c r="AV108" s="98"/>
      <c r="AW108" s="98"/>
      <c r="AX108" s="98"/>
      <c r="AY108" s="98"/>
      <c r="AZ108" s="100"/>
      <c r="BA108" s="96"/>
      <c r="BB108" s="72"/>
      <c r="BC108" s="72"/>
      <c r="BD108" s="72"/>
      <c r="BE108" s="72"/>
      <c r="BF108" s="72"/>
      <c r="BG108" s="72"/>
      <c r="BH108" s="72"/>
      <c r="BI108" s="72"/>
      <c r="BJ108" s="72"/>
      <c r="BK108" s="72"/>
      <c r="BL108" s="72"/>
      <c r="BM108" s="72"/>
      <c r="BN108" s="72"/>
      <c r="BO108" s="72"/>
      <c r="BP108" s="72"/>
      <c r="BQ108" s="72"/>
      <c r="BR108" s="72"/>
      <c r="BS108" s="72"/>
      <c r="BT108" s="72"/>
      <c r="BU108" s="72"/>
      <c r="BV108" s="96"/>
      <c r="BW108" s="24"/>
      <c r="BX108" s="257" t="s">
        <v>70</v>
      </c>
      <c r="BY108" s="257"/>
      <c r="BZ108" s="257"/>
      <c r="CA108" s="257"/>
      <c r="CB108" s="257"/>
      <c r="CC108" s="25"/>
      <c r="CD108" s="257" t="s">
        <v>70</v>
      </c>
      <c r="CE108" s="257"/>
      <c r="CF108" s="257"/>
      <c r="CG108" s="257"/>
      <c r="CH108" s="257"/>
      <c r="CI108" s="25"/>
      <c r="CJ108" s="257" t="s">
        <v>180</v>
      </c>
      <c r="CK108" s="257"/>
      <c r="CL108" s="257"/>
      <c r="CM108" s="257"/>
      <c r="CN108" s="257"/>
      <c r="CO108" s="25"/>
      <c r="CP108" s="257" t="s">
        <v>180</v>
      </c>
      <c r="CQ108" s="257"/>
      <c r="CR108" s="257"/>
      <c r="CS108" s="257"/>
      <c r="CT108" s="257"/>
      <c r="CU108" s="24"/>
      <c r="CV108" s="257" t="s">
        <v>71</v>
      </c>
      <c r="CW108" s="257"/>
      <c r="CX108" s="257"/>
      <c r="CY108" s="257"/>
      <c r="CZ108" s="257"/>
      <c r="DA108" s="24"/>
      <c r="DB108" s="251" t="s">
        <v>157</v>
      </c>
      <c r="DC108" s="251"/>
      <c r="DD108" s="251" t="s">
        <v>158</v>
      </c>
      <c r="DE108" s="251"/>
    </row>
    <row r="109" spans="1:120" s="45" customFormat="1" ht="13.7" customHeight="1">
      <c r="A109" s="96"/>
      <c r="B109" s="97"/>
      <c r="C109" s="98"/>
      <c r="D109" s="98"/>
      <c r="E109" s="98"/>
      <c r="F109" s="307" t="s">
        <v>27</v>
      </c>
      <c r="G109" s="308"/>
      <c r="H109" s="308"/>
      <c r="I109" s="308"/>
      <c r="J109" s="308"/>
      <c r="K109" s="309"/>
      <c r="L109" s="307" t="s">
        <v>28</v>
      </c>
      <c r="M109" s="308"/>
      <c r="N109" s="308"/>
      <c r="O109" s="308"/>
      <c r="P109" s="308"/>
      <c r="Q109" s="308"/>
      <c r="R109" s="309"/>
      <c r="S109" s="307" t="s">
        <v>173</v>
      </c>
      <c r="T109" s="308"/>
      <c r="U109" s="308"/>
      <c r="V109" s="308"/>
      <c r="W109" s="309"/>
      <c r="X109" s="375" t="s">
        <v>73</v>
      </c>
      <c r="Y109" s="376"/>
      <c r="Z109" s="376"/>
      <c r="AA109" s="376"/>
      <c r="AB109" s="376"/>
      <c r="AC109" s="376"/>
      <c r="AD109" s="376"/>
      <c r="AE109" s="376"/>
      <c r="AF109" s="376"/>
      <c r="AG109" s="376"/>
      <c r="AH109" s="376"/>
      <c r="AI109" s="376"/>
      <c r="AJ109" s="376"/>
      <c r="AK109" s="376"/>
      <c r="AL109" s="377"/>
      <c r="AM109" s="307" t="s">
        <v>74</v>
      </c>
      <c r="AN109" s="308"/>
      <c r="AO109" s="308"/>
      <c r="AP109" s="308"/>
      <c r="AQ109" s="309"/>
      <c r="AR109" s="307" t="s">
        <v>29</v>
      </c>
      <c r="AS109" s="308"/>
      <c r="AT109" s="308"/>
      <c r="AU109" s="308"/>
      <c r="AV109" s="309"/>
      <c r="AW109" s="98"/>
      <c r="AX109" s="98"/>
      <c r="AY109" s="98"/>
      <c r="AZ109" s="100"/>
      <c r="BA109" s="96"/>
      <c r="BB109" s="231" t="s">
        <v>188</v>
      </c>
      <c r="BC109" s="232"/>
      <c r="BD109" s="232"/>
      <c r="BE109" s="232"/>
      <c r="BF109" s="233"/>
      <c r="BG109" s="401" t="s">
        <v>138</v>
      </c>
      <c r="BH109" s="401"/>
      <c r="BI109" s="401"/>
      <c r="BJ109" s="401"/>
      <c r="BK109" s="401"/>
      <c r="BL109" s="401" t="s">
        <v>139</v>
      </c>
      <c r="BM109" s="401"/>
      <c r="BN109" s="401"/>
      <c r="BO109" s="401"/>
      <c r="BP109" s="401"/>
      <c r="BQ109" s="401" t="s">
        <v>148</v>
      </c>
      <c r="BR109" s="401"/>
      <c r="BS109" s="401"/>
      <c r="BT109" s="401"/>
      <c r="BU109" s="401"/>
      <c r="BV109" s="96"/>
      <c r="BW109" s="24"/>
      <c r="BX109" s="256" t="s">
        <v>75</v>
      </c>
      <c r="BY109" s="252" t="s">
        <v>137</v>
      </c>
      <c r="BZ109" s="253"/>
      <c r="CA109" s="256" t="s">
        <v>76</v>
      </c>
      <c r="CB109" s="256" t="s">
        <v>77</v>
      </c>
      <c r="CC109" s="23"/>
      <c r="CD109" s="256" t="s">
        <v>75</v>
      </c>
      <c r="CE109" s="252" t="s">
        <v>137</v>
      </c>
      <c r="CF109" s="253"/>
      <c r="CG109" s="256" t="s">
        <v>76</v>
      </c>
      <c r="CH109" s="256" t="s">
        <v>77</v>
      </c>
      <c r="CI109" s="23"/>
      <c r="CJ109" s="256" t="s">
        <v>75</v>
      </c>
      <c r="CK109" s="252" t="s">
        <v>137</v>
      </c>
      <c r="CL109" s="253"/>
      <c r="CM109" s="256" t="s">
        <v>76</v>
      </c>
      <c r="CN109" s="256" t="s">
        <v>77</v>
      </c>
      <c r="CO109" s="23"/>
      <c r="CP109" s="256" t="s">
        <v>75</v>
      </c>
      <c r="CQ109" s="252" t="s">
        <v>137</v>
      </c>
      <c r="CR109" s="253"/>
      <c r="CS109" s="256" t="s">
        <v>76</v>
      </c>
      <c r="CT109" s="256" t="s">
        <v>77</v>
      </c>
      <c r="CU109" s="22"/>
      <c r="CV109" s="133" t="s">
        <v>78</v>
      </c>
      <c r="CW109" s="21" t="s">
        <v>79</v>
      </c>
      <c r="CX109" s="133" t="s">
        <v>80</v>
      </c>
      <c r="CY109" s="256" t="s">
        <v>81</v>
      </c>
      <c r="CZ109" s="256"/>
      <c r="DA109" s="22"/>
      <c r="DB109" s="251"/>
      <c r="DC109" s="251"/>
      <c r="DD109" s="251"/>
      <c r="DE109" s="251"/>
    </row>
    <row r="110" spans="1:120" s="45" customFormat="1" ht="13.5">
      <c r="A110" s="96"/>
      <c r="B110" s="97"/>
      <c r="C110" s="98"/>
      <c r="D110" s="98"/>
      <c r="E110" s="98"/>
      <c r="F110" s="310"/>
      <c r="G110" s="311"/>
      <c r="H110" s="311"/>
      <c r="I110" s="311"/>
      <c r="J110" s="311"/>
      <c r="K110" s="312"/>
      <c r="L110" s="310"/>
      <c r="M110" s="311"/>
      <c r="N110" s="311"/>
      <c r="O110" s="311"/>
      <c r="P110" s="311"/>
      <c r="Q110" s="311"/>
      <c r="R110" s="312"/>
      <c r="S110" s="310"/>
      <c r="T110" s="311"/>
      <c r="U110" s="311"/>
      <c r="V110" s="311"/>
      <c r="W110" s="312"/>
      <c r="X110" s="375">
        <v>1</v>
      </c>
      <c r="Y110" s="376"/>
      <c r="Z110" s="376"/>
      <c r="AA110" s="376"/>
      <c r="AB110" s="377"/>
      <c r="AC110" s="375">
        <v>2</v>
      </c>
      <c r="AD110" s="376"/>
      <c r="AE110" s="376"/>
      <c r="AF110" s="376"/>
      <c r="AG110" s="377"/>
      <c r="AH110" s="375">
        <v>3</v>
      </c>
      <c r="AI110" s="376"/>
      <c r="AJ110" s="376"/>
      <c r="AK110" s="376"/>
      <c r="AL110" s="377"/>
      <c r="AM110" s="310"/>
      <c r="AN110" s="311"/>
      <c r="AO110" s="311"/>
      <c r="AP110" s="311"/>
      <c r="AQ110" s="312"/>
      <c r="AR110" s="310"/>
      <c r="AS110" s="311"/>
      <c r="AT110" s="311"/>
      <c r="AU110" s="311"/>
      <c r="AV110" s="312"/>
      <c r="AW110" s="98"/>
      <c r="AX110" s="98"/>
      <c r="AY110" s="98"/>
      <c r="AZ110" s="100"/>
      <c r="BA110" s="96"/>
      <c r="BB110" s="234"/>
      <c r="BC110" s="235"/>
      <c r="BD110" s="235"/>
      <c r="BE110" s="235"/>
      <c r="BF110" s="236"/>
      <c r="BG110" s="402"/>
      <c r="BH110" s="402"/>
      <c r="BI110" s="402"/>
      <c r="BJ110" s="402"/>
      <c r="BK110" s="402"/>
      <c r="BL110" s="402"/>
      <c r="BM110" s="402"/>
      <c r="BN110" s="402"/>
      <c r="BO110" s="402"/>
      <c r="BP110" s="402"/>
      <c r="BQ110" s="402"/>
      <c r="BR110" s="402"/>
      <c r="BS110" s="402"/>
      <c r="BT110" s="402"/>
      <c r="BU110" s="402"/>
      <c r="BV110" s="96"/>
      <c r="BW110" s="24"/>
      <c r="BX110" s="256"/>
      <c r="BY110" s="254"/>
      <c r="BZ110" s="255"/>
      <c r="CA110" s="256"/>
      <c r="CB110" s="256"/>
      <c r="CC110" s="23"/>
      <c r="CD110" s="256"/>
      <c r="CE110" s="254"/>
      <c r="CF110" s="255"/>
      <c r="CG110" s="256"/>
      <c r="CH110" s="256"/>
      <c r="CI110" s="23"/>
      <c r="CJ110" s="256"/>
      <c r="CK110" s="254"/>
      <c r="CL110" s="255"/>
      <c r="CM110" s="256"/>
      <c r="CN110" s="256"/>
      <c r="CO110" s="23"/>
      <c r="CP110" s="256"/>
      <c r="CQ110" s="254"/>
      <c r="CR110" s="255"/>
      <c r="CS110" s="256"/>
      <c r="CT110" s="256"/>
      <c r="CU110" s="22"/>
      <c r="CV110" s="133" t="s">
        <v>82</v>
      </c>
      <c r="CW110" s="21" t="s">
        <v>83</v>
      </c>
      <c r="CX110" s="133" t="s">
        <v>84</v>
      </c>
      <c r="CY110" s="256" t="s">
        <v>85</v>
      </c>
      <c r="CZ110" s="256"/>
      <c r="DA110" s="22"/>
      <c r="DB110" s="251"/>
      <c r="DC110" s="251"/>
      <c r="DD110" s="251"/>
      <c r="DE110" s="251"/>
    </row>
    <row r="111" spans="1:120" s="45" customFormat="1" ht="36.950000000000003" customHeight="1">
      <c r="A111" s="96"/>
      <c r="B111" s="97"/>
      <c r="C111" s="98"/>
      <c r="D111" s="98"/>
      <c r="E111" s="98"/>
      <c r="F111" s="487" t="s">
        <v>94</v>
      </c>
      <c r="G111" s="488"/>
      <c r="H111" s="488"/>
      <c r="I111" s="488"/>
      <c r="J111" s="488"/>
      <c r="K111" s="489"/>
      <c r="L111" s="483">
        <v>2</v>
      </c>
      <c r="M111" s="484"/>
      <c r="N111" s="484"/>
      <c r="O111" s="484"/>
      <c r="P111" s="485" t="s">
        <v>100</v>
      </c>
      <c r="Q111" s="485"/>
      <c r="R111" s="486"/>
      <c r="S111" s="299" t="s">
        <v>151</v>
      </c>
      <c r="T111" s="300"/>
      <c r="U111" s="300"/>
      <c r="V111" s="300"/>
      <c r="W111" s="301"/>
      <c r="X111" s="302"/>
      <c r="Y111" s="303"/>
      <c r="Z111" s="303"/>
      <c r="AA111" s="303"/>
      <c r="AB111" s="303"/>
      <c r="AC111" s="302"/>
      <c r="AD111" s="303"/>
      <c r="AE111" s="303"/>
      <c r="AF111" s="303"/>
      <c r="AG111" s="303"/>
      <c r="AH111" s="302"/>
      <c r="AI111" s="303"/>
      <c r="AJ111" s="303"/>
      <c r="AK111" s="303"/>
      <c r="AL111" s="303"/>
      <c r="AM111" s="304" t="e">
        <f>AVERAGE(X111:AL111)</f>
        <v>#DIV/0!</v>
      </c>
      <c r="AN111" s="305"/>
      <c r="AO111" s="305"/>
      <c r="AP111" s="305"/>
      <c r="AQ111" s="306"/>
      <c r="AR111" s="304" t="e">
        <f>AM111-L111</f>
        <v>#DIV/0!</v>
      </c>
      <c r="AS111" s="305"/>
      <c r="AT111" s="305"/>
      <c r="AU111" s="305"/>
      <c r="AV111" s="306"/>
      <c r="AW111" s="98"/>
      <c r="AX111" s="98"/>
      <c r="AY111" s="98"/>
      <c r="AZ111" s="100"/>
      <c r="BA111" s="96"/>
      <c r="BB111" s="243" t="e">
        <f>ABS(0.0052%*AM111)+(40*CK111)</f>
        <v>#DIV/0!</v>
      </c>
      <c r="BC111" s="243"/>
      <c r="BD111" s="243"/>
      <c r="BE111" s="243"/>
      <c r="BF111" s="243"/>
      <c r="BG111" s="403">
        <v>2.137</v>
      </c>
      <c r="BH111" s="403"/>
      <c r="BI111" s="403"/>
      <c r="BJ111" s="403"/>
      <c r="BK111" s="403"/>
      <c r="BL111" s="403">
        <v>1.863</v>
      </c>
      <c r="BM111" s="403"/>
      <c r="BN111" s="403"/>
      <c r="BO111" s="403"/>
      <c r="BP111" s="403"/>
      <c r="BQ111" s="448" t="e">
        <f>IF(AND(AVERAGE(X111:AL111)&lt;=BG111,AVERAGE(X111:AL111)&gt;=BL111),"PASS","FAIL")</f>
        <v>#DIV/0!</v>
      </c>
      <c r="BR111" s="449"/>
      <c r="BS111" s="449"/>
      <c r="BT111" s="449"/>
      <c r="BU111" s="450"/>
      <c r="BV111" s="96"/>
      <c r="BX111" s="48" t="s">
        <v>86</v>
      </c>
      <c r="BY111" s="162">
        <v>5.8E-5</v>
      </c>
      <c r="BZ111" s="49" t="s">
        <v>100</v>
      </c>
      <c r="CA111" s="48">
        <v>2</v>
      </c>
      <c r="CB111" s="50">
        <f t="shared" ref="CB111" si="121">BY111/CA111</f>
        <v>2.9E-5</v>
      </c>
      <c r="CC111" s="51"/>
      <c r="CD111" s="20" t="s">
        <v>170</v>
      </c>
      <c r="CE111" s="15">
        <v>0</v>
      </c>
      <c r="CF111" s="19" t="str">
        <f>P111</f>
        <v>kHz</v>
      </c>
      <c r="CG111" s="18">
        <f t="shared" ref="CG111" si="122">SQRT(3)</f>
        <v>1.7320508075688772</v>
      </c>
      <c r="CH111" s="16">
        <f t="shared" ref="CH111" si="123">CE111/CG111</f>
        <v>0</v>
      </c>
      <c r="CI111" s="51"/>
      <c r="CJ111" s="20" t="s">
        <v>87</v>
      </c>
      <c r="CK111" s="20">
        <v>1E-3</v>
      </c>
      <c r="CL111" s="19" t="str">
        <f>P111</f>
        <v>kHz</v>
      </c>
      <c r="CM111" s="18">
        <f>SQRT(12)</f>
        <v>3.4641016151377544</v>
      </c>
      <c r="CN111" s="16">
        <f>CK111/CM111</f>
        <v>2.886751345948129E-4</v>
      </c>
      <c r="CO111" s="6"/>
      <c r="CP111" s="20" t="s">
        <v>88</v>
      </c>
      <c r="CQ111" s="17" t="e">
        <f>STDEV(X111:AL111)</f>
        <v>#DIV/0!</v>
      </c>
      <c r="CR111" s="19" t="str">
        <f>P111</f>
        <v>kHz</v>
      </c>
      <c r="CS111" s="18">
        <f>SQRT(3)</f>
        <v>1.7320508075688772</v>
      </c>
      <c r="CT111" s="17" t="e">
        <f>CQ111/CS111</f>
        <v>#DIV/0!</v>
      </c>
      <c r="CU111" s="7"/>
      <c r="CV111" s="16" t="e">
        <f>SQRT(SUMSQ(CT111,CN111,CH111,CB111))</f>
        <v>#DIV/0!</v>
      </c>
      <c r="CW111" s="14" t="e">
        <f>(CV111^4)/(((CT111^4)/2)+((CN111^4)/200)+((CH111^4)/200)+((CB111^4)/200))</f>
        <v>#DIV/0!</v>
      </c>
      <c r="CX111" s="14" t="e">
        <f t="shared" ref="CX111" si="124">ROUND(TINV(0.05,CW111),0)</f>
        <v>#DIV/0!</v>
      </c>
      <c r="CY111" s="26" t="e">
        <f t="shared" ref="CY111" si="125">(CV111*CX111)</f>
        <v>#DIV/0!</v>
      </c>
      <c r="CZ111" s="61" t="str">
        <f>BZ111</f>
        <v>kHz</v>
      </c>
      <c r="DA111" s="7"/>
      <c r="DB111" s="122"/>
      <c r="DC111" s="123" t="str">
        <f t="shared" ref="DC111" si="126">CZ111</f>
        <v>kHz</v>
      </c>
      <c r="DD111" s="125" t="e">
        <f t="shared" ref="DD111" si="127">MAX(DB111,CY111)</f>
        <v>#DIV/0!</v>
      </c>
      <c r="DE111" s="123" t="str">
        <f>DC111</f>
        <v>kHz</v>
      </c>
    </row>
    <row r="112" spans="1:120" s="45" customFormat="1" ht="15.95" customHeight="1">
      <c r="A112" s="96"/>
      <c r="B112" s="97"/>
      <c r="C112" s="98"/>
      <c r="D112" s="98"/>
      <c r="E112" s="98"/>
      <c r="F112" s="114"/>
      <c r="G112" s="114"/>
      <c r="H112" s="114"/>
      <c r="I112" s="115"/>
      <c r="J112" s="115"/>
      <c r="K112" s="115"/>
      <c r="L112" s="116"/>
      <c r="M112" s="116"/>
      <c r="N112" s="116"/>
      <c r="O112" s="116"/>
      <c r="P112" s="116"/>
      <c r="Q112" s="116"/>
      <c r="R112" s="113"/>
      <c r="S112" s="113"/>
      <c r="T112" s="113"/>
      <c r="U112" s="113"/>
      <c r="V112" s="113"/>
      <c r="W112" s="113"/>
      <c r="X112" s="151"/>
      <c r="Y112" s="151"/>
      <c r="Z112" s="151"/>
      <c r="AA112" s="151"/>
      <c r="AB112" s="151"/>
      <c r="AC112" s="151"/>
      <c r="AD112" s="151"/>
      <c r="AE112" s="151"/>
      <c r="AF112" s="151"/>
      <c r="AG112" s="151"/>
      <c r="AH112" s="151"/>
      <c r="AI112" s="151"/>
      <c r="AJ112" s="151"/>
      <c r="AK112" s="151"/>
      <c r="AL112" s="151"/>
      <c r="AM112" s="113"/>
      <c r="AN112" s="113"/>
      <c r="AO112" s="113"/>
      <c r="AP112" s="113"/>
      <c r="AQ112" s="113"/>
      <c r="AR112" s="113"/>
      <c r="AS112" s="113"/>
      <c r="AT112" s="113"/>
      <c r="AU112" s="113"/>
      <c r="AV112" s="98"/>
      <c r="AW112" s="98"/>
      <c r="AX112" s="98"/>
      <c r="AY112" s="98"/>
      <c r="AZ112" s="100"/>
      <c r="BA112" s="96"/>
      <c r="BB112" s="72"/>
      <c r="BC112" s="72"/>
      <c r="BD112" s="72"/>
      <c r="BE112" s="72"/>
      <c r="BF112" s="72"/>
      <c r="BG112" s="72"/>
      <c r="BH112" s="72"/>
      <c r="BI112" s="72"/>
      <c r="BJ112" s="72"/>
      <c r="BK112" s="72"/>
      <c r="BL112" s="72"/>
      <c r="BM112" s="72"/>
      <c r="BN112" s="72"/>
      <c r="BO112" s="72"/>
      <c r="BP112" s="72"/>
      <c r="BQ112" s="72"/>
      <c r="BR112" s="72"/>
      <c r="BS112" s="72"/>
      <c r="BT112" s="72"/>
      <c r="BU112" s="72"/>
      <c r="BV112" s="96"/>
      <c r="DB112" s="129"/>
      <c r="DC112" s="129"/>
      <c r="DD112" s="129"/>
      <c r="DE112" s="129"/>
      <c r="DN112" s="347" t="s">
        <v>156</v>
      </c>
      <c r="DO112" s="348"/>
      <c r="DP112" s="349"/>
    </row>
    <row r="113" spans="1:109" s="45" customFormat="1" ht="13.7" customHeight="1">
      <c r="A113" s="96"/>
      <c r="B113" s="97"/>
      <c r="C113" s="98"/>
      <c r="D113" s="101"/>
      <c r="E113" s="98"/>
      <c r="F113" s="99" t="s">
        <v>143</v>
      </c>
      <c r="G113" s="98"/>
      <c r="H113" s="98"/>
      <c r="I113" s="98"/>
      <c r="J113" s="98"/>
      <c r="K113" s="98"/>
      <c r="L113" s="98"/>
      <c r="M113" s="98"/>
      <c r="N113" s="98"/>
      <c r="O113" s="98"/>
      <c r="P113" s="98"/>
      <c r="Q113" s="98"/>
      <c r="R113" s="98"/>
      <c r="S113" s="98"/>
      <c r="T113" s="98"/>
      <c r="U113" s="98"/>
      <c r="V113" s="98"/>
      <c r="W113" s="98"/>
      <c r="X113" s="148"/>
      <c r="Y113" s="148"/>
      <c r="Z113" s="148"/>
      <c r="AA113" s="148"/>
      <c r="AB113" s="148"/>
      <c r="AC113" s="148"/>
      <c r="AD113" s="148"/>
      <c r="AE113" s="148"/>
      <c r="AF113" s="148"/>
      <c r="AG113" s="148"/>
      <c r="AH113" s="148"/>
      <c r="AI113" s="148"/>
      <c r="AJ113" s="148"/>
      <c r="AK113" s="148"/>
      <c r="AL113" s="148"/>
      <c r="AM113" s="98"/>
      <c r="AN113" s="98"/>
      <c r="AO113" s="98"/>
      <c r="AP113" s="98"/>
      <c r="AQ113" s="98"/>
      <c r="AR113" s="98"/>
      <c r="AS113" s="98"/>
      <c r="AT113" s="98"/>
      <c r="AU113" s="98"/>
      <c r="AV113" s="98"/>
      <c r="AW113" s="98"/>
      <c r="AX113" s="98"/>
      <c r="AY113" s="98"/>
      <c r="AZ113" s="100"/>
      <c r="BA113" s="96"/>
      <c r="BB113" s="72"/>
      <c r="BC113" s="72"/>
      <c r="BD113" s="72"/>
      <c r="BE113" s="72"/>
      <c r="BF113" s="72"/>
      <c r="BG113" s="72"/>
      <c r="BH113" s="72"/>
      <c r="BI113" s="72"/>
      <c r="BJ113" s="72"/>
      <c r="BK113" s="72"/>
      <c r="BL113" s="72"/>
      <c r="BM113" s="72"/>
      <c r="BN113" s="72"/>
      <c r="BO113" s="72"/>
      <c r="BP113" s="72"/>
      <c r="BQ113" s="72"/>
      <c r="BR113" s="72"/>
      <c r="BS113" s="72"/>
      <c r="BT113" s="72"/>
      <c r="BU113" s="72"/>
      <c r="BV113" s="96"/>
      <c r="BW113" s="24"/>
      <c r="BX113" s="257" t="s">
        <v>70</v>
      </c>
      <c r="BY113" s="257"/>
      <c r="BZ113" s="257"/>
      <c r="CA113" s="257"/>
      <c r="CB113" s="257"/>
      <c r="CC113" s="25"/>
      <c r="CD113" s="257" t="s">
        <v>70</v>
      </c>
      <c r="CE113" s="257"/>
      <c r="CF113" s="257"/>
      <c r="CG113" s="257"/>
      <c r="CH113" s="257"/>
      <c r="CI113" s="25"/>
      <c r="CJ113" s="257" t="s">
        <v>180</v>
      </c>
      <c r="CK113" s="257"/>
      <c r="CL113" s="257"/>
      <c r="CM113" s="257"/>
      <c r="CN113" s="257"/>
      <c r="CO113" s="25"/>
      <c r="CP113" s="257" t="s">
        <v>180</v>
      </c>
      <c r="CQ113" s="257"/>
      <c r="CR113" s="257"/>
      <c r="CS113" s="257"/>
      <c r="CT113" s="257"/>
      <c r="CU113" s="24"/>
      <c r="CV113" s="257" t="s">
        <v>71</v>
      </c>
      <c r="CW113" s="257"/>
      <c r="CX113" s="257"/>
      <c r="CY113" s="257"/>
      <c r="CZ113" s="257"/>
      <c r="DA113" s="24"/>
      <c r="DB113" s="251" t="s">
        <v>191</v>
      </c>
      <c r="DC113" s="251"/>
      <c r="DD113" s="251" t="s">
        <v>158</v>
      </c>
      <c r="DE113" s="251"/>
    </row>
    <row r="114" spans="1:109" s="45" customFormat="1" ht="13.7" customHeight="1">
      <c r="A114" s="96"/>
      <c r="B114" s="97"/>
      <c r="C114" s="98"/>
      <c r="D114" s="101"/>
      <c r="E114" s="101"/>
      <c r="F114" s="307" t="s">
        <v>27</v>
      </c>
      <c r="G114" s="308"/>
      <c r="H114" s="308"/>
      <c r="I114" s="308"/>
      <c r="J114" s="308"/>
      <c r="K114" s="309"/>
      <c r="L114" s="307" t="s">
        <v>28</v>
      </c>
      <c r="M114" s="308"/>
      <c r="N114" s="308"/>
      <c r="O114" s="308"/>
      <c r="P114" s="308"/>
      <c r="Q114" s="308"/>
      <c r="R114" s="309"/>
      <c r="S114" s="307" t="s">
        <v>72</v>
      </c>
      <c r="T114" s="308"/>
      <c r="U114" s="308"/>
      <c r="V114" s="308"/>
      <c r="W114" s="309"/>
      <c r="X114" s="375" t="s">
        <v>73</v>
      </c>
      <c r="Y114" s="376"/>
      <c r="Z114" s="376"/>
      <c r="AA114" s="376"/>
      <c r="AB114" s="376"/>
      <c r="AC114" s="376"/>
      <c r="AD114" s="376"/>
      <c r="AE114" s="376"/>
      <c r="AF114" s="376"/>
      <c r="AG114" s="376"/>
      <c r="AH114" s="376"/>
      <c r="AI114" s="376"/>
      <c r="AJ114" s="376"/>
      <c r="AK114" s="376"/>
      <c r="AL114" s="377"/>
      <c r="AM114" s="307" t="s">
        <v>74</v>
      </c>
      <c r="AN114" s="308"/>
      <c r="AO114" s="308"/>
      <c r="AP114" s="308"/>
      <c r="AQ114" s="309"/>
      <c r="AR114" s="307" t="s">
        <v>29</v>
      </c>
      <c r="AS114" s="308"/>
      <c r="AT114" s="308"/>
      <c r="AU114" s="308"/>
      <c r="AV114" s="309"/>
      <c r="AW114" s="98"/>
      <c r="AX114" s="98"/>
      <c r="AY114" s="98"/>
      <c r="AZ114" s="100"/>
      <c r="BA114" s="96"/>
      <c r="BB114" s="231" t="s">
        <v>188</v>
      </c>
      <c r="BC114" s="232"/>
      <c r="BD114" s="232"/>
      <c r="BE114" s="232"/>
      <c r="BF114" s="233"/>
      <c r="BG114" s="275" t="s">
        <v>138</v>
      </c>
      <c r="BH114" s="275"/>
      <c r="BI114" s="275"/>
      <c r="BJ114" s="275"/>
      <c r="BK114" s="275"/>
      <c r="BL114" s="275" t="s">
        <v>139</v>
      </c>
      <c r="BM114" s="275"/>
      <c r="BN114" s="275"/>
      <c r="BO114" s="275"/>
      <c r="BP114" s="275"/>
      <c r="BQ114" s="275" t="s">
        <v>144</v>
      </c>
      <c r="BR114" s="275"/>
      <c r="BS114" s="275"/>
      <c r="BT114" s="275"/>
      <c r="BU114" s="275"/>
      <c r="BV114" s="96"/>
      <c r="BW114" s="24"/>
      <c r="BX114" s="256" t="s">
        <v>75</v>
      </c>
      <c r="BY114" s="252" t="s">
        <v>137</v>
      </c>
      <c r="BZ114" s="253"/>
      <c r="CA114" s="256" t="s">
        <v>76</v>
      </c>
      <c r="CB114" s="256" t="s">
        <v>77</v>
      </c>
      <c r="CC114" s="23"/>
      <c r="CD114" s="256" t="s">
        <v>75</v>
      </c>
      <c r="CE114" s="252" t="s">
        <v>137</v>
      </c>
      <c r="CF114" s="253"/>
      <c r="CG114" s="256" t="s">
        <v>76</v>
      </c>
      <c r="CH114" s="256" t="s">
        <v>77</v>
      </c>
      <c r="CI114" s="23"/>
      <c r="CJ114" s="256" t="s">
        <v>75</v>
      </c>
      <c r="CK114" s="252" t="s">
        <v>137</v>
      </c>
      <c r="CL114" s="253"/>
      <c r="CM114" s="256" t="s">
        <v>76</v>
      </c>
      <c r="CN114" s="256" t="s">
        <v>77</v>
      </c>
      <c r="CO114" s="23"/>
      <c r="CP114" s="256" t="s">
        <v>75</v>
      </c>
      <c r="CQ114" s="252" t="s">
        <v>137</v>
      </c>
      <c r="CR114" s="253"/>
      <c r="CS114" s="256" t="s">
        <v>76</v>
      </c>
      <c r="CT114" s="256" t="s">
        <v>77</v>
      </c>
      <c r="CU114" s="22"/>
      <c r="CV114" s="133" t="s">
        <v>78</v>
      </c>
      <c r="CW114" s="21" t="s">
        <v>79</v>
      </c>
      <c r="CX114" s="133" t="s">
        <v>80</v>
      </c>
      <c r="CY114" s="256" t="s">
        <v>81</v>
      </c>
      <c r="CZ114" s="256"/>
      <c r="DA114" s="22"/>
      <c r="DB114" s="251"/>
      <c r="DC114" s="251"/>
      <c r="DD114" s="251"/>
      <c r="DE114" s="251"/>
    </row>
    <row r="115" spans="1:109" s="45" customFormat="1" ht="13.5">
      <c r="A115" s="96"/>
      <c r="B115" s="97"/>
      <c r="C115" s="98"/>
      <c r="D115" s="101"/>
      <c r="E115" s="101"/>
      <c r="F115" s="310"/>
      <c r="G115" s="311"/>
      <c r="H115" s="311"/>
      <c r="I115" s="311"/>
      <c r="J115" s="311"/>
      <c r="K115" s="312"/>
      <c r="L115" s="310"/>
      <c r="M115" s="311"/>
      <c r="N115" s="311"/>
      <c r="O115" s="311"/>
      <c r="P115" s="311"/>
      <c r="Q115" s="311"/>
      <c r="R115" s="312"/>
      <c r="S115" s="310"/>
      <c r="T115" s="311"/>
      <c r="U115" s="311"/>
      <c r="V115" s="311"/>
      <c r="W115" s="312"/>
      <c r="X115" s="375">
        <v>1</v>
      </c>
      <c r="Y115" s="376"/>
      <c r="Z115" s="376"/>
      <c r="AA115" s="376"/>
      <c r="AB115" s="377"/>
      <c r="AC115" s="375">
        <v>2</v>
      </c>
      <c r="AD115" s="376"/>
      <c r="AE115" s="376"/>
      <c r="AF115" s="376"/>
      <c r="AG115" s="377"/>
      <c r="AH115" s="375">
        <v>3</v>
      </c>
      <c r="AI115" s="376"/>
      <c r="AJ115" s="376"/>
      <c r="AK115" s="376"/>
      <c r="AL115" s="377"/>
      <c r="AM115" s="310"/>
      <c r="AN115" s="311"/>
      <c r="AO115" s="311"/>
      <c r="AP115" s="311"/>
      <c r="AQ115" s="312"/>
      <c r="AR115" s="310"/>
      <c r="AS115" s="311"/>
      <c r="AT115" s="311"/>
      <c r="AU115" s="311"/>
      <c r="AV115" s="312"/>
      <c r="AW115" s="98"/>
      <c r="AX115" s="98"/>
      <c r="AY115" s="98"/>
      <c r="AZ115" s="100"/>
      <c r="BA115" s="96"/>
      <c r="BB115" s="234"/>
      <c r="BC115" s="235"/>
      <c r="BD115" s="235"/>
      <c r="BE115" s="235"/>
      <c r="BF115" s="236"/>
      <c r="BG115" s="275"/>
      <c r="BH115" s="275"/>
      <c r="BI115" s="275"/>
      <c r="BJ115" s="275"/>
      <c r="BK115" s="275"/>
      <c r="BL115" s="275"/>
      <c r="BM115" s="275"/>
      <c r="BN115" s="275"/>
      <c r="BO115" s="275"/>
      <c r="BP115" s="275"/>
      <c r="BQ115" s="275"/>
      <c r="BR115" s="275"/>
      <c r="BS115" s="275"/>
      <c r="BT115" s="275"/>
      <c r="BU115" s="275"/>
      <c r="BV115" s="96"/>
      <c r="BW115" s="24"/>
      <c r="BX115" s="256"/>
      <c r="BY115" s="254"/>
      <c r="BZ115" s="255"/>
      <c r="CA115" s="256"/>
      <c r="CB115" s="256"/>
      <c r="CC115" s="23"/>
      <c r="CD115" s="256"/>
      <c r="CE115" s="254"/>
      <c r="CF115" s="255"/>
      <c r="CG115" s="256"/>
      <c r="CH115" s="256"/>
      <c r="CI115" s="23"/>
      <c r="CJ115" s="256"/>
      <c r="CK115" s="254"/>
      <c r="CL115" s="255"/>
      <c r="CM115" s="256"/>
      <c r="CN115" s="256"/>
      <c r="CO115" s="23"/>
      <c r="CP115" s="256"/>
      <c r="CQ115" s="254"/>
      <c r="CR115" s="255"/>
      <c r="CS115" s="256"/>
      <c r="CT115" s="256"/>
      <c r="CU115" s="22"/>
      <c r="CV115" s="133" t="s">
        <v>82</v>
      </c>
      <c r="CW115" s="21" t="s">
        <v>83</v>
      </c>
      <c r="CX115" s="133" t="s">
        <v>84</v>
      </c>
      <c r="CY115" s="256" t="s">
        <v>85</v>
      </c>
      <c r="CZ115" s="256"/>
      <c r="DA115" s="22"/>
      <c r="DB115" s="251"/>
      <c r="DC115" s="251"/>
      <c r="DD115" s="251"/>
      <c r="DE115" s="251"/>
    </row>
    <row r="116" spans="1:109" s="45" customFormat="1" ht="13.7" customHeight="1">
      <c r="A116" s="96"/>
      <c r="B116" s="97"/>
      <c r="C116" s="98"/>
      <c r="D116" s="101"/>
      <c r="E116" s="101"/>
      <c r="F116" s="327" t="s">
        <v>30</v>
      </c>
      <c r="G116" s="328"/>
      <c r="H116" s="328"/>
      <c r="I116" s="328"/>
      <c r="J116" s="328"/>
      <c r="K116" s="329"/>
      <c r="L116" s="381">
        <v>0</v>
      </c>
      <c r="M116" s="382"/>
      <c r="N116" s="382"/>
      <c r="O116" s="382"/>
      <c r="P116" s="338" t="s">
        <v>178</v>
      </c>
      <c r="Q116" s="338"/>
      <c r="R116" s="339"/>
      <c r="S116" s="278" t="s">
        <v>30</v>
      </c>
      <c r="T116" s="278"/>
      <c r="U116" s="278"/>
      <c r="V116" s="278"/>
      <c r="W116" s="278"/>
      <c r="X116" s="294"/>
      <c r="Y116" s="295"/>
      <c r="Z116" s="295"/>
      <c r="AA116" s="295"/>
      <c r="AB116" s="295"/>
      <c r="AC116" s="294"/>
      <c r="AD116" s="295"/>
      <c r="AE116" s="295"/>
      <c r="AF116" s="295"/>
      <c r="AG116" s="295"/>
      <c r="AH116" s="294"/>
      <c r="AI116" s="295"/>
      <c r="AJ116" s="295"/>
      <c r="AK116" s="295"/>
      <c r="AL116" s="295"/>
      <c r="AM116" s="288" t="e">
        <f>AVERAGE(X116:AL116)</f>
        <v>#DIV/0!</v>
      </c>
      <c r="AN116" s="289"/>
      <c r="AO116" s="289"/>
      <c r="AP116" s="289"/>
      <c r="AQ116" s="290"/>
      <c r="AR116" s="291" t="e">
        <f>AM116-L116</f>
        <v>#DIV/0!</v>
      </c>
      <c r="AS116" s="292"/>
      <c r="AT116" s="292"/>
      <c r="AU116" s="292"/>
      <c r="AV116" s="293"/>
      <c r="AW116" s="98"/>
      <c r="AX116" s="98"/>
      <c r="AY116" s="98"/>
      <c r="AZ116" s="100"/>
      <c r="BA116" s="96"/>
      <c r="BB116" s="244" t="e">
        <f>ABS(1%*AM116)+(10*CK116)</f>
        <v>#DIV/0!</v>
      </c>
      <c r="BC116" s="244"/>
      <c r="BD116" s="244"/>
      <c r="BE116" s="244"/>
      <c r="BF116" s="244"/>
      <c r="BG116" s="244">
        <v>1</v>
      </c>
      <c r="BH116" s="244"/>
      <c r="BI116" s="244"/>
      <c r="BJ116" s="244"/>
      <c r="BK116" s="244"/>
      <c r="BL116" s="244">
        <v>-1</v>
      </c>
      <c r="BM116" s="244"/>
      <c r="BN116" s="244"/>
      <c r="BO116" s="244"/>
      <c r="BP116" s="244"/>
      <c r="BQ116" s="265" t="e">
        <f>IF(AND(AVERAGE(X116:AL116)&lt;=BG116,AVERAGE(X116:AL116)&gt;=BL116),"PASS","FAIL")</f>
        <v>#DIV/0!</v>
      </c>
      <c r="BR116" s="265"/>
      <c r="BS116" s="265"/>
      <c r="BT116" s="265"/>
      <c r="BU116" s="265"/>
      <c r="BV116" s="96"/>
      <c r="BX116" s="48" t="s">
        <v>86</v>
      </c>
      <c r="BY116" s="162">
        <v>3.1E-4</v>
      </c>
      <c r="BZ116" s="49" t="s">
        <v>92</v>
      </c>
      <c r="CA116" s="48">
        <v>2</v>
      </c>
      <c r="CB116" s="50">
        <f>(BY116/CA116)*(1/100)</f>
        <v>1.55E-6</v>
      </c>
      <c r="CC116" s="51"/>
      <c r="CD116" s="20" t="s">
        <v>170</v>
      </c>
      <c r="CE116" s="15">
        <v>0</v>
      </c>
      <c r="CF116" s="19" t="str">
        <f>P116</f>
        <v>°C</v>
      </c>
      <c r="CG116" s="52">
        <f t="shared" ref="CG116:CG118" si="128">SQRT(3)</f>
        <v>1.7320508075688772</v>
      </c>
      <c r="CH116" s="50">
        <f t="shared" ref="CH116:CH118" si="129">CE116/CG116</f>
        <v>0</v>
      </c>
      <c r="CI116" s="51"/>
      <c r="CJ116" s="48" t="s">
        <v>87</v>
      </c>
      <c r="CK116" s="48">
        <v>0.1</v>
      </c>
      <c r="CL116" s="49" t="str">
        <f>CF116</f>
        <v>°C</v>
      </c>
      <c r="CM116" s="18">
        <f t="shared" ref="CM116:CM118" si="130">SQRT(12)</f>
        <v>3.4641016151377544</v>
      </c>
      <c r="CN116" s="16">
        <f t="shared" ref="CN116:CN118" si="131">CK116/CM116</f>
        <v>2.8867513459481291E-2</v>
      </c>
      <c r="CO116" s="6"/>
      <c r="CP116" s="20" t="s">
        <v>88</v>
      </c>
      <c r="CQ116" s="17" t="e">
        <f>STDEV(X116:AL116)</f>
        <v>#DIV/0!</v>
      </c>
      <c r="CR116" s="19" t="str">
        <f>P116</f>
        <v>°C</v>
      </c>
      <c r="CS116" s="18">
        <f t="shared" ref="CS116:CS118" si="132">SQRT(3)</f>
        <v>1.7320508075688772</v>
      </c>
      <c r="CT116" s="17" t="e">
        <f t="shared" ref="CT116:CT118" si="133">CQ116/CS116</f>
        <v>#DIV/0!</v>
      </c>
      <c r="CU116" s="7"/>
      <c r="CV116" s="16" t="e">
        <f t="shared" ref="CV116:CV118" si="134">SQRT(SUMSQ(CT116,CN116,CH116,CB116))</f>
        <v>#DIV/0!</v>
      </c>
      <c r="CW116" s="14" t="e">
        <f t="shared" ref="CW116:CW118" si="135">(CV116^4)/(((CT116^4)/2)+((CN116^4)/200)+((CH116^4)/200)+((CB116^4)/200))</f>
        <v>#DIV/0!</v>
      </c>
      <c r="CX116" s="54" t="e">
        <f t="shared" ref="CX116:CX118" si="136">ROUND(TINV(0.05,CW116),0)</f>
        <v>#DIV/0!</v>
      </c>
      <c r="CY116" s="55" t="e">
        <f t="shared" ref="CY116:CY118" si="137">ROUND((CV116*CX116),3)</f>
        <v>#DIV/0!</v>
      </c>
      <c r="CZ116" s="56" t="str">
        <f>P116</f>
        <v>°C</v>
      </c>
      <c r="DA116" s="51"/>
      <c r="DB116" s="130">
        <v>0.4</v>
      </c>
      <c r="DC116" s="123" t="str">
        <f>CZ116</f>
        <v>°C</v>
      </c>
      <c r="DD116" s="131" t="e">
        <f t="shared" ref="DD116:DD118" si="138">MAX(DB116,CY116)</f>
        <v>#DIV/0!</v>
      </c>
      <c r="DE116" s="132" t="str">
        <f t="shared" ref="DE116:DE118" si="139">DC116</f>
        <v>°C</v>
      </c>
    </row>
    <row r="117" spans="1:109" s="45" customFormat="1" ht="13.7" customHeight="1">
      <c r="A117" s="96"/>
      <c r="B117" s="97"/>
      <c r="C117" s="98"/>
      <c r="D117" s="101"/>
      <c r="E117" s="101"/>
      <c r="F117" s="327" t="s">
        <v>30</v>
      </c>
      <c r="G117" s="328"/>
      <c r="H117" s="328"/>
      <c r="I117" s="328"/>
      <c r="J117" s="328"/>
      <c r="K117" s="329"/>
      <c r="L117" s="381">
        <v>100</v>
      </c>
      <c r="M117" s="382"/>
      <c r="N117" s="382"/>
      <c r="O117" s="382"/>
      <c r="P117" s="338" t="s">
        <v>178</v>
      </c>
      <c r="Q117" s="338"/>
      <c r="R117" s="339"/>
      <c r="S117" s="278" t="s">
        <v>30</v>
      </c>
      <c r="T117" s="278"/>
      <c r="U117" s="278"/>
      <c r="V117" s="278"/>
      <c r="W117" s="278"/>
      <c r="X117" s="294"/>
      <c r="Y117" s="295"/>
      <c r="Z117" s="295"/>
      <c r="AA117" s="295"/>
      <c r="AB117" s="295"/>
      <c r="AC117" s="294"/>
      <c r="AD117" s="295"/>
      <c r="AE117" s="295"/>
      <c r="AF117" s="295"/>
      <c r="AG117" s="295"/>
      <c r="AH117" s="294"/>
      <c r="AI117" s="295"/>
      <c r="AJ117" s="295"/>
      <c r="AK117" s="295"/>
      <c r="AL117" s="295"/>
      <c r="AM117" s="288" t="e">
        <f t="shared" ref="AM117:AM118" si="140">AVERAGE(X117:AL117)</f>
        <v>#DIV/0!</v>
      </c>
      <c r="AN117" s="289"/>
      <c r="AO117" s="289"/>
      <c r="AP117" s="289"/>
      <c r="AQ117" s="290"/>
      <c r="AR117" s="291" t="e">
        <f t="shared" ref="AR117:AR118" si="141">AM117-L117</f>
        <v>#DIV/0!</v>
      </c>
      <c r="AS117" s="292"/>
      <c r="AT117" s="292"/>
      <c r="AU117" s="292"/>
      <c r="AV117" s="293"/>
      <c r="AW117" s="98"/>
      <c r="AX117" s="98"/>
      <c r="AY117" s="98"/>
      <c r="AZ117" s="100"/>
      <c r="BA117" s="96"/>
      <c r="BB117" s="244" t="e">
        <f t="shared" ref="BB117:BB118" si="142">ABS(1%*AM117)+(10*CK117)</f>
        <v>#DIV/0!</v>
      </c>
      <c r="BC117" s="244"/>
      <c r="BD117" s="244"/>
      <c r="BE117" s="244"/>
      <c r="BF117" s="244"/>
      <c r="BG117" s="244">
        <v>102</v>
      </c>
      <c r="BH117" s="244"/>
      <c r="BI117" s="244"/>
      <c r="BJ117" s="244"/>
      <c r="BK117" s="244"/>
      <c r="BL117" s="244">
        <v>98</v>
      </c>
      <c r="BM117" s="244"/>
      <c r="BN117" s="244"/>
      <c r="BO117" s="244"/>
      <c r="BP117" s="244"/>
      <c r="BQ117" s="265" t="e">
        <f>IF(AND(AVERAGE(X117:AL117)&lt;=BG117,AVERAGE(X117:AL117)&gt;=BL117),"PASS","FAIL")</f>
        <v>#DIV/0!</v>
      </c>
      <c r="BR117" s="265"/>
      <c r="BS117" s="265"/>
      <c r="BT117" s="265"/>
      <c r="BU117" s="265"/>
      <c r="BV117" s="96"/>
      <c r="BX117" s="48" t="s">
        <v>86</v>
      </c>
      <c r="BY117" s="162">
        <v>7.6999999999999996E-4</v>
      </c>
      <c r="BZ117" s="49" t="s">
        <v>92</v>
      </c>
      <c r="CA117" s="48">
        <v>2</v>
      </c>
      <c r="CB117" s="50">
        <f t="shared" ref="CB117" si="143">(BY117/CA117)*(1/100)</f>
        <v>3.8499999999999996E-6</v>
      </c>
      <c r="CC117" s="51"/>
      <c r="CD117" s="20" t="s">
        <v>170</v>
      </c>
      <c r="CE117" s="15">
        <v>0</v>
      </c>
      <c r="CF117" s="19" t="str">
        <f>P117</f>
        <v>°C</v>
      </c>
      <c r="CG117" s="52">
        <f t="shared" si="128"/>
        <v>1.7320508075688772</v>
      </c>
      <c r="CH117" s="50">
        <f t="shared" si="129"/>
        <v>0</v>
      </c>
      <c r="CI117" s="51"/>
      <c r="CJ117" s="48" t="s">
        <v>87</v>
      </c>
      <c r="CK117" s="48">
        <v>0.1</v>
      </c>
      <c r="CL117" s="49" t="str">
        <f t="shared" ref="CL117:CL118" si="144">CF117</f>
        <v>°C</v>
      </c>
      <c r="CM117" s="18">
        <f t="shared" si="130"/>
        <v>3.4641016151377544</v>
      </c>
      <c r="CN117" s="16">
        <f t="shared" si="131"/>
        <v>2.8867513459481291E-2</v>
      </c>
      <c r="CO117" s="6"/>
      <c r="CP117" s="20" t="s">
        <v>88</v>
      </c>
      <c r="CQ117" s="17" t="e">
        <f>STDEV(X117:AL117)</f>
        <v>#DIV/0!</v>
      </c>
      <c r="CR117" s="19" t="str">
        <f>P117</f>
        <v>°C</v>
      </c>
      <c r="CS117" s="18">
        <f t="shared" si="132"/>
        <v>1.7320508075688772</v>
      </c>
      <c r="CT117" s="17" t="e">
        <f t="shared" si="133"/>
        <v>#DIV/0!</v>
      </c>
      <c r="CU117" s="7"/>
      <c r="CV117" s="16" t="e">
        <f t="shared" si="134"/>
        <v>#DIV/0!</v>
      </c>
      <c r="CW117" s="14" t="e">
        <f t="shared" si="135"/>
        <v>#DIV/0!</v>
      </c>
      <c r="CX117" s="54" t="e">
        <f t="shared" si="136"/>
        <v>#DIV/0!</v>
      </c>
      <c r="CY117" s="55" t="e">
        <f t="shared" si="137"/>
        <v>#DIV/0!</v>
      </c>
      <c r="CZ117" s="56" t="str">
        <f>P117</f>
        <v>°C</v>
      </c>
      <c r="DA117" s="51"/>
      <c r="DB117" s="130">
        <v>0.4</v>
      </c>
      <c r="DC117" s="123" t="str">
        <f t="shared" ref="DC117:DC118" si="145">CZ117</f>
        <v>°C</v>
      </c>
      <c r="DD117" s="125" t="e">
        <f t="shared" si="138"/>
        <v>#DIV/0!</v>
      </c>
      <c r="DE117" s="123" t="str">
        <f t="shared" si="139"/>
        <v>°C</v>
      </c>
    </row>
    <row r="118" spans="1:109" s="45" customFormat="1" ht="13.7" customHeight="1">
      <c r="A118" s="96"/>
      <c r="B118" s="97"/>
      <c r="C118" s="98"/>
      <c r="D118" s="98"/>
      <c r="E118" s="98"/>
      <c r="F118" s="327" t="s">
        <v>30</v>
      </c>
      <c r="G118" s="328"/>
      <c r="H118" s="328"/>
      <c r="I118" s="328"/>
      <c r="J118" s="328"/>
      <c r="K118" s="329"/>
      <c r="L118" s="381">
        <v>1000</v>
      </c>
      <c r="M118" s="382"/>
      <c r="N118" s="382"/>
      <c r="O118" s="382"/>
      <c r="P118" s="338" t="s">
        <v>178</v>
      </c>
      <c r="Q118" s="338"/>
      <c r="R118" s="339"/>
      <c r="S118" s="278" t="s">
        <v>30</v>
      </c>
      <c r="T118" s="278"/>
      <c r="U118" s="278"/>
      <c r="V118" s="278"/>
      <c r="W118" s="278"/>
      <c r="X118" s="294"/>
      <c r="Y118" s="295"/>
      <c r="Z118" s="295"/>
      <c r="AA118" s="295"/>
      <c r="AB118" s="295"/>
      <c r="AC118" s="294"/>
      <c r="AD118" s="295"/>
      <c r="AE118" s="295"/>
      <c r="AF118" s="295"/>
      <c r="AG118" s="295"/>
      <c r="AH118" s="294"/>
      <c r="AI118" s="295"/>
      <c r="AJ118" s="295"/>
      <c r="AK118" s="295"/>
      <c r="AL118" s="295"/>
      <c r="AM118" s="288" t="e">
        <f t="shared" si="140"/>
        <v>#DIV/0!</v>
      </c>
      <c r="AN118" s="289"/>
      <c r="AO118" s="289"/>
      <c r="AP118" s="289"/>
      <c r="AQ118" s="290"/>
      <c r="AR118" s="291" t="e">
        <f t="shared" si="141"/>
        <v>#DIV/0!</v>
      </c>
      <c r="AS118" s="292"/>
      <c r="AT118" s="292"/>
      <c r="AU118" s="292"/>
      <c r="AV118" s="293"/>
      <c r="AW118" s="98"/>
      <c r="AX118" s="98"/>
      <c r="AY118" s="98"/>
      <c r="AZ118" s="100"/>
      <c r="BA118" s="96"/>
      <c r="BB118" s="244" t="e">
        <f t="shared" si="142"/>
        <v>#DIV/0!</v>
      </c>
      <c r="BC118" s="244"/>
      <c r="BD118" s="244"/>
      <c r="BE118" s="244"/>
      <c r="BF118" s="244"/>
      <c r="BG118" s="244">
        <v>1011</v>
      </c>
      <c r="BH118" s="244"/>
      <c r="BI118" s="244"/>
      <c r="BJ118" s="244"/>
      <c r="BK118" s="244"/>
      <c r="BL118" s="244">
        <v>989</v>
      </c>
      <c r="BM118" s="244"/>
      <c r="BN118" s="244"/>
      <c r="BO118" s="244"/>
      <c r="BP118" s="244"/>
      <c r="BQ118" s="265" t="e">
        <f>IF(AND(AVERAGE(X118:AL118)&lt;=BG118,AVERAGE(X118:AL118)&gt;=BL118),"PASS","FAIL")</f>
        <v>#DIV/0!</v>
      </c>
      <c r="BR118" s="265"/>
      <c r="BS118" s="265"/>
      <c r="BT118" s="265"/>
      <c r="BU118" s="265"/>
      <c r="BV118" s="96"/>
      <c r="BX118" s="48" t="s">
        <v>86</v>
      </c>
      <c r="BY118" s="162">
        <v>7.6999999999999996E-4</v>
      </c>
      <c r="BZ118" s="49" t="s">
        <v>92</v>
      </c>
      <c r="CA118" s="48">
        <v>2</v>
      </c>
      <c r="CB118" s="50">
        <f>(BY118/CA118)*(10/1000)</f>
        <v>3.8499999999999996E-6</v>
      </c>
      <c r="CC118" s="51"/>
      <c r="CD118" s="20" t="s">
        <v>170</v>
      </c>
      <c r="CE118" s="15">
        <v>0</v>
      </c>
      <c r="CF118" s="19" t="str">
        <f>P118</f>
        <v>°C</v>
      </c>
      <c r="CG118" s="52">
        <f t="shared" si="128"/>
        <v>1.7320508075688772</v>
      </c>
      <c r="CH118" s="50">
        <f t="shared" si="129"/>
        <v>0</v>
      </c>
      <c r="CI118" s="51"/>
      <c r="CJ118" s="48" t="s">
        <v>87</v>
      </c>
      <c r="CK118" s="48">
        <v>0.1</v>
      </c>
      <c r="CL118" s="49" t="str">
        <f t="shared" si="144"/>
        <v>°C</v>
      </c>
      <c r="CM118" s="18">
        <f t="shared" si="130"/>
        <v>3.4641016151377544</v>
      </c>
      <c r="CN118" s="16">
        <f t="shared" si="131"/>
        <v>2.8867513459481291E-2</v>
      </c>
      <c r="CO118" s="6"/>
      <c r="CP118" s="20" t="s">
        <v>88</v>
      </c>
      <c r="CQ118" s="17" t="e">
        <f>STDEV(X118:AL118)</f>
        <v>#DIV/0!</v>
      </c>
      <c r="CR118" s="19" t="str">
        <f>P118</f>
        <v>°C</v>
      </c>
      <c r="CS118" s="18">
        <f t="shared" si="132"/>
        <v>1.7320508075688772</v>
      </c>
      <c r="CT118" s="17" t="e">
        <f t="shared" si="133"/>
        <v>#DIV/0!</v>
      </c>
      <c r="CU118" s="7"/>
      <c r="CV118" s="16" t="e">
        <f t="shared" si="134"/>
        <v>#DIV/0!</v>
      </c>
      <c r="CW118" s="14" t="e">
        <f t="shared" si="135"/>
        <v>#DIV/0!</v>
      </c>
      <c r="CX118" s="54" t="e">
        <f t="shared" si="136"/>
        <v>#DIV/0!</v>
      </c>
      <c r="CY118" s="55" t="e">
        <f t="shared" si="137"/>
        <v>#DIV/0!</v>
      </c>
      <c r="CZ118" s="56" t="str">
        <f>P118</f>
        <v>°C</v>
      </c>
      <c r="DA118" s="51"/>
      <c r="DB118" s="130">
        <v>0.4</v>
      </c>
      <c r="DC118" s="123" t="str">
        <f t="shared" si="145"/>
        <v>°C</v>
      </c>
      <c r="DD118" s="125" t="e">
        <f t="shared" si="138"/>
        <v>#DIV/0!</v>
      </c>
      <c r="DE118" s="123" t="str">
        <f t="shared" si="139"/>
        <v>°C</v>
      </c>
    </row>
    <row r="119" spans="1:109" ht="13.5">
      <c r="B119" s="93"/>
      <c r="C119" s="82"/>
      <c r="D119" s="82"/>
      <c r="E119" s="82"/>
      <c r="F119" s="82"/>
      <c r="G119" s="82"/>
      <c r="H119" s="82"/>
      <c r="I119" s="82"/>
      <c r="J119" s="82"/>
      <c r="K119" s="82"/>
      <c r="L119" s="82"/>
      <c r="M119" s="82"/>
      <c r="N119" s="82"/>
      <c r="O119" s="82"/>
      <c r="P119" s="82"/>
      <c r="Q119" s="82"/>
      <c r="R119" s="82"/>
      <c r="S119" s="82"/>
      <c r="T119" s="82"/>
      <c r="U119" s="82"/>
      <c r="V119" s="82"/>
      <c r="W119" s="82"/>
      <c r="X119" s="147"/>
      <c r="Y119" s="147"/>
      <c r="Z119" s="147"/>
      <c r="AA119" s="147"/>
      <c r="AB119" s="147"/>
      <c r="AC119" s="147"/>
      <c r="AD119" s="147"/>
      <c r="AE119" s="147"/>
      <c r="AF119" s="147"/>
      <c r="AG119" s="147"/>
      <c r="AH119" s="147"/>
      <c r="AI119" s="147"/>
      <c r="AJ119" s="147"/>
      <c r="AK119" s="147"/>
      <c r="AL119" s="147"/>
      <c r="AM119" s="82"/>
      <c r="AN119" s="82"/>
      <c r="AO119" s="82"/>
      <c r="AP119" s="82"/>
      <c r="AQ119" s="82"/>
      <c r="AR119" s="82"/>
      <c r="AS119" s="82"/>
      <c r="AT119" s="82"/>
      <c r="AU119" s="82"/>
      <c r="AV119" s="82"/>
      <c r="AW119" s="82"/>
      <c r="AX119" s="82"/>
      <c r="AY119" s="82"/>
      <c r="AZ119" s="94"/>
    </row>
    <row r="120" spans="1:109" ht="13.7" customHeight="1">
      <c r="B120" s="93"/>
      <c r="C120" s="82"/>
      <c r="D120" s="71"/>
      <c r="E120" s="82"/>
      <c r="F120" s="95" t="s">
        <v>102</v>
      </c>
      <c r="G120" s="82"/>
      <c r="H120" s="82"/>
      <c r="I120" s="82"/>
      <c r="J120" s="82"/>
      <c r="K120" s="82"/>
      <c r="L120" s="82"/>
      <c r="M120" s="82"/>
      <c r="N120" s="82"/>
      <c r="O120" s="82"/>
      <c r="P120" s="82"/>
      <c r="Q120" s="82"/>
      <c r="R120" s="82"/>
      <c r="S120" s="82"/>
      <c r="T120" s="82"/>
      <c r="U120" s="82"/>
      <c r="V120" s="82"/>
      <c r="W120" s="82"/>
      <c r="X120" s="147"/>
      <c r="Y120" s="147"/>
      <c r="Z120" s="147"/>
      <c r="AA120" s="147"/>
      <c r="AB120" s="147"/>
      <c r="AC120" s="147"/>
      <c r="AD120" s="147"/>
      <c r="AE120" s="147"/>
      <c r="AF120" s="147"/>
      <c r="AG120" s="147"/>
      <c r="AH120" s="147"/>
      <c r="AI120" s="147"/>
      <c r="AJ120" s="147"/>
      <c r="AK120" s="147"/>
      <c r="AL120" s="147"/>
      <c r="AM120" s="82"/>
      <c r="AN120" s="82"/>
      <c r="AO120" s="82"/>
      <c r="AP120" s="82"/>
      <c r="AQ120" s="82"/>
      <c r="AR120" s="82"/>
      <c r="AS120" s="82"/>
      <c r="AT120" s="82"/>
      <c r="AU120" s="82"/>
      <c r="AV120" s="82"/>
      <c r="AW120" s="82"/>
      <c r="AX120" s="82"/>
      <c r="AY120" s="82"/>
      <c r="AZ120" s="94"/>
      <c r="BX120" s="257" t="s">
        <v>70</v>
      </c>
      <c r="BY120" s="257"/>
      <c r="BZ120" s="257"/>
      <c r="CA120" s="257"/>
      <c r="CB120" s="257"/>
      <c r="CC120" s="25"/>
      <c r="CD120" s="257" t="s">
        <v>70</v>
      </c>
      <c r="CE120" s="257"/>
      <c r="CF120" s="257"/>
      <c r="CG120" s="257"/>
      <c r="CH120" s="257"/>
      <c r="CI120" s="25"/>
      <c r="CJ120" s="257" t="s">
        <v>180</v>
      </c>
      <c r="CK120" s="257"/>
      <c r="CL120" s="257"/>
      <c r="CM120" s="257"/>
      <c r="CN120" s="257"/>
      <c r="CO120" s="25"/>
      <c r="CP120" s="257" t="s">
        <v>180</v>
      </c>
      <c r="CQ120" s="257"/>
      <c r="CR120" s="257"/>
      <c r="CS120" s="257"/>
      <c r="CT120" s="257"/>
      <c r="CV120" s="257" t="s">
        <v>71</v>
      </c>
      <c r="CW120" s="257"/>
      <c r="CX120" s="257"/>
      <c r="CY120" s="257"/>
      <c r="CZ120" s="257"/>
      <c r="DB120" s="251" t="s">
        <v>191</v>
      </c>
      <c r="DC120" s="251"/>
      <c r="DD120" s="251" t="s">
        <v>158</v>
      </c>
      <c r="DE120" s="251"/>
    </row>
    <row r="121" spans="1:109" ht="13.7" customHeight="1">
      <c r="B121" s="93"/>
      <c r="C121" s="82"/>
      <c r="D121" s="71"/>
      <c r="E121" s="71"/>
      <c r="F121" s="286" t="s">
        <v>27</v>
      </c>
      <c r="G121" s="286"/>
      <c r="H121" s="286"/>
      <c r="I121" s="286"/>
      <c r="J121" s="286"/>
      <c r="K121" s="286"/>
      <c r="L121" s="286" t="s">
        <v>28</v>
      </c>
      <c r="M121" s="286"/>
      <c r="N121" s="286"/>
      <c r="O121" s="286"/>
      <c r="P121" s="286"/>
      <c r="Q121" s="286"/>
      <c r="R121" s="286"/>
      <c r="S121" s="286" t="s">
        <v>72</v>
      </c>
      <c r="T121" s="286"/>
      <c r="U121" s="286"/>
      <c r="V121" s="286"/>
      <c r="W121" s="286"/>
      <c r="X121" s="326" t="s">
        <v>73</v>
      </c>
      <c r="Y121" s="326"/>
      <c r="Z121" s="326"/>
      <c r="AA121" s="326"/>
      <c r="AB121" s="326"/>
      <c r="AC121" s="326"/>
      <c r="AD121" s="326"/>
      <c r="AE121" s="326"/>
      <c r="AF121" s="326"/>
      <c r="AG121" s="326"/>
      <c r="AH121" s="326"/>
      <c r="AI121" s="326"/>
      <c r="AJ121" s="326"/>
      <c r="AK121" s="326"/>
      <c r="AL121" s="326"/>
      <c r="AM121" s="286" t="s">
        <v>74</v>
      </c>
      <c r="AN121" s="286"/>
      <c r="AO121" s="286"/>
      <c r="AP121" s="286"/>
      <c r="AQ121" s="286"/>
      <c r="AR121" s="286" t="s">
        <v>29</v>
      </c>
      <c r="AS121" s="286"/>
      <c r="AT121" s="286"/>
      <c r="AU121" s="286"/>
      <c r="AV121" s="286"/>
      <c r="AW121" s="82"/>
      <c r="AX121" s="82"/>
      <c r="AY121" s="82"/>
      <c r="AZ121" s="94"/>
      <c r="BB121" s="231" t="s">
        <v>188</v>
      </c>
      <c r="BC121" s="232"/>
      <c r="BD121" s="232"/>
      <c r="BE121" s="232"/>
      <c r="BF121" s="233"/>
      <c r="BG121" s="257" t="s">
        <v>138</v>
      </c>
      <c r="BH121" s="257"/>
      <c r="BI121" s="257"/>
      <c r="BJ121" s="257"/>
      <c r="BK121" s="257"/>
      <c r="BL121" s="257" t="s">
        <v>139</v>
      </c>
      <c r="BM121" s="257"/>
      <c r="BN121" s="257"/>
      <c r="BO121" s="257"/>
      <c r="BP121" s="257"/>
      <c r="BQ121" s="257" t="s">
        <v>144</v>
      </c>
      <c r="BR121" s="257"/>
      <c r="BS121" s="257"/>
      <c r="BT121" s="257"/>
      <c r="BU121" s="257"/>
      <c r="BX121" s="256" t="s">
        <v>75</v>
      </c>
      <c r="BY121" s="252" t="s">
        <v>137</v>
      </c>
      <c r="BZ121" s="253"/>
      <c r="CA121" s="256" t="s">
        <v>76</v>
      </c>
      <c r="CB121" s="256" t="s">
        <v>77</v>
      </c>
      <c r="CC121" s="23"/>
      <c r="CD121" s="256" t="s">
        <v>75</v>
      </c>
      <c r="CE121" s="252" t="s">
        <v>137</v>
      </c>
      <c r="CF121" s="253"/>
      <c r="CG121" s="256" t="s">
        <v>76</v>
      </c>
      <c r="CH121" s="256" t="s">
        <v>77</v>
      </c>
      <c r="CI121" s="23"/>
      <c r="CJ121" s="256" t="s">
        <v>75</v>
      </c>
      <c r="CK121" s="252" t="s">
        <v>137</v>
      </c>
      <c r="CL121" s="253"/>
      <c r="CM121" s="256" t="s">
        <v>76</v>
      </c>
      <c r="CN121" s="256" t="s">
        <v>77</v>
      </c>
      <c r="CO121" s="23"/>
      <c r="CP121" s="256" t="s">
        <v>75</v>
      </c>
      <c r="CQ121" s="252" t="s">
        <v>137</v>
      </c>
      <c r="CR121" s="253"/>
      <c r="CS121" s="256" t="s">
        <v>76</v>
      </c>
      <c r="CT121" s="256" t="s">
        <v>77</v>
      </c>
      <c r="CU121" s="22"/>
      <c r="CV121" s="133" t="s">
        <v>78</v>
      </c>
      <c r="CW121" s="21" t="s">
        <v>79</v>
      </c>
      <c r="CX121" s="133" t="s">
        <v>80</v>
      </c>
      <c r="CY121" s="256" t="s">
        <v>81</v>
      </c>
      <c r="CZ121" s="256"/>
      <c r="DA121" s="22"/>
      <c r="DB121" s="251"/>
      <c r="DC121" s="251"/>
      <c r="DD121" s="251"/>
      <c r="DE121" s="251"/>
    </row>
    <row r="122" spans="1:109" ht="13.5">
      <c r="B122" s="93"/>
      <c r="C122" s="82"/>
      <c r="D122" s="71"/>
      <c r="E122" s="71"/>
      <c r="F122" s="286"/>
      <c r="G122" s="286"/>
      <c r="H122" s="286"/>
      <c r="I122" s="286"/>
      <c r="J122" s="286"/>
      <c r="K122" s="286"/>
      <c r="L122" s="286"/>
      <c r="M122" s="286"/>
      <c r="N122" s="286"/>
      <c r="O122" s="286"/>
      <c r="P122" s="286"/>
      <c r="Q122" s="286"/>
      <c r="R122" s="286"/>
      <c r="S122" s="286"/>
      <c r="T122" s="286"/>
      <c r="U122" s="286"/>
      <c r="V122" s="286"/>
      <c r="W122" s="286"/>
      <c r="X122" s="326">
        <v>1</v>
      </c>
      <c r="Y122" s="326"/>
      <c r="Z122" s="326"/>
      <c r="AA122" s="326"/>
      <c r="AB122" s="326"/>
      <c r="AC122" s="326">
        <v>2</v>
      </c>
      <c r="AD122" s="326"/>
      <c r="AE122" s="326"/>
      <c r="AF122" s="326"/>
      <c r="AG122" s="326"/>
      <c r="AH122" s="326">
        <v>3</v>
      </c>
      <c r="AI122" s="326"/>
      <c r="AJ122" s="326"/>
      <c r="AK122" s="326"/>
      <c r="AL122" s="326"/>
      <c r="AM122" s="286"/>
      <c r="AN122" s="286"/>
      <c r="AO122" s="286"/>
      <c r="AP122" s="286"/>
      <c r="AQ122" s="286"/>
      <c r="AR122" s="286"/>
      <c r="AS122" s="286"/>
      <c r="AT122" s="286"/>
      <c r="AU122" s="286"/>
      <c r="AV122" s="286"/>
      <c r="AW122" s="82"/>
      <c r="AX122" s="82"/>
      <c r="AY122" s="82"/>
      <c r="AZ122" s="94"/>
      <c r="BB122" s="234"/>
      <c r="BC122" s="235"/>
      <c r="BD122" s="235"/>
      <c r="BE122" s="235"/>
      <c r="BF122" s="236"/>
      <c r="BG122" s="257"/>
      <c r="BH122" s="257"/>
      <c r="BI122" s="257"/>
      <c r="BJ122" s="257"/>
      <c r="BK122" s="257"/>
      <c r="BL122" s="257"/>
      <c r="BM122" s="257"/>
      <c r="BN122" s="257"/>
      <c r="BO122" s="257"/>
      <c r="BP122" s="257"/>
      <c r="BQ122" s="257"/>
      <c r="BR122" s="257"/>
      <c r="BS122" s="257"/>
      <c r="BT122" s="257"/>
      <c r="BU122" s="257"/>
      <c r="BX122" s="256"/>
      <c r="BY122" s="254"/>
      <c r="BZ122" s="255"/>
      <c r="CA122" s="256"/>
      <c r="CB122" s="256"/>
      <c r="CC122" s="23"/>
      <c r="CD122" s="256"/>
      <c r="CE122" s="254"/>
      <c r="CF122" s="255"/>
      <c r="CG122" s="256"/>
      <c r="CH122" s="256"/>
      <c r="CI122" s="23"/>
      <c r="CJ122" s="256"/>
      <c r="CK122" s="254"/>
      <c r="CL122" s="255"/>
      <c r="CM122" s="256"/>
      <c r="CN122" s="256"/>
      <c r="CO122" s="23"/>
      <c r="CP122" s="256"/>
      <c r="CQ122" s="254"/>
      <c r="CR122" s="255"/>
      <c r="CS122" s="256"/>
      <c r="CT122" s="256"/>
      <c r="CU122" s="22"/>
      <c r="CV122" s="133" t="s">
        <v>82</v>
      </c>
      <c r="CW122" s="21" t="s">
        <v>83</v>
      </c>
      <c r="CX122" s="133" t="s">
        <v>84</v>
      </c>
      <c r="CY122" s="256" t="s">
        <v>85</v>
      </c>
      <c r="CZ122" s="256"/>
      <c r="DA122" s="22"/>
      <c r="DB122" s="251"/>
      <c r="DC122" s="251"/>
      <c r="DD122" s="251"/>
      <c r="DE122" s="251"/>
    </row>
    <row r="123" spans="1:109" ht="13.7" customHeight="1">
      <c r="B123" s="93"/>
      <c r="C123" s="82"/>
      <c r="D123" s="82"/>
      <c r="E123" s="82"/>
      <c r="F123" s="341" t="s">
        <v>169</v>
      </c>
      <c r="G123" s="342"/>
      <c r="H123" s="342"/>
      <c r="I123" s="342"/>
      <c r="J123" s="342"/>
      <c r="K123" s="343"/>
      <c r="L123" s="313">
        <v>0.2</v>
      </c>
      <c r="M123" s="314"/>
      <c r="N123" s="314"/>
      <c r="O123" s="314"/>
      <c r="P123" s="281" t="s">
        <v>104</v>
      </c>
      <c r="Q123" s="281"/>
      <c r="R123" s="282"/>
      <c r="S123" s="278" t="s">
        <v>30</v>
      </c>
      <c r="T123" s="278"/>
      <c r="U123" s="278"/>
      <c r="V123" s="278"/>
      <c r="W123" s="278"/>
      <c r="X123" s="283"/>
      <c r="Y123" s="283"/>
      <c r="Z123" s="283"/>
      <c r="AA123" s="283"/>
      <c r="AB123" s="283"/>
      <c r="AC123" s="283"/>
      <c r="AD123" s="283"/>
      <c r="AE123" s="283"/>
      <c r="AF123" s="283"/>
      <c r="AG123" s="283"/>
      <c r="AH123" s="283"/>
      <c r="AI123" s="283"/>
      <c r="AJ123" s="283"/>
      <c r="AK123" s="283"/>
      <c r="AL123" s="283"/>
      <c r="AM123" s="284" t="e">
        <f>AVERAGE(X123:AL123)</f>
        <v>#DIV/0!</v>
      </c>
      <c r="AN123" s="284"/>
      <c r="AO123" s="284"/>
      <c r="AP123" s="284"/>
      <c r="AQ123" s="284"/>
      <c r="AR123" s="284" t="e">
        <f t="shared" ref="AR123:AR124" si="146">AM123-L123</f>
        <v>#DIV/0!</v>
      </c>
      <c r="AS123" s="284"/>
      <c r="AT123" s="284"/>
      <c r="AU123" s="284"/>
      <c r="AV123" s="284"/>
      <c r="AW123" s="82"/>
      <c r="AX123" s="82"/>
      <c r="AY123" s="82"/>
      <c r="AZ123" s="94"/>
      <c r="BB123" s="239" t="e">
        <f>ABS(0.15%*AM123)+(20*CK123)</f>
        <v>#DIV/0!</v>
      </c>
      <c r="BC123" s="239"/>
      <c r="BD123" s="239"/>
      <c r="BE123" s="239"/>
      <c r="BF123" s="239"/>
      <c r="BG123" s="239">
        <v>0.22</v>
      </c>
      <c r="BH123" s="239"/>
      <c r="BI123" s="239"/>
      <c r="BJ123" s="239"/>
      <c r="BK123" s="239"/>
      <c r="BL123" s="239">
        <v>0.18</v>
      </c>
      <c r="BM123" s="239"/>
      <c r="BN123" s="239"/>
      <c r="BO123" s="239"/>
      <c r="BP123" s="239"/>
      <c r="BQ123" s="265" t="e">
        <f t="shared" ref="BQ123:BQ133" si="147">IF(AND(AVERAGE(X123:AL123)&lt;=BG123,AVERAGE(X123:AL123)&gt;=BL123),"PASS","FAIL")</f>
        <v>#DIV/0!</v>
      </c>
      <c r="BR123" s="265"/>
      <c r="BS123" s="265"/>
      <c r="BT123" s="265"/>
      <c r="BU123" s="265"/>
      <c r="BX123" s="20" t="s">
        <v>86</v>
      </c>
      <c r="BY123" s="17">
        <v>7.1000000000000005E-5</v>
      </c>
      <c r="BZ123" s="19" t="str">
        <f t="shared" ref="BZ123:BZ133" si="148">P123</f>
        <v>Ω</v>
      </c>
      <c r="CA123" s="20">
        <v>2</v>
      </c>
      <c r="CB123" s="16">
        <f t="shared" ref="CB123:CB124" si="149">BY123/CA123</f>
        <v>3.5500000000000002E-5</v>
      </c>
      <c r="CC123" s="6"/>
      <c r="CD123" s="20" t="s">
        <v>170</v>
      </c>
      <c r="CE123" s="15">
        <v>0</v>
      </c>
      <c r="CF123" s="19" t="str">
        <f t="shared" ref="CF123:CF133" si="150">P123</f>
        <v>Ω</v>
      </c>
      <c r="CG123" s="18">
        <f t="shared" ref="CG123:CG124" si="151">SQRT(3)</f>
        <v>1.7320508075688772</v>
      </c>
      <c r="CH123" s="16">
        <f t="shared" ref="CH123:CH124" si="152">CE123/CG123</f>
        <v>0</v>
      </c>
      <c r="CI123" s="6"/>
      <c r="CJ123" s="20" t="s">
        <v>87</v>
      </c>
      <c r="CK123" s="20">
        <v>1E-3</v>
      </c>
      <c r="CL123" s="19" t="str">
        <f t="shared" ref="CL123:CL133" si="153">P123</f>
        <v>Ω</v>
      </c>
      <c r="CM123" s="18">
        <f t="shared" ref="CM123:CM133" si="154">SQRT(12)</f>
        <v>3.4641016151377544</v>
      </c>
      <c r="CN123" s="16">
        <f t="shared" ref="CN123:CN133" si="155">CK123/CM123</f>
        <v>2.886751345948129E-4</v>
      </c>
      <c r="CO123" s="6"/>
      <c r="CP123" s="20" t="s">
        <v>88</v>
      </c>
      <c r="CQ123" s="17" t="e">
        <f t="shared" ref="CQ123:CQ133" si="156">STDEV(X123:AL123)</f>
        <v>#DIV/0!</v>
      </c>
      <c r="CR123" s="19" t="str">
        <f t="shared" ref="CR123:CR133" si="157">P123</f>
        <v>Ω</v>
      </c>
      <c r="CS123" s="18">
        <f t="shared" ref="CS123:CS133" si="158">SQRT(3)</f>
        <v>1.7320508075688772</v>
      </c>
      <c r="CT123" s="17" t="e">
        <f t="shared" ref="CT123:CT133" si="159">CQ123/CS123</f>
        <v>#DIV/0!</v>
      </c>
      <c r="CU123" s="7"/>
      <c r="CV123" s="16" t="e">
        <f t="shared" ref="CV123:CV133" si="160">SQRT(SUMSQ(CT123,CN123,CH123,CB123))</f>
        <v>#DIV/0!</v>
      </c>
      <c r="CW123" s="14" t="e">
        <f t="shared" ref="CW123:CW133" si="161">(CV123^4)/(((CT123^4)/2)+((CN123^4)/200)+((CH123^4)/200)+((CB123^4)/200))</f>
        <v>#DIV/0!</v>
      </c>
      <c r="CX123" s="14" t="e">
        <f t="shared" ref="CX123:CX124" si="162">ROUND(TINV(0.05,CW123),0)</f>
        <v>#DIV/0!</v>
      </c>
      <c r="CY123" s="26" t="e">
        <f t="shared" ref="CY123:CY124" si="163">(CV123*CX123)</f>
        <v>#DIV/0!</v>
      </c>
      <c r="CZ123" s="12" t="str">
        <f t="shared" ref="CZ123:CZ133" si="164">P123</f>
        <v>Ω</v>
      </c>
      <c r="DA123" s="7"/>
      <c r="DB123" s="122">
        <v>1.7E-6</v>
      </c>
      <c r="DC123" s="123" t="str">
        <f t="shared" ref="DC123:DC124" si="165">CZ123</f>
        <v>Ω</v>
      </c>
      <c r="DD123" s="125" t="e">
        <f t="shared" ref="DD123:DD133" si="166">MAX(DB123,CY123)</f>
        <v>#DIV/0!</v>
      </c>
      <c r="DE123" s="123" t="str">
        <f t="shared" ref="DE123:DE133" si="167">DC123</f>
        <v>Ω</v>
      </c>
    </row>
    <row r="124" spans="1:109" ht="13.7" customHeight="1">
      <c r="B124" s="93"/>
      <c r="C124" s="82"/>
      <c r="D124" s="82"/>
      <c r="E124" s="82"/>
      <c r="F124" s="344"/>
      <c r="G124" s="345"/>
      <c r="H124" s="345"/>
      <c r="I124" s="345"/>
      <c r="J124" s="345"/>
      <c r="K124" s="346"/>
      <c r="L124" s="313">
        <v>50</v>
      </c>
      <c r="M124" s="314"/>
      <c r="N124" s="314"/>
      <c r="O124" s="314"/>
      <c r="P124" s="281" t="s">
        <v>104</v>
      </c>
      <c r="Q124" s="281"/>
      <c r="R124" s="282"/>
      <c r="S124" s="278" t="s">
        <v>30</v>
      </c>
      <c r="T124" s="278"/>
      <c r="U124" s="278"/>
      <c r="V124" s="278"/>
      <c r="W124" s="278"/>
      <c r="X124" s="283"/>
      <c r="Y124" s="283"/>
      <c r="Z124" s="283"/>
      <c r="AA124" s="283"/>
      <c r="AB124" s="283"/>
      <c r="AC124" s="283"/>
      <c r="AD124" s="283"/>
      <c r="AE124" s="283"/>
      <c r="AF124" s="283"/>
      <c r="AG124" s="283"/>
      <c r="AH124" s="283"/>
      <c r="AI124" s="283"/>
      <c r="AJ124" s="283"/>
      <c r="AK124" s="283"/>
      <c r="AL124" s="283"/>
      <c r="AM124" s="284" t="e">
        <f t="shared" ref="AM124:AM133" si="168">AVERAGE(X124:AL124)</f>
        <v>#DIV/0!</v>
      </c>
      <c r="AN124" s="284"/>
      <c r="AO124" s="284"/>
      <c r="AP124" s="284"/>
      <c r="AQ124" s="284"/>
      <c r="AR124" s="284" t="e">
        <f t="shared" si="146"/>
        <v>#DIV/0!</v>
      </c>
      <c r="AS124" s="284"/>
      <c r="AT124" s="284"/>
      <c r="AU124" s="284"/>
      <c r="AV124" s="284"/>
      <c r="AW124" s="82"/>
      <c r="AX124" s="82"/>
      <c r="AY124" s="82"/>
      <c r="AZ124" s="94"/>
      <c r="BB124" s="239" t="e">
        <f>ABS(0.05%*AM124)+(10*CK124)</f>
        <v>#DIV/0!</v>
      </c>
      <c r="BC124" s="239"/>
      <c r="BD124" s="239"/>
      <c r="BE124" s="239"/>
      <c r="BF124" s="239"/>
      <c r="BG124" s="239">
        <v>50.094999999999999</v>
      </c>
      <c r="BH124" s="239"/>
      <c r="BI124" s="239"/>
      <c r="BJ124" s="239"/>
      <c r="BK124" s="239"/>
      <c r="BL124" s="239">
        <v>49.905000000000001</v>
      </c>
      <c r="BM124" s="239"/>
      <c r="BN124" s="239"/>
      <c r="BO124" s="239"/>
      <c r="BP124" s="239"/>
      <c r="BQ124" s="265" t="e">
        <f t="shared" si="147"/>
        <v>#DIV/0!</v>
      </c>
      <c r="BR124" s="265"/>
      <c r="BS124" s="265"/>
      <c r="BT124" s="265"/>
      <c r="BU124" s="265"/>
      <c r="BX124" s="20" t="s">
        <v>86</v>
      </c>
      <c r="BY124" s="142">
        <v>5.1999999999999995E-4</v>
      </c>
      <c r="BZ124" s="19" t="str">
        <f t="shared" si="148"/>
        <v>Ω</v>
      </c>
      <c r="CA124" s="20">
        <v>2</v>
      </c>
      <c r="CB124" s="16">
        <f t="shared" si="149"/>
        <v>2.5999999999999998E-4</v>
      </c>
      <c r="CC124" s="6"/>
      <c r="CD124" s="20" t="s">
        <v>170</v>
      </c>
      <c r="CE124" s="15">
        <v>0</v>
      </c>
      <c r="CF124" s="19" t="str">
        <f t="shared" si="150"/>
        <v>Ω</v>
      </c>
      <c r="CG124" s="18">
        <f t="shared" si="151"/>
        <v>1.7320508075688772</v>
      </c>
      <c r="CH124" s="16">
        <f t="shared" si="152"/>
        <v>0</v>
      </c>
      <c r="CI124" s="6"/>
      <c r="CJ124" s="20" t="s">
        <v>87</v>
      </c>
      <c r="CK124" s="20">
        <v>1E-3</v>
      </c>
      <c r="CL124" s="19" t="str">
        <f t="shared" si="153"/>
        <v>Ω</v>
      </c>
      <c r="CM124" s="18">
        <f t="shared" si="154"/>
        <v>3.4641016151377544</v>
      </c>
      <c r="CN124" s="16">
        <f t="shared" si="155"/>
        <v>2.886751345948129E-4</v>
      </c>
      <c r="CO124" s="6"/>
      <c r="CP124" s="20" t="s">
        <v>88</v>
      </c>
      <c r="CQ124" s="17" t="e">
        <f t="shared" si="156"/>
        <v>#DIV/0!</v>
      </c>
      <c r="CR124" s="19" t="str">
        <f t="shared" si="157"/>
        <v>Ω</v>
      </c>
      <c r="CS124" s="18">
        <f t="shared" si="158"/>
        <v>1.7320508075688772</v>
      </c>
      <c r="CT124" s="17" t="e">
        <f t="shared" si="159"/>
        <v>#DIV/0!</v>
      </c>
      <c r="CU124" s="7"/>
      <c r="CV124" s="16" t="e">
        <f t="shared" si="160"/>
        <v>#DIV/0!</v>
      </c>
      <c r="CW124" s="14" t="e">
        <f t="shared" si="161"/>
        <v>#DIV/0!</v>
      </c>
      <c r="CX124" s="14" t="e">
        <f t="shared" si="162"/>
        <v>#DIV/0!</v>
      </c>
      <c r="CY124" s="26" t="e">
        <f t="shared" si="163"/>
        <v>#DIV/0!</v>
      </c>
      <c r="CZ124" s="12" t="str">
        <f t="shared" si="164"/>
        <v>Ω</v>
      </c>
      <c r="DA124" s="7"/>
      <c r="DB124" s="122">
        <v>1.2E-2</v>
      </c>
      <c r="DC124" s="123" t="str">
        <f t="shared" si="165"/>
        <v>Ω</v>
      </c>
      <c r="DD124" s="125" t="e">
        <f t="shared" si="166"/>
        <v>#DIV/0!</v>
      </c>
      <c r="DE124" s="123" t="str">
        <f t="shared" si="167"/>
        <v>Ω</v>
      </c>
    </row>
    <row r="125" spans="1:109" ht="13.7" customHeight="1">
      <c r="B125" s="93"/>
      <c r="C125" s="82"/>
      <c r="D125" s="82"/>
      <c r="E125" s="82"/>
      <c r="F125" s="341" t="s">
        <v>103</v>
      </c>
      <c r="G125" s="342"/>
      <c r="H125" s="342"/>
      <c r="I125" s="342"/>
      <c r="J125" s="342"/>
      <c r="K125" s="343"/>
      <c r="L125" s="313">
        <v>0</v>
      </c>
      <c r="M125" s="314"/>
      <c r="N125" s="314"/>
      <c r="O125" s="314"/>
      <c r="P125" s="281" t="s">
        <v>104</v>
      </c>
      <c r="Q125" s="281"/>
      <c r="R125" s="282"/>
      <c r="S125" s="278" t="s">
        <v>30</v>
      </c>
      <c r="T125" s="278"/>
      <c r="U125" s="278"/>
      <c r="V125" s="278"/>
      <c r="W125" s="278"/>
      <c r="X125" s="264"/>
      <c r="Y125" s="264"/>
      <c r="Z125" s="264"/>
      <c r="AA125" s="264"/>
      <c r="AB125" s="264"/>
      <c r="AC125" s="264"/>
      <c r="AD125" s="264"/>
      <c r="AE125" s="264"/>
      <c r="AF125" s="264"/>
      <c r="AG125" s="264"/>
      <c r="AH125" s="264"/>
      <c r="AI125" s="264"/>
      <c r="AJ125" s="264"/>
      <c r="AK125" s="264"/>
      <c r="AL125" s="264"/>
      <c r="AM125" s="259" t="e">
        <f t="shared" si="168"/>
        <v>#DIV/0!</v>
      </c>
      <c r="AN125" s="259"/>
      <c r="AO125" s="259"/>
      <c r="AP125" s="259"/>
      <c r="AQ125" s="259"/>
      <c r="AR125" s="259" t="e">
        <f t="shared" ref="AR125:AR133" si="169">AM125-L125</f>
        <v>#DIV/0!</v>
      </c>
      <c r="AS125" s="259"/>
      <c r="AT125" s="259"/>
      <c r="AU125" s="259"/>
      <c r="AV125" s="259"/>
      <c r="AW125" s="82"/>
      <c r="AX125" s="82"/>
      <c r="AY125" s="82"/>
      <c r="AZ125" s="94"/>
      <c r="BB125" s="239" t="e">
        <f>ABS(0.05%*AM125)+(2*CK125)</f>
        <v>#DIV/0!</v>
      </c>
      <c r="BC125" s="239"/>
      <c r="BD125" s="239"/>
      <c r="BE125" s="239"/>
      <c r="BF125" s="239"/>
      <c r="BG125" s="237">
        <v>0.1</v>
      </c>
      <c r="BH125" s="237"/>
      <c r="BI125" s="237"/>
      <c r="BJ125" s="237"/>
      <c r="BK125" s="237"/>
      <c r="BL125" s="237">
        <v>-0.1</v>
      </c>
      <c r="BM125" s="237"/>
      <c r="BN125" s="237"/>
      <c r="BO125" s="237"/>
      <c r="BP125" s="237"/>
      <c r="BQ125" s="265" t="e">
        <f t="shared" si="147"/>
        <v>#DIV/0!</v>
      </c>
      <c r="BR125" s="265"/>
      <c r="BS125" s="265"/>
      <c r="BT125" s="265"/>
      <c r="BU125" s="265"/>
      <c r="BX125" s="20" t="s">
        <v>86</v>
      </c>
      <c r="BY125" s="17">
        <v>7.7000000000000001E-5</v>
      </c>
      <c r="BZ125" s="19" t="str">
        <f t="shared" si="148"/>
        <v>Ω</v>
      </c>
      <c r="CA125" s="20">
        <v>2</v>
      </c>
      <c r="CB125" s="16">
        <f t="shared" ref="CB125:CB133" si="170">BY125/CA125</f>
        <v>3.8500000000000001E-5</v>
      </c>
      <c r="CC125" s="6"/>
      <c r="CD125" s="20" t="s">
        <v>170</v>
      </c>
      <c r="CE125" s="15">
        <v>0</v>
      </c>
      <c r="CF125" s="19" t="str">
        <f t="shared" si="150"/>
        <v>Ω</v>
      </c>
      <c r="CG125" s="18">
        <f t="shared" ref="CG125:CG133" si="171">SQRT(3)</f>
        <v>1.7320508075688772</v>
      </c>
      <c r="CH125" s="16">
        <f t="shared" ref="CH125:CH133" si="172">CE125/CG125</f>
        <v>0</v>
      </c>
      <c r="CI125" s="6"/>
      <c r="CJ125" s="20" t="s">
        <v>87</v>
      </c>
      <c r="CK125" s="20">
        <v>0.01</v>
      </c>
      <c r="CL125" s="19" t="str">
        <f t="shared" si="153"/>
        <v>Ω</v>
      </c>
      <c r="CM125" s="18">
        <f t="shared" si="154"/>
        <v>3.4641016151377544</v>
      </c>
      <c r="CN125" s="16">
        <f t="shared" si="155"/>
        <v>2.886751345948129E-3</v>
      </c>
      <c r="CO125" s="6"/>
      <c r="CP125" s="20" t="s">
        <v>88</v>
      </c>
      <c r="CQ125" s="17" t="e">
        <f t="shared" si="156"/>
        <v>#DIV/0!</v>
      </c>
      <c r="CR125" s="19" t="str">
        <f t="shared" si="157"/>
        <v>Ω</v>
      </c>
      <c r="CS125" s="18">
        <f t="shared" si="158"/>
        <v>1.7320508075688772</v>
      </c>
      <c r="CT125" s="17" t="e">
        <f t="shared" si="159"/>
        <v>#DIV/0!</v>
      </c>
      <c r="CU125" s="7"/>
      <c r="CV125" s="16" t="e">
        <f t="shared" si="160"/>
        <v>#DIV/0!</v>
      </c>
      <c r="CW125" s="14" t="e">
        <f t="shared" si="161"/>
        <v>#DIV/0!</v>
      </c>
      <c r="CX125" s="14" t="e">
        <f t="shared" ref="CX125:CX133" si="173">ROUND(TINV(0.05,CW125),0)</f>
        <v>#DIV/0!</v>
      </c>
      <c r="CY125" s="26" t="e">
        <f t="shared" ref="CY125:CY133" si="174">(CV125*CX125)</f>
        <v>#DIV/0!</v>
      </c>
      <c r="CZ125" s="12" t="str">
        <f t="shared" si="164"/>
        <v>Ω</v>
      </c>
      <c r="DA125" s="7"/>
      <c r="DB125" s="122">
        <v>1.7E-6</v>
      </c>
      <c r="DC125" s="123" t="str">
        <f t="shared" ref="DC125" si="175">CZ125</f>
        <v>Ω</v>
      </c>
      <c r="DD125" s="125" t="e">
        <f t="shared" si="166"/>
        <v>#DIV/0!</v>
      </c>
      <c r="DE125" s="123" t="str">
        <f t="shared" si="167"/>
        <v>Ω</v>
      </c>
    </row>
    <row r="126" spans="1:109" ht="13.7" customHeight="1">
      <c r="B126" s="93"/>
      <c r="C126" s="82"/>
      <c r="D126" s="82"/>
      <c r="E126" s="82"/>
      <c r="F126" s="368"/>
      <c r="G126" s="369"/>
      <c r="H126" s="369"/>
      <c r="I126" s="369"/>
      <c r="J126" s="369"/>
      <c r="K126" s="370"/>
      <c r="L126" s="313">
        <v>0.2</v>
      </c>
      <c r="M126" s="314"/>
      <c r="N126" s="314"/>
      <c r="O126" s="314"/>
      <c r="P126" s="281" t="s">
        <v>104</v>
      </c>
      <c r="Q126" s="281"/>
      <c r="R126" s="282"/>
      <c r="S126" s="278" t="s">
        <v>30</v>
      </c>
      <c r="T126" s="278"/>
      <c r="U126" s="278"/>
      <c r="V126" s="278"/>
      <c r="W126" s="278"/>
      <c r="X126" s="264"/>
      <c r="Y126" s="264"/>
      <c r="Z126" s="264"/>
      <c r="AA126" s="264"/>
      <c r="AB126" s="264"/>
      <c r="AC126" s="264"/>
      <c r="AD126" s="264"/>
      <c r="AE126" s="264"/>
      <c r="AF126" s="264"/>
      <c r="AG126" s="264"/>
      <c r="AH126" s="264"/>
      <c r="AI126" s="264"/>
      <c r="AJ126" s="264"/>
      <c r="AK126" s="264"/>
      <c r="AL126" s="264"/>
      <c r="AM126" s="259" t="e">
        <f t="shared" si="168"/>
        <v>#DIV/0!</v>
      </c>
      <c r="AN126" s="259"/>
      <c r="AO126" s="259"/>
      <c r="AP126" s="259"/>
      <c r="AQ126" s="259"/>
      <c r="AR126" s="259" t="e">
        <f>AM126-L126</f>
        <v>#DIV/0!</v>
      </c>
      <c r="AS126" s="259"/>
      <c r="AT126" s="259"/>
      <c r="AU126" s="259"/>
      <c r="AV126" s="259"/>
      <c r="AW126" s="82"/>
      <c r="AX126" s="82"/>
      <c r="AY126" s="82"/>
      <c r="AZ126" s="94"/>
      <c r="BB126" s="237" t="e">
        <f t="shared" ref="BB126:BB130" si="176">ABS(0.05%*AM126)+(2*CK126)</f>
        <v>#DIV/0!</v>
      </c>
      <c r="BC126" s="237"/>
      <c r="BD126" s="237"/>
      <c r="BE126" s="237"/>
      <c r="BF126" s="237"/>
      <c r="BG126" s="237">
        <v>0.3</v>
      </c>
      <c r="BH126" s="237"/>
      <c r="BI126" s="237"/>
      <c r="BJ126" s="237"/>
      <c r="BK126" s="237"/>
      <c r="BL126" s="237">
        <v>0.1</v>
      </c>
      <c r="BM126" s="237"/>
      <c r="BN126" s="237"/>
      <c r="BO126" s="237"/>
      <c r="BP126" s="237"/>
      <c r="BQ126" s="265" t="e">
        <f t="shared" si="147"/>
        <v>#DIV/0!</v>
      </c>
      <c r="BR126" s="265"/>
      <c r="BS126" s="265"/>
      <c r="BT126" s="265"/>
      <c r="BU126" s="265"/>
      <c r="BX126" s="20" t="s">
        <v>86</v>
      </c>
      <c r="BY126" s="17">
        <v>7.1000000000000005E-5</v>
      </c>
      <c r="BZ126" s="19" t="str">
        <f t="shared" si="148"/>
        <v>Ω</v>
      </c>
      <c r="CA126" s="20">
        <v>2</v>
      </c>
      <c r="CB126" s="16">
        <f>BY126/CA126</f>
        <v>3.5500000000000002E-5</v>
      </c>
      <c r="CC126" s="6"/>
      <c r="CD126" s="20" t="s">
        <v>170</v>
      </c>
      <c r="CE126" s="15">
        <v>0</v>
      </c>
      <c r="CF126" s="19" t="str">
        <f t="shared" si="150"/>
        <v>Ω</v>
      </c>
      <c r="CG126" s="18">
        <f t="shared" ref="CG126:CG127" si="177">SQRT(3)</f>
        <v>1.7320508075688772</v>
      </c>
      <c r="CH126" s="16">
        <f>CE126/CG126</f>
        <v>0</v>
      </c>
      <c r="CI126" s="6"/>
      <c r="CJ126" s="20" t="s">
        <v>87</v>
      </c>
      <c r="CK126" s="20">
        <v>0.01</v>
      </c>
      <c r="CL126" s="19" t="str">
        <f t="shared" si="153"/>
        <v>Ω</v>
      </c>
      <c r="CM126" s="18">
        <f t="shared" si="154"/>
        <v>3.4641016151377544</v>
      </c>
      <c r="CN126" s="16">
        <f t="shared" si="155"/>
        <v>2.886751345948129E-3</v>
      </c>
      <c r="CO126" s="6"/>
      <c r="CP126" s="20" t="s">
        <v>88</v>
      </c>
      <c r="CQ126" s="17" t="e">
        <f t="shared" si="156"/>
        <v>#DIV/0!</v>
      </c>
      <c r="CR126" s="19" t="str">
        <f t="shared" si="157"/>
        <v>Ω</v>
      </c>
      <c r="CS126" s="18">
        <f t="shared" si="158"/>
        <v>1.7320508075688772</v>
      </c>
      <c r="CT126" s="17" t="e">
        <f t="shared" si="159"/>
        <v>#DIV/0!</v>
      </c>
      <c r="CU126" s="7"/>
      <c r="CV126" s="16" t="e">
        <f t="shared" si="160"/>
        <v>#DIV/0!</v>
      </c>
      <c r="CW126" s="14" t="e">
        <f t="shared" si="161"/>
        <v>#DIV/0!</v>
      </c>
      <c r="CX126" s="14" t="e">
        <f>ROUND(TINV(0.05,CW126),0)</f>
        <v>#DIV/0!</v>
      </c>
      <c r="CY126" s="26" t="e">
        <f>(CV126*CX126)</f>
        <v>#DIV/0!</v>
      </c>
      <c r="CZ126" s="12" t="str">
        <f t="shared" si="164"/>
        <v>Ω</v>
      </c>
      <c r="DA126" s="7"/>
      <c r="DB126" s="122">
        <v>1.7E-6</v>
      </c>
      <c r="DC126" s="123" t="str">
        <f>CZ126</f>
        <v>Ω</v>
      </c>
      <c r="DD126" s="125" t="e">
        <f t="shared" si="166"/>
        <v>#DIV/0!</v>
      </c>
      <c r="DE126" s="123" t="str">
        <f t="shared" si="167"/>
        <v>Ω</v>
      </c>
    </row>
    <row r="127" spans="1:109" ht="13.7" customHeight="1">
      <c r="B127" s="93"/>
      <c r="C127" s="82"/>
      <c r="D127" s="82"/>
      <c r="E127" s="82"/>
      <c r="F127" s="344"/>
      <c r="G127" s="345"/>
      <c r="H127" s="345"/>
      <c r="I127" s="345"/>
      <c r="J127" s="345"/>
      <c r="K127" s="346"/>
      <c r="L127" s="313">
        <v>500</v>
      </c>
      <c r="M127" s="314"/>
      <c r="N127" s="314"/>
      <c r="O127" s="314"/>
      <c r="P127" s="281" t="s">
        <v>104</v>
      </c>
      <c r="Q127" s="281"/>
      <c r="R127" s="282"/>
      <c r="S127" s="278" t="s">
        <v>30</v>
      </c>
      <c r="T127" s="278"/>
      <c r="U127" s="278"/>
      <c r="V127" s="278"/>
      <c r="W127" s="278"/>
      <c r="X127" s="264"/>
      <c r="Y127" s="264"/>
      <c r="Z127" s="264"/>
      <c r="AA127" s="264"/>
      <c r="AB127" s="264"/>
      <c r="AC127" s="264"/>
      <c r="AD127" s="264"/>
      <c r="AE127" s="264"/>
      <c r="AF127" s="264"/>
      <c r="AG127" s="264"/>
      <c r="AH127" s="264"/>
      <c r="AI127" s="264"/>
      <c r="AJ127" s="264"/>
      <c r="AK127" s="264"/>
      <c r="AL127" s="264"/>
      <c r="AM127" s="259" t="e">
        <f t="shared" si="168"/>
        <v>#DIV/0!</v>
      </c>
      <c r="AN127" s="259"/>
      <c r="AO127" s="259"/>
      <c r="AP127" s="259"/>
      <c r="AQ127" s="259"/>
      <c r="AR127" s="259" t="e">
        <f>AM127-L127</f>
        <v>#DIV/0!</v>
      </c>
      <c r="AS127" s="259"/>
      <c r="AT127" s="259"/>
      <c r="AU127" s="259"/>
      <c r="AV127" s="259"/>
      <c r="AW127" s="82"/>
      <c r="AX127" s="82"/>
      <c r="AY127" s="82"/>
      <c r="AZ127" s="94"/>
      <c r="BB127" s="237" t="e">
        <f t="shared" si="176"/>
        <v>#DIV/0!</v>
      </c>
      <c r="BC127" s="237"/>
      <c r="BD127" s="237"/>
      <c r="BE127" s="237"/>
      <c r="BF127" s="237"/>
      <c r="BG127" s="237">
        <v>500.35</v>
      </c>
      <c r="BH127" s="237"/>
      <c r="BI127" s="237"/>
      <c r="BJ127" s="237"/>
      <c r="BK127" s="237"/>
      <c r="BL127" s="237">
        <v>499.65</v>
      </c>
      <c r="BM127" s="237"/>
      <c r="BN127" s="237"/>
      <c r="BO127" s="237"/>
      <c r="BP127" s="237"/>
      <c r="BQ127" s="265" t="e">
        <f t="shared" si="147"/>
        <v>#DIV/0!</v>
      </c>
      <c r="BR127" s="265"/>
      <c r="BS127" s="265"/>
      <c r="BT127" s="265"/>
      <c r="BU127" s="265"/>
      <c r="BX127" s="20" t="s">
        <v>86</v>
      </c>
      <c r="BY127" s="18">
        <v>3.0000000000000001E-3</v>
      </c>
      <c r="BZ127" s="19" t="str">
        <f t="shared" si="148"/>
        <v>Ω</v>
      </c>
      <c r="CA127" s="20">
        <v>2</v>
      </c>
      <c r="CB127" s="16">
        <f>BY127/CA127</f>
        <v>1.5E-3</v>
      </c>
      <c r="CC127" s="6"/>
      <c r="CD127" s="20" t="s">
        <v>170</v>
      </c>
      <c r="CE127" s="15">
        <v>0</v>
      </c>
      <c r="CF127" s="19" t="str">
        <f t="shared" si="150"/>
        <v>Ω</v>
      </c>
      <c r="CG127" s="18">
        <f t="shared" si="177"/>
        <v>1.7320508075688772</v>
      </c>
      <c r="CH127" s="16">
        <f>CE127/CG127</f>
        <v>0</v>
      </c>
      <c r="CI127" s="6"/>
      <c r="CJ127" s="20" t="s">
        <v>87</v>
      </c>
      <c r="CK127" s="20">
        <v>0.01</v>
      </c>
      <c r="CL127" s="19" t="str">
        <f t="shared" si="153"/>
        <v>Ω</v>
      </c>
      <c r="CM127" s="18">
        <f t="shared" si="154"/>
        <v>3.4641016151377544</v>
      </c>
      <c r="CN127" s="16">
        <f t="shared" si="155"/>
        <v>2.886751345948129E-3</v>
      </c>
      <c r="CO127" s="6"/>
      <c r="CP127" s="20" t="s">
        <v>88</v>
      </c>
      <c r="CQ127" s="17" t="e">
        <f t="shared" si="156"/>
        <v>#DIV/0!</v>
      </c>
      <c r="CR127" s="19" t="str">
        <f t="shared" si="157"/>
        <v>Ω</v>
      </c>
      <c r="CS127" s="18">
        <f t="shared" si="158"/>
        <v>1.7320508075688772</v>
      </c>
      <c r="CT127" s="17" t="e">
        <f t="shared" si="159"/>
        <v>#DIV/0!</v>
      </c>
      <c r="CU127" s="7"/>
      <c r="CV127" s="16" t="e">
        <f t="shared" si="160"/>
        <v>#DIV/0!</v>
      </c>
      <c r="CW127" s="14" t="e">
        <f t="shared" si="161"/>
        <v>#DIV/0!</v>
      </c>
      <c r="CX127" s="14" t="e">
        <f>ROUND(TINV(0.05,CW127),0)</f>
        <v>#DIV/0!</v>
      </c>
      <c r="CY127" s="26" t="e">
        <f>(CV127*CX127)</f>
        <v>#DIV/0!</v>
      </c>
      <c r="CZ127" s="12" t="str">
        <f t="shared" si="164"/>
        <v>Ω</v>
      </c>
      <c r="DA127" s="7"/>
      <c r="DB127" s="122">
        <v>2.3E-2</v>
      </c>
      <c r="DC127" s="123" t="str">
        <f>CZ127</f>
        <v>Ω</v>
      </c>
      <c r="DD127" s="125" t="e">
        <f t="shared" si="166"/>
        <v>#DIV/0!</v>
      </c>
      <c r="DE127" s="123" t="str">
        <f t="shared" si="167"/>
        <v>Ω</v>
      </c>
    </row>
    <row r="128" spans="1:109" ht="13.7" customHeight="1">
      <c r="B128" s="93"/>
      <c r="C128" s="82"/>
      <c r="D128" s="82"/>
      <c r="E128" s="82"/>
      <c r="F128" s="330" t="s">
        <v>105</v>
      </c>
      <c r="G128" s="330"/>
      <c r="H128" s="330"/>
      <c r="I128" s="330"/>
      <c r="J128" s="330"/>
      <c r="K128" s="330"/>
      <c r="L128" s="313">
        <v>5</v>
      </c>
      <c r="M128" s="314"/>
      <c r="N128" s="314"/>
      <c r="O128" s="314"/>
      <c r="P128" s="281" t="s">
        <v>106</v>
      </c>
      <c r="Q128" s="281"/>
      <c r="R128" s="282"/>
      <c r="S128" s="278" t="s">
        <v>30</v>
      </c>
      <c r="T128" s="278"/>
      <c r="U128" s="278"/>
      <c r="V128" s="278"/>
      <c r="W128" s="278"/>
      <c r="X128" s="263"/>
      <c r="Y128" s="263"/>
      <c r="Z128" s="263"/>
      <c r="AA128" s="263"/>
      <c r="AB128" s="263"/>
      <c r="AC128" s="263"/>
      <c r="AD128" s="263"/>
      <c r="AE128" s="263"/>
      <c r="AF128" s="263"/>
      <c r="AG128" s="263"/>
      <c r="AH128" s="263"/>
      <c r="AI128" s="263"/>
      <c r="AJ128" s="263"/>
      <c r="AK128" s="263"/>
      <c r="AL128" s="263"/>
      <c r="AM128" s="284" t="e">
        <f t="shared" si="168"/>
        <v>#DIV/0!</v>
      </c>
      <c r="AN128" s="284"/>
      <c r="AO128" s="284"/>
      <c r="AP128" s="284"/>
      <c r="AQ128" s="284"/>
      <c r="AR128" s="287" t="e">
        <f t="shared" si="169"/>
        <v>#DIV/0!</v>
      </c>
      <c r="AS128" s="287"/>
      <c r="AT128" s="287"/>
      <c r="AU128" s="287"/>
      <c r="AV128" s="287"/>
      <c r="AW128" s="82"/>
      <c r="AX128" s="82"/>
      <c r="AY128" s="82"/>
      <c r="AZ128" s="94"/>
      <c r="BB128" s="242" t="e">
        <f t="shared" si="176"/>
        <v>#DIV/0!</v>
      </c>
      <c r="BC128" s="242"/>
      <c r="BD128" s="242"/>
      <c r="BE128" s="242"/>
      <c r="BF128" s="242"/>
      <c r="BG128" s="242">
        <v>5.0026999999999999</v>
      </c>
      <c r="BH128" s="242"/>
      <c r="BI128" s="242"/>
      <c r="BJ128" s="242"/>
      <c r="BK128" s="242"/>
      <c r="BL128" s="242">
        <v>4.9973000000000001</v>
      </c>
      <c r="BM128" s="242"/>
      <c r="BN128" s="242"/>
      <c r="BO128" s="242"/>
      <c r="BP128" s="242"/>
      <c r="BQ128" s="265" t="e">
        <f t="shared" si="147"/>
        <v>#DIV/0!</v>
      </c>
      <c r="BR128" s="265"/>
      <c r="BS128" s="265"/>
      <c r="BT128" s="265"/>
      <c r="BU128" s="265"/>
      <c r="BX128" s="20" t="s">
        <v>86</v>
      </c>
      <c r="BY128" s="15">
        <v>5.5000000000000002E-5</v>
      </c>
      <c r="BZ128" s="19" t="str">
        <f t="shared" si="148"/>
        <v>kΩ</v>
      </c>
      <c r="CA128" s="20">
        <v>2</v>
      </c>
      <c r="CB128" s="16">
        <f t="shared" si="170"/>
        <v>2.7500000000000001E-5</v>
      </c>
      <c r="CC128" s="6"/>
      <c r="CD128" s="20" t="s">
        <v>170</v>
      </c>
      <c r="CE128" s="15">
        <v>0</v>
      </c>
      <c r="CF128" s="19" t="str">
        <f t="shared" si="150"/>
        <v>kΩ</v>
      </c>
      <c r="CG128" s="18">
        <f t="shared" si="171"/>
        <v>1.7320508075688772</v>
      </c>
      <c r="CH128" s="16">
        <f t="shared" si="172"/>
        <v>0</v>
      </c>
      <c r="CI128" s="6"/>
      <c r="CJ128" s="20" t="s">
        <v>87</v>
      </c>
      <c r="CK128" s="20">
        <v>1E-4</v>
      </c>
      <c r="CL128" s="19" t="str">
        <f t="shared" si="153"/>
        <v>kΩ</v>
      </c>
      <c r="CM128" s="18">
        <f t="shared" si="154"/>
        <v>3.4641016151377544</v>
      </c>
      <c r="CN128" s="16">
        <f t="shared" si="155"/>
        <v>2.8867513459481293E-5</v>
      </c>
      <c r="CO128" s="6"/>
      <c r="CP128" s="20" t="s">
        <v>88</v>
      </c>
      <c r="CQ128" s="17" t="e">
        <f t="shared" si="156"/>
        <v>#DIV/0!</v>
      </c>
      <c r="CR128" s="19" t="str">
        <f t="shared" si="157"/>
        <v>kΩ</v>
      </c>
      <c r="CS128" s="18">
        <f t="shared" si="158"/>
        <v>1.7320508075688772</v>
      </c>
      <c r="CT128" s="17" t="e">
        <f t="shared" si="159"/>
        <v>#DIV/0!</v>
      </c>
      <c r="CU128" s="7"/>
      <c r="CV128" s="16" t="e">
        <f t="shared" si="160"/>
        <v>#DIV/0!</v>
      </c>
      <c r="CW128" s="14" t="e">
        <f t="shared" si="161"/>
        <v>#DIV/0!</v>
      </c>
      <c r="CX128" s="14" t="e">
        <f t="shared" si="173"/>
        <v>#DIV/0!</v>
      </c>
      <c r="CY128" s="26" t="e">
        <f t="shared" si="174"/>
        <v>#DIV/0!</v>
      </c>
      <c r="CZ128" s="12" t="str">
        <f t="shared" si="164"/>
        <v>kΩ</v>
      </c>
      <c r="DA128" s="7"/>
      <c r="DB128" s="122">
        <v>2.3000000000000001E-4</v>
      </c>
      <c r="DC128" s="123" t="str">
        <f t="shared" ref="DC128:DC133" si="178">CZ128</f>
        <v>kΩ</v>
      </c>
      <c r="DD128" s="125" t="e">
        <f t="shared" si="166"/>
        <v>#DIV/0!</v>
      </c>
      <c r="DE128" s="123" t="str">
        <f t="shared" si="167"/>
        <v>kΩ</v>
      </c>
    </row>
    <row r="129" spans="1:109" ht="13.7" customHeight="1">
      <c r="B129" s="93"/>
      <c r="C129" s="82"/>
      <c r="D129" s="82"/>
      <c r="E129" s="82"/>
      <c r="F129" s="330" t="s">
        <v>107</v>
      </c>
      <c r="G129" s="330"/>
      <c r="H129" s="330"/>
      <c r="I129" s="330"/>
      <c r="J129" s="330"/>
      <c r="K129" s="330"/>
      <c r="L129" s="313">
        <v>50</v>
      </c>
      <c r="M129" s="314"/>
      <c r="N129" s="314"/>
      <c r="O129" s="314"/>
      <c r="P129" s="281" t="s">
        <v>106</v>
      </c>
      <c r="Q129" s="281"/>
      <c r="R129" s="282"/>
      <c r="S129" s="278" t="s">
        <v>30</v>
      </c>
      <c r="T129" s="278"/>
      <c r="U129" s="278"/>
      <c r="V129" s="278"/>
      <c r="W129" s="278"/>
      <c r="X129" s="283"/>
      <c r="Y129" s="283"/>
      <c r="Z129" s="283"/>
      <c r="AA129" s="283"/>
      <c r="AB129" s="283"/>
      <c r="AC129" s="283"/>
      <c r="AD129" s="283"/>
      <c r="AE129" s="283"/>
      <c r="AF129" s="283"/>
      <c r="AG129" s="283"/>
      <c r="AH129" s="283"/>
      <c r="AI129" s="283"/>
      <c r="AJ129" s="283"/>
      <c r="AK129" s="283"/>
      <c r="AL129" s="283"/>
      <c r="AM129" s="284" t="e">
        <f t="shared" si="168"/>
        <v>#DIV/0!</v>
      </c>
      <c r="AN129" s="284"/>
      <c r="AO129" s="284"/>
      <c r="AP129" s="284"/>
      <c r="AQ129" s="284"/>
      <c r="AR129" s="284" t="e">
        <f t="shared" si="169"/>
        <v>#DIV/0!</v>
      </c>
      <c r="AS129" s="284"/>
      <c r="AT129" s="284"/>
      <c r="AU129" s="284"/>
      <c r="AV129" s="284"/>
      <c r="AW129" s="82"/>
      <c r="AX129" s="82"/>
      <c r="AY129" s="82"/>
      <c r="AZ129" s="94"/>
      <c r="BB129" s="239" t="e">
        <f t="shared" si="176"/>
        <v>#DIV/0!</v>
      </c>
      <c r="BC129" s="239"/>
      <c r="BD129" s="239"/>
      <c r="BE129" s="239"/>
      <c r="BF129" s="239"/>
      <c r="BG129" s="239">
        <v>50.027000000000001</v>
      </c>
      <c r="BH129" s="239"/>
      <c r="BI129" s="239"/>
      <c r="BJ129" s="239"/>
      <c r="BK129" s="239"/>
      <c r="BL129" s="239">
        <v>49.972999999999999</v>
      </c>
      <c r="BM129" s="239"/>
      <c r="BN129" s="239"/>
      <c r="BO129" s="239"/>
      <c r="BP129" s="239"/>
      <c r="BQ129" s="265" t="e">
        <f t="shared" si="147"/>
        <v>#DIV/0!</v>
      </c>
      <c r="BR129" s="265"/>
      <c r="BS129" s="265"/>
      <c r="BT129" s="265"/>
      <c r="BU129" s="265"/>
      <c r="BX129" s="20" t="s">
        <v>86</v>
      </c>
      <c r="BY129" s="17">
        <v>8.1000000000000004E-5</v>
      </c>
      <c r="BZ129" s="19" t="str">
        <f t="shared" si="148"/>
        <v>kΩ</v>
      </c>
      <c r="CA129" s="20">
        <v>2</v>
      </c>
      <c r="CB129" s="16">
        <f t="shared" si="170"/>
        <v>4.0500000000000002E-5</v>
      </c>
      <c r="CC129" s="6"/>
      <c r="CD129" s="20" t="s">
        <v>170</v>
      </c>
      <c r="CE129" s="15">
        <v>0</v>
      </c>
      <c r="CF129" s="19" t="str">
        <f t="shared" si="150"/>
        <v>kΩ</v>
      </c>
      <c r="CG129" s="18">
        <f t="shared" si="171"/>
        <v>1.7320508075688772</v>
      </c>
      <c r="CH129" s="16">
        <f t="shared" si="172"/>
        <v>0</v>
      </c>
      <c r="CI129" s="6"/>
      <c r="CJ129" s="20" t="s">
        <v>87</v>
      </c>
      <c r="CK129" s="20">
        <v>1E-3</v>
      </c>
      <c r="CL129" s="19" t="str">
        <f t="shared" si="153"/>
        <v>kΩ</v>
      </c>
      <c r="CM129" s="18">
        <f t="shared" si="154"/>
        <v>3.4641016151377544</v>
      </c>
      <c r="CN129" s="16">
        <f t="shared" si="155"/>
        <v>2.886751345948129E-4</v>
      </c>
      <c r="CO129" s="6"/>
      <c r="CP129" s="20" t="s">
        <v>88</v>
      </c>
      <c r="CQ129" s="17" t="e">
        <f t="shared" si="156"/>
        <v>#DIV/0!</v>
      </c>
      <c r="CR129" s="19" t="str">
        <f t="shared" si="157"/>
        <v>kΩ</v>
      </c>
      <c r="CS129" s="18">
        <f t="shared" si="158"/>
        <v>1.7320508075688772</v>
      </c>
      <c r="CT129" s="17" t="e">
        <f t="shared" si="159"/>
        <v>#DIV/0!</v>
      </c>
      <c r="CU129" s="7"/>
      <c r="CV129" s="16" t="e">
        <f t="shared" si="160"/>
        <v>#DIV/0!</v>
      </c>
      <c r="CW129" s="14" t="e">
        <f t="shared" si="161"/>
        <v>#DIV/0!</v>
      </c>
      <c r="CX129" s="14" t="e">
        <f t="shared" si="173"/>
        <v>#DIV/0!</v>
      </c>
      <c r="CY129" s="26" t="e">
        <f t="shared" si="174"/>
        <v>#DIV/0!</v>
      </c>
      <c r="CZ129" s="12" t="str">
        <f t="shared" si="164"/>
        <v>kΩ</v>
      </c>
      <c r="DA129" s="7"/>
      <c r="DB129" s="122">
        <v>1.5E-3</v>
      </c>
      <c r="DC129" s="123" t="str">
        <f t="shared" si="178"/>
        <v>kΩ</v>
      </c>
      <c r="DD129" s="125" t="e">
        <f t="shared" si="166"/>
        <v>#DIV/0!</v>
      </c>
      <c r="DE129" s="123" t="str">
        <f t="shared" si="167"/>
        <v>kΩ</v>
      </c>
    </row>
    <row r="130" spans="1:109" ht="13.7" customHeight="1">
      <c r="B130" s="93"/>
      <c r="C130" s="82"/>
      <c r="D130" s="82"/>
      <c r="E130" s="82"/>
      <c r="F130" s="330" t="s">
        <v>108</v>
      </c>
      <c r="G130" s="330"/>
      <c r="H130" s="330"/>
      <c r="I130" s="330"/>
      <c r="J130" s="330"/>
      <c r="K130" s="330"/>
      <c r="L130" s="313">
        <v>500</v>
      </c>
      <c r="M130" s="314"/>
      <c r="N130" s="314"/>
      <c r="O130" s="314"/>
      <c r="P130" s="281" t="s">
        <v>106</v>
      </c>
      <c r="Q130" s="281"/>
      <c r="R130" s="282"/>
      <c r="S130" s="278" t="s">
        <v>30</v>
      </c>
      <c r="T130" s="278"/>
      <c r="U130" s="278"/>
      <c r="V130" s="278"/>
      <c r="W130" s="278"/>
      <c r="X130" s="264"/>
      <c r="Y130" s="264"/>
      <c r="Z130" s="264"/>
      <c r="AA130" s="264"/>
      <c r="AB130" s="264"/>
      <c r="AC130" s="264"/>
      <c r="AD130" s="264"/>
      <c r="AE130" s="264"/>
      <c r="AF130" s="264"/>
      <c r="AG130" s="264"/>
      <c r="AH130" s="264"/>
      <c r="AI130" s="264"/>
      <c r="AJ130" s="264"/>
      <c r="AK130" s="264"/>
      <c r="AL130" s="264"/>
      <c r="AM130" s="259" t="e">
        <f t="shared" si="168"/>
        <v>#DIV/0!</v>
      </c>
      <c r="AN130" s="259"/>
      <c r="AO130" s="259"/>
      <c r="AP130" s="259"/>
      <c r="AQ130" s="259"/>
      <c r="AR130" s="259" t="e">
        <f t="shared" si="169"/>
        <v>#DIV/0!</v>
      </c>
      <c r="AS130" s="259"/>
      <c r="AT130" s="259"/>
      <c r="AU130" s="259"/>
      <c r="AV130" s="259"/>
      <c r="AW130" s="82"/>
      <c r="AX130" s="82"/>
      <c r="AY130" s="82"/>
      <c r="AZ130" s="94"/>
      <c r="BB130" s="237" t="e">
        <f t="shared" si="176"/>
        <v>#DIV/0!</v>
      </c>
      <c r="BC130" s="237"/>
      <c r="BD130" s="237"/>
      <c r="BE130" s="237"/>
      <c r="BF130" s="237"/>
      <c r="BG130" s="237">
        <v>500.27</v>
      </c>
      <c r="BH130" s="237"/>
      <c r="BI130" s="237"/>
      <c r="BJ130" s="237"/>
      <c r="BK130" s="237"/>
      <c r="BL130" s="237">
        <v>499.73</v>
      </c>
      <c r="BM130" s="237"/>
      <c r="BN130" s="237"/>
      <c r="BO130" s="237"/>
      <c r="BP130" s="237"/>
      <c r="BQ130" s="265" t="e">
        <f t="shared" si="147"/>
        <v>#DIV/0!</v>
      </c>
      <c r="BR130" s="265"/>
      <c r="BS130" s="265"/>
      <c r="BT130" s="265"/>
      <c r="BU130" s="265"/>
      <c r="BX130" s="20" t="s">
        <v>86</v>
      </c>
      <c r="BY130" s="142">
        <v>6.6E-3</v>
      </c>
      <c r="BZ130" s="19" t="str">
        <f t="shared" si="148"/>
        <v>kΩ</v>
      </c>
      <c r="CA130" s="20">
        <v>2</v>
      </c>
      <c r="CB130" s="16">
        <f t="shared" si="170"/>
        <v>3.3E-3</v>
      </c>
      <c r="CC130" s="6"/>
      <c r="CD130" s="20" t="s">
        <v>170</v>
      </c>
      <c r="CE130" s="15">
        <v>0</v>
      </c>
      <c r="CF130" s="19" t="str">
        <f t="shared" si="150"/>
        <v>kΩ</v>
      </c>
      <c r="CG130" s="18">
        <f t="shared" si="171"/>
        <v>1.7320508075688772</v>
      </c>
      <c r="CH130" s="16">
        <f t="shared" si="172"/>
        <v>0</v>
      </c>
      <c r="CI130" s="6"/>
      <c r="CJ130" s="20" t="s">
        <v>87</v>
      </c>
      <c r="CK130" s="20">
        <v>0.01</v>
      </c>
      <c r="CL130" s="19" t="str">
        <f t="shared" si="153"/>
        <v>kΩ</v>
      </c>
      <c r="CM130" s="18">
        <f t="shared" si="154"/>
        <v>3.4641016151377544</v>
      </c>
      <c r="CN130" s="16">
        <f t="shared" si="155"/>
        <v>2.886751345948129E-3</v>
      </c>
      <c r="CO130" s="6"/>
      <c r="CP130" s="20" t="s">
        <v>88</v>
      </c>
      <c r="CQ130" s="17" t="e">
        <f t="shared" si="156"/>
        <v>#DIV/0!</v>
      </c>
      <c r="CR130" s="19" t="str">
        <f t="shared" si="157"/>
        <v>kΩ</v>
      </c>
      <c r="CS130" s="18">
        <f t="shared" si="158"/>
        <v>1.7320508075688772</v>
      </c>
      <c r="CT130" s="17" t="e">
        <f t="shared" si="159"/>
        <v>#DIV/0!</v>
      </c>
      <c r="CU130" s="7"/>
      <c r="CV130" s="16" t="e">
        <f t="shared" si="160"/>
        <v>#DIV/0!</v>
      </c>
      <c r="CW130" s="14" t="e">
        <f t="shared" si="161"/>
        <v>#DIV/0!</v>
      </c>
      <c r="CX130" s="14" t="e">
        <f t="shared" si="173"/>
        <v>#DIV/0!</v>
      </c>
      <c r="CY130" s="26" t="e">
        <f t="shared" si="174"/>
        <v>#DIV/0!</v>
      </c>
      <c r="CZ130" s="12" t="str">
        <f t="shared" si="164"/>
        <v>kΩ</v>
      </c>
      <c r="DA130" s="7"/>
      <c r="DB130" s="122">
        <v>1.6E-2</v>
      </c>
      <c r="DC130" s="123" t="str">
        <f t="shared" si="178"/>
        <v>kΩ</v>
      </c>
      <c r="DD130" s="125" t="e">
        <f t="shared" si="166"/>
        <v>#DIV/0!</v>
      </c>
      <c r="DE130" s="123" t="str">
        <f t="shared" si="167"/>
        <v>kΩ</v>
      </c>
    </row>
    <row r="131" spans="1:109" ht="13.7" customHeight="1">
      <c r="B131" s="93"/>
      <c r="C131" s="82"/>
      <c r="D131" s="82"/>
      <c r="E131" s="82"/>
      <c r="F131" s="330" t="s">
        <v>109</v>
      </c>
      <c r="G131" s="330"/>
      <c r="H131" s="330"/>
      <c r="I131" s="330"/>
      <c r="J131" s="330"/>
      <c r="K131" s="330"/>
      <c r="L131" s="313">
        <v>5</v>
      </c>
      <c r="M131" s="314"/>
      <c r="N131" s="314"/>
      <c r="O131" s="314"/>
      <c r="P131" s="281" t="s">
        <v>110</v>
      </c>
      <c r="Q131" s="281"/>
      <c r="R131" s="282"/>
      <c r="S131" s="278" t="s">
        <v>30</v>
      </c>
      <c r="T131" s="278"/>
      <c r="U131" s="278"/>
      <c r="V131" s="278"/>
      <c r="W131" s="278"/>
      <c r="X131" s="263"/>
      <c r="Y131" s="263"/>
      <c r="Z131" s="263"/>
      <c r="AA131" s="263"/>
      <c r="AB131" s="263"/>
      <c r="AC131" s="263"/>
      <c r="AD131" s="263"/>
      <c r="AE131" s="263"/>
      <c r="AF131" s="263"/>
      <c r="AG131" s="263"/>
      <c r="AH131" s="263"/>
      <c r="AI131" s="263"/>
      <c r="AJ131" s="263"/>
      <c r="AK131" s="263"/>
      <c r="AL131" s="263"/>
      <c r="AM131" s="287" t="e">
        <f t="shared" si="168"/>
        <v>#DIV/0!</v>
      </c>
      <c r="AN131" s="287"/>
      <c r="AO131" s="287"/>
      <c r="AP131" s="287"/>
      <c r="AQ131" s="287"/>
      <c r="AR131" s="287" t="e">
        <f t="shared" si="169"/>
        <v>#DIV/0!</v>
      </c>
      <c r="AS131" s="287"/>
      <c r="AT131" s="287"/>
      <c r="AU131" s="287"/>
      <c r="AV131" s="287"/>
      <c r="AW131" s="82"/>
      <c r="AX131" s="82"/>
      <c r="AY131" s="82"/>
      <c r="AZ131" s="94"/>
      <c r="BB131" s="242" t="e">
        <f>ABS(0.15%*AM131)+(4*CK131)</f>
        <v>#DIV/0!</v>
      </c>
      <c r="BC131" s="242"/>
      <c r="BD131" s="242"/>
      <c r="BE131" s="242"/>
      <c r="BF131" s="242"/>
      <c r="BG131" s="242">
        <v>5.0079000000000002</v>
      </c>
      <c r="BH131" s="242"/>
      <c r="BI131" s="242"/>
      <c r="BJ131" s="242"/>
      <c r="BK131" s="242"/>
      <c r="BL131" s="242">
        <v>4.9920999999999998</v>
      </c>
      <c r="BM131" s="242"/>
      <c r="BN131" s="242"/>
      <c r="BO131" s="242"/>
      <c r="BP131" s="242"/>
      <c r="BQ131" s="265" t="e">
        <f t="shared" si="147"/>
        <v>#DIV/0!</v>
      </c>
      <c r="BR131" s="265"/>
      <c r="BS131" s="265"/>
      <c r="BT131" s="265"/>
      <c r="BU131" s="265"/>
      <c r="BX131" s="20" t="s">
        <v>86</v>
      </c>
      <c r="BY131" s="17">
        <v>4.8000000000000001E-4</v>
      </c>
      <c r="BZ131" s="19" t="str">
        <f t="shared" si="148"/>
        <v>MΩ</v>
      </c>
      <c r="CA131" s="20">
        <v>2</v>
      </c>
      <c r="CB131" s="16">
        <f t="shared" si="170"/>
        <v>2.4000000000000001E-4</v>
      </c>
      <c r="CC131" s="6"/>
      <c r="CD131" s="20" t="s">
        <v>170</v>
      </c>
      <c r="CE131" s="15">
        <v>0</v>
      </c>
      <c r="CF131" s="19" t="str">
        <f t="shared" si="150"/>
        <v>MΩ</v>
      </c>
      <c r="CG131" s="18">
        <f t="shared" si="171"/>
        <v>1.7320508075688772</v>
      </c>
      <c r="CH131" s="16">
        <f t="shared" si="172"/>
        <v>0</v>
      </c>
      <c r="CI131" s="6"/>
      <c r="CJ131" s="20" t="s">
        <v>87</v>
      </c>
      <c r="CK131" s="20">
        <v>1E-4</v>
      </c>
      <c r="CL131" s="19" t="str">
        <f t="shared" si="153"/>
        <v>MΩ</v>
      </c>
      <c r="CM131" s="18">
        <f t="shared" si="154"/>
        <v>3.4641016151377544</v>
      </c>
      <c r="CN131" s="16">
        <f t="shared" si="155"/>
        <v>2.8867513459481293E-5</v>
      </c>
      <c r="CO131" s="6"/>
      <c r="CP131" s="20" t="s">
        <v>88</v>
      </c>
      <c r="CQ131" s="17" t="e">
        <f t="shared" si="156"/>
        <v>#DIV/0!</v>
      </c>
      <c r="CR131" s="19" t="str">
        <f t="shared" si="157"/>
        <v>MΩ</v>
      </c>
      <c r="CS131" s="18">
        <f t="shared" si="158"/>
        <v>1.7320508075688772</v>
      </c>
      <c r="CT131" s="17" t="e">
        <f t="shared" si="159"/>
        <v>#DIV/0!</v>
      </c>
      <c r="CU131" s="7"/>
      <c r="CV131" s="16" t="e">
        <f t="shared" si="160"/>
        <v>#DIV/0!</v>
      </c>
      <c r="CW131" s="14" t="e">
        <f t="shared" si="161"/>
        <v>#DIV/0!</v>
      </c>
      <c r="CX131" s="14" t="e">
        <f t="shared" si="173"/>
        <v>#DIV/0!</v>
      </c>
      <c r="CY131" s="26" t="e">
        <f t="shared" si="174"/>
        <v>#DIV/0!</v>
      </c>
      <c r="CZ131" s="12" t="str">
        <f t="shared" si="164"/>
        <v>MΩ</v>
      </c>
      <c r="DA131" s="7"/>
      <c r="DB131" s="122">
        <v>5.2999999999999998E-4</v>
      </c>
      <c r="DC131" s="123" t="str">
        <f t="shared" si="178"/>
        <v>MΩ</v>
      </c>
      <c r="DD131" s="125" t="e">
        <f t="shared" si="166"/>
        <v>#DIV/0!</v>
      </c>
      <c r="DE131" s="123" t="str">
        <f t="shared" si="167"/>
        <v>MΩ</v>
      </c>
    </row>
    <row r="132" spans="1:109" ht="13.7" customHeight="1">
      <c r="B132" s="93"/>
      <c r="C132" s="82"/>
      <c r="D132" s="82"/>
      <c r="E132" s="82"/>
      <c r="F132" s="330" t="s">
        <v>111</v>
      </c>
      <c r="G132" s="330"/>
      <c r="H132" s="330"/>
      <c r="I132" s="330"/>
      <c r="J132" s="330"/>
      <c r="K132" s="330"/>
      <c r="L132" s="313">
        <v>30</v>
      </c>
      <c r="M132" s="314"/>
      <c r="N132" s="314"/>
      <c r="O132" s="314"/>
      <c r="P132" s="281" t="s">
        <v>110</v>
      </c>
      <c r="Q132" s="281"/>
      <c r="R132" s="282"/>
      <c r="S132" s="278" t="s">
        <v>30</v>
      </c>
      <c r="T132" s="278"/>
      <c r="U132" s="278"/>
      <c r="V132" s="278"/>
      <c r="W132" s="278"/>
      <c r="X132" s="283"/>
      <c r="Y132" s="283"/>
      <c r="Z132" s="283"/>
      <c r="AA132" s="283"/>
      <c r="AB132" s="283"/>
      <c r="AC132" s="283"/>
      <c r="AD132" s="283"/>
      <c r="AE132" s="283"/>
      <c r="AF132" s="283"/>
      <c r="AG132" s="283"/>
      <c r="AH132" s="283"/>
      <c r="AI132" s="283"/>
      <c r="AJ132" s="283"/>
      <c r="AK132" s="283"/>
      <c r="AL132" s="283"/>
      <c r="AM132" s="284" t="e">
        <f t="shared" si="168"/>
        <v>#DIV/0!</v>
      </c>
      <c r="AN132" s="284"/>
      <c r="AO132" s="284"/>
      <c r="AP132" s="284"/>
      <c r="AQ132" s="284"/>
      <c r="AR132" s="284" t="e">
        <f t="shared" ref="AR132" si="179">AM132-L132</f>
        <v>#DIV/0!</v>
      </c>
      <c r="AS132" s="284"/>
      <c r="AT132" s="284"/>
      <c r="AU132" s="284"/>
      <c r="AV132" s="284"/>
      <c r="AW132" s="82"/>
      <c r="AX132" s="82"/>
      <c r="AY132" s="82"/>
      <c r="AZ132" s="94"/>
      <c r="BB132" s="239" t="e">
        <f>ABS(1.5%*AM132)+(4*CK132)</f>
        <v>#DIV/0!</v>
      </c>
      <c r="BC132" s="239"/>
      <c r="BD132" s="239"/>
      <c r="BE132" s="239"/>
      <c r="BF132" s="239"/>
      <c r="BG132" s="239">
        <v>30.454000000000001</v>
      </c>
      <c r="BH132" s="239"/>
      <c r="BI132" s="239"/>
      <c r="BJ132" s="239"/>
      <c r="BK132" s="239"/>
      <c r="BL132" s="239">
        <v>29.545999999999999</v>
      </c>
      <c r="BM132" s="239"/>
      <c r="BN132" s="239"/>
      <c r="BO132" s="239"/>
      <c r="BP132" s="239"/>
      <c r="BQ132" s="265" t="e">
        <f t="shared" si="147"/>
        <v>#DIV/0!</v>
      </c>
      <c r="BR132" s="265"/>
      <c r="BS132" s="265"/>
      <c r="BT132" s="265"/>
      <c r="BU132" s="265"/>
      <c r="BX132" s="20" t="s">
        <v>86</v>
      </c>
      <c r="BY132" s="18">
        <v>1.4E-3</v>
      </c>
      <c r="BZ132" s="19" t="str">
        <f t="shared" si="148"/>
        <v>MΩ</v>
      </c>
      <c r="CA132" s="20">
        <v>2</v>
      </c>
      <c r="CB132" s="16">
        <f t="shared" ref="CB132" si="180">BY132/CA132</f>
        <v>6.9999999999999999E-4</v>
      </c>
      <c r="CC132" s="6"/>
      <c r="CD132" s="20" t="s">
        <v>170</v>
      </c>
      <c r="CE132" s="15">
        <v>0</v>
      </c>
      <c r="CF132" s="19" t="str">
        <f t="shared" si="150"/>
        <v>MΩ</v>
      </c>
      <c r="CG132" s="18">
        <f t="shared" si="171"/>
        <v>1.7320508075688772</v>
      </c>
      <c r="CH132" s="16">
        <f t="shared" si="172"/>
        <v>0</v>
      </c>
      <c r="CI132" s="6"/>
      <c r="CJ132" s="20" t="s">
        <v>87</v>
      </c>
      <c r="CK132" s="20">
        <v>1E-3</v>
      </c>
      <c r="CL132" s="19" t="str">
        <f t="shared" si="153"/>
        <v>MΩ</v>
      </c>
      <c r="CM132" s="18">
        <f t="shared" si="154"/>
        <v>3.4641016151377544</v>
      </c>
      <c r="CN132" s="16">
        <f t="shared" si="155"/>
        <v>2.886751345948129E-4</v>
      </c>
      <c r="CO132" s="6"/>
      <c r="CP132" s="20" t="s">
        <v>88</v>
      </c>
      <c r="CQ132" s="17" t="e">
        <f t="shared" si="156"/>
        <v>#DIV/0!</v>
      </c>
      <c r="CR132" s="19" t="str">
        <f t="shared" si="157"/>
        <v>MΩ</v>
      </c>
      <c r="CS132" s="18">
        <f t="shared" si="158"/>
        <v>1.7320508075688772</v>
      </c>
      <c r="CT132" s="17" t="e">
        <f t="shared" si="159"/>
        <v>#DIV/0!</v>
      </c>
      <c r="CU132" s="7"/>
      <c r="CV132" s="16" t="e">
        <f t="shared" si="160"/>
        <v>#DIV/0!</v>
      </c>
      <c r="CW132" s="14" t="e">
        <f t="shared" si="161"/>
        <v>#DIV/0!</v>
      </c>
      <c r="CX132" s="14" t="e">
        <f t="shared" ref="CX132" si="181">ROUND(TINV(0.05,CW132),0)</f>
        <v>#DIV/0!</v>
      </c>
      <c r="CY132" s="26" t="e">
        <f t="shared" ref="CY132" si="182">(CV132*CX132)</f>
        <v>#DIV/0!</v>
      </c>
      <c r="CZ132" s="12" t="str">
        <f t="shared" si="164"/>
        <v>MΩ</v>
      </c>
      <c r="DA132" s="7"/>
      <c r="DB132" s="122">
        <v>4.1000000000000003E-3</v>
      </c>
      <c r="DC132" s="123" t="str">
        <f t="shared" si="178"/>
        <v>MΩ</v>
      </c>
      <c r="DD132" s="125" t="e">
        <f t="shared" si="166"/>
        <v>#DIV/0!</v>
      </c>
      <c r="DE132" s="123" t="str">
        <f t="shared" si="167"/>
        <v>MΩ</v>
      </c>
    </row>
    <row r="133" spans="1:109" ht="13.7" customHeight="1">
      <c r="B133" s="93"/>
      <c r="C133" s="82"/>
      <c r="D133" s="82"/>
      <c r="E133" s="82"/>
      <c r="F133" s="330" t="s">
        <v>142</v>
      </c>
      <c r="G133" s="330"/>
      <c r="H133" s="330"/>
      <c r="I133" s="330"/>
      <c r="J133" s="330"/>
      <c r="K133" s="330"/>
      <c r="L133" s="313">
        <v>300</v>
      </c>
      <c r="M133" s="314"/>
      <c r="N133" s="314"/>
      <c r="O133" s="314"/>
      <c r="P133" s="281" t="s">
        <v>110</v>
      </c>
      <c r="Q133" s="281"/>
      <c r="R133" s="282"/>
      <c r="S133" s="278" t="s">
        <v>30</v>
      </c>
      <c r="T133" s="278"/>
      <c r="U133" s="278"/>
      <c r="V133" s="278"/>
      <c r="W133" s="278"/>
      <c r="X133" s="279"/>
      <c r="Y133" s="279"/>
      <c r="Z133" s="279"/>
      <c r="AA133" s="279"/>
      <c r="AB133" s="279"/>
      <c r="AC133" s="279"/>
      <c r="AD133" s="279"/>
      <c r="AE133" s="279"/>
      <c r="AF133" s="279"/>
      <c r="AG133" s="279"/>
      <c r="AH133" s="279"/>
      <c r="AI133" s="279"/>
      <c r="AJ133" s="279"/>
      <c r="AK133" s="279"/>
      <c r="AL133" s="279"/>
      <c r="AM133" s="362" t="e">
        <f t="shared" si="168"/>
        <v>#DIV/0!</v>
      </c>
      <c r="AN133" s="362"/>
      <c r="AO133" s="362"/>
      <c r="AP133" s="362"/>
      <c r="AQ133" s="362"/>
      <c r="AR133" s="362" t="e">
        <f t="shared" si="169"/>
        <v>#DIV/0!</v>
      </c>
      <c r="AS133" s="362"/>
      <c r="AT133" s="362"/>
      <c r="AU133" s="362"/>
      <c r="AV133" s="362"/>
      <c r="AW133" s="82"/>
      <c r="AX133" s="82"/>
      <c r="AY133" s="82"/>
      <c r="AZ133" s="94"/>
      <c r="BB133" s="238" t="e">
        <f>ABS(8%*AM133)+(2*CK133)</f>
        <v>#DIV/0!</v>
      </c>
      <c r="BC133" s="238"/>
      <c r="BD133" s="238"/>
      <c r="BE133" s="238"/>
      <c r="BF133" s="238"/>
      <c r="BG133" s="238">
        <v>324.2</v>
      </c>
      <c r="BH133" s="238"/>
      <c r="BI133" s="238"/>
      <c r="BJ133" s="238"/>
      <c r="BK133" s="238"/>
      <c r="BL133" s="238">
        <v>275.8</v>
      </c>
      <c r="BM133" s="238"/>
      <c r="BN133" s="238"/>
      <c r="BO133" s="238"/>
      <c r="BP133" s="238"/>
      <c r="BQ133" s="265" t="e">
        <f t="shared" si="147"/>
        <v>#DIV/0!</v>
      </c>
      <c r="BR133" s="265"/>
      <c r="BS133" s="265"/>
      <c r="BT133" s="265"/>
      <c r="BU133" s="265"/>
      <c r="BX133" s="20" t="s">
        <v>86</v>
      </c>
      <c r="BY133" s="14">
        <v>9.8000000000000004E-2</v>
      </c>
      <c r="BZ133" s="19" t="str">
        <f t="shared" si="148"/>
        <v>MΩ</v>
      </c>
      <c r="CA133" s="20">
        <v>2</v>
      </c>
      <c r="CB133" s="16">
        <f t="shared" si="170"/>
        <v>4.9000000000000002E-2</v>
      </c>
      <c r="CC133" s="6"/>
      <c r="CD133" s="20" t="s">
        <v>170</v>
      </c>
      <c r="CE133" s="15">
        <v>0</v>
      </c>
      <c r="CF133" s="19" t="str">
        <f t="shared" si="150"/>
        <v>MΩ</v>
      </c>
      <c r="CG133" s="18">
        <f t="shared" si="171"/>
        <v>1.7320508075688772</v>
      </c>
      <c r="CH133" s="16">
        <f t="shared" si="172"/>
        <v>0</v>
      </c>
      <c r="CI133" s="6"/>
      <c r="CJ133" s="20" t="s">
        <v>87</v>
      </c>
      <c r="CK133" s="20">
        <v>0.1</v>
      </c>
      <c r="CL133" s="19" t="str">
        <f t="shared" si="153"/>
        <v>MΩ</v>
      </c>
      <c r="CM133" s="18">
        <f t="shared" si="154"/>
        <v>3.4641016151377544</v>
      </c>
      <c r="CN133" s="16">
        <f t="shared" si="155"/>
        <v>2.8867513459481291E-2</v>
      </c>
      <c r="CO133" s="6"/>
      <c r="CP133" s="20" t="s">
        <v>88</v>
      </c>
      <c r="CQ133" s="17" t="e">
        <f t="shared" si="156"/>
        <v>#DIV/0!</v>
      </c>
      <c r="CR133" s="19" t="str">
        <f t="shared" si="157"/>
        <v>MΩ</v>
      </c>
      <c r="CS133" s="18">
        <f t="shared" si="158"/>
        <v>1.7320508075688772</v>
      </c>
      <c r="CT133" s="17" t="e">
        <f t="shared" si="159"/>
        <v>#DIV/0!</v>
      </c>
      <c r="CU133" s="7"/>
      <c r="CV133" s="16" t="e">
        <f t="shared" si="160"/>
        <v>#DIV/0!</v>
      </c>
      <c r="CW133" s="14" t="e">
        <f t="shared" si="161"/>
        <v>#DIV/0!</v>
      </c>
      <c r="CX133" s="14" t="e">
        <f t="shared" si="173"/>
        <v>#DIV/0!</v>
      </c>
      <c r="CY133" s="26" t="e">
        <f t="shared" si="174"/>
        <v>#DIV/0!</v>
      </c>
      <c r="CZ133" s="12" t="str">
        <f t="shared" si="164"/>
        <v>MΩ</v>
      </c>
      <c r="DA133" s="7"/>
      <c r="DB133" s="122">
        <v>0.33</v>
      </c>
      <c r="DC133" s="123" t="str">
        <f t="shared" si="178"/>
        <v>MΩ</v>
      </c>
      <c r="DD133" s="125" t="e">
        <f t="shared" si="166"/>
        <v>#DIV/0!</v>
      </c>
      <c r="DE133" s="123" t="str">
        <f t="shared" si="167"/>
        <v>MΩ</v>
      </c>
    </row>
    <row r="134" spans="1:109" ht="13.5">
      <c r="B134" s="93"/>
      <c r="C134" s="82"/>
      <c r="D134" s="82"/>
      <c r="E134" s="82"/>
      <c r="F134" s="134"/>
      <c r="G134" s="134"/>
      <c r="H134" s="134"/>
      <c r="I134" s="134"/>
      <c r="J134" s="134"/>
      <c r="K134" s="134"/>
      <c r="L134" s="117"/>
      <c r="M134" s="117"/>
      <c r="N134" s="117"/>
      <c r="O134" s="117"/>
      <c r="P134" s="118"/>
      <c r="Q134" s="118"/>
      <c r="R134" s="118"/>
      <c r="S134" s="136"/>
      <c r="T134" s="136"/>
      <c r="U134" s="136"/>
      <c r="V134" s="136"/>
      <c r="W134" s="136"/>
      <c r="X134" s="152"/>
      <c r="Y134" s="152"/>
      <c r="Z134" s="152"/>
      <c r="AA134" s="152"/>
      <c r="AB134" s="152"/>
      <c r="AC134" s="152"/>
      <c r="AD134" s="152"/>
      <c r="AE134" s="152"/>
      <c r="AF134" s="152"/>
      <c r="AG134" s="152"/>
      <c r="AH134" s="152"/>
      <c r="AI134" s="152"/>
      <c r="AJ134" s="152"/>
      <c r="AK134" s="152"/>
      <c r="AL134" s="152"/>
      <c r="AM134" s="119"/>
      <c r="AN134" s="136"/>
      <c r="AO134" s="136"/>
      <c r="AP134" s="136"/>
      <c r="AQ134" s="136"/>
      <c r="AR134" s="119"/>
      <c r="AS134" s="136"/>
      <c r="AT134" s="136"/>
      <c r="AU134" s="136"/>
      <c r="AV134" s="136"/>
      <c r="AW134" s="82"/>
      <c r="AX134" s="82"/>
      <c r="AY134" s="82"/>
      <c r="AZ134" s="94"/>
      <c r="BX134" s="11"/>
      <c r="BY134" s="5"/>
      <c r="BZ134" s="10"/>
      <c r="CA134" s="11"/>
      <c r="CB134" s="6"/>
      <c r="CC134" s="6"/>
      <c r="CD134" s="11"/>
      <c r="CE134" s="5"/>
      <c r="CF134" s="10"/>
      <c r="CG134" s="9"/>
      <c r="CH134" s="6"/>
      <c r="CI134" s="6"/>
      <c r="CJ134" s="11"/>
      <c r="CK134" s="11"/>
      <c r="CL134" s="10"/>
      <c r="CM134" s="9"/>
      <c r="CN134" s="6"/>
      <c r="CO134" s="6"/>
      <c r="CP134" s="11"/>
      <c r="CQ134" s="8"/>
      <c r="CR134" s="10"/>
      <c r="CS134" s="9"/>
      <c r="CT134" s="8"/>
      <c r="CU134" s="7"/>
      <c r="CV134" s="6"/>
      <c r="CW134" s="5"/>
      <c r="CX134" s="4"/>
      <c r="CY134" s="27"/>
      <c r="CZ134" s="3"/>
      <c r="DA134" s="7"/>
    </row>
    <row r="135" spans="1:109" s="45" customFormat="1" ht="13.7" customHeight="1">
      <c r="A135" s="96"/>
      <c r="B135" s="97"/>
      <c r="C135" s="98"/>
      <c r="D135" s="98"/>
      <c r="E135" s="98"/>
      <c r="F135" s="108" t="s">
        <v>152</v>
      </c>
      <c r="G135" s="109"/>
      <c r="H135" s="109"/>
      <c r="I135" s="109"/>
      <c r="J135" s="104"/>
      <c r="K135" s="104"/>
      <c r="L135" s="104"/>
      <c r="M135" s="110"/>
      <c r="N135" s="110"/>
      <c r="O135" s="110"/>
      <c r="P135" s="110"/>
      <c r="Q135" s="110"/>
      <c r="R135" s="110"/>
      <c r="S135" s="110"/>
      <c r="T135" s="110"/>
      <c r="U135" s="110"/>
      <c r="V135" s="110"/>
      <c r="W135" s="110"/>
      <c r="X135" s="150"/>
      <c r="Y135" s="150"/>
      <c r="Z135" s="150"/>
      <c r="AA135" s="150"/>
      <c r="AB135" s="150"/>
      <c r="AC135" s="150"/>
      <c r="AD135" s="150"/>
      <c r="AE135" s="150"/>
      <c r="AF135" s="150"/>
      <c r="AG135" s="150"/>
      <c r="AH135" s="150"/>
      <c r="AI135" s="150"/>
      <c r="AJ135" s="150"/>
      <c r="AK135" s="150"/>
      <c r="AL135" s="150"/>
      <c r="AM135" s="110"/>
      <c r="AN135" s="110"/>
      <c r="AO135" s="110"/>
      <c r="AP135" s="110"/>
      <c r="AQ135" s="98"/>
      <c r="AR135" s="98"/>
      <c r="AS135" s="98"/>
      <c r="AT135" s="98"/>
      <c r="AU135" s="98"/>
      <c r="AV135" s="98"/>
      <c r="AW135" s="98"/>
      <c r="AX135" s="98"/>
      <c r="AY135" s="98"/>
      <c r="AZ135" s="100"/>
      <c r="BA135" s="96"/>
      <c r="BB135" s="72"/>
      <c r="BC135" s="72"/>
      <c r="BD135" s="72"/>
      <c r="BE135" s="72"/>
      <c r="BF135" s="72"/>
      <c r="BG135" s="72"/>
      <c r="BH135" s="72"/>
      <c r="BI135" s="72"/>
      <c r="BJ135" s="72"/>
      <c r="BK135" s="72"/>
      <c r="BL135" s="72"/>
      <c r="BM135" s="72"/>
      <c r="BN135" s="72"/>
      <c r="BO135" s="72"/>
      <c r="BP135" s="72"/>
      <c r="BQ135" s="72"/>
      <c r="BR135" s="72"/>
      <c r="BS135" s="72"/>
      <c r="BT135" s="72"/>
      <c r="BU135" s="72"/>
      <c r="BV135" s="96"/>
      <c r="BW135" s="24"/>
      <c r="BX135" s="257" t="s">
        <v>70</v>
      </c>
      <c r="BY135" s="257"/>
      <c r="BZ135" s="257"/>
      <c r="CA135" s="257"/>
      <c r="CB135" s="257"/>
      <c r="CC135" s="25"/>
      <c r="CD135" s="257" t="s">
        <v>70</v>
      </c>
      <c r="CE135" s="257"/>
      <c r="CF135" s="257"/>
      <c r="CG135" s="257"/>
      <c r="CH135" s="257"/>
      <c r="CI135" s="25"/>
      <c r="CJ135" s="257" t="s">
        <v>180</v>
      </c>
      <c r="CK135" s="257"/>
      <c r="CL135" s="257"/>
      <c r="CM135" s="257"/>
      <c r="CN135" s="257"/>
      <c r="CO135" s="25"/>
      <c r="CP135" s="257" t="s">
        <v>180</v>
      </c>
      <c r="CQ135" s="257"/>
      <c r="CR135" s="257"/>
      <c r="CS135" s="257"/>
      <c r="CT135" s="257"/>
      <c r="CU135" s="24"/>
      <c r="CV135" s="257" t="s">
        <v>71</v>
      </c>
      <c r="CW135" s="257"/>
      <c r="CX135" s="257"/>
      <c r="CY135" s="257"/>
      <c r="CZ135" s="257"/>
      <c r="DA135" s="24"/>
      <c r="DB135" s="251" t="s">
        <v>157</v>
      </c>
      <c r="DC135" s="251"/>
      <c r="DD135" s="251" t="s">
        <v>158</v>
      </c>
      <c r="DE135" s="251"/>
    </row>
    <row r="136" spans="1:109" s="45" customFormat="1" ht="13.7" customHeight="1">
      <c r="A136" s="96"/>
      <c r="B136" s="97"/>
      <c r="C136" s="98"/>
      <c r="D136" s="98"/>
      <c r="E136" s="98"/>
      <c r="F136" s="286" t="s">
        <v>27</v>
      </c>
      <c r="G136" s="286"/>
      <c r="H136" s="286"/>
      <c r="I136" s="286"/>
      <c r="J136" s="286"/>
      <c r="K136" s="286"/>
      <c r="L136" s="286" t="s">
        <v>28</v>
      </c>
      <c r="M136" s="286"/>
      <c r="N136" s="286"/>
      <c r="O136" s="286"/>
      <c r="P136" s="286"/>
      <c r="Q136" s="286"/>
      <c r="R136" s="286"/>
      <c r="S136" s="286" t="s">
        <v>72</v>
      </c>
      <c r="T136" s="286"/>
      <c r="U136" s="286"/>
      <c r="V136" s="286"/>
      <c r="W136" s="286"/>
      <c r="X136" s="326" t="s">
        <v>73</v>
      </c>
      <c r="Y136" s="326"/>
      <c r="Z136" s="326"/>
      <c r="AA136" s="326"/>
      <c r="AB136" s="326"/>
      <c r="AC136" s="326"/>
      <c r="AD136" s="326"/>
      <c r="AE136" s="326"/>
      <c r="AF136" s="326"/>
      <c r="AG136" s="326"/>
      <c r="AH136" s="326"/>
      <c r="AI136" s="326"/>
      <c r="AJ136" s="326"/>
      <c r="AK136" s="326"/>
      <c r="AL136" s="326"/>
      <c r="AM136" s="286" t="s">
        <v>74</v>
      </c>
      <c r="AN136" s="286"/>
      <c r="AO136" s="286"/>
      <c r="AP136" s="286"/>
      <c r="AQ136" s="286"/>
      <c r="AR136" s="286" t="s">
        <v>29</v>
      </c>
      <c r="AS136" s="286"/>
      <c r="AT136" s="286"/>
      <c r="AU136" s="286"/>
      <c r="AV136" s="286"/>
      <c r="AW136" s="98"/>
      <c r="AX136" s="98"/>
      <c r="AY136" s="98"/>
      <c r="AZ136" s="100"/>
      <c r="BA136" s="96"/>
      <c r="BB136" s="231" t="s">
        <v>188</v>
      </c>
      <c r="BC136" s="232"/>
      <c r="BD136" s="232"/>
      <c r="BE136" s="232"/>
      <c r="BF136" s="233"/>
      <c r="BG136" s="401" t="s">
        <v>138</v>
      </c>
      <c r="BH136" s="401"/>
      <c r="BI136" s="401"/>
      <c r="BJ136" s="401"/>
      <c r="BK136" s="401"/>
      <c r="BL136" s="401" t="s">
        <v>139</v>
      </c>
      <c r="BM136" s="401"/>
      <c r="BN136" s="401"/>
      <c r="BO136" s="401"/>
      <c r="BP136" s="401"/>
      <c r="BQ136" s="257" t="s">
        <v>144</v>
      </c>
      <c r="BR136" s="257"/>
      <c r="BS136" s="257"/>
      <c r="BT136" s="257"/>
      <c r="BU136" s="257"/>
      <c r="BV136" s="96"/>
      <c r="BW136" s="24"/>
      <c r="BX136" s="256" t="s">
        <v>75</v>
      </c>
      <c r="BY136" s="252" t="s">
        <v>137</v>
      </c>
      <c r="BZ136" s="253"/>
      <c r="CA136" s="256" t="s">
        <v>76</v>
      </c>
      <c r="CB136" s="256" t="s">
        <v>77</v>
      </c>
      <c r="CC136" s="23"/>
      <c r="CD136" s="256" t="s">
        <v>75</v>
      </c>
      <c r="CE136" s="252" t="s">
        <v>137</v>
      </c>
      <c r="CF136" s="253"/>
      <c r="CG136" s="256" t="s">
        <v>76</v>
      </c>
      <c r="CH136" s="256" t="s">
        <v>77</v>
      </c>
      <c r="CI136" s="23"/>
      <c r="CJ136" s="256" t="s">
        <v>75</v>
      </c>
      <c r="CK136" s="252" t="s">
        <v>137</v>
      </c>
      <c r="CL136" s="253"/>
      <c r="CM136" s="256" t="s">
        <v>76</v>
      </c>
      <c r="CN136" s="256" t="s">
        <v>77</v>
      </c>
      <c r="CO136" s="23"/>
      <c r="CP136" s="256" t="s">
        <v>75</v>
      </c>
      <c r="CQ136" s="252" t="s">
        <v>137</v>
      </c>
      <c r="CR136" s="253"/>
      <c r="CS136" s="256" t="s">
        <v>76</v>
      </c>
      <c r="CT136" s="256" t="s">
        <v>77</v>
      </c>
      <c r="CU136" s="22"/>
      <c r="CV136" s="133" t="s">
        <v>78</v>
      </c>
      <c r="CW136" s="21" t="s">
        <v>79</v>
      </c>
      <c r="CX136" s="133" t="s">
        <v>80</v>
      </c>
      <c r="CY136" s="256" t="s">
        <v>81</v>
      </c>
      <c r="CZ136" s="256"/>
      <c r="DA136" s="22"/>
      <c r="DB136" s="251"/>
      <c r="DC136" s="251"/>
      <c r="DD136" s="251"/>
      <c r="DE136" s="251"/>
    </row>
    <row r="137" spans="1:109" s="45" customFormat="1" ht="13.5">
      <c r="A137" s="96"/>
      <c r="B137" s="97"/>
      <c r="C137" s="98"/>
      <c r="D137" s="98"/>
      <c r="E137" s="98"/>
      <c r="F137" s="286"/>
      <c r="G137" s="286"/>
      <c r="H137" s="286"/>
      <c r="I137" s="286"/>
      <c r="J137" s="286"/>
      <c r="K137" s="286"/>
      <c r="L137" s="286"/>
      <c r="M137" s="286"/>
      <c r="N137" s="286"/>
      <c r="O137" s="286"/>
      <c r="P137" s="286"/>
      <c r="Q137" s="286"/>
      <c r="R137" s="286"/>
      <c r="S137" s="286"/>
      <c r="T137" s="286"/>
      <c r="U137" s="286"/>
      <c r="V137" s="286"/>
      <c r="W137" s="286"/>
      <c r="X137" s="326">
        <v>1</v>
      </c>
      <c r="Y137" s="326"/>
      <c r="Z137" s="326"/>
      <c r="AA137" s="326"/>
      <c r="AB137" s="326"/>
      <c r="AC137" s="326">
        <v>2</v>
      </c>
      <c r="AD137" s="326"/>
      <c r="AE137" s="326"/>
      <c r="AF137" s="326"/>
      <c r="AG137" s="326"/>
      <c r="AH137" s="326">
        <v>3</v>
      </c>
      <c r="AI137" s="326"/>
      <c r="AJ137" s="326"/>
      <c r="AK137" s="326"/>
      <c r="AL137" s="326"/>
      <c r="AM137" s="286"/>
      <c r="AN137" s="286"/>
      <c r="AO137" s="286"/>
      <c r="AP137" s="286"/>
      <c r="AQ137" s="286"/>
      <c r="AR137" s="286"/>
      <c r="AS137" s="286"/>
      <c r="AT137" s="286"/>
      <c r="AU137" s="286"/>
      <c r="AV137" s="286"/>
      <c r="AW137" s="98"/>
      <c r="AX137" s="98"/>
      <c r="AY137" s="98"/>
      <c r="AZ137" s="100"/>
      <c r="BA137" s="96"/>
      <c r="BB137" s="234"/>
      <c r="BC137" s="235"/>
      <c r="BD137" s="235"/>
      <c r="BE137" s="235"/>
      <c r="BF137" s="236"/>
      <c r="BG137" s="402"/>
      <c r="BH137" s="402"/>
      <c r="BI137" s="402"/>
      <c r="BJ137" s="402"/>
      <c r="BK137" s="402"/>
      <c r="BL137" s="402"/>
      <c r="BM137" s="402"/>
      <c r="BN137" s="402"/>
      <c r="BO137" s="402"/>
      <c r="BP137" s="402"/>
      <c r="BQ137" s="257"/>
      <c r="BR137" s="257"/>
      <c r="BS137" s="257"/>
      <c r="BT137" s="257"/>
      <c r="BU137" s="257"/>
      <c r="BV137" s="96"/>
      <c r="BW137" s="24"/>
      <c r="BX137" s="256"/>
      <c r="BY137" s="254"/>
      <c r="BZ137" s="255"/>
      <c r="CA137" s="256"/>
      <c r="CB137" s="256"/>
      <c r="CC137" s="23"/>
      <c r="CD137" s="256"/>
      <c r="CE137" s="254"/>
      <c r="CF137" s="255"/>
      <c r="CG137" s="256"/>
      <c r="CH137" s="256"/>
      <c r="CI137" s="23"/>
      <c r="CJ137" s="256"/>
      <c r="CK137" s="254"/>
      <c r="CL137" s="255"/>
      <c r="CM137" s="256"/>
      <c r="CN137" s="256"/>
      <c r="CO137" s="23"/>
      <c r="CP137" s="256"/>
      <c r="CQ137" s="254"/>
      <c r="CR137" s="255"/>
      <c r="CS137" s="256"/>
      <c r="CT137" s="256"/>
      <c r="CU137" s="22"/>
      <c r="CV137" s="133" t="s">
        <v>82</v>
      </c>
      <c r="CW137" s="21" t="s">
        <v>83</v>
      </c>
      <c r="CX137" s="133" t="s">
        <v>84</v>
      </c>
      <c r="CY137" s="256" t="s">
        <v>85</v>
      </c>
      <c r="CZ137" s="256"/>
      <c r="DA137" s="22"/>
      <c r="DB137" s="251"/>
      <c r="DC137" s="251"/>
      <c r="DD137" s="251"/>
      <c r="DE137" s="251"/>
    </row>
    <row r="138" spans="1:109" s="45" customFormat="1" ht="15.95" customHeight="1">
      <c r="A138" s="96"/>
      <c r="B138" s="97"/>
      <c r="C138" s="98"/>
      <c r="D138" s="98"/>
      <c r="E138" s="98"/>
      <c r="F138" s="315">
        <v>10</v>
      </c>
      <c r="G138" s="316"/>
      <c r="H138" s="316"/>
      <c r="I138" s="317" t="s">
        <v>153</v>
      </c>
      <c r="J138" s="317"/>
      <c r="K138" s="318"/>
      <c r="L138" s="315">
        <v>5</v>
      </c>
      <c r="M138" s="316"/>
      <c r="N138" s="316"/>
      <c r="O138" s="316"/>
      <c r="P138" s="317" t="s">
        <v>153</v>
      </c>
      <c r="Q138" s="317"/>
      <c r="R138" s="318"/>
      <c r="S138" s="319" t="s">
        <v>30</v>
      </c>
      <c r="T138" s="320"/>
      <c r="U138" s="320"/>
      <c r="V138" s="320"/>
      <c r="W138" s="321"/>
      <c r="X138" s="322"/>
      <c r="Y138" s="323"/>
      <c r="Z138" s="323"/>
      <c r="AA138" s="323"/>
      <c r="AB138" s="323"/>
      <c r="AC138" s="322"/>
      <c r="AD138" s="323"/>
      <c r="AE138" s="323"/>
      <c r="AF138" s="323"/>
      <c r="AG138" s="323"/>
      <c r="AH138" s="322"/>
      <c r="AI138" s="323"/>
      <c r="AJ138" s="323"/>
      <c r="AK138" s="323"/>
      <c r="AL138" s="323"/>
      <c r="AM138" s="324">
        <v>5.0999999999999996</v>
      </c>
      <c r="AN138" s="325"/>
      <c r="AO138" s="325"/>
      <c r="AP138" s="325"/>
      <c r="AQ138" s="325"/>
      <c r="AR138" s="259">
        <f t="shared" ref="AR138" si="183">AM138-L138</f>
        <v>9.9999999999999645E-2</v>
      </c>
      <c r="AS138" s="259"/>
      <c r="AT138" s="259"/>
      <c r="AU138" s="259"/>
      <c r="AV138" s="259"/>
      <c r="AW138" s="98"/>
      <c r="AX138" s="98"/>
      <c r="AY138" s="98"/>
      <c r="AZ138" s="100"/>
      <c r="BA138" s="96"/>
      <c r="BB138" s="331">
        <f>ABS(1%*AM138)+(5*CK138)</f>
        <v>0.10100000000000001</v>
      </c>
      <c r="BC138" s="331"/>
      <c r="BD138" s="331"/>
      <c r="BE138" s="331"/>
      <c r="BF138" s="331"/>
      <c r="BG138" s="331">
        <v>5.0999999999999996</v>
      </c>
      <c r="BH138" s="331"/>
      <c r="BI138" s="331"/>
      <c r="BJ138" s="331"/>
      <c r="BK138" s="331"/>
      <c r="BL138" s="331">
        <v>4.9000000000000004</v>
      </c>
      <c r="BM138" s="331"/>
      <c r="BN138" s="331"/>
      <c r="BO138" s="331"/>
      <c r="BP138" s="331"/>
      <c r="BQ138" s="265" t="e">
        <f>IF(AND(AVERAGE(X138:AL138)&lt;=BG138,AVERAGE(X138:AL138)&gt;=BL138),"PASS","FAIL")</f>
        <v>#DIV/0!</v>
      </c>
      <c r="BR138" s="265"/>
      <c r="BS138" s="265"/>
      <c r="BT138" s="265"/>
      <c r="BU138" s="265"/>
      <c r="BV138" s="96"/>
      <c r="BX138" s="20" t="s">
        <v>182</v>
      </c>
      <c r="BY138" s="18">
        <f>(L138*0.25%)+0.01</f>
        <v>2.2499999999999999E-2</v>
      </c>
      <c r="BZ138" s="19" t="s">
        <v>153</v>
      </c>
      <c r="CA138" s="20">
        <v>2.58</v>
      </c>
      <c r="CB138" s="16">
        <f>BY138/CA138</f>
        <v>8.7209302325581394E-3</v>
      </c>
      <c r="CC138" s="6"/>
      <c r="CD138" s="20" t="s">
        <v>170</v>
      </c>
      <c r="CE138" s="15">
        <v>0</v>
      </c>
      <c r="CF138" s="19" t="str">
        <f>P138</f>
        <v>nF</v>
      </c>
      <c r="CG138" s="18">
        <f>SQRT(3)</f>
        <v>1.7320508075688772</v>
      </c>
      <c r="CH138" s="16">
        <f>CE138/CG138</f>
        <v>0</v>
      </c>
      <c r="CI138" s="6"/>
      <c r="CJ138" s="20" t="s">
        <v>87</v>
      </c>
      <c r="CK138" s="20">
        <v>0.01</v>
      </c>
      <c r="CL138" s="19" t="str">
        <f>P138</f>
        <v>nF</v>
      </c>
      <c r="CM138" s="18">
        <f>SQRT(12)</f>
        <v>3.4641016151377544</v>
      </c>
      <c r="CN138" s="16">
        <f>CK138/CM138</f>
        <v>2.886751345948129E-3</v>
      </c>
      <c r="CO138" s="6"/>
      <c r="CP138" s="20" t="s">
        <v>88</v>
      </c>
      <c r="CQ138" s="17" t="e">
        <f>STDEV(X138:AL138)</f>
        <v>#DIV/0!</v>
      </c>
      <c r="CR138" s="19" t="str">
        <f>P138</f>
        <v>nF</v>
      </c>
      <c r="CS138" s="18">
        <f>SQRT(3)</f>
        <v>1.7320508075688772</v>
      </c>
      <c r="CT138" s="17" t="e">
        <f>CQ138/CS138</f>
        <v>#DIV/0!</v>
      </c>
      <c r="CU138" s="7"/>
      <c r="CV138" s="16" t="e">
        <f>SQRT(SUMSQ(CT138,CN138,CH138,CB138))</f>
        <v>#DIV/0!</v>
      </c>
      <c r="CW138" s="14" t="e">
        <f>(CV138^4)/(((CT138^4)/2)+((CN138^4)/200)+((CH138^4)/200)+((CB138^4)/200))</f>
        <v>#DIV/0!</v>
      </c>
      <c r="CX138" s="14" t="e">
        <f>ROUND(TINV(0.05,CW138),0)</f>
        <v>#DIV/0!</v>
      </c>
      <c r="CY138" s="26" t="e">
        <f>(CV138*CX138)</f>
        <v>#DIV/0!</v>
      </c>
      <c r="CZ138" s="12" t="str">
        <f>BZ138</f>
        <v>nF</v>
      </c>
      <c r="DA138" s="7"/>
      <c r="DB138" s="122" t="s">
        <v>30</v>
      </c>
      <c r="DC138" s="123" t="str">
        <f t="shared" ref="DC138" si="184">CZ138</f>
        <v>nF</v>
      </c>
      <c r="DD138" s="125" t="e">
        <f t="shared" ref="DD138" si="185">MAX(DB138,CY138)</f>
        <v>#DIV/0!</v>
      </c>
      <c r="DE138" s="123" t="str">
        <f>DC138</f>
        <v>nF</v>
      </c>
    </row>
    <row r="139" spans="1:109" ht="13.5">
      <c r="B139" s="93"/>
      <c r="C139" s="82"/>
      <c r="D139" s="82"/>
      <c r="E139" s="82"/>
      <c r="F139" s="134"/>
      <c r="G139" s="134"/>
      <c r="H139" s="134"/>
      <c r="I139" s="134"/>
      <c r="J139" s="134"/>
      <c r="K139" s="134"/>
      <c r="L139" s="117"/>
      <c r="M139" s="117"/>
      <c r="N139" s="117"/>
      <c r="O139" s="117"/>
      <c r="P139" s="118"/>
      <c r="Q139" s="118"/>
      <c r="R139" s="118"/>
      <c r="S139" s="136"/>
      <c r="T139" s="136"/>
      <c r="U139" s="136"/>
      <c r="V139" s="136"/>
      <c r="W139" s="136"/>
      <c r="X139" s="152"/>
      <c r="Y139" s="152"/>
      <c r="Z139" s="152"/>
      <c r="AA139" s="152"/>
      <c r="AB139" s="152"/>
      <c r="AC139" s="152"/>
      <c r="AD139" s="152"/>
      <c r="AE139" s="152"/>
      <c r="AF139" s="152"/>
      <c r="AG139" s="152"/>
      <c r="AH139" s="152"/>
      <c r="AI139" s="152"/>
      <c r="AJ139" s="152"/>
      <c r="AK139" s="152"/>
      <c r="AL139" s="152"/>
      <c r="AM139" s="119"/>
      <c r="AN139" s="136"/>
      <c r="AO139" s="136"/>
      <c r="AP139" s="136"/>
      <c r="AQ139" s="136"/>
      <c r="AR139" s="119"/>
      <c r="AS139" s="136"/>
      <c r="AT139" s="136"/>
      <c r="AU139" s="136"/>
      <c r="AV139" s="136"/>
      <c r="AW139" s="82"/>
      <c r="AX139" s="82"/>
      <c r="AY139" s="82"/>
      <c r="AZ139" s="94"/>
      <c r="BX139" s="11"/>
      <c r="BY139" s="5"/>
      <c r="BZ139" s="10"/>
      <c r="CA139" s="11"/>
      <c r="CB139" s="6"/>
      <c r="CC139" s="6"/>
      <c r="CD139" s="11"/>
      <c r="CE139" s="5"/>
      <c r="CF139" s="10"/>
      <c r="CG139" s="9"/>
      <c r="CH139" s="6"/>
      <c r="CI139" s="6"/>
      <c r="CJ139" s="11"/>
      <c r="CK139" s="11"/>
      <c r="CL139" s="10"/>
      <c r="CM139" s="9"/>
      <c r="CN139" s="6"/>
      <c r="CO139" s="6"/>
      <c r="CP139" s="11"/>
      <c r="CQ139" s="8"/>
      <c r="CR139" s="10"/>
      <c r="CS139" s="9"/>
      <c r="CT139" s="8"/>
      <c r="CU139" s="7"/>
      <c r="CV139" s="6"/>
      <c r="CW139" s="5"/>
      <c r="CX139" s="4"/>
      <c r="CY139" s="27"/>
      <c r="CZ139" s="3"/>
      <c r="DA139" s="7"/>
    </row>
    <row r="140" spans="1:109" ht="13.7" customHeight="1">
      <c r="B140" s="93"/>
      <c r="C140" s="82"/>
      <c r="D140" s="71"/>
      <c r="E140" s="82"/>
      <c r="F140" s="95" t="s">
        <v>112</v>
      </c>
      <c r="G140" s="82"/>
      <c r="H140" s="82"/>
      <c r="I140" s="82"/>
      <c r="J140" s="82"/>
      <c r="K140" s="82"/>
      <c r="L140" s="82"/>
      <c r="M140" s="82"/>
      <c r="N140" s="82"/>
      <c r="O140" s="82"/>
      <c r="P140" s="82"/>
      <c r="Q140" s="82"/>
      <c r="R140" s="82"/>
      <c r="S140" s="82"/>
      <c r="T140" s="82"/>
      <c r="U140" s="82"/>
      <c r="V140" s="82"/>
      <c r="W140" s="82"/>
      <c r="X140" s="147"/>
      <c r="Y140" s="147"/>
      <c r="Z140" s="147"/>
      <c r="AA140" s="147"/>
      <c r="AB140" s="147"/>
      <c r="AC140" s="147"/>
      <c r="AD140" s="147"/>
      <c r="AE140" s="147"/>
      <c r="AF140" s="147"/>
      <c r="AG140" s="147"/>
      <c r="AH140" s="147"/>
      <c r="AI140" s="147"/>
      <c r="AJ140" s="147"/>
      <c r="AK140" s="147"/>
      <c r="AL140" s="147"/>
      <c r="AM140" s="82"/>
      <c r="AN140" s="82"/>
      <c r="AO140" s="82"/>
      <c r="AP140" s="82"/>
      <c r="AQ140" s="82"/>
      <c r="AR140" s="82"/>
      <c r="AS140" s="82"/>
      <c r="AT140" s="82"/>
      <c r="AU140" s="82"/>
      <c r="AV140" s="82"/>
      <c r="AW140" s="82"/>
      <c r="AX140" s="82"/>
      <c r="AY140" s="82"/>
      <c r="AZ140" s="94"/>
      <c r="BX140" s="257" t="s">
        <v>70</v>
      </c>
      <c r="BY140" s="257"/>
      <c r="BZ140" s="257"/>
      <c r="CA140" s="257"/>
      <c r="CB140" s="257"/>
      <c r="CC140" s="25"/>
      <c r="CD140" s="257" t="s">
        <v>70</v>
      </c>
      <c r="CE140" s="257"/>
      <c r="CF140" s="257"/>
      <c r="CG140" s="257"/>
      <c r="CH140" s="257"/>
      <c r="CI140" s="25"/>
      <c r="CJ140" s="257" t="s">
        <v>180</v>
      </c>
      <c r="CK140" s="257"/>
      <c r="CL140" s="257"/>
      <c r="CM140" s="257"/>
      <c r="CN140" s="257"/>
      <c r="CO140" s="25"/>
      <c r="CP140" s="257" t="s">
        <v>180</v>
      </c>
      <c r="CQ140" s="257"/>
      <c r="CR140" s="257"/>
      <c r="CS140" s="257"/>
      <c r="CT140" s="257"/>
      <c r="CV140" s="257" t="s">
        <v>71</v>
      </c>
      <c r="CW140" s="257"/>
      <c r="CX140" s="257"/>
      <c r="CY140" s="257"/>
      <c r="CZ140" s="257"/>
      <c r="DB140" s="251" t="s">
        <v>191</v>
      </c>
      <c r="DC140" s="251"/>
      <c r="DD140" s="251" t="s">
        <v>158</v>
      </c>
      <c r="DE140" s="251"/>
    </row>
    <row r="141" spans="1:109" ht="13.7" customHeight="1">
      <c r="B141" s="93"/>
      <c r="C141" s="82"/>
      <c r="D141" s="71"/>
      <c r="E141" s="71"/>
      <c r="F141" s="286" t="s">
        <v>27</v>
      </c>
      <c r="G141" s="286"/>
      <c r="H141" s="286"/>
      <c r="I141" s="286"/>
      <c r="J141" s="286"/>
      <c r="K141" s="286"/>
      <c r="L141" s="286" t="s">
        <v>28</v>
      </c>
      <c r="M141" s="286"/>
      <c r="N141" s="286"/>
      <c r="O141" s="286"/>
      <c r="P141" s="286"/>
      <c r="Q141" s="286"/>
      <c r="R141" s="286"/>
      <c r="S141" s="286" t="s">
        <v>72</v>
      </c>
      <c r="T141" s="286"/>
      <c r="U141" s="286"/>
      <c r="V141" s="286"/>
      <c r="W141" s="286"/>
      <c r="X141" s="326" t="s">
        <v>73</v>
      </c>
      <c r="Y141" s="326"/>
      <c r="Z141" s="326"/>
      <c r="AA141" s="326"/>
      <c r="AB141" s="326"/>
      <c r="AC141" s="326"/>
      <c r="AD141" s="326"/>
      <c r="AE141" s="326"/>
      <c r="AF141" s="326"/>
      <c r="AG141" s="326"/>
      <c r="AH141" s="326"/>
      <c r="AI141" s="326"/>
      <c r="AJ141" s="326"/>
      <c r="AK141" s="326"/>
      <c r="AL141" s="326"/>
      <c r="AM141" s="286" t="s">
        <v>74</v>
      </c>
      <c r="AN141" s="286"/>
      <c r="AO141" s="286"/>
      <c r="AP141" s="286"/>
      <c r="AQ141" s="286"/>
      <c r="AR141" s="286" t="s">
        <v>29</v>
      </c>
      <c r="AS141" s="286"/>
      <c r="AT141" s="286"/>
      <c r="AU141" s="286"/>
      <c r="AV141" s="286"/>
      <c r="AW141" s="82"/>
      <c r="AX141" s="82"/>
      <c r="AY141" s="82"/>
      <c r="AZ141" s="94"/>
      <c r="BB141" s="231" t="s">
        <v>188</v>
      </c>
      <c r="BC141" s="232"/>
      <c r="BD141" s="232"/>
      <c r="BE141" s="232"/>
      <c r="BF141" s="233"/>
      <c r="BG141" s="257" t="s">
        <v>138</v>
      </c>
      <c r="BH141" s="257"/>
      <c r="BI141" s="257"/>
      <c r="BJ141" s="257"/>
      <c r="BK141" s="257"/>
      <c r="BL141" s="257" t="s">
        <v>139</v>
      </c>
      <c r="BM141" s="257"/>
      <c r="BN141" s="257"/>
      <c r="BO141" s="257"/>
      <c r="BP141" s="257"/>
      <c r="BQ141" s="257" t="s">
        <v>144</v>
      </c>
      <c r="BR141" s="257"/>
      <c r="BS141" s="257"/>
      <c r="BT141" s="257"/>
      <c r="BU141" s="257"/>
      <c r="BX141" s="256" t="s">
        <v>75</v>
      </c>
      <c r="BY141" s="252" t="s">
        <v>137</v>
      </c>
      <c r="BZ141" s="253"/>
      <c r="CA141" s="256" t="s">
        <v>76</v>
      </c>
      <c r="CB141" s="256" t="s">
        <v>77</v>
      </c>
      <c r="CC141" s="23"/>
      <c r="CD141" s="256" t="s">
        <v>75</v>
      </c>
      <c r="CE141" s="252" t="s">
        <v>137</v>
      </c>
      <c r="CF141" s="253"/>
      <c r="CG141" s="256" t="s">
        <v>76</v>
      </c>
      <c r="CH141" s="256" t="s">
        <v>77</v>
      </c>
      <c r="CI141" s="23"/>
      <c r="CJ141" s="256" t="s">
        <v>75</v>
      </c>
      <c r="CK141" s="252" t="s">
        <v>137</v>
      </c>
      <c r="CL141" s="253"/>
      <c r="CM141" s="256" t="s">
        <v>76</v>
      </c>
      <c r="CN141" s="256" t="s">
        <v>77</v>
      </c>
      <c r="CO141" s="23"/>
      <c r="CP141" s="256" t="s">
        <v>75</v>
      </c>
      <c r="CQ141" s="252" t="s">
        <v>137</v>
      </c>
      <c r="CR141" s="253"/>
      <c r="CS141" s="256" t="s">
        <v>76</v>
      </c>
      <c r="CT141" s="256" t="s">
        <v>77</v>
      </c>
      <c r="CU141" s="22"/>
      <c r="CV141" s="133" t="s">
        <v>78</v>
      </c>
      <c r="CW141" s="21" t="s">
        <v>79</v>
      </c>
      <c r="CX141" s="133" t="s">
        <v>80</v>
      </c>
      <c r="CY141" s="256" t="s">
        <v>81</v>
      </c>
      <c r="CZ141" s="256"/>
      <c r="DA141" s="22"/>
      <c r="DB141" s="251"/>
      <c r="DC141" s="251"/>
      <c r="DD141" s="251"/>
      <c r="DE141" s="251"/>
    </row>
    <row r="142" spans="1:109" ht="13.5">
      <c r="B142" s="93"/>
      <c r="C142" s="82"/>
      <c r="D142" s="71"/>
      <c r="E142" s="71"/>
      <c r="F142" s="286"/>
      <c r="G142" s="286"/>
      <c r="H142" s="286"/>
      <c r="I142" s="286"/>
      <c r="J142" s="286"/>
      <c r="K142" s="286"/>
      <c r="L142" s="286"/>
      <c r="M142" s="286"/>
      <c r="N142" s="286"/>
      <c r="O142" s="286"/>
      <c r="P142" s="286"/>
      <c r="Q142" s="286"/>
      <c r="R142" s="286"/>
      <c r="S142" s="286"/>
      <c r="T142" s="286"/>
      <c r="U142" s="286"/>
      <c r="V142" s="286"/>
      <c r="W142" s="286"/>
      <c r="X142" s="326">
        <v>1</v>
      </c>
      <c r="Y142" s="326"/>
      <c r="Z142" s="326"/>
      <c r="AA142" s="326"/>
      <c r="AB142" s="326"/>
      <c r="AC142" s="326">
        <v>2</v>
      </c>
      <c r="AD142" s="326"/>
      <c r="AE142" s="326"/>
      <c r="AF142" s="326"/>
      <c r="AG142" s="326"/>
      <c r="AH142" s="326">
        <v>3</v>
      </c>
      <c r="AI142" s="326"/>
      <c r="AJ142" s="326"/>
      <c r="AK142" s="326"/>
      <c r="AL142" s="326"/>
      <c r="AM142" s="286"/>
      <c r="AN142" s="286"/>
      <c r="AO142" s="286"/>
      <c r="AP142" s="286"/>
      <c r="AQ142" s="286"/>
      <c r="AR142" s="286"/>
      <c r="AS142" s="286"/>
      <c r="AT142" s="286"/>
      <c r="AU142" s="286"/>
      <c r="AV142" s="286"/>
      <c r="AW142" s="82"/>
      <c r="AX142" s="82"/>
      <c r="AY142" s="82"/>
      <c r="AZ142" s="94"/>
      <c r="BB142" s="234"/>
      <c r="BC142" s="235"/>
      <c r="BD142" s="235"/>
      <c r="BE142" s="235"/>
      <c r="BF142" s="236"/>
      <c r="BG142" s="257"/>
      <c r="BH142" s="257"/>
      <c r="BI142" s="257"/>
      <c r="BJ142" s="257"/>
      <c r="BK142" s="257"/>
      <c r="BL142" s="257"/>
      <c r="BM142" s="257"/>
      <c r="BN142" s="257"/>
      <c r="BO142" s="257"/>
      <c r="BP142" s="257"/>
      <c r="BQ142" s="257"/>
      <c r="BR142" s="257"/>
      <c r="BS142" s="257"/>
      <c r="BT142" s="257"/>
      <c r="BU142" s="257"/>
      <c r="BX142" s="256"/>
      <c r="BY142" s="254"/>
      <c r="BZ142" s="255"/>
      <c r="CA142" s="256"/>
      <c r="CB142" s="256"/>
      <c r="CC142" s="23"/>
      <c r="CD142" s="256"/>
      <c r="CE142" s="254"/>
      <c r="CF142" s="255"/>
      <c r="CG142" s="256"/>
      <c r="CH142" s="256"/>
      <c r="CI142" s="23"/>
      <c r="CJ142" s="256"/>
      <c r="CK142" s="254"/>
      <c r="CL142" s="255"/>
      <c r="CM142" s="256"/>
      <c r="CN142" s="256"/>
      <c r="CO142" s="23"/>
      <c r="CP142" s="256"/>
      <c r="CQ142" s="254"/>
      <c r="CR142" s="255"/>
      <c r="CS142" s="256"/>
      <c r="CT142" s="256"/>
      <c r="CU142" s="22"/>
      <c r="CV142" s="133" t="s">
        <v>82</v>
      </c>
      <c r="CW142" s="21" t="s">
        <v>83</v>
      </c>
      <c r="CX142" s="133" t="s">
        <v>84</v>
      </c>
      <c r="CY142" s="256" t="s">
        <v>85</v>
      </c>
      <c r="CZ142" s="256"/>
      <c r="DA142" s="22"/>
      <c r="DB142" s="251"/>
      <c r="DC142" s="251"/>
      <c r="DD142" s="251"/>
      <c r="DE142" s="251"/>
    </row>
    <row r="143" spans="1:109" ht="13.7" customHeight="1">
      <c r="A143" s="72" t="s">
        <v>187</v>
      </c>
      <c r="B143" s="93"/>
      <c r="C143" s="82"/>
      <c r="D143" s="82"/>
      <c r="E143" s="82"/>
      <c r="F143" s="319" t="s">
        <v>113</v>
      </c>
      <c r="G143" s="320"/>
      <c r="H143" s="320"/>
      <c r="I143" s="320"/>
      <c r="J143" s="320"/>
      <c r="K143" s="321"/>
      <c r="L143" s="313">
        <v>3.5</v>
      </c>
      <c r="M143" s="314"/>
      <c r="N143" s="314"/>
      <c r="O143" s="314"/>
      <c r="P143" s="281" t="s">
        <v>106</v>
      </c>
      <c r="Q143" s="281"/>
      <c r="R143" s="282"/>
      <c r="S143" s="278" t="s">
        <v>30</v>
      </c>
      <c r="T143" s="278"/>
      <c r="U143" s="278"/>
      <c r="V143" s="278"/>
      <c r="W143" s="278"/>
      <c r="X143" s="263"/>
      <c r="Y143" s="263"/>
      <c r="Z143" s="263"/>
      <c r="AA143" s="263"/>
      <c r="AB143" s="263"/>
      <c r="AC143" s="263"/>
      <c r="AD143" s="263"/>
      <c r="AE143" s="263"/>
      <c r="AF143" s="263"/>
      <c r="AG143" s="263"/>
      <c r="AH143" s="263"/>
      <c r="AI143" s="263"/>
      <c r="AJ143" s="263"/>
      <c r="AK143" s="263"/>
      <c r="AL143" s="263"/>
      <c r="AM143" s="287" t="e">
        <f>AVERAGE(X143:AL143)</f>
        <v>#DIV/0!</v>
      </c>
      <c r="AN143" s="287"/>
      <c r="AO143" s="287"/>
      <c r="AP143" s="287"/>
      <c r="AQ143" s="287"/>
      <c r="AR143" s="287" t="e">
        <f>AM143-L143</f>
        <v>#DIV/0!</v>
      </c>
      <c r="AS143" s="287"/>
      <c r="AT143" s="287"/>
      <c r="AU143" s="287"/>
      <c r="AV143" s="287"/>
      <c r="AW143" s="82"/>
      <c r="AX143" s="82"/>
      <c r="AY143" s="82"/>
      <c r="AZ143" s="94"/>
      <c r="BB143" s="404">
        <v>0</v>
      </c>
      <c r="BC143" s="404"/>
      <c r="BD143" s="404"/>
      <c r="BE143" s="404"/>
      <c r="BF143" s="404"/>
      <c r="BG143" s="404">
        <v>3.1</v>
      </c>
      <c r="BH143" s="404"/>
      <c r="BI143" s="404"/>
      <c r="BJ143" s="404"/>
      <c r="BK143" s="404"/>
      <c r="BL143" s="239">
        <v>2</v>
      </c>
      <c r="BM143" s="239"/>
      <c r="BN143" s="239"/>
      <c r="BO143" s="239"/>
      <c r="BP143" s="239"/>
      <c r="BQ143" s="265" t="e">
        <f>IF(AND(AVERAGE(X143:AL143)&lt;=BG143,AVERAGE(X143:AL143)&gt;=BL143),"PASS","FAIL")</f>
        <v>#DIV/0!</v>
      </c>
      <c r="BR143" s="265"/>
      <c r="BS143" s="265"/>
      <c r="BT143" s="265"/>
      <c r="BU143" s="265"/>
      <c r="BX143" s="20" t="s">
        <v>86</v>
      </c>
      <c r="BY143" s="15">
        <v>5.5000000000000002E-5</v>
      </c>
      <c r="BZ143" s="19" t="str">
        <f>P143</f>
        <v>kΩ</v>
      </c>
      <c r="CA143" s="20">
        <v>2</v>
      </c>
      <c r="CB143" s="16">
        <f>BY143/CA143</f>
        <v>2.7500000000000001E-5</v>
      </c>
      <c r="CC143" s="6"/>
      <c r="CD143" s="20" t="s">
        <v>170</v>
      </c>
      <c r="CE143" s="15">
        <v>0</v>
      </c>
      <c r="CF143" s="19" t="str">
        <f>P143</f>
        <v>kΩ</v>
      </c>
      <c r="CG143" s="18">
        <f>SQRT(3)</f>
        <v>1.7320508075688772</v>
      </c>
      <c r="CH143" s="16">
        <f>CE143/CG143</f>
        <v>0</v>
      </c>
      <c r="CI143" s="6"/>
      <c r="CJ143" s="20" t="s">
        <v>87</v>
      </c>
      <c r="CK143" s="20">
        <v>1E-4</v>
      </c>
      <c r="CL143" s="19" t="str">
        <f>P143</f>
        <v>kΩ</v>
      </c>
      <c r="CM143" s="18">
        <f>SQRT(12)</f>
        <v>3.4641016151377544</v>
      </c>
      <c r="CN143" s="16">
        <f>CK143/CM143</f>
        <v>2.8867513459481293E-5</v>
      </c>
      <c r="CO143" s="6"/>
      <c r="CP143" s="20" t="s">
        <v>88</v>
      </c>
      <c r="CQ143" s="17" t="e">
        <f>STDEV(X143:AL143)</f>
        <v>#DIV/0!</v>
      </c>
      <c r="CR143" s="19" t="str">
        <f>P143</f>
        <v>kΩ</v>
      </c>
      <c r="CS143" s="18">
        <f>SQRT(3)</f>
        <v>1.7320508075688772</v>
      </c>
      <c r="CT143" s="17" t="e">
        <f>CQ143/CS143</f>
        <v>#DIV/0!</v>
      </c>
      <c r="CU143" s="7"/>
      <c r="CV143" s="16" t="e">
        <f>SQRT(SUMSQ(CT143,CN143,CH143,CB143))</f>
        <v>#DIV/0!</v>
      </c>
      <c r="CW143" s="14" t="e">
        <f>(CV143^4)/(((CT143^4)/2)+((CN143^4)/200)+((CH143^4)/200)+((CB143^4)/200))</f>
        <v>#DIV/0!</v>
      </c>
      <c r="CX143" s="14" t="e">
        <f>ROUND(TINV(0.05,CW143),0)</f>
        <v>#DIV/0!</v>
      </c>
      <c r="CY143" s="26" t="e">
        <f>(CV143*CX143)</f>
        <v>#DIV/0!</v>
      </c>
      <c r="CZ143" s="12" t="str">
        <f>P143</f>
        <v>kΩ</v>
      </c>
      <c r="DA143" s="7"/>
      <c r="DB143" s="122">
        <v>2.3000000000000001E-4</v>
      </c>
      <c r="DC143" s="123" t="str">
        <f t="shared" ref="DC143" si="186">CZ143</f>
        <v>kΩ</v>
      </c>
      <c r="DD143" s="125" t="e">
        <f t="shared" ref="DD143" si="187">MAX(DB143,CY143)</f>
        <v>#DIV/0!</v>
      </c>
      <c r="DE143" s="123" t="str">
        <f>DC143</f>
        <v>kΩ</v>
      </c>
    </row>
    <row r="144" spans="1:109" ht="13.5">
      <c r="B144" s="93"/>
      <c r="C144" s="82"/>
      <c r="D144" s="82"/>
      <c r="E144" s="82"/>
      <c r="F144" s="82"/>
      <c r="G144" s="82"/>
      <c r="H144" s="82"/>
      <c r="I144" s="82"/>
      <c r="J144" s="82"/>
      <c r="K144" s="82"/>
      <c r="L144" s="82"/>
      <c r="M144" s="82"/>
      <c r="N144" s="82"/>
      <c r="O144" s="82"/>
      <c r="P144" s="82"/>
      <c r="Q144" s="82"/>
      <c r="R144" s="82"/>
      <c r="S144" s="82"/>
      <c r="T144" s="82"/>
      <c r="U144" s="82"/>
      <c r="V144" s="82"/>
      <c r="W144" s="82"/>
      <c r="X144" s="147"/>
      <c r="Y144" s="147"/>
      <c r="Z144" s="147"/>
      <c r="AA144" s="147"/>
      <c r="AB144" s="147"/>
      <c r="AC144" s="147"/>
      <c r="AD144" s="147"/>
      <c r="AE144" s="147"/>
      <c r="AF144" s="147"/>
      <c r="AG144" s="147"/>
      <c r="AH144" s="147"/>
      <c r="AI144" s="147"/>
      <c r="AJ144" s="147"/>
      <c r="AK144" s="147"/>
      <c r="AL144" s="147"/>
      <c r="AM144" s="82"/>
      <c r="AN144" s="82"/>
      <c r="AO144" s="82"/>
      <c r="AP144" s="82"/>
      <c r="AQ144" s="82"/>
      <c r="AR144" s="82"/>
      <c r="AS144" s="82"/>
      <c r="AT144" s="82"/>
      <c r="AU144" s="82"/>
      <c r="AV144" s="82"/>
      <c r="AW144" s="82"/>
      <c r="AX144" s="82"/>
      <c r="AY144" s="82"/>
      <c r="AZ144" s="94"/>
    </row>
    <row r="145" spans="2:109" ht="13.7" customHeight="1">
      <c r="B145" s="93"/>
      <c r="C145" s="82"/>
      <c r="D145" s="71"/>
      <c r="E145" s="82"/>
      <c r="F145" s="95" t="s">
        <v>120</v>
      </c>
      <c r="G145" s="82"/>
      <c r="H145" s="82"/>
      <c r="I145" s="82"/>
      <c r="J145" s="82"/>
      <c r="K145" s="82"/>
      <c r="L145" s="82"/>
      <c r="M145" s="82"/>
      <c r="N145" s="82"/>
      <c r="O145" s="82"/>
      <c r="P145" s="82"/>
      <c r="Q145" s="82"/>
      <c r="R145" s="82"/>
      <c r="S145" s="82"/>
      <c r="T145" s="82"/>
      <c r="U145" s="82"/>
      <c r="V145" s="82"/>
      <c r="W145" s="82"/>
      <c r="X145" s="147"/>
      <c r="Y145" s="147"/>
      <c r="Z145" s="147"/>
      <c r="AA145" s="147"/>
      <c r="AB145" s="147"/>
      <c r="AC145" s="147"/>
      <c r="AD145" s="147"/>
      <c r="AE145" s="147"/>
      <c r="AF145" s="147"/>
      <c r="AG145" s="147"/>
      <c r="AH145" s="147"/>
      <c r="AI145" s="147"/>
      <c r="AJ145" s="147"/>
      <c r="AK145" s="147"/>
      <c r="AL145" s="147"/>
      <c r="AM145" s="82"/>
      <c r="AN145" s="82"/>
      <c r="AO145" s="82"/>
      <c r="AP145" s="82"/>
      <c r="AQ145" s="82"/>
      <c r="AR145" s="82"/>
      <c r="AS145" s="82"/>
      <c r="AT145" s="82"/>
      <c r="AU145" s="82"/>
      <c r="AV145" s="82"/>
      <c r="AW145" s="82"/>
      <c r="AX145" s="82"/>
      <c r="AY145" s="82"/>
      <c r="AZ145" s="94"/>
      <c r="BX145" s="257" t="s">
        <v>70</v>
      </c>
      <c r="BY145" s="257"/>
      <c r="BZ145" s="257"/>
      <c r="CA145" s="257"/>
      <c r="CB145" s="257"/>
      <c r="CC145" s="25"/>
      <c r="CD145" s="257" t="s">
        <v>70</v>
      </c>
      <c r="CE145" s="257"/>
      <c r="CF145" s="257"/>
      <c r="CG145" s="257"/>
      <c r="CH145" s="257"/>
      <c r="CI145" s="25"/>
      <c r="CJ145" s="257" t="s">
        <v>180</v>
      </c>
      <c r="CK145" s="257"/>
      <c r="CL145" s="257"/>
      <c r="CM145" s="257"/>
      <c r="CN145" s="257"/>
      <c r="CO145" s="25"/>
      <c r="CP145" s="257" t="s">
        <v>180</v>
      </c>
      <c r="CQ145" s="257"/>
      <c r="CR145" s="257"/>
      <c r="CS145" s="257"/>
      <c r="CT145" s="257"/>
      <c r="CV145" s="257" t="s">
        <v>71</v>
      </c>
      <c r="CW145" s="257"/>
      <c r="CX145" s="257"/>
      <c r="CY145" s="257"/>
      <c r="CZ145" s="257"/>
      <c r="DB145" s="251" t="s">
        <v>191</v>
      </c>
      <c r="DC145" s="251"/>
      <c r="DD145" s="251" t="s">
        <v>158</v>
      </c>
      <c r="DE145" s="251"/>
    </row>
    <row r="146" spans="2:109" ht="13.7" customHeight="1">
      <c r="B146" s="93"/>
      <c r="C146" s="82"/>
      <c r="D146" s="71"/>
      <c r="E146" s="71"/>
      <c r="F146" s="286" t="s">
        <v>27</v>
      </c>
      <c r="G146" s="286"/>
      <c r="H146" s="286"/>
      <c r="I146" s="286"/>
      <c r="J146" s="286"/>
      <c r="K146" s="286"/>
      <c r="L146" s="286" t="s">
        <v>28</v>
      </c>
      <c r="M146" s="286"/>
      <c r="N146" s="286"/>
      <c r="O146" s="286"/>
      <c r="P146" s="286"/>
      <c r="Q146" s="286"/>
      <c r="R146" s="286"/>
      <c r="S146" s="286" t="s">
        <v>72</v>
      </c>
      <c r="T146" s="286"/>
      <c r="U146" s="286"/>
      <c r="V146" s="286"/>
      <c r="W146" s="286"/>
      <c r="X146" s="326" t="s">
        <v>73</v>
      </c>
      <c r="Y146" s="326"/>
      <c r="Z146" s="326"/>
      <c r="AA146" s="326"/>
      <c r="AB146" s="326"/>
      <c r="AC146" s="326"/>
      <c r="AD146" s="326"/>
      <c r="AE146" s="326"/>
      <c r="AF146" s="326"/>
      <c r="AG146" s="326"/>
      <c r="AH146" s="326"/>
      <c r="AI146" s="326"/>
      <c r="AJ146" s="326"/>
      <c r="AK146" s="326"/>
      <c r="AL146" s="326"/>
      <c r="AM146" s="286" t="s">
        <v>74</v>
      </c>
      <c r="AN146" s="286"/>
      <c r="AO146" s="286"/>
      <c r="AP146" s="286"/>
      <c r="AQ146" s="286"/>
      <c r="AR146" s="286" t="s">
        <v>29</v>
      </c>
      <c r="AS146" s="286"/>
      <c r="AT146" s="286"/>
      <c r="AU146" s="286"/>
      <c r="AV146" s="286"/>
      <c r="AW146" s="82"/>
      <c r="AX146" s="82"/>
      <c r="AY146" s="82"/>
      <c r="AZ146" s="94"/>
      <c r="BB146" s="231" t="s">
        <v>188</v>
      </c>
      <c r="BC146" s="232"/>
      <c r="BD146" s="232"/>
      <c r="BE146" s="232"/>
      <c r="BF146" s="233"/>
      <c r="BG146" s="257" t="s">
        <v>138</v>
      </c>
      <c r="BH146" s="257"/>
      <c r="BI146" s="257"/>
      <c r="BJ146" s="257"/>
      <c r="BK146" s="257"/>
      <c r="BL146" s="257" t="s">
        <v>139</v>
      </c>
      <c r="BM146" s="257"/>
      <c r="BN146" s="257"/>
      <c r="BO146" s="257"/>
      <c r="BP146" s="257"/>
      <c r="BQ146" s="257" t="s">
        <v>144</v>
      </c>
      <c r="BR146" s="257"/>
      <c r="BS146" s="257"/>
      <c r="BT146" s="257"/>
      <c r="BU146" s="257"/>
      <c r="BX146" s="256" t="s">
        <v>75</v>
      </c>
      <c r="BY146" s="252" t="s">
        <v>137</v>
      </c>
      <c r="BZ146" s="253"/>
      <c r="CA146" s="256" t="s">
        <v>76</v>
      </c>
      <c r="CB146" s="256" t="s">
        <v>77</v>
      </c>
      <c r="CC146" s="23"/>
      <c r="CD146" s="256" t="s">
        <v>75</v>
      </c>
      <c r="CE146" s="252" t="s">
        <v>137</v>
      </c>
      <c r="CF146" s="253"/>
      <c r="CG146" s="256" t="s">
        <v>76</v>
      </c>
      <c r="CH146" s="256" t="s">
        <v>77</v>
      </c>
      <c r="CI146" s="23"/>
      <c r="CJ146" s="256" t="s">
        <v>75</v>
      </c>
      <c r="CK146" s="252" t="s">
        <v>137</v>
      </c>
      <c r="CL146" s="253"/>
      <c r="CM146" s="256" t="s">
        <v>76</v>
      </c>
      <c r="CN146" s="256" t="s">
        <v>77</v>
      </c>
      <c r="CO146" s="23"/>
      <c r="CP146" s="256" t="s">
        <v>75</v>
      </c>
      <c r="CQ146" s="252" t="s">
        <v>137</v>
      </c>
      <c r="CR146" s="253"/>
      <c r="CS146" s="256" t="s">
        <v>76</v>
      </c>
      <c r="CT146" s="256" t="s">
        <v>77</v>
      </c>
      <c r="CU146" s="22"/>
      <c r="CV146" s="133" t="s">
        <v>78</v>
      </c>
      <c r="CW146" s="21" t="s">
        <v>79</v>
      </c>
      <c r="CX146" s="133" t="s">
        <v>80</v>
      </c>
      <c r="CY146" s="256" t="s">
        <v>81</v>
      </c>
      <c r="CZ146" s="256"/>
      <c r="DA146" s="22"/>
      <c r="DB146" s="251"/>
      <c r="DC146" s="251"/>
      <c r="DD146" s="251"/>
      <c r="DE146" s="251"/>
    </row>
    <row r="147" spans="2:109" ht="13.5">
      <c r="B147" s="93"/>
      <c r="C147" s="82"/>
      <c r="D147" s="71"/>
      <c r="E147" s="71"/>
      <c r="F147" s="286"/>
      <c r="G147" s="286"/>
      <c r="H147" s="286"/>
      <c r="I147" s="286"/>
      <c r="J147" s="286"/>
      <c r="K147" s="286"/>
      <c r="L147" s="286"/>
      <c r="M147" s="286"/>
      <c r="N147" s="286"/>
      <c r="O147" s="286"/>
      <c r="P147" s="286"/>
      <c r="Q147" s="286"/>
      <c r="R147" s="286"/>
      <c r="S147" s="286"/>
      <c r="T147" s="286"/>
      <c r="U147" s="286"/>
      <c r="V147" s="286"/>
      <c r="W147" s="286"/>
      <c r="X147" s="326">
        <v>1</v>
      </c>
      <c r="Y147" s="326"/>
      <c r="Z147" s="326"/>
      <c r="AA147" s="326"/>
      <c r="AB147" s="326"/>
      <c r="AC147" s="326">
        <v>2</v>
      </c>
      <c r="AD147" s="326"/>
      <c r="AE147" s="326"/>
      <c r="AF147" s="326"/>
      <c r="AG147" s="326"/>
      <c r="AH147" s="326">
        <v>3</v>
      </c>
      <c r="AI147" s="326"/>
      <c r="AJ147" s="326"/>
      <c r="AK147" s="326"/>
      <c r="AL147" s="326"/>
      <c r="AM147" s="286"/>
      <c r="AN147" s="286"/>
      <c r="AO147" s="286"/>
      <c r="AP147" s="286"/>
      <c r="AQ147" s="286"/>
      <c r="AR147" s="286"/>
      <c r="AS147" s="286"/>
      <c r="AT147" s="286"/>
      <c r="AU147" s="286"/>
      <c r="AV147" s="286"/>
      <c r="AW147" s="82"/>
      <c r="AX147" s="82"/>
      <c r="AY147" s="82"/>
      <c r="AZ147" s="94"/>
      <c r="BB147" s="234"/>
      <c r="BC147" s="235"/>
      <c r="BD147" s="235"/>
      <c r="BE147" s="235"/>
      <c r="BF147" s="236"/>
      <c r="BG147" s="257"/>
      <c r="BH147" s="257"/>
      <c r="BI147" s="257"/>
      <c r="BJ147" s="257"/>
      <c r="BK147" s="257"/>
      <c r="BL147" s="257"/>
      <c r="BM147" s="257"/>
      <c r="BN147" s="257"/>
      <c r="BO147" s="257"/>
      <c r="BP147" s="257"/>
      <c r="BQ147" s="257"/>
      <c r="BR147" s="257"/>
      <c r="BS147" s="257"/>
      <c r="BT147" s="257"/>
      <c r="BU147" s="257"/>
      <c r="BX147" s="256"/>
      <c r="BY147" s="254"/>
      <c r="BZ147" s="255"/>
      <c r="CA147" s="256"/>
      <c r="CB147" s="256"/>
      <c r="CC147" s="23"/>
      <c r="CD147" s="256"/>
      <c r="CE147" s="254"/>
      <c r="CF147" s="255"/>
      <c r="CG147" s="256"/>
      <c r="CH147" s="256"/>
      <c r="CI147" s="23"/>
      <c r="CJ147" s="256"/>
      <c r="CK147" s="254"/>
      <c r="CL147" s="255"/>
      <c r="CM147" s="256"/>
      <c r="CN147" s="256"/>
      <c r="CO147" s="23"/>
      <c r="CP147" s="256"/>
      <c r="CQ147" s="254"/>
      <c r="CR147" s="255"/>
      <c r="CS147" s="256"/>
      <c r="CT147" s="256"/>
      <c r="CU147" s="22"/>
      <c r="CV147" s="133" t="s">
        <v>82</v>
      </c>
      <c r="CW147" s="21" t="s">
        <v>83</v>
      </c>
      <c r="CX147" s="133" t="s">
        <v>84</v>
      </c>
      <c r="CY147" s="256" t="s">
        <v>85</v>
      </c>
      <c r="CZ147" s="256"/>
      <c r="DA147" s="22"/>
      <c r="DB147" s="251"/>
      <c r="DC147" s="251"/>
      <c r="DD147" s="251"/>
      <c r="DE147" s="251"/>
    </row>
    <row r="148" spans="2:109" ht="13.7" customHeight="1">
      <c r="B148" s="93"/>
      <c r="C148" s="82"/>
      <c r="D148" s="82"/>
      <c r="E148" s="82"/>
      <c r="F148" s="330" t="s">
        <v>179</v>
      </c>
      <c r="G148" s="330"/>
      <c r="H148" s="330"/>
      <c r="I148" s="330"/>
      <c r="J148" s="330"/>
      <c r="K148" s="330"/>
      <c r="L148" s="313">
        <v>500</v>
      </c>
      <c r="M148" s="314"/>
      <c r="N148" s="314"/>
      <c r="O148" s="314"/>
      <c r="P148" s="281" t="s">
        <v>176</v>
      </c>
      <c r="Q148" s="281"/>
      <c r="R148" s="282"/>
      <c r="S148" s="278" t="s">
        <v>30</v>
      </c>
      <c r="T148" s="278"/>
      <c r="U148" s="278"/>
      <c r="V148" s="278"/>
      <c r="W148" s="278"/>
      <c r="X148" s="264"/>
      <c r="Y148" s="264"/>
      <c r="Z148" s="264"/>
      <c r="AA148" s="264"/>
      <c r="AB148" s="264"/>
      <c r="AC148" s="264"/>
      <c r="AD148" s="264"/>
      <c r="AE148" s="264"/>
      <c r="AF148" s="264"/>
      <c r="AG148" s="264"/>
      <c r="AH148" s="264"/>
      <c r="AI148" s="264"/>
      <c r="AJ148" s="264"/>
      <c r="AK148" s="264"/>
      <c r="AL148" s="264"/>
      <c r="AM148" s="259" t="e">
        <f>AVERAGE(X148:AL148)</f>
        <v>#DIV/0!</v>
      </c>
      <c r="AN148" s="259"/>
      <c r="AO148" s="259"/>
      <c r="AP148" s="259"/>
      <c r="AQ148" s="259"/>
      <c r="AR148" s="259" t="e">
        <f t="shared" ref="AR148:AR154" si="188">AM148-L148</f>
        <v>#DIV/0!</v>
      </c>
      <c r="AS148" s="259"/>
      <c r="AT148" s="259"/>
      <c r="AU148" s="259"/>
      <c r="AV148" s="259"/>
      <c r="AW148" s="82"/>
      <c r="AX148" s="82"/>
      <c r="AY148" s="82"/>
      <c r="AZ148" s="94"/>
      <c r="BB148" s="237" t="e">
        <f>ABS(0.075%*AM148)+(20*CK148)</f>
        <v>#DIV/0!</v>
      </c>
      <c r="BC148" s="237"/>
      <c r="BD148" s="237"/>
      <c r="BE148" s="237"/>
      <c r="BF148" s="237"/>
      <c r="BG148" s="237">
        <v>500.58</v>
      </c>
      <c r="BH148" s="237"/>
      <c r="BI148" s="237"/>
      <c r="BJ148" s="237"/>
      <c r="BK148" s="237"/>
      <c r="BL148" s="237">
        <v>499.42</v>
      </c>
      <c r="BM148" s="237"/>
      <c r="BN148" s="237"/>
      <c r="BO148" s="237"/>
      <c r="BP148" s="237"/>
      <c r="BQ148" s="265" t="e">
        <f t="shared" ref="BQ148:BQ154" si="189">IF(AND(AVERAGE(X148:AL148)&lt;=BG148,AVERAGE(X148:AL148)&gt;=BL148),"PASS","FAIL")</f>
        <v>#DIV/0!</v>
      </c>
      <c r="BR148" s="265"/>
      <c r="BS148" s="265"/>
      <c r="BT148" s="265"/>
      <c r="BU148" s="265"/>
      <c r="BX148" s="20" t="s">
        <v>86</v>
      </c>
      <c r="BY148" s="20">
        <v>0.09</v>
      </c>
      <c r="BZ148" s="19" t="str">
        <f t="shared" ref="BZ148:BZ154" si="190">P148</f>
        <v>µA</v>
      </c>
      <c r="CA148" s="20">
        <v>2</v>
      </c>
      <c r="CB148" s="16">
        <f t="shared" ref="CB148:CB154" si="191">BY148/CA148</f>
        <v>4.4999999999999998E-2</v>
      </c>
      <c r="CC148" s="6"/>
      <c r="CD148" s="20" t="s">
        <v>170</v>
      </c>
      <c r="CE148" s="15">
        <v>0</v>
      </c>
      <c r="CF148" s="19" t="str">
        <f t="shared" ref="CF148:CF154" si="192">P148</f>
        <v>µA</v>
      </c>
      <c r="CG148" s="18">
        <f t="shared" ref="CG148:CG154" si="193">SQRT(3)</f>
        <v>1.7320508075688772</v>
      </c>
      <c r="CH148" s="16">
        <f t="shared" ref="CH148:CH154" si="194">CE148/CG148</f>
        <v>0</v>
      </c>
      <c r="CI148" s="6"/>
      <c r="CJ148" s="20" t="s">
        <v>87</v>
      </c>
      <c r="CK148" s="20">
        <v>0.01</v>
      </c>
      <c r="CL148" s="19" t="str">
        <f t="shared" ref="CL148:CL154" si="195">P148</f>
        <v>µA</v>
      </c>
      <c r="CM148" s="18">
        <f t="shared" ref="CM148:CM154" si="196">SQRT(12)</f>
        <v>3.4641016151377544</v>
      </c>
      <c r="CN148" s="16">
        <f t="shared" ref="CN148:CN154" si="197">CK148/CM148</f>
        <v>2.886751345948129E-3</v>
      </c>
      <c r="CO148" s="6"/>
      <c r="CP148" s="20" t="s">
        <v>88</v>
      </c>
      <c r="CQ148" s="17" t="e">
        <f t="shared" ref="CQ148:CQ154" si="198">STDEV(X148:AL148)</f>
        <v>#DIV/0!</v>
      </c>
      <c r="CR148" s="19" t="str">
        <f t="shared" ref="CR148:CR154" si="199">P148</f>
        <v>µA</v>
      </c>
      <c r="CS148" s="18">
        <f t="shared" ref="CS148:CS154" si="200">SQRT(3)</f>
        <v>1.7320508075688772</v>
      </c>
      <c r="CT148" s="17" t="e">
        <f t="shared" ref="CT148:CT154" si="201">CQ148/CS148</f>
        <v>#DIV/0!</v>
      </c>
      <c r="CU148" s="7"/>
      <c r="CV148" s="16" t="e">
        <f t="shared" ref="CV148:CV154" si="202">SQRT(SUMSQ(CT148,CN148,CH148,CB148))</f>
        <v>#DIV/0!</v>
      </c>
      <c r="CW148" s="14" t="e">
        <f t="shared" ref="CW148:CW154" si="203">(CV148^4)/(((CT148^4)/2)+((CN148^4)/200)+((CH148^4)/200)+((CB148^4)/200))</f>
        <v>#DIV/0!</v>
      </c>
      <c r="CX148" s="14" t="e">
        <f t="shared" ref="CX148:CX154" si="204">ROUND(TINV(0.05,CW148),0)</f>
        <v>#DIV/0!</v>
      </c>
      <c r="CY148" s="13" t="e">
        <f t="shared" ref="CY148:CY154" si="205">(CV148*CX148)</f>
        <v>#DIV/0!</v>
      </c>
      <c r="CZ148" s="12" t="str">
        <f t="shared" ref="CZ148:CZ154" si="206">P148</f>
        <v>µA</v>
      </c>
      <c r="DA148" s="7"/>
      <c r="DB148" s="122">
        <v>6.4000000000000001E-2</v>
      </c>
      <c r="DC148" s="123" t="str">
        <f t="shared" ref="DC148:DC154" si="207">CZ148</f>
        <v>µA</v>
      </c>
      <c r="DD148" s="125" t="e">
        <f t="shared" ref="DD148:DD154" si="208">MAX(DB148,CY148)</f>
        <v>#DIV/0!</v>
      </c>
      <c r="DE148" s="123" t="str">
        <f t="shared" ref="DE148:DE154" si="209">DC148</f>
        <v>µA</v>
      </c>
    </row>
    <row r="149" spans="2:109" ht="13.7" customHeight="1">
      <c r="B149" s="93"/>
      <c r="C149" s="82"/>
      <c r="D149" s="82"/>
      <c r="E149" s="82"/>
      <c r="F149" s="330" t="s">
        <v>175</v>
      </c>
      <c r="G149" s="330"/>
      <c r="H149" s="330"/>
      <c r="I149" s="330"/>
      <c r="J149" s="330"/>
      <c r="K149" s="330"/>
      <c r="L149" s="313">
        <v>5000</v>
      </c>
      <c r="M149" s="314"/>
      <c r="N149" s="314"/>
      <c r="O149" s="314"/>
      <c r="P149" s="281" t="s">
        <v>176</v>
      </c>
      <c r="Q149" s="281"/>
      <c r="R149" s="282"/>
      <c r="S149" s="278" t="s">
        <v>30</v>
      </c>
      <c r="T149" s="278"/>
      <c r="U149" s="278"/>
      <c r="V149" s="278"/>
      <c r="W149" s="278"/>
      <c r="X149" s="352"/>
      <c r="Y149" s="353"/>
      <c r="Z149" s="353"/>
      <c r="AA149" s="353"/>
      <c r="AB149" s="354"/>
      <c r="AC149" s="352"/>
      <c r="AD149" s="353"/>
      <c r="AE149" s="353"/>
      <c r="AF149" s="353"/>
      <c r="AG149" s="354"/>
      <c r="AH149" s="352"/>
      <c r="AI149" s="353"/>
      <c r="AJ149" s="353"/>
      <c r="AK149" s="353"/>
      <c r="AL149" s="354"/>
      <c r="AM149" s="362" t="e">
        <f t="shared" ref="AM149:AM154" si="210">AVERAGE(X149:AL149)</f>
        <v>#DIV/0!</v>
      </c>
      <c r="AN149" s="362"/>
      <c r="AO149" s="362"/>
      <c r="AP149" s="362"/>
      <c r="AQ149" s="362"/>
      <c r="AR149" s="362" t="e">
        <f t="shared" si="188"/>
        <v>#DIV/0!</v>
      </c>
      <c r="AS149" s="362"/>
      <c r="AT149" s="362"/>
      <c r="AU149" s="362"/>
      <c r="AV149" s="362"/>
      <c r="AW149" s="82"/>
      <c r="AX149" s="82"/>
      <c r="AY149" s="82"/>
      <c r="AZ149" s="94"/>
      <c r="BB149" s="238" t="e">
        <f>ABS(0.075%*AM149)+(2*CK149)</f>
        <v>#DIV/0!</v>
      </c>
      <c r="BC149" s="238"/>
      <c r="BD149" s="238"/>
      <c r="BE149" s="238"/>
      <c r="BF149" s="238"/>
      <c r="BG149" s="238">
        <v>5004</v>
      </c>
      <c r="BH149" s="238"/>
      <c r="BI149" s="238"/>
      <c r="BJ149" s="238"/>
      <c r="BK149" s="238"/>
      <c r="BL149" s="238">
        <v>4996</v>
      </c>
      <c r="BM149" s="238"/>
      <c r="BN149" s="238"/>
      <c r="BO149" s="238"/>
      <c r="BP149" s="238"/>
      <c r="BQ149" s="265" t="e">
        <f t="shared" si="189"/>
        <v>#DIV/0!</v>
      </c>
      <c r="BR149" s="265"/>
      <c r="BS149" s="265"/>
      <c r="BT149" s="265"/>
      <c r="BU149" s="265"/>
      <c r="BX149" s="20" t="s">
        <v>86</v>
      </c>
      <c r="BY149" s="20">
        <v>0.38</v>
      </c>
      <c r="BZ149" s="19" t="str">
        <f t="shared" si="190"/>
        <v>µA</v>
      </c>
      <c r="CA149" s="20">
        <v>2</v>
      </c>
      <c r="CB149" s="16">
        <f t="shared" si="191"/>
        <v>0.19</v>
      </c>
      <c r="CC149" s="6"/>
      <c r="CD149" s="20" t="s">
        <v>170</v>
      </c>
      <c r="CE149" s="15">
        <v>0</v>
      </c>
      <c r="CF149" s="19" t="str">
        <f t="shared" si="192"/>
        <v>µA</v>
      </c>
      <c r="CG149" s="18">
        <f t="shared" si="193"/>
        <v>1.7320508075688772</v>
      </c>
      <c r="CH149" s="16">
        <f t="shared" si="194"/>
        <v>0</v>
      </c>
      <c r="CI149" s="6"/>
      <c r="CJ149" s="20" t="s">
        <v>87</v>
      </c>
      <c r="CK149" s="20">
        <v>0.1</v>
      </c>
      <c r="CL149" s="19" t="str">
        <f t="shared" si="195"/>
        <v>µA</v>
      </c>
      <c r="CM149" s="18">
        <f t="shared" si="196"/>
        <v>3.4641016151377544</v>
      </c>
      <c r="CN149" s="16">
        <f t="shared" si="197"/>
        <v>2.8867513459481291E-2</v>
      </c>
      <c r="CO149" s="6"/>
      <c r="CP149" s="20" t="s">
        <v>88</v>
      </c>
      <c r="CQ149" s="17" t="e">
        <f t="shared" si="198"/>
        <v>#DIV/0!</v>
      </c>
      <c r="CR149" s="19" t="str">
        <f t="shared" si="199"/>
        <v>µA</v>
      </c>
      <c r="CS149" s="18">
        <f t="shared" si="200"/>
        <v>1.7320508075688772</v>
      </c>
      <c r="CT149" s="17" t="e">
        <f t="shared" si="201"/>
        <v>#DIV/0!</v>
      </c>
      <c r="CU149" s="7"/>
      <c r="CV149" s="16" t="e">
        <f t="shared" si="202"/>
        <v>#DIV/0!</v>
      </c>
      <c r="CW149" s="14" t="e">
        <f t="shared" si="203"/>
        <v>#DIV/0!</v>
      </c>
      <c r="CX149" s="14" t="e">
        <f t="shared" si="204"/>
        <v>#DIV/0!</v>
      </c>
      <c r="CY149" s="13" t="e">
        <f t="shared" si="205"/>
        <v>#DIV/0!</v>
      </c>
      <c r="CZ149" s="12" t="str">
        <f t="shared" si="206"/>
        <v>µA</v>
      </c>
      <c r="DA149" s="7"/>
      <c r="DB149" s="122">
        <v>0.45</v>
      </c>
      <c r="DC149" s="123" t="str">
        <f t="shared" si="207"/>
        <v>µA</v>
      </c>
      <c r="DD149" s="125" t="e">
        <f t="shared" si="208"/>
        <v>#DIV/0!</v>
      </c>
      <c r="DE149" s="123" t="str">
        <f t="shared" si="209"/>
        <v>µA</v>
      </c>
    </row>
    <row r="150" spans="2:109" ht="13.7" customHeight="1">
      <c r="B150" s="93"/>
      <c r="C150" s="82"/>
      <c r="D150" s="82"/>
      <c r="E150" s="82"/>
      <c r="F150" s="341" t="s">
        <v>116</v>
      </c>
      <c r="G150" s="342"/>
      <c r="H150" s="342"/>
      <c r="I150" s="342"/>
      <c r="J150" s="342"/>
      <c r="K150" s="343"/>
      <c r="L150" s="313">
        <v>0.1</v>
      </c>
      <c r="M150" s="314"/>
      <c r="N150" s="314"/>
      <c r="O150" s="314"/>
      <c r="P150" s="281" t="s">
        <v>117</v>
      </c>
      <c r="Q150" s="281"/>
      <c r="R150" s="282"/>
      <c r="S150" s="278" t="s">
        <v>30</v>
      </c>
      <c r="T150" s="278"/>
      <c r="U150" s="278"/>
      <c r="V150" s="278"/>
      <c r="W150" s="278"/>
      <c r="X150" s="283"/>
      <c r="Y150" s="283"/>
      <c r="Z150" s="283"/>
      <c r="AA150" s="283"/>
      <c r="AB150" s="283"/>
      <c r="AC150" s="283"/>
      <c r="AD150" s="283"/>
      <c r="AE150" s="283"/>
      <c r="AF150" s="283"/>
      <c r="AG150" s="283"/>
      <c r="AH150" s="283"/>
      <c r="AI150" s="283"/>
      <c r="AJ150" s="283"/>
      <c r="AK150" s="283"/>
      <c r="AL150" s="283"/>
      <c r="AM150" s="284" t="e">
        <f t="shared" si="210"/>
        <v>#DIV/0!</v>
      </c>
      <c r="AN150" s="284"/>
      <c r="AO150" s="284"/>
      <c r="AP150" s="284"/>
      <c r="AQ150" s="284"/>
      <c r="AR150" s="284" t="e">
        <f t="shared" si="188"/>
        <v>#DIV/0!</v>
      </c>
      <c r="AS150" s="284"/>
      <c r="AT150" s="284"/>
      <c r="AU150" s="284"/>
      <c r="AV150" s="284"/>
      <c r="AW150" s="82"/>
      <c r="AX150" s="82"/>
      <c r="AY150" s="82"/>
      <c r="AZ150" s="94"/>
      <c r="BB150" s="239" t="e">
        <f>ABS(0.05%*AM150)+(10*CK150)</f>
        <v>#DIV/0!</v>
      </c>
      <c r="BC150" s="239"/>
      <c r="BD150" s="239"/>
      <c r="BE150" s="239"/>
      <c r="BF150" s="239"/>
      <c r="BG150" s="239">
        <v>0.11</v>
      </c>
      <c r="BH150" s="239"/>
      <c r="BI150" s="239"/>
      <c r="BJ150" s="239"/>
      <c r="BK150" s="239"/>
      <c r="BL150" s="239">
        <v>0.09</v>
      </c>
      <c r="BM150" s="239"/>
      <c r="BN150" s="239"/>
      <c r="BO150" s="239"/>
      <c r="BP150" s="239"/>
      <c r="BQ150" s="265" t="e">
        <f t="shared" si="189"/>
        <v>#DIV/0!</v>
      </c>
      <c r="BR150" s="265"/>
      <c r="BS150" s="265"/>
      <c r="BT150" s="265"/>
      <c r="BU150" s="265"/>
      <c r="BX150" s="20" t="s">
        <v>86</v>
      </c>
      <c r="BY150" s="20">
        <v>8.1999999999999994E-6</v>
      </c>
      <c r="BZ150" s="19" t="str">
        <f t="shared" si="190"/>
        <v>mA</v>
      </c>
      <c r="CA150" s="20">
        <v>2</v>
      </c>
      <c r="CB150" s="16">
        <f t="shared" si="191"/>
        <v>4.0999999999999997E-6</v>
      </c>
      <c r="CC150" s="6"/>
      <c r="CD150" s="20" t="s">
        <v>170</v>
      </c>
      <c r="CE150" s="15">
        <v>0</v>
      </c>
      <c r="CF150" s="19" t="str">
        <f t="shared" si="192"/>
        <v>mA</v>
      </c>
      <c r="CG150" s="18">
        <f t="shared" si="193"/>
        <v>1.7320508075688772</v>
      </c>
      <c r="CH150" s="16">
        <f t="shared" si="194"/>
        <v>0</v>
      </c>
      <c r="CI150" s="6"/>
      <c r="CJ150" s="20" t="s">
        <v>87</v>
      </c>
      <c r="CK150" s="20">
        <v>1E-3</v>
      </c>
      <c r="CL150" s="19" t="str">
        <f t="shared" si="195"/>
        <v>mA</v>
      </c>
      <c r="CM150" s="18">
        <f t="shared" si="196"/>
        <v>3.4641016151377544</v>
      </c>
      <c r="CN150" s="16">
        <f t="shared" si="197"/>
        <v>2.886751345948129E-4</v>
      </c>
      <c r="CO150" s="6"/>
      <c r="CP150" s="20" t="s">
        <v>88</v>
      </c>
      <c r="CQ150" s="17" t="e">
        <f t="shared" si="198"/>
        <v>#DIV/0!</v>
      </c>
      <c r="CR150" s="19" t="str">
        <f t="shared" si="199"/>
        <v>mA</v>
      </c>
      <c r="CS150" s="18">
        <f t="shared" si="200"/>
        <v>1.7320508075688772</v>
      </c>
      <c r="CT150" s="17" t="e">
        <f t="shared" si="201"/>
        <v>#DIV/0!</v>
      </c>
      <c r="CU150" s="7"/>
      <c r="CV150" s="16" t="e">
        <f t="shared" si="202"/>
        <v>#DIV/0!</v>
      </c>
      <c r="CW150" s="14" t="e">
        <f t="shared" si="203"/>
        <v>#DIV/0!</v>
      </c>
      <c r="CX150" s="14" t="e">
        <f t="shared" si="204"/>
        <v>#DIV/0!</v>
      </c>
      <c r="CY150" s="13" t="e">
        <f t="shared" si="205"/>
        <v>#DIV/0!</v>
      </c>
      <c r="CZ150" s="12" t="str">
        <f t="shared" si="206"/>
        <v>mA</v>
      </c>
      <c r="DA150" s="7"/>
      <c r="DB150" s="122">
        <v>1.5999999999999999E-5</v>
      </c>
      <c r="DC150" s="123" t="str">
        <f t="shared" si="207"/>
        <v>mA</v>
      </c>
      <c r="DD150" s="125" t="e">
        <f t="shared" si="208"/>
        <v>#DIV/0!</v>
      </c>
      <c r="DE150" s="123" t="str">
        <f t="shared" si="209"/>
        <v>mA</v>
      </c>
    </row>
    <row r="151" spans="2:109" ht="13.7" customHeight="1">
      <c r="B151" s="93"/>
      <c r="C151" s="82"/>
      <c r="D151" s="82"/>
      <c r="E151" s="82"/>
      <c r="F151" s="368"/>
      <c r="G151" s="369"/>
      <c r="H151" s="369"/>
      <c r="I151" s="369"/>
      <c r="J151" s="369"/>
      <c r="K151" s="370"/>
      <c r="L151" s="313">
        <v>50</v>
      </c>
      <c r="M151" s="314"/>
      <c r="N151" s="314"/>
      <c r="O151" s="314"/>
      <c r="P151" s="281" t="s">
        <v>117</v>
      </c>
      <c r="Q151" s="281"/>
      <c r="R151" s="282"/>
      <c r="S151" s="278" t="s">
        <v>30</v>
      </c>
      <c r="T151" s="278"/>
      <c r="U151" s="278"/>
      <c r="V151" s="278"/>
      <c r="W151" s="278"/>
      <c r="X151" s="269"/>
      <c r="Y151" s="270"/>
      <c r="Z151" s="270"/>
      <c r="AA151" s="270"/>
      <c r="AB151" s="271"/>
      <c r="AC151" s="269"/>
      <c r="AD151" s="270"/>
      <c r="AE151" s="270"/>
      <c r="AF151" s="270"/>
      <c r="AG151" s="271"/>
      <c r="AH151" s="269"/>
      <c r="AI151" s="270"/>
      <c r="AJ151" s="270"/>
      <c r="AK151" s="270"/>
      <c r="AL151" s="271"/>
      <c r="AM151" s="284" t="e">
        <f t="shared" si="210"/>
        <v>#DIV/0!</v>
      </c>
      <c r="AN151" s="284"/>
      <c r="AO151" s="284"/>
      <c r="AP151" s="284"/>
      <c r="AQ151" s="284"/>
      <c r="AR151" s="284" t="e">
        <f t="shared" si="188"/>
        <v>#DIV/0!</v>
      </c>
      <c r="AS151" s="284"/>
      <c r="AT151" s="284"/>
      <c r="AU151" s="284"/>
      <c r="AV151" s="284"/>
      <c r="AW151" s="82"/>
      <c r="AX151" s="82"/>
      <c r="AY151" s="82"/>
      <c r="AZ151" s="94"/>
      <c r="BB151" s="239" t="e">
        <f>ABS(0.05%*AM151)+(10*CK151)</f>
        <v>#DIV/0!</v>
      </c>
      <c r="BC151" s="239"/>
      <c r="BD151" s="239"/>
      <c r="BE151" s="239"/>
      <c r="BF151" s="239"/>
      <c r="BG151" s="239">
        <v>50.034999999999997</v>
      </c>
      <c r="BH151" s="239"/>
      <c r="BI151" s="239"/>
      <c r="BJ151" s="239"/>
      <c r="BK151" s="239"/>
      <c r="BL151" s="239">
        <v>49.965000000000003</v>
      </c>
      <c r="BM151" s="239"/>
      <c r="BN151" s="239"/>
      <c r="BO151" s="239"/>
      <c r="BP151" s="239"/>
      <c r="BQ151" s="265" t="e">
        <f t="shared" si="189"/>
        <v>#DIV/0!</v>
      </c>
      <c r="BR151" s="265"/>
      <c r="BS151" s="265"/>
      <c r="BT151" s="265"/>
      <c r="BU151" s="265"/>
      <c r="BX151" s="20" t="s">
        <v>86</v>
      </c>
      <c r="BY151" s="20">
        <v>1.4E-3</v>
      </c>
      <c r="BZ151" s="19" t="str">
        <f t="shared" si="190"/>
        <v>mA</v>
      </c>
      <c r="CA151" s="20">
        <v>2</v>
      </c>
      <c r="CB151" s="16">
        <f t="shared" si="191"/>
        <v>6.9999999999999999E-4</v>
      </c>
      <c r="CC151" s="6"/>
      <c r="CD151" s="20" t="s">
        <v>170</v>
      </c>
      <c r="CE151" s="15">
        <v>0</v>
      </c>
      <c r="CF151" s="19" t="str">
        <f t="shared" si="192"/>
        <v>mA</v>
      </c>
      <c r="CG151" s="18">
        <f t="shared" si="193"/>
        <v>1.7320508075688772</v>
      </c>
      <c r="CH151" s="16">
        <f t="shared" si="194"/>
        <v>0</v>
      </c>
      <c r="CI151" s="6"/>
      <c r="CJ151" s="20" t="s">
        <v>87</v>
      </c>
      <c r="CK151" s="20">
        <v>1E-3</v>
      </c>
      <c r="CL151" s="19" t="str">
        <f t="shared" si="195"/>
        <v>mA</v>
      </c>
      <c r="CM151" s="18">
        <f t="shared" si="196"/>
        <v>3.4641016151377544</v>
      </c>
      <c r="CN151" s="16">
        <f t="shared" si="197"/>
        <v>2.886751345948129E-4</v>
      </c>
      <c r="CO151" s="6"/>
      <c r="CP151" s="20" t="s">
        <v>88</v>
      </c>
      <c r="CQ151" s="17" t="e">
        <f t="shared" si="198"/>
        <v>#DIV/0!</v>
      </c>
      <c r="CR151" s="19" t="str">
        <f t="shared" si="199"/>
        <v>mA</v>
      </c>
      <c r="CS151" s="18">
        <f t="shared" si="200"/>
        <v>1.7320508075688772</v>
      </c>
      <c r="CT151" s="17" t="e">
        <f t="shared" si="201"/>
        <v>#DIV/0!</v>
      </c>
      <c r="CU151" s="7"/>
      <c r="CV151" s="16" t="e">
        <f t="shared" si="202"/>
        <v>#DIV/0!</v>
      </c>
      <c r="CW151" s="14" t="e">
        <f t="shared" si="203"/>
        <v>#DIV/0!</v>
      </c>
      <c r="CX151" s="14" t="e">
        <f t="shared" si="204"/>
        <v>#DIV/0!</v>
      </c>
      <c r="CY151" s="13" t="e">
        <f t="shared" si="205"/>
        <v>#DIV/0!</v>
      </c>
      <c r="CZ151" s="12" t="str">
        <f t="shared" si="206"/>
        <v>mA</v>
      </c>
      <c r="DA151" s="7"/>
      <c r="DB151" s="122">
        <v>4.3E-3</v>
      </c>
      <c r="DC151" s="123" t="str">
        <f t="shared" si="207"/>
        <v>mA</v>
      </c>
      <c r="DD151" s="125" t="e">
        <f t="shared" si="208"/>
        <v>#DIV/0!</v>
      </c>
      <c r="DE151" s="123" t="str">
        <f t="shared" si="209"/>
        <v>mA</v>
      </c>
    </row>
    <row r="152" spans="2:109" ht="13.7" customHeight="1">
      <c r="B152" s="93"/>
      <c r="C152" s="82"/>
      <c r="D152" s="82"/>
      <c r="E152" s="82"/>
      <c r="F152" s="330" t="s">
        <v>131</v>
      </c>
      <c r="G152" s="330"/>
      <c r="H152" s="330"/>
      <c r="I152" s="330"/>
      <c r="J152" s="330"/>
      <c r="K152" s="330"/>
      <c r="L152" s="313">
        <v>400</v>
      </c>
      <c r="M152" s="314"/>
      <c r="N152" s="314"/>
      <c r="O152" s="314"/>
      <c r="P152" s="281" t="s">
        <v>117</v>
      </c>
      <c r="Q152" s="281"/>
      <c r="R152" s="282"/>
      <c r="S152" s="278" t="s">
        <v>30</v>
      </c>
      <c r="T152" s="278"/>
      <c r="U152" s="278"/>
      <c r="V152" s="278"/>
      <c r="W152" s="278"/>
      <c r="X152" s="264"/>
      <c r="Y152" s="264"/>
      <c r="Z152" s="264"/>
      <c r="AA152" s="264"/>
      <c r="AB152" s="264"/>
      <c r="AC152" s="264"/>
      <c r="AD152" s="264"/>
      <c r="AE152" s="264"/>
      <c r="AF152" s="264"/>
      <c r="AG152" s="264"/>
      <c r="AH152" s="264"/>
      <c r="AI152" s="264"/>
      <c r="AJ152" s="264"/>
      <c r="AK152" s="264"/>
      <c r="AL152" s="264"/>
      <c r="AM152" s="259" t="e">
        <f t="shared" si="210"/>
        <v>#DIV/0!</v>
      </c>
      <c r="AN152" s="259"/>
      <c r="AO152" s="259"/>
      <c r="AP152" s="259"/>
      <c r="AQ152" s="259"/>
      <c r="AR152" s="259" t="e">
        <f t="shared" si="188"/>
        <v>#DIV/0!</v>
      </c>
      <c r="AS152" s="259"/>
      <c r="AT152" s="259"/>
      <c r="AU152" s="259"/>
      <c r="AV152" s="259"/>
      <c r="AW152" s="82"/>
      <c r="AX152" s="82"/>
      <c r="AY152" s="82"/>
      <c r="AZ152" s="94"/>
      <c r="BB152" s="237" t="e">
        <f>ABS(0.15%*AM152)+(2*CK152)</f>
        <v>#DIV/0!</v>
      </c>
      <c r="BC152" s="237"/>
      <c r="BD152" s="237"/>
      <c r="BE152" s="237"/>
      <c r="BF152" s="237"/>
      <c r="BG152" s="237">
        <v>400.62</v>
      </c>
      <c r="BH152" s="237"/>
      <c r="BI152" s="237"/>
      <c r="BJ152" s="237"/>
      <c r="BK152" s="237"/>
      <c r="BL152" s="237">
        <v>399.38</v>
      </c>
      <c r="BM152" s="237"/>
      <c r="BN152" s="237"/>
      <c r="BO152" s="237"/>
      <c r="BP152" s="237"/>
      <c r="BQ152" s="265" t="e">
        <f t="shared" si="189"/>
        <v>#DIV/0!</v>
      </c>
      <c r="BR152" s="265"/>
      <c r="BS152" s="265"/>
      <c r="BT152" s="265"/>
      <c r="BU152" s="265"/>
      <c r="BX152" s="20" t="s">
        <v>86</v>
      </c>
      <c r="BY152" s="20">
        <v>2.7E-2</v>
      </c>
      <c r="BZ152" s="19" t="str">
        <f t="shared" si="190"/>
        <v>mA</v>
      </c>
      <c r="CA152" s="20">
        <v>2</v>
      </c>
      <c r="CB152" s="16">
        <f t="shared" si="191"/>
        <v>1.35E-2</v>
      </c>
      <c r="CC152" s="6"/>
      <c r="CD152" s="20" t="s">
        <v>170</v>
      </c>
      <c r="CE152" s="15">
        <v>0</v>
      </c>
      <c r="CF152" s="19" t="str">
        <f t="shared" si="192"/>
        <v>mA</v>
      </c>
      <c r="CG152" s="18">
        <f t="shared" si="193"/>
        <v>1.7320508075688772</v>
      </c>
      <c r="CH152" s="16">
        <f t="shared" si="194"/>
        <v>0</v>
      </c>
      <c r="CI152" s="6"/>
      <c r="CJ152" s="20" t="s">
        <v>87</v>
      </c>
      <c r="CK152" s="20">
        <v>0.01</v>
      </c>
      <c r="CL152" s="19" t="str">
        <f t="shared" si="195"/>
        <v>mA</v>
      </c>
      <c r="CM152" s="18">
        <f t="shared" si="196"/>
        <v>3.4641016151377544</v>
      </c>
      <c r="CN152" s="16">
        <f t="shared" si="197"/>
        <v>2.886751345948129E-3</v>
      </c>
      <c r="CO152" s="6"/>
      <c r="CP152" s="20" t="s">
        <v>88</v>
      </c>
      <c r="CQ152" s="17" t="e">
        <f t="shared" si="198"/>
        <v>#DIV/0!</v>
      </c>
      <c r="CR152" s="19" t="str">
        <f t="shared" si="199"/>
        <v>mA</v>
      </c>
      <c r="CS152" s="18">
        <f t="shared" si="200"/>
        <v>1.7320508075688772</v>
      </c>
      <c r="CT152" s="17" t="e">
        <f t="shared" si="201"/>
        <v>#DIV/0!</v>
      </c>
      <c r="CU152" s="7"/>
      <c r="CV152" s="16" t="e">
        <f t="shared" si="202"/>
        <v>#DIV/0!</v>
      </c>
      <c r="CW152" s="14" t="e">
        <f t="shared" si="203"/>
        <v>#DIV/0!</v>
      </c>
      <c r="CX152" s="14" t="e">
        <f t="shared" si="204"/>
        <v>#DIV/0!</v>
      </c>
      <c r="CY152" s="13" t="e">
        <f t="shared" si="205"/>
        <v>#DIV/0!</v>
      </c>
      <c r="CZ152" s="12" t="str">
        <f t="shared" si="206"/>
        <v>mA</v>
      </c>
      <c r="DA152" s="7"/>
      <c r="DB152" s="122">
        <v>8.2000000000000003E-2</v>
      </c>
      <c r="DC152" s="123" t="str">
        <f t="shared" si="207"/>
        <v>mA</v>
      </c>
      <c r="DD152" s="125" t="e">
        <f t="shared" si="208"/>
        <v>#DIV/0!</v>
      </c>
      <c r="DE152" s="123" t="str">
        <f t="shared" si="209"/>
        <v>mA</v>
      </c>
    </row>
    <row r="153" spans="2:109" ht="13.7" customHeight="1">
      <c r="B153" s="93"/>
      <c r="C153" s="82"/>
      <c r="D153" s="82"/>
      <c r="E153" s="82"/>
      <c r="F153" s="363" t="s">
        <v>118</v>
      </c>
      <c r="G153" s="330"/>
      <c r="H153" s="330"/>
      <c r="I153" s="330"/>
      <c r="J153" s="330"/>
      <c r="K153" s="330"/>
      <c r="L153" s="313">
        <v>5</v>
      </c>
      <c r="M153" s="314"/>
      <c r="N153" s="314"/>
      <c r="O153" s="314"/>
      <c r="P153" s="281" t="s">
        <v>89</v>
      </c>
      <c r="Q153" s="281"/>
      <c r="R153" s="282"/>
      <c r="S153" s="278" t="s">
        <v>30</v>
      </c>
      <c r="T153" s="278"/>
      <c r="U153" s="278"/>
      <c r="V153" s="278"/>
      <c r="W153" s="278"/>
      <c r="X153" s="378"/>
      <c r="Y153" s="379"/>
      <c r="Z153" s="379"/>
      <c r="AA153" s="379"/>
      <c r="AB153" s="380"/>
      <c r="AC153" s="378"/>
      <c r="AD153" s="379"/>
      <c r="AE153" s="379"/>
      <c r="AF153" s="379"/>
      <c r="AG153" s="380"/>
      <c r="AH153" s="378"/>
      <c r="AI153" s="379"/>
      <c r="AJ153" s="379"/>
      <c r="AK153" s="379"/>
      <c r="AL153" s="380"/>
      <c r="AM153" s="287" t="e">
        <f t="shared" si="210"/>
        <v>#DIV/0!</v>
      </c>
      <c r="AN153" s="287"/>
      <c r="AO153" s="287"/>
      <c r="AP153" s="287"/>
      <c r="AQ153" s="287"/>
      <c r="AR153" s="287" t="e">
        <f t="shared" si="188"/>
        <v>#DIV/0!</v>
      </c>
      <c r="AS153" s="287"/>
      <c r="AT153" s="287"/>
      <c r="AU153" s="287"/>
      <c r="AV153" s="287"/>
      <c r="AW153" s="82"/>
      <c r="AX153" s="82"/>
      <c r="AY153" s="82"/>
      <c r="AZ153" s="94"/>
      <c r="BB153" s="239" t="e">
        <f>ABS(0.3%*AM153)+(10*CK153)</f>
        <v>#DIV/0!</v>
      </c>
      <c r="BC153" s="239"/>
      <c r="BD153" s="239"/>
      <c r="BE153" s="239"/>
      <c r="BF153" s="239"/>
      <c r="BG153" s="242">
        <v>5.016</v>
      </c>
      <c r="BH153" s="242"/>
      <c r="BI153" s="242"/>
      <c r="BJ153" s="242"/>
      <c r="BK153" s="242"/>
      <c r="BL153" s="242">
        <v>4.984</v>
      </c>
      <c r="BM153" s="242"/>
      <c r="BN153" s="242"/>
      <c r="BO153" s="242"/>
      <c r="BP153" s="242"/>
      <c r="BQ153" s="265" t="e">
        <f t="shared" si="189"/>
        <v>#DIV/0!</v>
      </c>
      <c r="BR153" s="265"/>
      <c r="BS153" s="265"/>
      <c r="BT153" s="265"/>
      <c r="BU153" s="265"/>
      <c r="BX153" s="20" t="s">
        <v>86</v>
      </c>
      <c r="BY153" s="17">
        <v>1.4E-3</v>
      </c>
      <c r="BZ153" s="19" t="str">
        <f t="shared" si="190"/>
        <v>A</v>
      </c>
      <c r="CA153" s="20">
        <v>2</v>
      </c>
      <c r="CB153" s="16">
        <f t="shared" si="191"/>
        <v>6.9999999999999999E-4</v>
      </c>
      <c r="CC153" s="6"/>
      <c r="CD153" s="20" t="s">
        <v>170</v>
      </c>
      <c r="CE153" s="15">
        <v>0</v>
      </c>
      <c r="CF153" s="19" t="str">
        <f t="shared" si="192"/>
        <v>A</v>
      </c>
      <c r="CG153" s="18">
        <f t="shared" si="193"/>
        <v>1.7320508075688772</v>
      </c>
      <c r="CH153" s="16">
        <f t="shared" si="194"/>
        <v>0</v>
      </c>
      <c r="CI153" s="6"/>
      <c r="CJ153" s="20" t="s">
        <v>87</v>
      </c>
      <c r="CK153" s="20">
        <v>1E-4</v>
      </c>
      <c r="CL153" s="19" t="str">
        <f t="shared" si="195"/>
        <v>A</v>
      </c>
      <c r="CM153" s="18">
        <f t="shared" si="196"/>
        <v>3.4641016151377544</v>
      </c>
      <c r="CN153" s="16">
        <f t="shared" si="197"/>
        <v>2.8867513459481293E-5</v>
      </c>
      <c r="CO153" s="6"/>
      <c r="CP153" s="20" t="s">
        <v>88</v>
      </c>
      <c r="CQ153" s="17" t="e">
        <f t="shared" si="198"/>
        <v>#DIV/0!</v>
      </c>
      <c r="CR153" s="19" t="str">
        <f t="shared" si="199"/>
        <v>A</v>
      </c>
      <c r="CS153" s="18">
        <f t="shared" si="200"/>
        <v>1.7320508075688772</v>
      </c>
      <c r="CT153" s="17" t="e">
        <f t="shared" si="201"/>
        <v>#DIV/0!</v>
      </c>
      <c r="CU153" s="7"/>
      <c r="CV153" s="16" t="e">
        <f t="shared" si="202"/>
        <v>#DIV/0!</v>
      </c>
      <c r="CW153" s="14" t="e">
        <f t="shared" si="203"/>
        <v>#DIV/0!</v>
      </c>
      <c r="CX153" s="14" t="e">
        <f t="shared" si="204"/>
        <v>#DIV/0!</v>
      </c>
      <c r="CY153" s="13" t="e">
        <f t="shared" si="205"/>
        <v>#DIV/0!</v>
      </c>
      <c r="CZ153" s="12" t="str">
        <f t="shared" si="206"/>
        <v>A</v>
      </c>
      <c r="DA153" s="7"/>
      <c r="DB153" s="122">
        <v>1.6000000000000001E-3</v>
      </c>
      <c r="DC153" s="123" t="str">
        <f t="shared" si="207"/>
        <v>A</v>
      </c>
      <c r="DD153" s="125" t="e">
        <f t="shared" si="208"/>
        <v>#DIV/0!</v>
      </c>
      <c r="DE153" s="123" t="str">
        <f t="shared" si="209"/>
        <v>A</v>
      </c>
    </row>
    <row r="154" spans="2:109" ht="13.7" customHeight="1">
      <c r="B154" s="93"/>
      <c r="C154" s="82"/>
      <c r="D154" s="82"/>
      <c r="E154" s="82"/>
      <c r="F154" s="363" t="s">
        <v>119</v>
      </c>
      <c r="G154" s="330"/>
      <c r="H154" s="330"/>
      <c r="I154" s="330"/>
      <c r="J154" s="330"/>
      <c r="K154" s="330"/>
      <c r="L154" s="313">
        <v>10</v>
      </c>
      <c r="M154" s="314"/>
      <c r="N154" s="314"/>
      <c r="O154" s="314"/>
      <c r="P154" s="281" t="s">
        <v>89</v>
      </c>
      <c r="Q154" s="281"/>
      <c r="R154" s="282"/>
      <c r="S154" s="278" t="s">
        <v>30</v>
      </c>
      <c r="T154" s="278"/>
      <c r="U154" s="278"/>
      <c r="V154" s="278"/>
      <c r="W154" s="278"/>
      <c r="X154" s="283"/>
      <c r="Y154" s="283"/>
      <c r="Z154" s="283"/>
      <c r="AA154" s="283"/>
      <c r="AB154" s="283"/>
      <c r="AC154" s="283"/>
      <c r="AD154" s="283"/>
      <c r="AE154" s="283"/>
      <c r="AF154" s="283"/>
      <c r="AG154" s="283"/>
      <c r="AH154" s="283"/>
      <c r="AI154" s="283"/>
      <c r="AJ154" s="283"/>
      <c r="AK154" s="283"/>
      <c r="AL154" s="283"/>
      <c r="AM154" s="284" t="e">
        <f t="shared" si="210"/>
        <v>#DIV/0!</v>
      </c>
      <c r="AN154" s="284"/>
      <c r="AO154" s="284"/>
      <c r="AP154" s="284"/>
      <c r="AQ154" s="284"/>
      <c r="AR154" s="284" t="e">
        <f t="shared" si="188"/>
        <v>#DIV/0!</v>
      </c>
      <c r="AS154" s="284"/>
      <c r="AT154" s="284"/>
      <c r="AU154" s="284"/>
      <c r="AV154" s="284"/>
      <c r="AW154" s="82"/>
      <c r="AX154" s="82"/>
      <c r="AY154" s="82"/>
      <c r="AZ154" s="94"/>
      <c r="BB154" s="239" t="e">
        <f>ABS(0.3%*AM154)+(2*CK154)</f>
        <v>#DIV/0!</v>
      </c>
      <c r="BC154" s="239"/>
      <c r="BD154" s="239"/>
      <c r="BE154" s="239"/>
      <c r="BF154" s="239"/>
      <c r="BG154" s="239">
        <v>10.032</v>
      </c>
      <c r="BH154" s="239"/>
      <c r="BI154" s="239"/>
      <c r="BJ154" s="239"/>
      <c r="BK154" s="239"/>
      <c r="BL154" s="239">
        <v>9.968</v>
      </c>
      <c r="BM154" s="239"/>
      <c r="BN154" s="239"/>
      <c r="BO154" s="239"/>
      <c r="BP154" s="239"/>
      <c r="BQ154" s="265" t="e">
        <f t="shared" si="189"/>
        <v>#DIV/0!</v>
      </c>
      <c r="BR154" s="265"/>
      <c r="BS154" s="265"/>
      <c r="BT154" s="265"/>
      <c r="BU154" s="265"/>
      <c r="BX154" s="20" t="s">
        <v>86</v>
      </c>
      <c r="BY154" s="17">
        <v>1.4E-3</v>
      </c>
      <c r="BZ154" s="19" t="str">
        <f t="shared" si="190"/>
        <v>A</v>
      </c>
      <c r="CA154" s="20">
        <v>2</v>
      </c>
      <c r="CB154" s="16">
        <f t="shared" si="191"/>
        <v>6.9999999999999999E-4</v>
      </c>
      <c r="CC154" s="6"/>
      <c r="CD154" s="20" t="s">
        <v>170</v>
      </c>
      <c r="CE154" s="15">
        <v>0</v>
      </c>
      <c r="CF154" s="19" t="str">
        <f t="shared" si="192"/>
        <v>A</v>
      </c>
      <c r="CG154" s="18">
        <f t="shared" si="193"/>
        <v>1.7320508075688772</v>
      </c>
      <c r="CH154" s="16">
        <f t="shared" si="194"/>
        <v>0</v>
      </c>
      <c r="CI154" s="6"/>
      <c r="CJ154" s="20" t="s">
        <v>87</v>
      </c>
      <c r="CK154" s="20">
        <v>1E-3</v>
      </c>
      <c r="CL154" s="19" t="str">
        <f t="shared" si="195"/>
        <v>A</v>
      </c>
      <c r="CM154" s="18">
        <f t="shared" si="196"/>
        <v>3.4641016151377544</v>
      </c>
      <c r="CN154" s="16">
        <f t="shared" si="197"/>
        <v>2.886751345948129E-4</v>
      </c>
      <c r="CO154" s="6"/>
      <c r="CP154" s="20" t="s">
        <v>88</v>
      </c>
      <c r="CQ154" s="17" t="e">
        <f t="shared" si="198"/>
        <v>#DIV/0!</v>
      </c>
      <c r="CR154" s="19" t="str">
        <f t="shared" si="199"/>
        <v>A</v>
      </c>
      <c r="CS154" s="18">
        <f t="shared" si="200"/>
        <v>1.7320508075688772</v>
      </c>
      <c r="CT154" s="17" t="e">
        <f t="shared" si="201"/>
        <v>#DIV/0!</v>
      </c>
      <c r="CU154" s="7"/>
      <c r="CV154" s="16" t="e">
        <f t="shared" si="202"/>
        <v>#DIV/0!</v>
      </c>
      <c r="CW154" s="14" t="e">
        <f t="shared" si="203"/>
        <v>#DIV/0!</v>
      </c>
      <c r="CX154" s="14" t="e">
        <f t="shared" si="204"/>
        <v>#DIV/0!</v>
      </c>
      <c r="CY154" s="13" t="e">
        <f t="shared" si="205"/>
        <v>#DIV/0!</v>
      </c>
      <c r="CZ154" s="12" t="str">
        <f t="shared" si="206"/>
        <v>A</v>
      </c>
      <c r="DA154" s="7"/>
      <c r="DB154" s="122">
        <v>1.6000000000000001E-3</v>
      </c>
      <c r="DC154" s="123" t="str">
        <f t="shared" si="207"/>
        <v>A</v>
      </c>
      <c r="DD154" s="125" t="e">
        <f t="shared" si="208"/>
        <v>#DIV/0!</v>
      </c>
      <c r="DE154" s="123" t="str">
        <f t="shared" si="209"/>
        <v>A</v>
      </c>
    </row>
    <row r="155" spans="2:109" ht="13.5">
      <c r="B155" s="93"/>
      <c r="C155" s="82"/>
      <c r="D155" s="82"/>
      <c r="E155" s="82"/>
      <c r="F155" s="82"/>
      <c r="G155" s="82"/>
      <c r="H155" s="82"/>
      <c r="I155" s="82"/>
      <c r="J155" s="82"/>
      <c r="K155" s="82"/>
      <c r="L155" s="82"/>
      <c r="M155" s="82"/>
      <c r="N155" s="82"/>
      <c r="O155" s="82"/>
      <c r="P155" s="82"/>
      <c r="Q155" s="82"/>
      <c r="R155" s="82"/>
      <c r="S155" s="82"/>
      <c r="T155" s="82"/>
      <c r="U155" s="82"/>
      <c r="V155" s="82"/>
      <c r="W155" s="82"/>
      <c r="X155" s="147"/>
      <c r="Y155" s="147"/>
      <c r="Z155" s="147"/>
      <c r="AA155" s="147"/>
      <c r="AB155" s="147"/>
      <c r="AC155" s="147"/>
      <c r="AD155" s="147"/>
      <c r="AE155" s="147"/>
      <c r="AF155" s="147"/>
      <c r="AG155" s="147"/>
      <c r="AH155" s="147"/>
      <c r="AI155" s="147"/>
      <c r="AJ155" s="147"/>
      <c r="AK155" s="147"/>
      <c r="AL155" s="147"/>
      <c r="AM155" s="82"/>
      <c r="AN155" s="82"/>
      <c r="AO155" s="82"/>
      <c r="AP155" s="82"/>
      <c r="AQ155" s="82"/>
      <c r="AR155" s="82"/>
      <c r="AS155" s="82"/>
      <c r="AT155" s="82"/>
      <c r="AU155" s="82"/>
      <c r="AV155" s="82"/>
      <c r="AW155" s="82"/>
      <c r="AX155" s="82"/>
      <c r="AY155" s="82"/>
      <c r="AZ155" s="94"/>
    </row>
    <row r="156" spans="2:109" ht="13.7" customHeight="1">
      <c r="B156" s="93"/>
      <c r="C156" s="82"/>
      <c r="D156" s="71"/>
      <c r="E156" s="82"/>
      <c r="F156" s="95" t="s">
        <v>114</v>
      </c>
      <c r="G156" s="82"/>
      <c r="H156" s="82"/>
      <c r="I156" s="82"/>
      <c r="J156" s="82"/>
      <c r="K156" s="82"/>
      <c r="L156" s="82"/>
      <c r="M156" s="82"/>
      <c r="N156" s="82"/>
      <c r="O156" s="82"/>
      <c r="P156" s="82"/>
      <c r="Q156" s="82"/>
      <c r="R156" s="82"/>
      <c r="S156" s="82"/>
      <c r="T156" s="82"/>
      <c r="U156" s="82"/>
      <c r="V156" s="82"/>
      <c r="W156" s="82"/>
      <c r="X156" s="147"/>
      <c r="Y156" s="147"/>
      <c r="Z156" s="147"/>
      <c r="AA156" s="147"/>
      <c r="AB156" s="147"/>
      <c r="AC156" s="147"/>
      <c r="AD156" s="147"/>
      <c r="AE156" s="147"/>
      <c r="AF156" s="147"/>
      <c r="AG156" s="147"/>
      <c r="AH156" s="147"/>
      <c r="AI156" s="147"/>
      <c r="AJ156" s="147"/>
      <c r="AK156" s="147"/>
      <c r="AL156" s="147"/>
      <c r="AM156" s="82"/>
      <c r="AN156" s="82"/>
      <c r="AO156" s="82"/>
      <c r="AP156" s="82"/>
      <c r="AQ156" s="82"/>
      <c r="AR156" s="82"/>
      <c r="AS156" s="82"/>
      <c r="AT156" s="82"/>
      <c r="AU156" s="82"/>
      <c r="AV156" s="82"/>
      <c r="AW156" s="82"/>
      <c r="AX156" s="82"/>
      <c r="AY156" s="82"/>
      <c r="AZ156" s="94"/>
      <c r="BX156" s="257" t="s">
        <v>70</v>
      </c>
      <c r="BY156" s="257"/>
      <c r="BZ156" s="257"/>
      <c r="CA156" s="257"/>
      <c r="CB156" s="257"/>
      <c r="CC156" s="25"/>
      <c r="CD156" s="257" t="s">
        <v>70</v>
      </c>
      <c r="CE156" s="257"/>
      <c r="CF156" s="257"/>
      <c r="CG156" s="257"/>
      <c r="CH156" s="257"/>
      <c r="CI156" s="25"/>
      <c r="CJ156" s="257" t="s">
        <v>180</v>
      </c>
      <c r="CK156" s="257"/>
      <c r="CL156" s="257"/>
      <c r="CM156" s="257"/>
      <c r="CN156" s="257"/>
      <c r="CO156" s="25"/>
      <c r="CP156" s="257" t="s">
        <v>180</v>
      </c>
      <c r="CQ156" s="257"/>
      <c r="CR156" s="257"/>
      <c r="CS156" s="257"/>
      <c r="CT156" s="257"/>
      <c r="CV156" s="257" t="s">
        <v>71</v>
      </c>
      <c r="CW156" s="257"/>
      <c r="CX156" s="257"/>
      <c r="CY156" s="257"/>
      <c r="CZ156" s="257"/>
      <c r="DB156" s="251" t="s">
        <v>191</v>
      </c>
      <c r="DC156" s="251"/>
      <c r="DD156" s="251" t="s">
        <v>158</v>
      </c>
      <c r="DE156" s="251"/>
    </row>
    <row r="157" spans="2:109" ht="13.7" customHeight="1">
      <c r="B157" s="93"/>
      <c r="C157" s="82"/>
      <c r="D157" s="71"/>
      <c r="E157" s="71"/>
      <c r="F157" s="286" t="s">
        <v>27</v>
      </c>
      <c r="G157" s="286"/>
      <c r="H157" s="286"/>
      <c r="I157" s="286"/>
      <c r="J157" s="286"/>
      <c r="K157" s="286"/>
      <c r="L157" s="286" t="s">
        <v>28</v>
      </c>
      <c r="M157" s="286"/>
      <c r="N157" s="286"/>
      <c r="O157" s="286"/>
      <c r="P157" s="286"/>
      <c r="Q157" s="286"/>
      <c r="R157" s="286"/>
      <c r="S157" s="286" t="s">
        <v>72</v>
      </c>
      <c r="T157" s="286"/>
      <c r="U157" s="286"/>
      <c r="V157" s="286"/>
      <c r="W157" s="286"/>
      <c r="X157" s="326" t="s">
        <v>73</v>
      </c>
      <c r="Y157" s="326"/>
      <c r="Z157" s="326"/>
      <c r="AA157" s="326"/>
      <c r="AB157" s="326"/>
      <c r="AC157" s="326"/>
      <c r="AD157" s="326"/>
      <c r="AE157" s="326"/>
      <c r="AF157" s="326"/>
      <c r="AG157" s="326"/>
      <c r="AH157" s="326"/>
      <c r="AI157" s="326"/>
      <c r="AJ157" s="326"/>
      <c r="AK157" s="326"/>
      <c r="AL157" s="326"/>
      <c r="AM157" s="286" t="s">
        <v>74</v>
      </c>
      <c r="AN157" s="286"/>
      <c r="AO157" s="286"/>
      <c r="AP157" s="286"/>
      <c r="AQ157" s="286"/>
      <c r="AR157" s="286" t="s">
        <v>29</v>
      </c>
      <c r="AS157" s="286"/>
      <c r="AT157" s="286"/>
      <c r="AU157" s="286"/>
      <c r="AV157" s="286"/>
      <c r="AW157" s="82"/>
      <c r="AX157" s="82"/>
      <c r="AY157" s="82"/>
      <c r="AZ157" s="94"/>
      <c r="BB157" s="231" t="s">
        <v>188</v>
      </c>
      <c r="BC157" s="232"/>
      <c r="BD157" s="232"/>
      <c r="BE157" s="232"/>
      <c r="BF157" s="233"/>
      <c r="BG157" s="257" t="s">
        <v>138</v>
      </c>
      <c r="BH157" s="257"/>
      <c r="BI157" s="257"/>
      <c r="BJ157" s="257"/>
      <c r="BK157" s="257"/>
      <c r="BL157" s="257" t="s">
        <v>139</v>
      </c>
      <c r="BM157" s="257"/>
      <c r="BN157" s="257"/>
      <c r="BO157" s="257"/>
      <c r="BP157" s="257"/>
      <c r="BQ157" s="257" t="s">
        <v>144</v>
      </c>
      <c r="BR157" s="257"/>
      <c r="BS157" s="257"/>
      <c r="BT157" s="257"/>
      <c r="BU157" s="257"/>
      <c r="BX157" s="256" t="s">
        <v>75</v>
      </c>
      <c r="BY157" s="252" t="s">
        <v>137</v>
      </c>
      <c r="BZ157" s="253"/>
      <c r="CA157" s="256" t="s">
        <v>76</v>
      </c>
      <c r="CB157" s="256" t="s">
        <v>77</v>
      </c>
      <c r="CC157" s="23"/>
      <c r="CD157" s="256" t="s">
        <v>75</v>
      </c>
      <c r="CE157" s="252" t="s">
        <v>137</v>
      </c>
      <c r="CF157" s="253"/>
      <c r="CG157" s="256" t="s">
        <v>76</v>
      </c>
      <c r="CH157" s="256" t="s">
        <v>77</v>
      </c>
      <c r="CI157" s="23"/>
      <c r="CJ157" s="256" t="s">
        <v>75</v>
      </c>
      <c r="CK157" s="252" t="s">
        <v>137</v>
      </c>
      <c r="CL157" s="253"/>
      <c r="CM157" s="256" t="s">
        <v>76</v>
      </c>
      <c r="CN157" s="256" t="s">
        <v>77</v>
      </c>
      <c r="CO157" s="23"/>
      <c r="CP157" s="256" t="s">
        <v>75</v>
      </c>
      <c r="CQ157" s="252" t="s">
        <v>137</v>
      </c>
      <c r="CR157" s="253"/>
      <c r="CS157" s="256" t="s">
        <v>76</v>
      </c>
      <c r="CT157" s="256" t="s">
        <v>77</v>
      </c>
      <c r="CU157" s="22"/>
      <c r="CV157" s="133" t="s">
        <v>78</v>
      </c>
      <c r="CW157" s="21" t="s">
        <v>79</v>
      </c>
      <c r="CX157" s="133" t="s">
        <v>80</v>
      </c>
      <c r="CY157" s="256" t="s">
        <v>81</v>
      </c>
      <c r="CZ157" s="256"/>
      <c r="DA157" s="22"/>
      <c r="DB157" s="251"/>
      <c r="DC157" s="251"/>
      <c r="DD157" s="251"/>
      <c r="DE157" s="251"/>
    </row>
    <row r="158" spans="2:109" ht="13.5">
      <c r="B158" s="93"/>
      <c r="C158" s="82"/>
      <c r="D158" s="71"/>
      <c r="E158" s="71"/>
      <c r="F158" s="286"/>
      <c r="G158" s="286"/>
      <c r="H158" s="286"/>
      <c r="I158" s="286"/>
      <c r="J158" s="286"/>
      <c r="K158" s="286"/>
      <c r="L158" s="286"/>
      <c r="M158" s="286"/>
      <c r="N158" s="286"/>
      <c r="O158" s="286"/>
      <c r="P158" s="286"/>
      <c r="Q158" s="286"/>
      <c r="R158" s="286"/>
      <c r="S158" s="286"/>
      <c r="T158" s="286"/>
      <c r="U158" s="286"/>
      <c r="V158" s="286"/>
      <c r="W158" s="286"/>
      <c r="X158" s="326">
        <v>1</v>
      </c>
      <c r="Y158" s="326"/>
      <c r="Z158" s="326"/>
      <c r="AA158" s="326"/>
      <c r="AB158" s="326"/>
      <c r="AC158" s="326">
        <v>2</v>
      </c>
      <c r="AD158" s="326"/>
      <c r="AE158" s="326"/>
      <c r="AF158" s="326"/>
      <c r="AG158" s="326"/>
      <c r="AH158" s="326">
        <v>3</v>
      </c>
      <c r="AI158" s="326"/>
      <c r="AJ158" s="326"/>
      <c r="AK158" s="326"/>
      <c r="AL158" s="326"/>
      <c r="AM158" s="286"/>
      <c r="AN158" s="286"/>
      <c r="AO158" s="286"/>
      <c r="AP158" s="286"/>
      <c r="AQ158" s="286"/>
      <c r="AR158" s="286"/>
      <c r="AS158" s="286"/>
      <c r="AT158" s="286"/>
      <c r="AU158" s="286"/>
      <c r="AV158" s="286"/>
      <c r="AW158" s="82"/>
      <c r="AX158" s="82"/>
      <c r="AY158" s="82"/>
      <c r="AZ158" s="94"/>
      <c r="BB158" s="234"/>
      <c r="BC158" s="235"/>
      <c r="BD158" s="235"/>
      <c r="BE158" s="235"/>
      <c r="BF158" s="236"/>
      <c r="BG158" s="257"/>
      <c r="BH158" s="257"/>
      <c r="BI158" s="257"/>
      <c r="BJ158" s="257"/>
      <c r="BK158" s="257"/>
      <c r="BL158" s="257"/>
      <c r="BM158" s="257"/>
      <c r="BN158" s="257"/>
      <c r="BO158" s="257"/>
      <c r="BP158" s="257"/>
      <c r="BQ158" s="257"/>
      <c r="BR158" s="257"/>
      <c r="BS158" s="257"/>
      <c r="BT158" s="257"/>
      <c r="BU158" s="257"/>
      <c r="BX158" s="256"/>
      <c r="BY158" s="254"/>
      <c r="BZ158" s="255"/>
      <c r="CA158" s="256"/>
      <c r="CB158" s="256"/>
      <c r="CC158" s="23"/>
      <c r="CD158" s="256"/>
      <c r="CE158" s="254"/>
      <c r="CF158" s="255"/>
      <c r="CG158" s="256"/>
      <c r="CH158" s="256"/>
      <c r="CI158" s="23"/>
      <c r="CJ158" s="256"/>
      <c r="CK158" s="254"/>
      <c r="CL158" s="255"/>
      <c r="CM158" s="256"/>
      <c r="CN158" s="256"/>
      <c r="CO158" s="23"/>
      <c r="CP158" s="256"/>
      <c r="CQ158" s="254"/>
      <c r="CR158" s="255"/>
      <c r="CS158" s="256"/>
      <c r="CT158" s="256"/>
      <c r="CU158" s="22"/>
      <c r="CV158" s="133" t="s">
        <v>82</v>
      </c>
      <c r="CW158" s="21" t="s">
        <v>83</v>
      </c>
      <c r="CX158" s="133" t="s">
        <v>84</v>
      </c>
      <c r="CY158" s="256" t="s">
        <v>85</v>
      </c>
      <c r="CZ158" s="256"/>
      <c r="DA158" s="22"/>
      <c r="DB158" s="251"/>
      <c r="DC158" s="251"/>
      <c r="DD158" s="251"/>
      <c r="DE158" s="251"/>
    </row>
    <row r="159" spans="2:109" ht="13.7" customHeight="1">
      <c r="B159" s="93"/>
      <c r="C159" s="82"/>
      <c r="D159" s="82"/>
      <c r="E159" s="82"/>
      <c r="F159" s="341" t="s">
        <v>177</v>
      </c>
      <c r="G159" s="342"/>
      <c r="H159" s="342"/>
      <c r="I159" s="342"/>
      <c r="J159" s="342"/>
      <c r="K159" s="343"/>
      <c r="L159" s="313">
        <v>500</v>
      </c>
      <c r="M159" s="314"/>
      <c r="N159" s="314"/>
      <c r="O159" s="314"/>
      <c r="P159" s="281" t="s">
        <v>176</v>
      </c>
      <c r="Q159" s="281"/>
      <c r="R159" s="282"/>
      <c r="S159" s="278" t="s">
        <v>129</v>
      </c>
      <c r="T159" s="278"/>
      <c r="U159" s="278"/>
      <c r="V159" s="278"/>
      <c r="W159" s="278"/>
      <c r="X159" s="264"/>
      <c r="Y159" s="264"/>
      <c r="Z159" s="264"/>
      <c r="AA159" s="264"/>
      <c r="AB159" s="264"/>
      <c r="AC159" s="264"/>
      <c r="AD159" s="264"/>
      <c r="AE159" s="264"/>
      <c r="AF159" s="264"/>
      <c r="AG159" s="264"/>
      <c r="AH159" s="264"/>
      <c r="AI159" s="264"/>
      <c r="AJ159" s="264"/>
      <c r="AK159" s="264"/>
      <c r="AL159" s="264"/>
      <c r="AM159" s="259" t="e">
        <f>AVERAGE(X159:AL159)</f>
        <v>#DIV/0!</v>
      </c>
      <c r="AN159" s="259"/>
      <c r="AO159" s="259"/>
      <c r="AP159" s="259"/>
      <c r="AQ159" s="259"/>
      <c r="AR159" s="259" t="e">
        <f t="shared" ref="AR159:AR167" si="211">AM159-L159</f>
        <v>#DIV/0!</v>
      </c>
      <c r="AS159" s="259"/>
      <c r="AT159" s="259"/>
      <c r="AU159" s="259"/>
      <c r="AV159" s="259"/>
      <c r="AW159" s="82"/>
      <c r="AX159" s="82"/>
      <c r="AY159" s="82"/>
      <c r="AZ159" s="94"/>
      <c r="BB159" s="237" t="e">
        <f>ABS(0.6%*AM159)+(20*CK159)</f>
        <v>#DIV/0!</v>
      </c>
      <c r="BC159" s="237"/>
      <c r="BD159" s="237"/>
      <c r="BE159" s="237"/>
      <c r="BF159" s="237"/>
      <c r="BG159" s="237">
        <v>503.2</v>
      </c>
      <c r="BH159" s="237"/>
      <c r="BI159" s="237"/>
      <c r="BJ159" s="237"/>
      <c r="BK159" s="237"/>
      <c r="BL159" s="237">
        <v>496.8</v>
      </c>
      <c r="BM159" s="237"/>
      <c r="BN159" s="237"/>
      <c r="BO159" s="237"/>
      <c r="BP159" s="237"/>
      <c r="BQ159" s="265" t="e">
        <f t="shared" ref="BQ159:BQ167" si="212">IF(AND(AVERAGE(X159:AL159)&lt;=BG159,AVERAGE(X159:AL159)&gt;=BL159),"PASS","FAIL")</f>
        <v>#DIV/0!</v>
      </c>
      <c r="BR159" s="265"/>
      <c r="BS159" s="265"/>
      <c r="BT159" s="265"/>
      <c r="BU159" s="265"/>
      <c r="BX159" s="20" t="s">
        <v>86</v>
      </c>
      <c r="BY159" s="143">
        <v>1.7</v>
      </c>
      <c r="BZ159" s="19" t="str">
        <f t="shared" ref="BZ159:BZ167" si="213">P159</f>
        <v>µA</v>
      </c>
      <c r="CA159" s="20">
        <v>2</v>
      </c>
      <c r="CB159" s="16">
        <f t="shared" ref="CB159:CB167" si="214">BY159/CA159</f>
        <v>0.85</v>
      </c>
      <c r="CC159" s="6"/>
      <c r="CD159" s="20" t="s">
        <v>170</v>
      </c>
      <c r="CE159" s="15">
        <v>0</v>
      </c>
      <c r="CF159" s="19" t="str">
        <f t="shared" ref="CF159:CF167" si="215">P159</f>
        <v>µA</v>
      </c>
      <c r="CG159" s="18">
        <f t="shared" ref="CG159:CG167" si="216">SQRT(3)</f>
        <v>1.7320508075688772</v>
      </c>
      <c r="CH159" s="16">
        <f t="shared" ref="CH159:CH167" si="217">CE159/CG159</f>
        <v>0</v>
      </c>
      <c r="CI159" s="6"/>
      <c r="CJ159" s="20" t="s">
        <v>87</v>
      </c>
      <c r="CK159" s="20">
        <v>0.01</v>
      </c>
      <c r="CL159" s="19" t="str">
        <f t="shared" ref="CL159:CL167" si="218">P159</f>
        <v>µA</v>
      </c>
      <c r="CM159" s="18">
        <f t="shared" ref="CM159:CM167" si="219">SQRT(12)</f>
        <v>3.4641016151377544</v>
      </c>
      <c r="CN159" s="16">
        <f t="shared" ref="CN159:CN167" si="220">CK159/CM159</f>
        <v>2.886751345948129E-3</v>
      </c>
      <c r="CO159" s="6"/>
      <c r="CP159" s="20" t="s">
        <v>88</v>
      </c>
      <c r="CQ159" s="17" t="e">
        <f t="shared" ref="CQ159:CQ167" si="221">STDEV(X159:AL159)</f>
        <v>#DIV/0!</v>
      </c>
      <c r="CR159" s="19" t="str">
        <f t="shared" ref="CR159:CR167" si="222">P159</f>
        <v>µA</v>
      </c>
      <c r="CS159" s="18">
        <f t="shared" ref="CS159:CS167" si="223">SQRT(3)</f>
        <v>1.7320508075688772</v>
      </c>
      <c r="CT159" s="17" t="e">
        <f t="shared" ref="CT159:CT167" si="224">CQ159/CS159</f>
        <v>#DIV/0!</v>
      </c>
      <c r="CU159" s="7"/>
      <c r="CV159" s="16" t="e">
        <f t="shared" ref="CV159:CV167" si="225">SQRT(SUMSQ(CT159,CN159,CH159,CB159))</f>
        <v>#DIV/0!</v>
      </c>
      <c r="CW159" s="14" t="e">
        <f t="shared" ref="CW159:CW167" si="226">(CV159^4)/(((CT159^4)/2)+((CN159^4)/200)+((CH159^4)/200)+((CB159^4)/200))</f>
        <v>#DIV/0!</v>
      </c>
      <c r="CX159" s="14" t="e">
        <f t="shared" ref="CX159:CX167" si="227">ROUND(TINV(0.05,CW159),0)</f>
        <v>#DIV/0!</v>
      </c>
      <c r="CY159" s="26" t="e">
        <f t="shared" ref="CY159:CY167" si="228">(CV159*CX159)</f>
        <v>#DIV/0!</v>
      </c>
      <c r="CZ159" s="12" t="str">
        <f t="shared" ref="CZ159:CZ167" si="229">P159</f>
        <v>µA</v>
      </c>
      <c r="DA159" s="7"/>
      <c r="DB159" s="122">
        <v>0.37</v>
      </c>
      <c r="DC159" s="123" t="str">
        <f t="shared" ref="DC159:DC167" si="230">CZ159</f>
        <v>µA</v>
      </c>
      <c r="DD159" s="125" t="e">
        <f t="shared" ref="DD159:DD167" si="231">MAX(DB159,CY159)</f>
        <v>#DIV/0!</v>
      </c>
      <c r="DE159" s="123" t="str">
        <f t="shared" ref="DE159:DE167" si="232">DC159</f>
        <v>µA</v>
      </c>
    </row>
    <row r="160" spans="2:109" ht="13.7" customHeight="1">
      <c r="B160" s="93"/>
      <c r="C160" s="82"/>
      <c r="D160" s="82"/>
      <c r="E160" s="82"/>
      <c r="F160" s="344"/>
      <c r="G160" s="345"/>
      <c r="H160" s="345"/>
      <c r="I160" s="345"/>
      <c r="J160" s="345"/>
      <c r="K160" s="346"/>
      <c r="L160" s="313">
        <v>500</v>
      </c>
      <c r="M160" s="314"/>
      <c r="N160" s="314"/>
      <c r="O160" s="314"/>
      <c r="P160" s="281" t="s">
        <v>176</v>
      </c>
      <c r="Q160" s="281"/>
      <c r="R160" s="282"/>
      <c r="S160" s="278" t="s">
        <v>130</v>
      </c>
      <c r="T160" s="278"/>
      <c r="U160" s="278"/>
      <c r="V160" s="278"/>
      <c r="W160" s="278"/>
      <c r="X160" s="264"/>
      <c r="Y160" s="264"/>
      <c r="Z160" s="264"/>
      <c r="AA160" s="264"/>
      <c r="AB160" s="264"/>
      <c r="AC160" s="264"/>
      <c r="AD160" s="264"/>
      <c r="AE160" s="264"/>
      <c r="AF160" s="264"/>
      <c r="AG160" s="264"/>
      <c r="AH160" s="264"/>
      <c r="AI160" s="264"/>
      <c r="AJ160" s="264"/>
      <c r="AK160" s="264"/>
      <c r="AL160" s="264"/>
      <c r="AM160" s="259" t="e">
        <f t="shared" ref="AM160:AM167" si="233">AVERAGE(X160:AL160)</f>
        <v>#DIV/0!</v>
      </c>
      <c r="AN160" s="259"/>
      <c r="AO160" s="259"/>
      <c r="AP160" s="259"/>
      <c r="AQ160" s="259"/>
      <c r="AR160" s="259" t="e">
        <f t="shared" si="211"/>
        <v>#DIV/0!</v>
      </c>
      <c r="AS160" s="259"/>
      <c r="AT160" s="259"/>
      <c r="AU160" s="259"/>
      <c r="AV160" s="259"/>
      <c r="AW160" s="82"/>
      <c r="AX160" s="82"/>
      <c r="AY160" s="82"/>
      <c r="AZ160" s="94"/>
      <c r="BB160" s="237" t="e">
        <f>ABS(5%*AM160)+(400*CK160)</f>
        <v>#DIV/0!</v>
      </c>
      <c r="BC160" s="237"/>
      <c r="BD160" s="237"/>
      <c r="BE160" s="237"/>
      <c r="BF160" s="237"/>
      <c r="BG160" s="237">
        <v>507.15</v>
      </c>
      <c r="BH160" s="237"/>
      <c r="BI160" s="237"/>
      <c r="BJ160" s="237"/>
      <c r="BK160" s="237"/>
      <c r="BL160" s="237">
        <v>492.85</v>
      </c>
      <c r="BM160" s="237"/>
      <c r="BN160" s="237"/>
      <c r="BO160" s="237"/>
      <c r="BP160" s="237"/>
      <c r="BQ160" s="265" t="e">
        <f t="shared" si="212"/>
        <v>#DIV/0!</v>
      </c>
      <c r="BR160" s="265"/>
      <c r="BS160" s="265"/>
      <c r="BT160" s="265"/>
      <c r="BU160" s="265"/>
      <c r="BX160" s="20" t="s">
        <v>86</v>
      </c>
      <c r="BY160" s="143">
        <v>1.7</v>
      </c>
      <c r="BZ160" s="19" t="str">
        <f t="shared" si="213"/>
        <v>µA</v>
      </c>
      <c r="CA160" s="20">
        <v>2</v>
      </c>
      <c r="CB160" s="16">
        <f t="shared" si="214"/>
        <v>0.85</v>
      </c>
      <c r="CC160" s="6"/>
      <c r="CD160" s="20" t="s">
        <v>170</v>
      </c>
      <c r="CE160" s="15">
        <v>0</v>
      </c>
      <c r="CF160" s="19" t="str">
        <f t="shared" si="215"/>
        <v>µA</v>
      </c>
      <c r="CG160" s="18">
        <f t="shared" si="216"/>
        <v>1.7320508075688772</v>
      </c>
      <c r="CH160" s="16">
        <f t="shared" si="217"/>
        <v>0</v>
      </c>
      <c r="CI160" s="6"/>
      <c r="CJ160" s="20" t="s">
        <v>87</v>
      </c>
      <c r="CK160" s="20">
        <v>0.01</v>
      </c>
      <c r="CL160" s="19" t="str">
        <f t="shared" si="218"/>
        <v>µA</v>
      </c>
      <c r="CM160" s="18">
        <f t="shared" si="219"/>
        <v>3.4641016151377544</v>
      </c>
      <c r="CN160" s="16">
        <f t="shared" si="220"/>
        <v>2.886751345948129E-3</v>
      </c>
      <c r="CO160" s="6"/>
      <c r="CP160" s="20" t="s">
        <v>88</v>
      </c>
      <c r="CQ160" s="17" t="e">
        <f t="shared" si="221"/>
        <v>#DIV/0!</v>
      </c>
      <c r="CR160" s="19" t="str">
        <f t="shared" si="222"/>
        <v>µA</v>
      </c>
      <c r="CS160" s="18">
        <f t="shared" si="223"/>
        <v>1.7320508075688772</v>
      </c>
      <c r="CT160" s="17" t="e">
        <f t="shared" si="224"/>
        <v>#DIV/0!</v>
      </c>
      <c r="CU160" s="7"/>
      <c r="CV160" s="16" t="e">
        <f t="shared" si="225"/>
        <v>#DIV/0!</v>
      </c>
      <c r="CW160" s="14" t="e">
        <f t="shared" si="226"/>
        <v>#DIV/0!</v>
      </c>
      <c r="CX160" s="14" t="e">
        <f t="shared" si="227"/>
        <v>#DIV/0!</v>
      </c>
      <c r="CY160" s="26" t="e">
        <f t="shared" si="228"/>
        <v>#DIV/0!</v>
      </c>
      <c r="CZ160" s="12" t="str">
        <f t="shared" si="229"/>
        <v>µA</v>
      </c>
      <c r="DA160" s="7"/>
      <c r="DB160" s="122">
        <v>3</v>
      </c>
      <c r="DC160" s="123" t="str">
        <f t="shared" si="230"/>
        <v>µA</v>
      </c>
      <c r="DD160" s="125" t="e">
        <f t="shared" si="231"/>
        <v>#DIV/0!</v>
      </c>
      <c r="DE160" s="123" t="str">
        <f t="shared" si="232"/>
        <v>µA</v>
      </c>
    </row>
    <row r="161" spans="2:109" ht="13.7" customHeight="1">
      <c r="B161" s="93"/>
      <c r="C161" s="82"/>
      <c r="D161" s="82"/>
      <c r="E161" s="82"/>
      <c r="F161" s="330" t="s">
        <v>175</v>
      </c>
      <c r="G161" s="330"/>
      <c r="H161" s="330"/>
      <c r="I161" s="330"/>
      <c r="J161" s="330"/>
      <c r="K161" s="330"/>
      <c r="L161" s="313">
        <v>5000</v>
      </c>
      <c r="M161" s="314"/>
      <c r="N161" s="314"/>
      <c r="O161" s="314"/>
      <c r="P161" s="281" t="s">
        <v>176</v>
      </c>
      <c r="Q161" s="281"/>
      <c r="R161" s="282"/>
      <c r="S161" s="278" t="s">
        <v>130</v>
      </c>
      <c r="T161" s="278"/>
      <c r="U161" s="278"/>
      <c r="V161" s="278"/>
      <c r="W161" s="278"/>
      <c r="X161" s="279"/>
      <c r="Y161" s="279"/>
      <c r="Z161" s="279"/>
      <c r="AA161" s="279"/>
      <c r="AB161" s="279"/>
      <c r="AC161" s="279"/>
      <c r="AD161" s="279"/>
      <c r="AE161" s="279"/>
      <c r="AF161" s="279"/>
      <c r="AG161" s="279"/>
      <c r="AH161" s="279"/>
      <c r="AI161" s="279"/>
      <c r="AJ161" s="279"/>
      <c r="AK161" s="279"/>
      <c r="AL161" s="279"/>
      <c r="AM161" s="362" t="e">
        <f t="shared" si="233"/>
        <v>#DIV/0!</v>
      </c>
      <c r="AN161" s="362"/>
      <c r="AO161" s="362"/>
      <c r="AP161" s="362"/>
      <c r="AQ161" s="362"/>
      <c r="AR161" s="362" t="e">
        <f t="shared" si="211"/>
        <v>#DIV/0!</v>
      </c>
      <c r="AS161" s="362"/>
      <c r="AT161" s="362"/>
      <c r="AU161" s="362"/>
      <c r="AV161" s="362"/>
      <c r="AW161" s="82"/>
      <c r="AX161" s="82"/>
      <c r="AY161" s="82"/>
      <c r="AZ161" s="94"/>
      <c r="BB161" s="238" t="e">
        <f t="shared" ref="BB161:BB165" si="234">ABS(0.6%*AM161)+(20*CK161)</f>
        <v>#DIV/0!</v>
      </c>
      <c r="BC161" s="238"/>
      <c r="BD161" s="238"/>
      <c r="BE161" s="238"/>
      <c r="BF161" s="238"/>
      <c r="BG161" s="238">
        <v>5071.5</v>
      </c>
      <c r="BH161" s="238"/>
      <c r="BI161" s="238"/>
      <c r="BJ161" s="238"/>
      <c r="BK161" s="238"/>
      <c r="BL161" s="238">
        <v>4928.5</v>
      </c>
      <c r="BM161" s="238"/>
      <c r="BN161" s="238"/>
      <c r="BO161" s="238"/>
      <c r="BP161" s="238"/>
      <c r="BQ161" s="265" t="e">
        <f t="shared" si="212"/>
        <v>#DIV/0!</v>
      </c>
      <c r="BR161" s="265"/>
      <c r="BS161" s="265"/>
      <c r="BT161" s="265"/>
      <c r="BU161" s="265"/>
      <c r="BX161" s="20" t="s">
        <v>86</v>
      </c>
      <c r="BY161" s="143">
        <v>13</v>
      </c>
      <c r="BZ161" s="19" t="str">
        <f t="shared" si="213"/>
        <v>µA</v>
      </c>
      <c r="CA161" s="20">
        <v>2</v>
      </c>
      <c r="CB161" s="16">
        <f t="shared" si="214"/>
        <v>6.5</v>
      </c>
      <c r="CC161" s="6"/>
      <c r="CD161" s="20" t="s">
        <v>170</v>
      </c>
      <c r="CE161" s="15">
        <v>0</v>
      </c>
      <c r="CF161" s="19" t="str">
        <f t="shared" si="215"/>
        <v>µA</v>
      </c>
      <c r="CG161" s="18">
        <f t="shared" si="216"/>
        <v>1.7320508075688772</v>
      </c>
      <c r="CH161" s="16">
        <f t="shared" si="217"/>
        <v>0</v>
      </c>
      <c r="CI161" s="6"/>
      <c r="CJ161" s="20" t="s">
        <v>87</v>
      </c>
      <c r="CK161" s="20">
        <v>0.1</v>
      </c>
      <c r="CL161" s="19" t="str">
        <f t="shared" si="218"/>
        <v>µA</v>
      </c>
      <c r="CM161" s="18">
        <f t="shared" si="219"/>
        <v>3.4641016151377544</v>
      </c>
      <c r="CN161" s="16">
        <f t="shared" si="220"/>
        <v>2.8867513459481291E-2</v>
      </c>
      <c r="CO161" s="6"/>
      <c r="CP161" s="20" t="s">
        <v>88</v>
      </c>
      <c r="CQ161" s="17" t="e">
        <f t="shared" si="221"/>
        <v>#DIV/0!</v>
      </c>
      <c r="CR161" s="19" t="str">
        <f t="shared" si="222"/>
        <v>µA</v>
      </c>
      <c r="CS161" s="18">
        <f t="shared" si="223"/>
        <v>1.7320508075688772</v>
      </c>
      <c r="CT161" s="17" t="e">
        <f t="shared" si="224"/>
        <v>#DIV/0!</v>
      </c>
      <c r="CU161" s="7"/>
      <c r="CV161" s="16" t="e">
        <f t="shared" si="225"/>
        <v>#DIV/0!</v>
      </c>
      <c r="CW161" s="14" t="e">
        <f t="shared" si="226"/>
        <v>#DIV/0!</v>
      </c>
      <c r="CX161" s="14" t="e">
        <f t="shared" si="227"/>
        <v>#DIV/0!</v>
      </c>
      <c r="CY161" s="26" t="e">
        <f t="shared" si="228"/>
        <v>#DIV/0!</v>
      </c>
      <c r="CZ161" s="12" t="str">
        <f t="shared" si="229"/>
        <v>µA</v>
      </c>
      <c r="DA161" s="7"/>
      <c r="DB161" s="122">
        <v>13</v>
      </c>
      <c r="DC161" s="123" t="str">
        <f t="shared" si="230"/>
        <v>µA</v>
      </c>
      <c r="DD161" s="125" t="e">
        <f t="shared" si="231"/>
        <v>#DIV/0!</v>
      </c>
      <c r="DE161" s="123" t="str">
        <f t="shared" si="232"/>
        <v>µA</v>
      </c>
    </row>
    <row r="162" spans="2:109" ht="13.7" customHeight="1">
      <c r="B162" s="93"/>
      <c r="C162" s="82"/>
      <c r="D162" s="82"/>
      <c r="E162" s="82"/>
      <c r="F162" s="341" t="s">
        <v>116</v>
      </c>
      <c r="G162" s="342"/>
      <c r="H162" s="342"/>
      <c r="I162" s="342"/>
      <c r="J162" s="342"/>
      <c r="K162" s="343"/>
      <c r="L162" s="313">
        <v>4</v>
      </c>
      <c r="M162" s="314"/>
      <c r="N162" s="314"/>
      <c r="O162" s="314"/>
      <c r="P162" s="281" t="s">
        <v>117</v>
      </c>
      <c r="Q162" s="281"/>
      <c r="R162" s="282"/>
      <c r="S162" s="278" t="s">
        <v>127</v>
      </c>
      <c r="T162" s="278"/>
      <c r="U162" s="278"/>
      <c r="V162" s="278"/>
      <c r="W162" s="278"/>
      <c r="X162" s="283"/>
      <c r="Y162" s="283"/>
      <c r="Z162" s="283"/>
      <c r="AA162" s="283"/>
      <c r="AB162" s="283"/>
      <c r="AC162" s="283"/>
      <c r="AD162" s="283"/>
      <c r="AE162" s="283"/>
      <c r="AF162" s="283"/>
      <c r="AG162" s="283"/>
      <c r="AH162" s="283"/>
      <c r="AI162" s="283"/>
      <c r="AJ162" s="283"/>
      <c r="AK162" s="283"/>
      <c r="AL162" s="283"/>
      <c r="AM162" s="284" t="e">
        <f t="shared" si="233"/>
        <v>#DIV/0!</v>
      </c>
      <c r="AN162" s="284"/>
      <c r="AO162" s="284"/>
      <c r="AP162" s="284"/>
      <c r="AQ162" s="284"/>
      <c r="AR162" s="284" t="e">
        <f t="shared" si="211"/>
        <v>#DIV/0!</v>
      </c>
      <c r="AS162" s="284"/>
      <c r="AT162" s="284"/>
      <c r="AU162" s="284"/>
      <c r="AV162" s="284"/>
      <c r="AW162" s="82"/>
      <c r="AX162" s="82"/>
      <c r="AY162" s="82"/>
      <c r="AZ162" s="94"/>
      <c r="BB162" s="239" t="e">
        <f>ABS(1%*AM162)+(20*CK162)</f>
        <v>#DIV/0!</v>
      </c>
      <c r="BC162" s="239"/>
      <c r="BD162" s="239"/>
      <c r="BE162" s="239"/>
      <c r="BF162" s="239"/>
      <c r="BG162" s="239">
        <v>4.0599999999999996</v>
      </c>
      <c r="BH162" s="239"/>
      <c r="BI162" s="239"/>
      <c r="BJ162" s="239"/>
      <c r="BK162" s="239"/>
      <c r="BL162" s="239">
        <v>3.94</v>
      </c>
      <c r="BM162" s="239"/>
      <c r="BN162" s="239"/>
      <c r="BO162" s="239"/>
      <c r="BP162" s="239"/>
      <c r="BQ162" s="265" t="e">
        <f t="shared" si="212"/>
        <v>#DIV/0!</v>
      </c>
      <c r="BR162" s="265"/>
      <c r="BS162" s="265"/>
      <c r="BT162" s="265"/>
      <c r="BU162" s="265"/>
      <c r="BX162" s="20" t="s">
        <v>86</v>
      </c>
      <c r="BY162" s="20">
        <v>1.2999999999999999E-2</v>
      </c>
      <c r="BZ162" s="19" t="str">
        <f t="shared" si="213"/>
        <v>mA</v>
      </c>
      <c r="CA162" s="20">
        <v>2</v>
      </c>
      <c r="CB162" s="16">
        <f t="shared" si="214"/>
        <v>6.4999999999999997E-3</v>
      </c>
      <c r="CC162" s="6"/>
      <c r="CD162" s="20" t="s">
        <v>170</v>
      </c>
      <c r="CE162" s="15">
        <v>0</v>
      </c>
      <c r="CF162" s="19" t="str">
        <f t="shared" si="215"/>
        <v>mA</v>
      </c>
      <c r="CG162" s="18">
        <f t="shared" si="216"/>
        <v>1.7320508075688772</v>
      </c>
      <c r="CH162" s="16">
        <f t="shared" si="217"/>
        <v>0</v>
      </c>
      <c r="CI162" s="6"/>
      <c r="CJ162" s="20" t="s">
        <v>87</v>
      </c>
      <c r="CK162" s="20">
        <v>1E-3</v>
      </c>
      <c r="CL162" s="19" t="str">
        <f t="shared" si="218"/>
        <v>mA</v>
      </c>
      <c r="CM162" s="18">
        <f t="shared" si="219"/>
        <v>3.4641016151377544</v>
      </c>
      <c r="CN162" s="16">
        <f t="shared" si="220"/>
        <v>2.886751345948129E-4</v>
      </c>
      <c r="CO162" s="6"/>
      <c r="CP162" s="20" t="s">
        <v>88</v>
      </c>
      <c r="CQ162" s="17" t="e">
        <f t="shared" si="221"/>
        <v>#DIV/0!</v>
      </c>
      <c r="CR162" s="19" t="str">
        <f t="shared" si="222"/>
        <v>mA</v>
      </c>
      <c r="CS162" s="18">
        <f t="shared" si="223"/>
        <v>1.7320508075688772</v>
      </c>
      <c r="CT162" s="17" t="e">
        <f t="shared" si="224"/>
        <v>#DIV/0!</v>
      </c>
      <c r="CU162" s="7"/>
      <c r="CV162" s="16" t="e">
        <f t="shared" si="225"/>
        <v>#DIV/0!</v>
      </c>
      <c r="CW162" s="14" t="e">
        <f t="shared" si="226"/>
        <v>#DIV/0!</v>
      </c>
      <c r="CX162" s="14" t="e">
        <f t="shared" si="227"/>
        <v>#DIV/0!</v>
      </c>
      <c r="CY162" s="26" t="e">
        <f t="shared" si="228"/>
        <v>#DIV/0!</v>
      </c>
      <c r="CZ162" s="12" t="str">
        <f t="shared" si="229"/>
        <v>mA</v>
      </c>
      <c r="DA162" s="7"/>
      <c r="DB162" s="122">
        <v>6.1999999999999998E-3</v>
      </c>
      <c r="DC162" s="123" t="str">
        <f t="shared" si="230"/>
        <v>mA</v>
      </c>
      <c r="DD162" s="125" t="e">
        <f t="shared" si="231"/>
        <v>#DIV/0!</v>
      </c>
      <c r="DE162" s="123" t="str">
        <f t="shared" si="232"/>
        <v>mA</v>
      </c>
    </row>
    <row r="163" spans="2:109" ht="13.7" customHeight="1">
      <c r="B163" s="93"/>
      <c r="C163" s="82"/>
      <c r="D163" s="82"/>
      <c r="E163" s="82"/>
      <c r="F163" s="344"/>
      <c r="G163" s="345"/>
      <c r="H163" s="345"/>
      <c r="I163" s="345"/>
      <c r="J163" s="345"/>
      <c r="K163" s="346"/>
      <c r="L163" s="313">
        <v>30</v>
      </c>
      <c r="M163" s="314"/>
      <c r="N163" s="314"/>
      <c r="O163" s="314"/>
      <c r="P163" s="281" t="s">
        <v>117</v>
      </c>
      <c r="Q163" s="281"/>
      <c r="R163" s="282"/>
      <c r="S163" s="278" t="s">
        <v>130</v>
      </c>
      <c r="T163" s="278"/>
      <c r="U163" s="278"/>
      <c r="V163" s="278"/>
      <c r="W163" s="278"/>
      <c r="X163" s="283"/>
      <c r="Y163" s="283"/>
      <c r="Z163" s="283"/>
      <c r="AA163" s="283"/>
      <c r="AB163" s="283"/>
      <c r="AC163" s="283"/>
      <c r="AD163" s="283"/>
      <c r="AE163" s="283"/>
      <c r="AF163" s="283"/>
      <c r="AG163" s="283"/>
      <c r="AH163" s="283"/>
      <c r="AI163" s="283"/>
      <c r="AJ163" s="283"/>
      <c r="AK163" s="283"/>
      <c r="AL163" s="283"/>
      <c r="AM163" s="284" t="e">
        <f t="shared" si="233"/>
        <v>#DIV/0!</v>
      </c>
      <c r="AN163" s="284"/>
      <c r="AO163" s="284"/>
      <c r="AP163" s="284"/>
      <c r="AQ163" s="284"/>
      <c r="AR163" s="284" t="e">
        <f t="shared" si="211"/>
        <v>#DIV/0!</v>
      </c>
      <c r="AS163" s="284"/>
      <c r="AT163" s="284"/>
      <c r="AU163" s="284"/>
      <c r="AV163" s="284"/>
      <c r="AW163" s="82"/>
      <c r="AX163" s="82"/>
      <c r="AY163" s="82"/>
      <c r="AZ163" s="94"/>
      <c r="BB163" s="239" t="e">
        <f>ABS(5%*AM163)+(40*CK163)</f>
        <v>#DIV/0!</v>
      </c>
      <c r="BC163" s="239"/>
      <c r="BD163" s="239"/>
      <c r="BE163" s="239"/>
      <c r="BF163" s="239"/>
      <c r="BG163" s="239">
        <v>30.625</v>
      </c>
      <c r="BH163" s="239"/>
      <c r="BI163" s="239"/>
      <c r="BJ163" s="239"/>
      <c r="BK163" s="239"/>
      <c r="BL163" s="239">
        <v>29.375</v>
      </c>
      <c r="BM163" s="239"/>
      <c r="BN163" s="239"/>
      <c r="BO163" s="239"/>
      <c r="BP163" s="239"/>
      <c r="BQ163" s="265" t="e">
        <f t="shared" si="212"/>
        <v>#DIV/0!</v>
      </c>
      <c r="BR163" s="265"/>
      <c r="BS163" s="265"/>
      <c r="BT163" s="265"/>
      <c r="BU163" s="265"/>
      <c r="BX163" s="20" t="s">
        <v>86</v>
      </c>
      <c r="BY163" s="20">
        <v>3.1E-2</v>
      </c>
      <c r="BZ163" s="19" t="str">
        <f t="shared" si="213"/>
        <v>mA</v>
      </c>
      <c r="CA163" s="20">
        <v>2</v>
      </c>
      <c r="CB163" s="16">
        <f t="shared" si="214"/>
        <v>1.55E-2</v>
      </c>
      <c r="CC163" s="6"/>
      <c r="CD163" s="20" t="s">
        <v>170</v>
      </c>
      <c r="CE163" s="15">
        <v>0</v>
      </c>
      <c r="CF163" s="19" t="str">
        <f t="shared" si="215"/>
        <v>mA</v>
      </c>
      <c r="CG163" s="18">
        <f t="shared" si="216"/>
        <v>1.7320508075688772</v>
      </c>
      <c r="CH163" s="16">
        <f t="shared" si="217"/>
        <v>0</v>
      </c>
      <c r="CI163" s="6"/>
      <c r="CJ163" s="20" t="s">
        <v>87</v>
      </c>
      <c r="CK163" s="20">
        <v>1E-3</v>
      </c>
      <c r="CL163" s="19" t="str">
        <f t="shared" si="218"/>
        <v>mA</v>
      </c>
      <c r="CM163" s="18">
        <f t="shared" si="219"/>
        <v>3.4641016151377544</v>
      </c>
      <c r="CN163" s="16">
        <f t="shared" si="220"/>
        <v>2.886751345948129E-4</v>
      </c>
      <c r="CO163" s="6"/>
      <c r="CP163" s="20" t="s">
        <v>88</v>
      </c>
      <c r="CQ163" s="17" t="e">
        <f t="shared" si="221"/>
        <v>#DIV/0!</v>
      </c>
      <c r="CR163" s="19" t="str">
        <f t="shared" si="222"/>
        <v>mA</v>
      </c>
      <c r="CS163" s="18">
        <f t="shared" si="223"/>
        <v>1.7320508075688772</v>
      </c>
      <c r="CT163" s="17" t="e">
        <f t="shared" si="224"/>
        <v>#DIV/0!</v>
      </c>
      <c r="CU163" s="7"/>
      <c r="CV163" s="16" t="e">
        <f t="shared" si="225"/>
        <v>#DIV/0!</v>
      </c>
      <c r="CW163" s="14" t="e">
        <f t="shared" si="226"/>
        <v>#DIV/0!</v>
      </c>
      <c r="CX163" s="14" t="e">
        <f t="shared" si="227"/>
        <v>#DIV/0!</v>
      </c>
      <c r="CY163" s="26" t="e">
        <f t="shared" si="228"/>
        <v>#DIV/0!</v>
      </c>
      <c r="CZ163" s="12" t="str">
        <f t="shared" si="229"/>
        <v>mA</v>
      </c>
      <c r="DA163" s="7"/>
      <c r="DB163" s="122">
        <v>1.2999999999999999E-2</v>
      </c>
      <c r="DC163" s="123" t="str">
        <f t="shared" si="230"/>
        <v>mA</v>
      </c>
      <c r="DD163" s="125" t="e">
        <f t="shared" si="231"/>
        <v>#DIV/0!</v>
      </c>
      <c r="DE163" s="123" t="str">
        <f t="shared" si="232"/>
        <v>mA</v>
      </c>
    </row>
    <row r="164" spans="2:109" ht="13.7" customHeight="1">
      <c r="B164" s="93"/>
      <c r="C164" s="82"/>
      <c r="D164" s="82"/>
      <c r="E164" s="82"/>
      <c r="F164" s="341" t="s">
        <v>131</v>
      </c>
      <c r="G164" s="342"/>
      <c r="H164" s="342"/>
      <c r="I164" s="342"/>
      <c r="J164" s="342"/>
      <c r="K164" s="343"/>
      <c r="L164" s="313">
        <v>300</v>
      </c>
      <c r="M164" s="314"/>
      <c r="N164" s="314"/>
      <c r="O164" s="314"/>
      <c r="P164" s="281" t="s">
        <v>117</v>
      </c>
      <c r="Q164" s="281"/>
      <c r="R164" s="282"/>
      <c r="S164" s="278" t="s">
        <v>130</v>
      </c>
      <c r="T164" s="278"/>
      <c r="U164" s="278"/>
      <c r="V164" s="278"/>
      <c r="W164" s="278"/>
      <c r="X164" s="264"/>
      <c r="Y164" s="264"/>
      <c r="Z164" s="264"/>
      <c r="AA164" s="264"/>
      <c r="AB164" s="264"/>
      <c r="AC164" s="264"/>
      <c r="AD164" s="264"/>
      <c r="AE164" s="264"/>
      <c r="AF164" s="264"/>
      <c r="AG164" s="264"/>
      <c r="AH164" s="264"/>
      <c r="AI164" s="264"/>
      <c r="AJ164" s="264"/>
      <c r="AK164" s="264"/>
      <c r="AL164" s="264"/>
      <c r="AM164" s="259" t="e">
        <f t="shared" si="233"/>
        <v>#DIV/0!</v>
      </c>
      <c r="AN164" s="259"/>
      <c r="AO164" s="259"/>
      <c r="AP164" s="259"/>
      <c r="AQ164" s="259"/>
      <c r="AR164" s="259" t="e">
        <f t="shared" si="211"/>
        <v>#DIV/0!</v>
      </c>
      <c r="AS164" s="259"/>
      <c r="AT164" s="259"/>
      <c r="AU164" s="259"/>
      <c r="AV164" s="259"/>
      <c r="AW164" s="82"/>
      <c r="AX164" s="82"/>
      <c r="AY164" s="82"/>
      <c r="AZ164" s="94"/>
      <c r="BB164" s="237" t="e">
        <f>ABS(5%*AM164)+(40*CK164)</f>
        <v>#DIV/0!</v>
      </c>
      <c r="BC164" s="237"/>
      <c r="BD164" s="237"/>
      <c r="BE164" s="237"/>
      <c r="BF164" s="237"/>
      <c r="BG164" s="237">
        <v>315.39999999999998</v>
      </c>
      <c r="BH164" s="237"/>
      <c r="BI164" s="237"/>
      <c r="BJ164" s="237"/>
      <c r="BK164" s="237"/>
      <c r="BL164" s="237">
        <v>284.60000000000002</v>
      </c>
      <c r="BM164" s="237"/>
      <c r="BN164" s="237"/>
      <c r="BO164" s="237"/>
      <c r="BP164" s="237"/>
      <c r="BQ164" s="265" t="e">
        <f t="shared" si="212"/>
        <v>#DIV/0!</v>
      </c>
      <c r="BR164" s="265"/>
      <c r="BS164" s="265"/>
      <c r="BT164" s="265"/>
      <c r="BU164" s="265"/>
      <c r="BX164" s="20" t="s">
        <v>86</v>
      </c>
      <c r="BY164" s="20">
        <v>1.2999999999999999E-3</v>
      </c>
      <c r="BZ164" s="19" t="str">
        <f t="shared" si="213"/>
        <v>mA</v>
      </c>
      <c r="CA164" s="20">
        <v>2</v>
      </c>
      <c r="CB164" s="16">
        <f t="shared" si="214"/>
        <v>6.4999999999999997E-4</v>
      </c>
      <c r="CC164" s="6"/>
      <c r="CD164" s="20" t="s">
        <v>170</v>
      </c>
      <c r="CE164" s="15">
        <v>0</v>
      </c>
      <c r="CF164" s="19" t="str">
        <f t="shared" si="215"/>
        <v>mA</v>
      </c>
      <c r="CG164" s="18">
        <f t="shared" si="216"/>
        <v>1.7320508075688772</v>
      </c>
      <c r="CH164" s="16">
        <f t="shared" si="217"/>
        <v>0</v>
      </c>
      <c r="CI164" s="6"/>
      <c r="CJ164" s="20" t="s">
        <v>87</v>
      </c>
      <c r="CK164" s="20">
        <v>0.01</v>
      </c>
      <c r="CL164" s="19" t="str">
        <f t="shared" si="218"/>
        <v>mA</v>
      </c>
      <c r="CM164" s="18">
        <f t="shared" si="219"/>
        <v>3.4641016151377544</v>
      </c>
      <c r="CN164" s="16">
        <f t="shared" si="220"/>
        <v>2.886751345948129E-3</v>
      </c>
      <c r="CO164" s="6"/>
      <c r="CP164" s="20" t="s">
        <v>88</v>
      </c>
      <c r="CQ164" s="17" t="e">
        <f t="shared" si="221"/>
        <v>#DIV/0!</v>
      </c>
      <c r="CR164" s="19" t="str">
        <f t="shared" si="222"/>
        <v>mA</v>
      </c>
      <c r="CS164" s="18">
        <f t="shared" si="223"/>
        <v>1.7320508075688772</v>
      </c>
      <c r="CT164" s="17" t="e">
        <f t="shared" si="224"/>
        <v>#DIV/0!</v>
      </c>
      <c r="CU164" s="7"/>
      <c r="CV164" s="16" t="e">
        <f t="shared" si="225"/>
        <v>#DIV/0!</v>
      </c>
      <c r="CW164" s="14" t="e">
        <f t="shared" si="226"/>
        <v>#DIV/0!</v>
      </c>
      <c r="CX164" s="14" t="e">
        <f t="shared" si="227"/>
        <v>#DIV/0!</v>
      </c>
      <c r="CY164" s="26" t="e">
        <f t="shared" si="228"/>
        <v>#DIV/0!</v>
      </c>
      <c r="CZ164" s="12" t="str">
        <f t="shared" si="229"/>
        <v>mA</v>
      </c>
      <c r="DA164" s="7"/>
      <c r="DB164" s="122">
        <v>0.26</v>
      </c>
      <c r="DC164" s="123" t="str">
        <f t="shared" si="230"/>
        <v>mA</v>
      </c>
      <c r="DD164" s="125" t="e">
        <f t="shared" si="231"/>
        <v>#DIV/0!</v>
      </c>
      <c r="DE164" s="123" t="str">
        <f t="shared" si="232"/>
        <v>mA</v>
      </c>
    </row>
    <row r="165" spans="2:109" ht="13.7" customHeight="1">
      <c r="B165" s="93"/>
      <c r="C165" s="82"/>
      <c r="D165" s="82"/>
      <c r="E165" s="82"/>
      <c r="F165" s="344"/>
      <c r="G165" s="345"/>
      <c r="H165" s="345"/>
      <c r="I165" s="345"/>
      <c r="J165" s="345"/>
      <c r="K165" s="346"/>
      <c r="L165" s="313">
        <v>400</v>
      </c>
      <c r="M165" s="314"/>
      <c r="N165" s="314"/>
      <c r="O165" s="314"/>
      <c r="P165" s="281" t="s">
        <v>117</v>
      </c>
      <c r="Q165" s="281"/>
      <c r="R165" s="282"/>
      <c r="S165" s="278" t="s">
        <v>129</v>
      </c>
      <c r="T165" s="278"/>
      <c r="U165" s="278"/>
      <c r="V165" s="278"/>
      <c r="W165" s="278"/>
      <c r="X165" s="264"/>
      <c r="Y165" s="264"/>
      <c r="Z165" s="264"/>
      <c r="AA165" s="264"/>
      <c r="AB165" s="264"/>
      <c r="AC165" s="264"/>
      <c r="AD165" s="264"/>
      <c r="AE165" s="264"/>
      <c r="AF165" s="264"/>
      <c r="AG165" s="264"/>
      <c r="AH165" s="264"/>
      <c r="AI165" s="264"/>
      <c r="AJ165" s="264"/>
      <c r="AK165" s="264"/>
      <c r="AL165" s="264"/>
      <c r="AM165" s="259" t="e">
        <f t="shared" si="233"/>
        <v>#DIV/0!</v>
      </c>
      <c r="AN165" s="259"/>
      <c r="AO165" s="259"/>
      <c r="AP165" s="259"/>
      <c r="AQ165" s="259"/>
      <c r="AR165" s="259" t="e">
        <f t="shared" ref="AR165" si="235">AM165-L165</f>
        <v>#DIV/0!</v>
      </c>
      <c r="AS165" s="259"/>
      <c r="AT165" s="259"/>
      <c r="AU165" s="259"/>
      <c r="AV165" s="259"/>
      <c r="AW165" s="82"/>
      <c r="AX165" s="82"/>
      <c r="AY165" s="82"/>
      <c r="AZ165" s="94"/>
      <c r="BB165" s="237" t="e">
        <f t="shared" si="234"/>
        <v>#DIV/0!</v>
      </c>
      <c r="BC165" s="237"/>
      <c r="BD165" s="237"/>
      <c r="BE165" s="237"/>
      <c r="BF165" s="237"/>
      <c r="BG165" s="237">
        <v>402.45</v>
      </c>
      <c r="BH165" s="237"/>
      <c r="BI165" s="237"/>
      <c r="BJ165" s="237"/>
      <c r="BK165" s="237"/>
      <c r="BL165" s="237">
        <v>397.55</v>
      </c>
      <c r="BM165" s="237"/>
      <c r="BN165" s="237"/>
      <c r="BO165" s="237"/>
      <c r="BP165" s="237"/>
      <c r="BQ165" s="265" t="e">
        <f t="shared" si="212"/>
        <v>#DIV/0!</v>
      </c>
      <c r="BR165" s="265"/>
      <c r="BS165" s="265"/>
      <c r="BT165" s="265"/>
      <c r="BU165" s="265"/>
      <c r="BX165" s="20" t="s">
        <v>86</v>
      </c>
      <c r="BY165" s="143">
        <v>0.72</v>
      </c>
      <c r="BZ165" s="19" t="str">
        <f t="shared" si="213"/>
        <v>mA</v>
      </c>
      <c r="CA165" s="20">
        <v>2</v>
      </c>
      <c r="CB165" s="16">
        <f t="shared" ref="CB165" si="236">BY165/CA165</f>
        <v>0.36</v>
      </c>
      <c r="CC165" s="6"/>
      <c r="CD165" s="20" t="s">
        <v>170</v>
      </c>
      <c r="CE165" s="15">
        <v>0</v>
      </c>
      <c r="CF165" s="19" t="str">
        <f t="shared" si="215"/>
        <v>mA</v>
      </c>
      <c r="CG165" s="18">
        <f t="shared" si="216"/>
        <v>1.7320508075688772</v>
      </c>
      <c r="CH165" s="16">
        <f t="shared" si="217"/>
        <v>0</v>
      </c>
      <c r="CI165" s="6"/>
      <c r="CJ165" s="20" t="s">
        <v>87</v>
      </c>
      <c r="CK165" s="20">
        <v>0.01</v>
      </c>
      <c r="CL165" s="19" t="str">
        <f t="shared" si="218"/>
        <v>mA</v>
      </c>
      <c r="CM165" s="18">
        <f t="shared" si="219"/>
        <v>3.4641016151377544</v>
      </c>
      <c r="CN165" s="16">
        <f t="shared" si="220"/>
        <v>2.886751345948129E-3</v>
      </c>
      <c r="CO165" s="6"/>
      <c r="CP165" s="20" t="s">
        <v>88</v>
      </c>
      <c r="CQ165" s="17" t="e">
        <f t="shared" si="221"/>
        <v>#DIV/0!</v>
      </c>
      <c r="CR165" s="19" t="str">
        <f t="shared" si="222"/>
        <v>mA</v>
      </c>
      <c r="CS165" s="18">
        <f t="shared" si="223"/>
        <v>1.7320508075688772</v>
      </c>
      <c r="CT165" s="17" t="e">
        <f t="shared" si="224"/>
        <v>#DIV/0!</v>
      </c>
      <c r="CU165" s="7"/>
      <c r="CV165" s="16" t="e">
        <f t="shared" si="225"/>
        <v>#DIV/0!</v>
      </c>
      <c r="CW165" s="14" t="e">
        <f t="shared" si="226"/>
        <v>#DIV/0!</v>
      </c>
      <c r="CX165" s="14" t="e">
        <f t="shared" ref="CX165" si="237">ROUND(TINV(0.05,CW165),0)</f>
        <v>#DIV/0!</v>
      </c>
      <c r="CY165" s="26" t="e">
        <f t="shared" ref="CY165" si="238">(CV165*CX165)</f>
        <v>#DIV/0!</v>
      </c>
      <c r="CZ165" s="12" t="str">
        <f t="shared" si="229"/>
        <v>mA</v>
      </c>
      <c r="DA165" s="7"/>
      <c r="DB165" s="122">
        <v>0.21</v>
      </c>
      <c r="DC165" s="123" t="str">
        <f t="shared" si="230"/>
        <v>mA</v>
      </c>
      <c r="DD165" s="125" t="e">
        <f t="shared" si="231"/>
        <v>#DIV/0!</v>
      </c>
      <c r="DE165" s="123" t="str">
        <f t="shared" si="232"/>
        <v>mA</v>
      </c>
    </row>
    <row r="166" spans="2:109" ht="13.7" customHeight="1">
      <c r="B166" s="93"/>
      <c r="C166" s="82"/>
      <c r="D166" s="82"/>
      <c r="E166" s="82"/>
      <c r="F166" s="407" t="s">
        <v>118</v>
      </c>
      <c r="G166" s="330"/>
      <c r="H166" s="330"/>
      <c r="I166" s="330"/>
      <c r="J166" s="330"/>
      <c r="K166" s="330"/>
      <c r="L166" s="313">
        <v>5</v>
      </c>
      <c r="M166" s="314"/>
      <c r="N166" s="314"/>
      <c r="O166" s="314"/>
      <c r="P166" s="281" t="s">
        <v>89</v>
      </c>
      <c r="Q166" s="281"/>
      <c r="R166" s="282"/>
      <c r="S166" s="278" t="s">
        <v>115</v>
      </c>
      <c r="T166" s="278"/>
      <c r="U166" s="278"/>
      <c r="V166" s="278"/>
      <c r="W166" s="278"/>
      <c r="X166" s="263"/>
      <c r="Y166" s="263"/>
      <c r="Z166" s="263"/>
      <c r="AA166" s="263"/>
      <c r="AB166" s="263"/>
      <c r="AC166" s="263"/>
      <c r="AD166" s="263"/>
      <c r="AE166" s="263"/>
      <c r="AF166" s="263"/>
      <c r="AG166" s="263"/>
      <c r="AH166" s="263"/>
      <c r="AI166" s="263"/>
      <c r="AJ166" s="263"/>
      <c r="AK166" s="263"/>
      <c r="AL166" s="263"/>
      <c r="AM166" s="287" t="e">
        <f t="shared" si="233"/>
        <v>#DIV/0!</v>
      </c>
      <c r="AN166" s="287"/>
      <c r="AO166" s="287"/>
      <c r="AP166" s="287"/>
      <c r="AQ166" s="287"/>
      <c r="AR166" s="287" t="e">
        <f t="shared" si="211"/>
        <v>#DIV/0!</v>
      </c>
      <c r="AS166" s="287"/>
      <c r="AT166" s="287"/>
      <c r="AU166" s="287"/>
      <c r="AV166" s="287"/>
      <c r="AW166" s="82"/>
      <c r="AX166" s="82"/>
      <c r="AY166" s="82"/>
      <c r="AZ166" s="94"/>
      <c r="BB166" s="242" t="e">
        <f>ABS(3%*AM166)+(40*CK166)</f>
        <v>#DIV/0!</v>
      </c>
      <c r="BC166" s="242"/>
      <c r="BD166" s="242"/>
      <c r="BE166" s="242"/>
      <c r="BF166" s="242"/>
      <c r="BG166" s="242">
        <v>5.0419999999999998</v>
      </c>
      <c r="BH166" s="242"/>
      <c r="BI166" s="242"/>
      <c r="BJ166" s="242"/>
      <c r="BK166" s="242"/>
      <c r="BL166" s="242">
        <v>4.9580000000000002</v>
      </c>
      <c r="BM166" s="242"/>
      <c r="BN166" s="242"/>
      <c r="BO166" s="242"/>
      <c r="BP166" s="242"/>
      <c r="BQ166" s="265" t="e">
        <f t="shared" si="212"/>
        <v>#DIV/0!</v>
      </c>
      <c r="BR166" s="265"/>
      <c r="BS166" s="265"/>
      <c r="BT166" s="265"/>
      <c r="BU166" s="265"/>
      <c r="BX166" s="20" t="s">
        <v>86</v>
      </c>
      <c r="BY166" s="142">
        <v>1.0999999999999999E-2</v>
      </c>
      <c r="BZ166" s="19" t="str">
        <f t="shared" si="213"/>
        <v>A</v>
      </c>
      <c r="CA166" s="20">
        <v>2</v>
      </c>
      <c r="CB166" s="16">
        <f t="shared" si="214"/>
        <v>5.4999999999999997E-3</v>
      </c>
      <c r="CC166" s="6"/>
      <c r="CD166" s="20" t="s">
        <v>170</v>
      </c>
      <c r="CE166" s="15">
        <v>0</v>
      </c>
      <c r="CF166" s="19" t="str">
        <f t="shared" si="215"/>
        <v>A</v>
      </c>
      <c r="CG166" s="18">
        <f t="shared" si="216"/>
        <v>1.7320508075688772</v>
      </c>
      <c r="CH166" s="16">
        <f t="shared" si="217"/>
        <v>0</v>
      </c>
      <c r="CI166" s="6"/>
      <c r="CJ166" s="20" t="s">
        <v>87</v>
      </c>
      <c r="CK166" s="20">
        <v>1E-4</v>
      </c>
      <c r="CL166" s="19" t="str">
        <f t="shared" si="218"/>
        <v>A</v>
      </c>
      <c r="CM166" s="18">
        <f t="shared" si="219"/>
        <v>3.4641016151377544</v>
      </c>
      <c r="CN166" s="16">
        <f t="shared" si="220"/>
        <v>2.8867513459481293E-5</v>
      </c>
      <c r="CO166" s="6"/>
      <c r="CP166" s="20" t="s">
        <v>88</v>
      </c>
      <c r="CQ166" s="17" t="e">
        <f t="shared" si="221"/>
        <v>#DIV/0!</v>
      </c>
      <c r="CR166" s="19" t="str">
        <f t="shared" si="222"/>
        <v>A</v>
      </c>
      <c r="CS166" s="18">
        <f t="shared" si="223"/>
        <v>1.7320508075688772</v>
      </c>
      <c r="CT166" s="17" t="e">
        <f t="shared" si="224"/>
        <v>#DIV/0!</v>
      </c>
      <c r="CU166" s="7"/>
      <c r="CV166" s="16" t="e">
        <f t="shared" si="225"/>
        <v>#DIV/0!</v>
      </c>
      <c r="CW166" s="14" t="e">
        <f t="shared" si="226"/>
        <v>#DIV/0!</v>
      </c>
      <c r="CX166" s="14" t="e">
        <f t="shared" si="227"/>
        <v>#DIV/0!</v>
      </c>
      <c r="CY166" s="44" t="e">
        <f t="shared" si="228"/>
        <v>#DIV/0!</v>
      </c>
      <c r="CZ166" s="12" t="str">
        <f t="shared" si="229"/>
        <v>A</v>
      </c>
      <c r="DA166" s="7"/>
      <c r="DB166" s="122">
        <v>3.8999999999999998E-3</v>
      </c>
      <c r="DC166" s="123" t="str">
        <f t="shared" si="230"/>
        <v>A</v>
      </c>
      <c r="DD166" s="125" t="e">
        <f t="shared" si="231"/>
        <v>#DIV/0!</v>
      </c>
      <c r="DE166" s="123" t="str">
        <f t="shared" si="232"/>
        <v>A</v>
      </c>
    </row>
    <row r="167" spans="2:109" ht="13.7" customHeight="1">
      <c r="B167" s="93"/>
      <c r="C167" s="82"/>
      <c r="D167" s="82"/>
      <c r="E167" s="82"/>
      <c r="F167" s="363" t="s">
        <v>119</v>
      </c>
      <c r="G167" s="330"/>
      <c r="H167" s="330"/>
      <c r="I167" s="330"/>
      <c r="J167" s="330"/>
      <c r="K167" s="330"/>
      <c r="L167" s="313">
        <v>5</v>
      </c>
      <c r="M167" s="314"/>
      <c r="N167" s="314"/>
      <c r="O167" s="314"/>
      <c r="P167" s="281" t="s">
        <v>89</v>
      </c>
      <c r="Q167" s="281"/>
      <c r="R167" s="282"/>
      <c r="S167" s="278" t="s">
        <v>115</v>
      </c>
      <c r="T167" s="278"/>
      <c r="U167" s="278"/>
      <c r="V167" s="278"/>
      <c r="W167" s="278"/>
      <c r="X167" s="283"/>
      <c r="Y167" s="283"/>
      <c r="Z167" s="283"/>
      <c r="AA167" s="283"/>
      <c r="AB167" s="283"/>
      <c r="AC167" s="283"/>
      <c r="AD167" s="283"/>
      <c r="AE167" s="283"/>
      <c r="AF167" s="283"/>
      <c r="AG167" s="283"/>
      <c r="AH167" s="283"/>
      <c r="AI167" s="283"/>
      <c r="AJ167" s="283"/>
      <c r="AK167" s="283"/>
      <c r="AL167" s="283"/>
      <c r="AM167" s="284" t="e">
        <f t="shared" si="233"/>
        <v>#DIV/0!</v>
      </c>
      <c r="AN167" s="284"/>
      <c r="AO167" s="284"/>
      <c r="AP167" s="284"/>
      <c r="AQ167" s="284"/>
      <c r="AR167" s="284" t="e">
        <f t="shared" si="211"/>
        <v>#DIV/0!</v>
      </c>
      <c r="AS167" s="284"/>
      <c r="AT167" s="284"/>
      <c r="AU167" s="284"/>
      <c r="AV167" s="284"/>
      <c r="AW167" s="82"/>
      <c r="AX167" s="82"/>
      <c r="AY167" s="82"/>
      <c r="AZ167" s="94"/>
      <c r="BB167" s="239" t="e">
        <f>ABS(3%*AM167)+(10*CK167)</f>
        <v>#DIV/0!</v>
      </c>
      <c r="BC167" s="239"/>
      <c r="BD167" s="239"/>
      <c r="BE167" s="239"/>
      <c r="BF167" s="239"/>
      <c r="BG167" s="239">
        <v>5.0449999999999999</v>
      </c>
      <c r="BH167" s="239"/>
      <c r="BI167" s="239"/>
      <c r="BJ167" s="239"/>
      <c r="BK167" s="239"/>
      <c r="BL167" s="239">
        <v>4.9550000000000001</v>
      </c>
      <c r="BM167" s="239"/>
      <c r="BN167" s="239"/>
      <c r="BO167" s="239"/>
      <c r="BP167" s="239"/>
      <c r="BQ167" s="265" t="e">
        <f t="shared" si="212"/>
        <v>#DIV/0!</v>
      </c>
      <c r="BR167" s="265"/>
      <c r="BS167" s="265"/>
      <c r="BT167" s="265"/>
      <c r="BU167" s="265"/>
      <c r="BX167" s="20" t="s">
        <v>86</v>
      </c>
      <c r="BY167" s="142">
        <v>1.0999999999999999E-2</v>
      </c>
      <c r="BZ167" s="19" t="str">
        <f t="shared" si="213"/>
        <v>A</v>
      </c>
      <c r="CA167" s="20">
        <v>2</v>
      </c>
      <c r="CB167" s="16">
        <f t="shared" si="214"/>
        <v>5.4999999999999997E-3</v>
      </c>
      <c r="CC167" s="6"/>
      <c r="CD167" s="20" t="s">
        <v>170</v>
      </c>
      <c r="CE167" s="15">
        <v>0</v>
      </c>
      <c r="CF167" s="19" t="str">
        <f t="shared" si="215"/>
        <v>A</v>
      </c>
      <c r="CG167" s="18">
        <f t="shared" si="216"/>
        <v>1.7320508075688772</v>
      </c>
      <c r="CH167" s="16">
        <f t="shared" si="217"/>
        <v>0</v>
      </c>
      <c r="CI167" s="6"/>
      <c r="CJ167" s="20" t="s">
        <v>87</v>
      </c>
      <c r="CK167" s="20">
        <v>1E-3</v>
      </c>
      <c r="CL167" s="19" t="str">
        <f t="shared" si="218"/>
        <v>A</v>
      </c>
      <c r="CM167" s="18">
        <f t="shared" si="219"/>
        <v>3.4641016151377544</v>
      </c>
      <c r="CN167" s="16">
        <f t="shared" si="220"/>
        <v>2.886751345948129E-4</v>
      </c>
      <c r="CO167" s="6"/>
      <c r="CP167" s="20" t="s">
        <v>88</v>
      </c>
      <c r="CQ167" s="17" t="e">
        <f t="shared" si="221"/>
        <v>#DIV/0!</v>
      </c>
      <c r="CR167" s="19" t="str">
        <f t="shared" si="222"/>
        <v>A</v>
      </c>
      <c r="CS167" s="18">
        <f t="shared" si="223"/>
        <v>1.7320508075688772</v>
      </c>
      <c r="CT167" s="17" t="e">
        <f t="shared" si="224"/>
        <v>#DIV/0!</v>
      </c>
      <c r="CU167" s="7"/>
      <c r="CV167" s="16" t="e">
        <f t="shared" si="225"/>
        <v>#DIV/0!</v>
      </c>
      <c r="CW167" s="14" t="e">
        <f t="shared" si="226"/>
        <v>#DIV/0!</v>
      </c>
      <c r="CX167" s="14" t="e">
        <f t="shared" si="227"/>
        <v>#DIV/0!</v>
      </c>
      <c r="CY167" s="44" t="e">
        <f t="shared" si="228"/>
        <v>#DIV/0!</v>
      </c>
      <c r="CZ167" s="12" t="str">
        <f t="shared" si="229"/>
        <v>A</v>
      </c>
      <c r="DA167" s="7"/>
      <c r="DB167" s="122">
        <v>3.8999999999999998E-3</v>
      </c>
      <c r="DC167" s="123" t="str">
        <f t="shared" si="230"/>
        <v>A</v>
      </c>
      <c r="DD167" s="125" t="e">
        <f t="shared" si="231"/>
        <v>#DIV/0!</v>
      </c>
      <c r="DE167" s="123" t="str">
        <f t="shared" si="232"/>
        <v>A</v>
      </c>
    </row>
    <row r="168" spans="2:109" ht="13.5">
      <c r="B168" s="93"/>
      <c r="C168" s="82"/>
      <c r="D168" s="82"/>
      <c r="E168" s="82"/>
      <c r="F168" s="82"/>
      <c r="G168" s="82"/>
      <c r="H168" s="82"/>
      <c r="I168" s="82"/>
      <c r="J168" s="82"/>
      <c r="K168" s="82"/>
      <c r="L168" s="82"/>
      <c r="M168" s="82"/>
      <c r="N168" s="82"/>
      <c r="O168" s="82"/>
      <c r="P168" s="82"/>
      <c r="Q168" s="82"/>
      <c r="R168" s="82"/>
      <c r="S168" s="82"/>
      <c r="T168" s="82"/>
      <c r="U168" s="82"/>
      <c r="V168" s="82"/>
      <c r="W168" s="82"/>
      <c r="X168" s="147"/>
      <c r="Y168" s="147"/>
      <c r="Z168" s="147"/>
      <c r="AA168" s="147"/>
      <c r="AB168" s="147"/>
      <c r="AC168" s="147"/>
      <c r="AD168" s="147"/>
      <c r="AE168" s="147"/>
      <c r="AF168" s="147"/>
      <c r="AG168" s="147"/>
      <c r="AH168" s="147"/>
      <c r="AI168" s="147"/>
      <c r="AJ168" s="147"/>
      <c r="AK168" s="147"/>
      <c r="AL168" s="147"/>
      <c r="AM168" s="82"/>
      <c r="AN168" s="82"/>
      <c r="AO168" s="82"/>
      <c r="AP168" s="82"/>
      <c r="AQ168" s="82"/>
      <c r="AR168" s="82"/>
      <c r="AS168" s="82"/>
      <c r="AT168" s="82"/>
      <c r="AU168" s="82"/>
      <c r="AV168" s="82"/>
      <c r="AW168" s="82"/>
      <c r="AX168" s="82"/>
      <c r="AY168" s="82"/>
      <c r="AZ168" s="94"/>
    </row>
    <row r="169" spans="2:109" ht="13.7" customHeight="1">
      <c r="B169" s="93"/>
      <c r="C169" s="82"/>
      <c r="D169" s="71"/>
      <c r="E169" s="82"/>
      <c r="F169" s="95" t="s">
        <v>168</v>
      </c>
      <c r="G169" s="82"/>
      <c r="H169" s="82"/>
      <c r="I169" s="82"/>
      <c r="J169" s="82"/>
      <c r="K169" s="82"/>
      <c r="L169" s="82"/>
      <c r="M169" s="82"/>
      <c r="N169" s="82"/>
      <c r="O169" s="82"/>
      <c r="P169" s="82"/>
      <c r="Q169" s="82"/>
      <c r="R169" s="82"/>
      <c r="S169" s="82"/>
      <c r="T169" s="82"/>
      <c r="U169" s="82"/>
      <c r="V169" s="82"/>
      <c r="W169" s="82"/>
      <c r="X169" s="147"/>
      <c r="Y169" s="147"/>
      <c r="Z169" s="147"/>
      <c r="AA169" s="147"/>
      <c r="AB169" s="147"/>
      <c r="AC169" s="147"/>
      <c r="AD169" s="147"/>
      <c r="AE169" s="147"/>
      <c r="AF169" s="147"/>
      <c r="AG169" s="147"/>
      <c r="AH169" s="147"/>
      <c r="AI169" s="147"/>
      <c r="AJ169" s="147"/>
      <c r="AK169" s="147"/>
      <c r="AL169" s="147"/>
      <c r="AM169" s="82"/>
      <c r="AN169" s="82"/>
      <c r="AO169" s="82"/>
      <c r="AP169" s="82"/>
      <c r="AQ169" s="82"/>
      <c r="AR169" s="82"/>
      <c r="AS169" s="82"/>
      <c r="AT169" s="82"/>
      <c r="AU169" s="82"/>
      <c r="AV169" s="82"/>
      <c r="AW169" s="82"/>
      <c r="AX169" s="82"/>
      <c r="AY169" s="82"/>
      <c r="AZ169" s="94"/>
      <c r="BX169" s="257" t="s">
        <v>70</v>
      </c>
      <c r="BY169" s="257"/>
      <c r="BZ169" s="257"/>
      <c r="CA169" s="257"/>
      <c r="CB169" s="257"/>
      <c r="CC169" s="25"/>
      <c r="CD169" s="257" t="s">
        <v>70</v>
      </c>
      <c r="CE169" s="257"/>
      <c r="CF169" s="257"/>
      <c r="CG169" s="257"/>
      <c r="CH169" s="257"/>
      <c r="CI169" s="25"/>
      <c r="CJ169" s="257" t="s">
        <v>180</v>
      </c>
      <c r="CK169" s="257"/>
      <c r="CL169" s="257"/>
      <c r="CM169" s="257"/>
      <c r="CN169" s="257"/>
      <c r="CO169" s="25"/>
      <c r="CP169" s="257" t="s">
        <v>180</v>
      </c>
      <c r="CQ169" s="257"/>
      <c r="CR169" s="257"/>
      <c r="CS169" s="257"/>
      <c r="CT169" s="257"/>
      <c r="CV169" s="257" t="s">
        <v>71</v>
      </c>
      <c r="CW169" s="257"/>
      <c r="CX169" s="257"/>
      <c r="CY169" s="257"/>
      <c r="CZ169" s="257"/>
      <c r="DB169" s="251" t="s">
        <v>191</v>
      </c>
      <c r="DC169" s="251"/>
      <c r="DD169" s="251" t="s">
        <v>158</v>
      </c>
      <c r="DE169" s="251"/>
    </row>
    <row r="170" spans="2:109" ht="13.7" customHeight="1">
      <c r="B170" s="93"/>
      <c r="C170" s="82"/>
      <c r="D170" s="71"/>
      <c r="E170" s="71"/>
      <c r="F170" s="286" t="s">
        <v>27</v>
      </c>
      <c r="G170" s="286"/>
      <c r="H170" s="286"/>
      <c r="I170" s="286"/>
      <c r="J170" s="286"/>
      <c r="K170" s="286"/>
      <c r="L170" s="286" t="s">
        <v>28</v>
      </c>
      <c r="M170" s="286"/>
      <c r="N170" s="286"/>
      <c r="O170" s="286"/>
      <c r="P170" s="286"/>
      <c r="Q170" s="286"/>
      <c r="R170" s="286"/>
      <c r="S170" s="286" t="s">
        <v>72</v>
      </c>
      <c r="T170" s="286"/>
      <c r="U170" s="286"/>
      <c r="V170" s="286"/>
      <c r="W170" s="286"/>
      <c r="X170" s="326" t="s">
        <v>73</v>
      </c>
      <c r="Y170" s="326"/>
      <c r="Z170" s="326"/>
      <c r="AA170" s="326"/>
      <c r="AB170" s="326"/>
      <c r="AC170" s="326"/>
      <c r="AD170" s="326"/>
      <c r="AE170" s="326"/>
      <c r="AF170" s="326"/>
      <c r="AG170" s="326"/>
      <c r="AH170" s="326"/>
      <c r="AI170" s="326"/>
      <c r="AJ170" s="326"/>
      <c r="AK170" s="326"/>
      <c r="AL170" s="326"/>
      <c r="AM170" s="286" t="s">
        <v>74</v>
      </c>
      <c r="AN170" s="286"/>
      <c r="AO170" s="286"/>
      <c r="AP170" s="286"/>
      <c r="AQ170" s="286"/>
      <c r="AR170" s="286" t="s">
        <v>29</v>
      </c>
      <c r="AS170" s="286"/>
      <c r="AT170" s="286"/>
      <c r="AU170" s="286"/>
      <c r="AV170" s="286"/>
      <c r="AW170" s="82"/>
      <c r="AX170" s="82"/>
      <c r="AY170" s="82"/>
      <c r="AZ170" s="94"/>
      <c r="BB170" s="231" t="s">
        <v>188</v>
      </c>
      <c r="BC170" s="232"/>
      <c r="BD170" s="232"/>
      <c r="BE170" s="232"/>
      <c r="BF170" s="233"/>
      <c r="BG170" s="257" t="s">
        <v>138</v>
      </c>
      <c r="BH170" s="257"/>
      <c r="BI170" s="257"/>
      <c r="BJ170" s="257"/>
      <c r="BK170" s="257"/>
      <c r="BL170" s="257" t="s">
        <v>139</v>
      </c>
      <c r="BM170" s="257"/>
      <c r="BN170" s="257"/>
      <c r="BO170" s="257"/>
      <c r="BP170" s="257"/>
      <c r="BQ170" s="257" t="s">
        <v>144</v>
      </c>
      <c r="BR170" s="257"/>
      <c r="BS170" s="257"/>
      <c r="BT170" s="257"/>
      <c r="BU170" s="257"/>
      <c r="BX170" s="256" t="s">
        <v>75</v>
      </c>
      <c r="BY170" s="252" t="s">
        <v>137</v>
      </c>
      <c r="BZ170" s="253"/>
      <c r="CA170" s="256" t="s">
        <v>76</v>
      </c>
      <c r="CB170" s="256" t="s">
        <v>77</v>
      </c>
      <c r="CC170" s="23"/>
      <c r="CD170" s="256" t="s">
        <v>75</v>
      </c>
      <c r="CE170" s="252" t="s">
        <v>137</v>
      </c>
      <c r="CF170" s="253"/>
      <c r="CG170" s="256" t="s">
        <v>76</v>
      </c>
      <c r="CH170" s="256" t="s">
        <v>77</v>
      </c>
      <c r="CI170" s="23"/>
      <c r="CJ170" s="256" t="s">
        <v>75</v>
      </c>
      <c r="CK170" s="252" t="s">
        <v>137</v>
      </c>
      <c r="CL170" s="253"/>
      <c r="CM170" s="256" t="s">
        <v>76</v>
      </c>
      <c r="CN170" s="256" t="s">
        <v>77</v>
      </c>
      <c r="CO170" s="23"/>
      <c r="CP170" s="256" t="s">
        <v>75</v>
      </c>
      <c r="CQ170" s="252" t="s">
        <v>137</v>
      </c>
      <c r="CR170" s="253"/>
      <c r="CS170" s="256" t="s">
        <v>76</v>
      </c>
      <c r="CT170" s="256" t="s">
        <v>77</v>
      </c>
      <c r="CU170" s="22"/>
      <c r="CV170" s="133" t="s">
        <v>78</v>
      </c>
      <c r="CW170" s="21" t="s">
        <v>79</v>
      </c>
      <c r="CX170" s="133" t="s">
        <v>80</v>
      </c>
      <c r="CY170" s="256" t="s">
        <v>81</v>
      </c>
      <c r="CZ170" s="256"/>
      <c r="DA170" s="22"/>
      <c r="DB170" s="251"/>
      <c r="DC170" s="251"/>
      <c r="DD170" s="251"/>
      <c r="DE170" s="251"/>
    </row>
    <row r="171" spans="2:109" ht="13.5">
      <c r="B171" s="93"/>
      <c r="C171" s="82"/>
      <c r="D171" s="71"/>
      <c r="E171" s="71"/>
      <c r="F171" s="286"/>
      <c r="G171" s="286"/>
      <c r="H171" s="286"/>
      <c r="I171" s="286"/>
      <c r="J171" s="286"/>
      <c r="K171" s="286"/>
      <c r="L171" s="286"/>
      <c r="M171" s="286"/>
      <c r="N171" s="286"/>
      <c r="O171" s="286"/>
      <c r="P171" s="286"/>
      <c r="Q171" s="286"/>
      <c r="R171" s="286"/>
      <c r="S171" s="286"/>
      <c r="T171" s="286"/>
      <c r="U171" s="286"/>
      <c r="V171" s="286"/>
      <c r="W171" s="286"/>
      <c r="X171" s="326">
        <v>1</v>
      </c>
      <c r="Y171" s="326"/>
      <c r="Z171" s="326"/>
      <c r="AA171" s="326"/>
      <c r="AB171" s="326"/>
      <c r="AC171" s="326">
        <v>2</v>
      </c>
      <c r="AD171" s="326"/>
      <c r="AE171" s="326"/>
      <c r="AF171" s="326"/>
      <c r="AG171" s="326"/>
      <c r="AH171" s="326">
        <v>3</v>
      </c>
      <c r="AI171" s="326"/>
      <c r="AJ171" s="326"/>
      <c r="AK171" s="326"/>
      <c r="AL171" s="326"/>
      <c r="AM171" s="286"/>
      <c r="AN171" s="286"/>
      <c r="AO171" s="286"/>
      <c r="AP171" s="286"/>
      <c r="AQ171" s="286"/>
      <c r="AR171" s="286"/>
      <c r="AS171" s="286"/>
      <c r="AT171" s="286"/>
      <c r="AU171" s="286"/>
      <c r="AV171" s="286"/>
      <c r="AW171" s="82"/>
      <c r="AX171" s="82"/>
      <c r="AY171" s="82"/>
      <c r="AZ171" s="94"/>
      <c r="BB171" s="234"/>
      <c r="BC171" s="235"/>
      <c r="BD171" s="235"/>
      <c r="BE171" s="235"/>
      <c r="BF171" s="236"/>
      <c r="BG171" s="257"/>
      <c r="BH171" s="257"/>
      <c r="BI171" s="257"/>
      <c r="BJ171" s="257"/>
      <c r="BK171" s="257"/>
      <c r="BL171" s="257"/>
      <c r="BM171" s="257"/>
      <c r="BN171" s="257"/>
      <c r="BO171" s="257"/>
      <c r="BP171" s="257"/>
      <c r="BQ171" s="257"/>
      <c r="BR171" s="257"/>
      <c r="BS171" s="257"/>
      <c r="BT171" s="257"/>
      <c r="BU171" s="257"/>
      <c r="BX171" s="256"/>
      <c r="BY171" s="254"/>
      <c r="BZ171" s="255"/>
      <c r="CA171" s="256"/>
      <c r="CB171" s="256"/>
      <c r="CC171" s="23"/>
      <c r="CD171" s="256"/>
      <c r="CE171" s="254"/>
      <c r="CF171" s="255"/>
      <c r="CG171" s="256"/>
      <c r="CH171" s="256"/>
      <c r="CI171" s="23"/>
      <c r="CJ171" s="256"/>
      <c r="CK171" s="254"/>
      <c r="CL171" s="255"/>
      <c r="CM171" s="256"/>
      <c r="CN171" s="256"/>
      <c r="CO171" s="23"/>
      <c r="CP171" s="256"/>
      <c r="CQ171" s="254"/>
      <c r="CR171" s="255"/>
      <c r="CS171" s="256"/>
      <c r="CT171" s="256"/>
      <c r="CU171" s="22"/>
      <c r="CV171" s="133" t="s">
        <v>82</v>
      </c>
      <c r="CW171" s="21" t="s">
        <v>83</v>
      </c>
      <c r="CX171" s="133" t="s">
        <v>84</v>
      </c>
      <c r="CY171" s="256" t="s">
        <v>85</v>
      </c>
      <c r="CZ171" s="256"/>
      <c r="DA171" s="22"/>
      <c r="DB171" s="251"/>
      <c r="DC171" s="251"/>
      <c r="DD171" s="251"/>
      <c r="DE171" s="251"/>
    </row>
    <row r="172" spans="2:109" ht="13.7" customHeight="1">
      <c r="B172" s="93"/>
      <c r="C172" s="82"/>
      <c r="D172" s="82"/>
      <c r="E172" s="82"/>
      <c r="F172" s="319" t="s">
        <v>183</v>
      </c>
      <c r="G172" s="320"/>
      <c r="H172" s="320"/>
      <c r="I172" s="320"/>
      <c r="J172" s="320"/>
      <c r="K172" s="321"/>
      <c r="L172" s="313">
        <v>120</v>
      </c>
      <c r="M172" s="314"/>
      <c r="N172" s="314"/>
      <c r="O172" s="314"/>
      <c r="P172" s="281" t="s">
        <v>95</v>
      </c>
      <c r="Q172" s="281"/>
      <c r="R172" s="282"/>
      <c r="S172" s="278" t="s">
        <v>129</v>
      </c>
      <c r="T172" s="278"/>
      <c r="U172" s="278"/>
      <c r="V172" s="278"/>
      <c r="W172" s="278"/>
      <c r="X172" s="279"/>
      <c r="Y172" s="279"/>
      <c r="Z172" s="279"/>
      <c r="AA172" s="279"/>
      <c r="AB172" s="279"/>
      <c r="AC172" s="279"/>
      <c r="AD172" s="279"/>
      <c r="AE172" s="279"/>
      <c r="AF172" s="279"/>
      <c r="AG172" s="279"/>
      <c r="AH172" s="279"/>
      <c r="AI172" s="279"/>
      <c r="AJ172" s="279"/>
      <c r="AK172" s="279"/>
      <c r="AL172" s="279"/>
      <c r="AM172" s="362" t="e">
        <f>AVERAGE(X172:AL172)</f>
        <v>#DIV/0!</v>
      </c>
      <c r="AN172" s="362"/>
      <c r="AO172" s="362"/>
      <c r="AP172" s="362"/>
      <c r="AQ172" s="362"/>
      <c r="AR172" s="362" t="e">
        <f t="shared" ref="AR172" si="239">AM172-L172</f>
        <v>#DIV/0!</v>
      </c>
      <c r="AS172" s="362"/>
      <c r="AT172" s="362"/>
      <c r="AU172" s="362"/>
      <c r="AV172" s="362"/>
      <c r="AW172" s="82"/>
      <c r="AX172" s="82"/>
      <c r="AY172" s="82"/>
      <c r="AZ172" s="94"/>
      <c r="BB172" s="237" t="e">
        <f>ABS(2%*AM172)+(40*CK172)</f>
        <v>#DIV/0!</v>
      </c>
      <c r="BC172" s="237"/>
      <c r="BD172" s="237"/>
      <c r="BE172" s="237"/>
      <c r="BF172" s="237"/>
      <c r="BG172" s="237">
        <v>126.4</v>
      </c>
      <c r="BH172" s="237"/>
      <c r="BI172" s="237"/>
      <c r="BJ172" s="237"/>
      <c r="BK172" s="237"/>
      <c r="BL172" s="237">
        <v>113.6</v>
      </c>
      <c r="BM172" s="237"/>
      <c r="BN172" s="237"/>
      <c r="BO172" s="237"/>
      <c r="BP172" s="237"/>
      <c r="BQ172" s="265" t="e">
        <f>IF(AND(AVERAGE(X172:AL172)&lt;=BG172,AVERAGE(X172:AL172)&gt;=BL172),"PASS","FAIL")</f>
        <v>#DIV/0!</v>
      </c>
      <c r="BR172" s="265"/>
      <c r="BS172" s="265"/>
      <c r="BT172" s="265"/>
      <c r="BU172" s="265"/>
      <c r="BX172" s="20" t="s">
        <v>86</v>
      </c>
      <c r="BY172" s="20">
        <v>7.0999999999999994E-2</v>
      </c>
      <c r="BZ172" s="19" t="str">
        <f>P172</f>
        <v>V</v>
      </c>
      <c r="CA172" s="20">
        <v>2</v>
      </c>
      <c r="CB172" s="16">
        <f t="shared" ref="CB172" si="240">BY172/CA172</f>
        <v>3.5499999999999997E-2</v>
      </c>
      <c r="CC172" s="6"/>
      <c r="CD172" s="20" t="s">
        <v>170</v>
      </c>
      <c r="CE172" s="15">
        <v>0</v>
      </c>
      <c r="CF172" s="19" t="str">
        <f>P172</f>
        <v>V</v>
      </c>
      <c r="CG172" s="18">
        <f t="shared" ref="CG172" si="241">SQRT(3)</f>
        <v>1.7320508075688772</v>
      </c>
      <c r="CH172" s="16">
        <f t="shared" ref="CH172" si="242">CE172/CG172</f>
        <v>0</v>
      </c>
      <c r="CI172" s="6"/>
      <c r="CJ172" s="20" t="s">
        <v>87</v>
      </c>
      <c r="CK172" s="20">
        <v>0.1</v>
      </c>
      <c r="CL172" s="19" t="str">
        <f>P172</f>
        <v>V</v>
      </c>
      <c r="CM172" s="18">
        <f>SQRT(12)</f>
        <v>3.4641016151377544</v>
      </c>
      <c r="CN172" s="16">
        <f>CK172/CM172</f>
        <v>2.8867513459481291E-2</v>
      </c>
      <c r="CO172" s="6"/>
      <c r="CP172" s="20" t="s">
        <v>88</v>
      </c>
      <c r="CQ172" s="17" t="e">
        <f>STDEV(X172:AL172)</f>
        <v>#DIV/0!</v>
      </c>
      <c r="CR172" s="19" t="str">
        <f>P172</f>
        <v>V</v>
      </c>
      <c r="CS172" s="18">
        <f>SQRT(3)</f>
        <v>1.7320508075688772</v>
      </c>
      <c r="CT172" s="17" t="e">
        <f>CQ172/CS172</f>
        <v>#DIV/0!</v>
      </c>
      <c r="CU172" s="7"/>
      <c r="CV172" s="16" t="e">
        <f>SQRT(SUMSQ(CT172,CN172,CH172,CB172))</f>
        <v>#DIV/0!</v>
      </c>
      <c r="CW172" s="14" t="e">
        <f>(CV172^4)/(((CT172^4)/2)+((CN172^4)/200)+((CH172^4)/200)+((CB172^4)/200))</f>
        <v>#DIV/0!</v>
      </c>
      <c r="CX172" s="14" t="e">
        <f t="shared" ref="CX172" si="243">ROUND(TINV(0.05,CW172),0)</f>
        <v>#DIV/0!</v>
      </c>
      <c r="CY172" s="26" t="e">
        <f t="shared" ref="CY172" si="244">(CV172*CX172)</f>
        <v>#DIV/0!</v>
      </c>
      <c r="CZ172" s="12" t="str">
        <f>P172</f>
        <v>V</v>
      </c>
      <c r="DA172" s="7"/>
      <c r="DB172" s="122">
        <v>6.4000000000000003E-3</v>
      </c>
      <c r="DC172" s="123" t="str">
        <f t="shared" ref="DC172" si="245">CZ172</f>
        <v>V</v>
      </c>
      <c r="DD172" s="125" t="e">
        <f t="shared" ref="DD172" si="246">MAX(DB172,CY172)</f>
        <v>#DIV/0!</v>
      </c>
      <c r="DE172" s="123" t="str">
        <f>DC172</f>
        <v>V</v>
      </c>
    </row>
    <row r="173" spans="2:109" ht="13.5">
      <c r="B173" s="93"/>
      <c r="C173" s="82"/>
      <c r="D173" s="82"/>
      <c r="E173" s="82"/>
      <c r="F173" s="82"/>
      <c r="G173" s="82"/>
      <c r="H173" s="82"/>
      <c r="I173" s="82"/>
      <c r="J173" s="82"/>
      <c r="K173" s="82"/>
      <c r="L173" s="82"/>
      <c r="M173" s="82"/>
      <c r="N173" s="82"/>
      <c r="O173" s="82"/>
      <c r="P173" s="82"/>
      <c r="Q173" s="82"/>
      <c r="R173" s="82"/>
      <c r="S173" s="82"/>
      <c r="T173" s="82"/>
      <c r="U173" s="82"/>
      <c r="V173" s="82"/>
      <c r="W173" s="82"/>
      <c r="X173" s="82"/>
      <c r="Y173" s="82"/>
      <c r="Z173" s="82"/>
      <c r="AA173" s="82"/>
      <c r="AB173" s="82"/>
      <c r="AC173" s="82"/>
      <c r="AD173" s="82"/>
      <c r="AE173" s="82"/>
      <c r="AF173" s="82"/>
      <c r="AG173" s="82"/>
      <c r="AH173" s="82"/>
      <c r="AI173" s="82"/>
      <c r="AJ173" s="82"/>
      <c r="AK173" s="82"/>
      <c r="AL173" s="82"/>
      <c r="AM173" s="82"/>
      <c r="AN173" s="82"/>
      <c r="AO173" s="82"/>
      <c r="AP173" s="82"/>
      <c r="AQ173" s="82"/>
      <c r="AR173" s="82"/>
      <c r="AS173" s="82"/>
      <c r="AT173" s="82"/>
      <c r="AU173" s="82"/>
      <c r="AV173" s="82"/>
      <c r="AW173" s="82"/>
      <c r="AX173" s="82"/>
      <c r="AY173" s="82"/>
      <c r="AZ173" s="94"/>
    </row>
    <row r="174" spans="2:109" ht="13.5">
      <c r="B174" s="120" t="s">
        <v>121</v>
      </c>
      <c r="C174" s="139"/>
      <c r="D174" s="139"/>
      <c r="E174" s="139"/>
      <c r="F174" s="139"/>
      <c r="G174" s="139"/>
      <c r="H174" s="139"/>
      <c r="I174" s="139"/>
      <c r="J174" s="92"/>
      <c r="K174" s="92"/>
      <c r="L174" s="92"/>
      <c r="M174" s="92"/>
      <c r="N174" s="92"/>
      <c r="O174" s="92"/>
      <c r="P174" s="92"/>
      <c r="Q174" s="92"/>
      <c r="R174" s="92"/>
      <c r="S174" s="92"/>
      <c r="T174" s="92"/>
      <c r="U174" s="92"/>
      <c r="V174" s="92"/>
      <c r="W174" s="92"/>
      <c r="X174" s="92"/>
      <c r="Y174" s="139"/>
      <c r="Z174" s="139"/>
      <c r="AA174" s="139"/>
      <c r="AB174" s="92"/>
      <c r="AC174" s="92"/>
      <c r="AD174" s="92"/>
      <c r="AE174" s="92"/>
      <c r="AF174" s="92"/>
      <c r="AG174" s="92"/>
      <c r="AH174" s="92"/>
      <c r="AI174" s="92"/>
      <c r="AJ174" s="92"/>
      <c r="AK174" s="92"/>
      <c r="AL174" s="92"/>
      <c r="AM174" s="92"/>
      <c r="AN174" s="92"/>
      <c r="AO174" s="92"/>
      <c r="AP174" s="92"/>
      <c r="AQ174" s="92"/>
      <c r="AR174" s="92"/>
      <c r="AS174" s="92"/>
      <c r="AT174" s="92"/>
      <c r="AU174" s="92"/>
      <c r="AV174" s="92"/>
      <c r="AW174" s="139"/>
      <c r="AX174" s="139"/>
      <c r="AY174" s="139"/>
      <c r="AZ174" s="140"/>
    </row>
    <row r="175" spans="2:109" ht="13.5">
      <c r="B175" s="358"/>
      <c r="C175" s="359"/>
      <c r="D175" s="359"/>
      <c r="E175" s="359"/>
      <c r="F175" s="359"/>
      <c r="G175" s="359"/>
      <c r="H175" s="359"/>
      <c r="I175" s="359"/>
      <c r="J175" s="359"/>
      <c r="K175" s="359"/>
      <c r="L175" s="359"/>
      <c r="M175" s="359"/>
      <c r="N175" s="359"/>
      <c r="O175" s="359"/>
      <c r="P175" s="359"/>
      <c r="Q175" s="359"/>
      <c r="R175" s="359"/>
      <c r="S175" s="359"/>
      <c r="T175" s="360"/>
      <c r="U175" s="356"/>
      <c r="V175" s="356"/>
      <c r="W175" s="356"/>
      <c r="X175" s="356"/>
      <c r="Y175" s="356"/>
      <c r="Z175" s="356"/>
      <c r="AA175" s="356"/>
      <c r="AB175" s="356"/>
      <c r="AC175" s="356"/>
      <c r="AD175" s="356"/>
      <c r="AE175" s="356"/>
      <c r="AF175" s="356"/>
      <c r="AG175" s="356"/>
      <c r="AH175" s="356"/>
      <c r="AI175" s="356"/>
      <c r="AJ175" s="361"/>
      <c r="AK175" s="355">
        <f>AL9</f>
        <v>0</v>
      </c>
      <c r="AL175" s="356"/>
      <c r="AM175" s="356"/>
      <c r="AN175" s="356"/>
      <c r="AO175" s="356"/>
      <c r="AP175" s="356"/>
      <c r="AQ175" s="356"/>
      <c r="AR175" s="356"/>
      <c r="AS175" s="356"/>
      <c r="AT175" s="356"/>
      <c r="AU175" s="356"/>
      <c r="AV175" s="356"/>
      <c r="AW175" s="356"/>
      <c r="AX175" s="356"/>
      <c r="AY175" s="356"/>
      <c r="AZ175" s="357"/>
    </row>
    <row r="176" spans="2:109" ht="12.75" customHeight="1">
      <c r="B176" s="408" t="s">
        <v>122</v>
      </c>
      <c r="C176" s="409"/>
      <c r="D176" s="409"/>
      <c r="E176" s="409"/>
      <c r="F176" s="409"/>
      <c r="G176" s="409"/>
      <c r="H176" s="409"/>
      <c r="I176" s="409"/>
      <c r="J176" s="409"/>
      <c r="K176" s="409"/>
      <c r="L176" s="409"/>
      <c r="M176" s="409"/>
      <c r="N176" s="409"/>
      <c r="O176" s="409"/>
      <c r="P176" s="409"/>
      <c r="Q176" s="409"/>
      <c r="R176" s="409"/>
      <c r="S176" s="409"/>
      <c r="T176" s="410"/>
      <c r="U176" s="409" t="s">
        <v>123</v>
      </c>
      <c r="V176" s="409"/>
      <c r="W176" s="409"/>
      <c r="X176" s="409"/>
      <c r="Y176" s="409"/>
      <c r="Z176" s="409"/>
      <c r="AA176" s="409"/>
      <c r="AB176" s="409"/>
      <c r="AC176" s="409"/>
      <c r="AD176" s="409"/>
      <c r="AE176" s="409"/>
      <c r="AF176" s="409"/>
      <c r="AG176" s="409"/>
      <c r="AH176" s="409"/>
      <c r="AI176" s="409"/>
      <c r="AJ176" s="411"/>
      <c r="AK176" s="412" t="s">
        <v>124</v>
      </c>
      <c r="AL176" s="409"/>
      <c r="AM176" s="409"/>
      <c r="AN176" s="409"/>
      <c r="AO176" s="409"/>
      <c r="AP176" s="409"/>
      <c r="AQ176" s="409"/>
      <c r="AR176" s="409"/>
      <c r="AS176" s="409"/>
      <c r="AT176" s="409"/>
      <c r="AU176" s="409"/>
      <c r="AV176" s="409"/>
      <c r="AW176" s="409"/>
      <c r="AX176" s="409"/>
      <c r="AY176" s="409"/>
      <c r="AZ176" s="413"/>
    </row>
    <row r="177" spans="2:52" ht="13.5">
      <c r="B177" s="138" t="s">
        <v>125</v>
      </c>
      <c r="C177" s="136"/>
      <c r="D177" s="136"/>
      <c r="E177" s="136"/>
      <c r="F177" s="136"/>
      <c r="G177" s="136"/>
      <c r="H177" s="136"/>
      <c r="I177" s="136"/>
      <c r="J177" s="71"/>
      <c r="K177" s="71"/>
      <c r="L177" s="71"/>
      <c r="M177" s="71"/>
      <c r="N177" s="71"/>
      <c r="O177" s="71"/>
      <c r="P177" s="71"/>
      <c r="Q177" s="71"/>
      <c r="R177" s="71"/>
      <c r="S177" s="71"/>
      <c r="T177" s="71"/>
      <c r="U177" s="71"/>
      <c r="V177" s="71"/>
      <c r="W177" s="71"/>
      <c r="X177" s="71"/>
      <c r="Y177" s="71"/>
      <c r="Z177" s="71"/>
      <c r="AA177" s="71"/>
      <c r="AB177" s="71"/>
      <c r="AC177" s="71"/>
      <c r="AD177" s="71"/>
      <c r="AE177" s="71"/>
      <c r="AF177" s="71"/>
      <c r="AG177" s="71"/>
      <c r="AH177" s="136"/>
      <c r="AI177" s="136"/>
      <c r="AJ177" s="136"/>
      <c r="AK177" s="71"/>
      <c r="AL177" s="71"/>
      <c r="AM177" s="71"/>
      <c r="AN177" s="71"/>
      <c r="AO177" s="71"/>
      <c r="AP177" s="71"/>
      <c r="AQ177" s="71"/>
      <c r="AR177" s="71"/>
      <c r="AS177" s="71"/>
      <c r="AT177" s="71"/>
      <c r="AU177" s="71"/>
      <c r="AV177" s="71"/>
      <c r="AW177" s="136"/>
      <c r="AX177" s="136"/>
      <c r="AY177" s="136"/>
      <c r="AZ177" s="137"/>
    </row>
    <row r="178" spans="2:52" ht="13.5">
      <c r="B178" s="358"/>
      <c r="C178" s="359"/>
      <c r="D178" s="359"/>
      <c r="E178" s="359"/>
      <c r="F178" s="359"/>
      <c r="G178" s="359"/>
      <c r="H178" s="359"/>
      <c r="I178" s="359"/>
      <c r="J178" s="359"/>
      <c r="K178" s="359"/>
      <c r="L178" s="359"/>
      <c r="M178" s="359"/>
      <c r="N178" s="359"/>
      <c r="O178" s="359"/>
      <c r="P178" s="359"/>
      <c r="Q178" s="359"/>
      <c r="R178" s="359"/>
      <c r="S178" s="359"/>
      <c r="T178" s="360"/>
      <c r="U178" s="356"/>
      <c r="V178" s="356"/>
      <c r="W178" s="356"/>
      <c r="X178" s="356"/>
      <c r="Y178" s="356"/>
      <c r="Z178" s="356"/>
      <c r="AA178" s="356"/>
      <c r="AB178" s="356"/>
      <c r="AC178" s="356"/>
      <c r="AD178" s="356"/>
      <c r="AE178" s="356"/>
      <c r="AF178" s="356"/>
      <c r="AG178" s="356"/>
      <c r="AH178" s="356"/>
      <c r="AI178" s="356"/>
      <c r="AJ178" s="361"/>
      <c r="AK178" s="355">
        <v>45834</v>
      </c>
      <c r="AL178" s="356"/>
      <c r="AM178" s="356"/>
      <c r="AN178" s="356"/>
      <c r="AO178" s="356"/>
      <c r="AP178" s="356"/>
      <c r="AQ178" s="356"/>
      <c r="AR178" s="356"/>
      <c r="AS178" s="356"/>
      <c r="AT178" s="356"/>
      <c r="AU178" s="356"/>
      <c r="AV178" s="356"/>
      <c r="AW178" s="356"/>
      <c r="AX178" s="356"/>
      <c r="AY178" s="356"/>
      <c r="AZ178" s="357"/>
    </row>
    <row r="179" spans="2:52" ht="12.75" customHeight="1">
      <c r="B179" s="408" t="s">
        <v>194</v>
      </c>
      <c r="C179" s="409"/>
      <c r="D179" s="409"/>
      <c r="E179" s="409"/>
      <c r="F179" s="409"/>
      <c r="G179" s="409"/>
      <c r="H179" s="409"/>
      <c r="I179" s="409"/>
      <c r="J179" s="409"/>
      <c r="K179" s="409"/>
      <c r="L179" s="409"/>
      <c r="M179" s="409"/>
      <c r="N179" s="409"/>
      <c r="O179" s="409"/>
      <c r="P179" s="409"/>
      <c r="Q179" s="409"/>
      <c r="R179" s="409"/>
      <c r="S179" s="409"/>
      <c r="T179" s="410"/>
      <c r="U179" s="409" t="s">
        <v>123</v>
      </c>
      <c r="V179" s="409"/>
      <c r="W179" s="409"/>
      <c r="X179" s="409"/>
      <c r="Y179" s="409"/>
      <c r="Z179" s="409"/>
      <c r="AA179" s="409"/>
      <c r="AB179" s="409"/>
      <c r="AC179" s="409"/>
      <c r="AD179" s="409"/>
      <c r="AE179" s="409"/>
      <c r="AF179" s="409"/>
      <c r="AG179" s="409"/>
      <c r="AH179" s="409"/>
      <c r="AI179" s="409"/>
      <c r="AJ179" s="411"/>
      <c r="AK179" s="412" t="s">
        <v>124</v>
      </c>
      <c r="AL179" s="409"/>
      <c r="AM179" s="409"/>
      <c r="AN179" s="409"/>
      <c r="AO179" s="409"/>
      <c r="AP179" s="409"/>
      <c r="AQ179" s="409"/>
      <c r="AR179" s="409"/>
      <c r="AS179" s="409"/>
      <c r="AT179" s="409"/>
      <c r="AU179" s="409"/>
      <c r="AV179" s="409"/>
      <c r="AW179" s="409"/>
      <c r="AX179" s="409"/>
      <c r="AY179" s="409"/>
      <c r="AZ179" s="413"/>
    </row>
    <row r="180" spans="2:52" ht="13.5">
      <c r="B180" s="120" t="s">
        <v>126</v>
      </c>
      <c r="C180" s="139"/>
      <c r="D180" s="139"/>
      <c r="E180" s="139"/>
      <c r="F180" s="139"/>
      <c r="G180" s="139"/>
      <c r="H180" s="139"/>
      <c r="I180" s="139"/>
      <c r="J180" s="92"/>
      <c r="K180" s="92"/>
      <c r="L180" s="92"/>
      <c r="M180" s="92"/>
      <c r="N180" s="92"/>
      <c r="O180" s="92"/>
      <c r="P180" s="92"/>
      <c r="Q180" s="92"/>
      <c r="R180" s="92"/>
      <c r="S180" s="92"/>
      <c r="T180" s="92"/>
      <c r="U180" s="92"/>
      <c r="V180" s="92"/>
      <c r="W180" s="92"/>
      <c r="X180" s="92"/>
      <c r="Y180" s="139"/>
      <c r="Z180" s="139"/>
      <c r="AA180" s="139"/>
      <c r="AB180" s="92"/>
      <c r="AC180" s="92"/>
      <c r="AD180" s="92"/>
      <c r="AE180" s="92"/>
      <c r="AF180" s="92"/>
      <c r="AG180" s="92"/>
      <c r="AH180" s="92"/>
      <c r="AI180" s="92"/>
      <c r="AJ180" s="92"/>
      <c r="AK180" s="92"/>
      <c r="AL180" s="92"/>
      <c r="AM180" s="92"/>
      <c r="AN180" s="92"/>
      <c r="AO180" s="92"/>
      <c r="AP180" s="92"/>
      <c r="AQ180" s="92"/>
      <c r="AR180" s="92"/>
      <c r="AS180" s="92"/>
      <c r="AT180" s="92"/>
      <c r="AU180" s="92"/>
      <c r="AV180" s="92"/>
      <c r="AW180" s="139"/>
      <c r="AX180" s="139"/>
      <c r="AY180" s="139"/>
      <c r="AZ180" s="140"/>
    </row>
    <row r="181" spans="2:52" ht="13.5">
      <c r="B181" s="414" t="s">
        <v>30</v>
      </c>
      <c r="C181" s="356"/>
      <c r="D181" s="356"/>
      <c r="E181" s="356"/>
      <c r="F181" s="356"/>
      <c r="G181" s="356"/>
      <c r="H181" s="356"/>
      <c r="I181" s="356"/>
      <c r="J181" s="356"/>
      <c r="K181" s="356"/>
      <c r="L181" s="356"/>
      <c r="M181" s="356"/>
      <c r="N181" s="356"/>
      <c r="O181" s="356"/>
      <c r="P181" s="356"/>
      <c r="Q181" s="356"/>
      <c r="R181" s="356"/>
      <c r="S181" s="356"/>
      <c r="T181" s="415"/>
      <c r="U181" s="356"/>
      <c r="V181" s="356"/>
      <c r="W181" s="356"/>
      <c r="X181" s="356"/>
      <c r="Y181" s="356"/>
      <c r="Z181" s="356"/>
      <c r="AA181" s="356"/>
      <c r="AB181" s="356"/>
      <c r="AC181" s="356"/>
      <c r="AD181" s="356"/>
      <c r="AE181" s="356"/>
      <c r="AF181" s="356"/>
      <c r="AG181" s="356"/>
      <c r="AH181" s="356"/>
      <c r="AI181" s="356"/>
      <c r="AJ181" s="361"/>
      <c r="AK181" s="355" t="s">
        <v>30</v>
      </c>
      <c r="AL181" s="356"/>
      <c r="AM181" s="356"/>
      <c r="AN181" s="356"/>
      <c r="AO181" s="356"/>
      <c r="AP181" s="356"/>
      <c r="AQ181" s="356"/>
      <c r="AR181" s="356"/>
      <c r="AS181" s="356"/>
      <c r="AT181" s="356"/>
      <c r="AU181" s="356"/>
      <c r="AV181" s="356"/>
      <c r="AW181" s="356"/>
      <c r="AX181" s="356"/>
      <c r="AY181" s="356"/>
      <c r="AZ181" s="357"/>
    </row>
    <row r="182" spans="2:52" ht="12.75" customHeight="1" thickBot="1">
      <c r="B182" s="416" t="s">
        <v>122</v>
      </c>
      <c r="C182" s="417"/>
      <c r="D182" s="417"/>
      <c r="E182" s="417"/>
      <c r="F182" s="417"/>
      <c r="G182" s="417"/>
      <c r="H182" s="417"/>
      <c r="I182" s="417"/>
      <c r="J182" s="417"/>
      <c r="K182" s="417"/>
      <c r="L182" s="417"/>
      <c r="M182" s="417"/>
      <c r="N182" s="417"/>
      <c r="O182" s="417"/>
      <c r="P182" s="417"/>
      <c r="Q182" s="417"/>
      <c r="R182" s="417"/>
      <c r="S182" s="417"/>
      <c r="T182" s="418"/>
      <c r="U182" s="417" t="s">
        <v>123</v>
      </c>
      <c r="V182" s="417"/>
      <c r="W182" s="417"/>
      <c r="X182" s="417"/>
      <c r="Y182" s="417"/>
      <c r="Z182" s="417"/>
      <c r="AA182" s="417"/>
      <c r="AB182" s="417"/>
      <c r="AC182" s="417"/>
      <c r="AD182" s="417"/>
      <c r="AE182" s="417"/>
      <c r="AF182" s="417"/>
      <c r="AG182" s="417"/>
      <c r="AH182" s="417"/>
      <c r="AI182" s="417"/>
      <c r="AJ182" s="419"/>
      <c r="AK182" s="420" t="s">
        <v>124</v>
      </c>
      <c r="AL182" s="417"/>
      <c r="AM182" s="417"/>
      <c r="AN182" s="417"/>
      <c r="AO182" s="417"/>
      <c r="AP182" s="417"/>
      <c r="AQ182" s="417"/>
      <c r="AR182" s="417"/>
      <c r="AS182" s="417"/>
      <c r="AT182" s="417"/>
      <c r="AU182" s="417"/>
      <c r="AV182" s="417"/>
      <c r="AW182" s="417"/>
      <c r="AX182" s="417"/>
      <c r="AY182" s="417"/>
      <c r="AZ182" s="421"/>
    </row>
    <row r="183" spans="2:52" ht="13.7" hidden="1" customHeight="1"/>
    <row r="184" spans="2:52" ht="13.7" hidden="1" customHeight="1"/>
    <row r="185" spans="2:52" ht="13.7" hidden="1" customHeight="1"/>
    <row r="186" spans="2:52" ht="13.7" hidden="1" customHeight="1"/>
    <row r="187" spans="2:52" ht="13.7" hidden="1" customHeight="1"/>
    <row r="188" spans="2:52" ht="15" hidden="1" customHeight="1"/>
    <row r="189" spans="2:52" ht="15" hidden="1" customHeight="1"/>
    <row r="190" spans="2:52" ht="15" hidden="1" customHeight="1"/>
    <row r="191" spans="2:52" ht="15" hidden="1" customHeight="1"/>
    <row r="192" spans="2:52" ht="15" hidden="1" customHeight="1"/>
    <row r="193" spans="1:74" ht="15" hidden="1" customHeight="1"/>
    <row r="194" spans="1:74" ht="15" hidden="1" customHeight="1"/>
    <row r="195" spans="1:74" ht="15" hidden="1" customHeight="1"/>
    <row r="196" spans="1:74" ht="15" hidden="1" customHeight="1"/>
    <row r="197" spans="1:74" ht="15" hidden="1" customHeight="1">
      <c r="A197" s="24"/>
      <c r="BA197" s="24"/>
      <c r="BB197" s="24"/>
      <c r="BC197" s="24"/>
      <c r="BD197" s="24"/>
      <c r="BE197" s="24"/>
      <c r="BF197" s="24"/>
      <c r="BG197" s="24"/>
      <c r="BH197" s="24"/>
      <c r="BI197" s="24"/>
      <c r="BJ197" s="24"/>
      <c r="BK197" s="24"/>
      <c r="BL197" s="24"/>
      <c r="BM197" s="24"/>
      <c r="BN197" s="24"/>
      <c r="BO197" s="24"/>
      <c r="BP197" s="24"/>
      <c r="BR197" s="24"/>
      <c r="BS197" s="24"/>
      <c r="BT197" s="24"/>
      <c r="BU197" s="24"/>
      <c r="BV197" s="24"/>
    </row>
    <row r="198" spans="1:74" ht="15" hidden="1" customHeight="1">
      <c r="A198" s="24"/>
      <c r="BA198" s="24"/>
      <c r="BB198" s="24"/>
      <c r="BC198" s="24"/>
      <c r="BD198" s="24"/>
      <c r="BE198" s="24"/>
      <c r="BF198" s="24"/>
      <c r="BG198" s="24"/>
      <c r="BH198" s="24"/>
      <c r="BI198" s="24"/>
      <c r="BJ198" s="24"/>
      <c r="BK198" s="24"/>
      <c r="BL198" s="24"/>
      <c r="BM198" s="24"/>
      <c r="BN198" s="24"/>
      <c r="BO198" s="24"/>
      <c r="BP198" s="24"/>
      <c r="BQ198" s="24"/>
      <c r="BR198" s="24"/>
      <c r="BS198" s="24"/>
      <c r="BT198" s="24"/>
      <c r="BU198" s="24"/>
      <c r="BV198" s="24"/>
    </row>
    <row r="199" spans="1:74" ht="15" hidden="1" customHeight="1">
      <c r="A199" s="24"/>
      <c r="BA199" s="24"/>
      <c r="BB199" s="24"/>
      <c r="BC199" s="24"/>
      <c r="BD199" s="24"/>
      <c r="BE199" s="24"/>
      <c r="BF199" s="24"/>
      <c r="BG199" s="24"/>
      <c r="BH199" s="24"/>
      <c r="BI199" s="24"/>
      <c r="BJ199" s="24"/>
      <c r="BK199" s="24"/>
      <c r="BL199" s="24"/>
      <c r="BM199" s="24"/>
      <c r="BN199" s="24"/>
      <c r="BO199" s="24"/>
      <c r="BP199" s="24"/>
      <c r="BQ199" s="24"/>
      <c r="BR199" s="24"/>
      <c r="BS199" s="24"/>
      <c r="BT199" s="24"/>
      <c r="BU199" s="24"/>
      <c r="BV199" s="24"/>
    </row>
    <row r="200" spans="1:74" ht="15" hidden="1" customHeight="1">
      <c r="A200" s="24"/>
      <c r="BA200" s="24"/>
      <c r="BB200" s="24"/>
      <c r="BC200" s="24"/>
      <c r="BD200" s="24"/>
      <c r="BE200" s="24"/>
      <c r="BF200" s="24"/>
      <c r="BG200" s="24"/>
      <c r="BH200" s="24"/>
      <c r="BI200" s="24"/>
      <c r="BJ200" s="24"/>
      <c r="BK200" s="24"/>
      <c r="BL200" s="24"/>
      <c r="BM200" s="24"/>
      <c r="BN200" s="24"/>
      <c r="BO200" s="24"/>
      <c r="BP200" s="24"/>
      <c r="BQ200" s="24"/>
      <c r="BR200" s="24"/>
      <c r="BS200" s="24"/>
      <c r="BT200" s="24"/>
      <c r="BU200" s="24"/>
      <c r="BV200" s="24"/>
    </row>
    <row r="201" spans="1:74" ht="15" hidden="1" customHeight="1">
      <c r="A201" s="24"/>
      <c r="BA201" s="24"/>
      <c r="BB201" s="24"/>
      <c r="BC201" s="24"/>
      <c r="BD201" s="24"/>
      <c r="BE201" s="24"/>
      <c r="BF201" s="24"/>
      <c r="BG201" s="24"/>
      <c r="BH201" s="24"/>
      <c r="BI201" s="24"/>
      <c r="BJ201" s="24"/>
      <c r="BK201" s="24"/>
      <c r="BL201" s="24"/>
      <c r="BM201" s="24"/>
      <c r="BN201" s="24"/>
      <c r="BO201" s="24"/>
      <c r="BP201" s="24"/>
      <c r="BQ201" s="24"/>
      <c r="BR201" s="24"/>
      <c r="BS201" s="24"/>
      <c r="BT201" s="24"/>
      <c r="BU201" s="24"/>
      <c r="BV201" s="24"/>
    </row>
    <row r="202" spans="1:74" ht="15" hidden="1" customHeight="1">
      <c r="A202" s="24"/>
      <c r="BA202" s="24"/>
      <c r="BB202" s="24"/>
      <c r="BC202" s="24"/>
      <c r="BD202" s="24"/>
      <c r="BE202" s="24"/>
      <c r="BF202" s="24"/>
      <c r="BG202" s="24"/>
      <c r="BH202" s="24"/>
      <c r="BI202" s="24"/>
      <c r="BJ202" s="24"/>
      <c r="BK202" s="24"/>
      <c r="BL202" s="24"/>
      <c r="BM202" s="24"/>
      <c r="BN202" s="24"/>
      <c r="BO202" s="24"/>
      <c r="BP202" s="24"/>
      <c r="BQ202" s="24"/>
      <c r="BR202" s="24"/>
      <c r="BS202" s="24"/>
      <c r="BT202" s="24"/>
      <c r="BU202" s="24"/>
      <c r="BV202" s="24"/>
    </row>
    <row r="203" spans="1:74" ht="15" hidden="1" customHeight="1">
      <c r="A203" s="24"/>
      <c r="BA203" s="24"/>
      <c r="BB203" s="24"/>
      <c r="BC203" s="24"/>
      <c r="BD203" s="24"/>
      <c r="BE203" s="24"/>
      <c r="BF203" s="24"/>
      <c r="BG203" s="24"/>
      <c r="BH203" s="24"/>
      <c r="BI203" s="24"/>
      <c r="BJ203" s="24"/>
      <c r="BK203" s="24"/>
      <c r="BL203" s="24"/>
      <c r="BM203" s="24"/>
      <c r="BN203" s="24"/>
      <c r="BO203" s="24"/>
      <c r="BP203" s="24"/>
      <c r="BQ203" s="24"/>
      <c r="BR203" s="24"/>
      <c r="BS203" s="24"/>
      <c r="BT203" s="24"/>
      <c r="BU203" s="24"/>
      <c r="BV203" s="24"/>
    </row>
    <row r="204" spans="1:74" ht="15" hidden="1" customHeight="1">
      <c r="A204" s="24"/>
      <c r="BA204" s="24"/>
      <c r="BB204" s="24"/>
      <c r="BC204" s="24"/>
      <c r="BD204" s="24"/>
      <c r="BE204" s="24"/>
      <c r="BF204" s="24"/>
      <c r="BG204" s="24"/>
      <c r="BH204" s="24"/>
      <c r="BI204" s="24"/>
      <c r="BJ204" s="24"/>
      <c r="BK204" s="24"/>
      <c r="BL204" s="24"/>
      <c r="BM204" s="24"/>
      <c r="BN204" s="24"/>
      <c r="BO204" s="24"/>
      <c r="BP204" s="24"/>
      <c r="BQ204" s="24"/>
      <c r="BR204" s="24"/>
      <c r="BS204" s="24"/>
      <c r="BT204" s="24"/>
      <c r="BU204" s="24"/>
      <c r="BV204" s="24"/>
    </row>
    <row r="205" spans="1:74" ht="15" hidden="1" customHeight="1">
      <c r="A205" s="24"/>
      <c r="BA205" s="24"/>
      <c r="BB205" s="24"/>
      <c r="BC205" s="24"/>
      <c r="BD205" s="24"/>
      <c r="BE205" s="24"/>
      <c r="BF205" s="24"/>
      <c r="BG205" s="24"/>
      <c r="BH205" s="24"/>
      <c r="BI205" s="24"/>
      <c r="BJ205" s="24"/>
      <c r="BK205" s="24"/>
      <c r="BL205" s="24"/>
      <c r="BM205" s="24"/>
      <c r="BN205" s="24"/>
      <c r="BO205" s="24"/>
      <c r="BP205" s="24"/>
      <c r="BQ205" s="24"/>
      <c r="BR205" s="24"/>
      <c r="BS205" s="24"/>
      <c r="BT205" s="24"/>
      <c r="BU205" s="24"/>
      <c r="BV205" s="24"/>
    </row>
    <row r="206" spans="1:74" ht="15" hidden="1" customHeight="1">
      <c r="A206" s="24"/>
      <c r="BA206" s="24"/>
      <c r="BB206" s="24"/>
      <c r="BC206" s="24"/>
      <c r="BD206" s="24"/>
      <c r="BE206" s="24"/>
      <c r="BF206" s="24"/>
      <c r="BG206" s="24"/>
      <c r="BH206" s="24"/>
      <c r="BI206" s="24"/>
      <c r="BJ206" s="24"/>
      <c r="BK206" s="24"/>
      <c r="BL206" s="24"/>
      <c r="BM206" s="24"/>
      <c r="BN206" s="24"/>
      <c r="BO206" s="24"/>
      <c r="BP206" s="24"/>
      <c r="BQ206" s="24"/>
      <c r="BR206" s="24"/>
      <c r="BS206" s="24"/>
      <c r="BT206" s="24"/>
      <c r="BU206" s="24"/>
      <c r="BV206" s="24"/>
    </row>
    <row r="207" spans="1:74" ht="15" hidden="1" customHeight="1">
      <c r="A207" s="24"/>
      <c r="BA207" s="24"/>
      <c r="BB207" s="24"/>
      <c r="BC207" s="24"/>
      <c r="BD207" s="24"/>
      <c r="BE207" s="24"/>
      <c r="BF207" s="24"/>
      <c r="BG207" s="24"/>
      <c r="BH207" s="24"/>
      <c r="BI207" s="24"/>
      <c r="BJ207" s="24"/>
      <c r="BK207" s="24"/>
      <c r="BL207" s="24"/>
      <c r="BM207" s="24"/>
      <c r="BN207" s="24"/>
      <c r="BO207" s="24"/>
      <c r="BP207" s="24"/>
      <c r="BQ207" s="24"/>
      <c r="BR207" s="24"/>
      <c r="BS207" s="24"/>
      <c r="BT207" s="24"/>
      <c r="BU207" s="24"/>
      <c r="BV207" s="24"/>
    </row>
    <row r="208" spans="1:74" ht="15" hidden="1" customHeight="1">
      <c r="A208" s="24"/>
      <c r="BA208" s="24"/>
      <c r="BB208" s="24"/>
      <c r="BC208" s="24"/>
      <c r="BD208" s="24"/>
      <c r="BE208" s="24"/>
      <c r="BF208" s="24"/>
      <c r="BG208" s="24"/>
      <c r="BH208" s="24"/>
      <c r="BI208" s="24"/>
      <c r="BJ208" s="24"/>
      <c r="BK208" s="24"/>
      <c r="BL208" s="24"/>
      <c r="BM208" s="24"/>
      <c r="BN208" s="24"/>
      <c r="BO208" s="24"/>
      <c r="BP208" s="24"/>
      <c r="BQ208" s="24"/>
      <c r="BR208" s="24"/>
      <c r="BS208" s="24"/>
      <c r="BT208" s="24"/>
      <c r="BU208" s="24"/>
      <c r="BV208" s="24"/>
    </row>
    <row r="209" spans="1:74" ht="15" hidden="1" customHeight="1">
      <c r="A209" s="24"/>
      <c r="BA209" s="24"/>
      <c r="BB209" s="24"/>
      <c r="BC209" s="24"/>
      <c r="BD209" s="24"/>
      <c r="BE209" s="24"/>
      <c r="BF209" s="24"/>
      <c r="BG209" s="24"/>
      <c r="BH209" s="24"/>
      <c r="BI209" s="24"/>
      <c r="BJ209" s="24"/>
      <c r="BK209" s="24"/>
      <c r="BL209" s="24"/>
      <c r="BM209" s="24"/>
      <c r="BN209" s="24"/>
      <c r="BO209" s="24"/>
      <c r="BP209" s="24"/>
      <c r="BQ209" s="24"/>
      <c r="BR209" s="24"/>
      <c r="BS209" s="24"/>
      <c r="BT209" s="24"/>
      <c r="BU209" s="24"/>
      <c r="BV209" s="24"/>
    </row>
    <row r="210" spans="1:74" ht="15" hidden="1" customHeight="1">
      <c r="A210" s="24"/>
      <c r="BA210" s="24"/>
      <c r="BB210" s="24"/>
      <c r="BC210" s="24"/>
      <c r="BD210" s="24"/>
      <c r="BE210" s="24"/>
      <c r="BF210" s="24"/>
      <c r="BG210" s="24"/>
      <c r="BH210" s="24"/>
      <c r="BI210" s="24"/>
      <c r="BJ210" s="24"/>
      <c r="BK210" s="24"/>
      <c r="BL210" s="24"/>
      <c r="BM210" s="24"/>
      <c r="BN210" s="24"/>
      <c r="BO210" s="24"/>
      <c r="BP210" s="24"/>
      <c r="BQ210" s="24"/>
      <c r="BR210" s="24"/>
      <c r="BS210" s="24"/>
      <c r="BT210" s="24"/>
      <c r="BU210" s="24"/>
      <c r="BV210" s="24"/>
    </row>
    <row r="211" spans="1:74" ht="15" hidden="1" customHeight="1">
      <c r="A211" s="24"/>
      <c r="BA211" s="24"/>
      <c r="BB211" s="24"/>
      <c r="BC211" s="24"/>
      <c r="BD211" s="24"/>
      <c r="BE211" s="24"/>
      <c r="BF211" s="24"/>
      <c r="BG211" s="24"/>
      <c r="BH211" s="24"/>
      <c r="BI211" s="24"/>
      <c r="BJ211" s="24"/>
      <c r="BK211" s="24"/>
      <c r="BL211" s="24"/>
      <c r="BM211" s="24"/>
      <c r="BN211" s="24"/>
      <c r="BO211" s="24"/>
      <c r="BP211" s="24"/>
      <c r="BQ211" s="24"/>
      <c r="BR211" s="24"/>
      <c r="BS211" s="24"/>
      <c r="BT211" s="24"/>
      <c r="BU211" s="24"/>
      <c r="BV211" s="24"/>
    </row>
    <row r="212" spans="1:74" ht="15" hidden="1" customHeight="1">
      <c r="A212" s="24"/>
      <c r="BA212" s="24"/>
      <c r="BB212" s="24"/>
      <c r="BC212" s="24"/>
      <c r="BD212" s="24"/>
      <c r="BE212" s="24"/>
      <c r="BF212" s="24"/>
      <c r="BG212" s="24"/>
      <c r="BH212" s="24"/>
      <c r="BI212" s="24"/>
      <c r="BJ212" s="24"/>
      <c r="BK212" s="24"/>
      <c r="BL212" s="24"/>
      <c r="BM212" s="24"/>
      <c r="BN212" s="24"/>
      <c r="BO212" s="24"/>
      <c r="BP212" s="24"/>
      <c r="BQ212" s="24"/>
      <c r="BR212" s="24"/>
      <c r="BS212" s="24"/>
      <c r="BT212" s="24"/>
      <c r="BU212" s="24"/>
      <c r="BV212" s="24"/>
    </row>
    <row r="213" spans="1:74" ht="15" hidden="1" customHeight="1">
      <c r="A213" s="24"/>
      <c r="BA213" s="24"/>
      <c r="BB213" s="24"/>
      <c r="BC213" s="24"/>
      <c r="BD213" s="24"/>
      <c r="BE213" s="24"/>
      <c r="BF213" s="24"/>
      <c r="BG213" s="24"/>
      <c r="BH213" s="24"/>
      <c r="BI213" s="24"/>
      <c r="BJ213" s="24"/>
      <c r="BK213" s="24"/>
      <c r="BL213" s="24"/>
      <c r="BM213" s="24"/>
      <c r="BN213" s="24"/>
      <c r="BO213" s="24"/>
      <c r="BP213" s="24"/>
      <c r="BQ213" s="24"/>
      <c r="BR213" s="24"/>
      <c r="BS213" s="24"/>
      <c r="BT213" s="24"/>
      <c r="BU213" s="24"/>
      <c r="BV213" s="24"/>
    </row>
    <row r="214" spans="1:74" ht="15" hidden="1" customHeight="1">
      <c r="A214" s="24"/>
      <c r="BA214" s="24"/>
      <c r="BB214" s="24"/>
      <c r="BC214" s="24"/>
      <c r="BD214" s="24"/>
      <c r="BE214" s="24"/>
      <c r="BF214" s="24"/>
      <c r="BG214" s="24"/>
      <c r="BH214" s="24"/>
      <c r="BI214" s="24"/>
      <c r="BJ214" s="24"/>
      <c r="BK214" s="24"/>
      <c r="BL214" s="24"/>
      <c r="BM214" s="24"/>
      <c r="BN214" s="24"/>
      <c r="BO214" s="24"/>
      <c r="BP214" s="24"/>
      <c r="BQ214" s="24"/>
      <c r="BR214" s="24"/>
      <c r="BS214" s="24"/>
      <c r="BT214" s="24"/>
      <c r="BU214" s="24"/>
      <c r="BV214" s="24"/>
    </row>
    <row r="215" spans="1:74" ht="15" hidden="1" customHeight="1">
      <c r="A215" s="24"/>
      <c r="BA215" s="24"/>
      <c r="BB215" s="24"/>
      <c r="BC215" s="24"/>
      <c r="BD215" s="24"/>
      <c r="BE215" s="24"/>
      <c r="BF215" s="24"/>
      <c r="BG215" s="24"/>
      <c r="BH215" s="24"/>
      <c r="BI215" s="24"/>
      <c r="BJ215" s="24"/>
      <c r="BK215" s="24"/>
      <c r="BL215" s="24"/>
      <c r="BM215" s="24"/>
      <c r="BN215" s="24"/>
      <c r="BO215" s="24"/>
      <c r="BP215" s="24"/>
      <c r="BQ215" s="24"/>
      <c r="BR215" s="24"/>
      <c r="BS215" s="24"/>
      <c r="BT215" s="24"/>
      <c r="BU215" s="24"/>
      <c r="BV215" s="24"/>
    </row>
    <row r="216" spans="1:74" ht="15" hidden="1" customHeight="1">
      <c r="A216" s="24"/>
      <c r="BA216" s="24"/>
      <c r="BB216" s="24"/>
      <c r="BC216" s="24"/>
      <c r="BD216" s="24"/>
      <c r="BE216" s="24"/>
      <c r="BF216" s="24"/>
      <c r="BG216" s="24"/>
      <c r="BH216" s="24"/>
      <c r="BI216" s="24"/>
      <c r="BJ216" s="24"/>
      <c r="BK216" s="24"/>
      <c r="BL216" s="24"/>
      <c r="BM216" s="24"/>
      <c r="BN216" s="24"/>
      <c r="BO216" s="24"/>
      <c r="BP216" s="24"/>
      <c r="BQ216" s="24"/>
      <c r="BR216" s="24"/>
      <c r="BS216" s="24"/>
      <c r="BT216" s="24"/>
      <c r="BU216" s="24"/>
      <c r="BV216" s="24"/>
    </row>
    <row r="217" spans="1:74" ht="15" hidden="1" customHeight="1">
      <c r="A217" s="24"/>
      <c r="BA217" s="24"/>
      <c r="BB217" s="24"/>
      <c r="BC217" s="24"/>
      <c r="BD217" s="24"/>
      <c r="BE217" s="24"/>
      <c r="BF217" s="24"/>
      <c r="BG217" s="24"/>
      <c r="BH217" s="24"/>
      <c r="BI217" s="24"/>
      <c r="BJ217" s="24"/>
      <c r="BK217" s="24"/>
      <c r="BL217" s="24"/>
      <c r="BM217" s="24"/>
      <c r="BN217" s="24"/>
      <c r="BO217" s="24"/>
      <c r="BP217" s="24"/>
      <c r="BQ217" s="24"/>
      <c r="BR217" s="24"/>
      <c r="BS217" s="24"/>
      <c r="BT217" s="24"/>
      <c r="BU217" s="24"/>
      <c r="BV217" s="24"/>
    </row>
    <row r="218" spans="1:74" ht="15" hidden="1" customHeight="1">
      <c r="A218" s="24"/>
      <c r="BA218" s="24"/>
      <c r="BB218" s="24"/>
      <c r="BC218" s="24"/>
      <c r="BD218" s="24"/>
      <c r="BE218" s="24"/>
      <c r="BF218" s="24"/>
      <c r="BG218" s="24"/>
      <c r="BH218" s="24"/>
      <c r="BI218" s="24"/>
      <c r="BJ218" s="24"/>
      <c r="BK218" s="24"/>
      <c r="BL218" s="24"/>
      <c r="BM218" s="24"/>
      <c r="BN218" s="24"/>
      <c r="BO218" s="24"/>
      <c r="BP218" s="24"/>
      <c r="BQ218" s="24"/>
      <c r="BR218" s="24"/>
      <c r="BS218" s="24"/>
      <c r="BT218" s="24"/>
      <c r="BU218" s="24"/>
      <c r="BV218" s="24"/>
    </row>
    <row r="219" spans="1:74" ht="15" hidden="1" customHeight="1">
      <c r="A219" s="24"/>
      <c r="BA219" s="24"/>
      <c r="BB219" s="24"/>
      <c r="BC219" s="24"/>
      <c r="BD219" s="24"/>
      <c r="BE219" s="24"/>
      <c r="BF219" s="24"/>
      <c r="BG219" s="24"/>
      <c r="BH219" s="24"/>
      <c r="BI219" s="24"/>
      <c r="BJ219" s="24"/>
      <c r="BK219" s="24"/>
      <c r="BL219" s="24"/>
      <c r="BM219" s="24"/>
      <c r="BN219" s="24"/>
      <c r="BO219" s="24"/>
      <c r="BP219" s="24"/>
      <c r="BQ219" s="24"/>
      <c r="BR219" s="24"/>
      <c r="BS219" s="24"/>
      <c r="BT219" s="24"/>
      <c r="BU219" s="24"/>
      <c r="BV219" s="24"/>
    </row>
    <row r="220" spans="1:74" ht="15" hidden="1" customHeight="1">
      <c r="A220" s="24"/>
      <c r="BA220" s="24"/>
      <c r="BB220" s="24"/>
      <c r="BC220" s="24"/>
      <c r="BD220" s="24"/>
      <c r="BE220" s="24"/>
      <c r="BF220" s="24"/>
      <c r="BG220" s="24"/>
      <c r="BH220" s="24"/>
      <c r="BI220" s="24"/>
      <c r="BJ220" s="24"/>
      <c r="BK220" s="24"/>
      <c r="BL220" s="24"/>
      <c r="BM220" s="24"/>
      <c r="BN220" s="24"/>
      <c r="BO220" s="24"/>
      <c r="BP220" s="24"/>
      <c r="BQ220" s="24"/>
      <c r="BR220" s="24"/>
      <c r="BS220" s="24"/>
      <c r="BT220" s="24"/>
      <c r="BU220" s="24"/>
      <c r="BV220" s="24"/>
    </row>
    <row r="221" spans="1:74" ht="15" hidden="1" customHeight="1">
      <c r="A221" s="24"/>
      <c r="BA221" s="24"/>
      <c r="BB221" s="24"/>
      <c r="BC221" s="24"/>
      <c r="BD221" s="24"/>
      <c r="BE221" s="24"/>
      <c r="BF221" s="24"/>
      <c r="BG221" s="24"/>
      <c r="BH221" s="24"/>
      <c r="BI221" s="24"/>
      <c r="BJ221" s="24"/>
      <c r="BK221" s="24"/>
      <c r="BL221" s="24"/>
      <c r="BM221" s="24"/>
      <c r="BN221" s="24"/>
      <c r="BO221" s="24"/>
      <c r="BP221" s="24"/>
      <c r="BQ221" s="24"/>
      <c r="BR221" s="24"/>
      <c r="BS221" s="24"/>
      <c r="BT221" s="24"/>
      <c r="BU221" s="24"/>
      <c r="BV221" s="24"/>
    </row>
    <row r="222" spans="1:74" ht="15" hidden="1" customHeight="1">
      <c r="A222" s="24"/>
      <c r="BA222" s="24"/>
      <c r="BB222" s="24"/>
      <c r="BC222" s="24"/>
      <c r="BD222" s="24"/>
      <c r="BE222" s="24"/>
      <c r="BF222" s="24"/>
      <c r="BG222" s="24"/>
      <c r="BH222" s="24"/>
      <c r="BI222" s="24"/>
      <c r="BJ222" s="24"/>
      <c r="BK222" s="24"/>
      <c r="BL222" s="24"/>
      <c r="BM222" s="24"/>
      <c r="BN222" s="24"/>
      <c r="BO222" s="24"/>
      <c r="BP222" s="24"/>
      <c r="BQ222" s="24"/>
      <c r="BR222" s="24"/>
      <c r="BS222" s="24"/>
      <c r="BT222" s="24"/>
      <c r="BU222" s="24"/>
      <c r="BV222" s="24"/>
    </row>
    <row r="223" spans="1:74" ht="0" hidden="1" customHeight="1">
      <c r="BQ223" s="24"/>
    </row>
  </sheetData>
  <mergeCells count="1482">
    <mergeCell ref="BL130:BP130"/>
    <mergeCell ref="AM151:AQ151"/>
    <mergeCell ref="AH151:AL151"/>
    <mergeCell ref="AC149:AG149"/>
    <mergeCell ref="L111:O111"/>
    <mergeCell ref="P111:R111"/>
    <mergeCell ref="AH118:AL118"/>
    <mergeCell ref="F116:K116"/>
    <mergeCell ref="AR116:AV116"/>
    <mergeCell ref="P152:R152"/>
    <mergeCell ref="S152:W152"/>
    <mergeCell ref="L148:O148"/>
    <mergeCell ref="L152:O152"/>
    <mergeCell ref="S116:W116"/>
    <mergeCell ref="L124:O124"/>
    <mergeCell ref="P124:R124"/>
    <mergeCell ref="F111:K111"/>
    <mergeCell ref="F121:K122"/>
    <mergeCell ref="F114:K115"/>
    <mergeCell ref="X149:AB149"/>
    <mergeCell ref="X152:AB152"/>
    <mergeCell ref="AC151:AG151"/>
    <mergeCell ref="F148:K148"/>
    <mergeCell ref="F132:K132"/>
    <mergeCell ref="L132:O132"/>
    <mergeCell ref="P132:R132"/>
    <mergeCell ref="L118:O118"/>
    <mergeCell ref="P118:R118"/>
    <mergeCell ref="X146:AL146"/>
    <mergeCell ref="L121:R122"/>
    <mergeCell ref="S121:W122"/>
    <mergeCell ref="L123:O123"/>
    <mergeCell ref="F105:K105"/>
    <mergeCell ref="L149:O149"/>
    <mergeCell ref="P149:R149"/>
    <mergeCell ref="S149:W149"/>
    <mergeCell ref="L117:O117"/>
    <mergeCell ref="P117:R117"/>
    <mergeCell ref="AH160:AL160"/>
    <mergeCell ref="BG160:BK160"/>
    <mergeCell ref="BL160:BP160"/>
    <mergeCell ref="AK178:AZ178"/>
    <mergeCell ref="X130:AB130"/>
    <mergeCell ref="AC130:AG130"/>
    <mergeCell ref="X129:AB129"/>
    <mergeCell ref="BL127:BP127"/>
    <mergeCell ref="X164:AB164"/>
    <mergeCell ref="AC158:AG158"/>
    <mergeCell ref="AM133:AQ133"/>
    <mergeCell ref="L163:O163"/>
    <mergeCell ref="P163:R163"/>
    <mergeCell ref="P160:R160"/>
    <mergeCell ref="P167:R167"/>
    <mergeCell ref="BG166:BK166"/>
    <mergeCell ref="BL166:BP166"/>
    <mergeCell ref="AC161:AG161"/>
    <mergeCell ref="S163:W163"/>
    <mergeCell ref="F162:K163"/>
    <mergeCell ref="BG167:BK167"/>
    <mergeCell ref="BL167:BP167"/>
    <mergeCell ref="AC162:AG162"/>
    <mergeCell ref="BL153:BP153"/>
    <mergeCell ref="AM143:AQ143"/>
    <mergeCell ref="AC142:AG142"/>
    <mergeCell ref="BX146:BX147"/>
    <mergeCell ref="CA157:CA158"/>
    <mergeCell ref="BX156:CB156"/>
    <mergeCell ref="AM146:AQ147"/>
    <mergeCell ref="AR146:AV147"/>
    <mergeCell ref="AH164:AL164"/>
    <mergeCell ref="BG162:BK162"/>
    <mergeCell ref="BL162:BP162"/>
    <mergeCell ref="BQ159:BU159"/>
    <mergeCell ref="BQ149:BU149"/>
    <mergeCell ref="BX145:CB145"/>
    <mergeCell ref="BX135:CB135"/>
    <mergeCell ref="BX136:BX137"/>
    <mergeCell ref="BG163:BK163"/>
    <mergeCell ref="BQ163:BU163"/>
    <mergeCell ref="BQ162:BU162"/>
    <mergeCell ref="BQ160:BU160"/>
    <mergeCell ref="BL164:BP164"/>
    <mergeCell ref="AH158:AL158"/>
    <mergeCell ref="BG157:BK158"/>
    <mergeCell ref="BL157:BP158"/>
    <mergeCell ref="AM163:AQ163"/>
    <mergeCell ref="AR163:AV163"/>
    <mergeCell ref="AM161:AQ161"/>
    <mergeCell ref="BG161:BK161"/>
    <mergeCell ref="BL161:BP161"/>
    <mergeCell ref="BX157:BX158"/>
    <mergeCell ref="AH154:AL154"/>
    <mergeCell ref="BB153:BF153"/>
    <mergeCell ref="BB160:BF160"/>
    <mergeCell ref="BB161:BF161"/>
    <mergeCell ref="BB162:BF162"/>
    <mergeCell ref="BQ131:BU131"/>
    <mergeCell ref="AH153:AL153"/>
    <mergeCell ref="AM153:AQ153"/>
    <mergeCell ref="AC148:AG148"/>
    <mergeCell ref="AH148:AL148"/>
    <mergeCell ref="S77:W78"/>
    <mergeCell ref="S65:W66"/>
    <mergeCell ref="L77:R78"/>
    <mergeCell ref="L162:O162"/>
    <mergeCell ref="F125:K127"/>
    <mergeCell ref="F133:K133"/>
    <mergeCell ref="F130:K130"/>
    <mergeCell ref="BL125:BP125"/>
    <mergeCell ref="BQ125:BU125"/>
    <mergeCell ref="BG128:BK128"/>
    <mergeCell ref="BG129:BK129"/>
    <mergeCell ref="BL129:BP129"/>
    <mergeCell ref="L129:O129"/>
    <mergeCell ref="P129:R129"/>
    <mergeCell ref="S129:W129"/>
    <mergeCell ref="AC129:AG129"/>
    <mergeCell ref="S124:W124"/>
    <mergeCell ref="AR125:AV125"/>
    <mergeCell ref="AR124:AV124"/>
    <mergeCell ref="S130:W130"/>
    <mergeCell ref="P151:R151"/>
    <mergeCell ref="AM149:AQ149"/>
    <mergeCell ref="S148:W148"/>
    <mergeCell ref="BG136:BK137"/>
    <mergeCell ref="BL136:BP137"/>
    <mergeCell ref="BQ136:BU137"/>
    <mergeCell ref="X158:AB158"/>
    <mergeCell ref="BL79:BP79"/>
    <mergeCell ref="BQ79:BU79"/>
    <mergeCell ref="BL77:BP78"/>
    <mergeCell ref="BQ77:BU78"/>
    <mergeCell ref="AM80:AQ80"/>
    <mergeCell ref="AR80:AV80"/>
    <mergeCell ref="BG67:BK67"/>
    <mergeCell ref="AC52:AG52"/>
    <mergeCell ref="AH52:AL52"/>
    <mergeCell ref="AM62:AQ62"/>
    <mergeCell ref="AR62:AV62"/>
    <mergeCell ref="X80:AB80"/>
    <mergeCell ref="AM71:AQ72"/>
    <mergeCell ref="AR67:AV67"/>
    <mergeCell ref="X84:AB84"/>
    <mergeCell ref="X83:AB83"/>
    <mergeCell ref="AR79:AV79"/>
    <mergeCell ref="AM83:AQ83"/>
    <mergeCell ref="AH84:AL84"/>
    <mergeCell ref="AH66:AL66"/>
    <mergeCell ref="X71:AL71"/>
    <mergeCell ref="AC81:AG81"/>
    <mergeCell ref="BQ83:BU83"/>
    <mergeCell ref="AC55:AG55"/>
    <mergeCell ref="AR73:AV73"/>
    <mergeCell ref="AM79:AQ79"/>
    <mergeCell ref="X79:AB79"/>
    <mergeCell ref="BG74:BK74"/>
    <mergeCell ref="BL74:BP74"/>
    <mergeCell ref="BG53:BK53"/>
    <mergeCell ref="BL53:BP53"/>
    <mergeCell ref="BQ53:BU53"/>
    <mergeCell ref="BX50:CB50"/>
    <mergeCell ref="CA51:CA52"/>
    <mergeCell ref="P80:R80"/>
    <mergeCell ref="AR81:AV81"/>
    <mergeCell ref="CD91:CH91"/>
    <mergeCell ref="CD92:CD93"/>
    <mergeCell ref="CG92:CG93"/>
    <mergeCell ref="CH92:CH93"/>
    <mergeCell ref="S82:W82"/>
    <mergeCell ref="BQ88:BU88"/>
    <mergeCell ref="AR87:AV87"/>
    <mergeCell ref="F62:K62"/>
    <mergeCell ref="F73:K73"/>
    <mergeCell ref="P84:R84"/>
    <mergeCell ref="S84:W84"/>
    <mergeCell ref="S80:W80"/>
    <mergeCell ref="L80:O80"/>
    <mergeCell ref="L73:O73"/>
    <mergeCell ref="P73:R73"/>
    <mergeCell ref="L86:O86"/>
    <mergeCell ref="P86:R86"/>
    <mergeCell ref="AH87:AL87"/>
    <mergeCell ref="S74:W74"/>
    <mergeCell ref="F71:K72"/>
    <mergeCell ref="AC84:AG84"/>
    <mergeCell ref="X78:AB78"/>
    <mergeCell ref="AC78:AG78"/>
    <mergeCell ref="AH78:AL78"/>
    <mergeCell ref="CA77:CA78"/>
    <mergeCell ref="X77:AL77"/>
    <mergeCell ref="BX77:BX78"/>
    <mergeCell ref="BX76:CB76"/>
    <mergeCell ref="F65:K66"/>
    <mergeCell ref="AM59:AQ59"/>
    <mergeCell ref="L58:O58"/>
    <mergeCell ref="P58:R58"/>
    <mergeCell ref="F59:K59"/>
    <mergeCell ref="P59:R59"/>
    <mergeCell ref="X51:AL51"/>
    <mergeCell ref="B25:F26"/>
    <mergeCell ref="AE27:AX27"/>
    <mergeCell ref="F60:K60"/>
    <mergeCell ref="L60:O60"/>
    <mergeCell ref="AC61:AG61"/>
    <mergeCell ref="G25:G26"/>
    <mergeCell ref="H25:AC27"/>
    <mergeCell ref="S60:W60"/>
    <mergeCell ref="P61:R61"/>
    <mergeCell ref="P57:R57"/>
    <mergeCell ref="AH60:AL60"/>
    <mergeCell ref="S56:W56"/>
    <mergeCell ref="B35:P35"/>
    <mergeCell ref="Q35:AA35"/>
    <mergeCell ref="AB35:AN35"/>
    <mergeCell ref="AO35:AZ35"/>
    <mergeCell ref="B36:P36"/>
    <mergeCell ref="Q36:AA36"/>
    <mergeCell ref="AB36:AN36"/>
    <mergeCell ref="AO36:AZ36"/>
    <mergeCell ref="S54:W54"/>
    <mergeCell ref="X54:AB54"/>
    <mergeCell ref="AB31:AN31"/>
    <mergeCell ref="AO31:AZ31"/>
    <mergeCell ref="X55:AB55"/>
    <mergeCell ref="F88:K88"/>
    <mergeCell ref="S92:W93"/>
    <mergeCell ref="BO25:BP26"/>
    <mergeCell ref="AH53:AL53"/>
    <mergeCell ref="AM53:AQ53"/>
    <mergeCell ref="L54:O54"/>
    <mergeCell ref="P54:R54"/>
    <mergeCell ref="AL7:AZ8"/>
    <mergeCell ref="B17:I18"/>
    <mergeCell ref="K17:AA18"/>
    <mergeCell ref="L5:N5"/>
    <mergeCell ref="AN5:AP5"/>
    <mergeCell ref="B6:AZ6"/>
    <mergeCell ref="B7:I8"/>
    <mergeCell ref="K7:AA8"/>
    <mergeCell ref="AB7:AJ8"/>
    <mergeCell ref="AK17:AK18"/>
    <mergeCell ref="B22:AA22"/>
    <mergeCell ref="AB22:AZ22"/>
    <mergeCell ref="B32:P32"/>
    <mergeCell ref="Q32:AA32"/>
    <mergeCell ref="AB32:AN32"/>
    <mergeCell ref="AO32:AZ32"/>
    <mergeCell ref="B29:AZ29"/>
    <mergeCell ref="B15:I16"/>
    <mergeCell ref="B30:P30"/>
    <mergeCell ref="Q30:AA30"/>
    <mergeCell ref="AB30:AN30"/>
    <mergeCell ref="AO30:AZ30"/>
    <mergeCell ref="BG64:BK64"/>
    <mergeCell ref="AM73:AQ73"/>
    <mergeCell ref="F79:K80"/>
    <mergeCell ref="CP92:CP93"/>
    <mergeCell ref="BX109:BX110"/>
    <mergeCell ref="CA109:CA110"/>
    <mergeCell ref="CB109:CB110"/>
    <mergeCell ref="CD109:CD110"/>
    <mergeCell ref="CG109:CG110"/>
    <mergeCell ref="CH109:CH110"/>
    <mergeCell ref="CS109:CS110"/>
    <mergeCell ref="BQ100:BU100"/>
    <mergeCell ref="BL109:BP110"/>
    <mergeCell ref="BQ98:BU99"/>
    <mergeCell ref="BX108:CB108"/>
    <mergeCell ref="CN121:CN122"/>
    <mergeCell ref="BX120:CB120"/>
    <mergeCell ref="BL118:BP118"/>
    <mergeCell ref="BL117:BP117"/>
    <mergeCell ref="BQ109:BU110"/>
    <mergeCell ref="BQ111:BU111"/>
    <mergeCell ref="CA121:CA122"/>
    <mergeCell ref="BX121:BX122"/>
    <mergeCell ref="CJ109:CJ110"/>
    <mergeCell ref="CB103:CB104"/>
    <mergeCell ref="CP108:CT108"/>
    <mergeCell ref="CS114:CS115"/>
    <mergeCell ref="CJ103:CJ104"/>
    <mergeCell ref="CM103:CM104"/>
    <mergeCell ref="CT114:CT115"/>
    <mergeCell ref="CP121:CP122"/>
    <mergeCell ref="BL92:BP93"/>
    <mergeCell ref="BQ92:BU93"/>
    <mergeCell ref="CV156:CZ156"/>
    <mergeCell ref="BG148:BK148"/>
    <mergeCell ref="BL148:BP148"/>
    <mergeCell ref="BG146:BK147"/>
    <mergeCell ref="BQ118:BU118"/>
    <mergeCell ref="BG121:BK122"/>
    <mergeCell ref="BL121:BP122"/>
    <mergeCell ref="BQ121:BU122"/>
    <mergeCell ref="CV120:CZ120"/>
    <mergeCell ref="CY121:CZ121"/>
    <mergeCell ref="CY122:CZ122"/>
    <mergeCell ref="CB121:CB122"/>
    <mergeCell ref="CT136:CT137"/>
    <mergeCell ref="CP136:CP137"/>
    <mergeCell ref="CS136:CS137"/>
    <mergeCell ref="BQ153:BU153"/>
    <mergeCell ref="CT141:CT142"/>
    <mergeCell ref="CA141:CA142"/>
    <mergeCell ref="BQ130:BU130"/>
    <mergeCell ref="BG149:BK149"/>
    <mergeCell ref="BL149:BP149"/>
    <mergeCell ref="BQ154:BU154"/>
    <mergeCell ref="BQ141:BU142"/>
    <mergeCell ref="CY137:CZ137"/>
    <mergeCell ref="CS121:CS122"/>
    <mergeCell ref="CT121:CT122"/>
    <mergeCell ref="CY142:CZ142"/>
    <mergeCell ref="CV140:CZ140"/>
    <mergeCell ref="CM136:CM137"/>
    <mergeCell ref="CY141:CZ141"/>
    <mergeCell ref="CP146:CP147"/>
    <mergeCell ref="CY147:CZ147"/>
    <mergeCell ref="AR164:AV164"/>
    <mergeCell ref="BG164:BK164"/>
    <mergeCell ref="AH129:AL129"/>
    <mergeCell ref="AM129:AQ129"/>
    <mergeCell ref="AM103:AQ104"/>
    <mergeCell ref="AR103:AV104"/>
    <mergeCell ref="BG124:BK124"/>
    <mergeCell ref="BL124:BP124"/>
    <mergeCell ref="L109:R110"/>
    <mergeCell ref="S109:W110"/>
    <mergeCell ref="X109:AL109"/>
    <mergeCell ref="AM109:AQ110"/>
    <mergeCell ref="AR109:AV110"/>
    <mergeCell ref="X110:AB110"/>
    <mergeCell ref="BL138:BP138"/>
    <mergeCell ref="L150:O150"/>
    <mergeCell ref="P150:R150"/>
    <mergeCell ref="AR150:AV150"/>
    <mergeCell ref="BL150:BP150"/>
    <mergeCell ref="AH137:AL137"/>
    <mergeCell ref="AC163:AG163"/>
    <mergeCell ref="AH163:AL163"/>
    <mergeCell ref="X162:AB162"/>
    <mergeCell ref="AC105:AG105"/>
    <mergeCell ref="AH105:AL105"/>
    <mergeCell ref="AM105:AQ105"/>
    <mergeCell ref="AH142:AL142"/>
    <mergeCell ref="S150:W150"/>
    <mergeCell ref="S146:W147"/>
    <mergeCell ref="X114:AL114"/>
    <mergeCell ref="AC117:AG117"/>
    <mergeCell ref="BG130:BK130"/>
    <mergeCell ref="AH93:AL93"/>
    <mergeCell ref="AH85:AL85"/>
    <mergeCell ref="L85:O85"/>
    <mergeCell ref="P85:R85"/>
    <mergeCell ref="S85:W85"/>
    <mergeCell ref="BG141:BK142"/>
    <mergeCell ref="X128:AB128"/>
    <mergeCell ref="AC128:AG128"/>
    <mergeCell ref="AH128:AL128"/>
    <mergeCell ref="AM127:AQ127"/>
    <mergeCell ref="BG138:BK138"/>
    <mergeCell ref="AM85:AQ85"/>
    <mergeCell ref="P83:R83"/>
    <mergeCell ref="X94:AB94"/>
    <mergeCell ref="AC88:AG88"/>
    <mergeCell ref="BG133:BK133"/>
    <mergeCell ref="AR92:AV93"/>
    <mergeCell ref="AC93:AG93"/>
    <mergeCell ref="X88:AB88"/>
    <mergeCell ref="AH88:AL88"/>
    <mergeCell ref="X136:AL136"/>
    <mergeCell ref="AM136:AQ137"/>
    <mergeCell ref="P89:R89"/>
    <mergeCell ref="S89:W89"/>
    <mergeCell ref="P88:R88"/>
    <mergeCell ref="AR89:AV89"/>
    <mergeCell ref="AL9:AZ10"/>
    <mergeCell ref="B48:AZ48"/>
    <mergeCell ref="B33:AZ33"/>
    <mergeCell ref="B34:P34"/>
    <mergeCell ref="Q34:AA34"/>
    <mergeCell ref="AB34:AN34"/>
    <mergeCell ref="AO34:AZ34"/>
    <mergeCell ref="R40:S40"/>
    <mergeCell ref="AL15:AZ16"/>
    <mergeCell ref="C43:AS43"/>
    <mergeCell ref="C44:AS44"/>
    <mergeCell ref="C45:AS45"/>
    <mergeCell ref="AB15:AJ16"/>
    <mergeCell ref="F53:K56"/>
    <mergeCell ref="L53:O53"/>
    <mergeCell ref="P53:R53"/>
    <mergeCell ref="S53:W53"/>
    <mergeCell ref="X53:AB53"/>
    <mergeCell ref="AC53:AG53"/>
    <mergeCell ref="K19:AA20"/>
    <mergeCell ref="AB19:AJ20"/>
    <mergeCell ref="B37:AA37"/>
    <mergeCell ref="AB37:AZ37"/>
    <mergeCell ref="AL17:AZ18"/>
    <mergeCell ref="B31:P31"/>
    <mergeCell ref="Q31:AA31"/>
    <mergeCell ref="K15:AA16"/>
    <mergeCell ref="AG25:AZ26"/>
    <mergeCell ref="AB17:AJ18"/>
    <mergeCell ref="AK9:AK10"/>
    <mergeCell ref="L84:O84"/>
    <mergeCell ref="AK11:AK12"/>
    <mergeCell ref="B23:F24"/>
    <mergeCell ref="U178:AJ178"/>
    <mergeCell ref="AC153:AG153"/>
    <mergeCell ref="F159:K160"/>
    <mergeCell ref="L160:O160"/>
    <mergeCell ref="J7:J8"/>
    <mergeCell ref="J9:J10"/>
    <mergeCell ref="J11:J12"/>
    <mergeCell ref="J13:J14"/>
    <mergeCell ref="J15:J16"/>
    <mergeCell ref="AK7:AK8"/>
    <mergeCell ref="J19:J20"/>
    <mergeCell ref="AE23:AE24"/>
    <mergeCell ref="AE25:AE26"/>
    <mergeCell ref="AK19:AK20"/>
    <mergeCell ref="F57:K58"/>
    <mergeCell ref="G23:G24"/>
    <mergeCell ref="AB9:AJ10"/>
    <mergeCell ref="X59:AB59"/>
    <mergeCell ref="L57:O57"/>
    <mergeCell ref="S57:W57"/>
    <mergeCell ref="X57:AB57"/>
    <mergeCell ref="X86:AB86"/>
    <mergeCell ref="AC86:AG86"/>
    <mergeCell ref="AH86:AL86"/>
    <mergeCell ref="X82:AB82"/>
    <mergeCell ref="AH81:AL81"/>
    <mergeCell ref="L83:O83"/>
    <mergeCell ref="F87:K87"/>
    <mergeCell ref="AG23:AZ24"/>
    <mergeCell ref="H23:AC24"/>
    <mergeCell ref="B13:I14"/>
    <mergeCell ref="K13:AA14"/>
    <mergeCell ref="BG143:BK143"/>
    <mergeCell ref="BL143:BP143"/>
    <mergeCell ref="BQ143:BU143"/>
    <mergeCell ref="BL151:BP151"/>
    <mergeCell ref="B179:T179"/>
    <mergeCell ref="U179:AJ179"/>
    <mergeCell ref="AK179:AZ179"/>
    <mergeCell ref="B181:T181"/>
    <mergeCell ref="U181:AJ181"/>
    <mergeCell ref="B182:T182"/>
    <mergeCell ref="U182:AJ182"/>
    <mergeCell ref="AK182:AZ182"/>
    <mergeCell ref="AM154:AQ154"/>
    <mergeCell ref="AR154:AV154"/>
    <mergeCell ref="AM152:AQ152"/>
    <mergeCell ref="AR152:AV152"/>
    <mergeCell ref="AM150:AQ150"/>
    <mergeCell ref="S167:W167"/>
    <mergeCell ref="X167:AB167"/>
    <mergeCell ref="AC167:AG167"/>
    <mergeCell ref="AH167:AL167"/>
    <mergeCell ref="P166:R166"/>
    <mergeCell ref="S166:W166"/>
    <mergeCell ref="X166:AB166"/>
    <mergeCell ref="AC166:AG166"/>
    <mergeCell ref="B176:T176"/>
    <mergeCell ref="U176:AJ176"/>
    <mergeCell ref="AK176:AZ176"/>
    <mergeCell ref="L153:O153"/>
    <mergeCell ref="P153:R153"/>
    <mergeCell ref="B178:T178"/>
    <mergeCell ref="BL57:BP57"/>
    <mergeCell ref="AH94:AL94"/>
    <mergeCell ref="AR88:AV88"/>
    <mergeCell ref="AM89:AQ89"/>
    <mergeCell ref="BQ165:BU165"/>
    <mergeCell ref="BQ167:BU167"/>
    <mergeCell ref="AR166:AV166"/>
    <mergeCell ref="S165:W165"/>
    <mergeCell ref="X165:AB165"/>
    <mergeCell ref="AC165:AG165"/>
    <mergeCell ref="AH165:AL165"/>
    <mergeCell ref="BQ164:BU164"/>
    <mergeCell ref="F166:K166"/>
    <mergeCell ref="L166:O166"/>
    <mergeCell ref="AH166:AL166"/>
    <mergeCell ref="AM166:AQ166"/>
    <mergeCell ref="BQ161:BU161"/>
    <mergeCell ref="X163:AB163"/>
    <mergeCell ref="BQ166:BU166"/>
    <mergeCell ref="AH161:AL161"/>
    <mergeCell ref="L61:O61"/>
    <mergeCell ref="L62:O62"/>
    <mergeCell ref="P62:R62"/>
    <mergeCell ref="S62:W62"/>
    <mergeCell ref="X150:AB150"/>
    <mergeCell ref="AC150:AG150"/>
    <mergeCell ref="AH150:AL150"/>
    <mergeCell ref="BG152:BK152"/>
    <mergeCell ref="AC152:AG152"/>
    <mergeCell ref="AH152:AL152"/>
    <mergeCell ref="F89:K89"/>
    <mergeCell ref="BQ150:BU150"/>
    <mergeCell ref="BQ151:BU151"/>
    <mergeCell ref="AR133:AV133"/>
    <mergeCell ref="BG131:BK131"/>
    <mergeCell ref="BL131:BP131"/>
    <mergeCell ref="AM84:AQ84"/>
    <mergeCell ref="BG80:BK80"/>
    <mergeCell ref="BG77:BK78"/>
    <mergeCell ref="BG109:BK110"/>
    <mergeCell ref="AH83:AL83"/>
    <mergeCell ref="BG95:BK95"/>
    <mergeCell ref="BL141:BP142"/>
    <mergeCell ref="BQ124:BU124"/>
    <mergeCell ref="BL133:BP133"/>
    <mergeCell ref="BG92:BK93"/>
    <mergeCell ref="AC87:AG87"/>
    <mergeCell ref="AR77:AV78"/>
    <mergeCell ref="BQ103:BU104"/>
    <mergeCell ref="BG88:BK88"/>
    <mergeCell ref="BQ133:BU133"/>
    <mergeCell ref="BL95:BP95"/>
    <mergeCell ref="BQ95:BU95"/>
    <mergeCell ref="AM87:AQ87"/>
    <mergeCell ref="BG89:BK89"/>
    <mergeCell ref="BL89:BP89"/>
    <mergeCell ref="BG100:BK100"/>
    <mergeCell ref="BL100:BP100"/>
    <mergeCell ref="BQ85:BU85"/>
    <mergeCell ref="BL82:BP82"/>
    <mergeCell ref="BL87:BP87"/>
    <mergeCell ref="AM86:AQ86"/>
    <mergeCell ref="AR86:AV86"/>
    <mergeCell ref="BL58:BP58"/>
    <mergeCell ref="BQ58:BU58"/>
    <mergeCell ref="BG71:BK72"/>
    <mergeCell ref="BL71:BP72"/>
    <mergeCell ref="BQ148:BU148"/>
    <mergeCell ref="BL146:BP147"/>
    <mergeCell ref="BQ146:BU147"/>
    <mergeCell ref="AM141:AQ142"/>
    <mergeCell ref="AM131:AQ131"/>
    <mergeCell ref="F100:K100"/>
    <mergeCell ref="P100:R100"/>
    <mergeCell ref="L133:O133"/>
    <mergeCell ref="P148:R148"/>
    <mergeCell ref="F149:K149"/>
    <mergeCell ref="F95:K95"/>
    <mergeCell ref="L95:O95"/>
    <mergeCell ref="P95:R95"/>
    <mergeCell ref="S95:W95"/>
    <mergeCell ref="F98:K99"/>
    <mergeCell ref="F141:K142"/>
    <mergeCell ref="F92:K93"/>
    <mergeCell ref="L92:R93"/>
    <mergeCell ref="F128:K128"/>
    <mergeCell ref="F129:K129"/>
    <mergeCell ref="AR149:AV149"/>
    <mergeCell ref="F84:K86"/>
    <mergeCell ref="X148:AB148"/>
    <mergeCell ref="BG103:BK104"/>
    <mergeCell ref="BL103:BP104"/>
    <mergeCell ref="AM98:AQ99"/>
    <mergeCell ref="AR98:AV99"/>
    <mergeCell ref="AM116:AQ116"/>
    <mergeCell ref="CS141:CS142"/>
    <mergeCell ref="AR53:AV53"/>
    <mergeCell ref="CJ136:CJ137"/>
    <mergeCell ref="BQ157:BU158"/>
    <mergeCell ref="BQ60:BU60"/>
    <mergeCell ref="CA146:CA147"/>
    <mergeCell ref="BL51:BP52"/>
    <mergeCell ref="AR59:AV59"/>
    <mergeCell ref="CB77:CB78"/>
    <mergeCell ref="AR71:AV72"/>
    <mergeCell ref="BG79:BK79"/>
    <mergeCell ref="BL73:BP73"/>
    <mergeCell ref="BL83:BP83"/>
    <mergeCell ref="AR127:AV127"/>
    <mergeCell ref="BG127:BK127"/>
    <mergeCell ref="BG94:BK94"/>
    <mergeCell ref="BL94:BP94"/>
    <mergeCell ref="AR129:AV129"/>
    <mergeCell ref="BL98:BP99"/>
    <mergeCell ref="BG111:BK111"/>
    <mergeCell ref="BL111:BP111"/>
    <mergeCell ref="BG62:BK62"/>
    <mergeCell ref="CB51:CB52"/>
    <mergeCell ref="BG51:BK52"/>
    <mergeCell ref="BL128:BP128"/>
    <mergeCell ref="BG150:BK150"/>
    <mergeCell ref="AR141:AV142"/>
    <mergeCell ref="AR131:AV131"/>
    <mergeCell ref="CA136:CA137"/>
    <mergeCell ref="AR143:AV143"/>
    <mergeCell ref="BQ129:BU129"/>
    <mergeCell ref="BB143:BF143"/>
    <mergeCell ref="BX91:CB91"/>
    <mergeCell ref="BX51:BX52"/>
    <mergeCell ref="CH114:CH115"/>
    <mergeCell ref="BX64:CB64"/>
    <mergeCell ref="CA65:CA66"/>
    <mergeCell ref="CB65:CB66"/>
    <mergeCell ref="CB146:CB147"/>
    <mergeCell ref="CD120:CH120"/>
    <mergeCell ref="CD121:CD122"/>
    <mergeCell ref="AR153:AV153"/>
    <mergeCell ref="BG153:BK153"/>
    <mergeCell ref="AR82:AV82"/>
    <mergeCell ref="AR60:AV60"/>
    <mergeCell ref="AR57:AV57"/>
    <mergeCell ref="BG59:BK59"/>
    <mergeCell ref="BQ59:BU59"/>
    <mergeCell ref="BQ62:BU62"/>
    <mergeCell ref="BL67:BP67"/>
    <mergeCell ref="BQ67:BU67"/>
    <mergeCell ref="BX65:BX66"/>
    <mergeCell ref="AR51:AV52"/>
    <mergeCell ref="BG98:BK99"/>
    <mergeCell ref="BQ127:BU127"/>
    <mergeCell ref="BQ128:BU128"/>
    <mergeCell ref="BB51:BF52"/>
    <mergeCell ref="BB53:BF53"/>
    <mergeCell ref="BB54:BF54"/>
    <mergeCell ref="BB55:BF55"/>
    <mergeCell ref="BB56:BF56"/>
    <mergeCell ref="BB57:BF57"/>
    <mergeCell ref="BB58:BF58"/>
    <mergeCell ref="BL56:BP56"/>
    <mergeCell ref="BQ138:BU138"/>
    <mergeCell ref="CJ92:CJ93"/>
    <mergeCell ref="BQ89:BU89"/>
    <mergeCell ref="AL11:AZ12"/>
    <mergeCell ref="AC59:AG59"/>
    <mergeCell ref="AC80:AG80"/>
    <mergeCell ref="AH80:AL80"/>
    <mergeCell ref="AM125:AQ125"/>
    <mergeCell ref="AH126:AL126"/>
    <mergeCell ref="AM124:AQ124"/>
    <mergeCell ref="AR105:AV105"/>
    <mergeCell ref="BG117:BK117"/>
    <mergeCell ref="AR106:AV106"/>
    <mergeCell ref="BG118:BK118"/>
    <mergeCell ref="AR74:AV74"/>
    <mergeCell ref="AR83:AV83"/>
    <mergeCell ref="X89:AB89"/>
    <mergeCell ref="BQ71:BU72"/>
    <mergeCell ref="BX71:BX72"/>
    <mergeCell ref="CJ50:CN50"/>
    <mergeCell ref="CK51:CL52"/>
    <mergeCell ref="X92:AL92"/>
    <mergeCell ref="X127:AB127"/>
    <mergeCell ref="AM67:AQ67"/>
    <mergeCell ref="BB107:BF107"/>
    <mergeCell ref="X124:AB124"/>
    <mergeCell ref="AC124:AG124"/>
    <mergeCell ref="X121:AL121"/>
    <mergeCell ref="X122:AB122"/>
    <mergeCell ref="AC122:AG122"/>
    <mergeCell ref="AH122:AL122"/>
    <mergeCell ref="CN51:CN52"/>
    <mergeCell ref="F77:K78"/>
    <mergeCell ref="X60:AB60"/>
    <mergeCell ref="F61:K61"/>
    <mergeCell ref="L51:R52"/>
    <mergeCell ref="F74:K74"/>
    <mergeCell ref="L74:O74"/>
    <mergeCell ref="P74:R74"/>
    <mergeCell ref="AM82:AQ82"/>
    <mergeCell ref="AM77:AQ78"/>
    <mergeCell ref="S55:W55"/>
    <mergeCell ref="X52:AB52"/>
    <mergeCell ref="AC57:AG57"/>
    <mergeCell ref="AH57:AL57"/>
    <mergeCell ref="S59:W59"/>
    <mergeCell ref="P60:R60"/>
    <mergeCell ref="AK13:AK14"/>
    <mergeCell ref="AK15:AK16"/>
    <mergeCell ref="X67:AB67"/>
    <mergeCell ref="P81:R81"/>
    <mergeCell ref="AM74:AQ74"/>
    <mergeCell ref="AH62:AL62"/>
    <mergeCell ref="X56:AB56"/>
    <mergeCell ref="AC56:AG56"/>
    <mergeCell ref="AC60:AG60"/>
    <mergeCell ref="X62:AB62"/>
    <mergeCell ref="AC67:AG67"/>
    <mergeCell ref="AM60:AQ60"/>
    <mergeCell ref="AB13:AJ14"/>
    <mergeCell ref="AL13:AZ14"/>
    <mergeCell ref="S51:W52"/>
    <mergeCell ref="AM51:AQ52"/>
    <mergeCell ref="F51:K52"/>
    <mergeCell ref="B11:I12"/>
    <mergeCell ref="K11:AA12"/>
    <mergeCell ref="AB11:AJ12"/>
    <mergeCell ref="I39:J39"/>
    <mergeCell ref="R39:S39"/>
    <mergeCell ref="AB38:AZ41"/>
    <mergeCell ref="I40:J40"/>
    <mergeCell ref="J17:J18"/>
    <mergeCell ref="AL19:AZ20"/>
    <mergeCell ref="B19:I20"/>
    <mergeCell ref="L59:O59"/>
    <mergeCell ref="AH67:AL67"/>
    <mergeCell ref="L65:R66"/>
    <mergeCell ref="AC110:AG110"/>
    <mergeCell ref="AH110:AL110"/>
    <mergeCell ref="S73:W73"/>
    <mergeCell ref="X73:AB73"/>
    <mergeCell ref="AC73:AG73"/>
    <mergeCell ref="AH73:AL73"/>
    <mergeCell ref="L82:O82"/>
    <mergeCell ref="P82:R82"/>
    <mergeCell ref="X87:AB87"/>
    <mergeCell ref="S103:W104"/>
    <mergeCell ref="S98:W99"/>
    <mergeCell ref="X98:AL98"/>
    <mergeCell ref="X99:AB99"/>
    <mergeCell ref="AC99:AG99"/>
    <mergeCell ref="AH99:AL99"/>
    <mergeCell ref="S100:W100"/>
    <mergeCell ref="X74:AB74"/>
    <mergeCell ref="AC74:AG74"/>
    <mergeCell ref="AH74:AL74"/>
    <mergeCell ref="X81:AB81"/>
    <mergeCell ref="AM167:AQ167"/>
    <mergeCell ref="AH159:AL159"/>
    <mergeCell ref="AM159:AQ159"/>
    <mergeCell ref="L116:O116"/>
    <mergeCell ref="P116:R116"/>
    <mergeCell ref="AC72:AG72"/>
    <mergeCell ref="X141:AL141"/>
    <mergeCell ref="S141:W142"/>
    <mergeCell ref="X154:AB154"/>
    <mergeCell ref="L81:O81"/>
    <mergeCell ref="L164:O164"/>
    <mergeCell ref="P164:R164"/>
    <mergeCell ref="S164:W164"/>
    <mergeCell ref="AM164:AQ164"/>
    <mergeCell ref="AH79:AL79"/>
    <mergeCell ref="S81:W81"/>
    <mergeCell ref="AC79:AG79"/>
    <mergeCell ref="L161:O161"/>
    <mergeCell ref="P161:R161"/>
    <mergeCell ref="S161:W161"/>
    <mergeCell ref="X161:AB161"/>
    <mergeCell ref="X160:AB160"/>
    <mergeCell ref="AH149:AL149"/>
    <mergeCell ref="X153:AB153"/>
    <mergeCell ref="S153:W153"/>
    <mergeCell ref="AH89:AL89"/>
    <mergeCell ref="L89:O89"/>
    <mergeCell ref="AM88:AQ88"/>
    <mergeCell ref="S83:W83"/>
    <mergeCell ref="S117:W117"/>
    <mergeCell ref="AM92:AQ93"/>
    <mergeCell ref="L100:O100"/>
    <mergeCell ref="F118:K118"/>
    <mergeCell ref="L79:O79"/>
    <mergeCell ref="P79:R79"/>
    <mergeCell ref="X72:AB72"/>
    <mergeCell ref="S86:W86"/>
    <mergeCell ref="X116:AB116"/>
    <mergeCell ref="AC116:AG116"/>
    <mergeCell ref="AH116:AL116"/>
    <mergeCell ref="X115:AB115"/>
    <mergeCell ref="AC115:AG115"/>
    <mergeCell ref="AH115:AL115"/>
    <mergeCell ref="S114:W115"/>
    <mergeCell ref="X93:AB93"/>
    <mergeCell ref="X85:AB85"/>
    <mergeCell ref="P67:R67"/>
    <mergeCell ref="S67:W67"/>
    <mergeCell ref="L105:O105"/>
    <mergeCell ref="L106:O106"/>
    <mergeCell ref="P106:R106"/>
    <mergeCell ref="P105:R105"/>
    <mergeCell ref="S105:W105"/>
    <mergeCell ref="X105:AB105"/>
    <mergeCell ref="F109:K110"/>
    <mergeCell ref="F103:K104"/>
    <mergeCell ref="S88:W88"/>
    <mergeCell ref="AC83:AG83"/>
    <mergeCell ref="S79:W79"/>
    <mergeCell ref="AC85:AG85"/>
    <mergeCell ref="L71:R72"/>
    <mergeCell ref="S71:W72"/>
    <mergeCell ref="AC82:AG82"/>
    <mergeCell ref="P162:R162"/>
    <mergeCell ref="S151:W151"/>
    <mergeCell ref="X151:AB151"/>
    <mergeCell ref="X157:AL157"/>
    <mergeCell ref="L159:O159"/>
    <mergeCell ref="P159:R159"/>
    <mergeCell ref="S159:W159"/>
    <mergeCell ref="X159:AB159"/>
    <mergeCell ref="F161:K161"/>
    <mergeCell ref="F150:K151"/>
    <mergeCell ref="F153:K153"/>
    <mergeCell ref="F154:K154"/>
    <mergeCell ref="AC127:AG127"/>
    <mergeCell ref="P131:R131"/>
    <mergeCell ref="S131:W131"/>
    <mergeCell ref="X131:AB131"/>
    <mergeCell ref="AC131:AG131"/>
    <mergeCell ref="AH131:AL131"/>
    <mergeCell ref="S154:W154"/>
    <mergeCell ref="P130:R130"/>
    <mergeCell ref="L128:O128"/>
    <mergeCell ref="P128:R128"/>
    <mergeCell ref="S128:W128"/>
    <mergeCell ref="S133:W133"/>
    <mergeCell ref="F143:K143"/>
    <mergeCell ref="L143:O143"/>
    <mergeCell ref="P143:R143"/>
    <mergeCell ref="S143:W143"/>
    <mergeCell ref="X143:AB143"/>
    <mergeCell ref="AC143:AG143"/>
    <mergeCell ref="AH143:AL143"/>
    <mergeCell ref="AC154:AG154"/>
    <mergeCell ref="AM162:AQ162"/>
    <mergeCell ref="AR162:AV162"/>
    <mergeCell ref="BL163:BP163"/>
    <mergeCell ref="S160:W160"/>
    <mergeCell ref="AM160:AQ160"/>
    <mergeCell ref="AR159:AV159"/>
    <mergeCell ref="AC159:AG159"/>
    <mergeCell ref="L165:O165"/>
    <mergeCell ref="P165:R165"/>
    <mergeCell ref="L151:O151"/>
    <mergeCell ref="B9:I10"/>
    <mergeCell ref="K9:AA10"/>
    <mergeCell ref="F157:K158"/>
    <mergeCell ref="L157:R158"/>
    <mergeCell ref="S157:W158"/>
    <mergeCell ref="AM157:AQ158"/>
    <mergeCell ref="AR157:AV158"/>
    <mergeCell ref="AH82:AL82"/>
    <mergeCell ref="AH133:AL133"/>
    <mergeCell ref="S61:W61"/>
    <mergeCell ref="X61:AB61"/>
    <mergeCell ref="F81:K83"/>
    <mergeCell ref="L154:O154"/>
    <mergeCell ref="P154:R154"/>
    <mergeCell ref="F146:K147"/>
    <mergeCell ref="L146:R147"/>
    <mergeCell ref="P133:R133"/>
    <mergeCell ref="L136:R137"/>
    <mergeCell ref="S136:W137"/>
    <mergeCell ref="AC137:AG137"/>
    <mergeCell ref="AH124:AL124"/>
    <mergeCell ref="F106:K106"/>
    <mergeCell ref="F167:K167"/>
    <mergeCell ref="L172:O172"/>
    <mergeCell ref="P172:R172"/>
    <mergeCell ref="S172:W172"/>
    <mergeCell ref="X172:AB172"/>
    <mergeCell ref="AC172:AG172"/>
    <mergeCell ref="AH172:AL172"/>
    <mergeCell ref="AM172:AQ172"/>
    <mergeCell ref="AR172:AV172"/>
    <mergeCell ref="BG172:BK172"/>
    <mergeCell ref="BL172:BP172"/>
    <mergeCell ref="L167:O167"/>
    <mergeCell ref="BB165:BF165"/>
    <mergeCell ref="BB166:BF166"/>
    <mergeCell ref="BB167:BF167"/>
    <mergeCell ref="BB170:BF171"/>
    <mergeCell ref="BB172:BF172"/>
    <mergeCell ref="AK181:AZ181"/>
    <mergeCell ref="BX113:CB113"/>
    <mergeCell ref="CD113:CH113"/>
    <mergeCell ref="CV113:CZ113"/>
    <mergeCell ref="L114:R115"/>
    <mergeCell ref="BG114:BK115"/>
    <mergeCell ref="BL114:BP115"/>
    <mergeCell ref="BQ114:BU115"/>
    <mergeCell ref="BX114:BX115"/>
    <mergeCell ref="CA114:CA115"/>
    <mergeCell ref="CB114:CB115"/>
    <mergeCell ref="CD114:CD115"/>
    <mergeCell ref="CG114:CG115"/>
    <mergeCell ref="BL132:BP132"/>
    <mergeCell ref="BQ132:BU132"/>
    <mergeCell ref="AK175:AZ175"/>
    <mergeCell ref="AC160:AG160"/>
    <mergeCell ref="AR160:AV160"/>
    <mergeCell ref="B175:T175"/>
    <mergeCell ref="U175:AJ175"/>
    <mergeCell ref="BL152:BP152"/>
    <mergeCell ref="BQ152:BU152"/>
    <mergeCell ref="F164:K165"/>
    <mergeCell ref="AC132:AG132"/>
    <mergeCell ref="AH132:AL132"/>
    <mergeCell ref="AC133:AG133"/>
    <mergeCell ref="L130:O130"/>
    <mergeCell ref="CV169:CZ169"/>
    <mergeCell ref="F170:K171"/>
    <mergeCell ref="L170:R171"/>
    <mergeCell ref="S170:W171"/>
    <mergeCell ref="X170:AL170"/>
    <mergeCell ref="DN112:DP112"/>
    <mergeCell ref="DB113:DC115"/>
    <mergeCell ref="DD113:DE115"/>
    <mergeCell ref="DB50:DC52"/>
    <mergeCell ref="DD50:DE52"/>
    <mergeCell ref="F68:K68"/>
    <mergeCell ref="L68:O68"/>
    <mergeCell ref="P68:R68"/>
    <mergeCell ref="S68:W68"/>
    <mergeCell ref="X68:AB68"/>
    <mergeCell ref="AC68:AG68"/>
    <mergeCell ref="AH68:AL68"/>
    <mergeCell ref="AM68:AQ68"/>
    <mergeCell ref="AR68:AV68"/>
    <mergeCell ref="BG68:BK68"/>
    <mergeCell ref="BL68:BP68"/>
    <mergeCell ref="BQ68:BU68"/>
    <mergeCell ref="X66:AB66"/>
    <mergeCell ref="AC66:AG66"/>
    <mergeCell ref="F67:K67"/>
    <mergeCell ref="L67:O67"/>
    <mergeCell ref="BQ51:BU52"/>
    <mergeCell ref="BQ61:BU61"/>
    <mergeCell ref="CY114:CZ114"/>
    <mergeCell ref="L87:O87"/>
    <mergeCell ref="P87:R87"/>
    <mergeCell ref="AH72:AL72"/>
    <mergeCell ref="X104:AB104"/>
    <mergeCell ref="AC104:AG104"/>
    <mergeCell ref="AH104:AL104"/>
    <mergeCell ref="L103:R104"/>
    <mergeCell ref="AC89:AG89"/>
    <mergeCell ref="C46:AS46"/>
    <mergeCell ref="BG116:BK116"/>
    <mergeCell ref="BL116:BP116"/>
    <mergeCell ref="BQ116:BU116"/>
    <mergeCell ref="BQ117:BU117"/>
    <mergeCell ref="BL88:BP88"/>
    <mergeCell ref="BL81:BP81"/>
    <mergeCell ref="BL80:BP80"/>
    <mergeCell ref="AR167:AV167"/>
    <mergeCell ref="CB141:CB142"/>
    <mergeCell ref="AR85:AV85"/>
    <mergeCell ref="BG85:BK85"/>
    <mergeCell ref="BG87:BK87"/>
    <mergeCell ref="F94:K94"/>
    <mergeCell ref="L94:O94"/>
    <mergeCell ref="P94:R94"/>
    <mergeCell ref="AC94:AG94"/>
    <mergeCell ref="BX103:BX104"/>
    <mergeCell ref="CA103:CA104"/>
    <mergeCell ref="BX102:CB102"/>
    <mergeCell ref="L98:R99"/>
    <mergeCell ref="L88:O88"/>
    <mergeCell ref="F123:K124"/>
    <mergeCell ref="AH125:AL125"/>
    <mergeCell ref="BG159:BK159"/>
    <mergeCell ref="BL159:BP159"/>
    <mergeCell ref="AM165:AQ165"/>
    <mergeCell ref="AR165:AV165"/>
    <mergeCell ref="BG165:BK165"/>
    <mergeCell ref="BL165:BP165"/>
    <mergeCell ref="AR151:AV151"/>
    <mergeCell ref="BG151:BK151"/>
    <mergeCell ref="CM170:CM171"/>
    <mergeCell ref="X147:AB147"/>
    <mergeCell ref="AC147:AG147"/>
    <mergeCell ref="AH147:AL147"/>
    <mergeCell ref="AM148:AQ148"/>
    <mergeCell ref="AR148:AV148"/>
    <mergeCell ref="AM128:AQ128"/>
    <mergeCell ref="AR128:AV128"/>
    <mergeCell ref="AH130:AL130"/>
    <mergeCell ref="AM130:AQ130"/>
    <mergeCell ref="AR130:AV130"/>
    <mergeCell ref="X103:AL103"/>
    <mergeCell ref="X133:AB133"/>
    <mergeCell ref="BQ123:BU123"/>
    <mergeCell ref="AM100:AQ100"/>
    <mergeCell ref="AR100:AV100"/>
    <mergeCell ref="AH100:AL100"/>
    <mergeCell ref="AC100:AG100"/>
    <mergeCell ref="X100:AB100"/>
    <mergeCell ref="AR118:AV118"/>
    <mergeCell ref="BX141:BX142"/>
    <mergeCell ref="AH162:AL162"/>
    <mergeCell ref="X126:AB126"/>
    <mergeCell ref="AC126:AG126"/>
    <mergeCell ref="CD145:CH145"/>
    <mergeCell ref="CJ108:CN108"/>
    <mergeCell ref="CJ120:CN120"/>
    <mergeCell ref="BB117:BF117"/>
    <mergeCell ref="BB118:BF118"/>
    <mergeCell ref="BB121:BF122"/>
    <mergeCell ref="BB123:BF123"/>
    <mergeCell ref="BB124:BF124"/>
    <mergeCell ref="BQ172:BU172"/>
    <mergeCell ref="F138:H138"/>
    <mergeCell ref="I138:K138"/>
    <mergeCell ref="F131:K131"/>
    <mergeCell ref="BB138:BF138"/>
    <mergeCell ref="BB141:BF142"/>
    <mergeCell ref="AR136:AV137"/>
    <mergeCell ref="X137:AB137"/>
    <mergeCell ref="F136:K137"/>
    <mergeCell ref="AH127:AL127"/>
    <mergeCell ref="L127:O127"/>
    <mergeCell ref="S126:W126"/>
    <mergeCell ref="P127:R127"/>
    <mergeCell ref="S127:W127"/>
    <mergeCell ref="AM132:AQ132"/>
    <mergeCell ref="AR132:AV132"/>
    <mergeCell ref="CG170:CG171"/>
    <mergeCell ref="AM170:AQ171"/>
    <mergeCell ref="AR170:AV171"/>
    <mergeCell ref="BG170:BK171"/>
    <mergeCell ref="BL170:BP171"/>
    <mergeCell ref="BQ170:BU171"/>
    <mergeCell ref="BX170:BX171"/>
    <mergeCell ref="CA170:CA171"/>
    <mergeCell ref="CB170:CB171"/>
    <mergeCell ref="F172:K172"/>
    <mergeCell ref="S162:W162"/>
    <mergeCell ref="AR161:AV161"/>
    <mergeCell ref="BG154:BK154"/>
    <mergeCell ref="BL154:BP154"/>
    <mergeCell ref="AC164:AG164"/>
    <mergeCell ref="F152:K152"/>
    <mergeCell ref="CJ170:CJ171"/>
    <mergeCell ref="CD170:CD171"/>
    <mergeCell ref="CS170:CS171"/>
    <mergeCell ref="CP170:CP171"/>
    <mergeCell ref="CT170:CT171"/>
    <mergeCell ref="BX169:CB169"/>
    <mergeCell ref="CD169:CH169"/>
    <mergeCell ref="CH170:CH171"/>
    <mergeCell ref="BG126:BK126"/>
    <mergeCell ref="BL126:BP126"/>
    <mergeCell ref="BQ126:BU126"/>
    <mergeCell ref="X171:AB171"/>
    <mergeCell ref="AC171:AG171"/>
    <mergeCell ref="AH171:AL171"/>
    <mergeCell ref="F117:K117"/>
    <mergeCell ref="AR126:AV126"/>
    <mergeCell ref="BG125:BK125"/>
    <mergeCell ref="S132:W132"/>
    <mergeCell ref="X132:AB132"/>
    <mergeCell ref="BG132:BK132"/>
    <mergeCell ref="L125:O125"/>
    <mergeCell ref="P125:R125"/>
    <mergeCell ref="S125:W125"/>
    <mergeCell ref="X125:AB125"/>
    <mergeCell ref="AC125:AG125"/>
    <mergeCell ref="L126:O126"/>
    <mergeCell ref="P126:R126"/>
    <mergeCell ref="X142:AB142"/>
    <mergeCell ref="L141:R142"/>
    <mergeCell ref="CS146:CS147"/>
    <mergeCell ref="CT146:CT147"/>
    <mergeCell ref="CS157:CS158"/>
    <mergeCell ref="CP157:CP158"/>
    <mergeCell ref="X117:AB117"/>
    <mergeCell ref="AC54:AG54"/>
    <mergeCell ref="AH54:AL54"/>
    <mergeCell ref="L55:O55"/>
    <mergeCell ref="P55:R55"/>
    <mergeCell ref="L56:O56"/>
    <mergeCell ref="P56:R56"/>
    <mergeCell ref="AH56:AL56"/>
    <mergeCell ref="CS92:CS93"/>
    <mergeCell ref="CT92:CT93"/>
    <mergeCell ref="CQ114:CR115"/>
    <mergeCell ref="S118:W118"/>
    <mergeCell ref="AM117:AQ117"/>
    <mergeCell ref="L138:O138"/>
    <mergeCell ref="P138:R138"/>
    <mergeCell ref="S138:W138"/>
    <mergeCell ref="X138:AB138"/>
    <mergeCell ref="AR138:AV138"/>
    <mergeCell ref="AM138:AQ138"/>
    <mergeCell ref="AC138:AG138"/>
    <mergeCell ref="AH138:AL138"/>
    <mergeCell ref="AM126:AQ126"/>
    <mergeCell ref="AR123:AV123"/>
    <mergeCell ref="L131:O131"/>
    <mergeCell ref="BB129:BF129"/>
    <mergeCell ref="BB130:BF130"/>
    <mergeCell ref="BB131:BF131"/>
    <mergeCell ref="BB132:BF132"/>
    <mergeCell ref="BB133:BF133"/>
    <mergeCell ref="BB136:BF137"/>
    <mergeCell ref="BG57:BK57"/>
    <mergeCell ref="CJ169:CN169"/>
    <mergeCell ref="CP169:CT169"/>
    <mergeCell ref="BQ94:BU94"/>
    <mergeCell ref="X95:AB95"/>
    <mergeCell ref="AC95:AG95"/>
    <mergeCell ref="AH95:AL95"/>
    <mergeCell ref="AM95:AQ95"/>
    <mergeCell ref="AR95:AV95"/>
    <mergeCell ref="AM94:AQ94"/>
    <mergeCell ref="AR94:AV94"/>
    <mergeCell ref="S111:W111"/>
    <mergeCell ref="X111:AB111"/>
    <mergeCell ref="AC111:AG111"/>
    <mergeCell ref="AR111:AV111"/>
    <mergeCell ref="AM111:AQ111"/>
    <mergeCell ref="AH111:AL111"/>
    <mergeCell ref="S106:W106"/>
    <mergeCell ref="X106:AB106"/>
    <mergeCell ref="AC106:AG106"/>
    <mergeCell ref="AH106:AL106"/>
    <mergeCell ref="AM106:AQ106"/>
    <mergeCell ref="AR114:AV115"/>
    <mergeCell ref="AM114:AQ115"/>
    <mergeCell ref="CG157:CG158"/>
    <mergeCell ref="CD102:CH102"/>
    <mergeCell ref="CD103:CD104"/>
    <mergeCell ref="CG103:CG104"/>
    <mergeCell ref="CH103:CH104"/>
    <mergeCell ref="BB125:BF125"/>
    <mergeCell ref="BB126:BF126"/>
    <mergeCell ref="BB127:BF127"/>
    <mergeCell ref="BB128:BF128"/>
    <mergeCell ref="DB108:DC110"/>
    <mergeCell ref="CM109:CM110"/>
    <mergeCell ref="CP109:CP110"/>
    <mergeCell ref="P123:R123"/>
    <mergeCell ref="S123:W123"/>
    <mergeCell ref="X123:AB123"/>
    <mergeCell ref="AC123:AG123"/>
    <mergeCell ref="AH123:AL123"/>
    <mergeCell ref="AM123:AQ123"/>
    <mergeCell ref="BG81:BK81"/>
    <mergeCell ref="S94:W94"/>
    <mergeCell ref="BG106:BK106"/>
    <mergeCell ref="BL106:BP106"/>
    <mergeCell ref="BQ106:BU106"/>
    <mergeCell ref="BG105:BK105"/>
    <mergeCell ref="BL105:BP105"/>
    <mergeCell ref="BQ105:BU105"/>
    <mergeCell ref="BQ87:BU87"/>
    <mergeCell ref="BG86:BK86"/>
    <mergeCell ref="AM121:AQ122"/>
    <mergeCell ref="AR121:AV122"/>
    <mergeCell ref="AR84:AV84"/>
    <mergeCell ref="BG84:BK84"/>
    <mergeCell ref="BL84:BP84"/>
    <mergeCell ref="BG83:BK83"/>
    <mergeCell ref="BG123:BK123"/>
    <mergeCell ref="BL123:BP123"/>
    <mergeCell ref="AM118:AQ118"/>
    <mergeCell ref="AR117:AV117"/>
    <mergeCell ref="AH117:AL117"/>
    <mergeCell ref="X118:AB118"/>
    <mergeCell ref="AC118:AG118"/>
    <mergeCell ref="CV135:CZ135"/>
    <mergeCell ref="CY136:CZ136"/>
    <mergeCell ref="CD108:CH108"/>
    <mergeCell ref="CV108:CZ108"/>
    <mergeCell ref="CY109:CZ109"/>
    <mergeCell ref="CY110:CZ110"/>
    <mergeCell ref="CK121:CL122"/>
    <mergeCell ref="CM141:CM142"/>
    <mergeCell ref="CG146:CG147"/>
    <mergeCell ref="CH146:CH147"/>
    <mergeCell ref="CJ146:CJ147"/>
    <mergeCell ref="CM146:CM147"/>
    <mergeCell ref="CY115:CZ115"/>
    <mergeCell ref="BY51:BZ52"/>
    <mergeCell ref="CE51:CF52"/>
    <mergeCell ref="CV91:CZ91"/>
    <mergeCell ref="CY92:CZ92"/>
    <mergeCell ref="CS65:CS66"/>
    <mergeCell ref="CJ121:CJ122"/>
    <mergeCell ref="BX140:CB140"/>
    <mergeCell ref="BY121:BZ122"/>
    <mergeCell ref="CE121:CF122"/>
    <mergeCell ref="CB136:CB137"/>
    <mergeCell ref="CY93:CZ93"/>
    <mergeCell ref="BX92:BX93"/>
    <mergeCell ref="CA92:CA93"/>
    <mergeCell ref="BX98:BX99"/>
    <mergeCell ref="CT109:CT110"/>
    <mergeCell ref="CP91:CT91"/>
    <mergeCell ref="CQ121:CR122"/>
    <mergeCell ref="CP120:CT120"/>
    <mergeCell ref="CB92:CB93"/>
    <mergeCell ref="CP50:CT50"/>
    <mergeCell ref="CQ51:CR52"/>
    <mergeCell ref="CJ64:CN64"/>
    <mergeCell ref="CP64:CT64"/>
    <mergeCell ref="BQ81:BU81"/>
    <mergeCell ref="BL86:BP86"/>
    <mergeCell ref="S87:W87"/>
    <mergeCell ref="BQ84:BU84"/>
    <mergeCell ref="BL85:BP85"/>
    <mergeCell ref="BQ73:BU73"/>
    <mergeCell ref="BQ86:BU86"/>
    <mergeCell ref="BG61:BK61"/>
    <mergeCell ref="BG82:BK82"/>
    <mergeCell ref="AM81:AQ81"/>
    <mergeCell ref="BQ80:BU80"/>
    <mergeCell ref="BQ82:BU82"/>
    <mergeCell ref="BG73:BK73"/>
    <mergeCell ref="AR61:AV61"/>
    <mergeCell ref="BQ74:BU74"/>
    <mergeCell ref="AM61:AQ61"/>
    <mergeCell ref="S58:W58"/>
    <mergeCell ref="X58:AB58"/>
    <mergeCell ref="AM58:AQ58"/>
    <mergeCell ref="CT65:CT66"/>
    <mergeCell ref="BG65:BK66"/>
    <mergeCell ref="BL65:BP66"/>
    <mergeCell ref="AC62:AG62"/>
    <mergeCell ref="BL62:BP62"/>
    <mergeCell ref="BG55:BK55"/>
    <mergeCell ref="AM54:AQ54"/>
    <mergeCell ref="AR54:AV54"/>
    <mergeCell ref="BL60:BP60"/>
    <mergeCell ref="DB64:DC66"/>
    <mergeCell ref="CD50:CH50"/>
    <mergeCell ref="CD51:CD52"/>
    <mergeCell ref="CG51:CG52"/>
    <mergeCell ref="CH51:CH52"/>
    <mergeCell ref="CJ51:CJ52"/>
    <mergeCell ref="CD64:CH64"/>
    <mergeCell ref="CD65:CD66"/>
    <mergeCell ref="CG65:CG66"/>
    <mergeCell ref="CH65:CH66"/>
    <mergeCell ref="CJ65:CJ66"/>
    <mergeCell ref="CM65:CM66"/>
    <mergeCell ref="CT77:CT78"/>
    <mergeCell ref="CM77:CM78"/>
    <mergeCell ref="CS77:CS78"/>
    <mergeCell ref="CY77:CZ77"/>
    <mergeCell ref="CV50:CZ50"/>
    <mergeCell ref="CV70:CZ70"/>
    <mergeCell ref="CJ76:CN76"/>
    <mergeCell ref="CP51:CP52"/>
    <mergeCell ref="CS51:CS52"/>
    <mergeCell ref="CY52:CZ52"/>
    <mergeCell ref="CM51:CM52"/>
    <mergeCell ref="CY65:CZ65"/>
    <mergeCell ref="CY66:CZ66"/>
    <mergeCell ref="CY71:CZ71"/>
    <mergeCell ref="CP76:CT76"/>
    <mergeCell ref="CT51:CT52"/>
    <mergeCell ref="CY51:CZ51"/>
    <mergeCell ref="CP65:CP66"/>
    <mergeCell ref="CP77:CP78"/>
    <mergeCell ref="CV64:CZ64"/>
    <mergeCell ref="BL59:BP59"/>
    <mergeCell ref="AR65:AV66"/>
    <mergeCell ref="AR58:AV58"/>
    <mergeCell ref="BG58:BK58"/>
    <mergeCell ref="AH58:AL58"/>
    <mergeCell ref="AH59:AL59"/>
    <mergeCell ref="AH61:AL61"/>
    <mergeCell ref="BQ56:BU56"/>
    <mergeCell ref="BG60:BK60"/>
    <mergeCell ref="BQ57:BU57"/>
    <mergeCell ref="AM57:AQ57"/>
    <mergeCell ref="AH55:AL55"/>
    <mergeCell ref="AM55:AQ55"/>
    <mergeCell ref="AR55:AV55"/>
    <mergeCell ref="BG54:BK54"/>
    <mergeCell ref="BL54:BP54"/>
    <mergeCell ref="BQ54:BU54"/>
    <mergeCell ref="BL61:BP61"/>
    <mergeCell ref="BQ65:BU66"/>
    <mergeCell ref="AM56:AQ56"/>
    <mergeCell ref="AR56:AV56"/>
    <mergeCell ref="AM65:AQ66"/>
    <mergeCell ref="X65:AL65"/>
    <mergeCell ref="AC58:AG58"/>
    <mergeCell ref="BL55:BP55"/>
    <mergeCell ref="BQ55:BU55"/>
    <mergeCell ref="BG56:BK56"/>
    <mergeCell ref="BB59:BF59"/>
    <mergeCell ref="BB60:BF60"/>
    <mergeCell ref="BB61:BF61"/>
    <mergeCell ref="BB62:BF62"/>
    <mergeCell ref="BB64:BF64"/>
    <mergeCell ref="DD76:DE78"/>
    <mergeCell ref="BY77:BZ78"/>
    <mergeCell ref="CE77:CF78"/>
    <mergeCell ref="CJ77:CJ78"/>
    <mergeCell ref="CK77:CL78"/>
    <mergeCell ref="CN77:CN78"/>
    <mergeCell ref="CQ77:CR78"/>
    <mergeCell ref="CD76:CH76"/>
    <mergeCell ref="CD77:CD78"/>
    <mergeCell ref="CG77:CG78"/>
    <mergeCell ref="CH77:CH78"/>
    <mergeCell ref="CD70:CH70"/>
    <mergeCell ref="CD71:CD72"/>
    <mergeCell ref="CG71:CG72"/>
    <mergeCell ref="CH71:CH72"/>
    <mergeCell ref="DB76:DC78"/>
    <mergeCell ref="DB70:DC72"/>
    <mergeCell ref="CP71:CP72"/>
    <mergeCell ref="CS71:CS72"/>
    <mergeCell ref="CT71:CT72"/>
    <mergeCell ref="BX70:CB70"/>
    <mergeCell ref="CJ71:CJ72"/>
    <mergeCell ref="CM71:CM72"/>
    <mergeCell ref="CV76:CZ76"/>
    <mergeCell ref="CY78:CZ78"/>
    <mergeCell ref="DD64:DE66"/>
    <mergeCell ref="BY65:BZ66"/>
    <mergeCell ref="CE65:CF66"/>
    <mergeCell ref="CK65:CL66"/>
    <mergeCell ref="CN65:CN66"/>
    <mergeCell ref="CQ65:CR66"/>
    <mergeCell ref="DD91:DE93"/>
    <mergeCell ref="BY92:BZ93"/>
    <mergeCell ref="CE92:CF93"/>
    <mergeCell ref="CK92:CL93"/>
    <mergeCell ref="CN92:CN93"/>
    <mergeCell ref="CQ92:CR93"/>
    <mergeCell ref="CJ102:CN102"/>
    <mergeCell ref="CP102:CT102"/>
    <mergeCell ref="DD102:DE104"/>
    <mergeCell ref="BY103:BZ104"/>
    <mergeCell ref="CE103:CF104"/>
    <mergeCell ref="CK103:CL104"/>
    <mergeCell ref="CN103:CN104"/>
    <mergeCell ref="CQ103:CR104"/>
    <mergeCell ref="DD70:DE72"/>
    <mergeCell ref="BY71:BZ72"/>
    <mergeCell ref="CE71:CF72"/>
    <mergeCell ref="CK71:CL72"/>
    <mergeCell ref="CN71:CN72"/>
    <mergeCell ref="CQ71:CR72"/>
    <mergeCell ref="CY72:CZ72"/>
    <mergeCell ref="CJ70:CN70"/>
    <mergeCell ref="CP70:CT70"/>
    <mergeCell ref="CA71:CA72"/>
    <mergeCell ref="CB71:CB72"/>
    <mergeCell ref="CM92:CM93"/>
    <mergeCell ref="DD108:DE110"/>
    <mergeCell ref="BY109:BZ110"/>
    <mergeCell ref="CE109:CF110"/>
    <mergeCell ref="CK109:CL110"/>
    <mergeCell ref="CN109:CN110"/>
    <mergeCell ref="CQ109:CR110"/>
    <mergeCell ref="DB91:DC93"/>
    <mergeCell ref="DB102:DC104"/>
    <mergeCell ref="CY103:CZ103"/>
    <mergeCell ref="CY104:CZ104"/>
    <mergeCell ref="CP103:CP104"/>
    <mergeCell ref="CS103:CS104"/>
    <mergeCell ref="CT103:CT104"/>
    <mergeCell ref="CV102:CZ102"/>
    <mergeCell ref="CJ91:CN91"/>
    <mergeCell ref="CP145:CT145"/>
    <mergeCell ref="DD145:DE147"/>
    <mergeCell ref="BY146:BZ147"/>
    <mergeCell ref="CE146:CF147"/>
    <mergeCell ref="CK146:CL147"/>
    <mergeCell ref="CN146:CN147"/>
    <mergeCell ref="CQ146:CR147"/>
    <mergeCell ref="CJ113:CN113"/>
    <mergeCell ref="CP113:CT113"/>
    <mergeCell ref="BY114:BZ115"/>
    <mergeCell ref="CE114:CF115"/>
    <mergeCell ref="CJ114:CJ115"/>
    <mergeCell ref="CK114:CL115"/>
    <mergeCell ref="CM114:CM115"/>
    <mergeCell ref="CN114:CN115"/>
    <mergeCell ref="CP114:CP115"/>
    <mergeCell ref="DD120:DE122"/>
    <mergeCell ref="DD156:DE158"/>
    <mergeCell ref="BY157:BZ158"/>
    <mergeCell ref="CE157:CF158"/>
    <mergeCell ref="CK157:CL158"/>
    <mergeCell ref="CN157:CN158"/>
    <mergeCell ref="CQ157:CR158"/>
    <mergeCell ref="CT157:CT158"/>
    <mergeCell ref="CD146:CD147"/>
    <mergeCell ref="CG121:CG122"/>
    <mergeCell ref="CH121:CH122"/>
    <mergeCell ref="CD135:CH135"/>
    <mergeCell ref="CD136:CD137"/>
    <mergeCell ref="CG136:CG137"/>
    <mergeCell ref="CH136:CH137"/>
    <mergeCell ref="CM121:CM122"/>
    <mergeCell ref="CJ145:CN145"/>
    <mergeCell ref="CD140:CH140"/>
    <mergeCell ref="CD141:CD142"/>
    <mergeCell ref="CG141:CG142"/>
    <mergeCell ref="CH141:CH142"/>
    <mergeCell ref="DB156:DC158"/>
    <mergeCell ref="DB140:DC142"/>
    <mergeCell ref="DB135:DC137"/>
    <mergeCell ref="DB120:DC122"/>
    <mergeCell ref="CD156:CH156"/>
    <mergeCell ref="CD157:CD158"/>
    <mergeCell ref="CH157:CH158"/>
    <mergeCell ref="CJ157:CJ158"/>
    <mergeCell ref="CM157:CM158"/>
    <mergeCell ref="CJ156:CN156"/>
    <mergeCell ref="CP156:CT156"/>
    <mergeCell ref="CB157:CB158"/>
    <mergeCell ref="DD169:DE171"/>
    <mergeCell ref="BY170:BZ171"/>
    <mergeCell ref="CE170:CF171"/>
    <mergeCell ref="CK170:CL171"/>
    <mergeCell ref="CN170:CN171"/>
    <mergeCell ref="CQ170:CR171"/>
    <mergeCell ref="CJ135:CN135"/>
    <mergeCell ref="CP135:CT135"/>
    <mergeCell ref="DD135:DE137"/>
    <mergeCell ref="BY136:BZ137"/>
    <mergeCell ref="CE136:CF137"/>
    <mergeCell ref="CK136:CL137"/>
    <mergeCell ref="CN136:CN137"/>
    <mergeCell ref="CQ136:CR137"/>
    <mergeCell ref="CJ140:CN140"/>
    <mergeCell ref="CP140:CT140"/>
    <mergeCell ref="DD140:DE142"/>
    <mergeCell ref="BY141:BZ142"/>
    <mergeCell ref="CE141:CF142"/>
    <mergeCell ref="CK141:CL142"/>
    <mergeCell ref="CN141:CN142"/>
    <mergeCell ref="CQ141:CR142"/>
    <mergeCell ref="CJ141:CJ142"/>
    <mergeCell ref="CP141:CP142"/>
    <mergeCell ref="CY170:CZ170"/>
    <mergeCell ref="CY158:CZ158"/>
    <mergeCell ref="CY157:CZ157"/>
    <mergeCell ref="CV145:CZ145"/>
    <mergeCell ref="CY146:CZ146"/>
    <mergeCell ref="CY171:CZ171"/>
    <mergeCell ref="DB145:DC147"/>
    <mergeCell ref="DB169:DC171"/>
    <mergeCell ref="BB154:BF154"/>
    <mergeCell ref="BB157:BF158"/>
    <mergeCell ref="BB159:BF159"/>
    <mergeCell ref="BB163:BF163"/>
    <mergeCell ref="BB164:BF164"/>
    <mergeCell ref="BB100:BF100"/>
    <mergeCell ref="BB103:BF104"/>
    <mergeCell ref="BB105:BF105"/>
    <mergeCell ref="BB106:BF106"/>
    <mergeCell ref="BB109:BF110"/>
    <mergeCell ref="BB111:BF111"/>
    <mergeCell ref="BB114:BF115"/>
    <mergeCell ref="BB116:BF116"/>
    <mergeCell ref="BB84:BF84"/>
    <mergeCell ref="BB85:BF85"/>
    <mergeCell ref="BB86:BF86"/>
    <mergeCell ref="BB87:BF87"/>
    <mergeCell ref="BB88:BF88"/>
    <mergeCell ref="BB89:BF89"/>
    <mergeCell ref="BB92:BF93"/>
    <mergeCell ref="BB94:BF94"/>
    <mergeCell ref="BB95:BF95"/>
    <mergeCell ref="BB98:BF99"/>
    <mergeCell ref="BB146:BF147"/>
    <mergeCell ref="BB148:BF148"/>
    <mergeCell ref="BB149:BF149"/>
    <mergeCell ref="BB150:BF150"/>
    <mergeCell ref="BB151:BF151"/>
    <mergeCell ref="BB152:BF152"/>
    <mergeCell ref="BB65:BF66"/>
    <mergeCell ref="BB67:BF67"/>
    <mergeCell ref="BB68:BF68"/>
    <mergeCell ref="BB71:BF72"/>
    <mergeCell ref="BB73:BF73"/>
    <mergeCell ref="BB74:BF74"/>
    <mergeCell ref="BB77:BF78"/>
    <mergeCell ref="BB79:BF79"/>
    <mergeCell ref="BB80:BF80"/>
    <mergeCell ref="BB81:BF81"/>
    <mergeCell ref="BB82:BF82"/>
    <mergeCell ref="BB83:BF83"/>
  </mergeCells>
  <conditionalFormatting sqref="B175:T175">
    <cfRule type="notContainsBlanks" dxfId="25" priority="2">
      <formula>LEN(TRIM(B175))&gt;0</formula>
    </cfRule>
  </conditionalFormatting>
  <conditionalFormatting sqref="B31:AZ32">
    <cfRule type="notContainsBlanks" dxfId="24" priority="6">
      <formula>LEN(TRIM(B31))&gt;0</formula>
    </cfRule>
  </conditionalFormatting>
  <conditionalFormatting sqref="H23:AC27">
    <cfRule type="notContainsBlanks" dxfId="23" priority="24">
      <formula>LEN(TRIM(H23))&gt;0</formula>
    </cfRule>
  </conditionalFormatting>
  <conditionalFormatting sqref="I39:J40 R39:S40">
    <cfRule type="notContainsBlanks" dxfId="22" priority="4">
      <formula>LEN(TRIM(I39))&gt;0</formula>
    </cfRule>
  </conditionalFormatting>
  <conditionalFormatting sqref="K7:AA20 AL7:AZ20">
    <cfRule type="notContainsBlanks" dxfId="21" priority="5">
      <formula>LEN(TRIM(K7))&gt;0</formula>
    </cfRule>
  </conditionalFormatting>
  <conditionalFormatting sqref="L5:N5">
    <cfRule type="notContainsBlanks" dxfId="20" priority="44">
      <formula>LEN(TRIM(L5))&gt;0</formula>
    </cfRule>
  </conditionalFormatting>
  <conditionalFormatting sqref="X53:AL62 X67:AL68 X73:AL74 X79:AL89 X94:AL95 X100:AL100 X105:AL106 X111:AL111 X116:AL118 X123:AL133 X138:AQ138 X143:AL143 X148:AL154 X159:AL167 X172:AL172">
    <cfRule type="notContainsBlanks" dxfId="19" priority="3">
      <formula>LEN(TRIM(X53))&gt;0</formula>
    </cfRule>
  </conditionalFormatting>
  <conditionalFormatting sqref="AE23:AE26 B35:AZ36 C43:AS46">
    <cfRule type="notContainsBlanks" dxfId="18" priority="51">
      <formula>LEN(TRIM(B23))&gt;0</formula>
    </cfRule>
  </conditionalFormatting>
  <conditionalFormatting sqref="AK175:AZ175 B178:T179 AK181:AZ181 B181:T182">
    <cfRule type="notContainsBlanks" dxfId="17" priority="49">
      <formula>LEN(TRIM(B175))&gt;0</formula>
    </cfRule>
  </conditionalFormatting>
  <conditionalFormatting sqref="AK178:AZ178">
    <cfRule type="notContainsBlanks" dxfId="16" priority="1">
      <formula>LEN(TRIM(AK178))&gt;0</formula>
    </cfRule>
  </conditionalFormatting>
  <conditionalFormatting sqref="AN5:AP5 AE27:AX27">
    <cfRule type="notContainsBlanks" dxfId="15" priority="52">
      <formula>LEN(TRIM(AE5))&gt;0</formula>
    </cfRule>
  </conditionalFormatting>
  <conditionalFormatting sqref="AV45:AV46">
    <cfRule type="notContainsBlanks" dxfId="14" priority="48">
      <formula>LEN(TRIM(AV45))&gt;0</formula>
    </cfRule>
  </conditionalFormatting>
  <conditionalFormatting sqref="BQ53:BU62">
    <cfRule type="containsText" dxfId="13" priority="54" operator="containsText" text="FAIL">
      <formula>NOT(ISERROR(SEARCH("FAIL",BQ53)))</formula>
    </cfRule>
    <cfRule type="containsText" dxfId="12" priority="55" operator="containsText" text="PASS">
      <formula>NOT(ISERROR(SEARCH("PASS",BQ53)))</formula>
    </cfRule>
  </conditionalFormatting>
  <conditionalFormatting sqref="BQ67:BU68 BQ79:BU89 BQ94:BU95 BQ100:BU100 BQ111:BU111 BQ116:BU118 BQ138:BU138 BQ148:BU154 BQ159:BU167">
    <cfRule type="containsText" dxfId="11" priority="151" operator="containsText" text="FAIL">
      <formula>NOT(ISERROR(SEARCH("FAIL",BQ67)))</formula>
    </cfRule>
    <cfRule type="containsText" dxfId="10" priority="152" operator="containsText" text="PASS">
      <formula>NOT(ISERROR(SEARCH("PASS",BQ67)))</formula>
    </cfRule>
  </conditionalFormatting>
  <conditionalFormatting sqref="BQ73:BU74">
    <cfRule type="containsText" dxfId="9" priority="111" operator="containsText" text="FAIL">
      <formula>NOT(ISERROR(SEARCH("FAIL",BQ73)))</formula>
    </cfRule>
    <cfRule type="containsText" dxfId="8" priority="112" operator="containsText" text="PASS">
      <formula>NOT(ISERROR(SEARCH("PASS",BQ73)))</formula>
    </cfRule>
  </conditionalFormatting>
  <conditionalFormatting sqref="BQ105:BU106">
    <cfRule type="containsText" dxfId="7" priority="76" operator="containsText" text="FAIL">
      <formula>NOT(ISERROR(SEARCH("FAIL",BQ105)))</formula>
    </cfRule>
    <cfRule type="containsText" dxfId="6" priority="77" operator="containsText" text="PASS">
      <formula>NOT(ISERROR(SEARCH("PASS",BQ105)))</formula>
    </cfRule>
  </conditionalFormatting>
  <conditionalFormatting sqref="BQ123:BU133">
    <cfRule type="containsText" dxfId="5" priority="68" operator="containsText" text="FAIL">
      <formula>NOT(ISERROR(SEARCH("FAIL",BQ123)))</formula>
    </cfRule>
    <cfRule type="containsText" dxfId="4" priority="69" operator="containsText" text="PASS">
      <formula>NOT(ISERROR(SEARCH("PASS",BQ123)))</formula>
    </cfRule>
  </conditionalFormatting>
  <conditionalFormatting sqref="BQ143:BU143">
    <cfRule type="containsText" dxfId="3" priority="61" operator="containsText" text="FAIL">
      <formula>NOT(ISERROR(SEARCH("FAIL",BQ143)))</formula>
    </cfRule>
    <cfRule type="containsText" dxfId="2" priority="62" operator="containsText" text="PASS">
      <formula>NOT(ISERROR(SEARCH("PASS",BQ143)))</formula>
    </cfRule>
  </conditionalFormatting>
  <conditionalFormatting sqref="BQ172:BU172">
    <cfRule type="containsText" dxfId="1" priority="118" operator="containsText" text="FAIL">
      <formula>NOT(ISERROR(SEARCH("FAIL",BQ172)))</formula>
    </cfRule>
    <cfRule type="containsText" dxfId="0" priority="119" operator="containsText" text="PASS">
      <formula>NOT(ISERROR(SEARCH("PASS",BQ172)))</formula>
    </cfRule>
  </conditionalFormatting>
  <printOptions horizontalCentered="1" verticalCentered="1"/>
  <pageMargins left="0" right="0" top="0" bottom="0.5" header="0" footer="0"/>
  <pageSetup scale="90" orientation="portrait" r:id="rId1"/>
  <headerFooter alignWithMargins="0">
    <oddFooter>&amp;L&amp;8Page &amp;P of &amp;N&amp;R&amp;8 7F-04-02 Rev. 02
Effectivity Date: August 01, 2019</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topLeftCell="A31" zoomScale="130" zoomScaleNormal="130" workbookViewId="0">
      <selection activeCell="B38" sqref="B38"/>
    </sheetView>
  </sheetViews>
  <sheetFormatPr defaultRowHeight="1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Worksheets</vt:lpstr>
      </vt:variant>
      <vt:variant>
        <vt:i4>3</vt:i4>
      </vt:variant>
      <vt:variant>
        <vt:lpstr>Charts</vt:lpstr>
      </vt:variant>
      <vt:variant>
        <vt:i4>1</vt:i4>
      </vt:variant>
      <vt:variant>
        <vt:lpstr>Named Ranges</vt:lpstr>
      </vt:variant>
      <vt:variant>
        <vt:i4>4</vt:i4>
      </vt:variant>
    </vt:vector>
  </HeadingPairs>
  <TitlesOfParts>
    <vt:vector size="8" baseType="lpstr">
      <vt:lpstr>Cal Certificate</vt:lpstr>
      <vt:lpstr>DataSheet</vt:lpstr>
      <vt:lpstr>Specification</vt:lpstr>
      <vt:lpstr>Chart1</vt:lpstr>
      <vt:lpstr>'Cal Certificate'!Print_Area</vt:lpstr>
      <vt:lpstr>DataSheet!Print_Area</vt:lpstr>
      <vt:lpstr>'Cal Certificate'!Print_Titles</vt:lpstr>
      <vt:lpstr>DataSheet!Print_Titles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Cal-E1</dc:creator>
  <cp:lastModifiedBy>Juni Ilas</cp:lastModifiedBy>
  <cp:lastPrinted>2025-06-26T09:01:12Z</cp:lastPrinted>
  <dcterms:created xsi:type="dcterms:W3CDTF">2014-11-03T09:03:00Z</dcterms:created>
  <dcterms:modified xsi:type="dcterms:W3CDTF">2025-10-01T06:57:31Z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1033-10.2.0.5996</vt:lpwstr>
  </property>
  <property fmtid="{D5CDD505-2E9C-101B-9397-08002B2CF9AE}" pid="3" name="MSIP_Label_defa4170-0d19-0005-0004-bc88714345d2_Enabled">
    <vt:lpwstr>true</vt:lpwstr>
  </property>
  <property fmtid="{D5CDD505-2E9C-101B-9397-08002B2CF9AE}" pid="4" name="MSIP_Label_defa4170-0d19-0005-0004-bc88714345d2_SetDate">
    <vt:lpwstr>2025-06-26T09:01:42Z</vt:lpwstr>
  </property>
  <property fmtid="{D5CDD505-2E9C-101B-9397-08002B2CF9AE}" pid="5" name="MSIP_Label_defa4170-0d19-0005-0004-bc88714345d2_Method">
    <vt:lpwstr>Standard</vt:lpwstr>
  </property>
  <property fmtid="{D5CDD505-2E9C-101B-9397-08002B2CF9AE}" pid="6" name="MSIP_Label_defa4170-0d19-0005-0004-bc88714345d2_Name">
    <vt:lpwstr>defa4170-0d19-0005-0004-bc88714345d2</vt:lpwstr>
  </property>
  <property fmtid="{D5CDD505-2E9C-101B-9397-08002B2CF9AE}" pid="7" name="MSIP_Label_defa4170-0d19-0005-0004-bc88714345d2_SiteId">
    <vt:lpwstr>141973ea-b550-435a-9b01-5f6f577f630d</vt:lpwstr>
  </property>
  <property fmtid="{D5CDD505-2E9C-101B-9397-08002B2CF9AE}" pid="8" name="MSIP_Label_defa4170-0d19-0005-0004-bc88714345d2_ActionId">
    <vt:lpwstr>ac01e3b3-a5db-429b-931a-2c528fd483af</vt:lpwstr>
  </property>
  <property fmtid="{D5CDD505-2E9C-101B-9397-08002B2CF9AE}" pid="9" name="MSIP_Label_defa4170-0d19-0005-0004-bc88714345d2_ContentBits">
    <vt:lpwstr>0</vt:lpwstr>
  </property>
  <property fmtid="{D5CDD505-2E9C-101B-9397-08002B2CF9AE}" pid="10" name="MSIP_Label_defa4170-0d19-0005-0004-bc88714345d2_Tag">
    <vt:lpwstr>10, 3, 0, 1</vt:lpwstr>
  </property>
</Properties>
</file>