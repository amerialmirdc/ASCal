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bneri\Documents\Visual Studio 2010\Projects\ASCal\ASCal\bin\Debug\Templates\"/>
    </mc:Choice>
  </mc:AlternateContent>
  <bookViews>
    <workbookView xWindow="0" yWindow="0" windowWidth="14205" windowHeight="9870" activeTab="5"/>
  </bookViews>
  <sheets>
    <sheet name="DCV" sheetId="1" r:id="rId1"/>
    <sheet name="Res" sheetId="3" r:id="rId2"/>
    <sheet name="ACV" sheetId="2" r:id="rId3"/>
    <sheet name="ACMilV" sheetId="5" r:id="rId4"/>
    <sheet name="DCMilV" sheetId="4" r:id="rId5"/>
    <sheet name="AutoV" sheetId="6" r:id="rId6"/>
  </sheets>
  <definedNames>
    <definedName name="ak">DCV!#REF!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7" i="3" l="1"/>
  <c r="N36" i="3"/>
  <c r="T36" i="3"/>
  <c r="V36" i="3"/>
  <c r="W36" i="3"/>
  <c r="T37" i="3"/>
  <c r="V37" i="3"/>
  <c r="W37" i="3" s="1"/>
  <c r="N37" i="6" l="1"/>
  <c r="N38" i="6"/>
  <c r="N37" i="4"/>
  <c r="N36" i="4"/>
  <c r="Y37" i="5"/>
  <c r="Y36" i="5"/>
  <c r="T36" i="5"/>
  <c r="T37" i="5"/>
  <c r="N37" i="5"/>
  <c r="N36" i="5"/>
  <c r="AB38" i="6"/>
  <c r="AA38" i="6"/>
  <c r="AC38" i="6" s="1"/>
  <c r="Z38" i="6"/>
  <c r="V38" i="6"/>
  <c r="W38" i="6" s="1"/>
  <c r="T38" i="6"/>
  <c r="Q38" i="6"/>
  <c r="J38" i="6"/>
  <c r="AB37" i="6"/>
  <c r="AA37" i="6"/>
  <c r="AC37" i="6" s="1"/>
  <c r="Z37" i="6"/>
  <c r="V37" i="6"/>
  <c r="W37" i="6" s="1"/>
  <c r="T37" i="6"/>
  <c r="J37" i="6"/>
  <c r="AB36" i="6"/>
  <c r="AA36" i="6"/>
  <c r="Z36" i="6"/>
  <c r="V36" i="6"/>
  <c r="W36" i="6" s="1"/>
  <c r="T36" i="6"/>
  <c r="N36" i="6"/>
  <c r="J36" i="6"/>
  <c r="K36" i="6" s="1"/>
  <c r="P36" i="1"/>
  <c r="Q37" i="1"/>
  <c r="AG37" i="2"/>
  <c r="AG36" i="2"/>
  <c r="N37" i="2"/>
  <c r="N36" i="2"/>
  <c r="Q36" i="6" l="1"/>
  <c r="Q37" i="6"/>
  <c r="AC36" i="6"/>
  <c r="AD37" i="6"/>
  <c r="AE37" i="6" s="1"/>
  <c r="AF37" i="6" s="1"/>
  <c r="AG37" i="6" s="1"/>
  <c r="AI37" i="6" s="1"/>
  <c r="AD36" i="6"/>
  <c r="AE36" i="6" s="1"/>
  <c r="AF36" i="6" s="1"/>
  <c r="AG36" i="6" s="1"/>
  <c r="AI36" i="6" s="1"/>
  <c r="AD38" i="6"/>
  <c r="AE38" i="6" s="1"/>
  <c r="AF38" i="6" s="1"/>
  <c r="AG38" i="6" s="1"/>
  <c r="AI38" i="6" s="1"/>
  <c r="K37" i="6"/>
  <c r="K38" i="6"/>
  <c r="Y37" i="3"/>
  <c r="Z37" i="3" s="1"/>
  <c r="Y36" i="3"/>
  <c r="Z36" i="3" s="1"/>
  <c r="AB36" i="3"/>
  <c r="AB37" i="3"/>
  <c r="AB37" i="5" l="1"/>
  <c r="AA37" i="5"/>
  <c r="AC37" i="5" s="1"/>
  <c r="Z37" i="5"/>
  <c r="V37" i="5"/>
  <c r="W37" i="5" s="1"/>
  <c r="J37" i="5"/>
  <c r="AB36" i="5"/>
  <c r="AA36" i="5"/>
  <c r="AC36" i="5" s="1"/>
  <c r="Z36" i="5"/>
  <c r="V36" i="5"/>
  <c r="W36" i="5" s="1"/>
  <c r="J36" i="5"/>
  <c r="AB37" i="4"/>
  <c r="AA37" i="4"/>
  <c r="AC37" i="4" s="1"/>
  <c r="Z37" i="4"/>
  <c r="V37" i="4"/>
  <c r="W37" i="4" s="1"/>
  <c r="T37" i="4"/>
  <c r="J37" i="4"/>
  <c r="AB36" i="4"/>
  <c r="AA36" i="4"/>
  <c r="AC36" i="4" s="1"/>
  <c r="Z36" i="4"/>
  <c r="V36" i="4"/>
  <c r="W36" i="4" s="1"/>
  <c r="T36" i="4"/>
  <c r="J36" i="4"/>
  <c r="AA37" i="3"/>
  <c r="AC37" i="3" s="1"/>
  <c r="J37" i="3"/>
  <c r="AA36" i="3"/>
  <c r="AC36" i="3" s="1"/>
  <c r="J36" i="3"/>
  <c r="J36" i="2"/>
  <c r="K36" i="2" s="1"/>
  <c r="T36" i="2"/>
  <c r="V36" i="2"/>
  <c r="W36" i="2" s="1"/>
  <c r="Z36" i="2"/>
  <c r="AA36" i="2"/>
  <c r="AC36" i="2" s="1"/>
  <c r="AB36" i="2"/>
  <c r="J37" i="2"/>
  <c r="K37" i="2" s="1"/>
  <c r="T37" i="2"/>
  <c r="V37" i="2"/>
  <c r="W37" i="2" s="1"/>
  <c r="Z37" i="2"/>
  <c r="AA37" i="2"/>
  <c r="AC37" i="2" s="1"/>
  <c r="AB37" i="2"/>
  <c r="Q37" i="3" l="1"/>
  <c r="K37" i="3"/>
  <c r="K36" i="3"/>
  <c r="Q36" i="3"/>
  <c r="K36" i="5"/>
  <c r="K37" i="5"/>
  <c r="K36" i="4"/>
  <c r="K37" i="4"/>
  <c r="AD37" i="3"/>
  <c r="AE37" i="3" s="1"/>
  <c r="AF37" i="3" s="1"/>
  <c r="AG37" i="3" s="1"/>
  <c r="AI37" i="3" s="1"/>
  <c r="AD37" i="2"/>
  <c r="AE37" i="2" s="1"/>
  <c r="AF37" i="2" s="1"/>
  <c r="AI37" i="2" s="1"/>
  <c r="AD36" i="3"/>
  <c r="AE36" i="3" s="1"/>
  <c r="AF36" i="3" s="1"/>
  <c r="AG36" i="3" s="1"/>
  <c r="AI36" i="3" s="1"/>
  <c r="AD36" i="4"/>
  <c r="AE36" i="4" s="1"/>
  <c r="AF36" i="4" s="1"/>
  <c r="AG36" i="4" s="1"/>
  <c r="AI36" i="4" s="1"/>
  <c r="AD37" i="4"/>
  <c r="AE37" i="4" s="1"/>
  <c r="AF37" i="4" s="1"/>
  <c r="AG37" i="4" s="1"/>
  <c r="AI37" i="4" s="1"/>
  <c r="AD37" i="5"/>
  <c r="AE37" i="5" s="1"/>
  <c r="AF37" i="5" s="1"/>
  <c r="AG37" i="5" s="1"/>
  <c r="AI37" i="5" s="1"/>
  <c r="AD36" i="5"/>
  <c r="AE36" i="5" s="1"/>
  <c r="AF36" i="5" s="1"/>
  <c r="AG36" i="5" s="1"/>
  <c r="AI36" i="5" s="1"/>
  <c r="AD36" i="2"/>
  <c r="AE36" i="2" s="1"/>
  <c r="AF36" i="2" s="1"/>
  <c r="AI36" i="2" s="1"/>
  <c r="Q36" i="4" l="1"/>
  <c r="Q37" i="4"/>
  <c r="Q37" i="5" l="1"/>
  <c r="Q37" i="2"/>
  <c r="AA36" i="1" l="1"/>
  <c r="AC36" i="1" s="1"/>
  <c r="AA37" i="1"/>
  <c r="AC37" i="1" s="1"/>
  <c r="J36" i="1"/>
  <c r="K36" i="1" s="1"/>
  <c r="J37" i="1"/>
  <c r="N37" i="1" s="1"/>
  <c r="K37" i="1"/>
  <c r="Z36" i="1" l="1"/>
  <c r="Z37" i="1"/>
  <c r="T36" i="1"/>
  <c r="T37" i="1"/>
  <c r="AB36" i="1"/>
  <c r="AB37" i="1"/>
  <c r="V36" i="1"/>
  <c r="W36" i="1" s="1"/>
  <c r="V37" i="1"/>
  <c r="W37" i="1" s="1"/>
  <c r="AD36" i="1" l="1"/>
  <c r="AE36" i="1" s="1"/>
  <c r="AF36" i="1" s="1"/>
  <c r="AG36" i="1" s="1"/>
  <c r="AI36" i="1" s="1"/>
  <c r="AD37" i="1"/>
  <c r="AE37" i="1" s="1"/>
  <c r="AF37" i="1" s="1"/>
  <c r="AG37" i="1" s="1"/>
  <c r="AI37" i="1" s="1"/>
  <c r="Q36" i="2" l="1"/>
  <c r="N36" i="1"/>
  <c r="Q36" i="1" s="1"/>
  <c r="Q36" i="5"/>
</calcChain>
</file>

<file path=xl/sharedStrings.xml><?xml version="1.0" encoding="utf-8"?>
<sst xmlns="http://schemas.openxmlformats.org/spreadsheetml/2006/main" count="255" uniqueCount="52">
  <si>
    <t>RangeLabel</t>
  </si>
  <si>
    <t>Nominal</t>
  </si>
  <si>
    <t>Frequency</t>
  </si>
  <si>
    <t>MV1</t>
  </si>
  <si>
    <t>MV2</t>
  </si>
  <si>
    <t>MV3</t>
  </si>
  <si>
    <t>UpperLimit</t>
  </si>
  <si>
    <t>LowerLimit</t>
  </si>
  <si>
    <t>Function</t>
  </si>
  <si>
    <t>Unit</t>
  </si>
  <si>
    <t>FreqUnit</t>
  </si>
  <si>
    <t>U_CoC</t>
  </si>
  <si>
    <t>Div_CoC</t>
  </si>
  <si>
    <t>Ui_CoC</t>
  </si>
  <si>
    <t>U_Annual</t>
  </si>
  <si>
    <t>Div_Annual</t>
  </si>
  <si>
    <t>Ui_Annual</t>
  </si>
  <si>
    <t>U_Read</t>
  </si>
  <si>
    <t>Div_Read</t>
  </si>
  <si>
    <t>Ui_Read</t>
  </si>
  <si>
    <t>U_Repeat</t>
  </si>
  <si>
    <t>Div_Repeat</t>
  </si>
  <si>
    <t>Ui_Repeat</t>
  </si>
  <si>
    <t>Combined</t>
  </si>
  <si>
    <t>k</t>
  </si>
  <si>
    <t>U_expanded</t>
  </si>
  <si>
    <t>CMC_min</t>
  </si>
  <si>
    <t>Final_U</t>
  </si>
  <si>
    <t>Average</t>
  </si>
  <si>
    <t>Error</t>
  </si>
  <si>
    <t>Tolerance</t>
  </si>
  <si>
    <t>Remarks</t>
  </si>
  <si>
    <t>Effective degrees of freedom (v_eff)</t>
  </si>
  <si>
    <t>Spec_Accuracy (%)</t>
  </si>
  <si>
    <t>Spec_Digit</t>
  </si>
  <si>
    <t>600 mV</t>
  </si>
  <si>
    <t>6 V</t>
  </si>
  <si>
    <t>-</t>
  </si>
  <si>
    <t>1 kHz</t>
  </si>
  <si>
    <t>600 Ω</t>
  </si>
  <si>
    <t>Ω</t>
  </si>
  <si>
    <t>mV</t>
  </si>
  <si>
    <t>V</t>
  </si>
  <si>
    <t>45 Hz</t>
  </si>
  <si>
    <t>Hz</t>
  </si>
  <si>
    <t>kHz</t>
  </si>
  <si>
    <t>AC milli Volt Test</t>
  </si>
  <si>
    <t>DC Voltage Test</t>
  </si>
  <si>
    <t>AC Voltage Test</t>
  </si>
  <si>
    <t>Resistance Test</t>
  </si>
  <si>
    <t>DC milli Volt Test</t>
  </si>
  <si>
    <t>Auto Volt LoZ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</si>
</sst>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.000"/>
    <numFmt numFmtId="165" formatCode="0.00000"/>
    <numFmt numFmtId="166" formatCode="0.000000"/>
    <numFmt numFmtId="167" formatCode="0.0000000"/>
    <numFmt numFmtId="168" formatCode="0.0000"/>
    <numFmt numFmtId="169" formatCode="0.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2" fontId="2" fillId="0" borderId="1" xfId="0" applyNumberFormat="1" applyFont="1" applyFill="1" applyBorder="1" applyAlignment="1">
      <alignment horizontal="center" vertical="center" wrapText="1"/>
    </xf>
    <xf numFmtId="165" fontId="0" fillId="0" borderId="1" xfId="0" applyNumberFormat="1" applyFont="1" applyFill="1" applyBorder="1" applyAlignment="1">
      <alignment horizontal="center" vertical="center" wrapText="1"/>
    </xf>
    <xf numFmtId="0" fontId="2" fillId="0" borderId="1" xfId="0" quotePrefix="1" applyFont="1" applyFill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167" fontId="0" fillId="0" borderId="1" xfId="0" applyNumberFormat="1" applyFont="1" applyFill="1" applyBorder="1" applyAlignment="1">
      <alignment horizontal="center" vertical="center"/>
    </xf>
    <xf numFmtId="166" fontId="3" fillId="0" borderId="1" xfId="1" applyNumberFormat="1" applyFont="1" applyFill="1" applyBorder="1" applyAlignment="1">
      <alignment horizontal="center" vertical="center"/>
    </xf>
    <xf numFmtId="164" fontId="3" fillId="0" borderId="1" xfId="1" applyNumberFormat="1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 wrapText="1"/>
    </xf>
    <xf numFmtId="165" fontId="2" fillId="0" borderId="1" xfId="0" applyNumberFormat="1" applyFont="1" applyFill="1" applyBorder="1" applyAlignment="1">
      <alignment horizontal="center" vertical="center"/>
    </xf>
    <xf numFmtId="165" fontId="0" fillId="0" borderId="1" xfId="0" applyNumberFormat="1" applyFont="1" applyFill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center" vertical="center"/>
    </xf>
    <xf numFmtId="169" fontId="0" fillId="0" borderId="1" xfId="0" applyNumberFormat="1" applyFont="1" applyFill="1" applyBorder="1" applyAlignment="1">
      <alignment horizontal="center" vertical="center"/>
    </xf>
    <xf numFmtId="167" fontId="3" fillId="0" borderId="1" xfId="0" applyNumberFormat="1" applyFont="1" applyFill="1" applyBorder="1" applyAlignment="1">
      <alignment horizontal="center" vertical="center"/>
    </xf>
    <xf numFmtId="167" fontId="2" fillId="0" borderId="1" xfId="0" applyNumberFormat="1" applyFont="1" applyFill="1" applyBorder="1" applyAlignment="1">
      <alignment horizontal="center" vertical="center"/>
    </xf>
    <xf numFmtId="168" fontId="0" fillId="0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/>
    </xf>
    <xf numFmtId="166" fontId="3" fillId="0" borderId="1" xfId="0" applyNumberFormat="1" applyFont="1" applyFill="1" applyBorder="1" applyAlignment="1">
      <alignment horizontal="center" vertical="center"/>
    </xf>
    <xf numFmtId="169" fontId="0" fillId="0" borderId="1" xfId="0" applyNumberFormat="1" applyFont="1" applyFill="1" applyBorder="1" applyAlignment="1">
      <alignment horizontal="center" vertical="center" wrapText="1"/>
    </xf>
    <xf numFmtId="168" fontId="3" fillId="0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5:AI38"/>
  <sheetViews>
    <sheetView topLeftCell="A25" zoomScale="115" zoomScaleNormal="115" workbookViewId="0">
      <selection activeCell="A38" sqref="A38:XFD40"/>
    </sheetView>
  </sheetViews>
  <sheetFormatPr defaultRowHeight="15" x14ac:dyDescent="0.25"/>
  <cols>
    <col min="1" max="1" width="17.85546875" style="2" customWidth="1"/>
    <col min="2" max="2" width="11.28515625" style="3" customWidth="1"/>
    <col min="3" max="3" width="8.5703125" style="3" customWidth="1"/>
    <col min="4" max="4" width="4.7109375" style="2" customWidth="1"/>
    <col min="5" max="5" width="10.42578125" style="3" hidden="1" customWidth="1"/>
    <col min="6" max="6" width="8.7109375" style="2" hidden="1" customWidth="1"/>
    <col min="7" max="9" width="9.42578125" style="3" customWidth="1"/>
    <col min="10" max="10" width="11" style="2" bestFit="1" customWidth="1"/>
    <col min="11" max="11" width="7.7109375" style="2" customWidth="1"/>
    <col min="12" max="12" width="13.5703125" style="3" customWidth="1"/>
    <col min="13" max="13" width="13.28515625" style="3" customWidth="1"/>
    <col min="14" max="14" width="9.7109375" style="2" customWidth="1"/>
    <col min="15" max="16" width="10.85546875" style="2" customWidth="1"/>
    <col min="17" max="17" width="8.5703125" style="2" customWidth="1"/>
    <col min="18" max="18" width="12.140625" style="3" customWidth="1"/>
    <col min="19" max="19" width="8.28515625" style="3" customWidth="1"/>
    <col min="20" max="20" width="10.85546875" style="2" customWidth="1"/>
    <col min="21" max="21" width="9.7109375" style="3" customWidth="1"/>
    <col min="22" max="22" width="11.85546875" style="3" customWidth="1"/>
    <col min="23" max="23" width="10.28515625" style="2" customWidth="1"/>
    <col min="24" max="24" width="8.85546875" style="3" customWidth="1"/>
    <col min="25" max="25" width="9.85546875" style="3" customWidth="1"/>
    <col min="26" max="26" width="10.7109375" style="2" customWidth="1"/>
    <col min="27" max="27" width="11.28515625" style="24" customWidth="1"/>
    <col min="28" max="28" width="11.5703125" style="3" customWidth="1"/>
    <col min="29" max="29" width="10.7109375" style="18" customWidth="1"/>
    <col min="30" max="30" width="10.28515625" style="2" bestFit="1" customWidth="1"/>
    <col min="31" max="31" width="15.28515625" style="2" customWidth="1"/>
    <col min="32" max="32" width="10.42578125" style="2" bestFit="1" customWidth="1"/>
    <col min="33" max="33" width="12.28515625" style="2" bestFit="1" customWidth="1"/>
    <col min="34" max="34" width="12" style="3" customWidth="1"/>
    <col min="35" max="35" width="8.42578125" style="2" bestFit="1" customWidth="1"/>
    <col min="36" max="58" width="2.28515625" style="2" customWidth="1"/>
    <col min="59" max="59" width="6.42578125" style="2" bestFit="1" customWidth="1"/>
    <col min="60" max="60" width="9.7109375" style="2" bestFit="1" customWidth="1"/>
    <col min="61" max="61" width="4.140625" style="2" bestFit="1" customWidth="1"/>
    <col min="62" max="62" width="6.28515625" style="2" bestFit="1" customWidth="1"/>
    <col min="63" max="63" width="11.140625" style="2" customWidth="1"/>
    <col min="64" max="64" width="8.7109375" style="2" bestFit="1" customWidth="1"/>
    <col min="65" max="65" width="9.7109375" style="2" customWidth="1"/>
    <col min="66" max="66" width="4.140625" style="2" bestFit="1" customWidth="1"/>
    <col min="67" max="67" width="6.28515625" style="2" bestFit="1" customWidth="1"/>
    <col min="68" max="68" width="6.7109375" style="2" bestFit="1" customWidth="1"/>
    <col min="69" max="69" width="8.42578125" style="2" bestFit="1" customWidth="1"/>
    <col min="70" max="70" width="9.7109375" style="2" bestFit="1" customWidth="1"/>
    <col min="71" max="71" width="4.140625" style="2" bestFit="1" customWidth="1"/>
    <col min="72" max="72" width="6.28515625" style="2" bestFit="1" customWidth="1"/>
    <col min="73" max="73" width="10.140625" style="2" customWidth="1"/>
    <col min="74" max="74" width="9.5703125" style="2" bestFit="1" customWidth="1"/>
    <col min="75" max="75" width="9.7109375" style="2" bestFit="1" customWidth="1"/>
    <col min="76" max="76" width="4.140625" style="2" bestFit="1" customWidth="1"/>
    <col min="77" max="77" width="6.28515625" style="2" bestFit="1" customWidth="1"/>
    <col min="78" max="78" width="6.7109375" style="2" bestFit="1" customWidth="1"/>
    <col min="79" max="79" width="9.140625" style="2"/>
    <col min="80" max="80" width="19.28515625" style="2" bestFit="1" customWidth="1"/>
    <col min="81" max="81" width="18.28515625" style="2" bestFit="1" customWidth="1"/>
    <col min="82" max="82" width="20.5703125" style="2" bestFit="1" customWidth="1"/>
    <col min="83" max="83" width="4.85546875" style="2" bestFit="1" customWidth="1"/>
    <col min="84" max="84" width="3.28515625" style="2" bestFit="1" customWidth="1"/>
    <col min="85" max="85" width="9.140625" style="2"/>
    <col min="86" max="86" width="6.28515625" style="2" bestFit="1" customWidth="1"/>
    <col min="87" max="87" width="3.42578125" style="2" bestFit="1" customWidth="1"/>
    <col min="88" max="88" width="4.85546875" style="2" bestFit="1" customWidth="1"/>
    <col min="89" max="89" width="4.140625" style="2" bestFit="1" customWidth="1"/>
    <col min="90" max="16384" width="9.140625" style="2"/>
  </cols>
  <sheetData>
    <row r="35" spans="1:35" s="1" customFormat="1" ht="45" x14ac:dyDescent="0.25">
      <c r="A35" s="2" t="s">
        <v>8</v>
      </c>
      <c r="B35" s="3" t="s">
        <v>0</v>
      </c>
      <c r="C35" s="3" t="s">
        <v>1</v>
      </c>
      <c r="D35" s="2" t="s">
        <v>9</v>
      </c>
      <c r="E35" s="3" t="s">
        <v>2</v>
      </c>
      <c r="F35" s="2" t="s">
        <v>10</v>
      </c>
      <c r="G35" s="3" t="s">
        <v>3</v>
      </c>
      <c r="H35" s="3" t="s">
        <v>4</v>
      </c>
      <c r="I35" s="3" t="s">
        <v>5</v>
      </c>
      <c r="J35" s="1" t="s">
        <v>28</v>
      </c>
      <c r="K35" s="1" t="s">
        <v>29</v>
      </c>
      <c r="L35" s="4" t="s">
        <v>33</v>
      </c>
      <c r="M35" s="4" t="s">
        <v>34</v>
      </c>
      <c r="N35" s="1" t="s">
        <v>30</v>
      </c>
      <c r="O35" s="2" t="s">
        <v>6</v>
      </c>
      <c r="P35" s="2" t="s">
        <v>7</v>
      </c>
      <c r="Q35" s="1" t="s">
        <v>31</v>
      </c>
      <c r="R35" s="3" t="s">
        <v>11</v>
      </c>
      <c r="S35" s="4" t="s">
        <v>12</v>
      </c>
      <c r="T35" s="1" t="s">
        <v>13</v>
      </c>
      <c r="U35" s="4" t="s">
        <v>14</v>
      </c>
      <c r="V35" s="3" t="s">
        <v>15</v>
      </c>
      <c r="W35" s="1" t="s">
        <v>16</v>
      </c>
      <c r="X35" s="4" t="s">
        <v>17</v>
      </c>
      <c r="Y35" s="4" t="s">
        <v>18</v>
      </c>
      <c r="Z35" s="2" t="s">
        <v>19</v>
      </c>
      <c r="AA35" s="5" t="s">
        <v>20</v>
      </c>
      <c r="AB35" s="3" t="s">
        <v>21</v>
      </c>
      <c r="AC35" s="6" t="s">
        <v>22</v>
      </c>
      <c r="AD35" s="2" t="s">
        <v>23</v>
      </c>
      <c r="AE35" s="1" t="s">
        <v>32</v>
      </c>
      <c r="AF35" s="2" t="s">
        <v>24</v>
      </c>
      <c r="AG35" s="2" t="s">
        <v>25</v>
      </c>
      <c r="AH35" s="3" t="s">
        <v>26</v>
      </c>
      <c r="AI35" s="2" t="s">
        <v>27</v>
      </c>
    </row>
    <row r="36" spans="1:35" x14ac:dyDescent="0.25">
      <c r="A36" s="2" t="s">
        <v>47</v>
      </c>
      <c r="B36" s="3" t="s">
        <v>36</v>
      </c>
      <c r="C36" s="3">
        <v>0</v>
      </c>
      <c r="D36" s="2" t="s">
        <v>42</v>
      </c>
      <c r="E36" s="7" t="s">
        <v>37</v>
      </c>
      <c r="J36" s="8" t="str">
        <f t="shared" ref="J36:J37" si="0">IF(ISBLANK(G36),"",IF(ISBLANK(H36),"",IF(ISBLANK(I36),"",(AVERAGE(G36:I36)))))</f>
        <v/>
      </c>
      <c r="K36" s="9" t="str">
        <f t="shared" ref="K36:K37" si="1">IF(ISBLANK(G36),"",IF(ISBLANK(H36),"",IF(ISBLANK(I36),"",J36-C36)))</f>
        <v/>
      </c>
      <c r="L36" s="4"/>
      <c r="M36" s="4"/>
      <c r="N36" s="9" t="str">
        <f>IF(ISBLANK(G36),"",IF(ISBLANK(H36),"",IF(ISBLANK(I36),"",ROUND((O36-C36),3))))</f>
        <v/>
      </c>
      <c r="O36" s="19">
        <v>2E-3</v>
      </c>
      <c r="P36" s="19">
        <f>-0.002</f>
        <v>-2E-3</v>
      </c>
      <c r="Q36" s="2" t="str">
        <f t="shared" ref="Q36:Q37" si="2">IF(ISBLANK(G36),"",IF(ISBLANK(H36),"",IF(ISBLANK(I36),"",IF(AND(J36&gt;=P36,J36&lt;=O36),"PASS","FAIL"))))</f>
        <v/>
      </c>
      <c r="R36" s="22">
        <v>3.1E-7</v>
      </c>
      <c r="S36" s="11">
        <v>2</v>
      </c>
      <c r="T36" s="12">
        <f t="shared" ref="T36:T37" si="3">IFERROR(R36/S36,0)</f>
        <v>1.55E-7</v>
      </c>
      <c r="U36" s="13">
        <v>0</v>
      </c>
      <c r="V36" s="14">
        <f t="shared" ref="V36:V37" si="4">SQRT(3)</f>
        <v>1.7320508075688772</v>
      </c>
      <c r="W36" s="2">
        <f t="shared" ref="W36:W37" si="5">IFERROR(U36/V36,0)</f>
        <v>0</v>
      </c>
      <c r="X36" s="15">
        <v>1E-3</v>
      </c>
      <c r="Y36" s="15">
        <v>3.4641016151377544</v>
      </c>
      <c r="Z36" s="2">
        <f t="shared" ref="Z36:Z37" si="6">IFERROR(X36/Y36,0)</f>
        <v>2.886751345948129E-4</v>
      </c>
      <c r="AA36" s="17" t="str">
        <f t="shared" ref="AA36:AA37" si="7">IF(ISBLANK(G36),"",IF(ISBLANK(H36),"",IF(ISBLANK(I36),"",STDEV(G36:I36))))</f>
        <v/>
      </c>
      <c r="AB36" s="16">
        <f t="shared" ref="AB36:AB37" si="8">SQRT(3)</f>
        <v>1.7320508075688772</v>
      </c>
      <c r="AC36" s="18" t="str">
        <f t="shared" ref="AC36:AC37" si="9">IF(ISBLANK(G36),"",IF(ISBLANK(H36),"",IF(ISBLANK(I36),"",AA36/AB36)))</f>
        <v/>
      </c>
      <c r="AD36" s="2">
        <f t="shared" ref="AD36:AD37" si="10">SQRT(SUMSQ(T36,W36,Z36,AC36))</f>
        <v>2.8867517620733053E-4</v>
      </c>
      <c r="AE36" s="19" t="str">
        <f t="shared" ref="AE36:AE37" si="11">IF(ISBLANK(G36),"",IF(ISBLANK(H36),"",IF(ISBLANK(I36),"",IF(AD36=0,0,(AD36^4)/(((AC36^4)/2)+((Z36^4)/200)+((W36^4)/200)+((T36^4)/200))))))</f>
        <v/>
      </c>
      <c r="AF36" s="20" t="str">
        <f t="shared" ref="AF36:AF37" si="12">IF(ISBLANK(G36),"",IF(ISBLANK(H36),"",IF(ISBLANK(I36),"",ROUND(IF(AE36&gt;=30,2,_xlfn.T.INV.2T(0.05,AE36)),0))))</f>
        <v/>
      </c>
      <c r="AG36" s="18" t="str">
        <f t="shared" ref="AG36:AG37" si="13">IF(ISBLANK(G36),"",IF(ISBLANK(H36),"",IF(ISBLANK(I36),"",AF36*AD36)))</f>
        <v/>
      </c>
      <c r="AH36" s="21">
        <v>1.7999999999999999E-6</v>
      </c>
      <c r="AI36" s="18">
        <f t="shared" ref="AI36:AI37" si="14">IF(ISBLANK(G36),0,IF(ISBLANK(H36),0,IF(ISBLANK(I36),0,MAX(AG36,AH36))))</f>
        <v>0</v>
      </c>
    </row>
    <row r="37" spans="1:35" x14ac:dyDescent="0.25">
      <c r="A37" s="2" t="s">
        <v>47</v>
      </c>
      <c r="B37" s="3" t="s">
        <v>36</v>
      </c>
      <c r="C37" s="3">
        <v>5</v>
      </c>
      <c r="D37" s="2" t="s">
        <v>42</v>
      </c>
      <c r="E37" s="7" t="s">
        <v>37</v>
      </c>
      <c r="J37" s="8" t="str">
        <f t="shared" si="0"/>
        <v/>
      </c>
      <c r="K37" s="9" t="str">
        <f t="shared" si="1"/>
        <v/>
      </c>
      <c r="L37" s="4"/>
      <c r="M37" s="4"/>
      <c r="N37" s="9" t="str">
        <f t="shared" ref="N37" si="15">IF(ISBLANK(G37),"",IF(ISBLANK(H37),"",IF(ISBLANK(I37),"",ABS(J37*L37%)+(M37*X37))))</f>
        <v/>
      </c>
      <c r="O37" s="19">
        <v>5.0270000000000001</v>
      </c>
      <c r="P37" s="19">
        <v>4.9729999999999999</v>
      </c>
      <c r="Q37" s="2" t="str">
        <f t="shared" si="2"/>
        <v/>
      </c>
      <c r="R37" s="22">
        <v>1.8E-5</v>
      </c>
      <c r="S37" s="11">
        <v>2</v>
      </c>
      <c r="T37" s="12">
        <f t="shared" si="3"/>
        <v>9.0000000000000002E-6</v>
      </c>
      <c r="U37" s="13">
        <v>0</v>
      </c>
      <c r="V37" s="14">
        <f t="shared" si="4"/>
        <v>1.7320508075688772</v>
      </c>
      <c r="W37" s="2">
        <f t="shared" si="5"/>
        <v>0</v>
      </c>
      <c r="X37" s="15">
        <v>1E-3</v>
      </c>
      <c r="Y37" s="15">
        <v>3.4641016151377544</v>
      </c>
      <c r="Z37" s="2">
        <f t="shared" si="6"/>
        <v>2.886751345948129E-4</v>
      </c>
      <c r="AA37" s="17" t="str">
        <f t="shared" si="7"/>
        <v/>
      </c>
      <c r="AB37" s="16">
        <f t="shared" si="8"/>
        <v>1.7320508075688772</v>
      </c>
      <c r="AC37" s="18" t="str">
        <f t="shared" si="9"/>
        <v/>
      </c>
      <c r="AD37" s="2">
        <f t="shared" si="10"/>
        <v>2.8881539663482854E-4</v>
      </c>
      <c r="AE37" s="19" t="str">
        <f t="shared" si="11"/>
        <v/>
      </c>
      <c r="AF37" s="20" t="str">
        <f t="shared" si="12"/>
        <v/>
      </c>
      <c r="AG37" s="18" t="str">
        <f t="shared" si="13"/>
        <v/>
      </c>
      <c r="AH37" s="21">
        <v>1.0000000000000001E-5</v>
      </c>
      <c r="AI37" s="18">
        <f t="shared" si="14"/>
        <v>0</v>
      </c>
    </row>
    <row r="38" spans="1:35" x14ac:dyDescent="0.25">
      <c r="S38" s="11"/>
      <c r="U38" s="13"/>
      <c r="V38" s="14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5:AI56"/>
  <sheetViews>
    <sheetView topLeftCell="A13" zoomScaleNormal="100" workbookViewId="0">
      <selection activeCell="A38" sqref="A38:XFD45"/>
    </sheetView>
  </sheetViews>
  <sheetFormatPr defaultRowHeight="15" x14ac:dyDescent="0.25"/>
  <cols>
    <col min="1" max="1" width="16.140625" style="2" customWidth="1"/>
    <col min="2" max="2" width="11.28515625" style="3" customWidth="1"/>
    <col min="3" max="3" width="8.5703125" style="3" customWidth="1"/>
    <col min="4" max="4" width="4.7109375" style="2" customWidth="1"/>
    <col min="5" max="5" width="10.42578125" style="3" customWidth="1"/>
    <col min="6" max="6" width="8.7109375" style="2" customWidth="1"/>
    <col min="7" max="9" width="9.42578125" style="3" customWidth="1"/>
    <col min="10" max="10" width="11" style="2" bestFit="1" customWidth="1"/>
    <col min="11" max="11" width="7.7109375" style="2" customWidth="1"/>
    <col min="12" max="12" width="13.5703125" style="3" customWidth="1"/>
    <col min="13" max="13" width="13.28515625" style="3" customWidth="1"/>
    <col min="14" max="14" width="9.7109375" style="2" customWidth="1"/>
    <col min="15" max="16" width="10.85546875" style="2" customWidth="1"/>
    <col min="17" max="17" width="8.5703125" style="2" customWidth="1"/>
    <col min="18" max="18" width="12.5703125" style="3" customWidth="1"/>
    <col min="19" max="19" width="8.28515625" style="3" customWidth="1"/>
    <col min="20" max="20" width="10.28515625" style="2" customWidth="1"/>
    <col min="21" max="21" width="9.7109375" style="3" customWidth="1"/>
    <col min="22" max="22" width="11.85546875" style="3" customWidth="1"/>
    <col min="23" max="23" width="10.28515625" style="2" customWidth="1"/>
    <col min="24" max="24" width="8.85546875" style="3" customWidth="1"/>
    <col min="25" max="25" width="9" style="3" customWidth="1"/>
    <col min="26" max="26" width="10.7109375" style="2" customWidth="1"/>
    <col min="27" max="27" width="11.28515625" style="24" customWidth="1"/>
    <col min="28" max="28" width="11.5703125" style="3" customWidth="1"/>
    <col min="29" max="29" width="10.7109375" style="18" customWidth="1"/>
    <col min="30" max="30" width="10.28515625" style="2" bestFit="1" customWidth="1"/>
    <col min="31" max="31" width="15.28515625" style="2" customWidth="1"/>
    <col min="32" max="32" width="10.42578125" style="2" bestFit="1" customWidth="1"/>
    <col min="33" max="33" width="12.28515625" style="2" bestFit="1" customWidth="1"/>
    <col min="34" max="34" width="12" style="3" customWidth="1"/>
    <col min="35" max="35" width="8.42578125" style="2" bestFit="1" customWidth="1"/>
    <col min="36" max="58" width="2.28515625" style="2" customWidth="1"/>
    <col min="59" max="59" width="6.42578125" style="2" bestFit="1" customWidth="1"/>
    <col min="60" max="60" width="9.7109375" style="2" bestFit="1" customWidth="1"/>
    <col min="61" max="61" width="4.140625" style="2" bestFit="1" customWidth="1"/>
    <col min="62" max="62" width="6.28515625" style="2" bestFit="1" customWidth="1"/>
    <col min="63" max="63" width="11.140625" style="2" customWidth="1"/>
    <col min="64" max="64" width="8.7109375" style="2" bestFit="1" customWidth="1"/>
    <col min="65" max="65" width="9.7109375" style="2" customWidth="1"/>
    <col min="66" max="66" width="4.140625" style="2" bestFit="1" customWidth="1"/>
    <col min="67" max="67" width="6.28515625" style="2" bestFit="1" customWidth="1"/>
    <col min="68" max="68" width="6.7109375" style="2" bestFit="1" customWidth="1"/>
    <col min="69" max="69" width="8.42578125" style="2" bestFit="1" customWidth="1"/>
    <col min="70" max="70" width="9.7109375" style="2" bestFit="1" customWidth="1"/>
    <col min="71" max="71" width="4.140625" style="2" bestFit="1" customWidth="1"/>
    <col min="72" max="72" width="6.28515625" style="2" bestFit="1" customWidth="1"/>
    <col min="73" max="73" width="10.140625" style="2" customWidth="1"/>
    <col min="74" max="74" width="9.5703125" style="2" bestFit="1" customWidth="1"/>
    <col min="75" max="75" width="9.7109375" style="2" bestFit="1" customWidth="1"/>
    <col min="76" max="76" width="4.140625" style="2" bestFit="1" customWidth="1"/>
    <col min="77" max="77" width="6.28515625" style="2" bestFit="1" customWidth="1"/>
    <col min="78" max="78" width="6.7109375" style="2" bestFit="1" customWidth="1"/>
    <col min="79" max="79" width="9.140625" style="2"/>
    <col min="80" max="80" width="19.28515625" style="2" bestFit="1" customWidth="1"/>
    <col min="81" max="81" width="18.28515625" style="2" bestFit="1" customWidth="1"/>
    <col min="82" max="82" width="20.5703125" style="2" bestFit="1" customWidth="1"/>
    <col min="83" max="83" width="4.85546875" style="2" bestFit="1" customWidth="1"/>
    <col min="84" max="84" width="3.28515625" style="2" bestFit="1" customWidth="1"/>
    <col min="85" max="85" width="9.140625" style="2"/>
    <col min="86" max="86" width="6.28515625" style="2" bestFit="1" customWidth="1"/>
    <col min="87" max="87" width="3.42578125" style="2" bestFit="1" customWidth="1"/>
    <col min="88" max="88" width="4.85546875" style="2" bestFit="1" customWidth="1"/>
    <col min="89" max="89" width="4.140625" style="2" bestFit="1" customWidth="1"/>
    <col min="90" max="16384" width="9.140625" style="2"/>
  </cols>
  <sheetData>
    <row r="35" spans="1:35" s="1" customFormat="1" ht="45" x14ac:dyDescent="0.25">
      <c r="A35" s="2" t="s">
        <v>8</v>
      </c>
      <c r="B35" s="3" t="s">
        <v>0</v>
      </c>
      <c r="C35" s="3" t="s">
        <v>1</v>
      </c>
      <c r="D35" s="2" t="s">
        <v>9</v>
      </c>
      <c r="E35" s="3" t="s">
        <v>2</v>
      </c>
      <c r="F35" s="2" t="s">
        <v>10</v>
      </c>
      <c r="G35" s="3" t="s">
        <v>3</v>
      </c>
      <c r="H35" s="3" t="s">
        <v>4</v>
      </c>
      <c r="I35" s="3" t="s">
        <v>5</v>
      </c>
      <c r="J35" s="1" t="s">
        <v>28</v>
      </c>
      <c r="K35" s="1" t="s">
        <v>29</v>
      </c>
      <c r="L35" s="4" t="s">
        <v>33</v>
      </c>
      <c r="M35" s="4" t="s">
        <v>34</v>
      </c>
      <c r="N35" s="1" t="s">
        <v>30</v>
      </c>
      <c r="O35" s="2" t="s">
        <v>6</v>
      </c>
      <c r="P35" s="2" t="s">
        <v>7</v>
      </c>
      <c r="Q35" s="1" t="s">
        <v>31</v>
      </c>
      <c r="R35" s="3" t="s">
        <v>11</v>
      </c>
      <c r="S35" s="4" t="s">
        <v>12</v>
      </c>
      <c r="T35" s="1" t="s">
        <v>13</v>
      </c>
      <c r="U35" s="4" t="s">
        <v>14</v>
      </c>
      <c r="V35" s="3" t="s">
        <v>15</v>
      </c>
      <c r="W35" s="1" t="s">
        <v>16</v>
      </c>
      <c r="X35" s="4" t="s">
        <v>17</v>
      </c>
      <c r="Y35" s="4" t="s">
        <v>18</v>
      </c>
      <c r="Z35" s="2" t="s">
        <v>19</v>
      </c>
      <c r="AA35" s="5" t="s">
        <v>20</v>
      </c>
      <c r="AB35" s="3" t="s">
        <v>21</v>
      </c>
      <c r="AC35" s="6" t="s">
        <v>22</v>
      </c>
      <c r="AD35" s="2" t="s">
        <v>23</v>
      </c>
      <c r="AE35" s="1" t="s">
        <v>32</v>
      </c>
      <c r="AF35" s="2" t="s">
        <v>24</v>
      </c>
      <c r="AG35" s="2" t="s">
        <v>25</v>
      </c>
      <c r="AH35" s="3" t="s">
        <v>26</v>
      </c>
      <c r="AI35" s="2" t="s">
        <v>27</v>
      </c>
    </row>
    <row r="36" spans="1:35" x14ac:dyDescent="0.25">
      <c r="A36" s="2" t="s">
        <v>49</v>
      </c>
      <c r="B36" s="3" t="s">
        <v>39</v>
      </c>
      <c r="C36" s="2">
        <v>0</v>
      </c>
      <c r="D36" s="2" t="s">
        <v>40</v>
      </c>
      <c r="G36" s="2"/>
      <c r="H36" s="2"/>
      <c r="I36" s="2"/>
      <c r="J36" s="8" t="str">
        <f t="shared" ref="J36:J37" si="0">IF(ISBLANK(G36),"",IF(ISBLANK(H36),"",IF(ISBLANK(I36),"",(AVERAGE(G36:I36)))))</f>
        <v/>
      </c>
      <c r="K36" s="9" t="str">
        <f>IF(ISBLANK(G36),"",IF(ISBLANK(H36),"",IF(ISBLANK(I36),"",J36-C36)))</f>
        <v/>
      </c>
      <c r="L36" s="4"/>
      <c r="M36" s="4"/>
      <c r="N36" s="26" t="str">
        <f>IF(ISBLANK(G36),"",IF(ISBLANK(H36),"",IF(ISBLANK(I36),"",ROUND(O36-C36,1))))</f>
        <v/>
      </c>
      <c r="O36" s="10">
        <v>0.2</v>
      </c>
      <c r="P36" s="10">
        <v>0</v>
      </c>
      <c r="Q36" s="2" t="str">
        <f t="shared" ref="Q36:Q37" si="1">IF(ISBLANK(G36),"",IF(ISBLANK(H36),"",IF(ISBLANK(I36),"",IF(AND(J36&gt;=P36,J36&lt;=O36),"PASS","FAIL"))))</f>
        <v/>
      </c>
      <c r="R36" s="22">
        <v>7.7000000000000001E-5</v>
      </c>
      <c r="S36" s="11">
        <v>2</v>
      </c>
      <c r="T36" s="12">
        <f>R36/S36</f>
        <v>3.8500000000000001E-5</v>
      </c>
      <c r="U36" s="13">
        <v>0</v>
      </c>
      <c r="V36" s="16">
        <f t="shared" ref="V36:V37" si="2">SQRT(3)</f>
        <v>1.7320508075688772</v>
      </c>
      <c r="W36" s="2">
        <f>U36/V36</f>
        <v>0</v>
      </c>
      <c r="X36" s="15">
        <v>0.1</v>
      </c>
      <c r="Y36" s="16">
        <f t="shared" ref="Y36:Y37" si="3">SQRT(12)</f>
        <v>3.4641016151377544</v>
      </c>
      <c r="Z36" s="2">
        <f>X36/Y36</f>
        <v>2.8867513459481291E-2</v>
      </c>
      <c r="AA36" s="17" t="str">
        <f t="shared" ref="AA36:AA37" si="4">IF(ISBLANK(G36),"",IF(ISBLANK(H36),"",IF(ISBLANK(I36),"",STDEV(G36:I36))))</f>
        <v/>
      </c>
      <c r="AB36" s="16">
        <f t="shared" ref="AB36:AB37" si="5">SQRT(3)</f>
        <v>1.7320508075688772</v>
      </c>
      <c r="AC36" s="18" t="str">
        <f t="shared" ref="AC36:AC37" si="6">IF(ISBLANK(G36),"",IF(ISBLANK(H36),"",IF(ISBLANK(I36),"",AA36/AB36)))</f>
        <v/>
      </c>
      <c r="AD36" s="2">
        <f t="shared" ref="AD36:AD37" si="7">SQRT(SUMSQ(T36,W36,Z36,AC36))</f>
        <v>2.8867539132792972E-2</v>
      </c>
      <c r="AE36" s="19" t="str">
        <f t="shared" ref="AE36:AE37" si="8">IF(ISBLANK(G36),"",IF(ISBLANK(H36),"",IF(ISBLANK(I36),"",IF(AD36=0,0,(AD36^4)/(((AC36^4)/2)+((Z36^4)/200)+((W36^4)/200)+((T36^4)/200))))))</f>
        <v/>
      </c>
      <c r="AF36" s="20" t="str">
        <f t="shared" ref="AF36:AF37" si="9">IF(ISBLANK(G36),"",IF(ISBLANK(H36),"",IF(ISBLANK(I36),"",ROUND(IF(AE36&gt;=30,2,_xlfn.T.INV.2T(0.05,AE36)),0))))</f>
        <v/>
      </c>
      <c r="AG36" s="18" t="str">
        <f t="shared" ref="AG36:AG37" si="10">IF(ISBLANK(G36),"",IF(ISBLANK(H36),"",IF(ISBLANK(I36),"",AF36*AD36)))</f>
        <v/>
      </c>
      <c r="AH36" s="21">
        <v>7.7999999999999996E-3</v>
      </c>
      <c r="AI36" s="19">
        <f t="shared" ref="AI36:AI37" si="11">IF(ISBLANK(G36),0,IF(ISBLANK(H36),0,IF(ISBLANK(I36),0,MAX(AG36,AH36))))</f>
        <v>0</v>
      </c>
    </row>
    <row r="37" spans="1:35" x14ac:dyDescent="0.25">
      <c r="A37" s="2" t="s">
        <v>49</v>
      </c>
      <c r="B37" s="3" t="s">
        <v>39</v>
      </c>
      <c r="C37" s="2">
        <v>500</v>
      </c>
      <c r="D37" s="2" t="s">
        <v>40</v>
      </c>
      <c r="G37" s="2"/>
      <c r="H37" s="2"/>
      <c r="I37" s="2"/>
      <c r="J37" s="8" t="str">
        <f t="shared" si="0"/>
        <v/>
      </c>
      <c r="K37" s="9" t="str">
        <f t="shared" ref="K37" si="12">IF(ISBLANK(G37),"",IF(ISBLANK(H37),"",IF(ISBLANK(I37),"",J37-C37)))</f>
        <v/>
      </c>
      <c r="L37" s="4"/>
      <c r="M37" s="4"/>
      <c r="N37" s="26" t="str">
        <f t="shared" ref="N37" si="13">IF(ISBLANK(G37),"",IF(ISBLANK(H37),"",IF(ISBLANK(I37),"",ROUND(O37-C37,1))))</f>
        <v/>
      </c>
      <c r="O37" s="10">
        <v>504.7</v>
      </c>
      <c r="P37" s="10">
        <v>495.3</v>
      </c>
      <c r="Q37" s="2" t="str">
        <f t="shared" si="1"/>
        <v/>
      </c>
      <c r="R37" s="22">
        <v>3.0000000000000001E-3</v>
      </c>
      <c r="S37" s="11">
        <v>2</v>
      </c>
      <c r="T37" s="12">
        <f t="shared" ref="T37" si="14">R37/S37</f>
        <v>1.5E-3</v>
      </c>
      <c r="U37" s="13">
        <v>0</v>
      </c>
      <c r="V37" s="16">
        <f t="shared" si="2"/>
        <v>1.7320508075688772</v>
      </c>
      <c r="W37" s="2">
        <f t="shared" ref="W37" si="15">U37/V37</f>
        <v>0</v>
      </c>
      <c r="X37" s="15">
        <v>0.1</v>
      </c>
      <c r="Y37" s="16">
        <f t="shared" si="3"/>
        <v>3.4641016151377544</v>
      </c>
      <c r="Z37" s="2">
        <f t="shared" ref="Z37" si="16">X37/Y37</f>
        <v>2.8867513459481291E-2</v>
      </c>
      <c r="AA37" s="17" t="str">
        <f t="shared" si="4"/>
        <v/>
      </c>
      <c r="AB37" s="16">
        <f t="shared" si="5"/>
        <v>1.7320508075688772</v>
      </c>
      <c r="AC37" s="18" t="str">
        <f t="shared" si="6"/>
        <v/>
      </c>
      <c r="AD37" s="2">
        <f t="shared" si="7"/>
        <v>2.8906458332582589E-2</v>
      </c>
      <c r="AE37" s="19" t="str">
        <f t="shared" si="8"/>
        <v/>
      </c>
      <c r="AF37" s="20" t="str">
        <f t="shared" si="9"/>
        <v/>
      </c>
      <c r="AG37" s="18" t="str">
        <f t="shared" si="10"/>
        <v/>
      </c>
      <c r="AH37" s="21">
        <v>2.3E-2</v>
      </c>
      <c r="AI37" s="19">
        <f t="shared" si="11"/>
        <v>0</v>
      </c>
    </row>
    <row r="38" spans="1:35" x14ac:dyDescent="0.25">
      <c r="J38" s="8"/>
      <c r="K38" s="9"/>
      <c r="L38" s="4"/>
      <c r="M38" s="4"/>
      <c r="N38" s="9"/>
      <c r="O38" s="10"/>
      <c r="P38" s="10"/>
      <c r="R38" s="22"/>
      <c r="S38" s="11"/>
      <c r="T38" s="12"/>
      <c r="U38" s="13"/>
      <c r="V38" s="14"/>
      <c r="X38" s="15"/>
      <c r="Y38" s="15"/>
      <c r="AA38" s="17"/>
      <c r="AB38" s="16"/>
      <c r="AE38" s="19"/>
      <c r="AF38" s="20"/>
      <c r="AG38" s="18"/>
      <c r="AH38" s="21"/>
      <c r="AI38" s="19"/>
    </row>
    <row r="39" spans="1:35" x14ac:dyDescent="0.25">
      <c r="J39" s="8"/>
      <c r="K39" s="9"/>
      <c r="L39" s="4"/>
      <c r="M39" s="4"/>
      <c r="N39" s="9"/>
      <c r="O39" s="10"/>
      <c r="P39" s="10"/>
      <c r="R39" s="22"/>
      <c r="S39" s="11"/>
      <c r="T39" s="12"/>
      <c r="U39" s="13"/>
      <c r="V39" s="14"/>
      <c r="X39" s="15"/>
      <c r="Y39" s="15"/>
      <c r="AA39" s="17"/>
      <c r="AB39" s="16"/>
      <c r="AE39" s="19"/>
      <c r="AF39" s="20"/>
      <c r="AG39" s="18"/>
      <c r="AH39" s="21"/>
      <c r="AI39" s="19"/>
    </row>
    <row r="40" spans="1:35" x14ac:dyDescent="0.25">
      <c r="J40" s="8"/>
      <c r="K40" s="9"/>
      <c r="L40" s="4"/>
      <c r="M40" s="4"/>
      <c r="N40" s="9"/>
      <c r="O40" s="10"/>
      <c r="P40" s="10"/>
      <c r="R40" s="22"/>
      <c r="S40" s="11"/>
      <c r="T40" s="12"/>
      <c r="U40" s="13"/>
      <c r="V40" s="14"/>
      <c r="X40" s="15"/>
      <c r="Y40" s="15"/>
      <c r="AA40" s="17"/>
      <c r="AB40" s="16"/>
      <c r="AE40" s="19"/>
      <c r="AF40" s="20"/>
      <c r="AG40" s="18"/>
      <c r="AH40" s="21"/>
      <c r="AI40" s="19"/>
    </row>
    <row r="41" spans="1:35" x14ac:dyDescent="0.25">
      <c r="J41" s="8"/>
      <c r="K41" s="9"/>
      <c r="L41" s="4"/>
      <c r="M41" s="4"/>
      <c r="N41" s="9"/>
      <c r="O41" s="10"/>
      <c r="P41" s="10"/>
      <c r="R41" s="22"/>
      <c r="S41" s="11"/>
      <c r="T41" s="12"/>
      <c r="U41" s="13"/>
      <c r="V41" s="14"/>
      <c r="X41" s="15"/>
      <c r="Y41" s="15"/>
      <c r="AA41" s="17"/>
      <c r="AB41" s="16"/>
      <c r="AE41" s="19"/>
      <c r="AF41" s="20"/>
      <c r="AG41" s="18"/>
      <c r="AH41" s="21"/>
      <c r="AI41" s="19"/>
    </row>
    <row r="42" spans="1:35" x14ac:dyDescent="0.25">
      <c r="J42" s="8"/>
      <c r="K42" s="9"/>
      <c r="L42" s="4"/>
      <c r="M42" s="4"/>
      <c r="N42" s="9"/>
      <c r="O42" s="10"/>
      <c r="P42" s="10"/>
      <c r="R42" s="22"/>
      <c r="S42" s="11"/>
      <c r="T42" s="12"/>
      <c r="U42" s="13"/>
      <c r="V42" s="14"/>
      <c r="X42" s="15"/>
      <c r="Y42" s="15"/>
      <c r="AA42" s="17"/>
      <c r="AB42" s="16"/>
      <c r="AE42" s="19"/>
      <c r="AF42" s="20"/>
      <c r="AG42" s="18"/>
      <c r="AH42" s="21"/>
      <c r="AI42" s="19"/>
    </row>
    <row r="43" spans="1:35" x14ac:dyDescent="0.25">
      <c r="J43" s="8"/>
      <c r="K43" s="9"/>
      <c r="L43" s="4"/>
      <c r="M43" s="4"/>
      <c r="N43" s="9"/>
      <c r="O43" s="10"/>
      <c r="P43" s="10"/>
      <c r="R43" s="22"/>
      <c r="S43" s="11"/>
      <c r="T43" s="12"/>
      <c r="U43" s="13"/>
      <c r="V43" s="14"/>
      <c r="X43" s="15"/>
      <c r="Y43" s="15"/>
      <c r="AA43" s="17"/>
      <c r="AB43" s="16"/>
      <c r="AE43" s="19"/>
      <c r="AF43" s="20"/>
      <c r="AG43" s="18"/>
      <c r="AH43" s="21"/>
      <c r="AI43" s="19"/>
    </row>
    <row r="44" spans="1:35" x14ac:dyDescent="0.25">
      <c r="J44" s="8"/>
      <c r="K44" s="9"/>
      <c r="L44" s="4"/>
      <c r="M44" s="4"/>
      <c r="N44" s="9"/>
      <c r="O44" s="10"/>
      <c r="P44" s="10"/>
      <c r="R44" s="22"/>
      <c r="S44" s="11"/>
      <c r="T44" s="12"/>
      <c r="U44" s="13"/>
      <c r="V44" s="14"/>
      <c r="X44" s="15"/>
      <c r="Y44" s="15"/>
      <c r="AA44" s="17"/>
      <c r="AB44" s="16"/>
      <c r="AE44" s="19"/>
      <c r="AF44" s="20"/>
      <c r="AG44" s="18"/>
      <c r="AH44" s="21"/>
      <c r="AI44" s="19"/>
    </row>
    <row r="45" spans="1:35" x14ac:dyDescent="0.25">
      <c r="J45" s="8"/>
      <c r="K45" s="9"/>
      <c r="L45" s="4"/>
      <c r="M45" s="4"/>
      <c r="N45" s="9"/>
      <c r="O45" s="10"/>
      <c r="P45" s="10"/>
      <c r="R45" s="22"/>
      <c r="S45" s="11"/>
      <c r="T45" s="12"/>
      <c r="U45" s="13"/>
      <c r="V45" s="14"/>
      <c r="X45" s="15"/>
      <c r="Y45" s="15"/>
      <c r="AA45" s="17"/>
      <c r="AB45" s="16"/>
      <c r="AE45" s="19"/>
      <c r="AF45" s="20"/>
      <c r="AG45" s="18"/>
      <c r="AH45" s="21"/>
      <c r="AI45" s="19"/>
    </row>
    <row r="46" spans="1:35" x14ac:dyDescent="0.25">
      <c r="J46" s="8"/>
      <c r="K46" s="9"/>
      <c r="L46" s="4"/>
      <c r="M46" s="4"/>
      <c r="N46" s="9"/>
      <c r="O46" s="10"/>
      <c r="P46" s="10"/>
      <c r="R46" s="22"/>
      <c r="S46" s="11"/>
      <c r="T46" s="12"/>
      <c r="U46" s="13"/>
      <c r="V46" s="14"/>
      <c r="X46" s="15"/>
      <c r="Y46" s="15"/>
      <c r="AA46" s="17"/>
      <c r="AB46" s="16"/>
      <c r="AE46" s="19"/>
      <c r="AF46" s="20"/>
      <c r="AG46" s="18"/>
      <c r="AH46" s="21"/>
      <c r="AI46" s="19"/>
    </row>
    <row r="47" spans="1:35" x14ac:dyDescent="0.25">
      <c r="J47" s="8"/>
      <c r="K47" s="9"/>
      <c r="L47" s="4"/>
      <c r="M47" s="4"/>
      <c r="N47" s="9"/>
      <c r="O47" s="10"/>
      <c r="P47" s="10"/>
      <c r="R47" s="22"/>
      <c r="S47" s="11"/>
      <c r="T47" s="12"/>
      <c r="U47" s="13"/>
      <c r="V47" s="14"/>
      <c r="X47" s="15"/>
      <c r="Y47" s="15"/>
      <c r="AA47" s="17"/>
      <c r="AB47" s="16"/>
      <c r="AE47" s="19"/>
      <c r="AF47" s="20"/>
      <c r="AG47" s="18"/>
      <c r="AH47" s="21"/>
      <c r="AI47" s="19"/>
    </row>
    <row r="48" spans="1:35" x14ac:dyDescent="0.25">
      <c r="J48" s="8"/>
      <c r="K48" s="9"/>
      <c r="L48" s="4"/>
      <c r="M48" s="4"/>
      <c r="N48" s="9"/>
      <c r="O48" s="10"/>
      <c r="P48" s="10"/>
      <c r="R48" s="22"/>
      <c r="S48" s="11"/>
      <c r="T48" s="12"/>
      <c r="U48" s="13"/>
      <c r="V48" s="14"/>
      <c r="X48" s="15"/>
      <c r="Y48" s="15"/>
      <c r="AA48" s="17"/>
      <c r="AB48" s="16"/>
      <c r="AE48" s="19"/>
      <c r="AF48" s="20"/>
      <c r="AG48" s="18"/>
      <c r="AH48" s="21"/>
      <c r="AI48" s="19"/>
    </row>
    <row r="49" spans="10:35" x14ac:dyDescent="0.25">
      <c r="J49" s="8"/>
      <c r="K49" s="9"/>
      <c r="L49" s="4"/>
      <c r="M49" s="4"/>
      <c r="N49" s="9"/>
      <c r="O49" s="10"/>
      <c r="P49" s="10"/>
      <c r="R49" s="22"/>
      <c r="S49" s="11"/>
      <c r="T49" s="12"/>
      <c r="U49" s="13"/>
      <c r="V49" s="14"/>
      <c r="X49" s="15"/>
      <c r="Y49" s="15"/>
      <c r="AA49" s="17"/>
      <c r="AB49" s="16"/>
      <c r="AE49" s="19"/>
      <c r="AF49" s="20"/>
      <c r="AG49" s="18"/>
      <c r="AH49" s="21"/>
      <c r="AI49" s="19"/>
    </row>
    <row r="50" spans="10:35" x14ac:dyDescent="0.25">
      <c r="J50" s="8"/>
      <c r="K50" s="9"/>
      <c r="L50" s="4"/>
      <c r="M50" s="4"/>
      <c r="N50" s="9"/>
      <c r="O50" s="10"/>
      <c r="P50" s="10"/>
      <c r="R50" s="22"/>
      <c r="S50" s="11"/>
      <c r="T50" s="12"/>
      <c r="U50" s="13"/>
      <c r="V50" s="14"/>
      <c r="X50" s="15"/>
      <c r="Y50" s="15"/>
      <c r="AA50" s="17"/>
      <c r="AB50" s="16"/>
      <c r="AE50" s="19"/>
      <c r="AF50" s="20"/>
      <c r="AG50" s="18"/>
      <c r="AH50" s="21"/>
      <c r="AI50" s="19"/>
    </row>
    <row r="51" spans="10:35" x14ac:dyDescent="0.25">
      <c r="J51" s="8"/>
      <c r="K51" s="9"/>
      <c r="L51" s="4"/>
      <c r="M51" s="4"/>
      <c r="N51" s="9"/>
      <c r="O51" s="10"/>
      <c r="P51" s="10"/>
      <c r="R51" s="22"/>
      <c r="S51" s="11"/>
      <c r="T51" s="12"/>
      <c r="U51" s="13"/>
      <c r="V51" s="14"/>
      <c r="X51" s="15"/>
      <c r="Y51" s="15"/>
      <c r="AA51" s="17"/>
      <c r="AB51" s="16"/>
      <c r="AE51" s="19"/>
      <c r="AF51" s="20"/>
      <c r="AG51" s="18"/>
      <c r="AH51" s="21"/>
      <c r="AI51" s="19"/>
    </row>
    <row r="52" spans="10:35" x14ac:dyDescent="0.25">
      <c r="J52" s="8"/>
      <c r="K52" s="9"/>
      <c r="L52" s="4"/>
      <c r="M52" s="4"/>
      <c r="N52" s="9"/>
      <c r="O52" s="10"/>
      <c r="P52" s="10"/>
      <c r="R52" s="22"/>
      <c r="S52" s="11"/>
      <c r="T52" s="12"/>
      <c r="U52" s="13"/>
      <c r="V52" s="14"/>
      <c r="X52" s="15"/>
      <c r="Y52" s="15"/>
      <c r="AA52" s="17"/>
      <c r="AB52" s="16"/>
      <c r="AE52" s="19"/>
      <c r="AF52" s="20"/>
      <c r="AG52" s="18"/>
      <c r="AH52" s="21"/>
      <c r="AI52" s="19"/>
    </row>
    <row r="53" spans="10:35" x14ac:dyDescent="0.25">
      <c r="J53" s="8"/>
      <c r="K53" s="9"/>
      <c r="L53" s="4"/>
      <c r="M53" s="4"/>
      <c r="N53" s="9"/>
      <c r="O53" s="10"/>
      <c r="P53" s="10"/>
      <c r="R53" s="22"/>
      <c r="S53" s="11"/>
      <c r="T53" s="12"/>
      <c r="U53" s="13"/>
      <c r="V53" s="14"/>
      <c r="X53" s="15"/>
      <c r="Y53" s="15"/>
      <c r="AA53" s="17"/>
      <c r="AB53" s="16"/>
      <c r="AE53" s="19"/>
      <c r="AF53" s="20"/>
      <c r="AG53" s="18"/>
      <c r="AH53" s="21"/>
      <c r="AI53" s="19"/>
    </row>
    <row r="54" spans="10:35" x14ac:dyDescent="0.25">
      <c r="J54" s="8"/>
      <c r="K54" s="9"/>
      <c r="L54" s="4"/>
      <c r="M54" s="4"/>
      <c r="N54" s="9"/>
      <c r="O54" s="10"/>
      <c r="P54" s="10"/>
      <c r="R54" s="22"/>
      <c r="S54" s="11"/>
      <c r="T54" s="12"/>
      <c r="U54" s="13"/>
      <c r="V54" s="14"/>
      <c r="X54" s="15"/>
      <c r="Y54" s="15"/>
      <c r="AA54" s="17"/>
      <c r="AB54" s="16"/>
      <c r="AE54" s="19"/>
      <c r="AF54" s="20"/>
      <c r="AG54" s="18"/>
      <c r="AH54" s="21"/>
      <c r="AI54" s="19"/>
    </row>
    <row r="55" spans="10:35" x14ac:dyDescent="0.25">
      <c r="J55" s="8"/>
      <c r="K55" s="9"/>
      <c r="L55" s="4"/>
      <c r="M55" s="4"/>
      <c r="N55" s="9"/>
      <c r="O55" s="10"/>
      <c r="P55" s="10"/>
      <c r="R55" s="22"/>
      <c r="S55" s="11"/>
      <c r="T55" s="12"/>
      <c r="U55" s="13"/>
      <c r="V55" s="14"/>
      <c r="X55" s="15"/>
      <c r="Y55" s="15"/>
      <c r="AA55" s="17"/>
      <c r="AB55" s="16"/>
      <c r="AE55" s="19"/>
      <c r="AF55" s="20"/>
      <c r="AG55" s="18"/>
      <c r="AH55" s="21"/>
      <c r="AI55" s="19"/>
    </row>
    <row r="56" spans="10:35" x14ac:dyDescent="0.25">
      <c r="J56" s="8"/>
      <c r="K56" s="9"/>
      <c r="L56" s="4"/>
      <c r="M56" s="4"/>
      <c r="N56" s="9"/>
      <c r="O56" s="10"/>
      <c r="P56" s="10"/>
      <c r="R56" s="22"/>
      <c r="S56" s="11"/>
      <c r="T56" s="12"/>
      <c r="U56" s="13"/>
      <c r="V56" s="14"/>
      <c r="X56" s="15"/>
      <c r="Y56" s="15"/>
      <c r="AA56" s="17"/>
      <c r="AB56" s="16"/>
      <c r="AE56" s="19"/>
      <c r="AF56" s="20"/>
      <c r="AG56" s="18"/>
      <c r="AH56" s="21"/>
      <c r="AI56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5:AI66"/>
  <sheetViews>
    <sheetView topLeftCell="A19" zoomScaleNormal="100" workbookViewId="0">
      <selection activeCell="A41" sqref="A38:XFD41"/>
    </sheetView>
  </sheetViews>
  <sheetFormatPr defaultRowHeight="15" x14ac:dyDescent="0.25"/>
  <cols>
    <col min="1" max="1" width="21.140625" style="2" customWidth="1"/>
    <col min="2" max="2" width="11.28515625" style="3" customWidth="1"/>
    <col min="3" max="3" width="8.5703125" style="3" customWidth="1"/>
    <col min="4" max="4" width="4.7109375" style="2" customWidth="1"/>
    <col min="5" max="5" width="10.42578125" style="3" customWidth="1"/>
    <col min="6" max="6" width="8.7109375" style="2" customWidth="1"/>
    <col min="7" max="9" width="9.42578125" style="3" customWidth="1"/>
    <col min="10" max="10" width="11" style="2" bestFit="1" customWidth="1"/>
    <col min="11" max="11" width="7.7109375" style="2" customWidth="1"/>
    <col min="12" max="12" width="13.5703125" style="3" customWidth="1"/>
    <col min="13" max="13" width="13.28515625" style="3" customWidth="1"/>
    <col min="14" max="14" width="9.7109375" style="2" customWidth="1"/>
    <col min="15" max="16" width="10.85546875" style="2" customWidth="1"/>
    <col min="17" max="17" width="8.5703125" style="2" customWidth="1"/>
    <col min="18" max="18" width="13.42578125" style="3" customWidth="1"/>
    <col min="19" max="19" width="8.28515625" style="3" customWidth="1"/>
    <col min="20" max="20" width="10.85546875" style="2" customWidth="1"/>
    <col min="21" max="21" width="9.7109375" style="3" customWidth="1"/>
    <col min="22" max="22" width="11.85546875" style="3" customWidth="1"/>
    <col min="23" max="23" width="10.28515625" style="2" customWidth="1"/>
    <col min="24" max="24" width="8.85546875" style="3" customWidth="1"/>
    <col min="25" max="25" width="10.28515625" style="3" customWidth="1"/>
    <col min="26" max="26" width="10.7109375" style="2" customWidth="1"/>
    <col min="27" max="27" width="11.28515625" style="24" customWidth="1"/>
    <col min="28" max="28" width="11.5703125" style="3" customWidth="1"/>
    <col min="29" max="29" width="10.7109375" style="18" customWidth="1"/>
    <col min="30" max="30" width="10.28515625" style="2" bestFit="1" customWidth="1"/>
    <col min="31" max="31" width="15.28515625" style="2" customWidth="1"/>
    <col min="32" max="32" width="10.42578125" style="2" bestFit="1" customWidth="1"/>
    <col min="33" max="33" width="12.28515625" style="2" bestFit="1" customWidth="1"/>
    <col min="34" max="34" width="10.28515625" style="3" customWidth="1"/>
    <col min="35" max="35" width="8.42578125" style="2" bestFit="1" customWidth="1"/>
    <col min="36" max="58" width="2.28515625" style="2" customWidth="1"/>
    <col min="59" max="59" width="6.42578125" style="2" bestFit="1" customWidth="1"/>
    <col min="60" max="60" width="9.7109375" style="2" bestFit="1" customWidth="1"/>
    <col min="61" max="61" width="4.140625" style="2" bestFit="1" customWidth="1"/>
    <col min="62" max="62" width="6.28515625" style="2" bestFit="1" customWidth="1"/>
    <col min="63" max="63" width="11.140625" style="2" customWidth="1"/>
    <col min="64" max="64" width="8.7109375" style="2" bestFit="1" customWidth="1"/>
    <col min="65" max="65" width="9.7109375" style="2" customWidth="1"/>
    <col min="66" max="66" width="4.140625" style="2" bestFit="1" customWidth="1"/>
    <col min="67" max="67" width="6.28515625" style="2" bestFit="1" customWidth="1"/>
    <col min="68" max="68" width="6.7109375" style="2" bestFit="1" customWidth="1"/>
    <col min="69" max="69" width="8.42578125" style="2" bestFit="1" customWidth="1"/>
    <col min="70" max="70" width="9.7109375" style="2" bestFit="1" customWidth="1"/>
    <col min="71" max="71" width="4.140625" style="2" bestFit="1" customWidth="1"/>
    <col min="72" max="72" width="6.28515625" style="2" bestFit="1" customWidth="1"/>
    <col min="73" max="73" width="10.140625" style="2" customWidth="1"/>
    <col min="74" max="74" width="9.5703125" style="2" bestFit="1" customWidth="1"/>
    <col min="75" max="75" width="9.7109375" style="2" bestFit="1" customWidth="1"/>
    <col min="76" max="76" width="4.140625" style="2" bestFit="1" customWidth="1"/>
    <col min="77" max="77" width="6.28515625" style="2" bestFit="1" customWidth="1"/>
    <col min="78" max="78" width="6.7109375" style="2" bestFit="1" customWidth="1"/>
    <col min="79" max="79" width="9.140625" style="2"/>
    <col min="80" max="80" width="19.28515625" style="2" bestFit="1" customWidth="1"/>
    <col min="81" max="81" width="18.28515625" style="2" bestFit="1" customWidth="1"/>
    <col min="82" max="82" width="20.5703125" style="2" bestFit="1" customWidth="1"/>
    <col min="83" max="83" width="4.85546875" style="2" bestFit="1" customWidth="1"/>
    <col min="84" max="84" width="3.28515625" style="2" bestFit="1" customWidth="1"/>
    <col min="85" max="85" width="9.140625" style="2"/>
    <col min="86" max="86" width="6.28515625" style="2" bestFit="1" customWidth="1"/>
    <col min="87" max="87" width="3.42578125" style="2" bestFit="1" customWidth="1"/>
    <col min="88" max="88" width="4.85546875" style="2" bestFit="1" customWidth="1"/>
    <col min="89" max="89" width="4.140625" style="2" bestFit="1" customWidth="1"/>
    <col min="90" max="16384" width="9.140625" style="2"/>
  </cols>
  <sheetData>
    <row r="35" spans="1:35" s="1" customFormat="1" ht="45" x14ac:dyDescent="0.25">
      <c r="A35" s="2" t="s">
        <v>8</v>
      </c>
      <c r="B35" s="3" t="s">
        <v>0</v>
      </c>
      <c r="C35" s="3" t="s">
        <v>1</v>
      </c>
      <c r="D35" s="2" t="s">
        <v>9</v>
      </c>
      <c r="E35" s="3" t="s">
        <v>2</v>
      </c>
      <c r="F35" s="2" t="s">
        <v>10</v>
      </c>
      <c r="G35" s="3" t="s">
        <v>3</v>
      </c>
      <c r="H35" s="3" t="s">
        <v>4</v>
      </c>
      <c r="I35" s="3" t="s">
        <v>5</v>
      </c>
      <c r="J35" s="1" t="s">
        <v>28</v>
      </c>
      <c r="K35" s="1" t="s">
        <v>29</v>
      </c>
      <c r="L35" s="4" t="s">
        <v>33</v>
      </c>
      <c r="M35" s="4" t="s">
        <v>34</v>
      </c>
      <c r="N35" s="1" t="s">
        <v>30</v>
      </c>
      <c r="O35" s="2" t="s">
        <v>6</v>
      </c>
      <c r="P35" s="2" t="s">
        <v>7</v>
      </c>
      <c r="Q35" s="1" t="s">
        <v>31</v>
      </c>
      <c r="R35" s="3" t="s">
        <v>11</v>
      </c>
      <c r="S35" s="4" t="s">
        <v>12</v>
      </c>
      <c r="T35" s="1" t="s">
        <v>13</v>
      </c>
      <c r="U35" s="4" t="s">
        <v>14</v>
      </c>
      <c r="V35" s="3" t="s">
        <v>15</v>
      </c>
      <c r="W35" s="1" t="s">
        <v>16</v>
      </c>
      <c r="X35" s="4" t="s">
        <v>17</v>
      </c>
      <c r="Y35" s="4" t="s">
        <v>18</v>
      </c>
      <c r="Z35" s="2" t="s">
        <v>19</v>
      </c>
      <c r="AA35" s="5" t="s">
        <v>20</v>
      </c>
      <c r="AB35" s="3" t="s">
        <v>21</v>
      </c>
      <c r="AC35" s="6" t="s">
        <v>22</v>
      </c>
      <c r="AD35" s="2" t="s">
        <v>23</v>
      </c>
      <c r="AE35" s="1" t="s">
        <v>32</v>
      </c>
      <c r="AF35" s="2" t="s">
        <v>24</v>
      </c>
      <c r="AG35" s="2" t="s">
        <v>25</v>
      </c>
      <c r="AH35" s="3" t="s">
        <v>26</v>
      </c>
      <c r="AI35" s="2" t="s">
        <v>27</v>
      </c>
    </row>
    <row r="36" spans="1:35" x14ac:dyDescent="0.25">
      <c r="A36" s="2" t="s">
        <v>48</v>
      </c>
      <c r="B36" s="3" t="s">
        <v>36</v>
      </c>
      <c r="C36" s="3">
        <v>5</v>
      </c>
      <c r="D36" s="2" t="s">
        <v>42</v>
      </c>
      <c r="E36" s="3" t="s">
        <v>43</v>
      </c>
      <c r="J36" s="8" t="str">
        <f t="shared" ref="J36:J37" si="0">IF(ISBLANK(G36),"",IF(ISBLANK(H36),"",IF(ISBLANK(I36),"",(AVERAGE(G36:I36)))))</f>
        <v/>
      </c>
      <c r="K36" s="9" t="str">
        <f t="shared" ref="K36:K37" si="1">IF(ISBLANK(G36),"",IF(ISBLANK(H36),"",IF(ISBLANK(I36),"",J36-C36)))</f>
        <v/>
      </c>
      <c r="L36" s="4"/>
      <c r="M36" s="4"/>
      <c r="N36" s="9" t="str">
        <f>IF(ISBLANK(G36),"",IF(ISBLANK(H36),"",IF(ISBLANK(I36),"",ROUND((O36-C36),3))))</f>
        <v/>
      </c>
      <c r="O36" s="10">
        <v>5.0529999999999999</v>
      </c>
      <c r="P36" s="10">
        <v>4.9470000000000001</v>
      </c>
      <c r="Q36" s="2" t="str">
        <f t="shared" ref="Q36:Q37" si="2">IF(ISBLANK(G36),"",IF(ISBLANK(H36),"",IF(ISBLANK(I36),"",IF(AND(J36&gt;=P36,J36&lt;=O36),"PASS","FAIL"))))</f>
        <v/>
      </c>
      <c r="R36" s="22">
        <v>7.3000000000000001E-3</v>
      </c>
      <c r="S36" s="11">
        <v>2</v>
      </c>
      <c r="T36" s="12">
        <f t="shared" ref="T36:T37" si="3">IFERROR(R36/S36,0)</f>
        <v>3.65E-3</v>
      </c>
      <c r="U36" s="13">
        <v>0</v>
      </c>
      <c r="V36" s="14">
        <f t="shared" ref="V36:V37" si="4">SQRT(3)</f>
        <v>1.7320508075688772</v>
      </c>
      <c r="W36" s="2">
        <f t="shared" ref="W36:W37" si="5">IFERROR(U36/V36,0)</f>
        <v>0</v>
      </c>
      <c r="X36" s="15">
        <v>1E-3</v>
      </c>
      <c r="Y36" s="15">
        <v>3.4641016151377544</v>
      </c>
      <c r="Z36" s="2">
        <f t="shared" ref="Z36:Z37" si="6">IFERROR(X36/Y36,0)</f>
        <v>2.886751345948129E-4</v>
      </c>
      <c r="AA36" s="17" t="str">
        <f t="shared" ref="AA36:AA37" si="7">IF(ISBLANK(G36),"",IF(ISBLANK(H36),"",IF(ISBLANK(I36),"",STDEV(G36:I36))))</f>
        <v/>
      </c>
      <c r="AB36" s="16">
        <f t="shared" ref="AB36:AB37" si="8">SQRT(3)</f>
        <v>1.7320508075688772</v>
      </c>
      <c r="AC36" s="18" t="str">
        <f t="shared" ref="AC36:AC37" si="9">IF(ISBLANK(G36),"",IF(ISBLANK(H36),"",IF(ISBLANK(I36),"",AA36/AB36)))</f>
        <v/>
      </c>
      <c r="AD36" s="2">
        <f t="shared" ref="AD36:AD37" si="10">SQRT(SUMSQ(T36,W36,Z36,AC36))</f>
        <v>3.6613977294652563E-3</v>
      </c>
      <c r="AE36" s="19" t="str">
        <f t="shared" ref="AE36:AE37" si="11">IF(ISBLANK(G36),"",IF(ISBLANK(H36),"",IF(ISBLANK(I36),"",IF(AD36=0,0,(AD36^4)/(((AC36^4)/2)+((Z36^4)/200)+((W36^4)/200)+((T36^4)/200))))))</f>
        <v/>
      </c>
      <c r="AF36" s="20" t="str">
        <f t="shared" ref="AF36:AF37" si="12">IF(ISBLANK(G36),"",IF(ISBLANK(H36),"",IF(ISBLANK(I36),"",ROUND(IF(AE36&gt;=30,2,_xlfn.T.INV.2T(0.05,AE36)),0))))</f>
        <v/>
      </c>
      <c r="AG36" s="18" t="str">
        <f>IF(ISBLANK(G36),"",IF(ISBLANK(H36),"",IF(ISBLANK(I36),"",ROUND(AF36*AD36,4))))</f>
        <v/>
      </c>
      <c r="AH36" s="25">
        <v>8.5000000000000006E-5</v>
      </c>
      <c r="AI36" s="23">
        <f t="shared" ref="AI36:AI37" si="13">IF(ISBLANK(G36),0,IF(ISBLANK(H36),0,IF(ISBLANK(I36),0,MAX(AG36,AH36))))</f>
        <v>0</v>
      </c>
    </row>
    <row r="37" spans="1:35" x14ac:dyDescent="0.25">
      <c r="A37" s="2" t="s">
        <v>48</v>
      </c>
      <c r="B37" s="3" t="s">
        <v>36</v>
      </c>
      <c r="C37" s="3">
        <v>5</v>
      </c>
      <c r="D37" s="2" t="s">
        <v>42</v>
      </c>
      <c r="E37" s="3" t="s">
        <v>38</v>
      </c>
      <c r="J37" s="8" t="str">
        <f t="shared" si="0"/>
        <v/>
      </c>
      <c r="K37" s="9" t="str">
        <f t="shared" si="1"/>
        <v/>
      </c>
      <c r="L37" s="4"/>
      <c r="M37" s="4"/>
      <c r="N37" s="9" t="str">
        <f t="shared" ref="N37" si="14">IF(ISBLANK(G37),"",IF(ISBLANK(H37),"",IF(ISBLANK(I37),"",ROUND((O37-C37),3))))</f>
        <v/>
      </c>
      <c r="O37" s="10">
        <v>5.1029999999999998</v>
      </c>
      <c r="P37" s="10">
        <v>4.8970000000000002</v>
      </c>
      <c r="Q37" s="2" t="str">
        <f t="shared" si="2"/>
        <v/>
      </c>
      <c r="R37" s="22">
        <v>7.3000000000000001E-3</v>
      </c>
      <c r="S37" s="11">
        <v>2</v>
      </c>
      <c r="T37" s="12">
        <f t="shared" si="3"/>
        <v>3.65E-3</v>
      </c>
      <c r="U37" s="13">
        <v>0</v>
      </c>
      <c r="V37" s="14">
        <f t="shared" si="4"/>
        <v>1.7320508075688772</v>
      </c>
      <c r="W37" s="2">
        <f t="shared" si="5"/>
        <v>0</v>
      </c>
      <c r="X37" s="15">
        <v>1E-3</v>
      </c>
      <c r="Y37" s="15">
        <v>3.4641016151377544</v>
      </c>
      <c r="Z37" s="2">
        <f t="shared" si="6"/>
        <v>2.886751345948129E-4</v>
      </c>
      <c r="AA37" s="17" t="str">
        <f t="shared" si="7"/>
        <v/>
      </c>
      <c r="AB37" s="16">
        <f t="shared" si="8"/>
        <v>1.7320508075688772</v>
      </c>
      <c r="AC37" s="18" t="str">
        <f t="shared" si="9"/>
        <v/>
      </c>
      <c r="AD37" s="2">
        <f t="shared" si="10"/>
        <v>3.6613977294652563E-3</v>
      </c>
      <c r="AE37" s="19" t="str">
        <f t="shared" si="11"/>
        <v/>
      </c>
      <c r="AF37" s="20" t="str">
        <f t="shared" si="12"/>
        <v/>
      </c>
      <c r="AG37" s="18" t="str">
        <f t="shared" ref="AG37" si="15">IF(ISBLANK(G37),"",IF(ISBLANK(H37),"",IF(ISBLANK(I37),"",ROUND(AF37*AD37,4))))</f>
        <v/>
      </c>
      <c r="AH37" s="25">
        <v>8.5000000000000006E-5</v>
      </c>
      <c r="AI37" s="23">
        <f t="shared" si="13"/>
        <v>0</v>
      </c>
    </row>
    <row r="38" spans="1:35" x14ac:dyDescent="0.25">
      <c r="J38" s="8"/>
      <c r="K38" s="9"/>
      <c r="L38" s="4"/>
      <c r="M38" s="4"/>
      <c r="N38" s="9"/>
      <c r="O38" s="10"/>
      <c r="P38" s="10"/>
      <c r="R38" s="22"/>
      <c r="S38" s="11"/>
      <c r="T38" s="12"/>
      <c r="U38" s="13"/>
      <c r="V38" s="14"/>
      <c r="X38" s="15"/>
      <c r="Y38" s="15"/>
      <c r="AA38" s="17"/>
      <c r="AB38" s="16"/>
      <c r="AE38" s="19"/>
      <c r="AF38" s="20"/>
      <c r="AG38" s="18"/>
      <c r="AH38" s="21"/>
      <c r="AI38" s="19"/>
    </row>
    <row r="39" spans="1:35" x14ac:dyDescent="0.25">
      <c r="J39" s="8"/>
      <c r="K39" s="9"/>
      <c r="L39" s="4"/>
      <c r="M39" s="4"/>
      <c r="N39" s="9"/>
      <c r="O39" s="10"/>
      <c r="P39" s="10"/>
      <c r="R39" s="22"/>
      <c r="S39" s="11"/>
      <c r="T39" s="12"/>
      <c r="U39" s="13"/>
      <c r="V39" s="14"/>
      <c r="X39" s="15"/>
      <c r="Y39" s="15"/>
      <c r="AA39" s="17"/>
      <c r="AB39" s="16"/>
      <c r="AE39" s="19"/>
      <c r="AF39" s="20"/>
      <c r="AG39" s="18"/>
      <c r="AH39" s="21"/>
      <c r="AI39" s="19"/>
    </row>
    <row r="40" spans="1:35" x14ac:dyDescent="0.25">
      <c r="J40" s="8"/>
      <c r="K40" s="9"/>
      <c r="L40" s="4"/>
      <c r="M40" s="4"/>
      <c r="N40" s="9"/>
      <c r="O40" s="10"/>
      <c r="P40" s="10"/>
      <c r="R40" s="22"/>
      <c r="S40" s="11"/>
      <c r="T40" s="12"/>
      <c r="U40" s="13"/>
      <c r="V40" s="14"/>
      <c r="X40" s="15"/>
      <c r="Y40" s="15"/>
      <c r="AA40" s="17"/>
      <c r="AB40" s="16"/>
      <c r="AE40" s="19"/>
      <c r="AF40" s="20"/>
      <c r="AG40" s="18"/>
      <c r="AH40" s="21"/>
      <c r="AI40" s="19"/>
    </row>
    <row r="41" spans="1:35" x14ac:dyDescent="0.25">
      <c r="J41" s="8"/>
      <c r="K41" s="9"/>
      <c r="L41" s="4"/>
      <c r="M41" s="4"/>
      <c r="N41" s="9"/>
      <c r="O41" s="10"/>
      <c r="P41" s="10"/>
      <c r="R41" s="22"/>
      <c r="S41" s="11"/>
      <c r="T41" s="12"/>
      <c r="U41" s="13"/>
      <c r="V41" s="14"/>
      <c r="X41" s="15"/>
      <c r="Y41" s="15"/>
      <c r="AA41" s="17"/>
      <c r="AB41" s="16"/>
      <c r="AE41" s="19"/>
      <c r="AF41" s="20"/>
      <c r="AG41" s="18"/>
      <c r="AH41" s="21"/>
      <c r="AI41" s="19"/>
    </row>
    <row r="42" spans="1:35" x14ac:dyDescent="0.25">
      <c r="J42" s="8"/>
      <c r="K42" s="9"/>
      <c r="L42" s="4"/>
      <c r="M42" s="4"/>
      <c r="N42" s="9"/>
      <c r="O42" s="10"/>
      <c r="P42" s="10"/>
      <c r="R42" s="22"/>
      <c r="S42" s="11"/>
      <c r="T42" s="12"/>
      <c r="U42" s="13"/>
      <c r="V42" s="14"/>
      <c r="X42" s="15"/>
      <c r="Y42" s="15"/>
      <c r="AA42" s="17"/>
      <c r="AB42" s="16"/>
      <c r="AE42" s="19"/>
      <c r="AF42" s="20"/>
      <c r="AG42" s="18"/>
      <c r="AH42" s="21"/>
      <c r="AI42" s="19"/>
    </row>
    <row r="43" spans="1:35" x14ac:dyDescent="0.25">
      <c r="J43" s="8"/>
      <c r="K43" s="9"/>
      <c r="L43" s="4"/>
      <c r="M43" s="4"/>
      <c r="N43" s="9"/>
      <c r="O43" s="10"/>
      <c r="P43" s="10"/>
      <c r="R43" s="22"/>
      <c r="S43" s="11"/>
      <c r="T43" s="12"/>
      <c r="U43" s="13"/>
      <c r="V43" s="14"/>
      <c r="X43" s="15"/>
      <c r="Y43" s="15"/>
      <c r="AA43" s="17"/>
      <c r="AB43" s="16"/>
      <c r="AE43" s="19"/>
      <c r="AF43" s="20"/>
      <c r="AG43" s="18"/>
      <c r="AH43" s="21"/>
      <c r="AI43" s="19"/>
    </row>
    <row r="44" spans="1:35" x14ac:dyDescent="0.25">
      <c r="J44" s="8"/>
      <c r="K44" s="9"/>
      <c r="L44" s="4"/>
      <c r="M44" s="4"/>
      <c r="N44" s="9"/>
      <c r="O44" s="10"/>
      <c r="P44" s="10"/>
      <c r="R44" s="22"/>
      <c r="S44" s="11"/>
      <c r="T44" s="12"/>
      <c r="U44" s="13"/>
      <c r="V44" s="14"/>
      <c r="X44" s="15"/>
      <c r="Y44" s="15"/>
      <c r="AA44" s="17"/>
      <c r="AB44" s="16"/>
      <c r="AE44" s="19"/>
      <c r="AF44" s="20"/>
      <c r="AG44" s="18"/>
      <c r="AH44" s="21"/>
      <c r="AI44" s="19"/>
    </row>
    <row r="45" spans="1:35" x14ac:dyDescent="0.25">
      <c r="J45" s="8"/>
      <c r="K45" s="9"/>
      <c r="L45" s="4"/>
      <c r="M45" s="4"/>
      <c r="N45" s="9"/>
      <c r="O45" s="10"/>
      <c r="P45" s="10"/>
      <c r="R45" s="22"/>
      <c r="S45" s="11"/>
      <c r="T45" s="12"/>
      <c r="U45" s="13"/>
      <c r="V45" s="14"/>
      <c r="X45" s="15"/>
      <c r="Y45" s="15"/>
      <c r="AA45" s="17"/>
      <c r="AB45" s="16"/>
      <c r="AE45" s="19"/>
      <c r="AF45" s="20"/>
      <c r="AG45" s="18"/>
      <c r="AH45" s="21"/>
      <c r="AI45" s="19"/>
    </row>
    <row r="46" spans="1:35" x14ac:dyDescent="0.25">
      <c r="J46" s="8"/>
      <c r="K46" s="9"/>
      <c r="L46" s="4"/>
      <c r="M46" s="4"/>
      <c r="N46" s="9"/>
      <c r="O46" s="10"/>
      <c r="P46" s="10"/>
      <c r="R46" s="22"/>
      <c r="S46" s="11"/>
      <c r="T46" s="12"/>
      <c r="U46" s="13"/>
      <c r="V46" s="14"/>
      <c r="X46" s="15"/>
      <c r="Y46" s="15"/>
      <c r="AA46" s="17"/>
      <c r="AB46" s="16"/>
      <c r="AE46" s="19"/>
      <c r="AF46" s="20"/>
      <c r="AG46" s="18"/>
      <c r="AH46" s="21"/>
      <c r="AI46" s="19"/>
    </row>
    <row r="47" spans="1:35" x14ac:dyDescent="0.25">
      <c r="J47" s="8"/>
      <c r="K47" s="9"/>
      <c r="L47" s="4"/>
      <c r="M47" s="4"/>
      <c r="N47" s="9"/>
      <c r="O47" s="10"/>
      <c r="P47" s="10"/>
      <c r="R47" s="22"/>
      <c r="S47" s="11"/>
      <c r="T47" s="12"/>
      <c r="U47" s="13"/>
      <c r="V47" s="14"/>
      <c r="X47" s="15"/>
      <c r="Y47" s="15"/>
      <c r="AA47" s="17"/>
      <c r="AB47" s="16"/>
      <c r="AE47" s="19"/>
      <c r="AF47" s="20"/>
      <c r="AG47" s="18"/>
      <c r="AH47" s="21"/>
      <c r="AI47" s="19"/>
    </row>
    <row r="48" spans="1:35" x14ac:dyDescent="0.25">
      <c r="J48" s="8"/>
      <c r="K48" s="9"/>
      <c r="L48" s="4"/>
      <c r="M48" s="4"/>
      <c r="N48" s="9"/>
      <c r="O48" s="10"/>
      <c r="P48" s="10"/>
      <c r="R48" s="22"/>
      <c r="S48" s="11"/>
      <c r="T48" s="12"/>
      <c r="U48" s="13"/>
      <c r="V48" s="14"/>
      <c r="X48" s="15"/>
      <c r="Y48" s="15"/>
      <c r="AA48" s="17"/>
      <c r="AB48" s="16"/>
      <c r="AE48" s="19"/>
      <c r="AF48" s="20"/>
      <c r="AG48" s="18"/>
      <c r="AH48" s="21"/>
      <c r="AI48" s="19"/>
    </row>
    <row r="49" spans="10:35" x14ac:dyDescent="0.25">
      <c r="J49" s="8"/>
      <c r="K49" s="9"/>
      <c r="L49" s="4"/>
      <c r="M49" s="4"/>
      <c r="N49" s="9"/>
      <c r="O49" s="10"/>
      <c r="P49" s="10"/>
      <c r="R49" s="22"/>
      <c r="S49" s="11"/>
      <c r="T49" s="12"/>
      <c r="U49" s="13"/>
      <c r="V49" s="14"/>
      <c r="X49" s="15"/>
      <c r="Y49" s="15"/>
      <c r="AA49" s="17"/>
      <c r="AB49" s="16"/>
      <c r="AE49" s="19"/>
      <c r="AF49" s="20"/>
      <c r="AG49" s="18"/>
      <c r="AH49" s="21"/>
      <c r="AI49" s="19"/>
    </row>
    <row r="50" spans="10:35" x14ac:dyDescent="0.25">
      <c r="J50" s="8"/>
      <c r="K50" s="9"/>
      <c r="L50" s="4"/>
      <c r="M50" s="4"/>
      <c r="N50" s="9"/>
      <c r="O50" s="10"/>
      <c r="P50" s="10"/>
      <c r="R50" s="22"/>
      <c r="S50" s="11"/>
      <c r="T50" s="12"/>
      <c r="U50" s="13"/>
      <c r="V50" s="14"/>
      <c r="X50" s="15"/>
      <c r="Y50" s="15"/>
      <c r="AA50" s="17"/>
      <c r="AB50" s="16"/>
      <c r="AE50" s="19"/>
      <c r="AF50" s="20"/>
      <c r="AG50" s="18"/>
      <c r="AH50" s="21"/>
      <c r="AI50" s="19"/>
    </row>
    <row r="51" spans="10:35" x14ac:dyDescent="0.25">
      <c r="J51" s="8"/>
      <c r="K51" s="9"/>
      <c r="L51" s="4"/>
      <c r="M51" s="4"/>
      <c r="N51" s="9"/>
      <c r="O51" s="10"/>
      <c r="P51" s="10"/>
      <c r="R51" s="22"/>
      <c r="S51" s="11"/>
      <c r="T51" s="12"/>
      <c r="U51" s="13"/>
      <c r="V51" s="14"/>
      <c r="X51" s="15"/>
      <c r="Y51" s="15"/>
      <c r="AA51" s="17"/>
      <c r="AB51" s="16"/>
      <c r="AE51" s="19"/>
      <c r="AF51" s="20"/>
      <c r="AG51" s="18"/>
      <c r="AH51" s="21"/>
      <c r="AI51" s="19"/>
    </row>
    <row r="52" spans="10:35" x14ac:dyDescent="0.25">
      <c r="J52" s="8"/>
      <c r="K52" s="9"/>
      <c r="L52" s="4"/>
      <c r="M52" s="4"/>
      <c r="N52" s="9"/>
      <c r="O52" s="10"/>
      <c r="P52" s="10"/>
      <c r="R52" s="22"/>
      <c r="S52" s="11"/>
      <c r="T52" s="12"/>
      <c r="U52" s="13"/>
      <c r="V52" s="14"/>
      <c r="X52" s="15"/>
      <c r="Y52" s="15"/>
      <c r="AA52" s="17"/>
      <c r="AB52" s="16"/>
      <c r="AE52" s="19"/>
      <c r="AF52" s="20"/>
      <c r="AG52" s="18"/>
      <c r="AH52" s="21"/>
      <c r="AI52" s="19"/>
    </row>
    <row r="53" spans="10:35" x14ac:dyDescent="0.25">
      <c r="J53" s="8"/>
      <c r="K53" s="9"/>
      <c r="L53" s="4"/>
      <c r="M53" s="4"/>
      <c r="N53" s="9"/>
      <c r="O53" s="10"/>
      <c r="P53" s="10"/>
      <c r="R53" s="22"/>
      <c r="S53" s="11"/>
      <c r="T53" s="12"/>
      <c r="U53" s="13"/>
      <c r="V53" s="14"/>
      <c r="X53" s="15"/>
      <c r="Y53" s="15"/>
      <c r="AA53" s="17"/>
      <c r="AB53" s="16"/>
      <c r="AE53" s="19"/>
      <c r="AF53" s="20"/>
      <c r="AG53" s="18"/>
      <c r="AH53" s="21"/>
      <c r="AI53" s="19"/>
    </row>
    <row r="54" spans="10:35" x14ac:dyDescent="0.25">
      <c r="J54" s="8"/>
      <c r="K54" s="9"/>
      <c r="L54" s="4"/>
      <c r="M54" s="4"/>
      <c r="N54" s="9"/>
      <c r="O54" s="10"/>
      <c r="P54" s="10"/>
      <c r="R54" s="22"/>
      <c r="S54" s="11"/>
      <c r="T54" s="12"/>
      <c r="U54" s="13"/>
      <c r="V54" s="14"/>
      <c r="X54" s="15"/>
      <c r="Y54" s="15"/>
      <c r="AA54" s="17"/>
      <c r="AB54" s="16"/>
      <c r="AE54" s="19"/>
      <c r="AF54" s="20"/>
      <c r="AG54" s="18"/>
      <c r="AH54" s="21"/>
      <c r="AI54" s="19"/>
    </row>
    <row r="55" spans="10:35" x14ac:dyDescent="0.25">
      <c r="J55" s="8"/>
      <c r="K55" s="9"/>
      <c r="L55" s="4"/>
      <c r="M55" s="4"/>
      <c r="N55" s="9"/>
      <c r="O55" s="10"/>
      <c r="P55" s="10"/>
      <c r="R55" s="22"/>
      <c r="S55" s="11"/>
      <c r="T55" s="12"/>
      <c r="U55" s="13"/>
      <c r="V55" s="14"/>
      <c r="X55" s="15"/>
      <c r="Y55" s="15"/>
      <c r="AA55" s="17"/>
      <c r="AB55" s="16"/>
      <c r="AE55" s="19"/>
      <c r="AF55" s="20"/>
      <c r="AG55" s="18"/>
      <c r="AH55" s="21"/>
      <c r="AI55" s="19"/>
    </row>
    <row r="56" spans="10:35" x14ac:dyDescent="0.25">
      <c r="J56" s="8"/>
      <c r="K56" s="9"/>
      <c r="L56" s="4"/>
      <c r="M56" s="4"/>
      <c r="N56" s="9"/>
      <c r="O56" s="10"/>
      <c r="P56" s="10"/>
      <c r="R56" s="22"/>
      <c r="S56" s="11"/>
      <c r="T56" s="12"/>
      <c r="U56" s="13"/>
      <c r="V56" s="14"/>
      <c r="X56" s="15"/>
      <c r="Y56" s="15"/>
      <c r="AA56" s="17"/>
      <c r="AB56" s="16"/>
      <c r="AE56" s="19"/>
      <c r="AF56" s="20"/>
      <c r="AG56" s="18"/>
      <c r="AH56" s="21"/>
      <c r="AI56" s="19"/>
    </row>
    <row r="57" spans="10:35" x14ac:dyDescent="0.25">
      <c r="J57" s="8"/>
      <c r="K57" s="9"/>
      <c r="L57" s="4"/>
      <c r="M57" s="4"/>
      <c r="N57" s="9"/>
      <c r="O57" s="10"/>
      <c r="P57" s="10"/>
      <c r="R57" s="22"/>
      <c r="S57" s="11"/>
      <c r="T57" s="12"/>
      <c r="U57" s="13"/>
      <c r="V57" s="14"/>
      <c r="X57" s="15"/>
      <c r="Y57" s="15"/>
      <c r="AA57" s="17"/>
      <c r="AB57" s="16"/>
      <c r="AE57" s="19"/>
      <c r="AF57" s="20"/>
      <c r="AG57" s="18"/>
      <c r="AH57" s="21"/>
      <c r="AI57" s="19"/>
    </row>
    <row r="58" spans="10:35" x14ac:dyDescent="0.25">
      <c r="J58" s="8"/>
      <c r="K58" s="9"/>
      <c r="L58" s="4"/>
      <c r="M58" s="4"/>
      <c r="N58" s="9"/>
      <c r="O58" s="10"/>
      <c r="P58" s="10"/>
      <c r="R58" s="22"/>
      <c r="S58" s="11"/>
      <c r="T58" s="12"/>
      <c r="U58" s="13"/>
      <c r="V58" s="14"/>
      <c r="X58" s="15"/>
      <c r="Y58" s="15"/>
      <c r="AA58" s="17"/>
      <c r="AB58" s="16"/>
      <c r="AE58" s="19"/>
      <c r="AF58" s="20"/>
      <c r="AG58" s="18"/>
      <c r="AH58" s="21"/>
      <c r="AI58" s="19"/>
    </row>
    <row r="59" spans="10:35" x14ac:dyDescent="0.25">
      <c r="J59" s="8"/>
      <c r="K59" s="9"/>
      <c r="L59" s="4"/>
      <c r="M59" s="4"/>
      <c r="N59" s="9"/>
      <c r="O59" s="10"/>
      <c r="P59" s="10"/>
      <c r="R59" s="22"/>
      <c r="S59" s="11"/>
      <c r="T59" s="12"/>
      <c r="U59" s="13"/>
      <c r="V59" s="14"/>
      <c r="X59" s="15"/>
      <c r="Y59" s="15"/>
      <c r="AA59" s="17"/>
      <c r="AB59" s="16"/>
      <c r="AE59" s="19"/>
      <c r="AF59" s="20"/>
      <c r="AG59" s="18"/>
      <c r="AH59" s="21"/>
      <c r="AI59" s="19"/>
    </row>
    <row r="60" spans="10:35" x14ac:dyDescent="0.25">
      <c r="J60" s="8"/>
      <c r="K60" s="9"/>
      <c r="L60" s="4"/>
      <c r="M60" s="4"/>
      <c r="N60" s="9"/>
      <c r="O60" s="10"/>
      <c r="P60" s="10"/>
      <c r="R60" s="22"/>
      <c r="S60" s="11"/>
      <c r="T60" s="12"/>
      <c r="U60" s="13"/>
      <c r="V60" s="14"/>
      <c r="X60" s="15"/>
      <c r="Y60" s="15"/>
      <c r="AA60" s="17"/>
      <c r="AB60" s="16"/>
      <c r="AE60" s="19"/>
      <c r="AF60" s="20"/>
      <c r="AG60" s="18"/>
      <c r="AH60" s="21"/>
      <c r="AI60" s="19"/>
    </row>
    <row r="61" spans="10:35" x14ac:dyDescent="0.25">
      <c r="J61" s="8"/>
      <c r="K61" s="9"/>
      <c r="L61" s="4"/>
      <c r="M61" s="4"/>
      <c r="N61" s="9"/>
      <c r="O61" s="10"/>
      <c r="P61" s="10"/>
      <c r="R61" s="22"/>
      <c r="S61" s="11"/>
      <c r="T61" s="12"/>
      <c r="U61" s="13"/>
      <c r="V61" s="14"/>
      <c r="X61" s="15"/>
      <c r="Y61" s="15"/>
      <c r="AA61" s="17"/>
      <c r="AB61" s="16"/>
      <c r="AE61" s="19"/>
      <c r="AF61" s="20"/>
      <c r="AG61" s="18"/>
      <c r="AH61" s="21"/>
      <c r="AI61" s="19"/>
    </row>
    <row r="62" spans="10:35" x14ac:dyDescent="0.25">
      <c r="J62" s="8"/>
      <c r="K62" s="9"/>
      <c r="L62" s="4"/>
      <c r="M62" s="4"/>
      <c r="N62" s="9"/>
      <c r="O62" s="10"/>
      <c r="P62" s="10"/>
      <c r="R62" s="22"/>
      <c r="S62" s="11"/>
      <c r="T62" s="12"/>
      <c r="U62" s="13"/>
      <c r="V62" s="14"/>
      <c r="X62" s="15"/>
      <c r="Y62" s="15"/>
      <c r="AA62" s="17"/>
      <c r="AB62" s="16"/>
      <c r="AE62" s="19"/>
      <c r="AF62" s="20"/>
      <c r="AG62" s="18"/>
      <c r="AH62" s="21"/>
      <c r="AI62" s="19"/>
    </row>
    <row r="63" spans="10:35" x14ac:dyDescent="0.25">
      <c r="J63" s="8"/>
      <c r="K63" s="9"/>
      <c r="L63" s="4"/>
      <c r="M63" s="4"/>
      <c r="N63" s="9"/>
      <c r="O63" s="10"/>
      <c r="P63" s="10"/>
      <c r="R63" s="22"/>
      <c r="S63" s="11"/>
      <c r="T63" s="12"/>
      <c r="U63" s="13"/>
      <c r="V63" s="14"/>
      <c r="X63" s="15"/>
      <c r="Y63" s="15"/>
      <c r="AA63" s="17"/>
      <c r="AB63" s="16"/>
      <c r="AE63" s="19"/>
      <c r="AF63" s="20"/>
      <c r="AG63" s="18"/>
      <c r="AH63" s="21"/>
      <c r="AI63" s="19"/>
    </row>
    <row r="64" spans="10:35" x14ac:dyDescent="0.25">
      <c r="J64" s="8"/>
      <c r="K64" s="9"/>
      <c r="L64" s="4"/>
      <c r="M64" s="4"/>
      <c r="N64" s="9"/>
      <c r="O64" s="10"/>
      <c r="P64" s="10"/>
      <c r="R64" s="22"/>
      <c r="S64" s="11"/>
      <c r="T64" s="12"/>
      <c r="U64" s="13"/>
      <c r="V64" s="14"/>
      <c r="X64" s="15"/>
      <c r="Y64" s="15"/>
      <c r="AA64" s="17"/>
      <c r="AB64" s="16"/>
      <c r="AE64" s="19"/>
      <c r="AF64" s="20"/>
      <c r="AG64" s="18"/>
      <c r="AH64" s="21"/>
      <c r="AI64" s="19"/>
    </row>
    <row r="65" spans="10:35" x14ac:dyDescent="0.25">
      <c r="J65" s="8"/>
      <c r="K65" s="9"/>
      <c r="L65" s="4"/>
      <c r="M65" s="4"/>
      <c r="N65" s="9"/>
      <c r="O65" s="10"/>
      <c r="P65" s="10"/>
      <c r="R65" s="22"/>
      <c r="S65" s="11"/>
      <c r="T65" s="12"/>
      <c r="U65" s="13"/>
      <c r="V65" s="14"/>
      <c r="X65" s="15"/>
      <c r="Y65" s="15"/>
      <c r="AA65" s="17"/>
      <c r="AB65" s="16"/>
      <c r="AE65" s="19"/>
      <c r="AF65" s="20"/>
      <c r="AG65" s="18"/>
      <c r="AH65" s="21"/>
      <c r="AI65" s="19"/>
    </row>
    <row r="66" spans="10:35" x14ac:dyDescent="0.25">
      <c r="J66" s="8"/>
      <c r="K66" s="9"/>
      <c r="L66" s="4"/>
      <c r="M66" s="4"/>
      <c r="N66" s="9"/>
      <c r="O66" s="10"/>
      <c r="P66" s="10"/>
      <c r="R66" s="22"/>
      <c r="S66" s="11"/>
      <c r="T66" s="12"/>
      <c r="U66" s="13"/>
      <c r="V66" s="14"/>
      <c r="X66" s="15"/>
      <c r="Y66" s="15"/>
      <c r="AA66" s="17"/>
      <c r="AB66" s="16"/>
      <c r="AE66" s="19"/>
      <c r="AF66" s="20"/>
      <c r="AG66" s="18"/>
      <c r="AH66" s="21"/>
      <c r="AI66" s="19"/>
    </row>
  </sheetData>
  <pageMargins left="0.25" right="0.25" top="0.75" bottom="0.75" header="0.3" footer="0.3"/>
  <pageSetup paperSize="9" scale="40" fitToHeight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5:AI38"/>
  <sheetViews>
    <sheetView topLeftCell="A10" zoomScaleNormal="100" workbookViewId="0">
      <selection activeCell="A34" sqref="A1:XFD34"/>
    </sheetView>
  </sheetViews>
  <sheetFormatPr defaultRowHeight="15" x14ac:dyDescent="0.25"/>
  <cols>
    <col min="1" max="1" width="16.28515625" style="2" customWidth="1"/>
    <col min="2" max="2" width="11.28515625" style="3" customWidth="1"/>
    <col min="3" max="3" width="8.5703125" style="3" customWidth="1"/>
    <col min="4" max="4" width="4.7109375" style="2" customWidth="1"/>
    <col min="5" max="5" width="10.42578125" style="3" customWidth="1"/>
    <col min="6" max="6" width="8.7109375" style="2" customWidth="1"/>
    <col min="7" max="9" width="9.42578125" style="3" customWidth="1"/>
    <col min="10" max="10" width="11" style="2" bestFit="1" customWidth="1"/>
    <col min="11" max="11" width="7.7109375" style="2" customWidth="1"/>
    <col min="12" max="12" width="13.5703125" style="3" customWidth="1"/>
    <col min="13" max="13" width="13.28515625" style="3" customWidth="1"/>
    <col min="14" max="14" width="9.7109375" style="2" customWidth="1"/>
    <col min="15" max="16" width="10.85546875" style="2" customWidth="1"/>
    <col min="17" max="17" width="8.5703125" style="2" customWidth="1"/>
    <col min="18" max="18" width="11.28515625" style="3" customWidth="1"/>
    <col min="19" max="19" width="8.28515625" style="3" customWidth="1"/>
    <col min="20" max="20" width="10.85546875" style="2" customWidth="1"/>
    <col min="21" max="21" width="9.7109375" style="3" customWidth="1"/>
    <col min="22" max="22" width="11.85546875" style="3" customWidth="1"/>
    <col min="23" max="23" width="10.28515625" style="2" customWidth="1"/>
    <col min="24" max="24" width="8.85546875" style="3" customWidth="1"/>
    <col min="25" max="25" width="10.28515625" style="3" customWidth="1"/>
    <col min="26" max="26" width="10.7109375" style="2" customWidth="1"/>
    <col min="27" max="27" width="11.28515625" style="24" customWidth="1"/>
    <col min="28" max="28" width="11.5703125" style="3" customWidth="1"/>
    <col min="29" max="29" width="10.7109375" style="18" customWidth="1"/>
    <col min="30" max="30" width="10.28515625" style="2" bestFit="1" customWidth="1"/>
    <col min="31" max="31" width="15.28515625" style="2" customWidth="1"/>
    <col min="32" max="32" width="10.42578125" style="2" bestFit="1" customWidth="1"/>
    <col min="33" max="33" width="12.28515625" style="2" bestFit="1" customWidth="1"/>
    <col min="34" max="34" width="12.5703125" style="3" customWidth="1"/>
    <col min="35" max="35" width="8.42578125" style="2" bestFit="1" customWidth="1"/>
    <col min="36" max="58" width="2.28515625" style="2" customWidth="1"/>
    <col min="59" max="59" width="6.42578125" style="2" bestFit="1" customWidth="1"/>
    <col min="60" max="60" width="9.7109375" style="2" bestFit="1" customWidth="1"/>
    <col min="61" max="61" width="4.140625" style="2" bestFit="1" customWidth="1"/>
    <col min="62" max="62" width="6.28515625" style="2" bestFit="1" customWidth="1"/>
    <col min="63" max="63" width="11.140625" style="2" customWidth="1"/>
    <col min="64" max="64" width="8.7109375" style="2" bestFit="1" customWidth="1"/>
    <col min="65" max="65" width="9.7109375" style="2" customWidth="1"/>
    <col min="66" max="66" width="4.140625" style="2" bestFit="1" customWidth="1"/>
    <col min="67" max="67" width="6.28515625" style="2" bestFit="1" customWidth="1"/>
    <col min="68" max="68" width="6.7109375" style="2" bestFit="1" customWidth="1"/>
    <col min="69" max="69" width="8.42578125" style="2" bestFit="1" customWidth="1"/>
    <col min="70" max="70" width="9.7109375" style="2" bestFit="1" customWidth="1"/>
    <col min="71" max="71" width="4.140625" style="2" bestFit="1" customWidth="1"/>
    <col min="72" max="72" width="6.28515625" style="2" bestFit="1" customWidth="1"/>
    <col min="73" max="73" width="10.140625" style="2" customWidth="1"/>
    <col min="74" max="74" width="9.5703125" style="2" bestFit="1" customWidth="1"/>
    <col min="75" max="75" width="9.7109375" style="2" bestFit="1" customWidth="1"/>
    <col min="76" max="76" width="4.140625" style="2" bestFit="1" customWidth="1"/>
    <col min="77" max="77" width="6.28515625" style="2" bestFit="1" customWidth="1"/>
    <col min="78" max="78" width="6.7109375" style="2" bestFit="1" customWidth="1"/>
    <col min="79" max="79" width="9.140625" style="2"/>
    <col min="80" max="80" width="19.28515625" style="2" bestFit="1" customWidth="1"/>
    <col min="81" max="81" width="18.28515625" style="2" bestFit="1" customWidth="1"/>
    <col min="82" max="82" width="20.5703125" style="2" bestFit="1" customWidth="1"/>
    <col min="83" max="83" width="4.85546875" style="2" bestFit="1" customWidth="1"/>
    <col min="84" max="84" width="3.28515625" style="2" bestFit="1" customWidth="1"/>
    <col min="85" max="85" width="9.140625" style="2"/>
    <col min="86" max="86" width="6.28515625" style="2" bestFit="1" customWidth="1"/>
    <col min="87" max="87" width="3.42578125" style="2" bestFit="1" customWidth="1"/>
    <col min="88" max="88" width="4.85546875" style="2" bestFit="1" customWidth="1"/>
    <col min="89" max="89" width="4.140625" style="2" bestFit="1" customWidth="1"/>
    <col min="90" max="16384" width="9.140625" style="2"/>
  </cols>
  <sheetData>
    <row r="35" spans="1:35" s="1" customFormat="1" ht="45" x14ac:dyDescent="0.25">
      <c r="A35" s="2" t="s">
        <v>8</v>
      </c>
      <c r="B35" s="3" t="s">
        <v>0</v>
      </c>
      <c r="C35" s="3" t="s">
        <v>1</v>
      </c>
      <c r="D35" s="2" t="s">
        <v>9</v>
      </c>
      <c r="E35" s="3" t="s">
        <v>2</v>
      </c>
      <c r="F35" s="2" t="s">
        <v>10</v>
      </c>
      <c r="G35" s="3" t="s">
        <v>3</v>
      </c>
      <c r="H35" s="3" t="s">
        <v>4</v>
      </c>
      <c r="I35" s="3" t="s">
        <v>5</v>
      </c>
      <c r="J35" s="1" t="s">
        <v>28</v>
      </c>
      <c r="K35" s="1" t="s">
        <v>29</v>
      </c>
      <c r="L35" s="4" t="s">
        <v>33</v>
      </c>
      <c r="M35" s="4" t="s">
        <v>34</v>
      </c>
      <c r="N35" s="1" t="s">
        <v>30</v>
      </c>
      <c r="O35" s="2" t="s">
        <v>6</v>
      </c>
      <c r="P35" s="2" t="s">
        <v>7</v>
      </c>
      <c r="Q35" s="1" t="s">
        <v>31</v>
      </c>
      <c r="R35" s="3" t="s">
        <v>11</v>
      </c>
      <c r="S35" s="4" t="s">
        <v>12</v>
      </c>
      <c r="T35" s="1" t="s">
        <v>13</v>
      </c>
      <c r="U35" s="4" t="s">
        <v>14</v>
      </c>
      <c r="V35" s="3" t="s">
        <v>15</v>
      </c>
      <c r="W35" s="1" t="s">
        <v>16</v>
      </c>
      <c r="X35" s="4" t="s">
        <v>17</v>
      </c>
      <c r="Y35" s="4" t="s">
        <v>18</v>
      </c>
      <c r="Z35" s="2" t="s">
        <v>19</v>
      </c>
      <c r="AA35" s="5" t="s">
        <v>20</v>
      </c>
      <c r="AB35" s="3" t="s">
        <v>21</v>
      </c>
      <c r="AC35" s="6" t="s">
        <v>22</v>
      </c>
      <c r="AD35" s="2" t="s">
        <v>23</v>
      </c>
      <c r="AE35" s="1" t="s">
        <v>32</v>
      </c>
      <c r="AF35" s="2" t="s">
        <v>24</v>
      </c>
      <c r="AG35" s="2" t="s">
        <v>25</v>
      </c>
      <c r="AH35" s="3" t="s">
        <v>26</v>
      </c>
      <c r="AI35" s="2" t="s">
        <v>27</v>
      </c>
    </row>
    <row r="36" spans="1:35" x14ac:dyDescent="0.25">
      <c r="A36" s="2" t="s">
        <v>46</v>
      </c>
      <c r="B36" s="3" t="s">
        <v>35</v>
      </c>
      <c r="C36" s="3">
        <v>6</v>
      </c>
      <c r="D36" s="2" t="s">
        <v>41</v>
      </c>
      <c r="E36" s="3">
        <v>45</v>
      </c>
      <c r="F36" s="2" t="s">
        <v>44</v>
      </c>
      <c r="J36" s="8" t="str">
        <f t="shared" ref="J36:J37" si="0">IF(ISBLANK(G36),"",IF(ISBLANK(H36),"",IF(ISBLANK(I36),"",(AVERAGE(G36:I36)))))</f>
        <v/>
      </c>
      <c r="K36" s="9" t="str">
        <f t="shared" ref="K36:K37" si="1">IF(ISBLANK(G36),"",IF(ISBLANK(H36),"",IF(ISBLANK(I36),"",J36-C36)))</f>
        <v/>
      </c>
      <c r="L36" s="4"/>
      <c r="M36" s="4"/>
      <c r="N36" s="9" t="str">
        <f>IF(ISBLANK(G36),"",IF(ISBLANK(H36),"",IF(ISBLANK(I36),"",ROUND((O36-C36),1))))</f>
        <v/>
      </c>
      <c r="O36" s="10">
        <v>6.4</v>
      </c>
      <c r="P36" s="10">
        <v>5.6</v>
      </c>
      <c r="Q36" s="2" t="str">
        <f t="shared" ref="Q36:Q37" si="2">IF(ISBLANK(G36),"",IF(ISBLANK(H36),"",IF(ISBLANK(I36),"",IF(AND(J36&gt;=P36,J36&lt;=O36),"PASS","FAIL"))))</f>
        <v/>
      </c>
      <c r="R36" s="22">
        <v>8.8000000000000005E-3</v>
      </c>
      <c r="S36" s="11">
        <v>2</v>
      </c>
      <c r="T36" s="12">
        <f t="shared" ref="T36:T37" si="3">IFERROR(R36/S36,0)</f>
        <v>4.4000000000000003E-3</v>
      </c>
      <c r="U36" s="13">
        <v>0</v>
      </c>
      <c r="V36" s="14">
        <f t="shared" ref="V36:V37" si="4">SQRT(3)</f>
        <v>1.7320508075688772</v>
      </c>
      <c r="W36" s="2">
        <f t="shared" ref="W36:W37" si="5">IFERROR(U36/V36,0)</f>
        <v>0</v>
      </c>
      <c r="X36" s="15">
        <v>0.1</v>
      </c>
      <c r="Y36" s="15">
        <f>SQRT(12)</f>
        <v>3.4641016151377544</v>
      </c>
      <c r="Z36" s="2">
        <f t="shared" ref="Z36:Z37" si="6">IFERROR(X36/Y36,0)</f>
        <v>2.8867513459481291E-2</v>
      </c>
      <c r="AA36" s="17" t="str">
        <f t="shared" ref="AA36:AA37" si="7">IF(ISBLANK(G36),"",IF(ISBLANK(H36),"",IF(ISBLANK(I36),"",STDEV(G36:I36))))</f>
        <v/>
      </c>
      <c r="AB36" s="16">
        <f t="shared" ref="AB36:AB37" si="8">SQRT(3)</f>
        <v>1.7320508075688772</v>
      </c>
      <c r="AC36" s="18" t="str">
        <f t="shared" ref="AC36:AC37" si="9">IF(ISBLANK(G36),"",IF(ISBLANK(H36),"",IF(ISBLANK(I36),"",AA36/AB36)))</f>
        <v/>
      </c>
      <c r="AD36" s="2">
        <f t="shared" ref="AD36:AD37" si="10">SQRT(SUMSQ(T36,W36,Z36,AC36))</f>
        <v>2.9200913227728571E-2</v>
      </c>
      <c r="AE36" s="19" t="str">
        <f t="shared" ref="AE36:AE37" si="11">IF(ISBLANK(G36),"",IF(ISBLANK(H36),"",IF(ISBLANK(I36),"",IF(AD36=0,0,(AD36^4)/(((AC36^4)/2)+((Z36^4)/200)+((W36^4)/200)+((T36^4)/200))))))</f>
        <v/>
      </c>
      <c r="AF36" s="20" t="str">
        <f t="shared" ref="AF36:AF37" si="12">IF(ISBLANK(G36),"",IF(ISBLANK(H36),"",IF(ISBLANK(I36),"",ROUND(IF(AE36&gt;=30,2,_xlfn.T.INV.2T(0.05,AE36)),0))))</f>
        <v/>
      </c>
      <c r="AG36" s="18" t="str">
        <f t="shared" ref="AG36:AG37" si="13">IF(ISBLANK(G36),"",IF(ISBLANK(H36),"",IF(ISBLANK(I36),"",AF36*AD36)))</f>
        <v/>
      </c>
      <c r="AH36" s="21">
        <v>3.6999999999999999E-4</v>
      </c>
      <c r="AI36" s="19">
        <f t="shared" ref="AI36:AI37" si="14">IF(ISBLANK(G36),0,IF(ISBLANK(H36),0,IF(ISBLANK(I36),0,MAX(AG36,AH36))))</f>
        <v>0</v>
      </c>
    </row>
    <row r="37" spans="1:35" x14ac:dyDescent="0.25">
      <c r="A37" s="2" t="s">
        <v>46</v>
      </c>
      <c r="B37" s="3" t="s">
        <v>35</v>
      </c>
      <c r="C37" s="3">
        <v>600</v>
      </c>
      <c r="D37" s="2" t="s">
        <v>41</v>
      </c>
      <c r="E37" s="3">
        <v>1</v>
      </c>
      <c r="F37" s="2" t="s">
        <v>45</v>
      </c>
      <c r="J37" s="8" t="str">
        <f t="shared" si="0"/>
        <v/>
      </c>
      <c r="K37" s="9" t="str">
        <f t="shared" si="1"/>
        <v/>
      </c>
      <c r="L37" s="4"/>
      <c r="M37" s="4"/>
      <c r="N37" s="9" t="str">
        <f>IF(ISBLANK(G37),"",IF(ISBLANK(H37),"",IF(ISBLANK(I37),"",ROUND((O37-C37),1))))</f>
        <v/>
      </c>
      <c r="O37" s="10">
        <v>612.29999999999995</v>
      </c>
      <c r="P37" s="10">
        <v>587.70000000000005</v>
      </c>
      <c r="Q37" s="2" t="str">
        <f t="shared" si="2"/>
        <v/>
      </c>
      <c r="R37" s="22">
        <v>0.91</v>
      </c>
      <c r="S37" s="11">
        <v>2</v>
      </c>
      <c r="T37" s="12">
        <f t="shared" si="3"/>
        <v>0.45500000000000002</v>
      </c>
      <c r="U37" s="13">
        <v>0</v>
      </c>
      <c r="V37" s="14">
        <f t="shared" si="4"/>
        <v>1.7320508075688772</v>
      </c>
      <c r="W37" s="2">
        <f t="shared" si="5"/>
        <v>0</v>
      </c>
      <c r="X37" s="15">
        <v>0.1</v>
      </c>
      <c r="Y37" s="15">
        <f>SQRT(12)</f>
        <v>3.4641016151377544</v>
      </c>
      <c r="Z37" s="2">
        <f t="shared" si="6"/>
        <v>2.8867513459481291E-2</v>
      </c>
      <c r="AA37" s="17" t="str">
        <f t="shared" si="7"/>
        <v/>
      </c>
      <c r="AB37" s="16">
        <f t="shared" si="8"/>
        <v>1.7320508075688772</v>
      </c>
      <c r="AC37" s="18" t="str">
        <f t="shared" si="9"/>
        <v/>
      </c>
      <c r="AD37" s="2">
        <f t="shared" si="10"/>
        <v>0.45591483122764642</v>
      </c>
      <c r="AE37" s="19" t="str">
        <f t="shared" si="11"/>
        <v/>
      </c>
      <c r="AF37" s="20" t="str">
        <f t="shared" si="12"/>
        <v/>
      </c>
      <c r="AG37" s="18" t="str">
        <f t="shared" si="13"/>
        <v/>
      </c>
      <c r="AH37" s="21">
        <v>3.6999999999999999E-4</v>
      </c>
      <c r="AI37" s="19">
        <f t="shared" si="14"/>
        <v>0</v>
      </c>
    </row>
    <row r="38" spans="1:35" x14ac:dyDescent="0.25">
      <c r="J38" s="8"/>
      <c r="K38" s="9"/>
      <c r="L38" s="4"/>
      <c r="M38" s="4"/>
      <c r="N38" s="9"/>
      <c r="O38" s="10"/>
      <c r="P38" s="10"/>
      <c r="R38" s="22"/>
      <c r="S38" s="11"/>
      <c r="T38" s="12"/>
      <c r="U38" s="13"/>
      <c r="V38" s="14"/>
      <c r="X38" s="15"/>
      <c r="Y38" s="15"/>
      <c r="AA38" s="17"/>
      <c r="AB38" s="16"/>
      <c r="AE38" s="19"/>
      <c r="AF38" s="20"/>
      <c r="AG38" s="18"/>
      <c r="AH38" s="21"/>
      <c r="AI38" s="19"/>
    </row>
  </sheetData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5:AI50"/>
  <sheetViews>
    <sheetView topLeftCell="A7" zoomScaleNormal="100" workbookViewId="0">
      <selection activeCell="A34" sqref="A1:XFD34"/>
    </sheetView>
  </sheetViews>
  <sheetFormatPr defaultRowHeight="15" x14ac:dyDescent="0.25"/>
  <cols>
    <col min="1" max="1" width="16.28515625" style="2" customWidth="1"/>
    <col min="2" max="2" width="11.28515625" style="3" customWidth="1"/>
    <col min="3" max="3" width="8.5703125" style="3" customWidth="1"/>
    <col min="4" max="4" width="4.7109375" style="2" customWidth="1"/>
    <col min="5" max="5" width="10.42578125" style="3" customWidth="1"/>
    <col min="6" max="6" width="8.7109375" style="2" customWidth="1"/>
    <col min="7" max="9" width="9.42578125" style="3" customWidth="1"/>
    <col min="10" max="10" width="11" style="2" bestFit="1" customWidth="1"/>
    <col min="11" max="11" width="7.7109375" style="2" customWidth="1"/>
    <col min="12" max="12" width="13.5703125" style="3" customWidth="1"/>
    <col min="13" max="13" width="13.28515625" style="3" customWidth="1"/>
    <col min="14" max="14" width="9.7109375" style="2" customWidth="1"/>
    <col min="15" max="16" width="10.85546875" style="2" customWidth="1"/>
    <col min="17" max="17" width="8.5703125" style="2" customWidth="1"/>
    <col min="18" max="18" width="11.28515625" style="3" customWidth="1"/>
    <col min="19" max="19" width="8.28515625" style="3" customWidth="1"/>
    <col min="20" max="20" width="10.85546875" style="2" customWidth="1"/>
    <col min="21" max="21" width="9.7109375" style="3" customWidth="1"/>
    <col min="22" max="22" width="11.85546875" style="3" customWidth="1"/>
    <col min="23" max="23" width="10.28515625" style="2" customWidth="1"/>
    <col min="24" max="24" width="8.85546875" style="3" customWidth="1"/>
    <col min="25" max="25" width="9" style="3" customWidth="1"/>
    <col min="26" max="26" width="10.7109375" style="2" customWidth="1"/>
    <col min="27" max="27" width="11.28515625" style="24" customWidth="1"/>
    <col min="28" max="28" width="11.5703125" style="3" customWidth="1"/>
    <col min="29" max="29" width="10.7109375" style="18" customWidth="1"/>
    <col min="30" max="30" width="10.28515625" style="2" bestFit="1" customWidth="1"/>
    <col min="31" max="31" width="15.28515625" style="2" customWidth="1"/>
    <col min="32" max="32" width="10.42578125" style="2" bestFit="1" customWidth="1"/>
    <col min="33" max="33" width="12.28515625" style="2" bestFit="1" customWidth="1"/>
    <col min="34" max="34" width="9.5703125" style="3" bestFit="1" customWidth="1"/>
    <col min="35" max="35" width="8.42578125" style="2" bestFit="1" customWidth="1"/>
    <col min="36" max="58" width="2.28515625" style="2" customWidth="1"/>
    <col min="59" max="59" width="6.42578125" style="2" bestFit="1" customWidth="1"/>
    <col min="60" max="60" width="9.7109375" style="2" bestFit="1" customWidth="1"/>
    <col min="61" max="61" width="4.140625" style="2" bestFit="1" customWidth="1"/>
    <col min="62" max="62" width="6.28515625" style="2" bestFit="1" customWidth="1"/>
    <col min="63" max="63" width="11.140625" style="2" customWidth="1"/>
    <col min="64" max="64" width="8.7109375" style="2" bestFit="1" customWidth="1"/>
    <col min="65" max="65" width="9.7109375" style="2" customWidth="1"/>
    <col min="66" max="66" width="4.140625" style="2" bestFit="1" customWidth="1"/>
    <col min="67" max="67" width="6.28515625" style="2" bestFit="1" customWidth="1"/>
    <col min="68" max="68" width="6.7109375" style="2" bestFit="1" customWidth="1"/>
    <col min="69" max="69" width="8.42578125" style="2" bestFit="1" customWidth="1"/>
    <col min="70" max="70" width="9.7109375" style="2" bestFit="1" customWidth="1"/>
    <col min="71" max="71" width="4.140625" style="2" bestFit="1" customWidth="1"/>
    <col min="72" max="72" width="6.28515625" style="2" bestFit="1" customWidth="1"/>
    <col min="73" max="73" width="10.140625" style="2" customWidth="1"/>
    <col min="74" max="74" width="9.5703125" style="2" bestFit="1" customWidth="1"/>
    <col min="75" max="75" width="9.7109375" style="2" bestFit="1" customWidth="1"/>
    <col min="76" max="76" width="4.140625" style="2" bestFit="1" customWidth="1"/>
    <col min="77" max="77" width="6.28515625" style="2" bestFit="1" customWidth="1"/>
    <col min="78" max="78" width="6.7109375" style="2" bestFit="1" customWidth="1"/>
    <col min="79" max="79" width="9.140625" style="2"/>
    <col min="80" max="80" width="19.28515625" style="2" bestFit="1" customWidth="1"/>
    <col min="81" max="81" width="18.28515625" style="2" bestFit="1" customWidth="1"/>
    <col min="82" max="82" width="20.5703125" style="2" bestFit="1" customWidth="1"/>
    <col min="83" max="83" width="4.85546875" style="2" bestFit="1" customWidth="1"/>
    <col min="84" max="84" width="3.28515625" style="2" bestFit="1" customWidth="1"/>
    <col min="85" max="85" width="9.140625" style="2"/>
    <col min="86" max="86" width="6.28515625" style="2" bestFit="1" customWidth="1"/>
    <col min="87" max="87" width="3.42578125" style="2" bestFit="1" customWidth="1"/>
    <col min="88" max="88" width="4.85546875" style="2" bestFit="1" customWidth="1"/>
    <col min="89" max="89" width="4.140625" style="2" bestFit="1" customWidth="1"/>
    <col min="90" max="16384" width="9.140625" style="2"/>
  </cols>
  <sheetData>
    <row r="35" spans="1:35" s="1" customFormat="1" ht="45" x14ac:dyDescent="0.25">
      <c r="A35" s="2" t="s">
        <v>8</v>
      </c>
      <c r="B35" s="3" t="s">
        <v>0</v>
      </c>
      <c r="C35" s="3" t="s">
        <v>1</v>
      </c>
      <c r="D35" s="2" t="s">
        <v>9</v>
      </c>
      <c r="E35" s="3" t="s">
        <v>2</v>
      </c>
      <c r="F35" s="2" t="s">
        <v>10</v>
      </c>
      <c r="G35" s="3" t="s">
        <v>3</v>
      </c>
      <c r="H35" s="3" t="s">
        <v>4</v>
      </c>
      <c r="I35" s="3" t="s">
        <v>5</v>
      </c>
      <c r="J35" s="1" t="s">
        <v>28</v>
      </c>
      <c r="K35" s="1" t="s">
        <v>29</v>
      </c>
      <c r="L35" s="4" t="s">
        <v>33</v>
      </c>
      <c r="M35" s="4" t="s">
        <v>34</v>
      </c>
      <c r="N35" s="1" t="s">
        <v>30</v>
      </c>
      <c r="O35" s="2" t="s">
        <v>6</v>
      </c>
      <c r="P35" s="2" t="s">
        <v>7</v>
      </c>
      <c r="Q35" s="1" t="s">
        <v>31</v>
      </c>
      <c r="R35" s="3" t="s">
        <v>11</v>
      </c>
      <c r="S35" s="4" t="s">
        <v>12</v>
      </c>
      <c r="T35" s="1" t="s">
        <v>13</v>
      </c>
      <c r="U35" s="4" t="s">
        <v>14</v>
      </c>
      <c r="V35" s="3" t="s">
        <v>15</v>
      </c>
      <c r="W35" s="1" t="s">
        <v>16</v>
      </c>
      <c r="X35" s="4" t="s">
        <v>17</v>
      </c>
      <c r="Y35" s="4" t="s">
        <v>18</v>
      </c>
      <c r="Z35" s="2" t="s">
        <v>19</v>
      </c>
      <c r="AA35" s="5" t="s">
        <v>20</v>
      </c>
      <c r="AB35" s="3" t="s">
        <v>21</v>
      </c>
      <c r="AC35" s="6" t="s">
        <v>22</v>
      </c>
      <c r="AD35" s="2" t="s">
        <v>23</v>
      </c>
      <c r="AE35" s="1" t="s">
        <v>32</v>
      </c>
      <c r="AF35" s="2" t="s">
        <v>24</v>
      </c>
      <c r="AG35" s="2" t="s">
        <v>25</v>
      </c>
      <c r="AH35" s="3" t="s">
        <v>26</v>
      </c>
      <c r="AI35" s="2" t="s">
        <v>27</v>
      </c>
    </row>
    <row r="36" spans="1:35" x14ac:dyDescent="0.25">
      <c r="A36" s="2" t="s">
        <v>50</v>
      </c>
      <c r="B36" s="3" t="s">
        <v>35</v>
      </c>
      <c r="C36" s="3">
        <v>10</v>
      </c>
      <c r="D36" s="2" t="s">
        <v>41</v>
      </c>
      <c r="J36" s="8" t="str">
        <f t="shared" ref="J36:J37" si="0">IF(ISBLANK(G36),"",IF(ISBLANK(H36),"",IF(ISBLANK(I36),"",(AVERAGE(G36:I36)))))</f>
        <v/>
      </c>
      <c r="K36" s="9" t="str">
        <f t="shared" ref="K36:K37" si="1">IF(ISBLANK(G36),"",IF(ISBLANK(H36),"",IF(ISBLANK(I36),"",J36-C36)))</f>
        <v/>
      </c>
      <c r="L36" s="4"/>
      <c r="M36" s="4"/>
      <c r="N36" s="9" t="str">
        <f>IF(ISBLANK(G36),"",IF(ISBLANK(H36),"",IF(ISBLANK(I36),"",ROUND((O36-C36),1))))</f>
        <v/>
      </c>
      <c r="O36" s="10">
        <v>10.3</v>
      </c>
      <c r="P36" s="10">
        <v>9.6999999999999993</v>
      </c>
      <c r="Q36" s="2" t="str">
        <f t="shared" ref="Q36:Q37" si="2">IF(ISBLANK(G36),"",IF(ISBLANK(H36),"",IF(ISBLANK(I36),"",IF(AND(J36&gt;=P36,J36&lt;=O36),"PASS","FAIL"))))</f>
        <v/>
      </c>
      <c r="R36" s="22">
        <v>7.6999999999999996E-4</v>
      </c>
      <c r="S36" s="11">
        <v>2</v>
      </c>
      <c r="T36" s="12">
        <f t="shared" ref="T36:T37" si="3">IFERROR(R36/S36,0)</f>
        <v>3.8499999999999998E-4</v>
      </c>
      <c r="U36" s="13">
        <v>0</v>
      </c>
      <c r="V36" s="14">
        <f t="shared" ref="V36:V37" si="4">SQRT(3)</f>
        <v>1.7320508075688772</v>
      </c>
      <c r="W36" s="2">
        <f t="shared" ref="W36:W37" si="5">IFERROR(U36/V36,0)</f>
        <v>0</v>
      </c>
      <c r="X36" s="15">
        <v>0.1</v>
      </c>
      <c r="Y36" s="15">
        <v>3.4641016151377544</v>
      </c>
      <c r="Z36" s="2">
        <f t="shared" ref="Z36:Z37" si="6">IFERROR(X36/Y36,0)</f>
        <v>2.8867513459481291E-2</v>
      </c>
      <c r="AA36" s="17" t="str">
        <f t="shared" ref="AA36:AA37" si="7">IF(ISBLANK(G36),"",IF(ISBLANK(H36),"",IF(ISBLANK(I36),"",STDEV(G36:I36))))</f>
        <v/>
      </c>
      <c r="AB36" s="16">
        <f t="shared" ref="AB36:AB37" si="8">SQRT(3)</f>
        <v>1.7320508075688772</v>
      </c>
      <c r="AC36" s="18" t="str">
        <f t="shared" ref="AC36:AC37" si="9">IF(ISBLANK(G36),"",IF(ISBLANK(H36),"",IF(ISBLANK(I36),"",AA36/AB36)))</f>
        <v/>
      </c>
      <c r="AD36" s="2">
        <f t="shared" ref="AD36:AD37" si="10">SQRT(SUMSQ(T36,W36,Z36,AC36))</f>
        <v>2.8870080677638112E-2</v>
      </c>
      <c r="AE36" s="19" t="str">
        <f t="shared" ref="AE36:AE37" si="11">IF(ISBLANK(G36),"",IF(ISBLANK(H36),"",IF(ISBLANK(I36),"",IF(AD36=0,0,(AD36^4)/(((AC36^4)/2)+((Z36^4)/200)+((W36^4)/200)+((T36^4)/200))))))</f>
        <v/>
      </c>
      <c r="AF36" s="20" t="str">
        <f t="shared" ref="AF36:AF37" si="12">IF(ISBLANK(G36),"",IF(ISBLANK(H36),"",IF(ISBLANK(I36),"",ROUND(IF(AE36&gt;=30,2,_xlfn.T.INV.2T(0.05,AE36)),0))))</f>
        <v/>
      </c>
      <c r="AG36" s="18" t="str">
        <f t="shared" ref="AG36:AG37" si="13">IF(ISBLANK(G36),"",IF(ISBLANK(H36),"",IF(ISBLANK(I36),"",AF36*AD36)))</f>
        <v/>
      </c>
      <c r="AH36" s="27">
        <v>1.6000000000000001E-3</v>
      </c>
      <c r="AI36" s="19">
        <f t="shared" ref="AI36:AI37" si="14">IF(ISBLANK(G36),0,IF(ISBLANK(H36),0,IF(ISBLANK(I36),0,MAX(AG36,AH36))))</f>
        <v>0</v>
      </c>
    </row>
    <row r="37" spans="1:35" x14ac:dyDescent="0.25">
      <c r="A37" s="2" t="s">
        <v>50</v>
      </c>
      <c r="B37" s="3" t="s">
        <v>35</v>
      </c>
      <c r="C37" s="3">
        <v>600</v>
      </c>
      <c r="D37" s="2" t="s">
        <v>41</v>
      </c>
      <c r="J37" s="8" t="str">
        <f t="shared" si="0"/>
        <v/>
      </c>
      <c r="K37" s="9" t="str">
        <f t="shared" si="1"/>
        <v/>
      </c>
      <c r="L37" s="4"/>
      <c r="M37" s="4"/>
      <c r="N37" s="9" t="str">
        <f>IF(ISBLANK(G37),"",IF(ISBLANK(H37),"",IF(ISBLANK(I37),"",ROUND((O37-C37),1))))</f>
        <v/>
      </c>
      <c r="O37" s="10">
        <v>603.20000000000005</v>
      </c>
      <c r="P37" s="10">
        <v>596.79999999999995</v>
      </c>
      <c r="Q37" s="2" t="str">
        <f t="shared" si="2"/>
        <v/>
      </c>
      <c r="R37" s="22">
        <v>2.0999999999999999E-3</v>
      </c>
      <c r="S37" s="11">
        <v>2</v>
      </c>
      <c r="T37" s="12">
        <f t="shared" si="3"/>
        <v>1.0499999999999999E-3</v>
      </c>
      <c r="U37" s="13">
        <v>0</v>
      </c>
      <c r="V37" s="14">
        <f t="shared" si="4"/>
        <v>1.7320508075688772</v>
      </c>
      <c r="W37" s="2">
        <f t="shared" si="5"/>
        <v>0</v>
      </c>
      <c r="X37" s="15">
        <v>0.1</v>
      </c>
      <c r="Y37" s="15">
        <v>3.4641016151377544</v>
      </c>
      <c r="Z37" s="2">
        <f t="shared" si="6"/>
        <v>2.8867513459481291E-2</v>
      </c>
      <c r="AA37" s="17" t="str">
        <f t="shared" si="7"/>
        <v/>
      </c>
      <c r="AB37" s="16">
        <f t="shared" si="8"/>
        <v>1.7320508075688772</v>
      </c>
      <c r="AC37" s="18" t="str">
        <f t="shared" si="9"/>
        <v/>
      </c>
      <c r="AD37" s="2">
        <f t="shared" si="10"/>
        <v>2.8886603007853544E-2</v>
      </c>
      <c r="AE37" s="19" t="str">
        <f t="shared" si="11"/>
        <v/>
      </c>
      <c r="AF37" s="20" t="str">
        <f t="shared" si="12"/>
        <v/>
      </c>
      <c r="AG37" s="18" t="str">
        <f t="shared" si="13"/>
        <v/>
      </c>
      <c r="AH37" s="27">
        <v>1.8E-3</v>
      </c>
      <c r="AI37" s="19">
        <f t="shared" si="14"/>
        <v>0</v>
      </c>
    </row>
    <row r="38" spans="1:35" x14ac:dyDescent="0.25">
      <c r="J38" s="8"/>
      <c r="K38" s="9"/>
      <c r="L38" s="4"/>
      <c r="M38" s="4"/>
      <c r="N38" s="9"/>
      <c r="O38" s="10"/>
      <c r="P38" s="10"/>
      <c r="R38" s="22"/>
      <c r="S38" s="11"/>
      <c r="T38" s="12"/>
      <c r="U38" s="13"/>
      <c r="V38" s="14"/>
      <c r="X38" s="15"/>
      <c r="Y38" s="15"/>
      <c r="AA38" s="17"/>
      <c r="AB38" s="16"/>
      <c r="AE38" s="19"/>
      <c r="AF38" s="20"/>
      <c r="AG38" s="18"/>
      <c r="AH38" s="21"/>
      <c r="AI38" s="19"/>
    </row>
    <row r="39" spans="1:35" x14ac:dyDescent="0.25">
      <c r="J39" s="8"/>
      <c r="K39" s="9"/>
      <c r="L39" s="4"/>
      <c r="M39" s="4"/>
      <c r="N39" s="9"/>
      <c r="O39" s="10"/>
      <c r="P39" s="10"/>
      <c r="R39" s="22"/>
      <c r="S39" s="11"/>
      <c r="T39" s="12"/>
      <c r="U39" s="13"/>
      <c r="V39" s="14"/>
      <c r="X39" s="15"/>
      <c r="Y39" s="15"/>
      <c r="AA39" s="17"/>
      <c r="AB39" s="16"/>
      <c r="AE39" s="19"/>
      <c r="AF39" s="20"/>
      <c r="AG39" s="18"/>
      <c r="AH39" s="21"/>
      <c r="AI39" s="19"/>
    </row>
    <row r="40" spans="1:35" x14ac:dyDescent="0.25">
      <c r="J40" s="8"/>
      <c r="K40" s="9"/>
      <c r="L40" s="4"/>
      <c r="M40" s="4"/>
      <c r="N40" s="9"/>
      <c r="O40" s="10"/>
      <c r="P40" s="10"/>
      <c r="R40" s="22"/>
      <c r="S40" s="11"/>
      <c r="T40" s="12"/>
      <c r="U40" s="13"/>
      <c r="V40" s="14"/>
      <c r="X40" s="15"/>
      <c r="Y40" s="15"/>
      <c r="AA40" s="17"/>
      <c r="AB40" s="16"/>
      <c r="AE40" s="19"/>
      <c r="AF40" s="20"/>
      <c r="AG40" s="18"/>
      <c r="AH40" s="21"/>
      <c r="AI40" s="19"/>
    </row>
    <row r="41" spans="1:35" x14ac:dyDescent="0.25">
      <c r="J41" s="8"/>
      <c r="K41" s="9"/>
      <c r="L41" s="4"/>
      <c r="M41" s="4"/>
      <c r="N41" s="9"/>
      <c r="O41" s="10"/>
      <c r="P41" s="10"/>
      <c r="R41" s="22"/>
      <c r="S41" s="11"/>
      <c r="T41" s="12"/>
      <c r="U41" s="13"/>
      <c r="V41" s="14"/>
      <c r="X41" s="15"/>
      <c r="Y41" s="15"/>
      <c r="AA41" s="17"/>
      <c r="AB41" s="16"/>
      <c r="AE41" s="19"/>
      <c r="AF41" s="20"/>
      <c r="AG41" s="18"/>
      <c r="AH41" s="21"/>
      <c r="AI41" s="19"/>
    </row>
    <row r="42" spans="1:35" x14ac:dyDescent="0.25">
      <c r="J42" s="8"/>
      <c r="K42" s="9"/>
      <c r="L42" s="4"/>
      <c r="M42" s="4"/>
      <c r="N42" s="9"/>
      <c r="O42" s="10"/>
      <c r="P42" s="10"/>
      <c r="R42" s="22"/>
      <c r="S42" s="11"/>
      <c r="T42" s="12"/>
      <c r="U42" s="13"/>
      <c r="V42" s="14"/>
      <c r="X42" s="15"/>
      <c r="Y42" s="15"/>
      <c r="AA42" s="17"/>
      <c r="AB42" s="16"/>
      <c r="AE42" s="19"/>
      <c r="AF42" s="20"/>
      <c r="AG42" s="18"/>
      <c r="AH42" s="21"/>
      <c r="AI42" s="19"/>
    </row>
    <row r="43" spans="1:35" x14ac:dyDescent="0.25">
      <c r="J43" s="8"/>
      <c r="K43" s="9"/>
      <c r="L43" s="4"/>
      <c r="M43" s="4"/>
      <c r="N43" s="9"/>
      <c r="O43" s="10"/>
      <c r="P43" s="10"/>
      <c r="R43" s="22"/>
      <c r="S43" s="11"/>
      <c r="T43" s="12"/>
      <c r="U43" s="13"/>
      <c r="V43" s="14"/>
      <c r="X43" s="15"/>
      <c r="Y43" s="15"/>
      <c r="AA43" s="17"/>
      <c r="AB43" s="16"/>
      <c r="AE43" s="19"/>
      <c r="AF43" s="20"/>
      <c r="AG43" s="18"/>
      <c r="AH43" s="21"/>
      <c r="AI43" s="19"/>
    </row>
    <row r="44" spans="1:35" x14ac:dyDescent="0.25">
      <c r="J44" s="8"/>
      <c r="K44" s="9"/>
      <c r="L44" s="4"/>
      <c r="M44" s="4"/>
      <c r="N44" s="9"/>
      <c r="O44" s="10"/>
      <c r="P44" s="10"/>
      <c r="R44" s="22"/>
      <c r="S44" s="11"/>
      <c r="T44" s="12"/>
      <c r="U44" s="13"/>
      <c r="V44" s="14"/>
      <c r="X44" s="15"/>
      <c r="Y44" s="15"/>
      <c r="AA44" s="17"/>
      <c r="AB44" s="16"/>
      <c r="AE44" s="19"/>
      <c r="AF44" s="20"/>
      <c r="AG44" s="18"/>
      <c r="AH44" s="21"/>
      <c r="AI44" s="19"/>
    </row>
    <row r="45" spans="1:35" x14ac:dyDescent="0.25">
      <c r="J45" s="8"/>
      <c r="K45" s="9"/>
      <c r="L45" s="4"/>
      <c r="M45" s="4"/>
      <c r="N45" s="9"/>
      <c r="O45" s="10"/>
      <c r="P45" s="10"/>
      <c r="R45" s="22"/>
      <c r="S45" s="11"/>
      <c r="T45" s="12"/>
      <c r="U45" s="13"/>
      <c r="V45" s="14"/>
      <c r="X45" s="15"/>
      <c r="Y45" s="15"/>
      <c r="AA45" s="17"/>
      <c r="AB45" s="16"/>
      <c r="AE45" s="19"/>
      <c r="AF45" s="20"/>
      <c r="AG45" s="18"/>
      <c r="AH45" s="21"/>
      <c r="AI45" s="19"/>
    </row>
    <row r="46" spans="1:35" x14ac:dyDescent="0.25">
      <c r="J46" s="8"/>
      <c r="K46" s="9"/>
      <c r="L46" s="4"/>
      <c r="M46" s="4"/>
      <c r="N46" s="9"/>
      <c r="O46" s="10"/>
      <c r="P46" s="10"/>
      <c r="R46" s="22"/>
      <c r="S46" s="11"/>
      <c r="T46" s="12"/>
      <c r="U46" s="13"/>
      <c r="V46" s="14"/>
      <c r="X46" s="15"/>
      <c r="Y46" s="15"/>
      <c r="AA46" s="17"/>
      <c r="AB46" s="16"/>
      <c r="AE46" s="19"/>
      <c r="AF46" s="20"/>
      <c r="AG46" s="18"/>
      <c r="AH46" s="21"/>
      <c r="AI46" s="19"/>
    </row>
    <row r="47" spans="1:35" x14ac:dyDescent="0.25">
      <c r="J47" s="8"/>
      <c r="K47" s="9"/>
      <c r="L47" s="4"/>
      <c r="M47" s="4"/>
      <c r="N47" s="9"/>
      <c r="O47" s="10"/>
      <c r="P47" s="10"/>
      <c r="R47" s="22"/>
      <c r="S47" s="11"/>
      <c r="T47" s="12"/>
      <c r="U47" s="13"/>
      <c r="V47" s="14"/>
      <c r="X47" s="15"/>
      <c r="Y47" s="15"/>
      <c r="AA47" s="17"/>
      <c r="AB47" s="16"/>
      <c r="AE47" s="19"/>
      <c r="AF47" s="20"/>
      <c r="AG47" s="18"/>
      <c r="AH47" s="21"/>
      <c r="AI47" s="19"/>
    </row>
    <row r="48" spans="1:35" x14ac:dyDescent="0.25">
      <c r="J48" s="8"/>
      <c r="K48" s="9"/>
      <c r="L48" s="4"/>
      <c r="M48" s="4"/>
      <c r="N48" s="9"/>
      <c r="O48" s="10"/>
      <c r="P48" s="10"/>
      <c r="R48" s="22"/>
      <c r="S48" s="11"/>
      <c r="T48" s="12"/>
      <c r="U48" s="13"/>
      <c r="V48" s="14"/>
      <c r="X48" s="15"/>
      <c r="Y48" s="15"/>
      <c r="AA48" s="17"/>
      <c r="AB48" s="16"/>
      <c r="AE48" s="19"/>
      <c r="AF48" s="20"/>
      <c r="AG48" s="18"/>
      <c r="AH48" s="21"/>
      <c r="AI48" s="19"/>
    </row>
    <row r="49" spans="10:35" x14ac:dyDescent="0.25">
      <c r="J49" s="8"/>
      <c r="K49" s="9"/>
      <c r="L49" s="4"/>
      <c r="M49" s="4"/>
      <c r="N49" s="9"/>
      <c r="O49" s="10"/>
      <c r="P49" s="10"/>
      <c r="R49" s="22"/>
      <c r="S49" s="11"/>
      <c r="T49" s="12"/>
      <c r="U49" s="13"/>
      <c r="V49" s="14"/>
      <c r="X49" s="15"/>
      <c r="Y49" s="15"/>
      <c r="AA49" s="17"/>
      <c r="AB49" s="16"/>
      <c r="AE49" s="19"/>
      <c r="AF49" s="20"/>
      <c r="AG49" s="18"/>
      <c r="AH49" s="21"/>
      <c r="AI49" s="19"/>
    </row>
    <row r="50" spans="10:35" x14ac:dyDescent="0.25">
      <c r="J50" s="8"/>
      <c r="K50" s="9"/>
      <c r="L50" s="4"/>
      <c r="M50" s="4"/>
      <c r="N50" s="9"/>
      <c r="O50" s="10"/>
      <c r="P50" s="10"/>
      <c r="R50" s="22"/>
      <c r="S50" s="11"/>
      <c r="T50" s="12"/>
      <c r="U50" s="13"/>
      <c r="V50" s="14"/>
      <c r="X50" s="15"/>
      <c r="Y50" s="15"/>
      <c r="AA50" s="17"/>
      <c r="AB50" s="16"/>
      <c r="AE50" s="19"/>
      <c r="AF50" s="20"/>
      <c r="AG50" s="18"/>
      <c r="AH50" s="21"/>
      <c r="AI50" s="1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5:AI39"/>
  <sheetViews>
    <sheetView tabSelected="1" topLeftCell="A13" zoomScaleNormal="100" workbookViewId="0">
      <selection activeCell="E44" sqref="E44"/>
    </sheetView>
  </sheetViews>
  <sheetFormatPr defaultRowHeight="15" x14ac:dyDescent="0.25"/>
  <cols>
    <col min="1" max="1" width="16.85546875" style="2" customWidth="1"/>
    <col min="2" max="2" width="11.28515625" style="3" customWidth="1"/>
    <col min="3" max="3" width="8.5703125" style="3" customWidth="1"/>
    <col min="4" max="4" width="4.7109375" style="2" customWidth="1"/>
    <col min="5" max="5" width="10.42578125" style="3" customWidth="1"/>
    <col min="6" max="6" width="8.7109375" style="2" customWidth="1"/>
    <col min="7" max="9" width="9.42578125" style="3" customWidth="1"/>
    <col min="10" max="10" width="11" style="2" bestFit="1" customWidth="1"/>
    <col min="11" max="11" width="7.7109375" style="2" customWidth="1"/>
    <col min="12" max="12" width="13.5703125" style="3" customWidth="1"/>
    <col min="13" max="13" width="13.28515625" style="3" customWidth="1"/>
    <col min="14" max="14" width="9.7109375" style="2" customWidth="1"/>
    <col min="15" max="16" width="10.85546875" style="2" customWidth="1"/>
    <col min="17" max="17" width="8.5703125" style="2" customWidth="1"/>
    <col min="18" max="18" width="12.140625" style="3" customWidth="1"/>
    <col min="19" max="19" width="8.28515625" style="3" customWidth="1"/>
    <col min="20" max="20" width="10.85546875" style="2" customWidth="1"/>
    <col min="21" max="21" width="9.7109375" style="3" customWidth="1"/>
    <col min="22" max="22" width="11.85546875" style="3" customWidth="1"/>
    <col min="23" max="23" width="10.28515625" style="2" customWidth="1"/>
    <col min="24" max="24" width="8.85546875" style="3" customWidth="1"/>
    <col min="25" max="25" width="9.85546875" style="3" customWidth="1"/>
    <col min="26" max="26" width="10.7109375" style="2" customWidth="1"/>
    <col min="27" max="27" width="11.28515625" style="24" customWidth="1"/>
    <col min="28" max="28" width="11.5703125" style="3" customWidth="1"/>
    <col min="29" max="29" width="10.7109375" style="18" customWidth="1"/>
    <col min="30" max="30" width="10.28515625" style="2" bestFit="1" customWidth="1"/>
    <col min="31" max="31" width="15.28515625" style="2" customWidth="1"/>
    <col min="32" max="32" width="10.42578125" style="2" bestFit="1" customWidth="1"/>
    <col min="33" max="33" width="12.28515625" style="2" bestFit="1" customWidth="1"/>
    <col min="34" max="34" width="12" style="3" customWidth="1"/>
    <col min="35" max="35" width="8.42578125" style="2" bestFit="1" customWidth="1"/>
    <col min="36" max="58" width="2.28515625" style="2" customWidth="1"/>
    <col min="59" max="59" width="6.42578125" style="2" bestFit="1" customWidth="1"/>
    <col min="60" max="60" width="9.7109375" style="2" bestFit="1" customWidth="1"/>
    <col min="61" max="61" width="4.140625" style="2" bestFit="1" customWidth="1"/>
    <col min="62" max="62" width="6.28515625" style="2" bestFit="1" customWidth="1"/>
    <col min="63" max="63" width="11.140625" style="2" customWidth="1"/>
    <col min="64" max="64" width="8.7109375" style="2" bestFit="1" customWidth="1"/>
    <col min="65" max="65" width="9.7109375" style="2" customWidth="1"/>
    <col min="66" max="66" width="4.140625" style="2" bestFit="1" customWidth="1"/>
    <col min="67" max="67" width="6.28515625" style="2" bestFit="1" customWidth="1"/>
    <col min="68" max="68" width="6.7109375" style="2" bestFit="1" customWidth="1"/>
    <col min="69" max="69" width="8.42578125" style="2" bestFit="1" customWidth="1"/>
    <col min="70" max="70" width="9.7109375" style="2" bestFit="1" customWidth="1"/>
    <col min="71" max="71" width="4.140625" style="2" bestFit="1" customWidth="1"/>
    <col min="72" max="72" width="6.28515625" style="2" bestFit="1" customWidth="1"/>
    <col min="73" max="73" width="10.140625" style="2" customWidth="1"/>
    <col min="74" max="74" width="9.5703125" style="2" bestFit="1" customWidth="1"/>
    <col min="75" max="75" width="9.7109375" style="2" bestFit="1" customWidth="1"/>
    <col min="76" max="76" width="4.140625" style="2" bestFit="1" customWidth="1"/>
    <col min="77" max="77" width="6.28515625" style="2" bestFit="1" customWidth="1"/>
    <col min="78" max="78" width="6.7109375" style="2" bestFit="1" customWidth="1"/>
    <col min="79" max="79" width="9.140625" style="2"/>
    <col min="80" max="80" width="19.28515625" style="2" bestFit="1" customWidth="1"/>
    <col min="81" max="81" width="18.28515625" style="2" bestFit="1" customWidth="1"/>
    <col min="82" max="82" width="20.5703125" style="2" bestFit="1" customWidth="1"/>
    <col min="83" max="83" width="4.85546875" style="2" bestFit="1" customWidth="1"/>
    <col min="84" max="84" width="3.28515625" style="2" bestFit="1" customWidth="1"/>
    <col min="85" max="85" width="9.140625" style="2"/>
    <col min="86" max="86" width="6.28515625" style="2" bestFit="1" customWidth="1"/>
    <col min="87" max="87" width="3.42578125" style="2" bestFit="1" customWidth="1"/>
    <col min="88" max="88" width="4.85546875" style="2" bestFit="1" customWidth="1"/>
    <col min="89" max="89" width="4.140625" style="2" bestFit="1" customWidth="1"/>
    <col min="90" max="16384" width="9.140625" style="2"/>
  </cols>
  <sheetData>
    <row r="35" spans="1:35" s="1" customFormat="1" ht="45" x14ac:dyDescent="0.25">
      <c r="A35" s="2" t="s">
        <v>8</v>
      </c>
      <c r="B35" s="3" t="s">
        <v>0</v>
      </c>
      <c r="C35" s="3" t="s">
        <v>1</v>
      </c>
      <c r="D35" s="2" t="s">
        <v>9</v>
      </c>
      <c r="E35" s="3" t="s">
        <v>2</v>
      </c>
      <c r="F35" s="2" t="s">
        <v>10</v>
      </c>
      <c r="G35" s="3" t="s">
        <v>3</v>
      </c>
      <c r="H35" s="3" t="s">
        <v>4</v>
      </c>
      <c r="I35" s="3" t="s">
        <v>5</v>
      </c>
      <c r="J35" s="1" t="s">
        <v>28</v>
      </c>
      <c r="K35" s="1" t="s">
        <v>29</v>
      </c>
      <c r="L35" s="4" t="s">
        <v>33</v>
      </c>
      <c r="M35" s="4" t="s">
        <v>34</v>
      </c>
      <c r="N35" s="1" t="s">
        <v>30</v>
      </c>
      <c r="O35" s="2" t="s">
        <v>6</v>
      </c>
      <c r="P35" s="2" t="s">
        <v>7</v>
      </c>
      <c r="Q35" s="1" t="s">
        <v>31</v>
      </c>
      <c r="R35" s="3" t="s">
        <v>11</v>
      </c>
      <c r="S35" s="4" t="s">
        <v>12</v>
      </c>
      <c r="T35" s="1" t="s">
        <v>13</v>
      </c>
      <c r="U35" s="4" t="s">
        <v>14</v>
      </c>
      <c r="V35" s="3" t="s">
        <v>15</v>
      </c>
      <c r="W35" s="1" t="s">
        <v>16</v>
      </c>
      <c r="X35" s="4" t="s">
        <v>17</v>
      </c>
      <c r="Y35" s="4" t="s">
        <v>18</v>
      </c>
      <c r="Z35" s="2" t="s">
        <v>19</v>
      </c>
      <c r="AA35" s="5" t="s">
        <v>20</v>
      </c>
      <c r="AB35" s="3" t="s">
        <v>21</v>
      </c>
      <c r="AC35" s="6" t="s">
        <v>22</v>
      </c>
      <c r="AD35" s="2" t="s">
        <v>23</v>
      </c>
      <c r="AE35" s="1" t="s">
        <v>32</v>
      </c>
      <c r="AF35" s="2" t="s">
        <v>24</v>
      </c>
      <c r="AG35" s="2" t="s">
        <v>25</v>
      </c>
      <c r="AH35" s="3" t="s">
        <v>26</v>
      </c>
      <c r="AI35" s="2" t="s">
        <v>27</v>
      </c>
    </row>
    <row r="36" spans="1:35" x14ac:dyDescent="0.25">
      <c r="A36" s="2" t="s">
        <v>51</v>
      </c>
      <c r="C36" s="3">
        <v>0.5</v>
      </c>
      <c r="D36" s="2" t="s">
        <v>42</v>
      </c>
      <c r="E36" s="7">
        <v>45</v>
      </c>
      <c r="F36" s="2" t="s">
        <v>44</v>
      </c>
      <c r="J36" s="8" t="str">
        <f t="shared" ref="J36:J38" si="0">IF(ISBLANK(G36),"",IF(ISBLANK(H36),"",IF(ISBLANK(I36),"",(AVERAGE(G36:I36)))))</f>
        <v/>
      </c>
      <c r="K36" s="9" t="str">
        <f t="shared" ref="K36:K38" si="1">IF(ISBLANK(G36),"",IF(ISBLANK(H36),"",IF(ISBLANK(I36),"",J36-C36)))</f>
        <v/>
      </c>
      <c r="L36" s="4"/>
      <c r="M36" s="4"/>
      <c r="N36" s="9" t="str">
        <f>IF(ISBLANK(G36),"",IF(ISBLANK(H36),"",IF(ISBLANK(I36),"",ROUND((O36-C36),3))))</f>
        <v/>
      </c>
      <c r="O36" s="19">
        <v>0.8</v>
      </c>
      <c r="P36" s="19">
        <v>0.2</v>
      </c>
      <c r="Q36" s="2" t="str">
        <f t="shared" ref="Q36:Q38" si="2">IF(ISBLANK(G36),"",IF(ISBLANK(H36),"",IF(ISBLANK(I36),"",IF(AND(J36&gt;=P36,J36&lt;=O36),"PASS","FAIL"))))</f>
        <v/>
      </c>
      <c r="R36" s="22">
        <v>9.1E-4</v>
      </c>
      <c r="S36" s="11">
        <v>2</v>
      </c>
      <c r="T36" s="12">
        <f t="shared" ref="T36:T38" si="3">IFERROR(R36/S36,0)</f>
        <v>4.55E-4</v>
      </c>
      <c r="U36" s="13">
        <v>0</v>
      </c>
      <c r="V36" s="14">
        <f t="shared" ref="V36:V38" si="4">SQRT(3)</f>
        <v>1.7320508075688772</v>
      </c>
      <c r="W36" s="2">
        <f t="shared" ref="W36:W38" si="5">IFERROR(U36/V36,0)</f>
        <v>0</v>
      </c>
      <c r="X36" s="15">
        <v>0.1</v>
      </c>
      <c r="Y36" s="15">
        <v>3.4641016151377544</v>
      </c>
      <c r="Z36" s="2">
        <f t="shared" ref="Z36:Z38" si="6">IFERROR(X36/Y36,0)</f>
        <v>2.8867513459481291E-2</v>
      </c>
      <c r="AA36" s="17" t="str">
        <f t="shared" ref="AA36:AA38" si="7">IF(ISBLANK(G36),"",IF(ISBLANK(H36),"",IF(ISBLANK(I36),"",STDEV(G36:I36))))</f>
        <v/>
      </c>
      <c r="AB36" s="16">
        <f t="shared" ref="AB36:AB38" si="8">SQRT(3)</f>
        <v>1.7320508075688772</v>
      </c>
      <c r="AC36" s="18" t="str">
        <f t="shared" ref="AC36:AC38" si="9">IF(ISBLANK(G36),"",IF(ISBLANK(H36),"",IF(ISBLANK(I36),"",AA36/AB36)))</f>
        <v/>
      </c>
      <c r="AD36" s="2">
        <f t="shared" ref="AD36:AD38" si="10">SQRT(SUMSQ(T36,W36,Z36,AC36))</f>
        <v>2.8871099014989601E-2</v>
      </c>
      <c r="AE36" s="19" t="str">
        <f t="shared" ref="AE36:AE38" si="11">IF(ISBLANK(G36),"",IF(ISBLANK(H36),"",IF(ISBLANK(I36),"",IF(AD36=0,0,(AD36^4)/(((AC36^4)/2)+((Z36^4)/200)+((W36^4)/200)+((T36^4)/200))))))</f>
        <v/>
      </c>
      <c r="AF36" s="20" t="str">
        <f t="shared" ref="AF36:AF38" si="12">IF(ISBLANK(G36),"",IF(ISBLANK(H36),"",IF(ISBLANK(I36),"",ROUND(IF(AE36&gt;=30,2,_xlfn.T.INV.2T(0.05,AE36)),0))))</f>
        <v/>
      </c>
      <c r="AG36" s="18" t="str">
        <f t="shared" ref="AG36:AG38" si="13">IF(ISBLANK(G36),"",IF(ISBLANK(H36),"",IF(ISBLANK(I36),"",AF36*AD36)))</f>
        <v/>
      </c>
      <c r="AH36" s="21">
        <v>8.5000000000000006E-5</v>
      </c>
      <c r="AI36" s="18">
        <f t="shared" ref="AI36:AI38" si="14">IF(ISBLANK(G36),0,IF(ISBLANK(H36),0,IF(ISBLANK(I36),0,MAX(AG36,AH36))))</f>
        <v>0</v>
      </c>
    </row>
    <row r="37" spans="1:35" x14ac:dyDescent="0.25">
      <c r="A37" s="2" t="s">
        <v>51</v>
      </c>
      <c r="C37" s="3">
        <v>0.5</v>
      </c>
      <c r="D37" s="2" t="s">
        <v>42</v>
      </c>
      <c r="E37" s="7">
        <v>0</v>
      </c>
      <c r="F37" s="2" t="s">
        <v>44</v>
      </c>
      <c r="J37" s="8" t="str">
        <f t="shared" si="0"/>
        <v/>
      </c>
      <c r="K37" s="9" t="str">
        <f t="shared" si="1"/>
        <v/>
      </c>
      <c r="L37" s="4"/>
      <c r="M37" s="4"/>
      <c r="N37" s="9" t="str">
        <f t="shared" ref="N37:N38" si="15">IF(ISBLANK(G37),"",IF(ISBLANK(H37),"",IF(ISBLANK(I37),"",ROUND((O37-C37),3))))</f>
        <v/>
      </c>
      <c r="O37" s="19">
        <v>0.8</v>
      </c>
      <c r="P37" s="19">
        <v>0.2</v>
      </c>
      <c r="Q37" s="2" t="str">
        <f t="shared" si="2"/>
        <v/>
      </c>
      <c r="R37" s="22">
        <v>2.0999999999999998E-6</v>
      </c>
      <c r="S37" s="11">
        <v>2</v>
      </c>
      <c r="T37" s="12">
        <f t="shared" si="3"/>
        <v>1.0499999999999999E-6</v>
      </c>
      <c r="U37" s="13">
        <v>0</v>
      </c>
      <c r="V37" s="14">
        <f t="shared" si="4"/>
        <v>1.7320508075688772</v>
      </c>
      <c r="W37" s="2">
        <f t="shared" si="5"/>
        <v>0</v>
      </c>
      <c r="X37" s="15">
        <v>0.1</v>
      </c>
      <c r="Y37" s="15">
        <v>3.4641016151377544</v>
      </c>
      <c r="Z37" s="2">
        <f t="shared" si="6"/>
        <v>2.8867513459481291E-2</v>
      </c>
      <c r="AA37" s="17" t="str">
        <f t="shared" si="7"/>
        <v/>
      </c>
      <c r="AB37" s="16">
        <f t="shared" si="8"/>
        <v>1.7320508075688772</v>
      </c>
      <c r="AC37" s="18" t="str">
        <f t="shared" si="9"/>
        <v/>
      </c>
      <c r="AD37" s="2">
        <f t="shared" si="10"/>
        <v>2.8867513478577151E-2</v>
      </c>
      <c r="AE37" s="19" t="str">
        <f t="shared" si="11"/>
        <v/>
      </c>
      <c r="AF37" s="20" t="str">
        <f t="shared" si="12"/>
        <v/>
      </c>
      <c r="AG37" s="18" t="str">
        <f t="shared" si="13"/>
        <v/>
      </c>
      <c r="AH37" s="21">
        <v>1.7999999999999999E-6</v>
      </c>
      <c r="AI37" s="18">
        <f t="shared" si="14"/>
        <v>0</v>
      </c>
    </row>
    <row r="38" spans="1:35" x14ac:dyDescent="0.25">
      <c r="A38" s="2" t="s">
        <v>51</v>
      </c>
      <c r="C38" s="3">
        <v>500</v>
      </c>
      <c r="D38" s="2" t="s">
        <v>42</v>
      </c>
      <c r="E38" s="7">
        <v>500</v>
      </c>
      <c r="F38" s="2" t="s">
        <v>44</v>
      </c>
      <c r="J38" s="8" t="str">
        <f t="shared" si="0"/>
        <v/>
      </c>
      <c r="K38" s="9" t="str">
        <f t="shared" si="1"/>
        <v/>
      </c>
      <c r="L38" s="4"/>
      <c r="M38" s="4"/>
      <c r="N38" s="9" t="str">
        <f t="shared" si="15"/>
        <v/>
      </c>
      <c r="O38" s="19">
        <v>510.3</v>
      </c>
      <c r="P38" s="19">
        <v>489.7</v>
      </c>
      <c r="Q38" s="2" t="str">
        <f t="shared" si="2"/>
        <v/>
      </c>
      <c r="R38" s="22">
        <v>7.0999999999999994E-2</v>
      </c>
      <c r="S38" s="11">
        <v>2</v>
      </c>
      <c r="T38" s="12">
        <f t="shared" si="3"/>
        <v>3.5499999999999997E-2</v>
      </c>
      <c r="U38" s="13">
        <v>0</v>
      </c>
      <c r="V38" s="14">
        <f t="shared" si="4"/>
        <v>1.7320508075688772</v>
      </c>
      <c r="W38" s="2">
        <f t="shared" si="5"/>
        <v>0</v>
      </c>
      <c r="X38" s="15">
        <v>0.1</v>
      </c>
      <c r="Y38" s="15">
        <v>3.4641016151377544</v>
      </c>
      <c r="Z38" s="2">
        <f t="shared" si="6"/>
        <v>2.8867513459481291E-2</v>
      </c>
      <c r="AA38" s="17" t="str">
        <f t="shared" si="7"/>
        <v/>
      </c>
      <c r="AB38" s="16">
        <f t="shared" si="8"/>
        <v>1.7320508075688772</v>
      </c>
      <c r="AC38" s="18" t="str">
        <f t="shared" si="9"/>
        <v/>
      </c>
      <c r="AD38" s="2">
        <f t="shared" si="10"/>
        <v>4.5755691813514673E-2</v>
      </c>
      <c r="AE38" s="19" t="str">
        <f t="shared" si="11"/>
        <v/>
      </c>
      <c r="AF38" s="20" t="str">
        <f t="shared" si="12"/>
        <v/>
      </c>
      <c r="AG38" s="18" t="str">
        <f t="shared" si="13"/>
        <v/>
      </c>
      <c r="AH38" s="21">
        <v>8.4000000000000005E-2</v>
      </c>
      <c r="AI38" s="19">
        <f t="shared" si="14"/>
        <v>0</v>
      </c>
    </row>
    <row r="39" spans="1:35" x14ac:dyDescent="0.25">
      <c r="S39" s="11"/>
      <c r="U39" s="13"/>
      <c r="V39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DCV</vt:lpstr>
      <vt:lpstr>Res</vt:lpstr>
      <vt:lpstr>ACV</vt:lpstr>
      <vt:lpstr>ACMilV</vt:lpstr>
      <vt:lpstr>DCMilV</vt:lpstr>
      <vt:lpstr>AutoV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Danica Bea B. Neri</dc:creator>
  <cp:lastModifiedBy>Danica Bea B. Neri</cp:lastModifiedBy>
  <cp:lastPrinted>2025-10-02T07:00:25Z</cp:lastPrinted>
  <dcterms:created xsi:type="dcterms:W3CDTF">2025-09-18T00:52:56Z</dcterms:created>
  <dcterms:modified xsi:type="dcterms:W3CDTF">2025-10-24T16:36:40Z</dcterms:modified>
</cp:coreProperties>
</file>