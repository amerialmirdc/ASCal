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bneri\Documents\Visual Studio 2010\Projects\ASCal\ASCal\bin\Debug\"/>
    </mc:Choice>
  </mc:AlternateContent>
  <bookViews>
    <workbookView xWindow="0" yWindow="0" windowWidth="14205" windowHeight="9870"/>
  </bookViews>
  <sheets>
    <sheet name="Res" sheetId="3" r:id="rId1"/>
    <sheet name="ACV" sheetId="2" r:id="rId2"/>
    <sheet name="DCV" sheetId="1" r:id="rId3"/>
    <sheet name="ACMilV" sheetId="5" r:id="rId4"/>
    <sheet name="DCMilV" sheetId="4" r:id="rId5"/>
    <sheet name="AutoV" sheetId="6" r:id="rId6"/>
  </sheets>
  <definedNames>
    <definedName name="ak">DCV!#REF!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2" i="3"/>
  <c r="T2" i="3"/>
  <c r="V2" i="3"/>
  <c r="W2" i="3"/>
  <c r="T3" i="3"/>
  <c r="V3" i="3"/>
  <c r="W3" i="3"/>
  <c r="T4" i="3"/>
  <c r="V4" i="3"/>
  <c r="W4" i="3"/>
  <c r="T5" i="3"/>
  <c r="V5" i="3"/>
  <c r="W5" i="3"/>
  <c r="T6" i="3"/>
  <c r="V6" i="3"/>
  <c r="W6" i="3"/>
  <c r="T7" i="3"/>
  <c r="V7" i="3"/>
  <c r="W7" i="3"/>
  <c r="T8" i="3"/>
  <c r="V8" i="3"/>
  <c r="W8" i="3"/>
  <c r="T9" i="3"/>
  <c r="V9" i="3"/>
  <c r="W9" i="3"/>
  <c r="N3" i="6" l="1"/>
  <c r="N4" i="6"/>
  <c r="N3" i="4"/>
  <c r="N2" i="4"/>
  <c r="Y3" i="5"/>
  <c r="Y2" i="5"/>
  <c r="T2" i="5"/>
  <c r="T3" i="5"/>
  <c r="N3" i="5"/>
  <c r="N2" i="5"/>
  <c r="AB4" i="6"/>
  <c r="AA4" i="6"/>
  <c r="AC4" i="6" s="1"/>
  <c r="Z4" i="6"/>
  <c r="V4" i="6"/>
  <c r="W4" i="6" s="1"/>
  <c r="T4" i="6"/>
  <c r="Q4" i="6"/>
  <c r="J4" i="6"/>
  <c r="AB3" i="6"/>
  <c r="AA3" i="6"/>
  <c r="AC3" i="6" s="1"/>
  <c r="Z3" i="6"/>
  <c r="V3" i="6"/>
  <c r="W3" i="6" s="1"/>
  <c r="T3" i="6"/>
  <c r="J3" i="6"/>
  <c r="AB2" i="6"/>
  <c r="AA2" i="6"/>
  <c r="Z2" i="6"/>
  <c r="V2" i="6"/>
  <c r="W2" i="6" s="1"/>
  <c r="T2" i="6"/>
  <c r="N2" i="6"/>
  <c r="J2" i="6"/>
  <c r="K2" i="6" s="1"/>
  <c r="P2" i="1"/>
  <c r="Q3" i="1"/>
  <c r="Q4" i="1"/>
  <c r="Q5" i="1"/>
  <c r="Q6" i="1"/>
  <c r="AG5" i="2"/>
  <c r="AG4" i="2"/>
  <c r="AG3" i="2"/>
  <c r="AG6" i="2"/>
  <c r="AG7" i="2"/>
  <c r="AG2" i="2"/>
  <c r="N3" i="2"/>
  <c r="N4" i="2"/>
  <c r="N5" i="2"/>
  <c r="N6" i="2"/>
  <c r="N7" i="2"/>
  <c r="N2" i="2"/>
  <c r="Q2" i="6" l="1"/>
  <c r="Q3" i="6"/>
  <c r="AC2" i="6"/>
  <c r="AD3" i="6"/>
  <c r="AE3" i="6" s="1"/>
  <c r="AF3" i="6" s="1"/>
  <c r="AG3" i="6" s="1"/>
  <c r="AI3" i="6" s="1"/>
  <c r="AD2" i="6"/>
  <c r="AE2" i="6" s="1"/>
  <c r="AF2" i="6" s="1"/>
  <c r="AG2" i="6" s="1"/>
  <c r="AI2" i="6" s="1"/>
  <c r="AD4" i="6"/>
  <c r="AE4" i="6" s="1"/>
  <c r="AF4" i="6" s="1"/>
  <c r="AG4" i="6" s="1"/>
  <c r="AI4" i="6" s="1"/>
  <c r="K3" i="6"/>
  <c r="K4" i="6"/>
  <c r="J6" i="2"/>
  <c r="K6" i="2"/>
  <c r="T6" i="2"/>
  <c r="V6" i="2"/>
  <c r="W6" i="2" s="1"/>
  <c r="Z6" i="2"/>
  <c r="AA6" i="2"/>
  <c r="AC6" i="2" s="1"/>
  <c r="AB6" i="2"/>
  <c r="J7" i="2"/>
  <c r="K7" i="2"/>
  <c r="T7" i="2"/>
  <c r="V7" i="2"/>
  <c r="W7" i="2" s="1"/>
  <c r="Z7" i="2"/>
  <c r="AA7" i="2"/>
  <c r="AC7" i="2" s="1"/>
  <c r="AB7" i="2"/>
  <c r="Y9" i="3"/>
  <c r="Y8" i="3"/>
  <c r="Y7" i="3"/>
  <c r="Y6" i="3"/>
  <c r="Y5" i="3"/>
  <c r="Y4" i="3"/>
  <c r="Y3" i="3"/>
  <c r="Y2" i="3"/>
  <c r="AB2" i="3"/>
  <c r="AB3" i="3"/>
  <c r="AB4" i="3"/>
  <c r="AB5" i="3"/>
  <c r="AB6" i="3"/>
  <c r="AB7" i="3"/>
  <c r="AB8" i="3"/>
  <c r="AB9" i="3"/>
  <c r="Z8" i="3"/>
  <c r="Z7" i="3"/>
  <c r="Z6" i="3"/>
  <c r="Z5" i="3"/>
  <c r="Z4" i="3"/>
  <c r="Z3" i="3"/>
  <c r="Z2" i="3"/>
  <c r="Z9" i="3"/>
  <c r="J9" i="3"/>
  <c r="AA9" i="3"/>
  <c r="K9" i="3" l="1"/>
  <c r="Q9" i="3"/>
  <c r="Q7" i="2"/>
  <c r="AD6" i="2"/>
  <c r="AE6" i="2" s="1"/>
  <c r="AF6" i="2" s="1"/>
  <c r="AI6" i="2" s="1"/>
  <c r="Q6" i="2"/>
  <c r="AD7" i="2"/>
  <c r="AE7" i="2" s="1"/>
  <c r="AF7" i="2" s="1"/>
  <c r="AI7" i="2" s="1"/>
  <c r="AC9" i="3"/>
  <c r="AD9" i="3" s="1"/>
  <c r="AE9" i="3" s="1"/>
  <c r="AF9" i="3" s="1"/>
  <c r="AG9" i="3" s="1"/>
  <c r="AI9" i="3" s="1"/>
  <c r="AB3" i="5" l="1"/>
  <c r="AA3" i="5"/>
  <c r="AC3" i="5" s="1"/>
  <c r="Z3" i="5"/>
  <c r="V3" i="5"/>
  <c r="W3" i="5" s="1"/>
  <c r="J3" i="5"/>
  <c r="AB2" i="5"/>
  <c r="AA2" i="5"/>
  <c r="AC2" i="5" s="1"/>
  <c r="Z2" i="5"/>
  <c r="V2" i="5"/>
  <c r="W2" i="5" s="1"/>
  <c r="J2" i="5"/>
  <c r="AB3" i="4"/>
  <c r="AA3" i="4"/>
  <c r="AC3" i="4" s="1"/>
  <c r="Z3" i="4"/>
  <c r="V3" i="4"/>
  <c r="W3" i="4" s="1"/>
  <c r="T3" i="4"/>
  <c r="J3" i="4"/>
  <c r="AB2" i="4"/>
  <c r="AA2" i="4"/>
  <c r="AC2" i="4" s="1"/>
  <c r="Z2" i="4"/>
  <c r="V2" i="4"/>
  <c r="W2" i="4" s="1"/>
  <c r="T2" i="4"/>
  <c r="J2" i="4"/>
  <c r="AA8" i="3"/>
  <c r="AC8" i="3" s="1"/>
  <c r="J8" i="3"/>
  <c r="AA7" i="3"/>
  <c r="AC7" i="3" s="1"/>
  <c r="J7" i="3"/>
  <c r="AA6" i="3"/>
  <c r="AC6" i="3" s="1"/>
  <c r="J6" i="3"/>
  <c r="AA5" i="3"/>
  <c r="AC5" i="3" s="1"/>
  <c r="J5" i="3"/>
  <c r="AA4" i="3"/>
  <c r="AC4" i="3" s="1"/>
  <c r="J4" i="3"/>
  <c r="AA3" i="3"/>
  <c r="AC3" i="3" s="1"/>
  <c r="J3" i="3"/>
  <c r="AA2" i="3"/>
  <c r="AC2" i="3" s="1"/>
  <c r="J2" i="3"/>
  <c r="J2" i="2"/>
  <c r="K2" i="2" s="1"/>
  <c r="T2" i="2"/>
  <c r="V2" i="2"/>
  <c r="W2" i="2" s="1"/>
  <c r="Z2" i="2"/>
  <c r="AA2" i="2"/>
  <c r="AC2" i="2" s="1"/>
  <c r="AB2" i="2"/>
  <c r="J3" i="2"/>
  <c r="K3" i="2" s="1"/>
  <c r="T3" i="2"/>
  <c r="V3" i="2"/>
  <c r="W3" i="2" s="1"/>
  <c r="Z3" i="2"/>
  <c r="AA3" i="2"/>
  <c r="AC3" i="2" s="1"/>
  <c r="AB3" i="2"/>
  <c r="J4" i="2"/>
  <c r="K4" i="2"/>
  <c r="T4" i="2"/>
  <c r="V4" i="2"/>
  <c r="W4" i="2" s="1"/>
  <c r="Z4" i="2"/>
  <c r="AA4" i="2"/>
  <c r="AC4" i="2" s="1"/>
  <c r="AB4" i="2"/>
  <c r="J5" i="2"/>
  <c r="K5" i="2"/>
  <c r="T5" i="2"/>
  <c r="V5" i="2"/>
  <c r="W5" i="2" s="1"/>
  <c r="Z5" i="2"/>
  <c r="AA5" i="2"/>
  <c r="AC5" i="2" s="1"/>
  <c r="AB5" i="2"/>
  <c r="Q5" i="3" l="1"/>
  <c r="K5" i="3"/>
  <c r="Q8" i="3"/>
  <c r="K8" i="3"/>
  <c r="Q6" i="3"/>
  <c r="K6" i="3"/>
  <c r="Q7" i="3"/>
  <c r="K7" i="3"/>
  <c r="Q3" i="3"/>
  <c r="K3" i="3"/>
  <c r="Q4" i="3"/>
  <c r="K4" i="3"/>
  <c r="K2" i="3"/>
  <c r="Q2" i="3"/>
  <c r="K2" i="5"/>
  <c r="K3" i="5"/>
  <c r="K2" i="4"/>
  <c r="K3" i="4"/>
  <c r="AD7" i="3"/>
  <c r="AE7" i="3" s="1"/>
  <c r="AF7" i="3" s="1"/>
  <c r="AG7" i="3" s="1"/>
  <c r="AI7" i="3" s="1"/>
  <c r="AD3" i="3"/>
  <c r="AE3" i="3" s="1"/>
  <c r="AF3" i="3" s="1"/>
  <c r="AG3" i="3" s="1"/>
  <c r="AI3" i="3" s="1"/>
  <c r="Q4" i="2"/>
  <c r="AD3" i="2"/>
  <c r="AE3" i="2" s="1"/>
  <c r="AF3" i="2" s="1"/>
  <c r="AI3" i="2" s="1"/>
  <c r="AD5" i="2"/>
  <c r="AE5" i="2" s="1"/>
  <c r="AF5" i="2" s="1"/>
  <c r="AI5" i="2" s="1"/>
  <c r="AD8" i="3"/>
  <c r="AE8" i="3" s="1"/>
  <c r="AF8" i="3" s="1"/>
  <c r="AG8" i="3" s="1"/>
  <c r="AI8" i="3" s="1"/>
  <c r="AD2" i="3"/>
  <c r="AE2" i="3" s="1"/>
  <c r="AF2" i="3" s="1"/>
  <c r="AG2" i="3" s="1"/>
  <c r="AI2" i="3" s="1"/>
  <c r="AD4" i="3"/>
  <c r="AE4" i="3" s="1"/>
  <c r="AF4" i="3" s="1"/>
  <c r="AG4" i="3" s="1"/>
  <c r="AI4" i="3" s="1"/>
  <c r="AD5" i="3"/>
  <c r="AE5" i="3" s="1"/>
  <c r="AF5" i="3" s="1"/>
  <c r="AG5" i="3" s="1"/>
  <c r="AI5" i="3" s="1"/>
  <c r="AD6" i="3"/>
  <c r="AE6" i="3" s="1"/>
  <c r="AF6" i="3" s="1"/>
  <c r="AG6" i="3" s="1"/>
  <c r="AI6" i="3" s="1"/>
  <c r="AD2" i="4"/>
  <c r="AE2" i="4" s="1"/>
  <c r="AF2" i="4" s="1"/>
  <c r="AG2" i="4" s="1"/>
  <c r="AI2" i="4" s="1"/>
  <c r="AD3" i="4"/>
  <c r="AE3" i="4" s="1"/>
  <c r="AF3" i="4" s="1"/>
  <c r="AG3" i="4" s="1"/>
  <c r="AI3" i="4" s="1"/>
  <c r="AD3" i="5"/>
  <c r="AE3" i="5" s="1"/>
  <c r="AF3" i="5" s="1"/>
  <c r="AG3" i="5" s="1"/>
  <c r="AI3" i="5" s="1"/>
  <c r="AD2" i="5"/>
  <c r="AE2" i="5" s="1"/>
  <c r="AF2" i="5" s="1"/>
  <c r="AG2" i="5" s="1"/>
  <c r="AI2" i="5" s="1"/>
  <c r="AD4" i="2"/>
  <c r="AE4" i="2" s="1"/>
  <c r="AF4" i="2" s="1"/>
  <c r="AI4" i="2" s="1"/>
  <c r="AD2" i="2"/>
  <c r="AE2" i="2" s="1"/>
  <c r="AF2" i="2" s="1"/>
  <c r="AI2" i="2" s="1"/>
  <c r="Q2" i="4" l="1"/>
  <c r="Q3" i="4"/>
  <c r="Q5" i="2"/>
  <c r="Q3" i="5" l="1"/>
  <c r="Q3" i="2"/>
  <c r="AA2" i="1" l="1"/>
  <c r="AC2" i="1" s="1"/>
  <c r="AA3" i="1"/>
  <c r="AC3" i="1" s="1"/>
  <c r="AA4" i="1"/>
  <c r="AC4" i="1" s="1"/>
  <c r="AA5" i="1"/>
  <c r="AC5" i="1" s="1"/>
  <c r="AA6" i="1"/>
  <c r="AC6" i="1" s="1"/>
  <c r="J2" i="1"/>
  <c r="K2" i="1" s="1"/>
  <c r="J3" i="1"/>
  <c r="N3" i="1" s="1"/>
  <c r="J4" i="1"/>
  <c r="K4" i="1" s="1"/>
  <c r="J5" i="1"/>
  <c r="J6" i="1"/>
  <c r="N5" i="1"/>
  <c r="N6" i="1"/>
  <c r="K3" i="1"/>
  <c r="K5" i="1"/>
  <c r="K6" i="1"/>
  <c r="N4" i="1" l="1"/>
  <c r="Z2" i="1" l="1"/>
  <c r="Z3" i="1"/>
  <c r="Z4" i="1"/>
  <c r="Z5" i="1"/>
  <c r="Z6" i="1"/>
  <c r="T2" i="1"/>
  <c r="T3" i="1"/>
  <c r="T4" i="1"/>
  <c r="T5" i="1"/>
  <c r="T6" i="1"/>
  <c r="AB2" i="1"/>
  <c r="AB3" i="1"/>
  <c r="AB4" i="1"/>
  <c r="AB5" i="1"/>
  <c r="AB6" i="1"/>
  <c r="V2" i="1"/>
  <c r="W2" i="1" s="1"/>
  <c r="V3" i="1"/>
  <c r="W3" i="1" s="1"/>
  <c r="V4" i="1"/>
  <c r="W4" i="1" s="1"/>
  <c r="V5" i="1"/>
  <c r="W5" i="1" s="1"/>
  <c r="V6" i="1"/>
  <c r="W6" i="1" s="1"/>
  <c r="AD5" i="1" l="1"/>
  <c r="AE5" i="1" s="1"/>
  <c r="AF5" i="1" s="1"/>
  <c r="AG5" i="1" s="1"/>
  <c r="AI5" i="1" s="1"/>
  <c r="AD2" i="1"/>
  <c r="AE2" i="1" s="1"/>
  <c r="AF2" i="1" s="1"/>
  <c r="AG2" i="1" s="1"/>
  <c r="AI2" i="1" s="1"/>
  <c r="AD6" i="1"/>
  <c r="AE6" i="1" s="1"/>
  <c r="AF6" i="1" s="1"/>
  <c r="AG6" i="1" s="1"/>
  <c r="AI6" i="1" s="1"/>
  <c r="AD3" i="1"/>
  <c r="AE3" i="1" s="1"/>
  <c r="AF3" i="1" s="1"/>
  <c r="AG3" i="1" s="1"/>
  <c r="AI3" i="1" s="1"/>
  <c r="AD4" i="1"/>
  <c r="AE4" i="1" s="1"/>
  <c r="AF4" i="1" s="1"/>
  <c r="AG4" i="1" s="1"/>
  <c r="AI4" i="1" s="1"/>
  <c r="Q2" i="2" l="1"/>
  <c r="N2" i="1"/>
  <c r="Q2" i="1" s="1"/>
  <c r="Q2" i="5"/>
</calcChain>
</file>

<file path=xl/sharedStrings.xml><?xml version="1.0" encoding="utf-8"?>
<sst xmlns="http://schemas.openxmlformats.org/spreadsheetml/2006/main" count="301" uniqueCount="61">
  <si>
    <t>RangeLabel</t>
  </si>
  <si>
    <t>Nominal</t>
  </si>
  <si>
    <t>Frequency</t>
  </si>
  <si>
    <t>MV1</t>
  </si>
  <si>
    <t>MV2</t>
  </si>
  <si>
    <t>MV3</t>
  </si>
  <si>
    <t>UpperLimit</t>
  </si>
  <si>
    <t>LowerLimit</t>
  </si>
  <si>
    <t>Function</t>
  </si>
  <si>
    <t>Unit</t>
  </si>
  <si>
    <t>FreqUnit</t>
  </si>
  <si>
    <t>U_CoC</t>
  </si>
  <si>
    <t>Div_CoC</t>
  </si>
  <si>
    <t>Ui_CoC</t>
  </si>
  <si>
    <t>U_Annual</t>
  </si>
  <si>
    <t>Div_Annual</t>
  </si>
  <si>
    <t>Ui_Annual</t>
  </si>
  <si>
    <t>U_Read</t>
  </si>
  <si>
    <t>Div_Read</t>
  </si>
  <si>
    <t>Ui_Read</t>
  </si>
  <si>
    <t>U_Repeat</t>
  </si>
  <si>
    <t>Div_Repeat</t>
  </si>
  <si>
    <t>Ui_Repeat</t>
  </si>
  <si>
    <t>Combined</t>
  </si>
  <si>
    <t>k</t>
  </si>
  <si>
    <t>U_expanded</t>
  </si>
  <si>
    <t>CMC_min</t>
  </si>
  <si>
    <t>Final_U</t>
  </si>
  <si>
    <t>Average</t>
  </si>
  <si>
    <t>Error</t>
  </si>
  <si>
    <t>Tolerance</t>
  </si>
  <si>
    <t>Remarks</t>
  </si>
  <si>
    <t>Effective degrees of freedom (v_eff)</t>
  </si>
  <si>
    <t>Spec_Accuracy (%)</t>
  </si>
  <si>
    <t>Spec_Digit</t>
  </si>
  <si>
    <t>600 mV</t>
  </si>
  <si>
    <t>6 V</t>
  </si>
  <si>
    <t>60 V</t>
  </si>
  <si>
    <t>600 V</t>
  </si>
  <si>
    <t>-</t>
  </si>
  <si>
    <t>1 kHz</t>
  </si>
  <si>
    <t>600 Ω</t>
  </si>
  <si>
    <t>6 kΩ</t>
  </si>
  <si>
    <t>60 kΩ</t>
  </si>
  <si>
    <t>600 kΩ</t>
  </si>
  <si>
    <t>6 MΩ</t>
  </si>
  <si>
    <t>Ω</t>
  </si>
  <si>
    <t>kΩ</t>
  </si>
  <si>
    <t>MΩ</t>
  </si>
  <si>
    <t>mV</t>
  </si>
  <si>
    <t>V</t>
  </si>
  <si>
    <t>40 MΩ</t>
  </si>
  <si>
    <t>45 Hz</t>
  </si>
  <si>
    <t>Hz</t>
  </si>
  <si>
    <t>kHz</t>
  </si>
  <si>
    <t>AC milli Volt Test</t>
  </si>
  <si>
    <t>DC Voltage Test</t>
  </si>
  <si>
    <t>AC Voltage Test</t>
  </si>
  <si>
    <t>Resistance Test</t>
  </si>
  <si>
    <t>DC milli Volt Test</t>
  </si>
  <si>
    <t>Auto Volt LoZ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</si>
</sst>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0.00000"/>
    <numFmt numFmtId="166" formatCode="0.000000"/>
    <numFmt numFmtId="167" formatCode="0.0000000"/>
    <numFmt numFmtId="168" formatCode="0.0000"/>
    <numFmt numFmtId="169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167" fontId="0" fillId="0" borderId="1" xfId="0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9" fontId="0" fillId="0" borderId="1" xfId="0" applyNumberFormat="1" applyFont="1" applyFill="1" applyBorder="1" applyAlignment="1">
      <alignment horizontal="center" vertical="center"/>
    </xf>
    <xf numFmtId="167" fontId="3" fillId="0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168" fontId="0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center" vertical="center"/>
    </xf>
    <xf numFmtId="169" fontId="0" fillId="0" borderId="1" xfId="0" applyNumberFormat="1" applyFont="1" applyFill="1" applyBorder="1" applyAlignment="1">
      <alignment horizontal="center" vertical="center" wrapText="1"/>
    </xf>
    <xf numFmtId="168" fontId="3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Views>
    <sheetView tabSelected="1" topLeftCell="F1" zoomScale="130" zoomScaleNormal="130" workbookViewId="0">
      <selection activeCell="M29" sqref="M29"/>
    </sheetView>
  </sheetViews>
  <sheetFormatPr defaultRowHeight="15" x14ac:dyDescent="0.25"/>
  <cols>
    <col min="1" max="1" width="16.14062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2.5703125" style="3" customWidth="1"/>
    <col min="19" max="19" width="8.28515625" style="3" customWidth="1"/>
    <col min="20" max="20" width="10.2851562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1" spans="1:35" s="1" customFormat="1" ht="45" x14ac:dyDescent="0.25">
      <c r="A1" s="2" t="s">
        <v>8</v>
      </c>
      <c r="B1" s="3" t="s">
        <v>0</v>
      </c>
      <c r="C1" s="3" t="s">
        <v>1</v>
      </c>
      <c r="D1" s="2" t="s">
        <v>9</v>
      </c>
      <c r="E1" s="3" t="s">
        <v>2</v>
      </c>
      <c r="F1" s="2" t="s">
        <v>10</v>
      </c>
      <c r="G1" s="3" t="s">
        <v>3</v>
      </c>
      <c r="H1" s="3" t="s">
        <v>4</v>
      </c>
      <c r="I1" s="3" t="s">
        <v>5</v>
      </c>
      <c r="J1" s="1" t="s">
        <v>28</v>
      </c>
      <c r="K1" s="1" t="s">
        <v>29</v>
      </c>
      <c r="L1" s="4" t="s">
        <v>33</v>
      </c>
      <c r="M1" s="4" t="s">
        <v>34</v>
      </c>
      <c r="N1" s="1" t="s">
        <v>30</v>
      </c>
      <c r="O1" s="2" t="s">
        <v>6</v>
      </c>
      <c r="P1" s="2" t="s">
        <v>7</v>
      </c>
      <c r="Q1" s="1" t="s">
        <v>31</v>
      </c>
      <c r="R1" s="3" t="s">
        <v>11</v>
      </c>
      <c r="S1" s="4" t="s">
        <v>12</v>
      </c>
      <c r="T1" s="1" t="s">
        <v>13</v>
      </c>
      <c r="U1" s="4" t="s">
        <v>14</v>
      </c>
      <c r="V1" s="3" t="s">
        <v>15</v>
      </c>
      <c r="W1" s="1" t="s">
        <v>16</v>
      </c>
      <c r="X1" s="4" t="s">
        <v>17</v>
      </c>
      <c r="Y1" s="4" t="s">
        <v>18</v>
      </c>
      <c r="Z1" s="2" t="s">
        <v>19</v>
      </c>
      <c r="AA1" s="5" t="s">
        <v>20</v>
      </c>
      <c r="AB1" s="3" t="s">
        <v>21</v>
      </c>
      <c r="AC1" s="6" t="s">
        <v>22</v>
      </c>
      <c r="AD1" s="2" t="s">
        <v>23</v>
      </c>
      <c r="AE1" s="1" t="s">
        <v>32</v>
      </c>
      <c r="AF1" s="2" t="s">
        <v>24</v>
      </c>
      <c r="AG1" s="2" t="s">
        <v>25</v>
      </c>
      <c r="AH1" s="3" t="s">
        <v>26</v>
      </c>
      <c r="AI1" s="2" t="s">
        <v>27</v>
      </c>
    </row>
    <row r="2" spans="1:35" x14ac:dyDescent="0.25">
      <c r="A2" s="2" t="s">
        <v>58</v>
      </c>
      <c r="B2" s="3" t="s">
        <v>41</v>
      </c>
      <c r="C2" s="2">
        <v>0</v>
      </c>
      <c r="D2" s="2" t="s">
        <v>46</v>
      </c>
      <c r="G2" s="2">
        <v>0</v>
      </c>
      <c r="H2" s="2">
        <v>0</v>
      </c>
      <c r="I2" s="2">
        <v>0</v>
      </c>
      <c r="J2" s="8">
        <f t="shared" ref="J2:J9" si="0">IF(ISBLANK(G2),"",IF(ISBLANK(H2),"",IF(ISBLANK(I2),"",(AVERAGE(G2:I2)))))</f>
        <v>0</v>
      </c>
      <c r="K2" s="9">
        <f>IF(ISBLANK(G2),"",IF(ISBLANK(H2),"",IF(ISBLANK(I2),"",J2-C2)))</f>
        <v>0</v>
      </c>
      <c r="L2" s="4"/>
      <c r="M2" s="4"/>
      <c r="N2" s="26">
        <f>IF(ISBLANK(G2),"",IF(ISBLANK(H2),"",IF(ISBLANK(I2),"",ROUND(O2-C2,1))))</f>
        <v>0.2</v>
      </c>
      <c r="O2" s="10">
        <v>0.2</v>
      </c>
      <c r="P2" s="10">
        <v>0</v>
      </c>
      <c r="Q2" s="2" t="str">
        <f t="shared" ref="Q2:Q9" si="1">IF(ISBLANK(G2),"",IF(ISBLANK(H2),"",IF(ISBLANK(I2),"",IF(AND(J2&gt;=P2,J2&lt;=O2),"PASS","FAIL"))))</f>
        <v>PASS</v>
      </c>
      <c r="R2" s="22">
        <v>7.7000000000000001E-5</v>
      </c>
      <c r="S2" s="11">
        <v>2</v>
      </c>
      <c r="T2" s="12">
        <f>R2/S2</f>
        <v>3.8500000000000001E-5</v>
      </c>
      <c r="U2" s="13">
        <v>0</v>
      </c>
      <c r="V2" s="16">
        <f t="shared" ref="V2:V9" si="2">SQRT(3)</f>
        <v>1.7320508075688772</v>
      </c>
      <c r="W2" s="2">
        <f>U2/V2</f>
        <v>0</v>
      </c>
      <c r="X2" s="15">
        <v>0.1</v>
      </c>
      <c r="Y2" s="16">
        <f t="shared" ref="Y2:Y9" si="3">SQRT(12)</f>
        <v>3.4641016151377544</v>
      </c>
      <c r="Z2" s="2">
        <f>X2/Y2</f>
        <v>2.8867513459481291E-2</v>
      </c>
      <c r="AA2" s="17">
        <f t="shared" ref="AA2:AA8" si="4">IF(ISBLANK(G2),"",IF(ISBLANK(H2),"",IF(ISBLANK(I2),"",STDEV(G2:I2))))</f>
        <v>0</v>
      </c>
      <c r="AB2" s="16">
        <f t="shared" ref="AB2:AB9" si="5">SQRT(3)</f>
        <v>1.7320508075688772</v>
      </c>
      <c r="AC2" s="18">
        <f t="shared" ref="AC2:AC8" si="6">IF(ISBLANK(G2),"",IF(ISBLANK(H2),"",IF(ISBLANK(I2),"",AA2/AB2)))</f>
        <v>0</v>
      </c>
      <c r="AD2" s="2">
        <f t="shared" ref="AD2:AD8" si="7">SQRT(SUMSQ(T2,W2,Z2,AC2))</f>
        <v>2.8867539132792972E-2</v>
      </c>
      <c r="AE2" s="19">
        <f t="shared" ref="AE2:AE9" si="8">IF(ISBLANK(G2),"",IF(ISBLANK(H2),"",IF(ISBLANK(I2),"",IF(AD2=0,0,(AD2^4)/(((AC2^4)/2)+((Z2^4)/200)+((W2^4)/200)+((T2^4)/200))))))</f>
        <v>200.00071148000006</v>
      </c>
      <c r="AF2" s="20">
        <f t="shared" ref="AF2:AF8" si="9">IF(ISBLANK(G2),"",IF(ISBLANK(H2),"",IF(ISBLANK(I2),"",ROUND(IF(AE2&gt;=30,2,_xlfn.T.INV.2T(0.05,AE2)),0))))</f>
        <v>2</v>
      </c>
      <c r="AG2" s="18">
        <f t="shared" ref="AG2:AG8" si="10">IF(ISBLANK(G2),"",IF(ISBLANK(H2),"",IF(ISBLANK(I2),"",AF2*AD2)))</f>
        <v>5.7735078265585944E-2</v>
      </c>
      <c r="AH2" s="21">
        <v>7.7999999999999996E-3</v>
      </c>
      <c r="AI2" s="19">
        <f t="shared" ref="AI2:AI9" si="11">IF(ISBLANK(G2),0,IF(ISBLANK(H2),0,IF(ISBLANK(I2),0,MAX(AG2,AH2))))</f>
        <v>5.7735078265585944E-2</v>
      </c>
    </row>
    <row r="3" spans="1:35" x14ac:dyDescent="0.25">
      <c r="A3" s="2" t="s">
        <v>58</v>
      </c>
      <c r="B3" s="3" t="s">
        <v>41</v>
      </c>
      <c r="C3" s="2">
        <v>500</v>
      </c>
      <c r="D3" s="2" t="s">
        <v>46</v>
      </c>
      <c r="G3" s="2">
        <v>500</v>
      </c>
      <c r="H3" s="2">
        <v>500</v>
      </c>
      <c r="I3" s="2">
        <v>500</v>
      </c>
      <c r="J3" s="8">
        <f t="shared" si="0"/>
        <v>500</v>
      </c>
      <c r="K3" s="9">
        <f t="shared" ref="K3:K9" si="12">IF(ISBLANK(G3),"",IF(ISBLANK(H3),"",IF(ISBLANK(I3),"",J3-C3)))</f>
        <v>0</v>
      </c>
      <c r="L3" s="4"/>
      <c r="M3" s="4"/>
      <c r="N3" s="26">
        <f t="shared" ref="N3:N9" si="13">IF(ISBLANK(G3),"",IF(ISBLANK(H3),"",IF(ISBLANK(I3),"",ROUND(O3-C3,1))))</f>
        <v>4.7</v>
      </c>
      <c r="O3" s="10">
        <v>504.7</v>
      </c>
      <c r="P3" s="10">
        <v>495.3</v>
      </c>
      <c r="Q3" s="2" t="str">
        <f t="shared" si="1"/>
        <v>PASS</v>
      </c>
      <c r="R3" s="22">
        <v>3.0000000000000001E-3</v>
      </c>
      <c r="S3" s="11">
        <v>2</v>
      </c>
      <c r="T3" s="12">
        <f t="shared" ref="T3:T9" si="14">R3/S3</f>
        <v>1.5E-3</v>
      </c>
      <c r="U3" s="13">
        <v>0</v>
      </c>
      <c r="V3" s="16">
        <f t="shared" si="2"/>
        <v>1.7320508075688772</v>
      </c>
      <c r="W3" s="2">
        <f t="shared" ref="W3:W9" si="15">U3/V3</f>
        <v>0</v>
      </c>
      <c r="X3" s="15">
        <v>0.1</v>
      </c>
      <c r="Y3" s="16">
        <f t="shared" si="3"/>
        <v>3.4641016151377544</v>
      </c>
      <c r="Z3" s="2">
        <f t="shared" ref="Z3:Z9" si="16">X3/Y3</f>
        <v>2.8867513459481291E-2</v>
      </c>
      <c r="AA3" s="17">
        <f t="shared" si="4"/>
        <v>0</v>
      </c>
      <c r="AB3" s="16">
        <f t="shared" si="5"/>
        <v>1.7320508075688772</v>
      </c>
      <c r="AC3" s="18">
        <f t="shared" si="6"/>
        <v>0</v>
      </c>
      <c r="AD3" s="2">
        <f t="shared" si="7"/>
        <v>2.8906458332582589E-2</v>
      </c>
      <c r="AE3" s="19">
        <f t="shared" si="8"/>
        <v>201.07999212685738</v>
      </c>
      <c r="AF3" s="20">
        <f t="shared" si="9"/>
        <v>2</v>
      </c>
      <c r="AG3" s="18">
        <f t="shared" si="10"/>
        <v>5.7812916665165179E-2</v>
      </c>
      <c r="AH3" s="21">
        <v>2.3E-2</v>
      </c>
      <c r="AI3" s="19">
        <f t="shared" si="11"/>
        <v>5.7812916665165179E-2</v>
      </c>
    </row>
    <row r="4" spans="1:35" x14ac:dyDescent="0.25">
      <c r="A4" s="2" t="s">
        <v>58</v>
      </c>
      <c r="B4" s="3" t="s">
        <v>42</v>
      </c>
      <c r="C4" s="2">
        <v>5</v>
      </c>
      <c r="D4" s="2" t="s">
        <v>47</v>
      </c>
      <c r="G4" s="2">
        <v>5</v>
      </c>
      <c r="H4" s="2">
        <v>5</v>
      </c>
      <c r="I4" s="2">
        <v>5</v>
      </c>
      <c r="J4" s="8">
        <f t="shared" si="0"/>
        <v>5</v>
      </c>
      <c r="K4" s="9">
        <f t="shared" si="12"/>
        <v>0</v>
      </c>
      <c r="L4" s="4"/>
      <c r="M4" s="4"/>
      <c r="N4" s="26">
        <f t="shared" si="13"/>
        <v>0</v>
      </c>
      <c r="O4" s="10">
        <v>5.0460000000000003</v>
      </c>
      <c r="P4" s="10">
        <v>4.9539999999999997</v>
      </c>
      <c r="Q4" s="2" t="str">
        <f t="shared" si="1"/>
        <v>PASS</v>
      </c>
      <c r="R4" s="22">
        <v>5.5000000000000002E-5</v>
      </c>
      <c r="S4" s="11">
        <v>2</v>
      </c>
      <c r="T4" s="12">
        <f t="shared" si="14"/>
        <v>2.7500000000000001E-5</v>
      </c>
      <c r="U4" s="13">
        <v>0</v>
      </c>
      <c r="V4" s="16">
        <f t="shared" si="2"/>
        <v>1.7320508075688772</v>
      </c>
      <c r="W4" s="2">
        <f t="shared" si="15"/>
        <v>0</v>
      </c>
      <c r="X4" s="15">
        <v>1E-3</v>
      </c>
      <c r="Y4" s="16">
        <f t="shared" si="3"/>
        <v>3.4641016151377544</v>
      </c>
      <c r="Z4" s="2">
        <f t="shared" si="16"/>
        <v>2.886751345948129E-4</v>
      </c>
      <c r="AA4" s="17">
        <f t="shared" si="4"/>
        <v>0</v>
      </c>
      <c r="AB4" s="16">
        <f t="shared" si="5"/>
        <v>1.7320508075688772</v>
      </c>
      <c r="AC4" s="18">
        <f t="shared" si="6"/>
        <v>0</v>
      </c>
      <c r="AD4" s="2">
        <f t="shared" si="7"/>
        <v>2.899820396737242E-4</v>
      </c>
      <c r="AE4" s="19">
        <f t="shared" si="8"/>
        <v>203.62970107369958</v>
      </c>
      <c r="AF4" s="20">
        <f t="shared" si="9"/>
        <v>2</v>
      </c>
      <c r="AG4" s="18">
        <f t="shared" si="10"/>
        <v>5.799640793474484E-4</v>
      </c>
      <c r="AH4" s="21">
        <v>2.3000000000000001E-4</v>
      </c>
      <c r="AI4" s="19">
        <f t="shared" si="11"/>
        <v>5.799640793474484E-4</v>
      </c>
    </row>
    <row r="5" spans="1:35" x14ac:dyDescent="0.25">
      <c r="A5" s="2" t="s">
        <v>58</v>
      </c>
      <c r="B5" s="3" t="s">
        <v>43</v>
      </c>
      <c r="C5" s="2">
        <v>50</v>
      </c>
      <c r="D5" s="2" t="s">
        <v>47</v>
      </c>
      <c r="G5" s="2">
        <v>50</v>
      </c>
      <c r="H5" s="2">
        <v>50</v>
      </c>
      <c r="I5" s="2">
        <v>50</v>
      </c>
      <c r="J5" s="8">
        <f t="shared" si="0"/>
        <v>50</v>
      </c>
      <c r="K5" s="9">
        <f t="shared" si="12"/>
        <v>0</v>
      </c>
      <c r="L5" s="4"/>
      <c r="M5" s="4"/>
      <c r="N5" s="26">
        <f t="shared" si="13"/>
        <v>0.5</v>
      </c>
      <c r="O5" s="10">
        <v>50.46</v>
      </c>
      <c r="P5" s="10">
        <v>49.54</v>
      </c>
      <c r="Q5" s="2" t="str">
        <f t="shared" si="1"/>
        <v>PASS</v>
      </c>
      <c r="R5" s="22">
        <v>8.0999999999999996E-4</v>
      </c>
      <c r="S5" s="11">
        <v>2</v>
      </c>
      <c r="T5" s="12">
        <f t="shared" si="14"/>
        <v>4.0499999999999998E-4</v>
      </c>
      <c r="U5" s="13">
        <v>0</v>
      </c>
      <c r="V5" s="16">
        <f t="shared" si="2"/>
        <v>1.7320508075688772</v>
      </c>
      <c r="W5" s="2">
        <f t="shared" si="15"/>
        <v>0</v>
      </c>
      <c r="X5" s="15">
        <v>0.01</v>
      </c>
      <c r="Y5" s="16">
        <f t="shared" si="3"/>
        <v>3.4641016151377544</v>
      </c>
      <c r="Z5" s="2">
        <f t="shared" si="16"/>
        <v>2.886751345948129E-3</v>
      </c>
      <c r="AA5" s="17">
        <f t="shared" si="4"/>
        <v>0</v>
      </c>
      <c r="AB5" s="16">
        <f t="shared" si="5"/>
        <v>1.7320508075688772</v>
      </c>
      <c r="AC5" s="18">
        <f t="shared" si="6"/>
        <v>0</v>
      </c>
      <c r="AD5" s="2">
        <f t="shared" si="7"/>
        <v>2.9150228701218337E-3</v>
      </c>
      <c r="AE5" s="19">
        <f t="shared" si="8"/>
        <v>207.8701509422734</v>
      </c>
      <c r="AF5" s="20">
        <f t="shared" si="9"/>
        <v>2</v>
      </c>
      <c r="AG5" s="18">
        <f t="shared" si="10"/>
        <v>5.8300457402436674E-3</v>
      </c>
      <c r="AH5" s="21">
        <v>1.5E-3</v>
      </c>
      <c r="AI5" s="19">
        <f t="shared" si="11"/>
        <v>5.8300457402436674E-3</v>
      </c>
    </row>
    <row r="6" spans="1:35" x14ac:dyDescent="0.25">
      <c r="A6" s="2" t="s">
        <v>58</v>
      </c>
      <c r="B6" s="3" t="s">
        <v>44</v>
      </c>
      <c r="C6" s="2">
        <v>500</v>
      </c>
      <c r="D6" s="2" t="s">
        <v>47</v>
      </c>
      <c r="G6" s="2">
        <v>500</v>
      </c>
      <c r="H6" s="2">
        <v>500</v>
      </c>
      <c r="I6" s="2">
        <v>500</v>
      </c>
      <c r="J6" s="8">
        <f t="shared" si="0"/>
        <v>500</v>
      </c>
      <c r="K6" s="9">
        <f t="shared" si="12"/>
        <v>0</v>
      </c>
      <c r="L6" s="4"/>
      <c r="M6" s="4"/>
      <c r="N6" s="26">
        <f t="shared" si="13"/>
        <v>4.5999999999999996</v>
      </c>
      <c r="O6" s="10">
        <v>504.6</v>
      </c>
      <c r="P6" s="10">
        <v>495.4</v>
      </c>
      <c r="Q6" s="2" t="str">
        <f t="shared" si="1"/>
        <v>PASS</v>
      </c>
      <c r="R6" s="22">
        <v>6.6E-3</v>
      </c>
      <c r="S6" s="11">
        <v>2</v>
      </c>
      <c r="T6" s="12">
        <f t="shared" si="14"/>
        <v>3.3E-3</v>
      </c>
      <c r="U6" s="13">
        <v>0</v>
      </c>
      <c r="V6" s="16">
        <f t="shared" si="2"/>
        <v>1.7320508075688772</v>
      </c>
      <c r="W6" s="2">
        <f t="shared" si="15"/>
        <v>0</v>
      </c>
      <c r="X6" s="15">
        <v>0.1</v>
      </c>
      <c r="Y6" s="16">
        <f t="shared" si="3"/>
        <v>3.4641016151377544</v>
      </c>
      <c r="Z6" s="2">
        <f t="shared" si="16"/>
        <v>2.8867513459481291E-2</v>
      </c>
      <c r="AA6" s="17">
        <f t="shared" si="4"/>
        <v>0</v>
      </c>
      <c r="AB6" s="16">
        <f t="shared" si="5"/>
        <v>1.7320508075688772</v>
      </c>
      <c r="AC6" s="18">
        <f t="shared" si="6"/>
        <v>0</v>
      </c>
      <c r="AD6" s="2">
        <f t="shared" si="7"/>
        <v>2.9055521563608758E-2</v>
      </c>
      <c r="AE6" s="19">
        <f t="shared" si="8"/>
        <v>205.22630748975618</v>
      </c>
      <c r="AF6" s="20">
        <f t="shared" si="9"/>
        <v>2</v>
      </c>
      <c r="AG6" s="18">
        <f t="shared" si="10"/>
        <v>5.8111043127217515E-2</v>
      </c>
      <c r="AH6" s="21">
        <v>1.6E-2</v>
      </c>
      <c r="AI6" s="19">
        <f t="shared" si="11"/>
        <v>5.8111043127217515E-2</v>
      </c>
    </row>
    <row r="7" spans="1:35" x14ac:dyDescent="0.25">
      <c r="A7" s="2" t="s">
        <v>58</v>
      </c>
      <c r="B7" s="3" t="s">
        <v>45</v>
      </c>
      <c r="C7" s="2">
        <v>5</v>
      </c>
      <c r="D7" s="2" t="s">
        <v>48</v>
      </c>
      <c r="G7" s="2">
        <v>5</v>
      </c>
      <c r="H7" s="2">
        <v>5</v>
      </c>
      <c r="I7" s="2">
        <v>5</v>
      </c>
      <c r="J7" s="8">
        <f t="shared" si="0"/>
        <v>5</v>
      </c>
      <c r="K7" s="9">
        <f t="shared" si="12"/>
        <v>0</v>
      </c>
      <c r="L7" s="4"/>
      <c r="M7" s="4"/>
      <c r="N7" s="26">
        <f t="shared" si="13"/>
        <v>0</v>
      </c>
      <c r="O7" s="10">
        <v>5.0460000000000003</v>
      </c>
      <c r="P7" s="10">
        <v>4.9539999999999997</v>
      </c>
      <c r="Q7" s="2" t="str">
        <f t="shared" si="1"/>
        <v>PASS</v>
      </c>
      <c r="R7" s="22">
        <v>4.8000000000000001E-4</v>
      </c>
      <c r="S7" s="11">
        <v>2</v>
      </c>
      <c r="T7" s="12">
        <f t="shared" si="14"/>
        <v>2.4000000000000001E-4</v>
      </c>
      <c r="U7" s="13">
        <v>0</v>
      </c>
      <c r="V7" s="16">
        <f t="shared" si="2"/>
        <v>1.7320508075688772</v>
      </c>
      <c r="W7" s="2">
        <f t="shared" si="15"/>
        <v>0</v>
      </c>
      <c r="X7" s="15">
        <v>1E-3</v>
      </c>
      <c r="Y7" s="16">
        <f t="shared" si="3"/>
        <v>3.4641016151377544</v>
      </c>
      <c r="Z7" s="2">
        <f t="shared" si="16"/>
        <v>2.886751345948129E-4</v>
      </c>
      <c r="AA7" s="17">
        <f t="shared" si="4"/>
        <v>0</v>
      </c>
      <c r="AB7" s="16">
        <f t="shared" si="5"/>
        <v>1.7320508075688772</v>
      </c>
      <c r="AC7" s="18">
        <f t="shared" si="6"/>
        <v>0</v>
      </c>
      <c r="AD7" s="2">
        <f t="shared" si="7"/>
        <v>3.75410886008029E-4</v>
      </c>
      <c r="AE7" s="19">
        <f t="shared" si="8"/>
        <v>387.09430419108577</v>
      </c>
      <c r="AF7" s="20">
        <f t="shared" si="9"/>
        <v>2</v>
      </c>
      <c r="AG7" s="18">
        <f t="shared" si="10"/>
        <v>7.50821772016058E-4</v>
      </c>
      <c r="AH7" s="21">
        <v>5.2999999999999998E-4</v>
      </c>
      <c r="AI7" s="19">
        <f t="shared" si="11"/>
        <v>7.50821772016058E-4</v>
      </c>
    </row>
    <row r="8" spans="1:35" x14ac:dyDescent="0.25">
      <c r="A8" s="2" t="s">
        <v>58</v>
      </c>
      <c r="B8" s="3" t="s">
        <v>51</v>
      </c>
      <c r="C8" s="2">
        <v>10</v>
      </c>
      <c r="D8" s="2" t="s">
        <v>48</v>
      </c>
      <c r="G8" s="2">
        <v>10</v>
      </c>
      <c r="H8" s="2">
        <v>10</v>
      </c>
      <c r="I8" s="2">
        <v>10</v>
      </c>
      <c r="J8" s="8">
        <f t="shared" si="0"/>
        <v>10</v>
      </c>
      <c r="K8" s="9">
        <f t="shared" si="12"/>
        <v>0</v>
      </c>
      <c r="L8" s="4"/>
      <c r="M8" s="4"/>
      <c r="N8" s="26">
        <f t="shared" si="13"/>
        <v>0.5</v>
      </c>
      <c r="O8" s="10">
        <v>10.52</v>
      </c>
      <c r="P8" s="10">
        <v>9.48</v>
      </c>
      <c r="Q8" s="2" t="str">
        <f t="shared" si="1"/>
        <v>PASS</v>
      </c>
      <c r="R8" s="22">
        <v>4.8000000000000001E-4</v>
      </c>
      <c r="S8" s="11">
        <v>2</v>
      </c>
      <c r="T8" s="12">
        <f t="shared" si="14"/>
        <v>2.4000000000000001E-4</v>
      </c>
      <c r="U8" s="13">
        <v>0</v>
      </c>
      <c r="V8" s="16">
        <f t="shared" si="2"/>
        <v>1.7320508075688772</v>
      </c>
      <c r="W8" s="2">
        <f t="shared" si="15"/>
        <v>0</v>
      </c>
      <c r="X8" s="15">
        <v>0.01</v>
      </c>
      <c r="Y8" s="16">
        <f t="shared" si="3"/>
        <v>3.4641016151377544</v>
      </c>
      <c r="Z8" s="2">
        <f t="shared" si="16"/>
        <v>2.886751345948129E-3</v>
      </c>
      <c r="AA8" s="17">
        <f t="shared" si="4"/>
        <v>0</v>
      </c>
      <c r="AB8" s="16">
        <f t="shared" si="5"/>
        <v>1.7320508075688772</v>
      </c>
      <c r="AC8" s="18">
        <f t="shared" si="6"/>
        <v>0</v>
      </c>
      <c r="AD8" s="2">
        <f t="shared" si="7"/>
        <v>2.8967107783369282E-3</v>
      </c>
      <c r="AE8" s="19">
        <f t="shared" si="8"/>
        <v>202.7646679159333</v>
      </c>
      <c r="AF8" s="20">
        <f t="shared" si="9"/>
        <v>2</v>
      </c>
      <c r="AG8" s="18">
        <f t="shared" si="10"/>
        <v>5.7934215566738563E-3</v>
      </c>
      <c r="AH8" s="21">
        <v>5.2999999999999998E-4</v>
      </c>
      <c r="AI8" s="19">
        <f t="shared" si="11"/>
        <v>5.7934215566738563E-3</v>
      </c>
    </row>
    <row r="9" spans="1:35" x14ac:dyDescent="0.25">
      <c r="A9" s="2" t="s">
        <v>58</v>
      </c>
      <c r="B9" s="3" t="s">
        <v>51</v>
      </c>
      <c r="C9" s="2">
        <v>30</v>
      </c>
      <c r="D9" s="2" t="s">
        <v>48</v>
      </c>
      <c r="G9" s="2">
        <v>30</v>
      </c>
      <c r="H9" s="2">
        <v>30</v>
      </c>
      <c r="I9" s="2">
        <v>30</v>
      </c>
      <c r="J9" s="8">
        <f t="shared" si="0"/>
        <v>30</v>
      </c>
      <c r="K9" s="9">
        <f t="shared" si="12"/>
        <v>0</v>
      </c>
      <c r="L9" s="4"/>
      <c r="M9" s="4"/>
      <c r="N9" s="26">
        <f t="shared" si="13"/>
        <v>0.5</v>
      </c>
      <c r="O9" s="10">
        <v>30.52</v>
      </c>
      <c r="P9" s="10">
        <v>29.48</v>
      </c>
      <c r="Q9" s="2" t="str">
        <f t="shared" si="1"/>
        <v>PASS</v>
      </c>
      <c r="R9" s="22">
        <v>1.4E-3</v>
      </c>
      <c r="S9" s="11">
        <v>2</v>
      </c>
      <c r="T9" s="12">
        <f t="shared" si="14"/>
        <v>6.9999999999999999E-4</v>
      </c>
      <c r="U9" s="13">
        <v>0</v>
      </c>
      <c r="V9" s="16">
        <f t="shared" si="2"/>
        <v>1.7320508075688772</v>
      </c>
      <c r="W9" s="2">
        <f t="shared" si="15"/>
        <v>0</v>
      </c>
      <c r="X9" s="15">
        <v>0.01</v>
      </c>
      <c r="Y9" s="16">
        <f t="shared" si="3"/>
        <v>3.4641016151377544</v>
      </c>
      <c r="Z9" s="2">
        <f t="shared" si="16"/>
        <v>2.886751345948129E-3</v>
      </c>
      <c r="AA9" s="17">
        <f t="shared" ref="AA9" si="17">IF(ISBLANK(G9),"",IF(ISBLANK(H9),"",IF(ISBLANK(I9),"",STDEV(G9:I9))))</f>
        <v>0</v>
      </c>
      <c r="AB9" s="16">
        <f t="shared" si="5"/>
        <v>1.7320508075688772</v>
      </c>
      <c r="AC9" s="18">
        <f t="shared" ref="AC9" si="18">IF(ISBLANK(G9),"",IF(ISBLANK(H9),"",IF(ISBLANK(I9),"",AA9/AB9)))</f>
        <v>0</v>
      </c>
      <c r="AD9" s="2">
        <f t="shared" ref="AD9" si="19">SQRT(SUMSQ(T9,W9,Z9,AC9))</f>
        <v>2.9704096238285611E-3</v>
      </c>
      <c r="AE9" s="19">
        <f t="shared" si="8"/>
        <v>223.43896119799561</v>
      </c>
      <c r="AF9" s="20">
        <f t="shared" ref="AF9" si="20">IF(ISBLANK(G9),"",IF(ISBLANK(H9),"",IF(ISBLANK(I9),"",ROUND(IF(AE9&gt;=30,2,_xlfn.T.INV.2T(0.05,AE9)),0))))</f>
        <v>2</v>
      </c>
      <c r="AG9" s="18">
        <f t="shared" ref="AG9" si="21">IF(ISBLANK(G9),"",IF(ISBLANK(H9),"",IF(ISBLANK(I9),"",AF9*AD9)))</f>
        <v>5.9408192476571222E-3</v>
      </c>
      <c r="AH9" s="21">
        <v>4.1000000000000003E-3</v>
      </c>
      <c r="AI9" s="19">
        <f t="shared" si="11"/>
        <v>5.9408192476571222E-3</v>
      </c>
    </row>
    <row r="10" spans="1:35" x14ac:dyDescent="0.25">
      <c r="J10" s="8"/>
      <c r="K10" s="9"/>
      <c r="L10" s="4"/>
      <c r="M10" s="4"/>
      <c r="N10" s="9"/>
      <c r="O10" s="10"/>
      <c r="P10" s="10"/>
      <c r="R10" s="22"/>
      <c r="S10" s="11"/>
      <c r="T10" s="12"/>
      <c r="U10" s="13"/>
      <c r="V10" s="14"/>
      <c r="X10" s="15"/>
      <c r="Y10" s="15"/>
      <c r="AA10" s="17"/>
      <c r="AB10" s="16"/>
      <c r="AE10" s="19"/>
      <c r="AF10" s="20"/>
      <c r="AG10" s="18"/>
      <c r="AH10" s="21"/>
      <c r="AI10" s="19"/>
    </row>
    <row r="11" spans="1:35" x14ac:dyDescent="0.25">
      <c r="J11" s="8"/>
      <c r="K11" s="9"/>
      <c r="L11" s="4"/>
      <c r="M11" s="4"/>
      <c r="N11" s="9"/>
      <c r="O11" s="10"/>
      <c r="P11" s="10"/>
      <c r="R11" s="22"/>
      <c r="S11" s="11"/>
      <c r="T11" s="12"/>
      <c r="U11" s="13"/>
      <c r="V11" s="14"/>
      <c r="X11" s="15"/>
      <c r="Y11" s="15"/>
      <c r="AA11" s="17"/>
      <c r="AB11" s="16"/>
      <c r="AE11" s="19"/>
      <c r="AF11" s="20"/>
      <c r="AG11" s="18"/>
      <c r="AH11" s="21"/>
      <c r="AI11" s="19"/>
    </row>
    <row r="12" spans="1:35" x14ac:dyDescent="0.25">
      <c r="J12" s="8"/>
      <c r="K12" s="9"/>
      <c r="L12" s="4"/>
      <c r="M12" s="4"/>
      <c r="N12" s="9"/>
      <c r="O12" s="10"/>
      <c r="P12" s="10"/>
      <c r="R12" s="22"/>
      <c r="S12" s="11"/>
      <c r="T12" s="12"/>
      <c r="U12" s="13"/>
      <c r="V12" s="14"/>
      <c r="X12" s="15"/>
      <c r="Y12" s="15"/>
      <c r="AA12" s="17"/>
      <c r="AB12" s="16"/>
      <c r="AE12" s="19"/>
      <c r="AF12" s="20"/>
      <c r="AG12" s="18"/>
      <c r="AH12" s="21"/>
      <c r="AI12" s="19"/>
    </row>
    <row r="13" spans="1:35" x14ac:dyDescent="0.25">
      <c r="J13" s="8"/>
      <c r="K13" s="9"/>
      <c r="L13" s="4"/>
      <c r="M13" s="4"/>
      <c r="N13" s="9"/>
      <c r="O13" s="10"/>
      <c r="P13" s="10"/>
      <c r="R13" s="22"/>
      <c r="S13" s="11"/>
      <c r="T13" s="12"/>
      <c r="U13" s="13"/>
      <c r="V13" s="14"/>
      <c r="X13" s="15"/>
      <c r="Y13" s="15"/>
      <c r="AA13" s="17"/>
      <c r="AB13" s="16"/>
      <c r="AE13" s="19"/>
      <c r="AF13" s="20"/>
      <c r="AG13" s="18"/>
      <c r="AH13" s="21"/>
      <c r="AI13" s="19"/>
    </row>
    <row r="14" spans="1:35" x14ac:dyDescent="0.25">
      <c r="J14" s="8"/>
      <c r="K14" s="9"/>
      <c r="L14" s="4"/>
      <c r="M14" s="4"/>
      <c r="N14" s="9"/>
      <c r="O14" s="10"/>
      <c r="P14" s="10"/>
      <c r="R14" s="22"/>
      <c r="S14" s="11"/>
      <c r="T14" s="12"/>
      <c r="U14" s="13"/>
      <c r="V14" s="14"/>
      <c r="X14" s="15"/>
      <c r="Y14" s="15"/>
      <c r="AA14" s="17"/>
      <c r="AB14" s="16"/>
      <c r="AE14" s="19"/>
      <c r="AF14" s="20"/>
      <c r="AG14" s="18"/>
      <c r="AH14" s="21"/>
      <c r="AI14" s="19"/>
    </row>
    <row r="15" spans="1:35" x14ac:dyDescent="0.25">
      <c r="J15" s="8"/>
      <c r="K15" s="9"/>
      <c r="L15" s="4"/>
      <c r="M15" s="4"/>
      <c r="N15" s="9"/>
      <c r="O15" s="10"/>
      <c r="P15" s="10"/>
      <c r="R15" s="22"/>
      <c r="S15" s="11"/>
      <c r="T15" s="12"/>
      <c r="U15" s="13"/>
      <c r="V15" s="14"/>
      <c r="X15" s="15"/>
      <c r="Y15" s="15"/>
      <c r="AA15" s="17"/>
      <c r="AB15" s="16"/>
      <c r="AE15" s="19"/>
      <c r="AF15" s="20"/>
      <c r="AG15" s="18"/>
      <c r="AH15" s="21"/>
      <c r="AI15" s="19"/>
    </row>
    <row r="16" spans="1:35" x14ac:dyDescent="0.25">
      <c r="J16" s="8"/>
      <c r="K16" s="9"/>
      <c r="L16" s="4"/>
      <c r="M16" s="4"/>
      <c r="N16" s="9"/>
      <c r="O16" s="10"/>
      <c r="P16" s="10"/>
      <c r="R16" s="22"/>
      <c r="S16" s="11"/>
      <c r="T16" s="12"/>
      <c r="U16" s="13"/>
      <c r="V16" s="14"/>
      <c r="X16" s="15"/>
      <c r="Y16" s="15"/>
      <c r="AA16" s="17"/>
      <c r="AB16" s="16"/>
      <c r="AE16" s="19"/>
      <c r="AF16" s="20"/>
      <c r="AG16" s="18"/>
      <c r="AH16" s="21"/>
      <c r="AI16" s="19"/>
    </row>
    <row r="17" spans="10:35" x14ac:dyDescent="0.25">
      <c r="J17" s="8"/>
      <c r="K17" s="9"/>
      <c r="L17" s="4"/>
      <c r="M17" s="4"/>
      <c r="N17" s="9"/>
      <c r="O17" s="10"/>
      <c r="P17" s="10"/>
      <c r="R17" s="22"/>
      <c r="S17" s="11"/>
      <c r="T17" s="12"/>
      <c r="U17" s="13"/>
      <c r="V17" s="14"/>
      <c r="X17" s="15"/>
      <c r="Y17" s="15"/>
      <c r="AA17" s="17"/>
      <c r="AB17" s="16"/>
      <c r="AE17" s="19"/>
      <c r="AF17" s="20"/>
      <c r="AG17" s="18"/>
      <c r="AH17" s="21"/>
      <c r="AI17" s="19"/>
    </row>
    <row r="18" spans="10:35" x14ac:dyDescent="0.25">
      <c r="J18" s="8"/>
      <c r="K18" s="9"/>
      <c r="L18" s="4"/>
      <c r="M18" s="4"/>
      <c r="N18" s="9"/>
      <c r="O18" s="10"/>
      <c r="P18" s="10"/>
      <c r="R18" s="22"/>
      <c r="S18" s="11"/>
      <c r="T18" s="12"/>
      <c r="U18" s="13"/>
      <c r="V18" s="14"/>
      <c r="X18" s="15"/>
      <c r="Y18" s="15"/>
      <c r="AA18" s="17"/>
      <c r="AB18" s="16"/>
      <c r="AE18" s="19"/>
      <c r="AF18" s="20"/>
      <c r="AG18" s="18"/>
      <c r="AH18" s="21"/>
      <c r="AI18" s="19"/>
    </row>
    <row r="19" spans="10:35" x14ac:dyDescent="0.25">
      <c r="J19" s="8"/>
      <c r="K19" s="9"/>
      <c r="L19" s="4"/>
      <c r="M19" s="4"/>
      <c r="N19" s="9"/>
      <c r="O19" s="10"/>
      <c r="P19" s="10"/>
      <c r="R19" s="22"/>
      <c r="S19" s="11"/>
      <c r="T19" s="12"/>
      <c r="U19" s="13"/>
      <c r="V19" s="14"/>
      <c r="X19" s="15"/>
      <c r="Y19" s="15"/>
      <c r="AA19" s="17"/>
      <c r="AB19" s="16"/>
      <c r="AE19" s="19"/>
      <c r="AF19" s="20"/>
      <c r="AG19" s="18"/>
      <c r="AH19" s="21"/>
      <c r="AI19" s="19"/>
    </row>
    <row r="20" spans="10:35" x14ac:dyDescent="0.25">
      <c r="J20" s="8"/>
      <c r="K20" s="9"/>
      <c r="L20" s="4"/>
      <c r="M20" s="4"/>
      <c r="N20" s="9"/>
      <c r="O20" s="10"/>
      <c r="P20" s="10"/>
      <c r="R20" s="22"/>
      <c r="S20" s="11"/>
      <c r="T20" s="12"/>
      <c r="U20" s="13"/>
      <c r="V20" s="14"/>
      <c r="X20" s="15"/>
      <c r="Y20" s="15"/>
      <c r="AA20" s="17"/>
      <c r="AB20" s="16"/>
      <c r="AE20" s="19"/>
      <c r="AF20" s="20"/>
      <c r="AG20" s="18"/>
      <c r="AH20" s="21"/>
      <c r="AI20" s="19"/>
    </row>
    <row r="21" spans="10:35" x14ac:dyDescent="0.25">
      <c r="J21" s="8"/>
      <c r="K21" s="9"/>
      <c r="L21" s="4"/>
      <c r="M21" s="4"/>
      <c r="N21" s="9"/>
      <c r="O21" s="10"/>
      <c r="P21" s="10"/>
      <c r="R21" s="22"/>
      <c r="S21" s="11"/>
      <c r="T21" s="12"/>
      <c r="U21" s="13"/>
      <c r="V21" s="14"/>
      <c r="X21" s="15"/>
      <c r="Y21" s="15"/>
      <c r="AA21" s="17"/>
      <c r="AB21" s="16"/>
      <c r="AE21" s="19"/>
      <c r="AF21" s="20"/>
      <c r="AG21" s="18"/>
      <c r="AH21" s="21"/>
      <c r="AI21" s="19"/>
    </row>
    <row r="22" spans="10:35" x14ac:dyDescent="0.25">
      <c r="J22" s="8"/>
      <c r="K22" s="9"/>
      <c r="L22" s="4"/>
      <c r="M22" s="4"/>
      <c r="N22" s="9"/>
      <c r="O22" s="10"/>
      <c r="P22" s="10"/>
      <c r="R22" s="22"/>
      <c r="S22" s="11"/>
      <c r="T22" s="12"/>
      <c r="U22" s="13"/>
      <c r="V22" s="14"/>
      <c r="X22" s="15"/>
      <c r="Y22" s="15"/>
      <c r="AA22" s="17"/>
      <c r="AB22" s="16"/>
      <c r="AE22" s="19"/>
      <c r="AF22" s="20"/>
      <c r="AG22" s="18"/>
      <c r="AH22" s="21"/>
      <c r="AI22" s="19"/>
    </row>
    <row r="23" spans="10:35" x14ac:dyDescent="0.25">
      <c r="J23" s="8"/>
      <c r="K23" s="9"/>
      <c r="L23" s="4"/>
      <c r="M23" s="4"/>
      <c r="N23" s="9"/>
      <c r="O23" s="10"/>
      <c r="P23" s="10"/>
      <c r="R23" s="22"/>
      <c r="S23" s="11"/>
      <c r="T23" s="12"/>
      <c r="U23" s="13"/>
      <c r="V23" s="14"/>
      <c r="X23" s="15"/>
      <c r="Y23" s="15"/>
      <c r="AA23" s="17"/>
      <c r="AB23" s="16"/>
      <c r="AE23" s="19"/>
      <c r="AF23" s="20"/>
      <c r="AG23" s="18"/>
      <c r="AH23" s="21"/>
      <c r="AI23" s="19"/>
    </row>
    <row r="24" spans="10:35" x14ac:dyDescent="0.25">
      <c r="J24" s="8"/>
      <c r="K24" s="9"/>
      <c r="L24" s="4"/>
      <c r="M24" s="4"/>
      <c r="N24" s="9"/>
      <c r="O24" s="10"/>
      <c r="P24" s="10"/>
      <c r="R24" s="22"/>
      <c r="S24" s="11"/>
      <c r="T24" s="12"/>
      <c r="U24" s="13"/>
      <c r="V24" s="14"/>
      <c r="X24" s="15"/>
      <c r="Y24" s="15"/>
      <c r="AA24" s="17"/>
      <c r="AB24" s="16"/>
      <c r="AE24" s="19"/>
      <c r="AF24" s="20"/>
      <c r="AG24" s="18"/>
      <c r="AH24" s="21"/>
      <c r="AI24" s="19"/>
    </row>
    <row r="25" spans="10:35" x14ac:dyDescent="0.25">
      <c r="J25" s="8"/>
      <c r="K25" s="9"/>
      <c r="L25" s="4"/>
      <c r="M25" s="4"/>
      <c r="N25" s="9"/>
      <c r="O25" s="10"/>
      <c r="P25" s="10"/>
      <c r="R25" s="22"/>
      <c r="S25" s="11"/>
      <c r="T25" s="12"/>
      <c r="U25" s="13"/>
      <c r="V25" s="14"/>
      <c r="X25" s="15"/>
      <c r="Y25" s="15"/>
      <c r="AA25" s="17"/>
      <c r="AB25" s="16"/>
      <c r="AE25" s="19"/>
      <c r="AF25" s="20"/>
      <c r="AG25" s="18"/>
      <c r="AH25" s="21"/>
      <c r="AI25" s="19"/>
    </row>
    <row r="26" spans="10:35" x14ac:dyDescent="0.25">
      <c r="J26" s="8"/>
      <c r="K26" s="9"/>
      <c r="L26" s="4"/>
      <c r="M26" s="4"/>
      <c r="N26" s="9"/>
      <c r="O26" s="10"/>
      <c r="P26" s="10"/>
      <c r="R26" s="22"/>
      <c r="S26" s="11"/>
      <c r="T26" s="12"/>
      <c r="U26" s="13"/>
      <c r="V26" s="14"/>
      <c r="X26" s="15"/>
      <c r="Y26" s="15"/>
      <c r="AA26" s="17"/>
      <c r="AB26" s="16"/>
      <c r="AE26" s="19"/>
      <c r="AF26" s="20"/>
      <c r="AG26" s="18"/>
      <c r="AH26" s="21"/>
      <c r="AI26" s="19"/>
    </row>
    <row r="27" spans="10:35" x14ac:dyDescent="0.25">
      <c r="J27" s="8"/>
      <c r="K27" s="9"/>
      <c r="L27" s="4"/>
      <c r="M27" s="4"/>
      <c r="N27" s="9"/>
      <c r="O27" s="10"/>
      <c r="P27" s="10"/>
      <c r="R27" s="22"/>
      <c r="S27" s="11"/>
      <c r="T27" s="12"/>
      <c r="U27" s="13"/>
      <c r="V27" s="14"/>
      <c r="X27" s="15"/>
      <c r="Y27" s="15"/>
      <c r="AA27" s="17"/>
      <c r="AB27" s="16"/>
      <c r="AE27" s="19"/>
      <c r="AF27" s="20"/>
      <c r="AG27" s="18"/>
      <c r="AH27" s="21"/>
      <c r="AI27" s="19"/>
    </row>
    <row r="28" spans="10:35" x14ac:dyDescent="0.25">
      <c r="J28" s="8"/>
      <c r="K28" s="9"/>
      <c r="L28" s="4"/>
      <c r="M28" s="4"/>
      <c r="N28" s="9"/>
      <c r="O28" s="10"/>
      <c r="P28" s="10"/>
      <c r="R28" s="22"/>
      <c r="S28" s="11"/>
      <c r="T28" s="12"/>
      <c r="U28" s="13"/>
      <c r="V28" s="14"/>
      <c r="X28" s="15"/>
      <c r="Y28" s="15"/>
      <c r="AA28" s="17"/>
      <c r="AB28" s="16"/>
      <c r="AE28" s="19"/>
      <c r="AF28" s="20"/>
      <c r="AG28" s="18"/>
      <c r="AH28" s="21"/>
      <c r="AI28" s="19"/>
    </row>
    <row r="29" spans="10:35" x14ac:dyDescent="0.25">
      <c r="J29" s="8"/>
      <c r="K29" s="9"/>
      <c r="L29" s="4"/>
      <c r="M29" s="4"/>
      <c r="N29" s="9"/>
      <c r="O29" s="10"/>
      <c r="P29" s="10"/>
      <c r="R29" s="22"/>
      <c r="S29" s="11"/>
      <c r="T29" s="12"/>
      <c r="U29" s="13"/>
      <c r="V29" s="14"/>
      <c r="X29" s="15"/>
      <c r="Y29" s="15"/>
      <c r="AA29" s="17"/>
      <c r="AB29" s="16"/>
      <c r="AE29" s="19"/>
      <c r="AF29" s="20"/>
      <c r="AG29" s="18"/>
      <c r="AH29" s="21"/>
      <c r="AI29" s="19"/>
    </row>
    <row r="30" spans="10:35" x14ac:dyDescent="0.25">
      <c r="J30" s="8"/>
      <c r="K30" s="9"/>
      <c r="L30" s="4"/>
      <c r="M30" s="4"/>
      <c r="N30" s="9"/>
      <c r="O30" s="10"/>
      <c r="P30" s="10"/>
      <c r="R30" s="22"/>
      <c r="S30" s="11"/>
      <c r="T30" s="12"/>
      <c r="U30" s="13"/>
      <c r="V30" s="14"/>
      <c r="X30" s="15"/>
      <c r="Y30" s="15"/>
      <c r="AA30" s="17"/>
      <c r="AB30" s="16"/>
      <c r="AE30" s="19"/>
      <c r="AF30" s="20"/>
      <c r="AG30" s="18"/>
      <c r="AH30" s="21"/>
      <c r="AI3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A7"/>
    </sheetView>
  </sheetViews>
  <sheetFormatPr defaultRowHeight="15" x14ac:dyDescent="0.25"/>
  <cols>
    <col min="1" max="1" width="21.14062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3.425781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10.28515625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0.28515625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1" spans="1:35" s="1" customFormat="1" ht="45" x14ac:dyDescent="0.25">
      <c r="A1" s="2" t="s">
        <v>8</v>
      </c>
      <c r="B1" s="3" t="s">
        <v>0</v>
      </c>
      <c r="C1" s="3" t="s">
        <v>1</v>
      </c>
      <c r="D1" s="2" t="s">
        <v>9</v>
      </c>
      <c r="E1" s="3" t="s">
        <v>2</v>
      </c>
      <c r="F1" s="2" t="s">
        <v>10</v>
      </c>
      <c r="G1" s="3" t="s">
        <v>3</v>
      </c>
      <c r="H1" s="3" t="s">
        <v>4</v>
      </c>
      <c r="I1" s="3" t="s">
        <v>5</v>
      </c>
      <c r="J1" s="1" t="s">
        <v>28</v>
      </c>
      <c r="K1" s="1" t="s">
        <v>29</v>
      </c>
      <c r="L1" s="4" t="s">
        <v>33</v>
      </c>
      <c r="M1" s="4" t="s">
        <v>34</v>
      </c>
      <c r="N1" s="1" t="s">
        <v>30</v>
      </c>
      <c r="O1" s="2" t="s">
        <v>6</v>
      </c>
      <c r="P1" s="2" t="s">
        <v>7</v>
      </c>
      <c r="Q1" s="1" t="s">
        <v>31</v>
      </c>
      <c r="R1" s="3" t="s">
        <v>11</v>
      </c>
      <c r="S1" s="4" t="s">
        <v>12</v>
      </c>
      <c r="T1" s="1" t="s">
        <v>13</v>
      </c>
      <c r="U1" s="4" t="s">
        <v>14</v>
      </c>
      <c r="V1" s="3" t="s">
        <v>15</v>
      </c>
      <c r="W1" s="1" t="s">
        <v>16</v>
      </c>
      <c r="X1" s="4" t="s">
        <v>17</v>
      </c>
      <c r="Y1" s="4" t="s">
        <v>18</v>
      </c>
      <c r="Z1" s="2" t="s">
        <v>19</v>
      </c>
      <c r="AA1" s="5" t="s">
        <v>20</v>
      </c>
      <c r="AB1" s="3" t="s">
        <v>21</v>
      </c>
      <c r="AC1" s="6" t="s">
        <v>22</v>
      </c>
      <c r="AD1" s="2" t="s">
        <v>23</v>
      </c>
      <c r="AE1" s="1" t="s">
        <v>32</v>
      </c>
      <c r="AF1" s="2" t="s">
        <v>24</v>
      </c>
      <c r="AG1" s="2" t="s">
        <v>25</v>
      </c>
      <c r="AH1" s="3" t="s">
        <v>26</v>
      </c>
      <c r="AI1" s="2" t="s">
        <v>27</v>
      </c>
    </row>
    <row r="2" spans="1:35" x14ac:dyDescent="0.25">
      <c r="A2" s="2" t="s">
        <v>57</v>
      </c>
      <c r="B2" s="3" t="s">
        <v>36</v>
      </c>
      <c r="C2" s="3">
        <v>5</v>
      </c>
      <c r="D2" s="2" t="s">
        <v>50</v>
      </c>
      <c r="E2" s="3" t="s">
        <v>52</v>
      </c>
      <c r="J2" s="8" t="str">
        <f t="shared" ref="J2:J7" si="0">IF(ISBLANK(G2),"",IF(ISBLANK(H2),"",IF(ISBLANK(I2),"",(AVERAGE(G2:I2)))))</f>
        <v/>
      </c>
      <c r="K2" s="9" t="str">
        <f t="shared" ref="K2:K7" si="1">IF(ISBLANK(G2),"",IF(ISBLANK(H2),"",IF(ISBLANK(I2),"",J2-C2)))</f>
        <v/>
      </c>
      <c r="L2" s="4"/>
      <c r="M2" s="4"/>
      <c r="N2" s="9" t="str">
        <f>IF(ISBLANK(G2),"",IF(ISBLANK(H2),"",IF(ISBLANK(I2),"",ROUND((O2-C2),3))))</f>
        <v/>
      </c>
      <c r="O2" s="10">
        <v>5.0529999999999999</v>
      </c>
      <c r="P2" s="10">
        <v>4.9470000000000001</v>
      </c>
      <c r="Q2" s="2" t="str">
        <f t="shared" ref="Q2:Q7" si="2">IF(ISBLANK(G2),"",IF(ISBLANK(H2),"",IF(ISBLANK(I2),"",IF(AND(J2&gt;=P2,J2&lt;=O2),"PASS","FAIL"))))</f>
        <v/>
      </c>
      <c r="R2" s="22">
        <v>7.3000000000000001E-3</v>
      </c>
      <c r="S2" s="11">
        <v>2</v>
      </c>
      <c r="T2" s="12">
        <f t="shared" ref="T2:T7" si="3">IFERROR(R2/S2,0)</f>
        <v>3.65E-3</v>
      </c>
      <c r="U2" s="13">
        <v>0</v>
      </c>
      <c r="V2" s="14">
        <f t="shared" ref="V2:V7" si="4">SQRT(3)</f>
        <v>1.7320508075688772</v>
      </c>
      <c r="W2" s="2">
        <f t="shared" ref="W2:W7" si="5">IFERROR(U2/V2,0)</f>
        <v>0</v>
      </c>
      <c r="X2" s="15">
        <v>1E-3</v>
      </c>
      <c r="Y2" s="15">
        <v>3.4641016151377544</v>
      </c>
      <c r="Z2" s="2">
        <f t="shared" ref="Z2:Z7" si="6">IFERROR(X2/Y2,0)</f>
        <v>2.886751345948129E-4</v>
      </c>
      <c r="AA2" s="17" t="str">
        <f t="shared" ref="AA2:AA7" si="7">IF(ISBLANK(G2),"",IF(ISBLANK(H2),"",IF(ISBLANK(I2),"",STDEV(G2:I2))))</f>
        <v/>
      </c>
      <c r="AB2" s="16">
        <f t="shared" ref="AB2:AB7" si="8">SQRT(3)</f>
        <v>1.7320508075688772</v>
      </c>
      <c r="AC2" s="18" t="str">
        <f t="shared" ref="AC2:AC7" si="9">IF(ISBLANK(G2),"",IF(ISBLANK(H2),"",IF(ISBLANK(I2),"",AA2/AB2)))</f>
        <v/>
      </c>
      <c r="AD2" s="2">
        <f t="shared" ref="AD2:AD7" si="10">SQRT(SUMSQ(T2,W2,Z2,AC2))</f>
        <v>3.6613977294652563E-3</v>
      </c>
      <c r="AE2" s="19" t="str">
        <f t="shared" ref="AE2:AE7" si="11">IF(ISBLANK(G2),"",IF(ISBLANK(H2),"",IF(ISBLANK(I2),"",IF(AD2=0,0,(AD2^4)/(((AC2^4)/2)+((Z2^4)/200)+((W2^4)/200)+((T2^4)/200))))))</f>
        <v/>
      </c>
      <c r="AF2" s="20" t="str">
        <f t="shared" ref="AF2:AF7" si="12">IF(ISBLANK(G2),"",IF(ISBLANK(H2),"",IF(ISBLANK(I2),"",ROUND(IF(AE2&gt;=30,2,_xlfn.T.INV.2T(0.05,AE2)),0))))</f>
        <v/>
      </c>
      <c r="AG2" s="18" t="str">
        <f>IF(ISBLANK(G2),"",IF(ISBLANK(H2),"",IF(ISBLANK(I2),"",ROUND(AF2*AD2,4))))</f>
        <v/>
      </c>
      <c r="AH2" s="25">
        <v>8.5000000000000006E-5</v>
      </c>
      <c r="AI2" s="23">
        <f t="shared" ref="AI2:AI7" si="13">IF(ISBLANK(G2),0,IF(ISBLANK(H2),0,IF(ISBLANK(I2),0,MAX(AG2,AH2))))</f>
        <v>0</v>
      </c>
    </row>
    <row r="3" spans="1:35" x14ac:dyDescent="0.25">
      <c r="A3" s="2" t="s">
        <v>57</v>
      </c>
      <c r="B3" s="3" t="s">
        <v>36</v>
      </c>
      <c r="C3" s="3">
        <v>5</v>
      </c>
      <c r="D3" s="2" t="s">
        <v>50</v>
      </c>
      <c r="E3" s="3" t="s">
        <v>40</v>
      </c>
      <c r="J3" s="8" t="str">
        <f t="shared" si="0"/>
        <v/>
      </c>
      <c r="K3" s="9" t="str">
        <f t="shared" si="1"/>
        <v/>
      </c>
      <c r="L3" s="4"/>
      <c r="M3" s="4"/>
      <c r="N3" s="9" t="str">
        <f t="shared" ref="N3:N7" si="14">IF(ISBLANK(G3),"",IF(ISBLANK(H3),"",IF(ISBLANK(I3),"",ROUND((O3-C3),3))))</f>
        <v/>
      </c>
      <c r="O3" s="10">
        <v>5.1029999999999998</v>
      </c>
      <c r="P3" s="10">
        <v>4.8970000000000002</v>
      </c>
      <c r="Q3" s="2" t="str">
        <f t="shared" si="2"/>
        <v/>
      </c>
      <c r="R3" s="22">
        <v>7.3000000000000001E-3</v>
      </c>
      <c r="S3" s="11">
        <v>2</v>
      </c>
      <c r="T3" s="12">
        <f t="shared" si="3"/>
        <v>3.65E-3</v>
      </c>
      <c r="U3" s="13">
        <v>0</v>
      </c>
      <c r="V3" s="14">
        <f t="shared" si="4"/>
        <v>1.7320508075688772</v>
      </c>
      <c r="W3" s="2">
        <f t="shared" si="5"/>
        <v>0</v>
      </c>
      <c r="X3" s="15">
        <v>1E-3</v>
      </c>
      <c r="Y3" s="15">
        <v>3.4641016151377544</v>
      </c>
      <c r="Z3" s="2">
        <f t="shared" si="6"/>
        <v>2.886751345948129E-4</v>
      </c>
      <c r="AA3" s="17" t="str">
        <f t="shared" si="7"/>
        <v/>
      </c>
      <c r="AB3" s="16">
        <f t="shared" si="8"/>
        <v>1.7320508075688772</v>
      </c>
      <c r="AC3" s="18" t="str">
        <f t="shared" si="9"/>
        <v/>
      </c>
      <c r="AD3" s="2">
        <f t="shared" si="10"/>
        <v>3.6613977294652563E-3</v>
      </c>
      <c r="AE3" s="19" t="str">
        <f t="shared" si="11"/>
        <v/>
      </c>
      <c r="AF3" s="20" t="str">
        <f t="shared" si="12"/>
        <v/>
      </c>
      <c r="AG3" s="18" t="str">
        <f t="shared" ref="AG3:AG7" si="15">IF(ISBLANK(G3),"",IF(ISBLANK(H3),"",IF(ISBLANK(I3),"",ROUND(AF3*AD3,4))))</f>
        <v/>
      </c>
      <c r="AH3" s="25">
        <v>8.5000000000000006E-5</v>
      </c>
      <c r="AI3" s="23">
        <f t="shared" si="13"/>
        <v>0</v>
      </c>
    </row>
    <row r="4" spans="1:35" x14ac:dyDescent="0.25">
      <c r="A4" s="2" t="s">
        <v>57</v>
      </c>
      <c r="B4" s="3" t="s">
        <v>37</v>
      </c>
      <c r="C4" s="3">
        <v>50</v>
      </c>
      <c r="D4" s="2" t="s">
        <v>50</v>
      </c>
      <c r="E4" s="3" t="s">
        <v>52</v>
      </c>
      <c r="J4" s="8" t="str">
        <f t="shared" si="0"/>
        <v/>
      </c>
      <c r="K4" s="9" t="str">
        <f t="shared" si="1"/>
        <v/>
      </c>
      <c r="L4" s="4"/>
      <c r="M4" s="4"/>
      <c r="N4" s="9" t="str">
        <f t="shared" si="14"/>
        <v/>
      </c>
      <c r="O4" s="10">
        <v>50.53</v>
      </c>
      <c r="P4" s="10">
        <v>49.47</v>
      </c>
      <c r="Q4" s="2" t="str">
        <f t="shared" si="2"/>
        <v/>
      </c>
      <c r="R4" s="22">
        <v>7.0999999999999994E-2</v>
      </c>
      <c r="S4" s="11">
        <v>2</v>
      </c>
      <c r="T4" s="12">
        <f t="shared" si="3"/>
        <v>3.5499999999999997E-2</v>
      </c>
      <c r="U4" s="13">
        <v>0</v>
      </c>
      <c r="V4" s="14">
        <f t="shared" si="4"/>
        <v>1.7320508075688772</v>
      </c>
      <c r="W4" s="2">
        <f t="shared" si="5"/>
        <v>0</v>
      </c>
      <c r="X4" s="15">
        <v>0.01</v>
      </c>
      <c r="Y4" s="15">
        <v>3.4641016151377544</v>
      </c>
      <c r="Z4" s="2">
        <f t="shared" si="6"/>
        <v>2.886751345948129E-3</v>
      </c>
      <c r="AA4" s="17" t="str">
        <f t="shared" si="7"/>
        <v/>
      </c>
      <c r="AB4" s="16">
        <f t="shared" si="8"/>
        <v>1.7320508075688772</v>
      </c>
      <c r="AC4" s="18" t="str">
        <f t="shared" si="9"/>
        <v/>
      </c>
      <c r="AD4" s="2">
        <f t="shared" si="10"/>
        <v>3.561717750374576E-2</v>
      </c>
      <c r="AE4" s="19" t="str">
        <f t="shared" si="11"/>
        <v/>
      </c>
      <c r="AF4" s="20" t="str">
        <f t="shared" si="12"/>
        <v/>
      </c>
      <c r="AG4" s="18" t="str">
        <f>IF(ISBLANK(G4),"",IF(ISBLANK(H4),"",IF(ISBLANK(I4),"",ROUND(AF4*AD4,3))))</f>
        <v/>
      </c>
      <c r="AH4" s="25">
        <v>6.4000000000000003E-3</v>
      </c>
      <c r="AI4" s="23">
        <f t="shared" si="13"/>
        <v>0</v>
      </c>
    </row>
    <row r="5" spans="1:35" x14ac:dyDescent="0.25">
      <c r="A5" s="2" t="s">
        <v>57</v>
      </c>
      <c r="B5" s="3" t="s">
        <v>37</v>
      </c>
      <c r="C5" s="3">
        <v>50</v>
      </c>
      <c r="D5" s="2" t="s">
        <v>50</v>
      </c>
      <c r="E5" s="3" t="s">
        <v>40</v>
      </c>
      <c r="J5" s="8" t="str">
        <f t="shared" si="0"/>
        <v/>
      </c>
      <c r="K5" s="9" t="str">
        <f t="shared" si="1"/>
        <v/>
      </c>
      <c r="L5" s="4"/>
      <c r="M5" s="4"/>
      <c r="N5" s="9" t="str">
        <f t="shared" si="14"/>
        <v/>
      </c>
      <c r="O5" s="10">
        <v>51.03</v>
      </c>
      <c r="P5" s="10">
        <v>48.97</v>
      </c>
      <c r="Q5" s="2" t="str">
        <f t="shared" si="2"/>
        <v/>
      </c>
      <c r="R5" s="22">
        <v>7.0999999999999994E-2</v>
      </c>
      <c r="S5" s="11">
        <v>2</v>
      </c>
      <c r="T5" s="12">
        <f t="shared" si="3"/>
        <v>3.5499999999999997E-2</v>
      </c>
      <c r="U5" s="13">
        <v>0</v>
      </c>
      <c r="V5" s="14">
        <f t="shared" si="4"/>
        <v>1.7320508075688772</v>
      </c>
      <c r="W5" s="2">
        <f t="shared" si="5"/>
        <v>0</v>
      </c>
      <c r="X5" s="15">
        <v>0.01</v>
      </c>
      <c r="Y5" s="15">
        <v>3.4641016151377544</v>
      </c>
      <c r="Z5" s="2">
        <f t="shared" si="6"/>
        <v>2.886751345948129E-3</v>
      </c>
      <c r="AA5" s="17" t="str">
        <f t="shared" si="7"/>
        <v/>
      </c>
      <c r="AB5" s="16">
        <f t="shared" si="8"/>
        <v>1.7320508075688772</v>
      </c>
      <c r="AC5" s="18" t="str">
        <f t="shared" si="9"/>
        <v/>
      </c>
      <c r="AD5" s="2">
        <f t="shared" si="10"/>
        <v>3.561717750374576E-2</v>
      </c>
      <c r="AE5" s="19" t="str">
        <f t="shared" si="11"/>
        <v/>
      </c>
      <c r="AF5" s="20" t="str">
        <f t="shared" si="12"/>
        <v/>
      </c>
      <c r="AG5" s="18" t="str">
        <f>IF(ISBLANK(G5),"",IF(ISBLANK(H5),"",IF(ISBLANK(I5),"",ROUND(AF5*AD5,3))))</f>
        <v/>
      </c>
      <c r="AH5" s="25">
        <v>6.4000000000000003E-3</v>
      </c>
      <c r="AI5" s="23">
        <f t="shared" si="13"/>
        <v>0</v>
      </c>
    </row>
    <row r="6" spans="1:35" x14ac:dyDescent="0.25">
      <c r="A6" s="2" t="s">
        <v>57</v>
      </c>
      <c r="B6" s="3" t="s">
        <v>38</v>
      </c>
      <c r="C6" s="3">
        <v>600</v>
      </c>
      <c r="D6" s="2" t="s">
        <v>50</v>
      </c>
      <c r="E6" s="3" t="s">
        <v>52</v>
      </c>
      <c r="J6" s="8" t="str">
        <f t="shared" si="0"/>
        <v/>
      </c>
      <c r="K6" s="9" t="str">
        <f t="shared" si="1"/>
        <v/>
      </c>
      <c r="L6" s="4"/>
      <c r="M6" s="4"/>
      <c r="N6" s="9" t="str">
        <f t="shared" si="14"/>
        <v/>
      </c>
      <c r="O6" s="10">
        <v>606.29999999999995</v>
      </c>
      <c r="P6" s="10">
        <v>593.70000000000005</v>
      </c>
      <c r="Q6" s="2" t="str">
        <f t="shared" si="2"/>
        <v/>
      </c>
      <c r="R6" s="22">
        <v>7.0999999999999994E-2</v>
      </c>
      <c r="S6" s="11">
        <v>2</v>
      </c>
      <c r="T6" s="12">
        <f t="shared" si="3"/>
        <v>3.5499999999999997E-2</v>
      </c>
      <c r="U6" s="13">
        <v>0</v>
      </c>
      <c r="V6" s="14">
        <f t="shared" si="4"/>
        <v>1.7320508075688772</v>
      </c>
      <c r="W6" s="2">
        <f t="shared" si="5"/>
        <v>0</v>
      </c>
      <c r="X6" s="15">
        <v>0.1</v>
      </c>
      <c r="Y6" s="15">
        <v>3.4641016151377544</v>
      </c>
      <c r="Z6" s="2">
        <f t="shared" si="6"/>
        <v>2.8867513459481291E-2</v>
      </c>
      <c r="AA6" s="17" t="str">
        <f t="shared" si="7"/>
        <v/>
      </c>
      <c r="AB6" s="16">
        <f t="shared" si="8"/>
        <v>1.7320508075688772</v>
      </c>
      <c r="AC6" s="18" t="str">
        <f t="shared" si="9"/>
        <v/>
      </c>
      <c r="AD6" s="2">
        <f t="shared" si="10"/>
        <v>4.5755691813514673E-2</v>
      </c>
      <c r="AE6" s="19" t="str">
        <f t="shared" si="11"/>
        <v/>
      </c>
      <c r="AF6" s="20" t="str">
        <f t="shared" si="12"/>
        <v/>
      </c>
      <c r="AG6" s="18" t="str">
        <f t="shared" si="15"/>
        <v/>
      </c>
      <c r="AH6" s="25">
        <v>8.4000000000000005E-2</v>
      </c>
      <c r="AI6" s="23">
        <f t="shared" si="13"/>
        <v>0</v>
      </c>
    </row>
    <row r="7" spans="1:35" x14ac:dyDescent="0.25">
      <c r="A7" s="2" t="s">
        <v>57</v>
      </c>
      <c r="B7" s="3" t="s">
        <v>38</v>
      </c>
      <c r="C7" s="3">
        <v>600</v>
      </c>
      <c r="D7" s="2" t="s">
        <v>50</v>
      </c>
      <c r="E7" s="3" t="s">
        <v>40</v>
      </c>
      <c r="J7" s="8" t="str">
        <f t="shared" si="0"/>
        <v/>
      </c>
      <c r="K7" s="9" t="str">
        <f t="shared" si="1"/>
        <v/>
      </c>
      <c r="L7" s="4"/>
      <c r="M7" s="4"/>
      <c r="N7" s="9" t="str">
        <f t="shared" si="14"/>
        <v/>
      </c>
      <c r="O7" s="10">
        <v>612.29999999999995</v>
      </c>
      <c r="P7" s="10">
        <v>587.70000000000005</v>
      </c>
      <c r="Q7" s="2" t="str">
        <f t="shared" si="2"/>
        <v/>
      </c>
      <c r="R7" s="22">
        <v>7.0999999999999994E-2</v>
      </c>
      <c r="S7" s="11">
        <v>2</v>
      </c>
      <c r="T7" s="12">
        <f t="shared" si="3"/>
        <v>3.5499999999999997E-2</v>
      </c>
      <c r="U7" s="13">
        <v>0</v>
      </c>
      <c r="V7" s="14">
        <f t="shared" si="4"/>
        <v>1.7320508075688772</v>
      </c>
      <c r="W7" s="2">
        <f t="shared" si="5"/>
        <v>0</v>
      </c>
      <c r="X7" s="15">
        <v>0.1</v>
      </c>
      <c r="Y7" s="15">
        <v>3.4641016151377544</v>
      </c>
      <c r="Z7" s="2">
        <f t="shared" si="6"/>
        <v>2.8867513459481291E-2</v>
      </c>
      <c r="AA7" s="17" t="str">
        <f t="shared" si="7"/>
        <v/>
      </c>
      <c r="AB7" s="16">
        <f t="shared" si="8"/>
        <v>1.7320508075688772</v>
      </c>
      <c r="AC7" s="18" t="str">
        <f t="shared" si="9"/>
        <v/>
      </c>
      <c r="AD7" s="2">
        <f t="shared" si="10"/>
        <v>4.5755691813514673E-2</v>
      </c>
      <c r="AE7" s="19" t="str">
        <f t="shared" si="11"/>
        <v/>
      </c>
      <c r="AF7" s="20" t="str">
        <f t="shared" si="12"/>
        <v/>
      </c>
      <c r="AG7" s="18" t="str">
        <f t="shared" si="15"/>
        <v/>
      </c>
      <c r="AH7" s="25">
        <v>8.4000000000000005E-2</v>
      </c>
      <c r="AI7" s="23">
        <f t="shared" si="13"/>
        <v>0</v>
      </c>
    </row>
    <row r="8" spans="1:35" x14ac:dyDescent="0.25">
      <c r="J8" s="8"/>
      <c r="K8" s="9"/>
      <c r="L8" s="4"/>
      <c r="M8" s="4"/>
      <c r="N8" s="9"/>
      <c r="O8" s="10"/>
      <c r="P8" s="10"/>
      <c r="R8" s="22"/>
      <c r="S8" s="11"/>
      <c r="T8" s="12"/>
      <c r="U8" s="13"/>
      <c r="V8" s="14"/>
      <c r="X8" s="15"/>
      <c r="Y8" s="15"/>
      <c r="AA8" s="17"/>
      <c r="AB8" s="16"/>
      <c r="AE8" s="19"/>
      <c r="AF8" s="20"/>
      <c r="AG8" s="18"/>
      <c r="AH8" s="21"/>
      <c r="AI8" s="19"/>
    </row>
    <row r="9" spans="1:35" x14ac:dyDescent="0.25">
      <c r="J9" s="8"/>
      <c r="K9" s="9"/>
      <c r="L9" s="4"/>
      <c r="M9" s="4"/>
      <c r="N9" s="9"/>
      <c r="O9" s="10"/>
      <c r="P9" s="10"/>
      <c r="R9" s="22"/>
      <c r="S9" s="11"/>
      <c r="T9" s="12"/>
      <c r="U9" s="13"/>
      <c r="V9" s="14"/>
      <c r="X9" s="15"/>
      <c r="Y9" s="15"/>
      <c r="AA9" s="17"/>
      <c r="AB9" s="16"/>
      <c r="AE9" s="19"/>
      <c r="AF9" s="20"/>
      <c r="AG9" s="18"/>
      <c r="AH9" s="21"/>
      <c r="AI9" s="19"/>
    </row>
    <row r="10" spans="1:35" x14ac:dyDescent="0.25">
      <c r="J10" s="8"/>
      <c r="K10" s="9"/>
      <c r="L10" s="4"/>
      <c r="M10" s="4"/>
      <c r="N10" s="9"/>
      <c r="O10" s="10"/>
      <c r="P10" s="10"/>
      <c r="R10" s="22"/>
      <c r="S10" s="11"/>
      <c r="T10" s="12"/>
      <c r="U10" s="13"/>
      <c r="V10" s="14"/>
      <c r="X10" s="15"/>
      <c r="Y10" s="15"/>
      <c r="AA10" s="17"/>
      <c r="AB10" s="16"/>
      <c r="AE10" s="19"/>
      <c r="AF10" s="20"/>
      <c r="AG10" s="18"/>
      <c r="AH10" s="21"/>
      <c r="AI10" s="19"/>
    </row>
    <row r="11" spans="1:35" x14ac:dyDescent="0.25">
      <c r="J11" s="8"/>
      <c r="K11" s="9"/>
      <c r="L11" s="4"/>
      <c r="M11" s="4"/>
      <c r="N11" s="9"/>
      <c r="O11" s="10"/>
      <c r="P11" s="10"/>
      <c r="R11" s="22"/>
      <c r="S11" s="11"/>
      <c r="T11" s="12"/>
      <c r="U11" s="13"/>
      <c r="V11" s="14"/>
      <c r="X11" s="15"/>
      <c r="Y11" s="15"/>
      <c r="AA11" s="17"/>
      <c r="AB11" s="16"/>
      <c r="AE11" s="19"/>
      <c r="AF11" s="20"/>
      <c r="AG11" s="18"/>
      <c r="AH11" s="21"/>
      <c r="AI11" s="19"/>
    </row>
    <row r="12" spans="1:35" x14ac:dyDescent="0.25">
      <c r="J12" s="8"/>
      <c r="K12" s="9"/>
      <c r="L12" s="4"/>
      <c r="M12" s="4"/>
      <c r="N12" s="9"/>
      <c r="O12" s="10"/>
      <c r="P12" s="10"/>
      <c r="R12" s="22"/>
      <c r="S12" s="11"/>
      <c r="T12" s="12"/>
      <c r="U12" s="13"/>
      <c r="V12" s="14"/>
      <c r="X12" s="15"/>
      <c r="Y12" s="15"/>
      <c r="AA12" s="17"/>
      <c r="AB12" s="16"/>
      <c r="AE12" s="19"/>
      <c r="AF12" s="20"/>
      <c r="AG12" s="18"/>
      <c r="AH12" s="21"/>
      <c r="AI12" s="19"/>
    </row>
    <row r="13" spans="1:35" x14ac:dyDescent="0.25">
      <c r="J13" s="8"/>
      <c r="K13" s="9"/>
      <c r="L13" s="4"/>
      <c r="M13" s="4"/>
      <c r="N13" s="9"/>
      <c r="O13" s="10"/>
      <c r="P13" s="10"/>
      <c r="R13" s="22"/>
      <c r="S13" s="11"/>
      <c r="T13" s="12"/>
      <c r="U13" s="13"/>
      <c r="V13" s="14"/>
      <c r="X13" s="15"/>
      <c r="Y13" s="15"/>
      <c r="AA13" s="17"/>
      <c r="AB13" s="16"/>
      <c r="AE13" s="19"/>
      <c r="AF13" s="20"/>
      <c r="AG13" s="18"/>
      <c r="AH13" s="21"/>
      <c r="AI13" s="19"/>
    </row>
    <row r="14" spans="1:35" x14ac:dyDescent="0.25">
      <c r="J14" s="8"/>
      <c r="K14" s="9"/>
      <c r="L14" s="4"/>
      <c r="M14" s="4"/>
      <c r="N14" s="9"/>
      <c r="O14" s="10"/>
      <c r="P14" s="10"/>
      <c r="R14" s="22"/>
      <c r="S14" s="11"/>
      <c r="T14" s="12"/>
      <c r="U14" s="13"/>
      <c r="V14" s="14"/>
      <c r="X14" s="15"/>
      <c r="Y14" s="15"/>
      <c r="AA14" s="17"/>
      <c r="AB14" s="16"/>
      <c r="AE14" s="19"/>
      <c r="AF14" s="20"/>
      <c r="AG14" s="18"/>
      <c r="AH14" s="21"/>
      <c r="AI14" s="19"/>
    </row>
    <row r="15" spans="1:35" x14ac:dyDescent="0.25">
      <c r="J15" s="8"/>
      <c r="K15" s="9"/>
      <c r="L15" s="4"/>
      <c r="M15" s="4"/>
      <c r="N15" s="9"/>
      <c r="O15" s="10"/>
      <c r="P15" s="10"/>
      <c r="R15" s="22"/>
      <c r="S15" s="11"/>
      <c r="T15" s="12"/>
      <c r="U15" s="13"/>
      <c r="V15" s="14"/>
      <c r="X15" s="15"/>
      <c r="Y15" s="15"/>
      <c r="AA15" s="17"/>
      <c r="AB15" s="16"/>
      <c r="AE15" s="19"/>
      <c r="AF15" s="20"/>
      <c r="AG15" s="18"/>
      <c r="AH15" s="21"/>
      <c r="AI15" s="19"/>
    </row>
    <row r="16" spans="1:35" x14ac:dyDescent="0.25">
      <c r="J16" s="8"/>
      <c r="K16" s="9"/>
      <c r="L16" s="4"/>
      <c r="M16" s="4"/>
      <c r="N16" s="9"/>
      <c r="O16" s="10"/>
      <c r="P16" s="10"/>
      <c r="R16" s="22"/>
      <c r="S16" s="11"/>
      <c r="T16" s="12"/>
      <c r="U16" s="13"/>
      <c r="V16" s="14"/>
      <c r="X16" s="15"/>
      <c r="Y16" s="15"/>
      <c r="AA16" s="17"/>
      <c r="AB16" s="16"/>
      <c r="AE16" s="19"/>
      <c r="AF16" s="20"/>
      <c r="AG16" s="18"/>
      <c r="AH16" s="21"/>
      <c r="AI16" s="19"/>
    </row>
    <row r="17" spans="10:35" x14ac:dyDescent="0.25">
      <c r="J17" s="8"/>
      <c r="K17" s="9"/>
      <c r="L17" s="4"/>
      <c r="M17" s="4"/>
      <c r="N17" s="9"/>
      <c r="O17" s="10"/>
      <c r="P17" s="10"/>
      <c r="R17" s="22"/>
      <c r="S17" s="11"/>
      <c r="T17" s="12"/>
      <c r="U17" s="13"/>
      <c r="V17" s="14"/>
      <c r="X17" s="15"/>
      <c r="Y17" s="15"/>
      <c r="AA17" s="17"/>
      <c r="AB17" s="16"/>
      <c r="AE17" s="19"/>
      <c r="AF17" s="20"/>
      <c r="AG17" s="18"/>
      <c r="AH17" s="21"/>
      <c r="AI17" s="19"/>
    </row>
    <row r="18" spans="10:35" x14ac:dyDescent="0.25">
      <c r="J18" s="8"/>
      <c r="K18" s="9"/>
      <c r="L18" s="4"/>
      <c r="M18" s="4"/>
      <c r="N18" s="9"/>
      <c r="O18" s="10"/>
      <c r="P18" s="10"/>
      <c r="R18" s="22"/>
      <c r="S18" s="11"/>
      <c r="T18" s="12"/>
      <c r="U18" s="13"/>
      <c r="V18" s="14"/>
      <c r="X18" s="15"/>
      <c r="Y18" s="15"/>
      <c r="AA18" s="17"/>
      <c r="AB18" s="16"/>
      <c r="AE18" s="19"/>
      <c r="AF18" s="20"/>
      <c r="AG18" s="18"/>
      <c r="AH18" s="21"/>
      <c r="AI18" s="19"/>
    </row>
    <row r="19" spans="10:35" x14ac:dyDescent="0.25">
      <c r="J19" s="8"/>
      <c r="K19" s="9"/>
      <c r="L19" s="4"/>
      <c r="M19" s="4"/>
      <c r="N19" s="9"/>
      <c r="O19" s="10"/>
      <c r="P19" s="10"/>
      <c r="R19" s="22"/>
      <c r="S19" s="11"/>
      <c r="T19" s="12"/>
      <c r="U19" s="13"/>
      <c r="V19" s="14"/>
      <c r="X19" s="15"/>
      <c r="Y19" s="15"/>
      <c r="AA19" s="17"/>
      <c r="AB19" s="16"/>
      <c r="AE19" s="19"/>
      <c r="AF19" s="20"/>
      <c r="AG19" s="18"/>
      <c r="AH19" s="21"/>
      <c r="AI19" s="19"/>
    </row>
    <row r="20" spans="10:35" x14ac:dyDescent="0.25">
      <c r="J20" s="8"/>
      <c r="K20" s="9"/>
      <c r="L20" s="4"/>
      <c r="M20" s="4"/>
      <c r="N20" s="9"/>
      <c r="O20" s="10"/>
      <c r="P20" s="10"/>
      <c r="R20" s="22"/>
      <c r="S20" s="11"/>
      <c r="T20" s="12"/>
      <c r="U20" s="13"/>
      <c r="V20" s="14"/>
      <c r="X20" s="15"/>
      <c r="Y20" s="15"/>
      <c r="AA20" s="17"/>
      <c r="AB20" s="16"/>
      <c r="AE20" s="19"/>
      <c r="AF20" s="20"/>
      <c r="AG20" s="18"/>
      <c r="AH20" s="21"/>
      <c r="AI20" s="19"/>
    </row>
    <row r="21" spans="10:35" x14ac:dyDescent="0.25">
      <c r="J21" s="8"/>
      <c r="K21" s="9"/>
      <c r="L21" s="4"/>
      <c r="M21" s="4"/>
      <c r="N21" s="9"/>
      <c r="O21" s="10"/>
      <c r="P21" s="10"/>
      <c r="R21" s="22"/>
      <c r="S21" s="11"/>
      <c r="T21" s="12"/>
      <c r="U21" s="13"/>
      <c r="V21" s="14"/>
      <c r="X21" s="15"/>
      <c r="Y21" s="15"/>
      <c r="AA21" s="17"/>
      <c r="AB21" s="16"/>
      <c r="AE21" s="19"/>
      <c r="AF21" s="20"/>
      <c r="AG21" s="18"/>
      <c r="AH21" s="21"/>
      <c r="AI21" s="19"/>
    </row>
    <row r="22" spans="10:35" x14ac:dyDescent="0.25">
      <c r="J22" s="8"/>
      <c r="K22" s="9"/>
      <c r="L22" s="4"/>
      <c r="M22" s="4"/>
      <c r="N22" s="9"/>
      <c r="O22" s="10"/>
      <c r="P22" s="10"/>
      <c r="R22" s="22"/>
      <c r="S22" s="11"/>
      <c r="T22" s="12"/>
      <c r="U22" s="13"/>
      <c r="V22" s="14"/>
      <c r="X22" s="15"/>
      <c r="Y22" s="15"/>
      <c r="AA22" s="17"/>
      <c r="AB22" s="16"/>
      <c r="AE22" s="19"/>
      <c r="AF22" s="20"/>
      <c r="AG22" s="18"/>
      <c r="AH22" s="21"/>
      <c r="AI22" s="19"/>
    </row>
    <row r="23" spans="10:35" x14ac:dyDescent="0.25">
      <c r="J23" s="8"/>
      <c r="K23" s="9"/>
      <c r="L23" s="4"/>
      <c r="M23" s="4"/>
      <c r="N23" s="9"/>
      <c r="O23" s="10"/>
      <c r="P23" s="10"/>
      <c r="R23" s="22"/>
      <c r="S23" s="11"/>
      <c r="T23" s="12"/>
      <c r="U23" s="13"/>
      <c r="V23" s="14"/>
      <c r="X23" s="15"/>
      <c r="Y23" s="15"/>
      <c r="AA23" s="17"/>
      <c r="AB23" s="16"/>
      <c r="AE23" s="19"/>
      <c r="AF23" s="20"/>
      <c r="AG23" s="18"/>
      <c r="AH23" s="21"/>
      <c r="AI23" s="19"/>
    </row>
    <row r="24" spans="10:35" x14ac:dyDescent="0.25">
      <c r="J24" s="8"/>
      <c r="K24" s="9"/>
      <c r="L24" s="4"/>
      <c r="M24" s="4"/>
      <c r="N24" s="9"/>
      <c r="O24" s="10"/>
      <c r="P24" s="10"/>
      <c r="R24" s="22"/>
      <c r="S24" s="11"/>
      <c r="T24" s="12"/>
      <c r="U24" s="13"/>
      <c r="V24" s="14"/>
      <c r="X24" s="15"/>
      <c r="Y24" s="15"/>
      <c r="AA24" s="17"/>
      <c r="AB24" s="16"/>
      <c r="AE24" s="19"/>
      <c r="AF24" s="20"/>
      <c r="AG24" s="18"/>
      <c r="AH24" s="21"/>
      <c r="AI24" s="19"/>
    </row>
    <row r="25" spans="10:35" x14ac:dyDescent="0.25">
      <c r="J25" s="8"/>
      <c r="K25" s="9"/>
      <c r="L25" s="4"/>
      <c r="M25" s="4"/>
      <c r="N25" s="9"/>
      <c r="O25" s="10"/>
      <c r="P25" s="10"/>
      <c r="R25" s="22"/>
      <c r="S25" s="11"/>
      <c r="T25" s="12"/>
      <c r="U25" s="13"/>
      <c r="V25" s="14"/>
      <c r="X25" s="15"/>
      <c r="Y25" s="15"/>
      <c r="AA25" s="17"/>
      <c r="AB25" s="16"/>
      <c r="AE25" s="19"/>
      <c r="AF25" s="20"/>
      <c r="AG25" s="18"/>
      <c r="AH25" s="21"/>
      <c r="AI25" s="19"/>
    </row>
    <row r="26" spans="10:35" x14ac:dyDescent="0.25">
      <c r="J26" s="8"/>
      <c r="K26" s="9"/>
      <c r="L26" s="4"/>
      <c r="M26" s="4"/>
      <c r="N26" s="9"/>
      <c r="O26" s="10"/>
      <c r="P26" s="10"/>
      <c r="R26" s="22"/>
      <c r="S26" s="11"/>
      <c r="T26" s="12"/>
      <c r="U26" s="13"/>
      <c r="V26" s="14"/>
      <c r="X26" s="15"/>
      <c r="Y26" s="15"/>
      <c r="AA26" s="17"/>
      <c r="AB26" s="16"/>
      <c r="AE26" s="19"/>
      <c r="AF26" s="20"/>
      <c r="AG26" s="18"/>
      <c r="AH26" s="21"/>
      <c r="AI26" s="19"/>
    </row>
    <row r="27" spans="10:35" x14ac:dyDescent="0.25">
      <c r="J27" s="8"/>
      <c r="K27" s="9"/>
      <c r="L27" s="4"/>
      <c r="M27" s="4"/>
      <c r="N27" s="9"/>
      <c r="O27" s="10"/>
      <c r="P27" s="10"/>
      <c r="R27" s="22"/>
      <c r="S27" s="11"/>
      <c r="T27" s="12"/>
      <c r="U27" s="13"/>
      <c r="V27" s="14"/>
      <c r="X27" s="15"/>
      <c r="Y27" s="15"/>
      <c r="AA27" s="17"/>
      <c r="AB27" s="16"/>
      <c r="AE27" s="19"/>
      <c r="AF27" s="20"/>
      <c r="AG27" s="18"/>
      <c r="AH27" s="21"/>
      <c r="AI27" s="19"/>
    </row>
    <row r="28" spans="10:35" x14ac:dyDescent="0.25">
      <c r="J28" s="8"/>
      <c r="K28" s="9"/>
      <c r="L28" s="4"/>
      <c r="M28" s="4"/>
      <c r="N28" s="9"/>
      <c r="O28" s="10"/>
      <c r="P28" s="10"/>
      <c r="R28" s="22"/>
      <c r="S28" s="11"/>
      <c r="T28" s="12"/>
      <c r="U28" s="13"/>
      <c r="V28" s="14"/>
      <c r="X28" s="15"/>
      <c r="Y28" s="15"/>
      <c r="AA28" s="17"/>
      <c r="AB28" s="16"/>
      <c r="AE28" s="19"/>
      <c r="AF28" s="20"/>
      <c r="AG28" s="18"/>
      <c r="AH28" s="21"/>
      <c r="AI28" s="19"/>
    </row>
    <row r="29" spans="10:35" x14ac:dyDescent="0.25">
      <c r="J29" s="8"/>
      <c r="K29" s="9"/>
      <c r="L29" s="4"/>
      <c r="M29" s="4"/>
      <c r="N29" s="9"/>
      <c r="O29" s="10"/>
      <c r="P29" s="10"/>
      <c r="R29" s="22"/>
      <c r="S29" s="11"/>
      <c r="T29" s="12"/>
      <c r="U29" s="13"/>
      <c r="V29" s="14"/>
      <c r="X29" s="15"/>
      <c r="Y29" s="15"/>
      <c r="AA29" s="17"/>
      <c r="AB29" s="16"/>
      <c r="AE29" s="19"/>
      <c r="AF29" s="20"/>
      <c r="AG29" s="18"/>
      <c r="AH29" s="21"/>
      <c r="AI29" s="19"/>
    </row>
    <row r="30" spans="10:35" x14ac:dyDescent="0.25">
      <c r="J30" s="8"/>
      <c r="K30" s="9"/>
      <c r="L30" s="4"/>
      <c r="M30" s="4"/>
      <c r="N30" s="9"/>
      <c r="O30" s="10"/>
      <c r="P30" s="10"/>
      <c r="R30" s="22"/>
      <c r="S30" s="11"/>
      <c r="T30" s="12"/>
      <c r="U30" s="13"/>
      <c r="V30" s="14"/>
      <c r="X30" s="15"/>
      <c r="Y30" s="15"/>
      <c r="AA30" s="17"/>
      <c r="AB30" s="16"/>
      <c r="AE30" s="19"/>
      <c r="AF30" s="20"/>
      <c r="AG30" s="18"/>
      <c r="AH30" s="21"/>
      <c r="AI30" s="19"/>
    </row>
    <row r="31" spans="10:35" x14ac:dyDescent="0.25">
      <c r="J31" s="8"/>
      <c r="K31" s="9"/>
      <c r="L31" s="4"/>
      <c r="M31" s="4"/>
      <c r="N31" s="9"/>
      <c r="O31" s="10"/>
      <c r="P31" s="10"/>
      <c r="R31" s="22"/>
      <c r="S31" s="11"/>
      <c r="T31" s="12"/>
      <c r="U31" s="13"/>
      <c r="V31" s="14"/>
      <c r="X31" s="15"/>
      <c r="Y31" s="15"/>
      <c r="AA31" s="17"/>
      <c r="AB31" s="16"/>
      <c r="AE31" s="19"/>
      <c r="AF31" s="20"/>
      <c r="AG31" s="18"/>
      <c r="AH31" s="21"/>
      <c r="AI31" s="19"/>
    </row>
    <row r="32" spans="10:35" x14ac:dyDescent="0.25">
      <c r="J32" s="8"/>
      <c r="K32" s="9"/>
      <c r="L32" s="4"/>
      <c r="M32" s="4"/>
      <c r="N32" s="9"/>
      <c r="O32" s="10"/>
      <c r="P32" s="10"/>
      <c r="R32" s="22"/>
      <c r="S32" s="11"/>
      <c r="T32" s="12"/>
      <c r="U32" s="13"/>
      <c r="V32" s="14"/>
      <c r="X32" s="15"/>
      <c r="Y32" s="15"/>
      <c r="AA32" s="17"/>
      <c r="AB32" s="16"/>
      <c r="AE32" s="19"/>
      <c r="AF32" s="20"/>
      <c r="AG32" s="18"/>
      <c r="AH32" s="21"/>
      <c r="AI32" s="19"/>
    </row>
    <row r="33" spans="10:35" x14ac:dyDescent="0.25">
      <c r="J33" s="8"/>
      <c r="K33" s="9"/>
      <c r="L33" s="4"/>
      <c r="M33" s="4"/>
      <c r="N33" s="9"/>
      <c r="O33" s="10"/>
      <c r="P33" s="10"/>
      <c r="R33" s="22"/>
      <c r="S33" s="11"/>
      <c r="T33" s="12"/>
      <c r="U33" s="13"/>
      <c r="V33" s="14"/>
      <c r="X33" s="15"/>
      <c r="Y33" s="15"/>
      <c r="AA33" s="17"/>
      <c r="AB33" s="16"/>
      <c r="AE33" s="19"/>
      <c r="AF33" s="20"/>
      <c r="AG33" s="18"/>
      <c r="AH33" s="21"/>
      <c r="AI33" s="19"/>
    </row>
    <row r="34" spans="10:35" x14ac:dyDescent="0.25">
      <c r="J34" s="8"/>
      <c r="K34" s="9"/>
      <c r="L34" s="4"/>
      <c r="M34" s="4"/>
      <c r="N34" s="9"/>
      <c r="O34" s="10"/>
      <c r="P34" s="10"/>
      <c r="R34" s="22"/>
      <c r="S34" s="11"/>
      <c r="T34" s="12"/>
      <c r="U34" s="13"/>
      <c r="V34" s="14"/>
      <c r="X34" s="15"/>
      <c r="Y34" s="15"/>
      <c r="AA34" s="17"/>
      <c r="AB34" s="16"/>
      <c r="AE34" s="19"/>
      <c r="AF34" s="20"/>
      <c r="AG34" s="18"/>
      <c r="AH34" s="21"/>
      <c r="AI34" s="19"/>
    </row>
    <row r="35" spans="10:35" x14ac:dyDescent="0.25">
      <c r="J35" s="8"/>
      <c r="K35" s="9"/>
      <c r="L35" s="4"/>
      <c r="M35" s="4"/>
      <c r="N35" s="9"/>
      <c r="O35" s="10"/>
      <c r="P35" s="10"/>
      <c r="R35" s="22"/>
      <c r="S35" s="11"/>
      <c r="T35" s="12"/>
      <c r="U35" s="13"/>
      <c r="V35" s="14"/>
      <c r="X35" s="15"/>
      <c r="Y35" s="15"/>
      <c r="AA35" s="17"/>
      <c r="AB35" s="16"/>
      <c r="AE35" s="19"/>
      <c r="AF35" s="20"/>
      <c r="AG35" s="18"/>
      <c r="AH35" s="21"/>
      <c r="AI35" s="19"/>
    </row>
    <row r="36" spans="10:35" x14ac:dyDescent="0.25">
      <c r="J36" s="8"/>
      <c r="K36" s="9"/>
      <c r="L36" s="4"/>
      <c r="M36" s="4"/>
      <c r="N36" s="9"/>
      <c r="O36" s="10"/>
      <c r="P36" s="10"/>
      <c r="R36" s="22"/>
      <c r="S36" s="11"/>
      <c r="T36" s="12"/>
      <c r="U36" s="13"/>
      <c r="V36" s="14"/>
      <c r="X36" s="15"/>
      <c r="Y36" s="15"/>
      <c r="AA36" s="17"/>
      <c r="AB36" s="16"/>
      <c r="AE36" s="19"/>
      <c r="AF36" s="20"/>
      <c r="AG36" s="18"/>
      <c r="AH36" s="21"/>
      <c r="AI36" s="19"/>
    </row>
  </sheetData>
  <pageMargins left="0.25" right="0.25" top="0.75" bottom="0.75" header="0.3" footer="0.3"/>
  <pageSetup paperSize="9" scale="40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"/>
  <sheetViews>
    <sheetView zoomScale="115" zoomScaleNormal="115" workbookViewId="0">
      <selection activeCell="B16" sqref="B16"/>
    </sheetView>
  </sheetViews>
  <sheetFormatPr defaultRowHeight="15" x14ac:dyDescent="0.25"/>
  <cols>
    <col min="1" max="1" width="17.8554687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hidden="1" customWidth="1"/>
    <col min="6" max="6" width="8.7109375" style="2" hidden="1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2.140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.85546875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1" spans="1:35" s="1" customFormat="1" ht="45" x14ac:dyDescent="0.25">
      <c r="A1" s="2" t="s">
        <v>8</v>
      </c>
      <c r="B1" s="3" t="s">
        <v>0</v>
      </c>
      <c r="C1" s="3" t="s">
        <v>1</v>
      </c>
      <c r="D1" s="2" t="s">
        <v>9</v>
      </c>
      <c r="E1" s="3" t="s">
        <v>2</v>
      </c>
      <c r="F1" s="2" t="s">
        <v>10</v>
      </c>
      <c r="G1" s="3" t="s">
        <v>3</v>
      </c>
      <c r="H1" s="3" t="s">
        <v>4</v>
      </c>
      <c r="I1" s="3" t="s">
        <v>5</v>
      </c>
      <c r="J1" s="1" t="s">
        <v>28</v>
      </c>
      <c r="K1" s="1" t="s">
        <v>29</v>
      </c>
      <c r="L1" s="4" t="s">
        <v>33</v>
      </c>
      <c r="M1" s="4" t="s">
        <v>34</v>
      </c>
      <c r="N1" s="1" t="s">
        <v>30</v>
      </c>
      <c r="O1" s="2" t="s">
        <v>6</v>
      </c>
      <c r="P1" s="2" t="s">
        <v>7</v>
      </c>
      <c r="Q1" s="1" t="s">
        <v>31</v>
      </c>
      <c r="R1" s="3" t="s">
        <v>11</v>
      </c>
      <c r="S1" s="4" t="s">
        <v>12</v>
      </c>
      <c r="T1" s="1" t="s">
        <v>13</v>
      </c>
      <c r="U1" s="4" t="s">
        <v>14</v>
      </c>
      <c r="V1" s="3" t="s">
        <v>15</v>
      </c>
      <c r="W1" s="1" t="s">
        <v>16</v>
      </c>
      <c r="X1" s="4" t="s">
        <v>17</v>
      </c>
      <c r="Y1" s="4" t="s">
        <v>18</v>
      </c>
      <c r="Z1" s="2" t="s">
        <v>19</v>
      </c>
      <c r="AA1" s="5" t="s">
        <v>20</v>
      </c>
      <c r="AB1" s="3" t="s">
        <v>21</v>
      </c>
      <c r="AC1" s="6" t="s">
        <v>22</v>
      </c>
      <c r="AD1" s="2" t="s">
        <v>23</v>
      </c>
      <c r="AE1" s="1" t="s">
        <v>32</v>
      </c>
      <c r="AF1" s="2" t="s">
        <v>24</v>
      </c>
      <c r="AG1" s="2" t="s">
        <v>25</v>
      </c>
      <c r="AH1" s="3" t="s">
        <v>26</v>
      </c>
      <c r="AI1" s="2" t="s">
        <v>27</v>
      </c>
    </row>
    <row r="2" spans="1:35" x14ac:dyDescent="0.25">
      <c r="A2" s="2" t="s">
        <v>56</v>
      </c>
      <c r="B2" s="3" t="s">
        <v>36</v>
      </c>
      <c r="C2" s="3">
        <v>0</v>
      </c>
      <c r="D2" s="2" t="s">
        <v>50</v>
      </c>
      <c r="E2" s="7" t="s">
        <v>39</v>
      </c>
      <c r="J2" s="8" t="str">
        <f t="shared" ref="J2:J6" si="0">IF(ISBLANK(G2),"",IF(ISBLANK(H2),"",IF(ISBLANK(I2),"",(AVERAGE(G2:I2)))))</f>
        <v/>
      </c>
      <c r="K2" s="9" t="str">
        <f t="shared" ref="K2:K6" si="1">IF(ISBLANK(G2),"",IF(ISBLANK(H2),"",IF(ISBLANK(I2),"",J2-C2)))</f>
        <v/>
      </c>
      <c r="L2" s="4"/>
      <c r="M2" s="4"/>
      <c r="N2" s="9" t="str">
        <f>IF(ISBLANK(G2),"",IF(ISBLANK(H2),"",IF(ISBLANK(I2),"",ROUND((O2-C2),3))))</f>
        <v/>
      </c>
      <c r="O2" s="19">
        <v>2E-3</v>
      </c>
      <c r="P2" s="19">
        <f>-0.002</f>
        <v>-2E-3</v>
      </c>
      <c r="Q2" s="2" t="str">
        <f t="shared" ref="Q2:Q6" si="2">IF(ISBLANK(G2),"",IF(ISBLANK(H2),"",IF(ISBLANK(I2),"",IF(AND(J2&gt;=P2,J2&lt;=O2),"PASS","FAIL"))))</f>
        <v/>
      </c>
      <c r="R2" s="22">
        <v>3.1E-7</v>
      </c>
      <c r="S2" s="11">
        <v>2</v>
      </c>
      <c r="T2" s="12">
        <f t="shared" ref="T2:T6" si="3">IFERROR(R2/S2,0)</f>
        <v>1.55E-7</v>
      </c>
      <c r="U2" s="13">
        <v>0</v>
      </c>
      <c r="V2" s="14">
        <f t="shared" ref="V2:V6" si="4">SQRT(3)</f>
        <v>1.7320508075688772</v>
      </c>
      <c r="W2" s="2">
        <f t="shared" ref="W2:W6" si="5">IFERROR(U2/V2,0)</f>
        <v>0</v>
      </c>
      <c r="X2" s="15">
        <v>1E-3</v>
      </c>
      <c r="Y2" s="15">
        <v>3.4641016151377544</v>
      </c>
      <c r="Z2" s="2">
        <f t="shared" ref="Z2:Z6" si="6">IFERROR(X2/Y2,0)</f>
        <v>2.886751345948129E-4</v>
      </c>
      <c r="AA2" s="17" t="str">
        <f t="shared" ref="AA2:AA6" si="7">IF(ISBLANK(G2),"",IF(ISBLANK(H2),"",IF(ISBLANK(I2),"",STDEV(G2:I2))))</f>
        <v/>
      </c>
      <c r="AB2" s="16">
        <f t="shared" ref="AB2:AB6" si="8">SQRT(3)</f>
        <v>1.7320508075688772</v>
      </c>
      <c r="AC2" s="18" t="str">
        <f t="shared" ref="AC2:AC6" si="9">IF(ISBLANK(G2),"",IF(ISBLANK(H2),"",IF(ISBLANK(I2),"",AA2/AB2)))</f>
        <v/>
      </c>
      <c r="AD2" s="2">
        <f t="shared" ref="AD2:AD6" si="10">SQRT(SUMSQ(T2,W2,Z2,AC2))</f>
        <v>2.8867517620733053E-4</v>
      </c>
      <c r="AE2" s="19" t="str">
        <f t="shared" ref="AE2:AE6" si="11">IF(ISBLANK(G2),"",IF(ISBLANK(H2),"",IF(ISBLANK(I2),"",IF(AD2=0,0,(AD2^4)/(((AC2^4)/2)+((Z2^4)/200)+((W2^4)/200)+((T2^4)/200))))))</f>
        <v/>
      </c>
      <c r="AF2" s="20" t="str">
        <f t="shared" ref="AF2:AF6" si="12">IF(ISBLANK(G2),"",IF(ISBLANK(H2),"",IF(ISBLANK(I2),"",ROUND(IF(AE2&gt;=30,2,_xlfn.T.INV.2T(0.05,AE2)),0))))</f>
        <v/>
      </c>
      <c r="AG2" s="18" t="str">
        <f t="shared" ref="AG2:AG6" si="13">IF(ISBLANK(G2),"",IF(ISBLANK(H2),"",IF(ISBLANK(I2),"",AF2*AD2)))</f>
        <v/>
      </c>
      <c r="AH2" s="21">
        <v>1.7999999999999999E-6</v>
      </c>
      <c r="AI2" s="18">
        <f t="shared" ref="AI2:AI6" si="14">IF(ISBLANK(G2),0,IF(ISBLANK(H2),0,IF(ISBLANK(I2),0,MAX(AG2,AH2))))</f>
        <v>0</v>
      </c>
    </row>
    <row r="3" spans="1:35" x14ac:dyDescent="0.25">
      <c r="A3" s="2" t="s">
        <v>56</v>
      </c>
      <c r="B3" s="3" t="s">
        <v>36</v>
      </c>
      <c r="C3" s="3">
        <v>5</v>
      </c>
      <c r="D3" s="2" t="s">
        <v>50</v>
      </c>
      <c r="E3" s="7" t="s">
        <v>39</v>
      </c>
      <c r="J3" s="8" t="str">
        <f t="shared" si="0"/>
        <v/>
      </c>
      <c r="K3" s="9" t="str">
        <f t="shared" si="1"/>
        <v/>
      </c>
      <c r="L3" s="4"/>
      <c r="M3" s="4"/>
      <c r="N3" s="9" t="str">
        <f t="shared" ref="N3:N6" si="15">IF(ISBLANK(G3),"",IF(ISBLANK(H3),"",IF(ISBLANK(I3),"",ABS(J3*L3%)+(M3*X3))))</f>
        <v/>
      </c>
      <c r="O3" s="19">
        <v>5.0270000000000001</v>
      </c>
      <c r="P3" s="19">
        <v>4.9729999999999999</v>
      </c>
      <c r="Q3" s="2" t="str">
        <f t="shared" si="2"/>
        <v/>
      </c>
      <c r="R3" s="22">
        <v>1.8E-5</v>
      </c>
      <c r="S3" s="11">
        <v>2</v>
      </c>
      <c r="T3" s="12">
        <f t="shared" si="3"/>
        <v>9.0000000000000002E-6</v>
      </c>
      <c r="U3" s="13">
        <v>0</v>
      </c>
      <c r="V3" s="14">
        <f t="shared" si="4"/>
        <v>1.7320508075688772</v>
      </c>
      <c r="W3" s="2">
        <f t="shared" si="5"/>
        <v>0</v>
      </c>
      <c r="X3" s="15">
        <v>1E-3</v>
      </c>
      <c r="Y3" s="15">
        <v>3.4641016151377544</v>
      </c>
      <c r="Z3" s="2">
        <f t="shared" si="6"/>
        <v>2.886751345948129E-4</v>
      </c>
      <c r="AA3" s="17" t="str">
        <f t="shared" si="7"/>
        <v/>
      </c>
      <c r="AB3" s="16">
        <f t="shared" si="8"/>
        <v>1.7320508075688772</v>
      </c>
      <c r="AC3" s="18" t="str">
        <f t="shared" si="9"/>
        <v/>
      </c>
      <c r="AD3" s="2">
        <f t="shared" si="10"/>
        <v>2.8881539663482854E-4</v>
      </c>
      <c r="AE3" s="19" t="str">
        <f t="shared" si="11"/>
        <v/>
      </c>
      <c r="AF3" s="20" t="str">
        <f t="shared" si="12"/>
        <v/>
      </c>
      <c r="AG3" s="18" t="str">
        <f t="shared" si="13"/>
        <v/>
      </c>
      <c r="AH3" s="21">
        <v>1.0000000000000001E-5</v>
      </c>
      <c r="AI3" s="18">
        <f t="shared" si="14"/>
        <v>0</v>
      </c>
    </row>
    <row r="4" spans="1:35" x14ac:dyDescent="0.25">
      <c r="A4" s="2" t="s">
        <v>56</v>
      </c>
      <c r="B4" s="3" t="s">
        <v>37</v>
      </c>
      <c r="C4" s="3">
        <v>50</v>
      </c>
      <c r="D4" s="2" t="s">
        <v>50</v>
      </c>
      <c r="E4" s="7" t="s">
        <v>39</v>
      </c>
      <c r="J4" s="8" t="str">
        <f t="shared" si="0"/>
        <v/>
      </c>
      <c r="K4" s="9" t="str">
        <f t="shared" si="1"/>
        <v/>
      </c>
      <c r="L4" s="4"/>
      <c r="M4" s="4"/>
      <c r="N4" s="9" t="str">
        <f t="shared" si="15"/>
        <v/>
      </c>
      <c r="O4" s="19">
        <v>50.27</v>
      </c>
      <c r="P4" s="19">
        <v>49.73</v>
      </c>
      <c r="Q4" s="2" t="str">
        <f t="shared" si="2"/>
        <v/>
      </c>
      <c r="R4" s="22">
        <v>1.6000000000000001E-4</v>
      </c>
      <c r="S4" s="11">
        <v>2</v>
      </c>
      <c r="T4" s="12">
        <f t="shared" si="3"/>
        <v>8.0000000000000007E-5</v>
      </c>
      <c r="U4" s="13">
        <v>0</v>
      </c>
      <c r="V4" s="14">
        <f t="shared" si="4"/>
        <v>1.7320508075688772</v>
      </c>
      <c r="W4" s="2">
        <f t="shared" si="5"/>
        <v>0</v>
      </c>
      <c r="X4" s="15">
        <v>0.01</v>
      </c>
      <c r="Y4" s="15">
        <v>3.4641016151377544</v>
      </c>
      <c r="Z4" s="2">
        <f t="shared" si="6"/>
        <v>2.886751345948129E-3</v>
      </c>
      <c r="AA4" s="17" t="str">
        <f t="shared" si="7"/>
        <v/>
      </c>
      <c r="AB4" s="16">
        <f t="shared" si="8"/>
        <v>1.7320508075688772</v>
      </c>
      <c r="AC4" s="18" t="str">
        <f t="shared" si="9"/>
        <v/>
      </c>
      <c r="AD4" s="2">
        <f t="shared" si="10"/>
        <v>2.8878596457122588E-3</v>
      </c>
      <c r="AE4" s="19" t="str">
        <f t="shared" si="11"/>
        <v/>
      </c>
      <c r="AF4" s="20" t="str">
        <f t="shared" si="12"/>
        <v/>
      </c>
      <c r="AG4" s="18" t="str">
        <f t="shared" si="13"/>
        <v/>
      </c>
      <c r="AH4" s="21">
        <v>1.8000000000000001E-4</v>
      </c>
      <c r="AI4" s="23">
        <f t="shared" si="14"/>
        <v>0</v>
      </c>
    </row>
    <row r="5" spans="1:35" x14ac:dyDescent="0.25">
      <c r="A5" s="2" t="s">
        <v>56</v>
      </c>
      <c r="B5" s="3" t="s">
        <v>38</v>
      </c>
      <c r="C5" s="3">
        <v>600</v>
      </c>
      <c r="D5" s="2" t="s">
        <v>50</v>
      </c>
      <c r="E5" s="7" t="s">
        <v>39</v>
      </c>
      <c r="J5" s="8" t="str">
        <f t="shared" si="0"/>
        <v/>
      </c>
      <c r="K5" s="9" t="str">
        <f t="shared" si="1"/>
        <v/>
      </c>
      <c r="L5" s="4"/>
      <c r="M5" s="4"/>
      <c r="N5" s="9" t="str">
        <f t="shared" si="15"/>
        <v/>
      </c>
      <c r="O5" s="19">
        <v>603.20000000000005</v>
      </c>
      <c r="P5" s="19">
        <v>596.79999999999995</v>
      </c>
      <c r="Q5" s="2" t="str">
        <f t="shared" si="2"/>
        <v/>
      </c>
      <c r="R5" s="22">
        <v>3.3E-3</v>
      </c>
      <c r="S5" s="11">
        <v>2</v>
      </c>
      <c r="T5" s="12">
        <f t="shared" si="3"/>
        <v>1.65E-3</v>
      </c>
      <c r="U5" s="13">
        <v>0</v>
      </c>
      <c r="V5" s="14">
        <f t="shared" si="4"/>
        <v>1.7320508075688772</v>
      </c>
      <c r="W5" s="2">
        <f t="shared" si="5"/>
        <v>0</v>
      </c>
      <c r="X5" s="15">
        <v>0.1</v>
      </c>
      <c r="Y5" s="15">
        <v>3.4641016151377544</v>
      </c>
      <c r="Z5" s="2">
        <f t="shared" si="6"/>
        <v>2.8867513459481291E-2</v>
      </c>
      <c r="AA5" s="17" t="str">
        <f t="shared" si="7"/>
        <v/>
      </c>
      <c r="AB5" s="16">
        <f t="shared" si="8"/>
        <v>1.7320508075688772</v>
      </c>
      <c r="AC5" s="18" t="str">
        <f t="shared" si="9"/>
        <v/>
      </c>
      <c r="AD5" s="2">
        <f t="shared" si="10"/>
        <v>2.8914630091587432E-2</v>
      </c>
      <c r="AE5" s="19" t="str">
        <f t="shared" si="11"/>
        <v/>
      </c>
      <c r="AF5" s="20" t="str">
        <f t="shared" si="12"/>
        <v/>
      </c>
      <c r="AG5" s="18" t="str">
        <f t="shared" si="13"/>
        <v/>
      </c>
      <c r="AH5" s="21">
        <v>1.4E-3</v>
      </c>
      <c r="AI5" s="19">
        <f t="shared" si="14"/>
        <v>0</v>
      </c>
    </row>
    <row r="6" spans="1:35" x14ac:dyDescent="0.25">
      <c r="A6" s="2" t="s">
        <v>56</v>
      </c>
      <c r="B6" s="3" t="s">
        <v>38</v>
      </c>
      <c r="C6" s="3">
        <v>-600</v>
      </c>
      <c r="D6" s="2" t="s">
        <v>50</v>
      </c>
      <c r="E6" s="7" t="s">
        <v>39</v>
      </c>
      <c r="J6" s="8" t="str">
        <f t="shared" si="0"/>
        <v/>
      </c>
      <c r="K6" s="9" t="str">
        <f t="shared" si="1"/>
        <v/>
      </c>
      <c r="L6" s="4"/>
      <c r="M6" s="4"/>
      <c r="N6" s="9" t="str">
        <f t="shared" si="15"/>
        <v/>
      </c>
      <c r="O6" s="19">
        <v>-596.9</v>
      </c>
      <c r="P6" s="19">
        <v>-603.20000000000005</v>
      </c>
      <c r="Q6" s="2" t="str">
        <f t="shared" si="2"/>
        <v/>
      </c>
      <c r="R6" s="22">
        <v>3.3E-3</v>
      </c>
      <c r="S6" s="11">
        <v>2</v>
      </c>
      <c r="T6" s="12">
        <f t="shared" si="3"/>
        <v>1.65E-3</v>
      </c>
      <c r="U6" s="13">
        <v>0</v>
      </c>
      <c r="V6" s="14">
        <f t="shared" si="4"/>
        <v>1.7320508075688772</v>
      </c>
      <c r="W6" s="2">
        <f t="shared" si="5"/>
        <v>0</v>
      </c>
      <c r="X6" s="15">
        <v>0.1</v>
      </c>
      <c r="Y6" s="15">
        <v>3.4641016151377544</v>
      </c>
      <c r="Z6" s="2">
        <f t="shared" si="6"/>
        <v>2.8867513459481291E-2</v>
      </c>
      <c r="AA6" s="17" t="str">
        <f t="shared" si="7"/>
        <v/>
      </c>
      <c r="AB6" s="16">
        <f t="shared" si="8"/>
        <v>1.7320508075688772</v>
      </c>
      <c r="AC6" s="18" t="str">
        <f t="shared" si="9"/>
        <v/>
      </c>
      <c r="AD6" s="2">
        <f t="shared" si="10"/>
        <v>2.8914630091587432E-2</v>
      </c>
      <c r="AE6" s="19" t="str">
        <f t="shared" si="11"/>
        <v/>
      </c>
      <c r="AF6" s="20" t="str">
        <f t="shared" si="12"/>
        <v/>
      </c>
      <c r="AG6" s="18" t="str">
        <f t="shared" si="13"/>
        <v/>
      </c>
      <c r="AH6" s="21">
        <v>1.4E-3</v>
      </c>
      <c r="AI6" s="19">
        <f t="shared" si="14"/>
        <v>0</v>
      </c>
    </row>
    <row r="7" spans="1:35" x14ac:dyDescent="0.25">
      <c r="S7" s="11"/>
      <c r="U7" s="13"/>
      <c r="V7" s="14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zoomScale="115" zoomScaleNormal="115" workbookViewId="0">
      <selection activeCell="A2" sqref="A2:A3"/>
    </sheetView>
  </sheetViews>
  <sheetFormatPr defaultRowHeight="15" x14ac:dyDescent="0.25"/>
  <cols>
    <col min="1" max="1" width="16.2851562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1.28515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10.28515625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.5703125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1" spans="1:35" s="1" customFormat="1" ht="45" x14ac:dyDescent="0.25">
      <c r="A1" s="2" t="s">
        <v>8</v>
      </c>
      <c r="B1" s="3" t="s">
        <v>0</v>
      </c>
      <c r="C1" s="3" t="s">
        <v>1</v>
      </c>
      <c r="D1" s="2" t="s">
        <v>9</v>
      </c>
      <c r="E1" s="3" t="s">
        <v>2</v>
      </c>
      <c r="F1" s="2" t="s">
        <v>10</v>
      </c>
      <c r="G1" s="3" t="s">
        <v>3</v>
      </c>
      <c r="H1" s="3" t="s">
        <v>4</v>
      </c>
      <c r="I1" s="3" t="s">
        <v>5</v>
      </c>
      <c r="J1" s="1" t="s">
        <v>28</v>
      </c>
      <c r="K1" s="1" t="s">
        <v>29</v>
      </c>
      <c r="L1" s="4" t="s">
        <v>33</v>
      </c>
      <c r="M1" s="4" t="s">
        <v>34</v>
      </c>
      <c r="N1" s="1" t="s">
        <v>30</v>
      </c>
      <c r="O1" s="2" t="s">
        <v>6</v>
      </c>
      <c r="P1" s="2" t="s">
        <v>7</v>
      </c>
      <c r="Q1" s="1" t="s">
        <v>31</v>
      </c>
      <c r="R1" s="3" t="s">
        <v>11</v>
      </c>
      <c r="S1" s="4" t="s">
        <v>12</v>
      </c>
      <c r="T1" s="1" t="s">
        <v>13</v>
      </c>
      <c r="U1" s="4" t="s">
        <v>14</v>
      </c>
      <c r="V1" s="3" t="s">
        <v>15</v>
      </c>
      <c r="W1" s="1" t="s">
        <v>16</v>
      </c>
      <c r="X1" s="4" t="s">
        <v>17</v>
      </c>
      <c r="Y1" s="4" t="s">
        <v>18</v>
      </c>
      <c r="Z1" s="2" t="s">
        <v>19</v>
      </c>
      <c r="AA1" s="5" t="s">
        <v>20</v>
      </c>
      <c r="AB1" s="3" t="s">
        <v>21</v>
      </c>
      <c r="AC1" s="6" t="s">
        <v>22</v>
      </c>
      <c r="AD1" s="2" t="s">
        <v>23</v>
      </c>
      <c r="AE1" s="1" t="s">
        <v>32</v>
      </c>
      <c r="AF1" s="2" t="s">
        <v>24</v>
      </c>
      <c r="AG1" s="2" t="s">
        <v>25</v>
      </c>
      <c r="AH1" s="3" t="s">
        <v>26</v>
      </c>
      <c r="AI1" s="2" t="s">
        <v>27</v>
      </c>
    </row>
    <row r="2" spans="1:35" x14ac:dyDescent="0.25">
      <c r="A2" s="2" t="s">
        <v>55</v>
      </c>
      <c r="B2" s="3" t="s">
        <v>35</v>
      </c>
      <c r="C2" s="3">
        <v>6</v>
      </c>
      <c r="D2" s="2" t="s">
        <v>49</v>
      </c>
      <c r="E2" s="3">
        <v>45</v>
      </c>
      <c r="F2" s="2" t="s">
        <v>53</v>
      </c>
      <c r="J2" s="8" t="str">
        <f t="shared" ref="J2:J3" si="0">IF(ISBLANK(G2),"",IF(ISBLANK(H2),"",IF(ISBLANK(I2),"",(AVERAGE(G2:I2)))))</f>
        <v/>
      </c>
      <c r="K2" s="9" t="str">
        <f t="shared" ref="K2:K3" si="1">IF(ISBLANK(G2),"",IF(ISBLANK(H2),"",IF(ISBLANK(I2),"",J2-C2)))</f>
        <v/>
      </c>
      <c r="L2" s="4"/>
      <c r="M2" s="4"/>
      <c r="N2" s="9" t="str">
        <f>IF(ISBLANK(G2),"",IF(ISBLANK(H2),"",IF(ISBLANK(I2),"",ROUND((O2-C2),1))))</f>
        <v/>
      </c>
      <c r="O2" s="10">
        <v>6.4</v>
      </c>
      <c r="P2" s="10">
        <v>5.6</v>
      </c>
      <c r="Q2" s="2" t="str">
        <f t="shared" ref="Q2:Q3" si="2">IF(ISBLANK(G2),"",IF(ISBLANK(H2),"",IF(ISBLANK(I2),"",IF(AND(J2&gt;=P2,J2&lt;=O2),"PASS","FAIL"))))</f>
        <v/>
      </c>
      <c r="R2" s="22">
        <v>8.8000000000000005E-3</v>
      </c>
      <c r="S2" s="11">
        <v>2</v>
      </c>
      <c r="T2" s="12">
        <f t="shared" ref="T2:T3" si="3">IFERROR(R2/S2,0)</f>
        <v>4.4000000000000003E-3</v>
      </c>
      <c r="U2" s="13">
        <v>0</v>
      </c>
      <c r="V2" s="14">
        <f t="shared" ref="V2:V3" si="4">SQRT(3)</f>
        <v>1.7320508075688772</v>
      </c>
      <c r="W2" s="2">
        <f t="shared" ref="W2:W3" si="5">IFERROR(U2/V2,0)</f>
        <v>0</v>
      </c>
      <c r="X2" s="15">
        <v>0.1</v>
      </c>
      <c r="Y2" s="15">
        <f>SQRT(12)</f>
        <v>3.4641016151377544</v>
      </c>
      <c r="Z2" s="2">
        <f t="shared" ref="Z2:Z3" si="6">IFERROR(X2/Y2,0)</f>
        <v>2.8867513459481291E-2</v>
      </c>
      <c r="AA2" s="17" t="str">
        <f t="shared" ref="AA2:AA3" si="7">IF(ISBLANK(G2),"",IF(ISBLANK(H2),"",IF(ISBLANK(I2),"",STDEV(G2:I2))))</f>
        <v/>
      </c>
      <c r="AB2" s="16">
        <f t="shared" ref="AB2:AB3" si="8">SQRT(3)</f>
        <v>1.7320508075688772</v>
      </c>
      <c r="AC2" s="18" t="str">
        <f t="shared" ref="AC2:AC3" si="9">IF(ISBLANK(G2),"",IF(ISBLANK(H2),"",IF(ISBLANK(I2),"",AA2/AB2)))</f>
        <v/>
      </c>
      <c r="AD2" s="2">
        <f t="shared" ref="AD2:AD3" si="10">SQRT(SUMSQ(T2,W2,Z2,AC2))</f>
        <v>2.9200913227728571E-2</v>
      </c>
      <c r="AE2" s="19" t="str">
        <f t="shared" ref="AE2:AE3" si="11">IF(ISBLANK(G2),"",IF(ISBLANK(H2),"",IF(ISBLANK(I2),"",IF(AD2=0,0,(AD2^4)/(((AC2^4)/2)+((Z2^4)/200)+((W2^4)/200)+((T2^4)/200))))))</f>
        <v/>
      </c>
      <c r="AF2" s="20" t="str">
        <f t="shared" ref="AF2:AF3" si="12">IF(ISBLANK(G2),"",IF(ISBLANK(H2),"",IF(ISBLANK(I2),"",ROUND(IF(AE2&gt;=30,2,_xlfn.T.INV.2T(0.05,AE2)),0))))</f>
        <v/>
      </c>
      <c r="AG2" s="18" t="str">
        <f t="shared" ref="AG2:AG3" si="13">IF(ISBLANK(G2),"",IF(ISBLANK(H2),"",IF(ISBLANK(I2),"",AF2*AD2)))</f>
        <v/>
      </c>
      <c r="AH2" s="21">
        <v>3.6999999999999999E-4</v>
      </c>
      <c r="AI2" s="19">
        <f t="shared" ref="AI2:AI3" si="14">IF(ISBLANK(G2),0,IF(ISBLANK(H2),0,IF(ISBLANK(I2),0,MAX(AG2,AH2))))</f>
        <v>0</v>
      </c>
    </row>
    <row r="3" spans="1:35" x14ac:dyDescent="0.25">
      <c r="A3" s="2" t="s">
        <v>55</v>
      </c>
      <c r="B3" s="3" t="s">
        <v>35</v>
      </c>
      <c r="C3" s="3">
        <v>600</v>
      </c>
      <c r="D3" s="2" t="s">
        <v>49</v>
      </c>
      <c r="E3" s="3">
        <v>1</v>
      </c>
      <c r="F3" s="2" t="s">
        <v>54</v>
      </c>
      <c r="J3" s="8" t="str">
        <f t="shared" si="0"/>
        <v/>
      </c>
      <c r="K3" s="9" t="str">
        <f t="shared" si="1"/>
        <v/>
      </c>
      <c r="L3" s="4"/>
      <c r="M3" s="4"/>
      <c r="N3" s="9" t="str">
        <f>IF(ISBLANK(G3),"",IF(ISBLANK(H3),"",IF(ISBLANK(I3),"",ROUND((O3-C3),1))))</f>
        <v/>
      </c>
      <c r="O3" s="10">
        <v>612.29999999999995</v>
      </c>
      <c r="P3" s="10">
        <v>587.70000000000005</v>
      </c>
      <c r="Q3" s="2" t="str">
        <f t="shared" si="2"/>
        <v/>
      </c>
      <c r="R3" s="22">
        <v>0.91</v>
      </c>
      <c r="S3" s="11">
        <v>2</v>
      </c>
      <c r="T3" s="12">
        <f t="shared" si="3"/>
        <v>0.45500000000000002</v>
      </c>
      <c r="U3" s="13">
        <v>0</v>
      </c>
      <c r="V3" s="14">
        <f t="shared" si="4"/>
        <v>1.7320508075688772</v>
      </c>
      <c r="W3" s="2">
        <f t="shared" si="5"/>
        <v>0</v>
      </c>
      <c r="X3" s="15">
        <v>0.1</v>
      </c>
      <c r="Y3" s="15">
        <f>SQRT(12)</f>
        <v>3.4641016151377544</v>
      </c>
      <c r="Z3" s="2">
        <f t="shared" si="6"/>
        <v>2.8867513459481291E-2</v>
      </c>
      <c r="AA3" s="17" t="str">
        <f t="shared" si="7"/>
        <v/>
      </c>
      <c r="AB3" s="16">
        <f t="shared" si="8"/>
        <v>1.7320508075688772</v>
      </c>
      <c r="AC3" s="18" t="str">
        <f t="shared" si="9"/>
        <v/>
      </c>
      <c r="AD3" s="2">
        <f t="shared" si="10"/>
        <v>0.45591483122764642</v>
      </c>
      <c r="AE3" s="19" t="str">
        <f t="shared" si="11"/>
        <v/>
      </c>
      <c r="AF3" s="20" t="str">
        <f t="shared" si="12"/>
        <v/>
      </c>
      <c r="AG3" s="18" t="str">
        <f t="shared" si="13"/>
        <v/>
      </c>
      <c r="AH3" s="21">
        <v>3.6999999999999999E-4</v>
      </c>
      <c r="AI3" s="19">
        <f t="shared" si="14"/>
        <v>0</v>
      </c>
    </row>
    <row r="4" spans="1:35" x14ac:dyDescent="0.25">
      <c r="J4" s="8"/>
      <c r="K4" s="9"/>
      <c r="L4" s="4"/>
      <c r="M4" s="4"/>
      <c r="N4" s="9"/>
      <c r="O4" s="10"/>
      <c r="P4" s="10"/>
      <c r="R4" s="22"/>
      <c r="S4" s="11"/>
      <c r="T4" s="12"/>
      <c r="U4" s="13"/>
      <c r="V4" s="14"/>
      <c r="X4" s="15"/>
      <c r="Y4" s="15"/>
      <c r="AA4" s="17"/>
      <c r="AB4" s="16"/>
      <c r="AE4" s="19"/>
      <c r="AF4" s="20"/>
      <c r="AG4" s="18"/>
      <c r="AH4" s="21"/>
      <c r="AI4" s="19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"/>
  <sheetViews>
    <sheetView zoomScale="130" zoomScaleNormal="130" workbookViewId="0">
      <selection activeCell="A3" sqref="A3"/>
    </sheetView>
  </sheetViews>
  <sheetFormatPr defaultRowHeight="15" x14ac:dyDescent="0.25"/>
  <cols>
    <col min="1" max="1" width="16.2851562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1.28515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9.5703125" style="3" bestFit="1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1" spans="1:35" s="1" customFormat="1" ht="45" x14ac:dyDescent="0.25">
      <c r="A1" s="2" t="s">
        <v>8</v>
      </c>
      <c r="B1" s="3" t="s">
        <v>0</v>
      </c>
      <c r="C1" s="3" t="s">
        <v>1</v>
      </c>
      <c r="D1" s="2" t="s">
        <v>9</v>
      </c>
      <c r="E1" s="3" t="s">
        <v>2</v>
      </c>
      <c r="F1" s="2" t="s">
        <v>10</v>
      </c>
      <c r="G1" s="3" t="s">
        <v>3</v>
      </c>
      <c r="H1" s="3" t="s">
        <v>4</v>
      </c>
      <c r="I1" s="3" t="s">
        <v>5</v>
      </c>
      <c r="J1" s="1" t="s">
        <v>28</v>
      </c>
      <c r="K1" s="1" t="s">
        <v>29</v>
      </c>
      <c r="L1" s="4" t="s">
        <v>33</v>
      </c>
      <c r="M1" s="4" t="s">
        <v>34</v>
      </c>
      <c r="N1" s="1" t="s">
        <v>30</v>
      </c>
      <c r="O1" s="2" t="s">
        <v>6</v>
      </c>
      <c r="P1" s="2" t="s">
        <v>7</v>
      </c>
      <c r="Q1" s="1" t="s">
        <v>31</v>
      </c>
      <c r="R1" s="3" t="s">
        <v>11</v>
      </c>
      <c r="S1" s="4" t="s">
        <v>12</v>
      </c>
      <c r="T1" s="1" t="s">
        <v>13</v>
      </c>
      <c r="U1" s="4" t="s">
        <v>14</v>
      </c>
      <c r="V1" s="3" t="s">
        <v>15</v>
      </c>
      <c r="W1" s="1" t="s">
        <v>16</v>
      </c>
      <c r="X1" s="4" t="s">
        <v>17</v>
      </c>
      <c r="Y1" s="4" t="s">
        <v>18</v>
      </c>
      <c r="Z1" s="2" t="s">
        <v>19</v>
      </c>
      <c r="AA1" s="5" t="s">
        <v>20</v>
      </c>
      <c r="AB1" s="3" t="s">
        <v>21</v>
      </c>
      <c r="AC1" s="6" t="s">
        <v>22</v>
      </c>
      <c r="AD1" s="2" t="s">
        <v>23</v>
      </c>
      <c r="AE1" s="1" t="s">
        <v>32</v>
      </c>
      <c r="AF1" s="2" t="s">
        <v>24</v>
      </c>
      <c r="AG1" s="2" t="s">
        <v>25</v>
      </c>
      <c r="AH1" s="3" t="s">
        <v>26</v>
      </c>
      <c r="AI1" s="2" t="s">
        <v>27</v>
      </c>
    </row>
    <row r="2" spans="1:35" x14ac:dyDescent="0.25">
      <c r="A2" s="2" t="s">
        <v>59</v>
      </c>
      <c r="B2" s="3" t="s">
        <v>35</v>
      </c>
      <c r="C2" s="3">
        <v>10</v>
      </c>
      <c r="D2" s="2" t="s">
        <v>49</v>
      </c>
      <c r="J2" s="8" t="str">
        <f t="shared" ref="J2:J3" si="0">IF(ISBLANK(G2),"",IF(ISBLANK(H2),"",IF(ISBLANK(I2),"",(AVERAGE(G2:I2)))))</f>
        <v/>
      </c>
      <c r="K2" s="9" t="str">
        <f t="shared" ref="K2:K3" si="1">IF(ISBLANK(G2),"",IF(ISBLANK(H2),"",IF(ISBLANK(I2),"",J2-C2)))</f>
        <v/>
      </c>
      <c r="L2" s="4"/>
      <c r="M2" s="4"/>
      <c r="N2" s="9" t="str">
        <f>IF(ISBLANK(G2),"",IF(ISBLANK(H2),"",IF(ISBLANK(I2),"",ROUND((O2-C2),1))))</f>
        <v/>
      </c>
      <c r="O2" s="10">
        <v>10.3</v>
      </c>
      <c r="P2" s="10">
        <v>9.6999999999999993</v>
      </c>
      <c r="Q2" s="2" t="str">
        <f t="shared" ref="Q2:Q3" si="2">IF(ISBLANK(G2),"",IF(ISBLANK(H2),"",IF(ISBLANK(I2),"",IF(AND(J2&gt;=P2,J2&lt;=O2),"PASS","FAIL"))))</f>
        <v/>
      </c>
      <c r="R2" s="22">
        <v>7.6999999999999996E-4</v>
      </c>
      <c r="S2" s="11">
        <v>2</v>
      </c>
      <c r="T2" s="12">
        <f t="shared" ref="T2:T3" si="3">IFERROR(R2/S2,0)</f>
        <v>3.8499999999999998E-4</v>
      </c>
      <c r="U2" s="13">
        <v>0</v>
      </c>
      <c r="V2" s="14">
        <f t="shared" ref="V2:V3" si="4">SQRT(3)</f>
        <v>1.7320508075688772</v>
      </c>
      <c r="W2" s="2">
        <f t="shared" ref="W2:W3" si="5">IFERROR(U2/V2,0)</f>
        <v>0</v>
      </c>
      <c r="X2" s="15">
        <v>0.1</v>
      </c>
      <c r="Y2" s="15">
        <v>3.4641016151377544</v>
      </c>
      <c r="Z2" s="2">
        <f t="shared" ref="Z2:Z3" si="6">IFERROR(X2/Y2,0)</f>
        <v>2.8867513459481291E-2</v>
      </c>
      <c r="AA2" s="17" t="str">
        <f t="shared" ref="AA2:AA3" si="7">IF(ISBLANK(G2),"",IF(ISBLANK(H2),"",IF(ISBLANK(I2),"",STDEV(G2:I2))))</f>
        <v/>
      </c>
      <c r="AB2" s="16">
        <f t="shared" ref="AB2:AB3" si="8">SQRT(3)</f>
        <v>1.7320508075688772</v>
      </c>
      <c r="AC2" s="18" t="str">
        <f t="shared" ref="AC2:AC3" si="9">IF(ISBLANK(G2),"",IF(ISBLANK(H2),"",IF(ISBLANK(I2),"",AA2/AB2)))</f>
        <v/>
      </c>
      <c r="AD2" s="2">
        <f t="shared" ref="AD2:AD3" si="10">SQRT(SUMSQ(T2,W2,Z2,AC2))</f>
        <v>2.8870080677638112E-2</v>
      </c>
      <c r="AE2" s="19" t="str">
        <f t="shared" ref="AE2:AE3" si="11">IF(ISBLANK(G2),"",IF(ISBLANK(H2),"",IF(ISBLANK(I2),"",IF(AD2=0,0,(AD2^4)/(((AC2^4)/2)+((Z2^4)/200)+((W2^4)/200)+((T2^4)/200))))))</f>
        <v/>
      </c>
      <c r="AF2" s="20" t="str">
        <f t="shared" ref="AF2:AF3" si="12">IF(ISBLANK(G2),"",IF(ISBLANK(H2),"",IF(ISBLANK(I2),"",ROUND(IF(AE2&gt;=30,2,_xlfn.T.INV.2T(0.05,AE2)),0))))</f>
        <v/>
      </c>
      <c r="AG2" s="18" t="str">
        <f t="shared" ref="AG2:AG3" si="13">IF(ISBLANK(G2),"",IF(ISBLANK(H2),"",IF(ISBLANK(I2),"",AF2*AD2)))</f>
        <v/>
      </c>
      <c r="AH2" s="27">
        <v>1.6000000000000001E-3</v>
      </c>
      <c r="AI2" s="19">
        <f t="shared" ref="AI2:AI3" si="14">IF(ISBLANK(G2),0,IF(ISBLANK(H2),0,IF(ISBLANK(I2),0,MAX(AG2,AH2))))</f>
        <v>0</v>
      </c>
    </row>
    <row r="3" spans="1:35" x14ac:dyDescent="0.25">
      <c r="A3" s="2" t="s">
        <v>59</v>
      </c>
      <c r="B3" s="3" t="s">
        <v>35</v>
      </c>
      <c r="C3" s="3">
        <v>600</v>
      </c>
      <c r="D3" s="2" t="s">
        <v>49</v>
      </c>
      <c r="J3" s="8" t="str">
        <f t="shared" si="0"/>
        <v/>
      </c>
      <c r="K3" s="9" t="str">
        <f t="shared" si="1"/>
        <v/>
      </c>
      <c r="L3" s="4"/>
      <c r="M3" s="4"/>
      <c r="N3" s="9" t="str">
        <f>IF(ISBLANK(G3),"",IF(ISBLANK(H3),"",IF(ISBLANK(I3),"",ROUND((O3-C3),1))))</f>
        <v/>
      </c>
      <c r="O3" s="10">
        <v>603.20000000000005</v>
      </c>
      <c r="P3" s="10">
        <v>596.79999999999995</v>
      </c>
      <c r="Q3" s="2" t="str">
        <f t="shared" si="2"/>
        <v/>
      </c>
      <c r="R3" s="22">
        <v>2.0999999999999999E-3</v>
      </c>
      <c r="S3" s="11">
        <v>2</v>
      </c>
      <c r="T3" s="12">
        <f t="shared" si="3"/>
        <v>1.0499999999999999E-3</v>
      </c>
      <c r="U3" s="13">
        <v>0</v>
      </c>
      <c r="V3" s="14">
        <f t="shared" si="4"/>
        <v>1.7320508075688772</v>
      </c>
      <c r="W3" s="2">
        <f t="shared" si="5"/>
        <v>0</v>
      </c>
      <c r="X3" s="15">
        <v>0.1</v>
      </c>
      <c r="Y3" s="15">
        <v>3.4641016151377544</v>
      </c>
      <c r="Z3" s="2">
        <f t="shared" si="6"/>
        <v>2.8867513459481291E-2</v>
      </c>
      <c r="AA3" s="17" t="str">
        <f t="shared" si="7"/>
        <v/>
      </c>
      <c r="AB3" s="16">
        <f t="shared" si="8"/>
        <v>1.7320508075688772</v>
      </c>
      <c r="AC3" s="18" t="str">
        <f t="shared" si="9"/>
        <v/>
      </c>
      <c r="AD3" s="2">
        <f t="shared" si="10"/>
        <v>2.8886603007853544E-2</v>
      </c>
      <c r="AE3" s="19" t="str">
        <f t="shared" si="11"/>
        <v/>
      </c>
      <c r="AF3" s="20" t="str">
        <f t="shared" si="12"/>
        <v/>
      </c>
      <c r="AG3" s="18" t="str">
        <f t="shared" si="13"/>
        <v/>
      </c>
      <c r="AH3" s="27">
        <v>1.8E-3</v>
      </c>
      <c r="AI3" s="19">
        <f t="shared" si="14"/>
        <v>0</v>
      </c>
    </row>
    <row r="4" spans="1:35" x14ac:dyDescent="0.25">
      <c r="J4" s="8"/>
      <c r="K4" s="9"/>
      <c r="L4" s="4"/>
      <c r="M4" s="4"/>
      <c r="N4" s="9"/>
      <c r="O4" s="10"/>
      <c r="P4" s="10"/>
      <c r="R4" s="22"/>
      <c r="S4" s="11"/>
      <c r="T4" s="12"/>
      <c r="U4" s="13"/>
      <c r="V4" s="14"/>
      <c r="X4" s="15"/>
      <c r="Y4" s="15"/>
      <c r="AA4" s="17"/>
      <c r="AB4" s="16"/>
      <c r="AE4" s="19"/>
      <c r="AF4" s="20"/>
      <c r="AG4" s="18"/>
      <c r="AH4" s="21"/>
      <c r="AI4" s="19"/>
    </row>
    <row r="5" spans="1:35" x14ac:dyDescent="0.25">
      <c r="J5" s="8"/>
      <c r="K5" s="9"/>
      <c r="L5" s="4"/>
      <c r="M5" s="4"/>
      <c r="N5" s="9"/>
      <c r="O5" s="10"/>
      <c r="P5" s="10"/>
      <c r="R5" s="22"/>
      <c r="S5" s="11"/>
      <c r="T5" s="12"/>
      <c r="U5" s="13"/>
      <c r="V5" s="14"/>
      <c r="X5" s="15"/>
      <c r="Y5" s="15"/>
      <c r="AA5" s="17"/>
      <c r="AB5" s="16"/>
      <c r="AE5" s="19"/>
      <c r="AF5" s="20"/>
      <c r="AG5" s="18"/>
      <c r="AH5" s="21"/>
      <c r="AI5" s="19"/>
    </row>
    <row r="6" spans="1:35" x14ac:dyDescent="0.25">
      <c r="J6" s="8"/>
      <c r="K6" s="9"/>
      <c r="L6" s="4"/>
      <c r="M6" s="4"/>
      <c r="N6" s="9"/>
      <c r="O6" s="10"/>
      <c r="P6" s="10"/>
      <c r="R6" s="22"/>
      <c r="S6" s="11"/>
      <c r="T6" s="12"/>
      <c r="U6" s="13"/>
      <c r="V6" s="14"/>
      <c r="X6" s="15"/>
      <c r="Y6" s="15"/>
      <c r="AA6" s="17"/>
      <c r="AB6" s="16"/>
      <c r="AE6" s="19"/>
      <c r="AF6" s="20"/>
      <c r="AG6" s="18"/>
      <c r="AH6" s="21"/>
      <c r="AI6" s="19"/>
    </row>
    <row r="7" spans="1:35" x14ac:dyDescent="0.25">
      <c r="J7" s="8"/>
      <c r="K7" s="9"/>
      <c r="L7" s="4"/>
      <c r="M7" s="4"/>
      <c r="N7" s="9"/>
      <c r="O7" s="10"/>
      <c r="P7" s="10"/>
      <c r="R7" s="22"/>
      <c r="S7" s="11"/>
      <c r="T7" s="12"/>
      <c r="U7" s="13"/>
      <c r="V7" s="14"/>
      <c r="X7" s="15"/>
      <c r="Y7" s="15"/>
      <c r="AA7" s="17"/>
      <c r="AB7" s="16"/>
      <c r="AE7" s="19"/>
      <c r="AF7" s="20"/>
      <c r="AG7" s="18"/>
      <c r="AH7" s="21"/>
      <c r="AI7" s="19"/>
    </row>
    <row r="8" spans="1:35" x14ac:dyDescent="0.25">
      <c r="J8" s="8"/>
      <c r="K8" s="9"/>
      <c r="L8" s="4"/>
      <c r="M8" s="4"/>
      <c r="N8" s="9"/>
      <c r="O8" s="10"/>
      <c r="P8" s="10"/>
      <c r="R8" s="22"/>
      <c r="S8" s="11"/>
      <c r="T8" s="12"/>
      <c r="U8" s="13"/>
      <c r="V8" s="14"/>
      <c r="X8" s="15"/>
      <c r="Y8" s="15"/>
      <c r="AA8" s="17"/>
      <c r="AB8" s="16"/>
      <c r="AE8" s="19"/>
      <c r="AF8" s="20"/>
      <c r="AG8" s="18"/>
      <c r="AH8" s="21"/>
      <c r="AI8" s="19"/>
    </row>
    <row r="9" spans="1:35" x14ac:dyDescent="0.25">
      <c r="J9" s="8"/>
      <c r="K9" s="9"/>
      <c r="L9" s="4"/>
      <c r="M9" s="4"/>
      <c r="N9" s="9"/>
      <c r="O9" s="10"/>
      <c r="P9" s="10"/>
      <c r="R9" s="22"/>
      <c r="S9" s="11"/>
      <c r="T9" s="12"/>
      <c r="U9" s="13"/>
      <c r="V9" s="14"/>
      <c r="X9" s="15"/>
      <c r="Y9" s="15"/>
      <c r="AA9" s="17"/>
      <c r="AB9" s="16"/>
      <c r="AE9" s="19"/>
      <c r="AF9" s="20"/>
      <c r="AG9" s="18"/>
      <c r="AH9" s="21"/>
      <c r="AI9" s="19"/>
    </row>
    <row r="10" spans="1:35" x14ac:dyDescent="0.25">
      <c r="J10" s="8"/>
      <c r="K10" s="9"/>
      <c r="L10" s="4"/>
      <c r="M10" s="4"/>
      <c r="N10" s="9"/>
      <c r="O10" s="10"/>
      <c r="P10" s="10"/>
      <c r="R10" s="22"/>
      <c r="S10" s="11"/>
      <c r="T10" s="12"/>
      <c r="U10" s="13"/>
      <c r="V10" s="14"/>
      <c r="X10" s="15"/>
      <c r="Y10" s="15"/>
      <c r="AA10" s="17"/>
      <c r="AB10" s="16"/>
      <c r="AE10" s="19"/>
      <c r="AF10" s="20"/>
      <c r="AG10" s="18"/>
      <c r="AH10" s="21"/>
      <c r="AI10" s="19"/>
    </row>
    <row r="11" spans="1:35" x14ac:dyDescent="0.25">
      <c r="J11" s="8"/>
      <c r="K11" s="9"/>
      <c r="L11" s="4"/>
      <c r="M11" s="4"/>
      <c r="N11" s="9"/>
      <c r="O11" s="10"/>
      <c r="P11" s="10"/>
      <c r="R11" s="22"/>
      <c r="S11" s="11"/>
      <c r="T11" s="12"/>
      <c r="U11" s="13"/>
      <c r="V11" s="14"/>
      <c r="X11" s="15"/>
      <c r="Y11" s="15"/>
      <c r="AA11" s="17"/>
      <c r="AB11" s="16"/>
      <c r="AE11" s="19"/>
      <c r="AF11" s="20"/>
      <c r="AG11" s="18"/>
      <c r="AH11" s="21"/>
      <c r="AI11" s="19"/>
    </row>
    <row r="12" spans="1:35" x14ac:dyDescent="0.25">
      <c r="J12" s="8"/>
      <c r="K12" s="9"/>
      <c r="L12" s="4"/>
      <c r="M12" s="4"/>
      <c r="N12" s="9"/>
      <c r="O12" s="10"/>
      <c r="P12" s="10"/>
      <c r="R12" s="22"/>
      <c r="S12" s="11"/>
      <c r="T12" s="12"/>
      <c r="U12" s="13"/>
      <c r="V12" s="14"/>
      <c r="X12" s="15"/>
      <c r="Y12" s="15"/>
      <c r="AA12" s="17"/>
      <c r="AB12" s="16"/>
      <c r="AE12" s="19"/>
      <c r="AF12" s="20"/>
      <c r="AG12" s="18"/>
      <c r="AH12" s="21"/>
      <c r="AI12" s="19"/>
    </row>
    <row r="13" spans="1:35" x14ac:dyDescent="0.25">
      <c r="J13" s="8"/>
      <c r="K13" s="9"/>
      <c r="L13" s="4"/>
      <c r="M13" s="4"/>
      <c r="N13" s="9"/>
      <c r="O13" s="10"/>
      <c r="P13" s="10"/>
      <c r="R13" s="22"/>
      <c r="S13" s="11"/>
      <c r="T13" s="12"/>
      <c r="U13" s="13"/>
      <c r="V13" s="14"/>
      <c r="X13" s="15"/>
      <c r="Y13" s="15"/>
      <c r="AA13" s="17"/>
      <c r="AB13" s="16"/>
      <c r="AE13" s="19"/>
      <c r="AF13" s="20"/>
      <c r="AG13" s="18"/>
      <c r="AH13" s="21"/>
      <c r="AI13" s="19"/>
    </row>
    <row r="14" spans="1:35" x14ac:dyDescent="0.25">
      <c r="J14" s="8"/>
      <c r="K14" s="9"/>
      <c r="L14" s="4"/>
      <c r="M14" s="4"/>
      <c r="N14" s="9"/>
      <c r="O14" s="10"/>
      <c r="P14" s="10"/>
      <c r="R14" s="22"/>
      <c r="S14" s="11"/>
      <c r="T14" s="12"/>
      <c r="U14" s="13"/>
      <c r="V14" s="14"/>
      <c r="X14" s="15"/>
      <c r="Y14" s="15"/>
      <c r="AA14" s="17"/>
      <c r="AB14" s="16"/>
      <c r="AE14" s="19"/>
      <c r="AF14" s="20"/>
      <c r="AG14" s="18"/>
      <c r="AH14" s="21"/>
      <c r="AI14" s="19"/>
    </row>
    <row r="15" spans="1:35" x14ac:dyDescent="0.25">
      <c r="J15" s="8"/>
      <c r="K15" s="9"/>
      <c r="L15" s="4"/>
      <c r="M15" s="4"/>
      <c r="N15" s="9"/>
      <c r="O15" s="10"/>
      <c r="P15" s="10"/>
      <c r="R15" s="22"/>
      <c r="S15" s="11"/>
      <c r="T15" s="12"/>
      <c r="U15" s="13"/>
      <c r="V15" s="14"/>
      <c r="X15" s="15"/>
      <c r="Y15" s="15"/>
      <c r="AA15" s="17"/>
      <c r="AB15" s="16"/>
      <c r="AE15" s="19"/>
      <c r="AF15" s="20"/>
      <c r="AG15" s="18"/>
      <c r="AH15" s="21"/>
      <c r="AI15" s="19"/>
    </row>
    <row r="16" spans="1:35" x14ac:dyDescent="0.25">
      <c r="J16" s="8"/>
      <c r="K16" s="9"/>
      <c r="L16" s="4"/>
      <c r="M16" s="4"/>
      <c r="N16" s="9"/>
      <c r="O16" s="10"/>
      <c r="P16" s="10"/>
      <c r="R16" s="22"/>
      <c r="S16" s="11"/>
      <c r="T16" s="12"/>
      <c r="U16" s="13"/>
      <c r="V16" s="14"/>
      <c r="X16" s="15"/>
      <c r="Y16" s="15"/>
      <c r="AA16" s="17"/>
      <c r="AB16" s="16"/>
      <c r="AE16" s="19"/>
      <c r="AF16" s="20"/>
      <c r="AG16" s="18"/>
      <c r="AH16" s="21"/>
      <c r="AI16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zoomScale="145" zoomScaleNormal="145" workbookViewId="0">
      <selection activeCell="A4" sqref="A4"/>
    </sheetView>
  </sheetViews>
  <sheetFormatPr defaultRowHeight="15" x14ac:dyDescent="0.25"/>
  <cols>
    <col min="1" max="1" width="16.8554687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2.140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.85546875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1" spans="1:35" s="1" customFormat="1" ht="45" x14ac:dyDescent="0.25">
      <c r="A1" s="2" t="s">
        <v>8</v>
      </c>
      <c r="B1" s="3" t="s">
        <v>0</v>
      </c>
      <c r="C1" s="3" t="s">
        <v>1</v>
      </c>
      <c r="D1" s="2" t="s">
        <v>9</v>
      </c>
      <c r="E1" s="3" t="s">
        <v>2</v>
      </c>
      <c r="F1" s="2" t="s">
        <v>10</v>
      </c>
      <c r="G1" s="3" t="s">
        <v>3</v>
      </c>
      <c r="H1" s="3" t="s">
        <v>4</v>
      </c>
      <c r="I1" s="3" t="s">
        <v>5</v>
      </c>
      <c r="J1" s="1" t="s">
        <v>28</v>
      </c>
      <c r="K1" s="1" t="s">
        <v>29</v>
      </c>
      <c r="L1" s="4" t="s">
        <v>33</v>
      </c>
      <c r="M1" s="4" t="s">
        <v>34</v>
      </c>
      <c r="N1" s="1" t="s">
        <v>30</v>
      </c>
      <c r="O1" s="2" t="s">
        <v>6</v>
      </c>
      <c r="P1" s="2" t="s">
        <v>7</v>
      </c>
      <c r="Q1" s="1" t="s">
        <v>31</v>
      </c>
      <c r="R1" s="3" t="s">
        <v>11</v>
      </c>
      <c r="S1" s="4" t="s">
        <v>12</v>
      </c>
      <c r="T1" s="1" t="s">
        <v>13</v>
      </c>
      <c r="U1" s="4" t="s">
        <v>14</v>
      </c>
      <c r="V1" s="3" t="s">
        <v>15</v>
      </c>
      <c r="W1" s="1" t="s">
        <v>16</v>
      </c>
      <c r="X1" s="4" t="s">
        <v>17</v>
      </c>
      <c r="Y1" s="4" t="s">
        <v>18</v>
      </c>
      <c r="Z1" s="2" t="s">
        <v>19</v>
      </c>
      <c r="AA1" s="5" t="s">
        <v>20</v>
      </c>
      <c r="AB1" s="3" t="s">
        <v>21</v>
      </c>
      <c r="AC1" s="6" t="s">
        <v>22</v>
      </c>
      <c r="AD1" s="2" t="s">
        <v>23</v>
      </c>
      <c r="AE1" s="1" t="s">
        <v>32</v>
      </c>
      <c r="AF1" s="2" t="s">
        <v>24</v>
      </c>
      <c r="AG1" s="2" t="s">
        <v>25</v>
      </c>
      <c r="AH1" s="3" t="s">
        <v>26</v>
      </c>
      <c r="AI1" s="2" t="s">
        <v>27</v>
      </c>
    </row>
    <row r="2" spans="1:35" x14ac:dyDescent="0.25">
      <c r="A2" s="2" t="s">
        <v>60</v>
      </c>
      <c r="C2" s="3">
        <v>0.5</v>
      </c>
      <c r="D2" s="2" t="s">
        <v>50</v>
      </c>
      <c r="E2" s="7">
        <v>45</v>
      </c>
      <c r="F2" s="2" t="s">
        <v>53</v>
      </c>
      <c r="J2" s="8" t="str">
        <f t="shared" ref="J2:J4" si="0">IF(ISBLANK(G2),"",IF(ISBLANK(H2),"",IF(ISBLANK(I2),"",(AVERAGE(G2:I2)))))</f>
        <v/>
      </c>
      <c r="K2" s="9" t="str">
        <f t="shared" ref="K2:K4" si="1">IF(ISBLANK(G2),"",IF(ISBLANK(H2),"",IF(ISBLANK(I2),"",J2-C2)))</f>
        <v/>
      </c>
      <c r="L2" s="4"/>
      <c r="M2" s="4"/>
      <c r="N2" s="9" t="str">
        <f>IF(ISBLANK(G2),"",IF(ISBLANK(H2),"",IF(ISBLANK(I2),"",ROUND((O2-C2),3))))</f>
        <v/>
      </c>
      <c r="O2" s="19">
        <v>0.8</v>
      </c>
      <c r="P2" s="19">
        <v>0.2</v>
      </c>
      <c r="Q2" s="2" t="str">
        <f t="shared" ref="Q2:Q4" si="2">IF(ISBLANK(G2),"",IF(ISBLANK(H2),"",IF(ISBLANK(I2),"",IF(AND(J2&gt;=P2,J2&lt;=O2),"PASS","FAIL"))))</f>
        <v/>
      </c>
      <c r="R2" s="22">
        <v>9.1E-4</v>
      </c>
      <c r="S2" s="11">
        <v>2</v>
      </c>
      <c r="T2" s="12">
        <f t="shared" ref="T2:T4" si="3">IFERROR(R2/S2,0)</f>
        <v>4.55E-4</v>
      </c>
      <c r="U2" s="13">
        <v>0</v>
      </c>
      <c r="V2" s="14">
        <f t="shared" ref="V2:V4" si="4">SQRT(3)</f>
        <v>1.7320508075688772</v>
      </c>
      <c r="W2" s="2">
        <f t="shared" ref="W2:W4" si="5">IFERROR(U2/V2,0)</f>
        <v>0</v>
      </c>
      <c r="X2" s="15">
        <v>0.1</v>
      </c>
      <c r="Y2" s="15">
        <v>3.4641016151377544</v>
      </c>
      <c r="Z2" s="2">
        <f t="shared" ref="Z2:Z4" si="6">IFERROR(X2/Y2,0)</f>
        <v>2.8867513459481291E-2</v>
      </c>
      <c r="AA2" s="17" t="str">
        <f t="shared" ref="AA2:AA4" si="7">IF(ISBLANK(G2),"",IF(ISBLANK(H2),"",IF(ISBLANK(I2),"",STDEV(G2:I2))))</f>
        <v/>
      </c>
      <c r="AB2" s="16">
        <f t="shared" ref="AB2:AB4" si="8">SQRT(3)</f>
        <v>1.7320508075688772</v>
      </c>
      <c r="AC2" s="18" t="str">
        <f t="shared" ref="AC2:AC4" si="9">IF(ISBLANK(G2),"",IF(ISBLANK(H2),"",IF(ISBLANK(I2),"",AA2/AB2)))</f>
        <v/>
      </c>
      <c r="AD2" s="2">
        <f t="shared" ref="AD2:AD4" si="10">SQRT(SUMSQ(T2,W2,Z2,AC2))</f>
        <v>2.8871099014989601E-2</v>
      </c>
      <c r="AE2" s="19" t="str">
        <f t="shared" ref="AE2:AE4" si="11">IF(ISBLANK(G2),"",IF(ISBLANK(H2),"",IF(ISBLANK(I2),"",IF(AD2=0,0,(AD2^4)/(((AC2^4)/2)+((Z2^4)/200)+((W2^4)/200)+((T2^4)/200))))))</f>
        <v/>
      </c>
      <c r="AF2" s="20" t="str">
        <f t="shared" ref="AF2:AF4" si="12">IF(ISBLANK(G2),"",IF(ISBLANK(H2),"",IF(ISBLANK(I2),"",ROUND(IF(AE2&gt;=30,2,_xlfn.T.INV.2T(0.05,AE2)),0))))</f>
        <v/>
      </c>
      <c r="AG2" s="18" t="str">
        <f t="shared" ref="AG2:AG4" si="13">IF(ISBLANK(G2),"",IF(ISBLANK(H2),"",IF(ISBLANK(I2),"",AF2*AD2)))</f>
        <v/>
      </c>
      <c r="AH2" s="21">
        <v>8.5000000000000006E-5</v>
      </c>
      <c r="AI2" s="18">
        <f t="shared" ref="AI2:AI4" si="14">IF(ISBLANK(G2),0,IF(ISBLANK(H2),0,IF(ISBLANK(I2),0,MAX(AG2,AH2))))</f>
        <v>0</v>
      </c>
    </row>
    <row r="3" spans="1:35" x14ac:dyDescent="0.25">
      <c r="A3" s="2" t="s">
        <v>60</v>
      </c>
      <c r="C3" s="3">
        <v>0.5</v>
      </c>
      <c r="D3" s="2" t="s">
        <v>50</v>
      </c>
      <c r="E3" s="7">
        <v>0</v>
      </c>
      <c r="F3" s="2" t="s">
        <v>53</v>
      </c>
      <c r="J3" s="8" t="str">
        <f t="shared" si="0"/>
        <v/>
      </c>
      <c r="K3" s="9" t="str">
        <f t="shared" si="1"/>
        <v/>
      </c>
      <c r="L3" s="4"/>
      <c r="M3" s="4"/>
      <c r="N3" s="9" t="str">
        <f t="shared" ref="N3:N4" si="15">IF(ISBLANK(G3),"",IF(ISBLANK(H3),"",IF(ISBLANK(I3),"",ROUND((O3-C3),3))))</f>
        <v/>
      </c>
      <c r="O3" s="19">
        <v>0.8</v>
      </c>
      <c r="P3" s="19">
        <v>0.2</v>
      </c>
      <c r="Q3" s="2" t="str">
        <f t="shared" si="2"/>
        <v/>
      </c>
      <c r="R3" s="22">
        <v>2.0999999999999998E-6</v>
      </c>
      <c r="S3" s="11">
        <v>2</v>
      </c>
      <c r="T3" s="12">
        <f t="shared" si="3"/>
        <v>1.0499999999999999E-6</v>
      </c>
      <c r="U3" s="13">
        <v>0</v>
      </c>
      <c r="V3" s="14">
        <f t="shared" si="4"/>
        <v>1.7320508075688772</v>
      </c>
      <c r="W3" s="2">
        <f t="shared" si="5"/>
        <v>0</v>
      </c>
      <c r="X3" s="15">
        <v>0.1</v>
      </c>
      <c r="Y3" s="15">
        <v>3.4641016151377544</v>
      </c>
      <c r="Z3" s="2">
        <f t="shared" si="6"/>
        <v>2.8867513459481291E-2</v>
      </c>
      <c r="AA3" s="17" t="str">
        <f t="shared" si="7"/>
        <v/>
      </c>
      <c r="AB3" s="16">
        <f t="shared" si="8"/>
        <v>1.7320508075688772</v>
      </c>
      <c r="AC3" s="18" t="str">
        <f t="shared" si="9"/>
        <v/>
      </c>
      <c r="AD3" s="2">
        <f t="shared" si="10"/>
        <v>2.8867513478577151E-2</v>
      </c>
      <c r="AE3" s="19" t="str">
        <f t="shared" si="11"/>
        <v/>
      </c>
      <c r="AF3" s="20" t="str">
        <f t="shared" si="12"/>
        <v/>
      </c>
      <c r="AG3" s="18" t="str">
        <f t="shared" si="13"/>
        <v/>
      </c>
      <c r="AH3" s="21">
        <v>1.7999999999999999E-6</v>
      </c>
      <c r="AI3" s="18">
        <f t="shared" si="14"/>
        <v>0</v>
      </c>
    </row>
    <row r="4" spans="1:35" x14ac:dyDescent="0.25">
      <c r="A4" s="2" t="s">
        <v>60</v>
      </c>
      <c r="C4" s="3">
        <v>500</v>
      </c>
      <c r="D4" s="2" t="s">
        <v>50</v>
      </c>
      <c r="E4" s="7">
        <v>500</v>
      </c>
      <c r="F4" s="2" t="s">
        <v>53</v>
      </c>
      <c r="J4" s="8" t="str">
        <f t="shared" si="0"/>
        <v/>
      </c>
      <c r="K4" s="9" t="str">
        <f t="shared" si="1"/>
        <v/>
      </c>
      <c r="L4" s="4"/>
      <c r="M4" s="4"/>
      <c r="N4" s="9" t="str">
        <f t="shared" si="15"/>
        <v/>
      </c>
      <c r="O4" s="19">
        <v>510.3</v>
      </c>
      <c r="P4" s="19">
        <v>489.7</v>
      </c>
      <c r="Q4" s="2" t="str">
        <f t="shared" si="2"/>
        <v/>
      </c>
      <c r="R4" s="22">
        <v>7.0999999999999994E-2</v>
      </c>
      <c r="S4" s="11">
        <v>2</v>
      </c>
      <c r="T4" s="12">
        <f t="shared" si="3"/>
        <v>3.5499999999999997E-2</v>
      </c>
      <c r="U4" s="13">
        <v>0</v>
      </c>
      <c r="V4" s="14">
        <f t="shared" si="4"/>
        <v>1.7320508075688772</v>
      </c>
      <c r="W4" s="2">
        <f t="shared" si="5"/>
        <v>0</v>
      </c>
      <c r="X4" s="15">
        <v>0.1</v>
      </c>
      <c r="Y4" s="15">
        <v>3.4641016151377544</v>
      </c>
      <c r="Z4" s="2">
        <f t="shared" si="6"/>
        <v>2.8867513459481291E-2</v>
      </c>
      <c r="AA4" s="17" t="str">
        <f t="shared" si="7"/>
        <v/>
      </c>
      <c r="AB4" s="16">
        <f t="shared" si="8"/>
        <v>1.7320508075688772</v>
      </c>
      <c r="AC4" s="18" t="str">
        <f t="shared" si="9"/>
        <v/>
      </c>
      <c r="AD4" s="2">
        <f t="shared" si="10"/>
        <v>4.5755691813514673E-2</v>
      </c>
      <c r="AE4" s="19" t="str">
        <f t="shared" si="11"/>
        <v/>
      </c>
      <c r="AF4" s="20" t="str">
        <f t="shared" si="12"/>
        <v/>
      </c>
      <c r="AG4" s="18" t="str">
        <f t="shared" si="13"/>
        <v/>
      </c>
      <c r="AH4" s="21">
        <v>8.4000000000000005E-2</v>
      </c>
      <c r="AI4" s="19">
        <f t="shared" si="14"/>
        <v>0</v>
      </c>
    </row>
    <row r="5" spans="1:35" x14ac:dyDescent="0.25">
      <c r="S5" s="11"/>
      <c r="U5" s="13"/>
      <c r="V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</vt:lpstr>
      <vt:lpstr>ACV</vt:lpstr>
      <vt:lpstr>DCV</vt:lpstr>
      <vt:lpstr>ACMilV</vt:lpstr>
      <vt:lpstr>DCMilV</vt:lpstr>
      <vt:lpstr>AutoV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Danica Bea B. Neri</dc:creator>
  <cp:lastModifiedBy>Danica Bea B. Neri</cp:lastModifiedBy>
  <cp:lastPrinted>2025-10-02T07:00:25Z</cp:lastPrinted>
  <dcterms:created xsi:type="dcterms:W3CDTF">2025-09-18T00:52:56Z</dcterms:created>
  <dcterms:modified xsi:type="dcterms:W3CDTF">2025-10-03T01:04:49Z</dcterms:modified>
</cp:coreProperties>
</file>