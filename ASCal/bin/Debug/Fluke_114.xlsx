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bneri\Documents\Visual Studio 2010\Projects\ASCal\ASCal\bin\Debug\"/>
    </mc:Choice>
  </mc:AlternateContent>
  <bookViews>
    <workbookView xWindow="0" yWindow="0" windowWidth="28800" windowHeight="11820" tabRatio="681" activeTab="1"/>
  </bookViews>
  <sheets>
    <sheet name="Cal Certificate" sheetId="5" r:id="rId1"/>
    <sheet name="DataSheet" sheetId="6" r:id="rId2"/>
    <sheet name="Specification" sheetId="7" r:id="rId3"/>
  </sheets>
  <definedNames>
    <definedName name="DRY" localSheetId="0">#REF!</definedName>
    <definedName name="DRY">#REF!</definedName>
    <definedName name="dryx">#REF!</definedName>
    <definedName name="_xlnm.Print_Area" localSheetId="0">'Cal Certificate'!$B$1:$AA$173</definedName>
    <definedName name="_xlnm.Print_Area" localSheetId="1">DataSheet!$B$1:$AZ$118</definedName>
    <definedName name="_xlnm.Print_Titles" localSheetId="0">'Cal Certificate'!$1:$8</definedName>
    <definedName name="_xlnm.Print_Titles" localSheetId="1">DataSheet!$1:$5</definedName>
    <definedName name="WET" localSheetId="0">#REF!</definedName>
    <definedName name="WET" localSheetId="1">#REF!</definedName>
    <definedName name="WE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02" i="6" l="1"/>
  <c r="BB96" i="6"/>
  <c r="BB90" i="6"/>
  <c r="BB52" i="6"/>
  <c r="BB84" i="6"/>
  <c r="V7" i="5" l="1"/>
  <c r="CS104" i="6" l="1"/>
  <c r="CS103" i="6"/>
  <c r="CS102" i="6"/>
  <c r="CS97" i="6"/>
  <c r="CS96" i="6"/>
  <c r="CS91" i="6"/>
  <c r="CS90" i="6"/>
  <c r="CS85" i="6"/>
  <c r="CS84" i="6"/>
  <c r="CS83" i="6"/>
  <c r="CS82" i="6"/>
  <c r="CS81" i="6"/>
  <c r="CS75" i="6"/>
  <c r="CS74" i="6"/>
  <c r="CS73" i="6"/>
  <c r="CS72" i="6"/>
  <c r="CS71" i="6"/>
  <c r="CS70" i="6"/>
  <c r="CS59" i="6"/>
  <c r="CS58" i="6"/>
  <c r="CS57" i="6"/>
  <c r="CS56" i="6"/>
  <c r="CS55" i="6"/>
  <c r="CS54" i="6"/>
  <c r="CS53" i="6"/>
  <c r="CS52" i="6"/>
  <c r="CQ104" i="6"/>
  <c r="CQ103" i="6"/>
  <c r="CQ102" i="6"/>
  <c r="CQ97" i="6"/>
  <c r="CQ96" i="6"/>
  <c r="CQ91" i="6"/>
  <c r="CQ90" i="6"/>
  <c r="CQ85" i="6"/>
  <c r="CQ84" i="6"/>
  <c r="CQ83" i="6"/>
  <c r="CQ82" i="6"/>
  <c r="CQ81" i="6"/>
  <c r="CQ75" i="6"/>
  <c r="CQ74" i="6"/>
  <c r="CQ73" i="6"/>
  <c r="CQ72" i="6"/>
  <c r="CQ71" i="6"/>
  <c r="CQ70" i="6"/>
  <c r="CQ59" i="6"/>
  <c r="CQ58" i="6"/>
  <c r="CQ57" i="6"/>
  <c r="CQ56" i="6"/>
  <c r="CQ55" i="6"/>
  <c r="CQ54" i="6"/>
  <c r="CQ53" i="6"/>
  <c r="CQ52" i="6"/>
  <c r="CM104" i="6"/>
  <c r="CM103" i="6"/>
  <c r="CM102" i="6"/>
  <c r="CM97" i="6"/>
  <c r="CM96" i="6"/>
  <c r="CM91" i="6"/>
  <c r="CM90" i="6"/>
  <c r="CM85" i="6"/>
  <c r="CM84" i="6"/>
  <c r="CM83" i="6"/>
  <c r="CM82" i="6"/>
  <c r="CM81" i="6"/>
  <c r="CM75" i="6"/>
  <c r="CM74" i="6"/>
  <c r="CM73" i="6"/>
  <c r="CM72" i="6"/>
  <c r="CM71" i="6"/>
  <c r="CM70" i="6"/>
  <c r="CM59" i="6"/>
  <c r="CM58" i="6"/>
  <c r="CM57" i="6"/>
  <c r="CM56" i="6"/>
  <c r="CM55" i="6"/>
  <c r="CM54" i="6"/>
  <c r="CM53" i="6"/>
  <c r="CM52" i="6"/>
  <c r="CG104" i="6"/>
  <c r="CH104" i="6" s="1"/>
  <c r="CG103" i="6"/>
  <c r="CH103" i="6" s="1"/>
  <c r="CG102" i="6"/>
  <c r="CH102" i="6" s="1"/>
  <c r="CG97" i="6"/>
  <c r="CH97" i="6" s="1"/>
  <c r="CG96" i="6"/>
  <c r="CH96" i="6" s="1"/>
  <c r="CG91" i="6"/>
  <c r="CH91" i="6" s="1"/>
  <c r="CG90" i="6"/>
  <c r="CH90" i="6" s="1"/>
  <c r="CG85" i="6"/>
  <c r="CH85" i="6" s="1"/>
  <c r="CG84" i="6"/>
  <c r="CH84" i="6" s="1"/>
  <c r="CG83" i="6"/>
  <c r="CH83" i="6" s="1"/>
  <c r="CG82" i="6"/>
  <c r="CH82" i="6" s="1"/>
  <c r="CG81" i="6"/>
  <c r="CH81" i="6" s="1"/>
  <c r="CG75" i="6"/>
  <c r="CH75" i="6" s="1"/>
  <c r="CG74" i="6"/>
  <c r="CH74" i="6" s="1"/>
  <c r="CG73" i="6"/>
  <c r="CH73" i="6" s="1"/>
  <c r="CG72" i="6"/>
  <c r="CH72" i="6" s="1"/>
  <c r="CG71" i="6"/>
  <c r="CH71" i="6" s="1"/>
  <c r="CG70" i="6"/>
  <c r="CH70" i="6" s="1"/>
  <c r="CG59" i="6"/>
  <c r="CH59" i="6" s="1"/>
  <c r="CG58" i="6"/>
  <c r="CH58" i="6" s="1"/>
  <c r="CG57" i="6"/>
  <c r="CH57" i="6" s="1"/>
  <c r="CG56" i="6"/>
  <c r="CH56" i="6" s="1"/>
  <c r="CG55" i="6"/>
  <c r="CH55" i="6" s="1"/>
  <c r="CG54" i="6"/>
  <c r="CH54" i="6" s="1"/>
  <c r="CG53" i="6"/>
  <c r="CH53" i="6" s="1"/>
  <c r="CG52" i="6"/>
  <c r="CH52" i="6" s="1"/>
  <c r="M95" i="5" l="1"/>
  <c r="I80" i="5" l="1"/>
  <c r="I79" i="5"/>
  <c r="E79" i="5"/>
  <c r="E77" i="5"/>
  <c r="E76" i="5"/>
  <c r="M94" i="5"/>
  <c r="Q87" i="5" l="1"/>
  <c r="M87" i="5"/>
  <c r="Q86" i="5"/>
  <c r="M86" i="5"/>
  <c r="I87" i="5" l="1"/>
  <c r="P11" i="5"/>
  <c r="H20" i="5"/>
  <c r="T20" i="5"/>
  <c r="AM81" i="6" l="1"/>
  <c r="BQ81" i="6" s="1"/>
  <c r="AM59" i="6"/>
  <c r="M80" i="5" s="1"/>
  <c r="AM53" i="6"/>
  <c r="BQ53" i="6" l="1"/>
  <c r="M74" i="5"/>
  <c r="BQ59" i="6"/>
  <c r="CZ59" i="6"/>
  <c r="CR59" i="6"/>
  <c r="CL59" i="6"/>
  <c r="CN59" i="6"/>
  <c r="CB59" i="6"/>
  <c r="BZ59" i="6"/>
  <c r="CF59" i="6" s="1"/>
  <c r="BB59" i="6"/>
  <c r="AR59" i="6"/>
  <c r="Q80" i="5" s="1"/>
  <c r="CT59" i="6" l="1"/>
  <c r="CV59" i="6" s="1"/>
  <c r="CW59" i="6" s="1"/>
  <c r="DF59" i="6"/>
  <c r="DC59" i="6"/>
  <c r="I105" i="5"/>
  <c r="I106" i="5"/>
  <c r="I107" i="5"/>
  <c r="I108" i="5"/>
  <c r="V43" i="5" l="1"/>
  <c r="O43" i="5"/>
  <c r="K43" i="5"/>
  <c r="D43" i="5"/>
  <c r="BZ102" i="6"/>
  <c r="CF102" i="6" s="1"/>
  <c r="BZ103" i="6"/>
  <c r="CF103" i="6" s="1"/>
  <c r="BZ104" i="6"/>
  <c r="CF104" i="6" s="1"/>
  <c r="CX59" i="6" l="1"/>
  <c r="B118" i="6"/>
  <c r="E56" i="5"/>
  <c r="CY59" i="6" l="1"/>
  <c r="DE59" i="6" s="1"/>
  <c r="U80" i="5" s="1"/>
  <c r="I142" i="5"/>
  <c r="I143" i="5"/>
  <c r="I141" i="5"/>
  <c r="E137" i="5"/>
  <c r="CZ104" i="6" l="1"/>
  <c r="CR104" i="6"/>
  <c r="CT104" i="6"/>
  <c r="CL104" i="6"/>
  <c r="CB104" i="6"/>
  <c r="BB104" i="6"/>
  <c r="AM104" i="6"/>
  <c r="CZ103" i="6"/>
  <c r="CR103" i="6"/>
  <c r="CL103" i="6"/>
  <c r="CB103" i="6"/>
  <c r="BB103" i="6"/>
  <c r="AM103" i="6"/>
  <c r="CZ102" i="6"/>
  <c r="CR102" i="6"/>
  <c r="CL102" i="6"/>
  <c r="CB102" i="6"/>
  <c r="AM102" i="6"/>
  <c r="BQ103" i="6" l="1"/>
  <c r="M142" i="5"/>
  <c r="BQ102" i="6"/>
  <c r="M141" i="5"/>
  <c r="BQ104" i="6"/>
  <c r="M143" i="5"/>
  <c r="CN102" i="6"/>
  <c r="DC103" i="6"/>
  <c r="DF103" i="6"/>
  <c r="DF102" i="6"/>
  <c r="DC102" i="6"/>
  <c r="DF104" i="6"/>
  <c r="DC104" i="6"/>
  <c r="CN104" i="6"/>
  <c r="CV104" i="6" s="1"/>
  <c r="CW104" i="6" s="1"/>
  <c r="CT102" i="6"/>
  <c r="CV102" i="6" s="1"/>
  <c r="CW102" i="6" s="1"/>
  <c r="CN103" i="6"/>
  <c r="CT103" i="6"/>
  <c r="AR102" i="6"/>
  <c r="Q141" i="5" s="1"/>
  <c r="AR103" i="6"/>
  <c r="Q142" i="5" s="1"/>
  <c r="AR104" i="6"/>
  <c r="Q143" i="5" s="1"/>
  <c r="CV103" i="6" l="1"/>
  <c r="CW103" i="6" s="1"/>
  <c r="CX103" i="6" s="1"/>
  <c r="CY103" i="6" s="1"/>
  <c r="CX102" i="6"/>
  <c r="CY102" i="6" s="1"/>
  <c r="CX104" i="6"/>
  <c r="CY104" i="6" s="1"/>
  <c r="DE104" i="6" l="1"/>
  <c r="U143" i="5" s="1"/>
  <c r="DE102" i="6"/>
  <c r="U141" i="5" s="1"/>
  <c r="DE103" i="6"/>
  <c r="U142" i="5" s="1"/>
  <c r="I86" i="5" l="1"/>
  <c r="M104" i="5"/>
  <c r="O52" i="5" l="1"/>
  <c r="I135" i="5" l="1"/>
  <c r="I128" i="5"/>
  <c r="I127" i="5"/>
  <c r="E106" i="5"/>
  <c r="E107" i="5"/>
  <c r="M96" i="5"/>
  <c r="M97" i="5"/>
  <c r="M98" i="5"/>
  <c r="M93" i="5"/>
  <c r="I94" i="5"/>
  <c r="I95" i="5"/>
  <c r="I96" i="5"/>
  <c r="I97" i="5"/>
  <c r="I98" i="5"/>
  <c r="E95" i="5"/>
  <c r="E97" i="5"/>
  <c r="I74" i="5"/>
  <c r="I75" i="5"/>
  <c r="I76" i="5"/>
  <c r="I77" i="5"/>
  <c r="I78" i="5"/>
  <c r="I73" i="5"/>
  <c r="E75" i="5"/>
  <c r="E78" i="5"/>
  <c r="E73" i="5"/>
  <c r="AK111" i="6" l="1"/>
  <c r="AM54" i="6"/>
  <c r="M75" i="5" s="1"/>
  <c r="CL97" i="6"/>
  <c r="CL96" i="6"/>
  <c r="CL91" i="6"/>
  <c r="CL90" i="6"/>
  <c r="CL82" i="6"/>
  <c r="CL83" i="6"/>
  <c r="CL84" i="6"/>
  <c r="CL85" i="6"/>
  <c r="CL81" i="6"/>
  <c r="CL71" i="6"/>
  <c r="CL72" i="6"/>
  <c r="CL73" i="6"/>
  <c r="CL74" i="6"/>
  <c r="CL75" i="6"/>
  <c r="CL70" i="6"/>
  <c r="CL53" i="6"/>
  <c r="CL54" i="6"/>
  <c r="CL55" i="6"/>
  <c r="CL56" i="6"/>
  <c r="CL57" i="6"/>
  <c r="CL58" i="6"/>
  <c r="CL52" i="6"/>
  <c r="C164" i="5"/>
  <c r="I134" i="5"/>
  <c r="E134" i="5"/>
  <c r="E130" i="5"/>
  <c r="BB91" i="6"/>
  <c r="BB97" i="6"/>
  <c r="E127" i="5"/>
  <c r="E123" i="5"/>
  <c r="I104" i="5"/>
  <c r="E104" i="5"/>
  <c r="BB85" i="6"/>
  <c r="BB83" i="6"/>
  <c r="BB82" i="6"/>
  <c r="BB81" i="6"/>
  <c r="E100" i="5"/>
  <c r="I93" i="5"/>
  <c r="AM97" i="6"/>
  <c r="BQ97" i="6" s="1"/>
  <c r="AM96" i="6"/>
  <c r="BQ96" i="6" s="1"/>
  <c r="AM91" i="6"/>
  <c r="BQ91" i="6" s="1"/>
  <c r="AM90" i="6"/>
  <c r="BQ90" i="6" s="1"/>
  <c r="AM85" i="6"/>
  <c r="AM84" i="6"/>
  <c r="AM83" i="6"/>
  <c r="AM82" i="6"/>
  <c r="AR81" i="6"/>
  <c r="Q104" i="5" s="1"/>
  <c r="AR53" i="6"/>
  <c r="Q74" i="5" s="1"/>
  <c r="AM75" i="6"/>
  <c r="AM74" i="6"/>
  <c r="AM73" i="6"/>
  <c r="AM72" i="6"/>
  <c r="AM71" i="6"/>
  <c r="AM70" i="6"/>
  <c r="BB75" i="6"/>
  <c r="BB74" i="6"/>
  <c r="BB73" i="6"/>
  <c r="BB72" i="6"/>
  <c r="BB71" i="6"/>
  <c r="BB70" i="6"/>
  <c r="E93" i="5"/>
  <c r="E89" i="5"/>
  <c r="E86" i="5"/>
  <c r="E82" i="5"/>
  <c r="BB58" i="6"/>
  <c r="BB57" i="6"/>
  <c r="BB56" i="6"/>
  <c r="BB55" i="6"/>
  <c r="BB54" i="6"/>
  <c r="BB53" i="6"/>
  <c r="E69" i="5"/>
  <c r="AM58" i="6"/>
  <c r="M79" i="5" s="1"/>
  <c r="AM57" i="6"/>
  <c r="AM56" i="6"/>
  <c r="AM55" i="6"/>
  <c r="AM52" i="6"/>
  <c r="M73" i="5" s="1"/>
  <c r="CZ97" i="6"/>
  <c r="CR97" i="6"/>
  <c r="CB97" i="6"/>
  <c r="BZ97" i="6"/>
  <c r="CF97" i="6" s="1"/>
  <c r="CZ96" i="6"/>
  <c r="CR96" i="6"/>
  <c r="CB96" i="6"/>
  <c r="BZ96" i="6"/>
  <c r="CF96" i="6" s="1"/>
  <c r="CZ91" i="6"/>
  <c r="CR91" i="6"/>
  <c r="CB91" i="6"/>
  <c r="BZ91" i="6"/>
  <c r="CF91" i="6" s="1"/>
  <c r="CZ90" i="6"/>
  <c r="CR90" i="6"/>
  <c r="CB90" i="6"/>
  <c r="BZ90" i="6"/>
  <c r="CF90" i="6" s="1"/>
  <c r="CZ85" i="6"/>
  <c r="CR85" i="6"/>
  <c r="CB85" i="6"/>
  <c r="BZ85" i="6"/>
  <c r="CF85" i="6" s="1"/>
  <c r="CZ84" i="6"/>
  <c r="CR84" i="6"/>
  <c r="CB84" i="6"/>
  <c r="BZ84" i="6"/>
  <c r="CF84" i="6" s="1"/>
  <c r="CZ83" i="6"/>
  <c r="CR83" i="6"/>
  <c r="CB83" i="6"/>
  <c r="BZ83" i="6"/>
  <c r="CF83" i="6" s="1"/>
  <c r="CZ82" i="6"/>
  <c r="CR82" i="6"/>
  <c r="CB82" i="6"/>
  <c r="BZ82" i="6"/>
  <c r="CF82" i="6" s="1"/>
  <c r="CZ81" i="6"/>
  <c r="CR81" i="6"/>
  <c r="CB81" i="6"/>
  <c r="BZ81" i="6"/>
  <c r="CF81" i="6" s="1"/>
  <c r="BQ55" i="6" l="1"/>
  <c r="M76" i="5"/>
  <c r="BQ57" i="6"/>
  <c r="M78" i="5"/>
  <c r="BQ56" i="6"/>
  <c r="M77" i="5"/>
  <c r="M106" i="5"/>
  <c r="BQ83" i="6"/>
  <c r="M107" i="5"/>
  <c r="BQ84" i="6"/>
  <c r="M108" i="5"/>
  <c r="BQ85" i="6"/>
  <c r="M105" i="5"/>
  <c r="BQ82" i="6"/>
  <c r="AR71" i="6"/>
  <c r="Q94" i="5" s="1"/>
  <c r="BQ71" i="6"/>
  <c r="AR75" i="6"/>
  <c r="Q98" i="5" s="1"/>
  <c r="BQ75" i="6"/>
  <c r="AR72" i="6"/>
  <c r="Q95" i="5" s="1"/>
  <c r="BQ72" i="6"/>
  <c r="AR73" i="6"/>
  <c r="Q96" i="5" s="1"/>
  <c r="BQ73" i="6"/>
  <c r="AR70" i="6"/>
  <c r="Q93" i="5" s="1"/>
  <c r="BQ70" i="6"/>
  <c r="AR74" i="6"/>
  <c r="Q97" i="5" s="1"/>
  <c r="BQ74" i="6"/>
  <c r="BQ58" i="6"/>
  <c r="AR54" i="6"/>
  <c r="Q75" i="5" s="1"/>
  <c r="BQ54" i="6"/>
  <c r="DF83" i="6"/>
  <c r="DC83" i="6"/>
  <c r="DF82" i="6"/>
  <c r="DC82" i="6"/>
  <c r="DF90" i="6"/>
  <c r="DC90" i="6"/>
  <c r="DC81" i="6"/>
  <c r="DF81" i="6"/>
  <c r="DC85" i="6"/>
  <c r="DF85" i="6"/>
  <c r="DC97" i="6"/>
  <c r="DF97" i="6"/>
  <c r="DF91" i="6"/>
  <c r="DC91" i="6"/>
  <c r="DF84" i="6"/>
  <c r="DC84" i="6"/>
  <c r="DF96" i="6"/>
  <c r="DC96" i="6"/>
  <c r="AR57" i="6"/>
  <c r="Q78" i="5" s="1"/>
  <c r="AR85" i="6"/>
  <c r="Q108" i="5" s="1"/>
  <c r="AR97" i="6"/>
  <c r="Q135" i="5" s="1"/>
  <c r="M135" i="5"/>
  <c r="AR56" i="6"/>
  <c r="Q77" i="5" s="1"/>
  <c r="AR84" i="6"/>
  <c r="Q107" i="5" s="1"/>
  <c r="AR96" i="6"/>
  <c r="Q134" i="5" s="1"/>
  <c r="M134" i="5"/>
  <c r="AR55" i="6"/>
  <c r="Q76" i="5" s="1"/>
  <c r="AR83" i="6"/>
  <c r="Q106" i="5" s="1"/>
  <c r="AR91" i="6"/>
  <c r="Q128" i="5" s="1"/>
  <c r="M128" i="5"/>
  <c r="AR52" i="6"/>
  <c r="Q73" i="5" s="1"/>
  <c r="AR58" i="6"/>
  <c r="Q79" i="5" s="1"/>
  <c r="AR82" i="6"/>
  <c r="Q105" i="5" s="1"/>
  <c r="AR90" i="6"/>
  <c r="Q127" i="5" s="1"/>
  <c r="M127" i="5"/>
  <c r="CN84" i="6"/>
  <c r="CT81" i="6"/>
  <c r="CN85" i="6"/>
  <c r="CN90" i="6"/>
  <c r="CT82" i="6"/>
  <c r="CT83" i="6"/>
  <c r="CT91" i="6"/>
  <c r="CT96" i="6"/>
  <c r="CT97" i="6"/>
  <c r="CT84" i="6"/>
  <c r="CN91" i="6"/>
  <c r="CN96" i="6"/>
  <c r="CN97" i="6"/>
  <c r="CT90" i="6"/>
  <c r="CT85" i="6"/>
  <c r="CV85" i="6" s="1"/>
  <c r="CW85" i="6" s="1"/>
  <c r="CN81" i="6"/>
  <c r="CN82" i="6"/>
  <c r="CN83" i="6"/>
  <c r="CZ75" i="6"/>
  <c r="CR75" i="6"/>
  <c r="CB75" i="6"/>
  <c r="BZ75" i="6"/>
  <c r="CF75" i="6" s="1"/>
  <c r="CZ74" i="6"/>
  <c r="CR74" i="6"/>
  <c r="CB74" i="6"/>
  <c r="BZ74" i="6"/>
  <c r="CF74" i="6" s="1"/>
  <c r="CZ73" i="6"/>
  <c r="CR73" i="6"/>
  <c r="CB73" i="6"/>
  <c r="BZ73" i="6"/>
  <c r="CF73" i="6" s="1"/>
  <c r="CZ72" i="6"/>
  <c r="CR72" i="6"/>
  <c r="CB72" i="6"/>
  <c r="BZ72" i="6"/>
  <c r="CF72" i="6" s="1"/>
  <c r="CZ71" i="6"/>
  <c r="CR71" i="6"/>
  <c r="CB71" i="6"/>
  <c r="BZ71" i="6"/>
  <c r="CF71" i="6" s="1"/>
  <c r="CZ70" i="6"/>
  <c r="CR70" i="6"/>
  <c r="CB70" i="6"/>
  <c r="BZ70" i="6"/>
  <c r="CF70" i="6" s="1"/>
  <c r="CV91" i="6" l="1"/>
  <c r="CW91" i="6" s="1"/>
  <c r="CV90" i="6"/>
  <c r="CW90" i="6" s="1"/>
  <c r="CV84" i="6"/>
  <c r="CW84" i="6" s="1"/>
  <c r="CV83" i="6"/>
  <c r="CW83" i="6" s="1"/>
  <c r="CV81" i="6"/>
  <c r="CW81" i="6" s="1"/>
  <c r="CV96" i="6"/>
  <c r="CW96" i="6" s="1"/>
  <c r="CV97" i="6"/>
  <c r="CW97" i="6" s="1"/>
  <c r="CV82" i="6"/>
  <c r="CW82" i="6" s="1"/>
  <c r="DF70" i="6"/>
  <c r="DC70" i="6"/>
  <c r="DC72" i="6"/>
  <c r="DF72" i="6"/>
  <c r="DF73" i="6"/>
  <c r="DC73" i="6"/>
  <c r="DF75" i="6"/>
  <c r="DC75" i="6"/>
  <c r="DF71" i="6"/>
  <c r="DC71" i="6"/>
  <c r="DC74" i="6"/>
  <c r="DF74" i="6"/>
  <c r="CN70" i="6"/>
  <c r="CN71" i="6"/>
  <c r="CN72" i="6"/>
  <c r="CN74" i="6"/>
  <c r="CN75" i="6"/>
  <c r="CT70" i="6"/>
  <c r="CT71" i="6"/>
  <c r="CT72" i="6"/>
  <c r="CT73" i="6"/>
  <c r="CT74" i="6"/>
  <c r="CT75" i="6"/>
  <c r="CN73" i="6"/>
  <c r="CV74" i="6" l="1"/>
  <c r="CW74" i="6" s="1"/>
  <c r="CV73" i="6"/>
  <c r="CW73" i="6" s="1"/>
  <c r="CV75" i="6"/>
  <c r="CW75" i="6" s="1"/>
  <c r="CV70" i="6"/>
  <c r="CW70" i="6" s="1"/>
  <c r="CV72" i="6"/>
  <c r="CW72" i="6" s="1"/>
  <c r="CV71" i="6"/>
  <c r="CW71" i="6" s="1"/>
  <c r="CX82" i="6"/>
  <c r="CY82" i="6" s="1"/>
  <c r="DE82" i="6" s="1"/>
  <c r="U105" i="5" s="1"/>
  <c r="CX84" i="6"/>
  <c r="CX81" i="6"/>
  <c r="CX96" i="6"/>
  <c r="CY96" i="6" s="1"/>
  <c r="CX90" i="6"/>
  <c r="CY90" i="6" s="1"/>
  <c r="CX97" i="6"/>
  <c r="CY97" i="6" s="1"/>
  <c r="CX85" i="6"/>
  <c r="CY85" i="6" s="1"/>
  <c r="DE85" i="6" s="1"/>
  <c r="CX83" i="6"/>
  <c r="CY83" i="6" s="1"/>
  <c r="DE83" i="6" s="1"/>
  <c r="U106" i="5" s="1"/>
  <c r="DE97" i="6" l="1"/>
  <c r="U135" i="5" s="1"/>
  <c r="DE90" i="6"/>
  <c r="U127" i="5" s="1"/>
  <c r="DE96" i="6"/>
  <c r="U134" i="5" s="1"/>
  <c r="U108" i="5"/>
  <c r="CY81" i="6"/>
  <c r="DE81" i="6" s="1"/>
  <c r="U104" i="5" s="1"/>
  <c r="CY84" i="6"/>
  <c r="DE84" i="6" s="1"/>
  <c r="U107" i="5" s="1"/>
  <c r="CX91" i="6"/>
  <c r="CX71" i="6"/>
  <c r="CX73" i="6"/>
  <c r="CY73" i="6" s="1"/>
  <c r="DE73" i="6" s="1"/>
  <c r="U96" i="5" s="1"/>
  <c r="CX70" i="6"/>
  <c r="CX72" i="6"/>
  <c r="CY72" i="6" s="1"/>
  <c r="DE72" i="6" s="1"/>
  <c r="U95" i="5" s="1"/>
  <c r="CX75" i="6"/>
  <c r="CX74" i="6" l="1"/>
  <c r="CY74" i="6" s="1"/>
  <c r="CY75" i="6"/>
  <c r="DE75" i="6" s="1"/>
  <c r="U98" i="5" s="1"/>
  <c r="CY91" i="6"/>
  <c r="DE91" i="6" s="1"/>
  <c r="U128" i="5" s="1"/>
  <c r="CY70" i="6"/>
  <c r="DE70" i="6" s="1"/>
  <c r="U93" i="5" s="1"/>
  <c r="CY71" i="6"/>
  <c r="DE71" i="6" s="1"/>
  <c r="U94" i="5" s="1"/>
  <c r="CZ53" i="6"/>
  <c r="CZ54" i="6"/>
  <c r="CZ55" i="6"/>
  <c r="CZ56" i="6"/>
  <c r="CZ57" i="6"/>
  <c r="CZ58" i="6"/>
  <c r="CZ52" i="6"/>
  <c r="C111" i="5"/>
  <c r="AI65" i="6"/>
  <c r="U87" i="5" s="1"/>
  <c r="AI64" i="6"/>
  <c r="U86" i="5" s="1"/>
  <c r="DC56" i="6" l="1"/>
  <c r="DF56" i="6"/>
  <c r="DC58" i="6"/>
  <c r="DF58" i="6"/>
  <c r="DC54" i="6"/>
  <c r="DF54" i="6"/>
  <c r="DF57" i="6"/>
  <c r="DC57" i="6"/>
  <c r="DF53" i="6"/>
  <c r="DC53" i="6"/>
  <c r="DE74" i="6"/>
  <c r="U97" i="5" s="1"/>
  <c r="DF52" i="6"/>
  <c r="DC52" i="6"/>
  <c r="DF55" i="6"/>
  <c r="DC55" i="6"/>
  <c r="CN52" i="6" l="1"/>
  <c r="CN53" i="6"/>
  <c r="CN54" i="6"/>
  <c r="CN55" i="6"/>
  <c r="CN56" i="6"/>
  <c r="CN57" i="6"/>
  <c r="CN58" i="6"/>
  <c r="CR53" i="6" l="1"/>
  <c r="CR54" i="6"/>
  <c r="CR55" i="6"/>
  <c r="CR56" i="6"/>
  <c r="CR57" i="6"/>
  <c r="CR58" i="6"/>
  <c r="CR52" i="6"/>
  <c r="BZ53" i="6"/>
  <c r="CF53" i="6" s="1"/>
  <c r="BZ54" i="6"/>
  <c r="CF54" i="6" s="1"/>
  <c r="BZ55" i="6"/>
  <c r="CF55" i="6" s="1"/>
  <c r="BZ56" i="6"/>
  <c r="CF56" i="6" s="1"/>
  <c r="BZ57" i="6"/>
  <c r="CF57" i="6" s="1"/>
  <c r="BZ58" i="6"/>
  <c r="CF58" i="6" s="1"/>
  <c r="BZ52" i="6"/>
  <c r="CF52" i="6" s="1"/>
  <c r="BQ52" i="6"/>
  <c r="CB58" i="6"/>
  <c r="CB57" i="6"/>
  <c r="CB56" i="6"/>
  <c r="CB55" i="6"/>
  <c r="CB54" i="6"/>
  <c r="CB53" i="6"/>
  <c r="CB52" i="6"/>
  <c r="C24" i="5"/>
  <c r="T19" i="5"/>
  <c r="T18" i="5"/>
  <c r="T17" i="5"/>
  <c r="T16" i="5"/>
  <c r="T15" i="5"/>
  <c r="H19" i="5"/>
  <c r="H18" i="5"/>
  <c r="H17" i="5"/>
  <c r="H16" i="5"/>
  <c r="H15" i="5"/>
  <c r="D11" i="5"/>
  <c r="D10" i="5"/>
  <c r="P10" i="5" s="1"/>
  <c r="CT58" i="6" l="1"/>
  <c r="CV58" i="6" s="1"/>
  <c r="CW58" i="6" s="1"/>
  <c r="CT54" i="6"/>
  <c r="CV54" i="6" s="1"/>
  <c r="CW54" i="6" s="1"/>
  <c r="CT52" i="6"/>
  <c r="CV52" i="6" s="1"/>
  <c r="CW52" i="6" s="1"/>
  <c r="CT56" i="6"/>
  <c r="CV56" i="6" s="1"/>
  <c r="CW56" i="6" s="1"/>
  <c r="CT53" i="6"/>
  <c r="CV53" i="6" s="1"/>
  <c r="CW53" i="6" s="1"/>
  <c r="CT55" i="6"/>
  <c r="CV55" i="6" s="1"/>
  <c r="CW55" i="6" s="1"/>
  <c r="CT57" i="6"/>
  <c r="CV57" i="6" s="1"/>
  <c r="CW57" i="6" s="1"/>
  <c r="CX55" i="6" l="1"/>
  <c r="CX53" i="6"/>
  <c r="CX56" i="6"/>
  <c r="CX54" i="6"/>
  <c r="CX58" i="6"/>
  <c r="CX52" i="6"/>
  <c r="CX57" i="6" l="1"/>
  <c r="CY57" i="6" s="1"/>
  <c r="DE57" i="6" s="1"/>
  <c r="U78" i="5" s="1"/>
  <c r="CY58" i="6"/>
  <c r="DE58" i="6" s="1"/>
  <c r="U79" i="5" s="1"/>
  <c r="CY53" i="6"/>
  <c r="CY52" i="6"/>
  <c r="CY55" i="6"/>
  <c r="CY54" i="6"/>
  <c r="CY56" i="6"/>
  <c r="DE54" i="6" l="1"/>
  <c r="U75" i="5" s="1"/>
  <c r="DE55" i="6"/>
  <c r="U76" i="5" s="1"/>
  <c r="DE52" i="6"/>
  <c r="U73" i="5" s="1"/>
  <c r="DE56" i="6"/>
  <c r="U77" i="5" s="1"/>
  <c r="DE53" i="6"/>
  <c r="U74" i="5" s="1"/>
</calcChain>
</file>

<file path=xl/sharedStrings.xml><?xml version="1.0" encoding="utf-8"?>
<sst xmlns="http://schemas.openxmlformats.org/spreadsheetml/2006/main" count="628" uniqueCount="163">
  <si>
    <t>Certificate No.:</t>
  </si>
  <si>
    <t>Customer :</t>
  </si>
  <si>
    <t>Location of Calibration :</t>
  </si>
  <si>
    <t>Manufacturer:</t>
  </si>
  <si>
    <t>Model No:</t>
  </si>
  <si>
    <t>Serial No:</t>
  </si>
  <si>
    <t>Temperature:</t>
  </si>
  <si>
    <t>Description:</t>
  </si>
  <si>
    <t>Options Installed:</t>
  </si>
  <si>
    <t>Customer Asset No:</t>
  </si>
  <si>
    <t>Customer P.O.:</t>
  </si>
  <si>
    <t>Humidity:</t>
  </si>
  <si>
    <t>Cal Method / Procedure :</t>
  </si>
  <si>
    <t>Reference Standard Used:</t>
  </si>
  <si>
    <t>Description</t>
  </si>
  <si>
    <t>Serial No.</t>
  </si>
  <si>
    <t>Due Date</t>
  </si>
  <si>
    <t>Cal Report Ref.</t>
  </si>
  <si>
    <t>Remarks:</t>
  </si>
  <si>
    <t>Issue Date :</t>
  </si>
  <si>
    <t>Manufacturer</t>
  </si>
  <si>
    <t>Model</t>
  </si>
  <si>
    <t>Serial Number</t>
  </si>
  <si>
    <t>Options Installed</t>
  </si>
  <si>
    <t>Received Date</t>
  </si>
  <si>
    <t>Temperature</t>
  </si>
  <si>
    <t>Measurement Results:</t>
  </si>
  <si>
    <t>Source</t>
  </si>
  <si>
    <t>Divisor</t>
  </si>
  <si>
    <t xml:space="preserve">COMBINED STANDARD </t>
  </si>
  <si>
    <t xml:space="preserve">EFFECTIVE DEGREES </t>
  </si>
  <si>
    <t xml:space="preserve">EXPANDED UNCERTAINTY, </t>
  </si>
  <si>
    <t>UNCERTAINTY, Uc</t>
  </si>
  <si>
    <t>OF FREEDOM, Veff</t>
  </si>
  <si>
    <t>t for Veff  and 95 % C.L.</t>
  </si>
  <si>
    <t xml:space="preserve">U @ 95 % C.L. ± </t>
  </si>
  <si>
    <t>COC</t>
  </si>
  <si>
    <t>Ui</t>
  </si>
  <si>
    <t>Repeatability</t>
  </si>
  <si>
    <t>Expanded Uncertainty</t>
  </si>
  <si>
    <t>C. FACTOR,  k = student's</t>
  </si>
  <si>
    <t>CALIBRATION DATASHEET</t>
  </si>
  <si>
    <t>Technical ID:</t>
  </si>
  <si>
    <t>Accessory Used</t>
  </si>
  <si>
    <t>Relative Humidity</t>
  </si>
  <si>
    <t>Start:</t>
  </si>
  <si>
    <t>End:</t>
  </si>
  <si>
    <t>Calibrated By</t>
  </si>
  <si>
    <t>Signature</t>
  </si>
  <si>
    <t>Date</t>
  </si>
  <si>
    <t>Checked By</t>
  </si>
  <si>
    <t xml:space="preserve">Standard </t>
  </si>
  <si>
    <t>Calibration Officer's Name</t>
  </si>
  <si>
    <t>Range</t>
  </si>
  <si>
    <t>2. The user should determine the suitability of this instrument for its intended use.</t>
  </si>
  <si>
    <t>mV</t>
  </si>
  <si>
    <t>V</t>
  </si>
  <si>
    <t>Ω</t>
  </si>
  <si>
    <t>MΩ</t>
  </si>
  <si>
    <t>Readability</t>
  </si>
  <si>
    <t>1 kHz</t>
  </si>
  <si>
    <t>Nominal Value</t>
  </si>
  <si>
    <t>Calibration Officer</t>
  </si>
  <si>
    <t>Error</t>
  </si>
  <si>
    <t>Calibration Certificate</t>
  </si>
  <si>
    <t>Calibration Date:</t>
  </si>
  <si>
    <t>Work Order No.:</t>
  </si>
  <si>
    <t>This is to certify that the above Measuring and Test Equipment has been calibrated by SONJU Engineering Services in accordance with relevant calibration procedure defined for this instrument.</t>
  </si>
  <si>
    <t>Unit Under Calibration</t>
  </si>
  <si>
    <t>:</t>
  </si>
  <si>
    <t>Calibration Date</t>
  </si>
  <si>
    <t>Customer P.O.</t>
  </si>
  <si>
    <t>Asset Number</t>
  </si>
  <si>
    <t>Res/Readability</t>
  </si>
  <si>
    <t>Accuracy</t>
  </si>
  <si>
    <t>Prev. SES Cal Cert:</t>
  </si>
  <si>
    <t>Previous Technician</t>
  </si>
  <si>
    <t>Customer Details</t>
  </si>
  <si>
    <t>Calibration Location</t>
  </si>
  <si>
    <t>Company</t>
  </si>
  <si>
    <t>x</t>
  </si>
  <si>
    <t>In-House (SONJU Laboratory)</t>
  </si>
  <si>
    <t>Address</t>
  </si>
  <si>
    <t>On-Site Calibration (Please Specify)</t>
  </si>
  <si>
    <t>Reference Standard/s Used</t>
  </si>
  <si>
    <t>Environmental Condition</t>
  </si>
  <si>
    <t>Calibration Method</t>
  </si>
  <si>
    <r>
      <rPr>
        <vertAlign val="superscript"/>
        <sz val="9"/>
        <color theme="1"/>
        <rFont val="Arial Narrow"/>
        <family val="2"/>
      </rPr>
      <t>o</t>
    </r>
    <r>
      <rPr>
        <sz val="9"/>
        <color theme="1"/>
        <rFont val="Arial Narrow"/>
        <family val="2"/>
      </rPr>
      <t>C</t>
    </r>
  </si>
  <si>
    <t>Observations</t>
  </si>
  <si>
    <t>Adjustment</t>
  </si>
  <si>
    <t xml:space="preserve"> Needed?</t>
  </si>
  <si>
    <t>YES</t>
  </si>
  <si>
    <t>NO</t>
  </si>
  <si>
    <t>Measurement Results</t>
  </si>
  <si>
    <t>Encoded By</t>
  </si>
  <si>
    <t>Measured Value</t>
  </si>
  <si>
    <t>DC Voltage Test</t>
  </si>
  <si>
    <t>AC Voltage Test</t>
  </si>
  <si>
    <t>Remarks</t>
  </si>
  <si>
    <t>Upper Limit</t>
  </si>
  <si>
    <t>Lower Limit</t>
  </si>
  <si>
    <t>Digital Multimeter</t>
  </si>
  <si>
    <t>600 mV</t>
  </si>
  <si>
    <t>6 V</t>
  </si>
  <si>
    <t>60 V</t>
  </si>
  <si>
    <t>600 V</t>
  </si>
  <si>
    <t>Frequency</t>
  </si>
  <si>
    <t>Average</t>
  </si>
  <si>
    <t>45 Hz</t>
  </si>
  <si>
    <t>Voltage</t>
  </si>
  <si>
    <t>Resistance Test</t>
  </si>
  <si>
    <t>600 Ω</t>
  </si>
  <si>
    <t>Continuity Test</t>
  </si>
  <si>
    <t>Applied Value</t>
  </si>
  <si>
    <t>UUT Response</t>
  </si>
  <si>
    <t>Expected</t>
  </si>
  <si>
    <t>Actual</t>
  </si>
  <si>
    <t>Beep On</t>
  </si>
  <si>
    <t>Beep Off</t>
  </si>
  <si>
    <t>-</t>
  </si>
  <si>
    <t>Fluke</t>
  </si>
  <si>
    <t>3 1/2 digits</t>
  </si>
  <si>
    <t>kΩ</t>
  </si>
  <si>
    <t>6 kΩ</t>
  </si>
  <si>
    <t>60 kΩ</t>
  </si>
  <si>
    <t>600 kΩ</t>
  </si>
  <si>
    <t>6 MΩ</t>
  </si>
  <si>
    <t>AC milli Volt Test</t>
  </si>
  <si>
    <t>DC milli Volt Test</t>
  </si>
  <si>
    <t>Tolerance</t>
  </si>
  <si>
    <t>Beeper On</t>
  </si>
  <si>
    <t>Beeper Off</t>
  </si>
  <si>
    <t>Auto Volt LoZ Test</t>
  </si>
  <si>
    <t>0 Hz</t>
  </si>
  <si>
    <t>500 Hz</t>
  </si>
  <si>
    <t>none</t>
  </si>
  <si>
    <t>Uncertainty :</t>
  </si>
  <si>
    <t xml:space="preserve">Uncertainty       </t>
  </si>
  <si>
    <t>As per Manufacturer's recommended performance tests procedure for Fluke 114 Digital Multimeter Calibration Information, 1st - rev., September 2006.</t>
  </si>
  <si>
    <t xml:space="preserve">1. The results are the average of three (3) readings obtained during the time of calibration and refer only to the particular instrument submitted. Should the instrument be modified or damaged in any way, or develop inconsistent readings, the results may not be valid and the unit will require recalibration.  </t>
  </si>
  <si>
    <r>
      <t xml:space="preserve">3. </t>
    </r>
    <r>
      <rPr>
        <b/>
        <sz val="10.5"/>
        <color theme="1"/>
        <rFont val="Arial Narrow"/>
        <family val="2"/>
      </rPr>
      <t>Preliminary Inspection</t>
    </r>
    <r>
      <rPr>
        <sz val="10.5"/>
        <color theme="1"/>
        <rFont val="Arial Narrow"/>
        <family val="2"/>
      </rPr>
      <t>: Satisfactory.</t>
    </r>
  </si>
  <si>
    <t>40 MΩ</t>
  </si>
  <si>
    <t>%rh</t>
  </si>
  <si>
    <t>Final Declaration of Uncertainty</t>
  </si>
  <si>
    <t>See specification sheet</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</si>
  <si>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</si>
  <si>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r>
      <rPr>
        <b/>
        <sz val="10.5"/>
        <color theme="1"/>
        <rFont val="Arial Narrow"/>
        <family val="2"/>
      </rPr>
      <t>Traceability:</t>
    </r>
    <r>
      <rPr>
        <sz val="10.5"/>
        <color theme="1"/>
        <rFont val="Arial Narrow"/>
        <family val="2"/>
      </rPr>
      <t xml:space="preserve"> </t>
    </r>
  </si>
  <si>
    <t>UUT Indication</t>
  </si>
  <si>
    <t>500 V</t>
  </si>
  <si>
    <t>5. As per customer request the  next calibration due date is on:</t>
  </si>
  <si>
    <t>Annual Drift</t>
  </si>
  <si>
    <t>Uncertainty</t>
  </si>
  <si>
    <t>Minimum Approved CMC</t>
  </si>
  <si>
    <t xml:space="preserve">Unit Under Test </t>
  </si>
  <si>
    <t>Electrical Room</t>
  </si>
  <si>
    <t>Multiproduct Calibrator</t>
  </si>
  <si>
    <t>Jennefer S. Ilas</t>
  </si>
  <si>
    <t>Received Date:</t>
  </si>
  <si>
    <t>4. A positive error is to be subtracted to UUT indication and a negative error added to give true value.</t>
  </si>
  <si>
    <t>Interim Manager (Electrical)</t>
  </si>
  <si>
    <t>24-9973-01ALT Rev.00</t>
  </si>
  <si>
    <t>The instrument was calibrated using reference standard/s traceable to SI Units as maintained by NML-ITDI (Philippines) through SONJU Engineering Services (Philippines).</t>
  </si>
  <si>
    <t>Approved Signatory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</si>
</sst>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0"/>
    <numFmt numFmtId="165" formatCode="[$-409]dd\-mmm\-yy;@"/>
    <numFmt numFmtId="166" formatCode="0.00000"/>
    <numFmt numFmtId="167" formatCode="0.0000000"/>
    <numFmt numFmtId="168" formatCode="0.0E+00"/>
    <numFmt numFmtId="169" formatCode="0.000000"/>
    <numFmt numFmtId="170" formatCode="0.000"/>
    <numFmt numFmtId="171" formatCode="[$]dd\-mmm\-yy;@"/>
    <numFmt numFmtId="172" formatCode="0.0000"/>
    <numFmt numFmtId="173" formatCode="0.00000000"/>
    <numFmt numFmtId="174" formatCode="[$-3409]dd\-mmm\-yy;@"/>
  </numFmts>
  <fonts count="26" x14ac:knownFonts="1">
    <font>
      <sz val="11"/>
      <color theme="1"/>
      <name val="Calibri"/>
      <family val="2"/>
      <scheme val="minor"/>
    </font>
    <font>
      <sz val="10"/>
      <color theme="1"/>
      <name val="Arial"/>
      <family val="2"/>
    </font>
    <font>
      <b/>
      <sz val="20"/>
      <color theme="1"/>
      <name val="Arial"/>
      <family val="2"/>
    </font>
    <font>
      <sz val="10"/>
      <color theme="1"/>
      <name val="Arial Narrow"/>
      <family val="2"/>
    </font>
    <font>
      <sz val="10"/>
      <name val="Arial"/>
      <family val="2"/>
    </font>
    <font>
      <b/>
      <sz val="9"/>
      <name val="Arial Narrow"/>
      <family val="2"/>
    </font>
    <font>
      <sz val="9"/>
      <name val="Arial Narrow"/>
      <family val="2"/>
    </font>
    <font>
      <b/>
      <sz val="14"/>
      <color theme="1"/>
      <name val="Times New Roman"/>
      <family val="1"/>
    </font>
    <font>
      <sz val="9"/>
      <color theme="1"/>
      <name val="Calibri"/>
      <family val="2"/>
    </font>
    <font>
      <sz val="9"/>
      <color theme="1"/>
      <name val="Arial Narrow"/>
      <family val="2"/>
    </font>
    <font>
      <b/>
      <sz val="9"/>
      <color theme="1"/>
      <name val="Arial Narrow"/>
      <family val="2"/>
    </font>
    <font>
      <b/>
      <sz val="10"/>
      <color theme="1"/>
      <name val="Arial Narrow"/>
      <family val="2"/>
    </font>
    <font>
      <vertAlign val="superscript"/>
      <sz val="9"/>
      <color theme="1"/>
      <name val="Arial Narrow"/>
      <family val="2"/>
    </font>
    <font>
      <sz val="9"/>
      <color theme="0" tint="-0.499984740745262"/>
      <name val="Arial Narrow"/>
      <family val="2"/>
    </font>
    <font>
      <sz val="11"/>
      <color theme="1"/>
      <name val="Arial"/>
      <family val="2"/>
    </font>
    <font>
      <sz val="10.5"/>
      <color theme="1"/>
      <name val="Arial Narrow"/>
      <family val="2"/>
    </font>
    <font>
      <b/>
      <sz val="10.5"/>
      <color theme="1"/>
      <name val="Arial Narrow"/>
      <family val="2"/>
    </font>
    <font>
      <b/>
      <sz val="11"/>
      <color theme="1"/>
      <name val="Arial Narrow"/>
      <family val="2"/>
    </font>
    <font>
      <sz val="11"/>
      <name val="Calibri"/>
      <family val="2"/>
      <scheme val="minor"/>
    </font>
    <font>
      <sz val="9"/>
      <name val="Calibri"/>
      <family val="2"/>
    </font>
    <font>
      <sz val="11"/>
      <name val="Arial"/>
      <family val="2"/>
    </font>
    <font>
      <sz val="11"/>
      <color rgb="FF7030A0"/>
      <name val="Arial Narrow"/>
      <family val="2"/>
    </font>
    <font>
      <sz val="9"/>
      <color rgb="FF7030A0"/>
      <name val="Arial Narrow"/>
      <family val="2"/>
    </font>
    <font>
      <b/>
      <sz val="11"/>
      <color rgb="FF7030A0"/>
      <name val="Arial Narrow"/>
      <family val="2"/>
    </font>
    <font>
      <b/>
      <sz val="9"/>
      <color rgb="FF7030A0"/>
      <name val="Arial Narrow"/>
      <family val="2"/>
    </font>
    <font>
      <b/>
      <sz val="10"/>
      <color rgb="FF7030A0"/>
      <name val="Arial Narrow"/>
      <family val="2"/>
    </font>
  </fonts>
  <fills count="6">
    <fill>
      <patternFill patternType="none"/>
    </fill>
    <fill>
      <patternFill patternType="gray125"/>
    </fill>
    <fill>
      <patternFill patternType="solid">
        <fgColor theme="1" tint="0.249977111117893"/>
        <bgColor indexed="64"/>
      </patternFill>
    </fill>
    <fill>
      <patternFill patternType="solid">
        <fgColor theme="3" tint="0.39997558519241921"/>
        <bgColor indexed="64"/>
      </patternFill>
    </fill>
    <fill>
      <patternFill patternType="solid">
        <fgColor theme="0"/>
        <bgColor indexed="64"/>
      </patternFill>
    </fill>
    <fill>
      <patternFill patternType="solid">
        <fgColor theme="0" tint="-0.34998626667073579"/>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dashed">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top style="dashed">
        <color auto="1"/>
      </top>
      <bottom style="dashed">
        <color auto="1"/>
      </bottom>
      <diagonal/>
    </border>
    <border>
      <left/>
      <right/>
      <top style="thin">
        <color indexed="64"/>
      </top>
      <bottom/>
      <diagonal/>
    </border>
    <border>
      <left/>
      <right/>
      <top/>
      <bottom style="thin">
        <color theme="0" tint="-0.499984740745262"/>
      </bottom>
      <diagonal/>
    </border>
    <border>
      <left/>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34998626667073579"/>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thin">
        <color theme="0" tint="-0.34998626667073579"/>
      </left>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thin">
        <color theme="0" tint="-0.499984740745262"/>
      </bottom>
      <diagonal/>
    </border>
    <border>
      <left/>
      <right style="medium">
        <color theme="1"/>
      </right>
      <top/>
      <bottom style="thin">
        <color theme="0" tint="-0.499984740745262"/>
      </bottom>
      <diagonal/>
    </border>
    <border>
      <left/>
      <right style="medium">
        <color theme="1"/>
      </right>
      <top style="thin">
        <color theme="0" tint="-0.499984740745262"/>
      </top>
      <bottom/>
      <diagonal/>
    </border>
    <border>
      <left/>
      <right style="medium">
        <color theme="1"/>
      </right>
      <top/>
      <bottom style="thin">
        <color indexed="64"/>
      </bottom>
      <diagonal/>
    </border>
    <border>
      <left/>
      <right style="medium">
        <color theme="1"/>
      </right>
      <top style="thin">
        <color indexed="64"/>
      </top>
      <bottom/>
      <diagonal/>
    </border>
    <border>
      <left style="medium">
        <color theme="1"/>
      </left>
      <right/>
      <top style="thin">
        <color theme="0" tint="-0.499984740745262"/>
      </top>
      <bottom/>
      <diagonal/>
    </border>
    <border>
      <left style="medium">
        <color theme="1"/>
      </left>
      <right/>
      <top/>
      <bottom style="medium">
        <color theme="1"/>
      </bottom>
      <diagonal/>
    </border>
    <border>
      <left/>
      <right/>
      <top/>
      <bottom style="medium">
        <color theme="1"/>
      </bottom>
      <diagonal/>
    </border>
    <border>
      <left/>
      <right style="thin">
        <color theme="0" tint="-0.499984740745262"/>
      </right>
      <top/>
      <bottom style="medium">
        <color theme="1"/>
      </bottom>
      <diagonal/>
    </border>
    <border>
      <left/>
      <right style="thin">
        <color theme="0" tint="-0.34998626667073579"/>
      </right>
      <top/>
      <bottom style="medium">
        <color theme="1"/>
      </bottom>
      <diagonal/>
    </border>
    <border>
      <left style="thin">
        <color theme="0" tint="-0.34998626667073579"/>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style="dashed">
        <color auto="1"/>
      </right>
      <top/>
      <bottom style="dashed">
        <color auto="1"/>
      </bottom>
      <diagonal/>
    </border>
    <border>
      <left style="dashed">
        <color auto="1"/>
      </left>
      <right/>
      <top style="medium">
        <color auto="1"/>
      </top>
      <bottom/>
      <diagonal/>
    </border>
    <border>
      <left/>
      <right style="dashed">
        <color auto="1"/>
      </right>
      <top style="medium">
        <color auto="1"/>
      </top>
      <bottom/>
      <diagonal/>
    </border>
    <border>
      <left style="dashed">
        <color auto="1"/>
      </left>
      <right/>
      <top/>
      <bottom style="medium">
        <color auto="1"/>
      </bottom>
      <diagonal/>
    </border>
    <border>
      <left/>
      <right style="dashed">
        <color auto="1"/>
      </right>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bottom style="medium">
        <color auto="1"/>
      </bottom>
      <diagonal/>
    </border>
    <border>
      <left style="medium">
        <color auto="1"/>
      </left>
      <right/>
      <top style="medium">
        <color auto="1"/>
      </top>
      <bottom style="dashed">
        <color auto="1"/>
      </bottom>
      <diagonal/>
    </border>
    <border>
      <left/>
      <right style="medium">
        <color auto="1"/>
      </right>
      <top style="medium">
        <color auto="1"/>
      </top>
      <bottom style="dashed">
        <color auto="1"/>
      </bottom>
      <diagonal/>
    </border>
    <border>
      <left style="medium">
        <color auto="1"/>
      </left>
      <right/>
      <top style="dashed">
        <color auto="1"/>
      </top>
      <bottom style="dashed">
        <color auto="1"/>
      </bottom>
      <diagonal/>
    </border>
    <border>
      <left/>
      <right style="medium">
        <color auto="1"/>
      </right>
      <top style="dashed">
        <color auto="1"/>
      </top>
      <bottom style="dashed">
        <color auto="1"/>
      </bottom>
      <diagonal/>
    </border>
    <border>
      <left style="medium">
        <color auto="1"/>
      </left>
      <right/>
      <top style="dashed">
        <color auto="1"/>
      </top>
      <bottom style="medium">
        <color auto="1"/>
      </bottom>
      <diagonal/>
    </border>
    <border>
      <left/>
      <right style="medium">
        <color auto="1"/>
      </right>
      <top style="dashed">
        <color auto="1"/>
      </top>
      <bottom style="medium">
        <color auto="1"/>
      </bottom>
      <diagonal/>
    </border>
    <border>
      <left style="medium">
        <color auto="1"/>
      </left>
      <right style="medium">
        <color auto="1"/>
      </right>
      <top style="medium">
        <color auto="1"/>
      </top>
      <bottom/>
      <diagonal/>
    </border>
    <border>
      <left/>
      <right style="medium">
        <color auto="1"/>
      </right>
      <top/>
      <bottom style="dashed">
        <color auto="1"/>
      </bottom>
      <diagonal/>
    </border>
    <border>
      <left style="medium">
        <color auto="1"/>
      </left>
      <right/>
      <top/>
      <bottom style="dashed">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indexed="64"/>
      </left>
      <right/>
      <top style="thin">
        <color theme="0" tint="-0.499984740745262"/>
      </top>
      <bottom style="thin">
        <color theme="0" tint="-0.499984740745262"/>
      </bottom>
      <diagonal/>
    </border>
    <border>
      <left/>
      <right style="medium">
        <color auto="1"/>
      </right>
      <top style="thin">
        <color theme="0" tint="-0.499984740745262"/>
      </top>
      <bottom/>
      <diagonal/>
    </border>
  </borders>
  <cellStyleXfs count="3">
    <xf numFmtId="0" fontId="0" fillId="0" borderId="0"/>
    <xf numFmtId="0" fontId="4" fillId="0" borderId="0"/>
    <xf numFmtId="0" fontId="4" fillId="0" borderId="0"/>
  </cellStyleXfs>
  <cellXfs count="368">
    <xf numFmtId="0" fontId="0" fillId="0" borderId="0" xfId="0"/>
    <xf numFmtId="0" fontId="1" fillId="0" borderId="0" xfId="0" applyFont="1"/>
    <xf numFmtId="0" fontId="1" fillId="2" borderId="0" xfId="0" applyFont="1" applyFill="1"/>
    <xf numFmtId="0" fontId="8" fillId="3" borderId="0" xfId="0" applyFont="1" applyFill="1"/>
    <xf numFmtId="0" fontId="8" fillId="0" borderId="0" xfId="0" applyFont="1"/>
    <xf numFmtId="0" fontId="6" fillId="0" borderId="0" xfId="0" applyFont="1"/>
    <xf numFmtId="0" fontId="6" fillId="0" borderId="0" xfId="1" applyFont="1"/>
    <xf numFmtId="1" fontId="6" fillId="0" borderId="4" xfId="1" applyNumberFormat="1" applyFont="1" applyBorder="1" applyAlignment="1">
      <alignment horizontal="center" vertical="center"/>
    </xf>
    <xf numFmtId="166" fontId="6" fillId="0" borderId="4" xfId="1" applyNumberFormat="1" applyFont="1" applyBorder="1" applyAlignment="1">
      <alignment horizontal="center" vertical="center"/>
    </xf>
    <xf numFmtId="0" fontId="6" fillId="0" borderId="0" xfId="1" applyFont="1" applyAlignment="1">
      <alignment vertical="center"/>
    </xf>
    <xf numFmtId="164" fontId="6" fillId="0" borderId="4" xfId="1" applyNumberFormat="1" applyFont="1" applyBorder="1" applyAlignment="1">
      <alignment horizontal="center" vertical="center"/>
    </xf>
    <xf numFmtId="0" fontId="5" fillId="0" borderId="0" xfId="0" applyFont="1" applyAlignment="1">
      <alignment horizontal="center" vertical="center"/>
    </xf>
    <xf numFmtId="0" fontId="5" fillId="0" borderId="0" xfId="1" applyFont="1" applyAlignment="1">
      <alignment horizontal="center" vertical="center"/>
    </xf>
    <xf numFmtId="168" fontId="6" fillId="0" borderId="0" xfId="1" applyNumberFormat="1" applyFont="1" applyAlignment="1">
      <alignment horizontal="center" vertical="center"/>
    </xf>
    <xf numFmtId="0" fontId="6" fillId="0" borderId="0" xfId="1" applyFont="1" applyAlignment="1">
      <alignment horizontal="center" vertical="center"/>
    </xf>
    <xf numFmtId="1" fontId="6" fillId="0" borderId="0" xfId="1" applyNumberFormat="1" applyFont="1" applyAlignment="1">
      <alignment horizontal="center" vertical="center"/>
    </xf>
    <xf numFmtId="169" fontId="6" fillId="0" borderId="0" xfId="1" applyNumberFormat="1" applyFont="1" applyAlignment="1">
      <alignment horizontal="center" vertical="center"/>
    </xf>
    <xf numFmtId="170" fontId="6" fillId="0" borderId="0" xfId="1" applyNumberFormat="1" applyFont="1" applyAlignment="1">
      <alignment horizontal="center" vertical="center"/>
    </xf>
    <xf numFmtId="166" fontId="6" fillId="0" borderId="0" xfId="1" applyNumberFormat="1" applyFont="1" applyAlignment="1">
      <alignment horizontal="center" vertical="center"/>
    </xf>
    <xf numFmtId="164" fontId="6" fillId="0" borderId="0" xfId="1" applyNumberFormat="1" applyFont="1" applyAlignment="1">
      <alignment horizontal="center" vertical="center"/>
    </xf>
    <xf numFmtId="2" fontId="6" fillId="0" borderId="0" xfId="1" applyNumberFormat="1" applyFont="1" applyAlignment="1">
      <alignment horizontal="right" vertical="center"/>
    </xf>
    <xf numFmtId="1" fontId="6" fillId="0" borderId="0" xfId="1" applyNumberFormat="1" applyFont="1" applyAlignment="1">
      <alignment horizontal="left" vertical="center"/>
    </xf>
    <xf numFmtId="170" fontId="6" fillId="0" borderId="0" xfId="1" applyNumberFormat="1" applyFont="1" applyAlignment="1">
      <alignment horizontal="right" vertical="center"/>
    </xf>
    <xf numFmtId="0" fontId="15" fillId="0" borderId="0" xfId="0" applyFont="1"/>
    <xf numFmtId="0" fontId="16" fillId="0" borderId="0" xfId="0" applyFont="1"/>
    <xf numFmtId="0" fontId="16" fillId="0" borderId="0" xfId="0" applyFont="1" applyAlignment="1">
      <alignment vertical="center"/>
    </xf>
    <xf numFmtId="0" fontId="15" fillId="0" borderId="0" xfId="0" applyFont="1" applyAlignment="1">
      <alignment vertical="top" wrapText="1"/>
    </xf>
    <xf numFmtId="0" fontId="15" fillId="0" borderId="0" xfId="0" applyFont="1" applyAlignment="1">
      <alignment vertical="center"/>
    </xf>
    <xf numFmtId="0" fontId="16" fillId="0" borderId="0" xfId="0" applyFont="1" applyAlignment="1">
      <alignment horizontal="center" vertical="center" wrapText="1"/>
    </xf>
    <xf numFmtId="0" fontId="16" fillId="0" borderId="0" xfId="0" applyFont="1" applyAlignment="1">
      <alignment vertical="center" wrapText="1"/>
    </xf>
    <xf numFmtId="0" fontId="16" fillId="0" borderId="0" xfId="0" applyFont="1" applyAlignment="1">
      <alignment horizontal="left" vertical="center"/>
    </xf>
    <xf numFmtId="0" fontId="15" fillId="0" borderId="0" xfId="0" applyFont="1" applyAlignment="1">
      <alignment vertical="center" wrapText="1"/>
    </xf>
    <xf numFmtId="0" fontId="15" fillId="0" borderId="0" xfId="0" applyFont="1" applyAlignment="1">
      <alignment horizontal="left" vertical="top" wrapText="1"/>
    </xf>
    <xf numFmtId="0" fontId="15" fillId="0" borderId="0" xfId="0" applyFont="1" applyAlignment="1">
      <alignment horizontal="center" vertical="center"/>
    </xf>
    <xf numFmtId="165" fontId="15" fillId="0" borderId="0" xfId="0" applyNumberFormat="1" applyFont="1" applyAlignment="1">
      <alignment horizontal="left" vertical="top"/>
    </xf>
    <xf numFmtId="0" fontId="15" fillId="2" borderId="0" xfId="0" applyFont="1" applyFill="1"/>
    <xf numFmtId="0" fontId="15" fillId="2" borderId="0" xfId="0" applyFont="1" applyFill="1" applyAlignment="1">
      <alignment vertical="center"/>
    </xf>
    <xf numFmtId="165" fontId="15" fillId="0" borderId="0" xfId="0" applyNumberFormat="1" applyFont="1" applyAlignment="1">
      <alignment vertical="center"/>
    </xf>
    <xf numFmtId="0" fontId="15" fillId="0" borderId="0" xfId="0" applyFont="1" applyAlignment="1">
      <alignment horizontal="center" vertical="center" wrapText="1"/>
    </xf>
    <xf numFmtId="0" fontId="7" fillId="4" borderId="36" xfId="0" applyFont="1" applyFill="1" applyBorder="1"/>
    <xf numFmtId="0" fontId="9" fillId="4" borderId="10" xfId="0" applyFont="1" applyFill="1" applyBorder="1"/>
    <xf numFmtId="0" fontId="9" fillId="4" borderId="36" xfId="0" applyFont="1" applyFill="1" applyBorder="1"/>
    <xf numFmtId="0" fontId="9" fillId="4" borderId="0" xfId="0" applyFont="1" applyFill="1" applyAlignment="1">
      <alignment horizontal="right"/>
    </xf>
    <xf numFmtId="0" fontId="9" fillId="4" borderId="0" xfId="0" applyFont="1" applyFill="1"/>
    <xf numFmtId="0" fontId="9" fillId="4" borderId="2" xfId="0" applyFont="1" applyFill="1" applyBorder="1" applyAlignment="1">
      <alignment horizontal="right"/>
    </xf>
    <xf numFmtId="0" fontId="9" fillId="4" borderId="2" xfId="0" applyFont="1" applyFill="1" applyBorder="1"/>
    <xf numFmtId="0" fontId="9" fillId="4" borderId="43" xfId="0" applyFont="1" applyFill="1" applyBorder="1" applyAlignment="1">
      <alignment horizontal="left"/>
    </xf>
    <xf numFmtId="0" fontId="9" fillId="4" borderId="3" xfId="0" applyFont="1" applyFill="1" applyBorder="1"/>
    <xf numFmtId="0" fontId="19" fillId="0" borderId="0" xfId="0" applyFont="1"/>
    <xf numFmtId="0" fontId="22" fillId="0" borderId="0" xfId="0" applyFont="1"/>
    <xf numFmtId="0" fontId="24" fillId="0" borderId="0" xfId="0" applyFont="1"/>
    <xf numFmtId="0" fontId="6" fillId="0" borderId="57" xfId="1" applyFont="1" applyBorder="1" applyAlignment="1">
      <alignment horizontal="center" vertical="center"/>
    </xf>
    <xf numFmtId="0" fontId="6" fillId="0" borderId="58" xfId="1" applyFont="1" applyBorder="1" applyAlignment="1">
      <alignment horizontal="center" vertical="center"/>
    </xf>
    <xf numFmtId="1" fontId="6" fillId="0" borderId="59" xfId="1" applyNumberFormat="1" applyFont="1" applyBorder="1" applyAlignment="1">
      <alignment horizontal="center" vertical="center"/>
    </xf>
    <xf numFmtId="0" fontId="6" fillId="0" borderId="64" xfId="1" applyFont="1" applyBorder="1" applyAlignment="1">
      <alignment horizontal="center" vertical="center"/>
    </xf>
    <xf numFmtId="1" fontId="6" fillId="0" borderId="53" xfId="1" applyNumberFormat="1" applyFont="1" applyBorder="1" applyAlignment="1">
      <alignment horizontal="center" vertical="center"/>
    </xf>
    <xf numFmtId="170" fontId="6" fillId="0" borderId="26" xfId="1" applyNumberFormat="1" applyFont="1" applyBorder="1" applyAlignment="1">
      <alignment horizontal="center" vertical="center"/>
    </xf>
    <xf numFmtId="170" fontId="6" fillId="0" borderId="5" xfId="1" applyNumberFormat="1" applyFont="1" applyBorder="1" applyAlignment="1">
      <alignment horizontal="center" vertical="center"/>
    </xf>
    <xf numFmtId="170" fontId="6" fillId="0" borderId="70" xfId="1" applyNumberFormat="1" applyFont="1" applyBorder="1" applyAlignment="1">
      <alignment horizontal="center" vertical="center"/>
    </xf>
    <xf numFmtId="168" fontId="6" fillId="0" borderId="73" xfId="1" applyNumberFormat="1" applyFont="1" applyBorder="1" applyAlignment="1">
      <alignment horizontal="center" vertical="center"/>
    </xf>
    <xf numFmtId="168" fontId="6" fillId="0" borderId="74" xfId="1" applyNumberFormat="1" applyFont="1" applyBorder="1" applyAlignment="1">
      <alignment horizontal="center" vertical="center"/>
    </xf>
    <xf numFmtId="168" fontId="6" fillId="0" borderId="72" xfId="1" applyNumberFormat="1" applyFont="1" applyBorder="1" applyAlignment="1">
      <alignment horizontal="center" vertical="center"/>
    </xf>
    <xf numFmtId="168" fontId="6" fillId="0" borderId="71" xfId="1" applyNumberFormat="1" applyFont="1" applyBorder="1" applyAlignment="1">
      <alignment horizontal="center" vertical="center"/>
    </xf>
    <xf numFmtId="0" fontId="6" fillId="0" borderId="54" xfId="1" applyFont="1" applyBorder="1" applyAlignment="1">
      <alignment horizontal="center" vertical="center"/>
    </xf>
    <xf numFmtId="166" fontId="6" fillId="0" borderId="55" xfId="1" applyNumberFormat="1" applyFont="1" applyBorder="1" applyAlignment="1">
      <alignment horizontal="center" vertical="center"/>
    </xf>
    <xf numFmtId="1" fontId="6" fillId="0" borderId="55" xfId="1" applyNumberFormat="1" applyFont="1" applyBorder="1" applyAlignment="1">
      <alignment horizontal="center" vertical="center"/>
    </xf>
    <xf numFmtId="166" fontId="6" fillId="0" borderId="59" xfId="1" applyNumberFormat="1" applyFont="1" applyBorder="1" applyAlignment="1">
      <alignment horizontal="center" vertical="center"/>
    </xf>
    <xf numFmtId="170" fontId="6" fillId="0" borderId="69" xfId="1" applyNumberFormat="1" applyFont="1" applyBorder="1" applyAlignment="1">
      <alignment horizontal="center" vertical="center"/>
    </xf>
    <xf numFmtId="166" fontId="6" fillId="0" borderId="71" xfId="1" applyNumberFormat="1" applyFont="1" applyBorder="1" applyAlignment="1">
      <alignment horizontal="center" vertical="center"/>
    </xf>
    <xf numFmtId="166" fontId="6" fillId="0" borderId="74" xfId="1" applyNumberFormat="1" applyFont="1" applyBorder="1" applyAlignment="1">
      <alignment horizontal="center" vertical="center"/>
    </xf>
    <xf numFmtId="166" fontId="6" fillId="0" borderId="72" xfId="1" applyNumberFormat="1" applyFont="1" applyBorder="1" applyAlignment="1">
      <alignment horizontal="center" vertical="center"/>
    </xf>
    <xf numFmtId="166" fontId="6" fillId="0" borderId="75" xfId="1" applyNumberFormat="1" applyFont="1" applyBorder="1" applyAlignment="1">
      <alignment horizontal="center" vertical="center"/>
    </xf>
    <xf numFmtId="166" fontId="6" fillId="0" borderId="82" xfId="1" applyNumberFormat="1" applyFont="1" applyBorder="1" applyAlignment="1">
      <alignment horizontal="center" vertical="center"/>
    </xf>
    <xf numFmtId="168" fontId="6" fillId="0" borderId="57" xfId="1" applyNumberFormat="1" applyFont="1" applyBorder="1" applyAlignment="1">
      <alignment horizontal="center" vertical="center"/>
    </xf>
    <xf numFmtId="1" fontId="6" fillId="0" borderId="79" xfId="1" applyNumberFormat="1" applyFont="1" applyBorder="1" applyAlignment="1">
      <alignment horizontal="left" vertical="center"/>
    </xf>
    <xf numFmtId="168" fontId="6" fillId="0" borderId="58" xfId="1" applyNumberFormat="1" applyFont="1" applyBorder="1" applyAlignment="1">
      <alignment horizontal="center" vertical="center"/>
    </xf>
    <xf numFmtId="164" fontId="6" fillId="0" borderId="59" xfId="1" applyNumberFormat="1" applyFont="1" applyBorder="1" applyAlignment="1">
      <alignment horizontal="center" vertical="center"/>
    </xf>
    <xf numFmtId="1" fontId="6" fillId="0" borderId="81" xfId="1" applyNumberFormat="1" applyFont="1" applyBorder="1" applyAlignment="1">
      <alignment horizontal="left" vertical="center"/>
    </xf>
    <xf numFmtId="168" fontId="6" fillId="0" borderId="64" xfId="1" applyNumberFormat="1" applyFont="1" applyBorder="1" applyAlignment="1">
      <alignment horizontal="center" vertical="center"/>
    </xf>
    <xf numFmtId="164" fontId="6" fillId="0" borderId="53" xfId="1" applyNumberFormat="1" applyFont="1" applyBorder="1" applyAlignment="1">
      <alignment horizontal="center" vertical="center"/>
    </xf>
    <xf numFmtId="1" fontId="6" fillId="0" borderId="83" xfId="1" applyNumberFormat="1" applyFont="1" applyBorder="1" applyAlignment="1">
      <alignment horizontal="left" vertical="center"/>
    </xf>
    <xf numFmtId="167" fontId="5" fillId="0" borderId="55" xfId="1" applyNumberFormat="1" applyFont="1" applyBorder="1" applyAlignment="1">
      <alignment horizontal="center" vertical="center"/>
    </xf>
    <xf numFmtId="167" fontId="5" fillId="0" borderId="59" xfId="1" applyNumberFormat="1" applyFont="1" applyBorder="1" applyAlignment="1">
      <alignment horizontal="center" vertical="center"/>
    </xf>
    <xf numFmtId="164" fontId="6" fillId="0" borderId="26" xfId="1" applyNumberFormat="1" applyFont="1" applyBorder="1" applyAlignment="1">
      <alignment horizontal="center" vertical="center"/>
    </xf>
    <xf numFmtId="164" fontId="6" fillId="0" borderId="5" xfId="1" applyNumberFormat="1" applyFont="1" applyBorder="1" applyAlignment="1">
      <alignment horizontal="center" vertical="center"/>
    </xf>
    <xf numFmtId="164" fontId="6" fillId="0" borderId="70" xfId="1" applyNumberFormat="1" applyFont="1" applyBorder="1" applyAlignment="1">
      <alignment horizontal="center" vertical="center"/>
    </xf>
    <xf numFmtId="172" fontId="6" fillId="0" borderId="84" xfId="1" applyNumberFormat="1" applyFont="1" applyBorder="1" applyAlignment="1">
      <alignment horizontal="right" vertical="center"/>
    </xf>
    <xf numFmtId="172" fontId="6" fillId="0" borderId="78" xfId="1" applyNumberFormat="1" applyFont="1" applyBorder="1" applyAlignment="1">
      <alignment horizontal="right" vertical="center"/>
    </xf>
    <xf numFmtId="170" fontId="6" fillId="0" borderId="78" xfId="1" applyNumberFormat="1" applyFont="1" applyBorder="1" applyAlignment="1">
      <alignment horizontal="right" vertical="center"/>
    </xf>
    <xf numFmtId="172" fontId="6" fillId="0" borderId="80" xfId="1" applyNumberFormat="1" applyFont="1" applyBorder="1" applyAlignment="1">
      <alignment horizontal="right" vertical="center"/>
    </xf>
    <xf numFmtId="166" fontId="6" fillId="0" borderId="84" xfId="1" applyNumberFormat="1" applyFont="1" applyBorder="1" applyAlignment="1">
      <alignment horizontal="right" vertical="center"/>
    </xf>
    <xf numFmtId="166" fontId="6" fillId="0" borderId="78" xfId="1" applyNumberFormat="1" applyFont="1" applyBorder="1" applyAlignment="1">
      <alignment horizontal="right" vertical="center"/>
    </xf>
    <xf numFmtId="170" fontId="6" fillId="0" borderId="84" xfId="1" applyNumberFormat="1" applyFont="1" applyBorder="1" applyAlignment="1">
      <alignment horizontal="right" vertical="center"/>
    </xf>
    <xf numFmtId="170" fontId="6" fillId="0" borderId="80" xfId="1" applyNumberFormat="1" applyFont="1" applyBorder="1" applyAlignment="1">
      <alignment horizontal="right" vertical="center"/>
    </xf>
    <xf numFmtId="169" fontId="6" fillId="0" borderId="84" xfId="1" applyNumberFormat="1" applyFont="1" applyBorder="1" applyAlignment="1">
      <alignment horizontal="right" vertical="center"/>
    </xf>
    <xf numFmtId="169" fontId="6" fillId="0" borderId="78" xfId="1" applyNumberFormat="1" applyFont="1" applyBorder="1" applyAlignment="1">
      <alignment horizontal="right" vertical="center"/>
    </xf>
    <xf numFmtId="169" fontId="6" fillId="0" borderId="80" xfId="1" applyNumberFormat="1" applyFont="1" applyBorder="1" applyAlignment="1">
      <alignment horizontal="right" vertical="center"/>
    </xf>
    <xf numFmtId="1" fontId="17" fillId="0" borderId="87" xfId="0" applyNumberFormat="1" applyFont="1" applyBorder="1" applyAlignment="1">
      <alignment vertical="center"/>
    </xf>
    <xf numFmtId="0" fontId="0" fillId="3" borderId="0" xfId="0" applyFill="1"/>
    <xf numFmtId="0" fontId="0" fillId="4" borderId="33" xfId="0" applyFill="1" applyBorder="1"/>
    <xf numFmtId="0" fontId="0" fillId="4" borderId="34" xfId="0" applyFill="1" applyBorder="1"/>
    <xf numFmtId="0" fontId="0" fillId="4" borderId="35" xfId="0" applyFill="1" applyBorder="1"/>
    <xf numFmtId="0" fontId="18" fillId="0" borderId="0" xfId="0" applyFont="1"/>
    <xf numFmtId="0" fontId="21" fillId="0" borderId="0" xfId="0" applyFont="1"/>
    <xf numFmtId="0" fontId="23" fillId="0" borderId="0" xfId="0" applyFont="1"/>
    <xf numFmtId="0" fontId="0" fillId="4" borderId="36" xfId="0" applyFill="1" applyBorder="1"/>
    <xf numFmtId="0" fontId="0" fillId="4" borderId="0" xfId="0" applyFill="1"/>
    <xf numFmtId="0" fontId="0" fillId="4" borderId="37" xfId="0" applyFill="1" applyBorder="1"/>
    <xf numFmtId="0" fontId="0" fillId="4" borderId="38" xfId="0" applyFill="1" applyBorder="1"/>
    <xf numFmtId="0" fontId="0" fillId="4" borderId="9" xfId="0" applyFill="1" applyBorder="1"/>
    <xf numFmtId="0" fontId="0" fillId="4" borderId="39" xfId="0" applyFill="1" applyBorder="1"/>
    <xf numFmtId="0" fontId="9" fillId="4" borderId="0" xfId="0" applyFont="1" applyFill="1" applyAlignment="1">
      <alignment vertical="center"/>
    </xf>
    <xf numFmtId="0" fontId="9" fillId="4" borderId="10" xfId="0" quotePrefix="1" applyFont="1" applyFill="1" applyBorder="1" applyAlignment="1">
      <alignment vertical="center"/>
    </xf>
    <xf numFmtId="0" fontId="9" fillId="4" borderId="10" xfId="0" applyFont="1" applyFill="1" applyBorder="1" applyAlignment="1">
      <alignment vertical="center"/>
    </xf>
    <xf numFmtId="0" fontId="9" fillId="4" borderId="37" xfId="0" applyFont="1" applyFill="1" applyBorder="1"/>
    <xf numFmtId="0" fontId="9" fillId="3" borderId="0" xfId="0" applyFont="1" applyFill="1"/>
    <xf numFmtId="0" fontId="9" fillId="4" borderId="11" xfId="0" applyFont="1" applyFill="1" applyBorder="1"/>
    <xf numFmtId="0" fontId="9" fillId="4" borderId="12" xfId="0" applyFont="1" applyFill="1" applyBorder="1"/>
    <xf numFmtId="0" fontId="8" fillId="4" borderId="0" xfId="0" applyFont="1" applyFill="1"/>
    <xf numFmtId="0" fontId="10" fillId="5" borderId="50" xfId="0" applyFont="1" applyFill="1" applyBorder="1"/>
    <xf numFmtId="0" fontId="10" fillId="5" borderId="51" xfId="0" applyFont="1" applyFill="1" applyBorder="1"/>
    <xf numFmtId="0" fontId="10" fillId="5" borderId="52" xfId="0" applyFont="1" applyFill="1" applyBorder="1"/>
    <xf numFmtId="0" fontId="9" fillId="4" borderId="0" xfId="0" applyFont="1" applyFill="1" applyAlignment="1">
      <alignment vertical="top"/>
    </xf>
    <xf numFmtId="0" fontId="9" fillId="4" borderId="9" xfId="0" applyFont="1" applyFill="1" applyBorder="1"/>
    <xf numFmtId="0" fontId="10" fillId="4" borderId="0" xfId="0" applyFont="1" applyFill="1"/>
    <xf numFmtId="0" fontId="8" fillId="4" borderId="36" xfId="0" applyFont="1" applyFill="1" applyBorder="1" applyAlignment="1">
      <alignment vertical="center"/>
    </xf>
    <xf numFmtId="0" fontId="8" fillId="4" borderId="0" xfId="0" applyFont="1" applyFill="1" applyAlignment="1">
      <alignment vertical="center"/>
    </xf>
    <xf numFmtId="0" fontId="8" fillId="4" borderId="37" xfId="0" applyFont="1" applyFill="1" applyBorder="1" applyAlignment="1">
      <alignment vertical="center"/>
    </xf>
    <xf numFmtId="0" fontId="11" fillId="4" borderId="0" xfId="0" applyFont="1" applyFill="1" applyAlignment="1">
      <alignment vertical="center"/>
    </xf>
    <xf numFmtId="0" fontId="22" fillId="0" borderId="0" xfId="0" applyFont="1" applyAlignment="1">
      <alignment horizontal="center" vertical="center"/>
    </xf>
    <xf numFmtId="166" fontId="6" fillId="0" borderId="53" xfId="1" applyNumberFormat="1" applyFont="1" applyBorder="1" applyAlignment="1">
      <alignment horizontal="center" vertical="center"/>
    </xf>
    <xf numFmtId="0" fontId="6" fillId="0" borderId="26" xfId="1" applyFont="1" applyBorder="1" applyAlignment="1">
      <alignment horizontal="center" vertical="center"/>
    </xf>
    <xf numFmtId="170" fontId="6" fillId="0" borderId="53" xfId="1" applyNumberFormat="1" applyFont="1" applyBorder="1" applyAlignment="1">
      <alignment horizontal="center" vertical="center"/>
    </xf>
    <xf numFmtId="0" fontId="6" fillId="0" borderId="4" xfId="1" applyFont="1" applyBorder="1" applyAlignment="1">
      <alignment horizontal="center" vertical="center"/>
    </xf>
    <xf numFmtId="0" fontId="22" fillId="0" borderId="78" xfId="0" applyFont="1" applyBorder="1"/>
    <xf numFmtId="1" fontId="22" fillId="0" borderId="79" xfId="0" applyNumberFormat="1" applyFont="1" applyBorder="1"/>
    <xf numFmtId="1" fontId="22" fillId="0" borderId="0" xfId="0" applyNumberFormat="1" applyFont="1"/>
    <xf numFmtId="172" fontId="24" fillId="0" borderId="76" xfId="0" applyNumberFormat="1" applyFont="1" applyBorder="1"/>
    <xf numFmtId="1" fontId="24" fillId="0" borderId="77" xfId="0" applyNumberFormat="1" applyFont="1" applyBorder="1"/>
    <xf numFmtId="170" fontId="6" fillId="0" borderId="4" xfId="1" applyNumberFormat="1" applyFont="1" applyBorder="1" applyAlignment="1">
      <alignment horizontal="center" vertical="center"/>
    </xf>
    <xf numFmtId="0" fontId="6" fillId="0" borderId="5" xfId="1" applyFont="1" applyBorder="1" applyAlignment="1">
      <alignment horizontal="center" vertical="center"/>
    </xf>
    <xf numFmtId="172" fontId="24" fillId="0" borderId="78" xfId="0" applyNumberFormat="1" applyFont="1" applyBorder="1"/>
    <xf numFmtId="1" fontId="24" fillId="0" borderId="79" xfId="0" applyNumberFormat="1" applyFont="1" applyBorder="1"/>
    <xf numFmtId="172" fontId="6" fillId="0" borderId="4" xfId="1" applyNumberFormat="1" applyFont="1" applyBorder="1" applyAlignment="1">
      <alignment horizontal="center" vertical="center"/>
    </xf>
    <xf numFmtId="0" fontId="9" fillId="4" borderId="7" xfId="0" applyFont="1" applyFill="1" applyBorder="1" applyAlignment="1">
      <alignment vertical="center"/>
    </xf>
    <xf numFmtId="0" fontId="9" fillId="4" borderId="6" xfId="0" applyFont="1" applyFill="1" applyBorder="1" applyAlignment="1">
      <alignment vertical="center"/>
    </xf>
    <xf numFmtId="170" fontId="6" fillId="0" borderId="59" xfId="1" applyNumberFormat="1" applyFont="1" applyBorder="1" applyAlignment="1">
      <alignment horizontal="center" vertical="center"/>
    </xf>
    <xf numFmtId="0" fontId="6" fillId="0" borderId="70" xfId="1" applyFont="1" applyBorder="1" applyAlignment="1">
      <alignment horizontal="center" vertical="center"/>
    </xf>
    <xf numFmtId="0" fontId="6" fillId="0" borderId="59" xfId="1" applyFont="1" applyBorder="1" applyAlignment="1">
      <alignment horizontal="center" vertical="center"/>
    </xf>
    <xf numFmtId="0" fontId="22" fillId="0" borderId="80" xfId="0" applyFont="1" applyBorder="1"/>
    <xf numFmtId="1" fontId="22" fillId="0" borderId="81" xfId="0" applyNumberFormat="1" applyFont="1" applyBorder="1"/>
    <xf numFmtId="172" fontId="24" fillId="0" borderId="80" xfId="0" applyNumberFormat="1" applyFont="1" applyBorder="1"/>
    <xf numFmtId="1" fontId="24" fillId="0" borderId="81" xfId="0" applyNumberFormat="1" applyFont="1" applyBorder="1"/>
    <xf numFmtId="166" fontId="9" fillId="3" borderId="0" xfId="0" applyNumberFormat="1" applyFont="1" applyFill="1" applyAlignment="1">
      <alignment horizontal="center"/>
    </xf>
    <xf numFmtId="172" fontId="6" fillId="0" borderId="53" xfId="1" applyNumberFormat="1" applyFont="1" applyBorder="1" applyAlignment="1">
      <alignment horizontal="center" vertical="center"/>
    </xf>
    <xf numFmtId="0" fontId="6" fillId="0" borderId="55" xfId="1" applyFont="1" applyBorder="1" applyAlignment="1">
      <alignment horizontal="center" vertical="center"/>
    </xf>
    <xf numFmtId="0" fontId="22" fillId="0" borderId="84" xfId="0" applyFont="1" applyBorder="1"/>
    <xf numFmtId="1" fontId="22" fillId="0" borderId="83" xfId="0" applyNumberFormat="1" applyFont="1" applyBorder="1"/>
    <xf numFmtId="2" fontId="6" fillId="0" borderId="59" xfId="1" applyNumberFormat="1" applyFont="1" applyBorder="1" applyAlignment="1">
      <alignment horizontal="center" vertical="center"/>
    </xf>
    <xf numFmtId="0" fontId="9" fillId="4" borderId="0" xfId="0" applyFont="1" applyFill="1" applyAlignment="1">
      <alignment horizontal="center" vertical="center"/>
    </xf>
    <xf numFmtId="0" fontId="9" fillId="4" borderId="0" xfId="0" applyFont="1" applyFill="1" applyAlignment="1">
      <alignment horizontal="right" vertical="center"/>
    </xf>
    <xf numFmtId="0" fontId="9" fillId="4" borderId="0" xfId="0" applyFont="1" applyFill="1" applyAlignment="1">
      <alignment horizontal="left" vertical="center"/>
    </xf>
    <xf numFmtId="164" fontId="9" fillId="4" borderId="0" xfId="0" applyNumberFormat="1" applyFont="1" applyFill="1" applyAlignment="1">
      <alignment horizontal="center"/>
    </xf>
    <xf numFmtId="173" fontId="6" fillId="0" borderId="53" xfId="1" applyNumberFormat="1" applyFont="1" applyBorder="1" applyAlignment="1">
      <alignment horizontal="center" vertical="center"/>
    </xf>
    <xf numFmtId="0" fontId="22" fillId="0" borderId="76" xfId="0" applyFont="1" applyBorder="1"/>
    <xf numFmtId="1" fontId="22" fillId="0" borderId="77" xfId="0" applyNumberFormat="1" applyFont="1" applyBorder="1"/>
    <xf numFmtId="166" fontId="24" fillId="0" borderId="76" xfId="0" applyNumberFormat="1" applyFont="1" applyBorder="1"/>
    <xf numFmtId="166" fontId="24" fillId="0" borderId="78" xfId="0" applyNumberFormat="1" applyFont="1" applyBorder="1"/>
    <xf numFmtId="172" fontId="6" fillId="0" borderId="59" xfId="1" applyNumberFormat="1" applyFont="1" applyBorder="1" applyAlignment="1">
      <alignment horizontal="center" vertical="center"/>
    </xf>
    <xf numFmtId="0" fontId="14" fillId="3" borderId="0" xfId="0" applyFont="1" applyFill="1"/>
    <xf numFmtId="0" fontId="14" fillId="0" borderId="0" xfId="0" applyFont="1"/>
    <xf numFmtId="0" fontId="20" fillId="0" borderId="0" xfId="0" applyFont="1"/>
    <xf numFmtId="0" fontId="5" fillId="0" borderId="54" xfId="1" applyFont="1" applyBorder="1" applyAlignment="1">
      <alignment horizontal="center" vertical="center"/>
    </xf>
    <xf numFmtId="0" fontId="5" fillId="0" borderId="58" xfId="1" applyFont="1" applyBorder="1" applyAlignment="1">
      <alignment horizontal="center" vertical="center"/>
    </xf>
    <xf numFmtId="0" fontId="5" fillId="0" borderId="69" xfId="1" applyFont="1" applyBorder="1" applyAlignment="1">
      <alignment horizontal="center" vertical="center"/>
    </xf>
    <xf numFmtId="0" fontId="5" fillId="0" borderId="70" xfId="1" applyFont="1" applyBorder="1" applyAlignment="1">
      <alignment horizontal="center" vertical="center"/>
    </xf>
    <xf numFmtId="0" fontId="9" fillId="4" borderId="36" xfId="0" applyFont="1" applyFill="1" applyBorder="1" applyAlignment="1">
      <alignment horizontal="left"/>
    </xf>
    <xf numFmtId="0" fontId="9" fillId="4" borderId="0" xfId="0" applyFont="1" applyFill="1" applyAlignment="1">
      <alignment horizontal="left"/>
    </xf>
    <xf numFmtId="0" fontId="9" fillId="4" borderId="0" xfId="0" applyFont="1" applyFill="1" applyAlignment="1">
      <alignment horizontal="center"/>
    </xf>
    <xf numFmtId="0" fontId="9" fillId="4" borderId="3" xfId="0" applyFont="1" applyFill="1" applyBorder="1" applyAlignment="1">
      <alignment horizontal="left"/>
    </xf>
    <xf numFmtId="0" fontId="9" fillId="4" borderId="10" xfId="0" applyFont="1" applyFill="1" applyBorder="1" applyAlignment="1">
      <alignment horizontal="center"/>
    </xf>
    <xf numFmtId="0" fontId="9" fillId="4" borderId="40" xfId="0" applyFont="1" applyFill="1" applyBorder="1" applyAlignment="1">
      <alignment horizontal="center"/>
    </xf>
    <xf numFmtId="0" fontId="9" fillId="4" borderId="37" xfId="0" applyFont="1" applyFill="1" applyBorder="1" applyAlignment="1">
      <alignment horizontal="left"/>
    </xf>
    <xf numFmtId="0" fontId="9" fillId="4" borderId="37" xfId="0" applyFont="1" applyFill="1" applyBorder="1" applyAlignment="1">
      <alignment horizontal="center"/>
    </xf>
    <xf numFmtId="169" fontId="6" fillId="0" borderId="4" xfId="1" applyNumberFormat="1" applyFont="1" applyBorder="1" applyAlignment="1">
      <alignment horizontal="center" vertical="center"/>
    </xf>
    <xf numFmtId="167" fontId="6" fillId="0" borderId="4" xfId="1" applyNumberFormat="1" applyFont="1" applyBorder="1" applyAlignment="1">
      <alignment horizontal="center" vertical="center"/>
    </xf>
    <xf numFmtId="169" fontId="6" fillId="0" borderId="53" xfId="1" applyNumberFormat="1" applyFont="1" applyBorder="1" applyAlignment="1">
      <alignment horizontal="center" vertical="center"/>
    </xf>
    <xf numFmtId="0" fontId="3" fillId="0" borderId="0" xfId="0" applyFont="1" applyAlignment="1">
      <alignment horizontal="center" vertical="center"/>
    </xf>
    <xf numFmtId="167" fontId="6" fillId="0" borderId="64" xfId="1" applyNumberFormat="1" applyFont="1" applyBorder="1" applyAlignment="1">
      <alignment horizontal="center" vertical="center"/>
    </xf>
    <xf numFmtId="167" fontId="6" fillId="0" borderId="57" xfId="1" applyNumberFormat="1" applyFont="1" applyBorder="1" applyAlignment="1">
      <alignment horizontal="center" vertical="center"/>
    </xf>
    <xf numFmtId="167" fontId="6" fillId="0" borderId="58" xfId="1" applyNumberFormat="1" applyFont="1" applyBorder="1" applyAlignment="1">
      <alignment horizontal="center" vertical="center"/>
    </xf>
    <xf numFmtId="0" fontId="15" fillId="0" borderId="0" xfId="0" applyFont="1" applyAlignment="1">
      <alignment horizontal="left"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2" fillId="0" borderId="0" xfId="0" applyFont="1" applyAlignment="1">
      <alignment horizontal="left"/>
    </xf>
    <xf numFmtId="0" fontId="3" fillId="0" borderId="0" xfId="0" applyFont="1" applyAlignment="1">
      <alignment horizontal="right" wrapText="1"/>
    </xf>
    <xf numFmtId="0" fontId="3" fillId="0" borderId="0" xfId="0" applyFont="1" applyAlignment="1">
      <alignment horizontal="left" wrapText="1"/>
    </xf>
    <xf numFmtId="0" fontId="16" fillId="0" borderId="0" xfId="0" applyFont="1" applyAlignment="1">
      <alignment horizontal="left" vertical="center"/>
    </xf>
    <xf numFmtId="0" fontId="3" fillId="0" borderId="0" xfId="0" applyFont="1" applyAlignment="1">
      <alignment horizontal="left" vertical="top" wrapText="1"/>
    </xf>
    <xf numFmtId="165" fontId="15" fillId="0" borderId="0" xfId="0" applyNumberFormat="1" applyFont="1" applyAlignment="1">
      <alignment horizontal="left" vertical="center"/>
    </xf>
    <xf numFmtId="1" fontId="15" fillId="0" borderId="0" xfId="0" applyNumberFormat="1" applyFont="1" applyAlignment="1">
      <alignment horizontal="left" vertical="center"/>
    </xf>
    <xf numFmtId="0" fontId="15" fillId="0" borderId="0" xfId="0" applyFont="1" applyAlignment="1">
      <alignment horizontal="left" vertical="center"/>
    </xf>
    <xf numFmtId="171" fontId="15" fillId="0" borderId="0" xfId="0" quotePrefix="1" applyNumberFormat="1" applyFont="1" applyAlignment="1">
      <alignment horizontal="left" vertical="center"/>
    </xf>
    <xf numFmtId="0" fontId="16" fillId="0" borderId="0" xfId="0" applyFont="1" applyAlignment="1">
      <alignment horizontal="center" vertical="center"/>
    </xf>
    <xf numFmtId="0" fontId="3" fillId="0" borderId="0" xfId="0" applyFont="1" applyAlignment="1">
      <alignment horizontal="center" vertical="center"/>
    </xf>
    <xf numFmtId="165" fontId="16" fillId="0" borderId="0" xfId="0" quotePrefix="1" applyNumberFormat="1" applyFont="1" applyAlignment="1">
      <alignment horizontal="left" wrapText="1"/>
    </xf>
    <xf numFmtId="0" fontId="15" fillId="0" borderId="0" xfId="0" applyFont="1" applyAlignment="1">
      <alignment horizontal="left" wrapText="1"/>
    </xf>
    <xf numFmtId="0" fontId="15" fillId="0" borderId="1" xfId="0" applyFont="1" applyBorder="1" applyAlignment="1">
      <alignment horizontal="center" vertical="center"/>
    </xf>
    <xf numFmtId="1" fontId="15" fillId="0" borderId="1" xfId="0" applyNumberFormat="1" applyFont="1" applyBorder="1" applyAlignment="1">
      <alignment horizontal="center" vertical="center" wrapText="1"/>
    </xf>
    <xf numFmtId="165" fontId="15" fillId="0" borderId="1" xfId="0" applyNumberFormat="1" applyFont="1" applyBorder="1" applyAlignment="1">
      <alignment horizontal="center" vertical="center" wrapText="1"/>
    </xf>
    <xf numFmtId="0" fontId="16" fillId="0" borderId="0" xfId="0" applyFont="1" applyAlignment="1">
      <alignment horizontal="right" vertical="center"/>
    </xf>
    <xf numFmtId="0" fontId="16" fillId="0" borderId="29"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2" xfId="0" applyFont="1" applyBorder="1" applyAlignment="1">
      <alignment horizontal="center" vertical="center" wrapText="1"/>
    </xf>
    <xf numFmtId="0" fontId="5" fillId="0" borderId="61" xfId="0" applyFont="1" applyBorder="1" applyAlignment="1">
      <alignment horizontal="center" vertical="center"/>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5" fillId="0" borderId="65" xfId="1" applyFont="1" applyBorder="1" applyAlignment="1">
      <alignment horizontal="center" vertical="center"/>
    </xf>
    <xf numFmtId="0" fontId="5" fillId="0" borderId="66" xfId="1" applyFont="1" applyBorder="1" applyAlignment="1">
      <alignment horizontal="center" vertical="center"/>
    </xf>
    <xf numFmtId="0" fontId="5" fillId="0" borderId="67" xfId="1" applyFont="1" applyBorder="1" applyAlignment="1">
      <alignment horizontal="center" vertical="center"/>
    </xf>
    <xf numFmtId="0" fontId="5" fillId="0" borderId="68" xfId="1" applyFont="1" applyBorder="1" applyAlignment="1">
      <alignment horizontal="center" vertical="center"/>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87" xfId="0" applyFont="1" applyBorder="1" applyAlignment="1">
      <alignment horizontal="center" vertical="center" wrapText="1"/>
    </xf>
    <xf numFmtId="0" fontId="25" fillId="0" borderId="88" xfId="0" applyFont="1" applyBorder="1" applyAlignment="1">
      <alignment horizontal="center" vertical="center" wrapText="1"/>
    </xf>
    <xf numFmtId="0" fontId="25" fillId="0" borderId="89" xfId="0" applyFont="1" applyBorder="1" applyAlignment="1">
      <alignment horizontal="center" vertical="center" wrapText="1"/>
    </xf>
    <xf numFmtId="0" fontId="25" fillId="0" borderId="90" xfId="0" applyFont="1" applyBorder="1" applyAlignment="1">
      <alignment horizontal="center" vertical="center" wrapText="1"/>
    </xf>
    <xf numFmtId="0" fontId="22" fillId="0" borderId="76" xfId="0" applyFont="1" applyBorder="1" applyAlignment="1">
      <alignment horizontal="center" vertical="center"/>
    </xf>
    <xf numFmtId="0" fontId="22" fillId="0" borderId="77" xfId="0" applyFont="1" applyBorder="1" applyAlignment="1">
      <alignment horizontal="center" vertical="center"/>
    </xf>
    <xf numFmtId="0" fontId="22" fillId="0" borderId="78" xfId="0" applyFont="1" applyBorder="1" applyAlignment="1">
      <alignment horizontal="center" vertical="center"/>
    </xf>
    <xf numFmtId="0" fontId="22" fillId="0" borderId="79" xfId="0" applyFont="1" applyBorder="1" applyAlignment="1">
      <alignment horizontal="center" vertical="center"/>
    </xf>
    <xf numFmtId="0" fontId="22" fillId="0" borderId="80" xfId="0" applyFont="1" applyBorder="1" applyAlignment="1">
      <alignment horizontal="center" vertical="center"/>
    </xf>
    <xf numFmtId="0" fontId="22" fillId="0" borderId="81" xfId="0" applyFont="1" applyBorder="1" applyAlignment="1">
      <alignment horizontal="center" vertical="center"/>
    </xf>
    <xf numFmtId="0" fontId="25" fillId="0" borderId="76" xfId="0" applyFont="1" applyBorder="1" applyAlignment="1">
      <alignment horizontal="center" vertical="center" wrapText="1"/>
    </xf>
    <xf numFmtId="0" fontId="25" fillId="0" borderId="77" xfId="0" applyFont="1" applyBorder="1" applyAlignment="1">
      <alignment horizontal="center" vertical="center" wrapText="1"/>
    </xf>
    <xf numFmtId="0" fontId="25" fillId="0" borderId="78" xfId="0" applyFont="1" applyBorder="1" applyAlignment="1">
      <alignment horizontal="center" vertical="center" wrapText="1"/>
    </xf>
    <xf numFmtId="0" fontId="25" fillId="0" borderId="79" xfId="0" applyFont="1" applyBorder="1" applyAlignment="1">
      <alignment horizontal="center" vertical="center" wrapText="1"/>
    </xf>
    <xf numFmtId="0" fontId="25" fillId="0" borderId="80" xfId="0" applyFont="1" applyBorder="1" applyAlignment="1">
      <alignment horizontal="center" vertical="center" wrapText="1"/>
    </xf>
    <xf numFmtId="0" fontId="25" fillId="0" borderId="81" xfId="0" applyFont="1" applyBorder="1" applyAlignment="1">
      <alignment horizontal="center" vertical="center" wrapText="1"/>
    </xf>
    <xf numFmtId="0" fontId="5" fillId="0" borderId="54" xfId="1" applyFont="1" applyBorder="1" applyAlignment="1">
      <alignment horizontal="center" vertical="center"/>
    </xf>
    <xf numFmtId="0" fontId="5" fillId="0" borderId="58" xfId="1" applyFont="1" applyBorder="1" applyAlignment="1">
      <alignment horizontal="center" vertical="center"/>
    </xf>
    <xf numFmtId="164" fontId="9" fillId="4" borderId="4" xfId="0" applyNumberFormat="1" applyFont="1" applyFill="1" applyBorder="1" applyAlignment="1">
      <alignment horizontal="center"/>
    </xf>
    <xf numFmtId="166" fontId="9" fillId="4" borderId="4" xfId="0" applyNumberFormat="1" applyFont="1" applyFill="1" applyBorder="1" applyAlignment="1">
      <alignment horizontal="center"/>
    </xf>
    <xf numFmtId="0" fontId="9" fillId="4" borderId="4" xfId="0" applyFont="1" applyFill="1" applyBorder="1" applyAlignment="1">
      <alignment horizontal="center" vertical="center"/>
    </xf>
    <xf numFmtId="0" fontId="9" fillId="4" borderId="5" xfId="0" applyFont="1" applyFill="1" applyBorder="1" applyAlignment="1">
      <alignment horizontal="right" vertical="center"/>
    </xf>
    <xf numFmtId="0" fontId="9" fillId="4" borderId="7" xfId="0" applyFont="1" applyFill="1" applyBorder="1" applyAlignment="1">
      <alignment horizontal="right" vertical="center"/>
    </xf>
    <xf numFmtId="0" fontId="9" fillId="4" borderId="7" xfId="0" applyFont="1" applyFill="1" applyBorder="1" applyAlignment="1">
      <alignment horizontal="left" vertical="center"/>
    </xf>
    <xf numFmtId="0" fontId="9" fillId="4" borderId="6" xfId="0" applyFont="1" applyFill="1" applyBorder="1" applyAlignment="1">
      <alignment horizontal="left" vertical="center"/>
    </xf>
    <xf numFmtId="170" fontId="9" fillId="4" borderId="4" xfId="0" applyNumberFormat="1" applyFont="1" applyFill="1" applyBorder="1" applyAlignment="1">
      <alignment horizontal="center"/>
    </xf>
    <xf numFmtId="164" fontId="9" fillId="4" borderId="5" xfId="0" applyNumberFormat="1" applyFont="1" applyFill="1" applyBorder="1" applyAlignment="1">
      <alignment horizontal="center"/>
    </xf>
    <xf numFmtId="164" fontId="9" fillId="4" borderId="7" xfId="0" applyNumberFormat="1" applyFont="1" applyFill="1" applyBorder="1" applyAlignment="1">
      <alignment horizontal="center"/>
    </xf>
    <xf numFmtId="164" fontId="9" fillId="4" borderId="6" xfId="0" applyNumberFormat="1" applyFont="1" applyFill="1" applyBorder="1" applyAlignment="1">
      <alignment horizontal="center"/>
    </xf>
    <xf numFmtId="2" fontId="9" fillId="4" borderId="4" xfId="0" applyNumberFormat="1" applyFont="1" applyFill="1" applyBorder="1" applyAlignment="1">
      <alignment horizontal="center"/>
    </xf>
    <xf numFmtId="0" fontId="9" fillId="4" borderId="4" xfId="0" applyFont="1" applyFill="1" applyBorder="1" applyAlignment="1">
      <alignment horizontal="center"/>
    </xf>
    <xf numFmtId="2" fontId="9" fillId="4" borderId="5" xfId="0" applyNumberFormat="1" applyFont="1" applyFill="1" applyBorder="1" applyAlignment="1">
      <alignment horizontal="center"/>
    </xf>
    <xf numFmtId="2" fontId="9" fillId="4" borderId="7" xfId="0" applyNumberFormat="1" applyFont="1" applyFill="1" applyBorder="1" applyAlignment="1">
      <alignment horizontal="center"/>
    </xf>
    <xf numFmtId="2" fontId="9" fillId="4" borderId="6" xfId="0" applyNumberFormat="1" applyFont="1" applyFill="1" applyBorder="1" applyAlignment="1">
      <alignment horizontal="center"/>
    </xf>
    <xf numFmtId="0" fontId="10" fillId="4" borderId="4" xfId="0" applyFont="1" applyFill="1" applyBorder="1" applyAlignment="1">
      <alignment horizontal="center" vertical="center"/>
    </xf>
    <xf numFmtId="0" fontId="5" fillId="0" borderId="60" xfId="1" applyFont="1" applyBorder="1" applyAlignment="1">
      <alignment horizontal="center" vertical="center"/>
    </xf>
    <xf numFmtId="0" fontId="5" fillId="0" borderId="69" xfId="1" applyFont="1" applyBorder="1" applyAlignment="1">
      <alignment horizontal="center" vertical="center"/>
    </xf>
    <xf numFmtId="0" fontId="5" fillId="0" borderId="70" xfId="1" applyFont="1" applyBorder="1" applyAlignment="1">
      <alignment horizontal="center" vertical="center"/>
    </xf>
    <xf numFmtId="0" fontId="5" fillId="0" borderId="71" xfId="1" applyFont="1" applyBorder="1" applyAlignment="1">
      <alignment horizontal="center" vertical="center"/>
    </xf>
    <xf numFmtId="0" fontId="5" fillId="0" borderId="72" xfId="1" applyFont="1" applyBorder="1" applyAlignment="1">
      <alignment horizontal="center" vertical="center"/>
    </xf>
    <xf numFmtId="0" fontId="5" fillId="0" borderId="56" xfId="1" applyFont="1" applyBorder="1" applyAlignment="1">
      <alignment horizontal="center" vertical="center"/>
    </xf>
    <xf numFmtId="0" fontId="9" fillId="4" borderId="10" xfId="0" applyFont="1" applyFill="1" applyBorder="1" applyAlignment="1">
      <alignment horizontal="left" vertical="center"/>
    </xf>
    <xf numFmtId="0" fontId="10" fillId="5" borderId="50" xfId="0" applyFont="1" applyFill="1" applyBorder="1" applyAlignment="1">
      <alignment horizontal="left"/>
    </xf>
    <xf numFmtId="0" fontId="10" fillId="5" borderId="51" xfId="0" applyFont="1" applyFill="1" applyBorder="1" applyAlignment="1">
      <alignment horizontal="left"/>
    </xf>
    <xf numFmtId="0" fontId="10" fillId="5" borderId="52" xfId="0" applyFont="1" applyFill="1" applyBorder="1" applyAlignment="1">
      <alignment horizontal="left"/>
    </xf>
    <xf numFmtId="0" fontId="9" fillId="4" borderId="36" xfId="0" applyFont="1" applyFill="1" applyBorder="1" applyAlignment="1">
      <alignment horizontal="left"/>
    </xf>
    <xf numFmtId="0" fontId="9" fillId="4" borderId="0" xfId="0" applyFont="1" applyFill="1" applyAlignment="1">
      <alignment horizontal="left"/>
    </xf>
    <xf numFmtId="0" fontId="9" fillId="4" borderId="0" xfId="0" applyFont="1" applyFill="1" applyAlignment="1">
      <alignment horizontal="center"/>
    </xf>
    <xf numFmtId="0" fontId="10" fillId="4" borderId="0" xfId="0" applyFont="1" applyFill="1" applyAlignment="1">
      <alignment horizontal="left"/>
    </xf>
    <xf numFmtId="0" fontId="10" fillId="4" borderId="3" xfId="0" applyFont="1" applyFill="1" applyBorder="1" applyAlignment="1">
      <alignment horizontal="left"/>
    </xf>
    <xf numFmtId="165" fontId="9" fillId="4" borderId="0" xfId="0" applyNumberFormat="1" applyFont="1" applyFill="1" applyAlignment="1">
      <alignment horizontal="left"/>
    </xf>
    <xf numFmtId="165" fontId="9" fillId="4" borderId="37" xfId="0" applyNumberFormat="1" applyFont="1" applyFill="1" applyBorder="1" applyAlignment="1">
      <alignment horizontal="left"/>
    </xf>
    <xf numFmtId="165" fontId="9" fillId="4" borderId="3" xfId="0" applyNumberFormat="1" applyFont="1" applyFill="1" applyBorder="1" applyAlignment="1">
      <alignment horizontal="left"/>
    </xf>
    <xf numFmtId="165" fontId="9" fillId="4" borderId="41" xfId="0" applyNumberFormat="1" applyFont="1" applyFill="1" applyBorder="1" applyAlignment="1">
      <alignment horizontal="left"/>
    </xf>
    <xf numFmtId="0" fontId="9" fillId="4" borderId="8" xfId="0" applyFont="1" applyFill="1" applyBorder="1" applyAlignment="1">
      <alignment horizontal="left"/>
    </xf>
    <xf numFmtId="0" fontId="9" fillId="4" borderId="3" xfId="0" applyFont="1" applyFill="1" applyBorder="1" applyAlignment="1">
      <alignment horizontal="left"/>
    </xf>
    <xf numFmtId="0" fontId="9" fillId="4" borderId="42" xfId="0" applyFont="1" applyFill="1" applyBorder="1" applyAlignment="1">
      <alignment horizontal="left"/>
    </xf>
    <xf numFmtId="0" fontId="9" fillId="4" borderId="41" xfId="0" applyFont="1" applyFill="1" applyBorder="1" applyAlignment="1">
      <alignment horizontal="left"/>
    </xf>
    <xf numFmtId="0" fontId="9" fillId="4" borderId="10" xfId="0" applyFont="1" applyFill="1" applyBorder="1" applyAlignment="1">
      <alignment horizontal="center" vertical="center"/>
    </xf>
    <xf numFmtId="0" fontId="9" fillId="4" borderId="12"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37" xfId="0" applyFont="1" applyFill="1" applyBorder="1" applyAlignment="1">
      <alignment horizontal="center" vertical="center" wrapText="1"/>
    </xf>
    <xf numFmtId="0" fontId="9" fillId="4" borderId="3" xfId="0" applyFont="1" applyFill="1" applyBorder="1" applyAlignment="1">
      <alignment horizontal="center" vertical="center"/>
    </xf>
    <xf numFmtId="164" fontId="9" fillId="4" borderId="3" xfId="0" applyNumberFormat="1" applyFont="1" applyFill="1" applyBorder="1" applyAlignment="1">
      <alignment horizontal="center" vertical="center"/>
    </xf>
    <xf numFmtId="164" fontId="9" fillId="4" borderId="2" xfId="0" applyNumberFormat="1" applyFont="1" applyFill="1" applyBorder="1" applyAlignment="1">
      <alignment horizontal="center" vertical="center"/>
    </xf>
    <xf numFmtId="164" fontId="9" fillId="4" borderId="2" xfId="0" applyNumberFormat="1" applyFont="1" applyFill="1" applyBorder="1" applyAlignment="1">
      <alignment horizontal="center" vertical="center" wrapText="1"/>
    </xf>
    <xf numFmtId="0" fontId="10" fillId="5" borderId="50" xfId="0" applyFont="1" applyFill="1" applyBorder="1" applyAlignment="1">
      <alignment horizontal="center"/>
    </xf>
    <xf numFmtId="0" fontId="10" fillId="5" borderId="51" xfId="0" applyFont="1" applyFill="1" applyBorder="1" applyAlignment="1">
      <alignment horizontal="center"/>
    </xf>
    <xf numFmtId="0" fontId="10" fillId="5" borderId="52" xfId="0" applyFont="1" applyFill="1" applyBorder="1" applyAlignment="1">
      <alignment horizontal="center"/>
    </xf>
    <xf numFmtId="0" fontId="9" fillId="4" borderId="2" xfId="0" applyFont="1" applyFill="1" applyBorder="1" applyAlignment="1">
      <alignment horizontal="center"/>
    </xf>
    <xf numFmtId="174" fontId="6" fillId="4" borderId="10" xfId="0" applyNumberFormat="1" applyFont="1" applyFill="1" applyBorder="1" applyAlignment="1">
      <alignment horizontal="center"/>
    </xf>
    <xf numFmtId="174" fontId="6" fillId="4" borderId="92" xfId="0" applyNumberFormat="1" applyFont="1" applyFill="1" applyBorder="1" applyAlignment="1">
      <alignment horizontal="center"/>
    </xf>
    <xf numFmtId="0" fontId="9" fillId="4" borderId="43" xfId="0" applyFont="1" applyFill="1" applyBorder="1" applyAlignment="1">
      <alignment horizontal="center"/>
    </xf>
    <xf numFmtId="0" fontId="9" fillId="4" borderId="10" xfId="0" applyFont="1" applyFill="1" applyBorder="1" applyAlignment="1">
      <alignment horizontal="center"/>
    </xf>
    <xf numFmtId="0" fontId="9" fillId="4" borderId="14" xfId="0" applyFont="1" applyFill="1" applyBorder="1" applyAlignment="1">
      <alignment horizontal="center"/>
    </xf>
    <xf numFmtId="0" fontId="9" fillId="4" borderId="15" xfId="0" applyFont="1" applyFill="1" applyBorder="1" applyAlignment="1">
      <alignment horizontal="center"/>
    </xf>
    <xf numFmtId="0" fontId="9" fillId="4" borderId="40" xfId="0" applyFont="1" applyFill="1" applyBorder="1" applyAlignment="1">
      <alignment horizontal="center"/>
    </xf>
    <xf numFmtId="0" fontId="10" fillId="4" borderId="0" xfId="0" applyFont="1" applyFill="1" applyAlignment="1">
      <alignment horizontal="center"/>
    </xf>
    <xf numFmtId="0" fontId="10" fillId="4" borderId="37" xfId="0" applyFont="1" applyFill="1" applyBorder="1" applyAlignment="1">
      <alignment horizontal="center"/>
    </xf>
    <xf numFmtId="0" fontId="10" fillId="4" borderId="36" xfId="0" applyFont="1" applyFill="1" applyBorder="1" applyAlignment="1">
      <alignment horizontal="center"/>
    </xf>
    <xf numFmtId="0" fontId="10" fillId="4" borderId="12" xfId="0" applyFont="1" applyFill="1" applyBorder="1" applyAlignment="1">
      <alignment horizontal="center"/>
    </xf>
    <xf numFmtId="0" fontId="10" fillId="4" borderId="11" xfId="0" applyFont="1" applyFill="1" applyBorder="1" applyAlignment="1">
      <alignment horizontal="center"/>
    </xf>
    <xf numFmtId="0" fontId="6" fillId="4" borderId="91" xfId="0" applyFont="1" applyFill="1" applyBorder="1" applyAlignment="1">
      <alignment horizontal="center"/>
    </xf>
    <xf numFmtId="0" fontId="6" fillId="4" borderId="16" xfId="0" applyFont="1" applyFill="1" applyBorder="1" applyAlignment="1">
      <alignment horizontal="center"/>
    </xf>
    <xf numFmtId="0" fontId="6" fillId="4" borderId="17" xfId="0" applyFont="1" applyFill="1" applyBorder="1" applyAlignment="1">
      <alignment horizontal="center"/>
    </xf>
    <xf numFmtId="0" fontId="6" fillId="4" borderId="14" xfId="0" applyFont="1" applyFill="1" applyBorder="1" applyAlignment="1">
      <alignment horizontal="center"/>
    </xf>
    <xf numFmtId="0" fontId="6" fillId="4" borderId="10" xfId="0" applyFont="1" applyFill="1" applyBorder="1" applyAlignment="1">
      <alignment horizontal="center"/>
    </xf>
    <xf numFmtId="0" fontId="6" fillId="4" borderId="15" xfId="0" applyFont="1" applyFill="1" applyBorder="1" applyAlignment="1">
      <alignment horizontal="center"/>
    </xf>
    <xf numFmtId="12" fontId="9" fillId="4" borderId="8" xfId="0" quotePrefix="1" applyNumberFormat="1" applyFont="1" applyFill="1" applyBorder="1" applyAlignment="1">
      <alignment horizontal="left"/>
    </xf>
    <xf numFmtId="0" fontId="9" fillId="4" borderId="8" xfId="0" quotePrefix="1" applyFont="1" applyFill="1" applyBorder="1" applyAlignment="1">
      <alignment horizontal="left"/>
    </xf>
    <xf numFmtId="0" fontId="8" fillId="3" borderId="0" xfId="0" applyFont="1" applyFill="1" applyAlignment="1">
      <alignment horizontal="center"/>
    </xf>
    <xf numFmtId="165" fontId="9" fillId="4" borderId="10" xfId="0" applyNumberFormat="1" applyFont="1" applyFill="1" applyBorder="1" applyAlignment="1">
      <alignment horizontal="left"/>
    </xf>
    <xf numFmtId="165" fontId="9" fillId="4" borderId="40" xfId="0" applyNumberFormat="1" applyFont="1" applyFill="1" applyBorder="1" applyAlignment="1">
      <alignment horizontal="left"/>
    </xf>
    <xf numFmtId="1" fontId="9" fillId="4" borderId="8" xfId="0" applyNumberFormat="1" applyFont="1" applyFill="1" applyBorder="1" applyAlignment="1">
      <alignment horizontal="left"/>
    </xf>
    <xf numFmtId="1" fontId="9" fillId="4" borderId="42" xfId="0" applyNumberFormat="1" applyFont="1" applyFill="1" applyBorder="1" applyAlignment="1">
      <alignment horizontal="left"/>
    </xf>
    <xf numFmtId="1" fontId="9" fillId="4" borderId="3" xfId="0" applyNumberFormat="1" applyFont="1" applyFill="1" applyBorder="1" applyAlignment="1">
      <alignment horizontal="left"/>
    </xf>
    <xf numFmtId="1" fontId="9" fillId="4" borderId="41" xfId="0" applyNumberFormat="1" applyFont="1" applyFill="1" applyBorder="1" applyAlignment="1">
      <alignment horizontal="left"/>
    </xf>
    <xf numFmtId="0" fontId="11" fillId="4" borderId="0" xfId="0" applyFont="1" applyFill="1" applyAlignment="1">
      <alignment horizontal="center"/>
    </xf>
    <xf numFmtId="0" fontId="11" fillId="4" borderId="3" xfId="0" applyFont="1" applyFill="1" applyBorder="1" applyAlignment="1">
      <alignment horizontal="center"/>
    </xf>
    <xf numFmtId="0" fontId="9" fillId="4" borderId="37" xfId="0" applyFont="1" applyFill="1" applyBorder="1" applyAlignment="1">
      <alignment horizontal="left"/>
    </xf>
    <xf numFmtId="0" fontId="9" fillId="4" borderId="8"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3" fillId="4" borderId="38" xfId="0" applyFont="1" applyFill="1" applyBorder="1" applyAlignment="1">
      <alignment horizontal="center"/>
    </xf>
    <xf numFmtId="0" fontId="13" fillId="4" borderId="9" xfId="0" applyFont="1" applyFill="1" applyBorder="1" applyAlignment="1">
      <alignment horizontal="center"/>
    </xf>
    <xf numFmtId="0" fontId="13" fillId="4" borderId="13" xfId="0" applyFont="1" applyFill="1" applyBorder="1" applyAlignment="1">
      <alignment horizontal="center"/>
    </xf>
    <xf numFmtId="0" fontId="13" fillId="4" borderId="20" xfId="0" applyFont="1" applyFill="1" applyBorder="1" applyAlignment="1">
      <alignment horizontal="center"/>
    </xf>
    <xf numFmtId="0" fontId="13" fillId="4" borderId="21" xfId="0" applyFont="1" applyFill="1" applyBorder="1" applyAlignment="1">
      <alignment horizontal="center"/>
    </xf>
    <xf numFmtId="0" fontId="13" fillId="4" borderId="39" xfId="0" applyFont="1" applyFill="1" applyBorder="1" applyAlignment="1">
      <alignment horizontal="center"/>
    </xf>
    <xf numFmtId="0" fontId="5" fillId="4" borderId="36" xfId="0" applyFont="1" applyFill="1" applyBorder="1" applyAlignment="1">
      <alignment horizontal="center"/>
    </xf>
    <xf numFmtId="0" fontId="5" fillId="4" borderId="0" xfId="0" applyFont="1" applyFill="1" applyAlignment="1">
      <alignment horizontal="center"/>
    </xf>
    <xf numFmtId="0" fontId="5" fillId="4" borderId="11" xfId="0" applyFont="1" applyFill="1" applyBorder="1" applyAlignment="1">
      <alignment horizontal="center"/>
    </xf>
    <xf numFmtId="0" fontId="13" fillId="4" borderId="0" xfId="0" applyFont="1" applyFill="1" applyAlignment="1">
      <alignment horizontal="center"/>
    </xf>
    <xf numFmtId="0" fontId="13" fillId="4" borderId="19" xfId="0" applyFont="1" applyFill="1" applyBorder="1" applyAlignment="1">
      <alignment horizontal="center"/>
    </xf>
    <xf numFmtId="1" fontId="6" fillId="4" borderId="18" xfId="0" applyNumberFormat="1" applyFont="1" applyFill="1" applyBorder="1" applyAlignment="1">
      <alignment horizontal="center"/>
    </xf>
    <xf numFmtId="1" fontId="6" fillId="4" borderId="16" xfId="0" applyNumberFormat="1" applyFont="1" applyFill="1" applyBorder="1" applyAlignment="1">
      <alignment horizontal="center"/>
    </xf>
    <xf numFmtId="1" fontId="6" fillId="4" borderId="17" xfId="0" applyNumberFormat="1" applyFont="1" applyFill="1" applyBorder="1" applyAlignment="1">
      <alignment horizontal="center"/>
    </xf>
    <xf numFmtId="0" fontId="13" fillId="4" borderId="36" xfId="0" applyFont="1" applyFill="1" applyBorder="1" applyAlignment="1">
      <alignment horizontal="center"/>
    </xf>
    <xf numFmtId="0" fontId="13" fillId="4" borderId="11" xfId="0" applyFont="1" applyFill="1" applyBorder="1" applyAlignment="1">
      <alignment horizontal="center"/>
    </xf>
    <xf numFmtId="0" fontId="13" fillId="4" borderId="44" xfId="0" applyFont="1" applyFill="1" applyBorder="1" applyAlignment="1">
      <alignment horizontal="center"/>
    </xf>
    <xf numFmtId="0" fontId="13" fillId="4" borderId="45" xfId="0" applyFont="1" applyFill="1" applyBorder="1" applyAlignment="1">
      <alignment horizontal="center"/>
    </xf>
    <xf numFmtId="0" fontId="13" fillId="4" borderId="46" xfId="0" applyFont="1" applyFill="1" applyBorder="1" applyAlignment="1">
      <alignment horizontal="center"/>
    </xf>
    <xf numFmtId="0" fontId="13" fillId="4" borderId="47" xfId="0" applyFont="1" applyFill="1" applyBorder="1" applyAlignment="1">
      <alignment horizontal="center"/>
    </xf>
    <xf numFmtId="0" fontId="13" fillId="4" borderId="48" xfId="0" applyFont="1" applyFill="1" applyBorder="1" applyAlignment="1">
      <alignment horizontal="center"/>
    </xf>
    <xf numFmtId="0" fontId="13" fillId="4" borderId="49" xfId="0" applyFont="1" applyFill="1" applyBorder="1" applyAlignment="1">
      <alignment horizontal="center"/>
    </xf>
    <xf numFmtId="165" fontId="9" fillId="4" borderId="25" xfId="0" applyNumberFormat="1" applyFont="1" applyFill="1" applyBorder="1" applyAlignment="1">
      <alignment horizontal="center"/>
    </xf>
    <xf numFmtId="0" fontId="9" fillId="4" borderId="37" xfId="0" applyFont="1" applyFill="1" applyBorder="1" applyAlignment="1">
      <alignment horizontal="center"/>
    </xf>
    <xf numFmtId="165" fontId="9" fillId="4" borderId="0" xfId="0" applyNumberFormat="1" applyFont="1" applyFill="1" applyAlignment="1">
      <alignment horizontal="center"/>
    </xf>
    <xf numFmtId="165" fontId="9" fillId="4" borderId="37" xfId="0" applyNumberFormat="1" applyFont="1" applyFill="1" applyBorder="1" applyAlignment="1">
      <alignment horizontal="center"/>
    </xf>
    <xf numFmtId="0" fontId="9" fillId="4" borderId="22" xfId="0" applyFont="1" applyFill="1" applyBorder="1" applyAlignment="1">
      <alignment horizontal="center" vertical="center"/>
    </xf>
    <xf numFmtId="0" fontId="9" fillId="4" borderId="23"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26" xfId="0" applyFont="1" applyFill="1" applyBorder="1" applyAlignment="1">
      <alignment horizontal="center" vertical="center"/>
    </xf>
    <xf numFmtId="0" fontId="9" fillId="4" borderId="27" xfId="0" applyFont="1" applyFill="1" applyBorder="1" applyAlignment="1">
      <alignment horizontal="center" vertical="center"/>
    </xf>
    <xf numFmtId="0" fontId="9" fillId="4" borderId="28" xfId="0" applyFont="1" applyFill="1" applyBorder="1" applyAlignment="1">
      <alignment horizontal="center" vertical="center"/>
    </xf>
    <xf numFmtId="170" fontId="9" fillId="4" borderId="5" xfId="0" applyNumberFormat="1" applyFont="1" applyFill="1" applyBorder="1" applyAlignment="1">
      <alignment horizontal="center"/>
    </xf>
    <xf numFmtId="170" fontId="9" fillId="4" borderId="7" xfId="0" applyNumberFormat="1" applyFont="1" applyFill="1" applyBorder="1" applyAlignment="1">
      <alignment horizontal="center"/>
    </xf>
    <xf numFmtId="170" fontId="9" fillId="4" borderId="6" xfId="0" applyNumberFormat="1" applyFont="1" applyFill="1" applyBorder="1" applyAlignment="1">
      <alignment horizontal="center"/>
    </xf>
    <xf numFmtId="0" fontId="10" fillId="4" borderId="5"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6" xfId="0" applyFont="1" applyFill="1" applyBorder="1" applyAlignment="1">
      <alignment horizontal="center" vertical="center"/>
    </xf>
    <xf numFmtId="164" fontId="9" fillId="4" borderId="4" xfId="0" quotePrefix="1" applyNumberFormat="1" applyFont="1" applyFill="1" applyBorder="1" applyAlignment="1">
      <alignment horizontal="center"/>
    </xf>
  </cellXfs>
  <cellStyles count="3">
    <cellStyle name="Normal" xfId="0" builtinId="0"/>
    <cellStyle name="Normal 2" xfId="1"/>
    <cellStyle name="Normal 3" xfId="2"/>
  </cellStyles>
  <dxfs count="18">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2</xdr:col>
      <xdr:colOff>86590</xdr:colOff>
      <xdr:row>7</xdr:row>
      <xdr:rowOff>60613</xdr:rowOff>
    </xdr:from>
    <xdr:to>
      <xdr:col>25</xdr:col>
      <xdr:colOff>233795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bwMode="auto">
        <a:xfrm flipV="1">
          <a:off x="458065" y="1298863"/>
          <a:ext cx="6062230" cy="1"/>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twoCellAnchor editAs="oneCell">
    <xdr:from>
      <xdr:col>3</xdr:col>
      <xdr:colOff>74635</xdr:colOff>
      <xdr:row>0</xdr:row>
      <xdr:rowOff>149225</xdr:rowOff>
    </xdr:from>
    <xdr:to>
      <xdr:col>9</xdr:col>
      <xdr:colOff>76200</xdr:colOff>
      <xdr:row>4</xdr:row>
      <xdr:rowOff>19051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703285" y="149225"/>
          <a:ext cx="1544615" cy="631826"/>
        </a:xfrm>
        <a:prstGeom prst="rect">
          <a:avLst/>
        </a:prstGeom>
        <a:noFill/>
        <a:ln w="9525">
          <a:noFill/>
          <a:miter lim="800000"/>
          <a:headEnd/>
          <a:tailEnd/>
        </a:ln>
      </xdr:spPr>
    </xdr:pic>
    <xdr:clientData/>
  </xdr:twoCellAnchor>
  <xdr:oneCellAnchor>
    <xdr:from>
      <xdr:col>2</xdr:col>
      <xdr:colOff>70711</xdr:colOff>
      <xdr:row>218</xdr:row>
      <xdr:rowOff>176783</xdr:rowOff>
    </xdr:from>
    <xdr:ext cx="2318648" cy="937564"/>
    <xdr:sp macro="" textlink="">
      <xdr:nvSpPr>
        <xdr:cNvPr id="19" name="Text Box 2">
          <a:extLst>
            <a:ext uri="{FF2B5EF4-FFF2-40B4-BE49-F238E27FC236}">
              <a16:creationId xmlns:a16="http://schemas.microsoft.com/office/drawing/2014/main" id="{00000000-0008-0000-0000-000013000000}"/>
            </a:ext>
          </a:extLst>
        </xdr:cNvPr>
        <xdr:cNvSpPr txBox="1">
          <a:spLocks noChangeArrowheads="1"/>
        </xdr:cNvSpPr>
      </xdr:nvSpPr>
      <xdr:spPr bwMode="auto">
        <a:xfrm>
          <a:off x="435836" y="27696096"/>
          <a:ext cx="2318648" cy="937564"/>
        </a:xfrm>
        <a:prstGeom prst="rect">
          <a:avLst/>
        </a:prstGeom>
        <a:noFill/>
        <a:ln w="9525">
          <a:noFill/>
          <a:miter lim="800000"/>
          <a:headEnd/>
          <a:tailEnd/>
        </a:ln>
      </xdr:spPr>
      <xdr:txBody>
        <a:bodyPr wrap="square" lIns="91440" tIns="45720" rIns="91440" bIns="45720" anchor="t" upright="1">
          <a:spAutoFit/>
        </a:bodyPr>
        <a:lstStyle/>
        <a:p>
          <a:pPr algn="l" rtl="1">
            <a:defRPr sz="1000"/>
          </a:pPr>
          <a:r>
            <a:rPr lang="en-PH" sz="900" b="0" i="0" strike="noStrike">
              <a:solidFill>
                <a:srgbClr val="000000"/>
              </a:solidFill>
              <a:latin typeface="+mn-lt"/>
              <a:cs typeface="Arial"/>
            </a:rPr>
            <a:t>Block 1 Lot 49 New Jubilation Strip</a:t>
          </a:r>
        </a:p>
        <a:p>
          <a:pPr algn="l" rtl="1">
            <a:defRPr sz="1000"/>
          </a:pPr>
          <a:r>
            <a:rPr lang="en-PH" sz="900" b="0" i="0" strike="noStrike">
              <a:solidFill>
                <a:srgbClr val="000000"/>
              </a:solidFill>
              <a:latin typeface="+mn-lt"/>
              <a:cs typeface="Arial"/>
            </a:rPr>
            <a:t>Biñan, Laguna 4024 Philippines</a:t>
          </a:r>
        </a:p>
        <a:p>
          <a:pPr algn="l" rtl="1">
            <a:defRPr sz="1000"/>
          </a:pPr>
          <a:r>
            <a:rPr lang="en-PH" sz="900" b="0" i="0" strike="noStrike">
              <a:solidFill>
                <a:srgbClr val="000000"/>
              </a:solidFill>
              <a:latin typeface="+mn-lt"/>
              <a:cs typeface="Arial"/>
            </a:rPr>
            <a:t>Phone/Fax : (049) 513-5233</a:t>
          </a:r>
        </a:p>
        <a:p>
          <a:pPr algn="l" rtl="1">
            <a:defRPr sz="1000"/>
          </a:pPr>
          <a:r>
            <a:rPr lang="en-PH" sz="900" b="0" i="0" strike="noStrike">
              <a:solidFill>
                <a:srgbClr val="000000"/>
              </a:solidFill>
              <a:latin typeface="+mn-lt"/>
              <a:cs typeface="Arial"/>
            </a:rPr>
            <a:t>Call/Text: (049) 840-5397</a:t>
          </a:r>
        </a:p>
        <a:p>
          <a:pPr marL="0" marR="0" indent="0" algn="l" defTabSz="914400" rtl="1" eaLnBrk="1" fontAlgn="auto" latinLnBrk="0" hangingPunct="1">
            <a:lnSpc>
              <a:spcPct val="100000"/>
            </a:lnSpc>
            <a:spcBef>
              <a:spcPts val="0"/>
            </a:spcBef>
            <a:spcAft>
              <a:spcPts val="0"/>
            </a:spcAft>
            <a:buClrTx/>
            <a:buSzTx/>
            <a:buFontTx/>
            <a:buNone/>
            <a:tabLst/>
            <a:defRPr sz="1000"/>
          </a:pPr>
          <a:r>
            <a:rPr lang="en-PH" sz="900" b="0" i="0">
              <a:latin typeface="+mn-lt"/>
              <a:ea typeface="+mn-ea"/>
              <a:cs typeface="+mn-cs"/>
            </a:rPr>
            <a:t>Email: sonju_engineering@ymail.com</a:t>
          </a:r>
        </a:p>
        <a:p>
          <a:pPr marL="0" marR="0" indent="0" algn="l" defTabSz="914400" rtl="1" eaLnBrk="1" fontAlgn="auto" latinLnBrk="0" hangingPunct="1">
            <a:lnSpc>
              <a:spcPct val="100000"/>
            </a:lnSpc>
            <a:spcBef>
              <a:spcPts val="0"/>
            </a:spcBef>
            <a:spcAft>
              <a:spcPts val="0"/>
            </a:spcAft>
            <a:buClrTx/>
            <a:buSzTx/>
            <a:buFontTx/>
            <a:buNone/>
            <a:tabLst/>
            <a:defRPr sz="1000"/>
          </a:pPr>
          <a:r>
            <a:rPr lang="en-PH" sz="900" b="0" i="0" strike="noStrike">
              <a:solidFill>
                <a:srgbClr val="000000"/>
              </a:solidFill>
              <a:latin typeface="+mn-lt"/>
              <a:ea typeface="+mn-ea"/>
              <a:cs typeface="+mn-cs"/>
            </a:rPr>
            <a:t>             sales@sonjuengineering.com</a:t>
          </a:r>
          <a:r>
            <a:rPr lang="en-PH" sz="900" b="0" i="0" strike="noStrike">
              <a:solidFill>
                <a:srgbClr val="000000"/>
              </a:solidFill>
              <a:latin typeface="+mn-lt"/>
              <a:cs typeface="Arial"/>
            </a:rPr>
            <a:t> </a:t>
          </a:r>
        </a:p>
      </xdr:txBody>
    </xdr:sp>
    <xdr:clientData/>
  </xdr:oneCellAnchor>
  <xdr:twoCellAnchor>
    <xdr:from>
      <xdr:col>2</xdr:col>
      <xdr:colOff>62776</xdr:colOff>
      <xdr:row>167</xdr:row>
      <xdr:rowOff>0</xdr:rowOff>
    </xdr:from>
    <xdr:to>
      <xdr:col>25</xdr:col>
      <xdr:colOff>195261</xdr:colOff>
      <xdr:row>167</xdr:row>
      <xdr:rowOff>1588</xdr:rowOff>
    </xdr:to>
    <xdr:cxnSp macro="">
      <xdr:nvCxnSpPr>
        <xdr:cNvPr id="24" name="AutoShape 1">
          <a:extLst>
            <a:ext uri="{FF2B5EF4-FFF2-40B4-BE49-F238E27FC236}">
              <a16:creationId xmlns:a16="http://schemas.microsoft.com/office/drawing/2014/main" id="{00000000-0008-0000-0000-000018000000}"/>
            </a:ext>
          </a:extLst>
        </xdr:cNvPr>
        <xdr:cNvCxnSpPr>
          <a:cxnSpLocks noChangeShapeType="1"/>
        </xdr:cNvCxnSpPr>
      </xdr:nvCxnSpPr>
      <xdr:spPr bwMode="auto">
        <a:xfrm>
          <a:off x="700951" y="31051500"/>
          <a:ext cx="6066560"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2</xdr:col>
      <xdr:colOff>0</xdr:colOff>
      <xdr:row>167</xdr:row>
      <xdr:rowOff>47628</xdr:rowOff>
    </xdr:from>
    <xdr:ext cx="2283317" cy="975267"/>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638175" y="31099128"/>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10</xdr:col>
      <xdr:colOff>152070</xdr:colOff>
      <xdr:row>168</xdr:row>
      <xdr:rowOff>136451</xdr:rowOff>
    </xdr:from>
    <xdr:ext cx="2458494" cy="386644"/>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2847645" y="31045076"/>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twoCellAnchor>
    <xdr:from>
      <xdr:col>2</xdr:col>
      <xdr:colOff>62776</xdr:colOff>
      <xdr:row>113</xdr:row>
      <xdr:rowOff>0</xdr:rowOff>
    </xdr:from>
    <xdr:to>
      <xdr:col>25</xdr:col>
      <xdr:colOff>195261</xdr:colOff>
      <xdr:row>113</xdr:row>
      <xdr:rowOff>1588</xdr:rowOff>
    </xdr:to>
    <xdr:cxnSp macro="">
      <xdr:nvCxnSpPr>
        <xdr:cNvPr id="27" name="AutoShape 1">
          <a:extLst>
            <a:ext uri="{FF2B5EF4-FFF2-40B4-BE49-F238E27FC236}">
              <a16:creationId xmlns:a16="http://schemas.microsoft.com/office/drawing/2014/main" id="{00000000-0008-0000-0000-00001B000000}"/>
            </a:ext>
          </a:extLst>
        </xdr:cNvPr>
        <xdr:cNvCxnSpPr>
          <a:cxnSpLocks noChangeShapeType="1"/>
        </xdr:cNvCxnSpPr>
      </xdr:nvCxnSpPr>
      <xdr:spPr bwMode="auto">
        <a:xfrm>
          <a:off x="700951" y="20593050"/>
          <a:ext cx="6066560"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2</xdr:col>
      <xdr:colOff>0</xdr:colOff>
      <xdr:row>113</xdr:row>
      <xdr:rowOff>47628</xdr:rowOff>
    </xdr:from>
    <xdr:ext cx="2283317" cy="975267"/>
    <xdr:sp macro="" textlink="">
      <xdr:nvSpPr>
        <xdr:cNvPr id="31" name="TextBox 30">
          <a:extLst>
            <a:ext uri="{FF2B5EF4-FFF2-40B4-BE49-F238E27FC236}">
              <a16:creationId xmlns:a16="http://schemas.microsoft.com/office/drawing/2014/main" id="{00000000-0008-0000-0000-00001F000000}"/>
            </a:ext>
          </a:extLst>
        </xdr:cNvPr>
        <xdr:cNvSpPr txBox="1"/>
      </xdr:nvSpPr>
      <xdr:spPr>
        <a:xfrm>
          <a:off x="638175" y="20640678"/>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11</xdr:col>
      <xdr:colOff>9195</xdr:colOff>
      <xdr:row>114</xdr:row>
      <xdr:rowOff>136451</xdr:rowOff>
    </xdr:from>
    <xdr:ext cx="2458494" cy="386644"/>
    <xdr:sp macro="" textlink="">
      <xdr:nvSpPr>
        <xdr:cNvPr id="32" name="TextBox 31">
          <a:extLst>
            <a:ext uri="{FF2B5EF4-FFF2-40B4-BE49-F238E27FC236}">
              <a16:creationId xmlns:a16="http://schemas.microsoft.com/office/drawing/2014/main" id="{00000000-0008-0000-0000-000020000000}"/>
            </a:ext>
          </a:extLst>
        </xdr:cNvPr>
        <xdr:cNvSpPr txBox="1"/>
      </xdr:nvSpPr>
      <xdr:spPr>
        <a:xfrm>
          <a:off x="2961945" y="20920001"/>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twoCellAnchor>
    <xdr:from>
      <xdr:col>2</xdr:col>
      <xdr:colOff>62776</xdr:colOff>
      <xdr:row>59</xdr:row>
      <xdr:rowOff>0</xdr:rowOff>
    </xdr:from>
    <xdr:to>
      <xdr:col>25</xdr:col>
      <xdr:colOff>195261</xdr:colOff>
      <xdr:row>59</xdr:row>
      <xdr:rowOff>1588</xdr:rowOff>
    </xdr:to>
    <xdr:cxnSp macro="">
      <xdr:nvCxnSpPr>
        <xdr:cNvPr id="33" name="AutoShape 1">
          <a:extLst>
            <a:ext uri="{FF2B5EF4-FFF2-40B4-BE49-F238E27FC236}">
              <a16:creationId xmlns:a16="http://schemas.microsoft.com/office/drawing/2014/main" id="{00000000-0008-0000-0000-000021000000}"/>
            </a:ext>
          </a:extLst>
        </xdr:cNvPr>
        <xdr:cNvCxnSpPr>
          <a:cxnSpLocks noChangeShapeType="1"/>
        </xdr:cNvCxnSpPr>
      </xdr:nvCxnSpPr>
      <xdr:spPr bwMode="auto">
        <a:xfrm>
          <a:off x="700951" y="10477500"/>
          <a:ext cx="6066560" cy="1588"/>
        </a:xfrm>
        <a:prstGeom prst="straightConnector1">
          <a:avLst/>
        </a:prstGeom>
        <a:noFill/>
        <a:ln w="28575">
          <a:solidFill>
            <a:srgbClr val="336600"/>
          </a:solidFill>
          <a:round/>
          <a:headEnd/>
          <a:tailEnd/>
        </a:ln>
        <a:effectLst>
          <a:outerShdw dist="35921" dir="2700000" algn="ctr" rotWithShape="0">
            <a:srgbClr val="808080"/>
          </a:outerShdw>
        </a:effectLst>
      </xdr:spPr>
    </xdr:cxnSp>
    <xdr:clientData/>
  </xdr:twoCellAnchor>
  <xdr:oneCellAnchor>
    <xdr:from>
      <xdr:col>2</xdr:col>
      <xdr:colOff>0</xdr:colOff>
      <xdr:row>59</xdr:row>
      <xdr:rowOff>47628</xdr:rowOff>
    </xdr:from>
    <xdr:ext cx="2283317" cy="975267"/>
    <xdr:sp macro="" textlink="">
      <xdr:nvSpPr>
        <xdr:cNvPr id="43" name="TextBox 42">
          <a:extLst>
            <a:ext uri="{FF2B5EF4-FFF2-40B4-BE49-F238E27FC236}">
              <a16:creationId xmlns:a16="http://schemas.microsoft.com/office/drawing/2014/main" id="{00000000-0008-0000-0000-00002B000000}"/>
            </a:ext>
          </a:extLst>
        </xdr:cNvPr>
        <xdr:cNvSpPr txBox="1"/>
      </xdr:nvSpPr>
      <xdr:spPr>
        <a:xfrm>
          <a:off x="638175" y="10525128"/>
          <a:ext cx="2283317" cy="97526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000">
              <a:latin typeface="Arial Narrow" pitchFamily="34" charset="0"/>
            </a:rPr>
            <a:t>Block 1 Lot 49, Jubilation Commercial Strip, </a:t>
          </a:r>
        </a:p>
        <a:p>
          <a:r>
            <a:rPr lang="en-US" sz="1000">
              <a:latin typeface="Arial Narrow" pitchFamily="34" charset="0"/>
            </a:rPr>
            <a:t>Brgy. Zapote, Biñan City, Laguna 4024 Phils.</a:t>
          </a:r>
        </a:p>
        <a:p>
          <a:r>
            <a:rPr lang="en-US" sz="1000">
              <a:latin typeface="Arial Narrow" pitchFamily="34" charset="0"/>
            </a:rPr>
            <a:t>Contact Nos.: (049) 513-5233/591-0807;</a:t>
          </a:r>
        </a:p>
        <a:p>
          <a:r>
            <a:rPr lang="en-US" sz="1000">
              <a:latin typeface="Arial Narrow" pitchFamily="34" charset="0"/>
            </a:rPr>
            <a:t>                 (02) 782-2153; 09236581107</a:t>
          </a:r>
        </a:p>
        <a:p>
          <a:r>
            <a:rPr lang="en-US" sz="1000">
              <a:latin typeface="Arial Narrow" pitchFamily="34" charset="0"/>
            </a:rPr>
            <a:t>Email: admin@sonjuengineering.com</a:t>
          </a:r>
        </a:p>
        <a:p>
          <a:r>
            <a:rPr lang="en-US" sz="1000">
              <a:latin typeface="Arial Narrow" pitchFamily="34" charset="0"/>
            </a:rPr>
            <a:t>Website:</a:t>
          </a:r>
          <a:r>
            <a:rPr lang="en-US" sz="1000" baseline="0">
              <a:latin typeface="Arial Narrow" pitchFamily="34" charset="0"/>
            </a:rPr>
            <a:t> www.sonjuengineering.com</a:t>
          </a:r>
          <a:endParaRPr lang="en-US" sz="1000">
            <a:latin typeface="Arial Narrow" pitchFamily="34" charset="0"/>
          </a:endParaRPr>
        </a:p>
      </xdr:txBody>
    </xdr:sp>
    <xdr:clientData/>
  </xdr:oneCellAnchor>
  <xdr:oneCellAnchor>
    <xdr:from>
      <xdr:col>11</xdr:col>
      <xdr:colOff>9195</xdr:colOff>
      <xdr:row>60</xdr:row>
      <xdr:rowOff>136451</xdr:rowOff>
    </xdr:from>
    <xdr:ext cx="2458494" cy="386644"/>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2961945" y="10804451"/>
          <a:ext cx="2458494" cy="38664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pPr algn="ctr"/>
          <a:r>
            <a:rPr lang="en-US" sz="1000">
              <a:latin typeface="Arial Narrow" pitchFamily="34" charset="0"/>
            </a:rPr>
            <a:t>This report shall not be reproduced except in full,</a:t>
          </a:r>
        </a:p>
        <a:p>
          <a:pPr algn="ctr"/>
          <a:r>
            <a:rPr lang="en-US" sz="1000">
              <a:latin typeface="Arial Narrow" pitchFamily="34" charset="0"/>
            </a:rPr>
            <a:t>without the written approval from the laboratory</a:t>
          </a:r>
        </a:p>
      </xdr:txBody>
    </xdr:sp>
    <xdr:clientData/>
  </xdr:oneCellAnchor>
  <xdr:twoCellAnchor>
    <xdr:from>
      <xdr:col>18</xdr:col>
      <xdr:colOff>0</xdr:colOff>
      <xdr:row>0</xdr:row>
      <xdr:rowOff>85724</xdr:rowOff>
    </xdr:from>
    <xdr:to>
      <xdr:col>26</xdr:col>
      <xdr:colOff>20712</xdr:colOff>
      <xdr:row>5</xdr:row>
      <xdr:rowOff>152399</xdr:rowOff>
    </xdr:to>
    <xdr:grpSp>
      <xdr:nvGrpSpPr>
        <xdr:cNvPr id="17" name="Group 16">
          <a:extLst>
            <a:ext uri="{FF2B5EF4-FFF2-40B4-BE49-F238E27FC236}">
              <a16:creationId xmlns:a16="http://schemas.microsoft.com/office/drawing/2014/main" id="{8FBC3D39-FB93-4199-ADAB-4F26F528F358}"/>
            </a:ext>
          </a:extLst>
        </xdr:cNvPr>
        <xdr:cNvGrpSpPr/>
      </xdr:nvGrpSpPr>
      <xdr:grpSpPr>
        <a:xfrm>
          <a:off x="4772025" y="85724"/>
          <a:ext cx="2078112" cy="1019175"/>
          <a:chOff x="4701890" y="86590"/>
          <a:chExt cx="2020962" cy="987425"/>
        </a:xfrm>
      </xdr:grpSpPr>
      <xdr:pic>
        <xdr:nvPicPr>
          <xdr:cNvPr id="18" name="Picture 2">
            <a:extLst>
              <a:ext uri="{FF2B5EF4-FFF2-40B4-BE49-F238E27FC236}">
                <a16:creationId xmlns:a16="http://schemas.microsoft.com/office/drawing/2014/main" id="{2B8C2AC3-1EF7-4AFF-A7BA-A6AE759D0784}"/>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63945C9D-7C50-42C7-ADF0-103B958AF6EC}"/>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39</xdr:col>
      <xdr:colOff>9525</xdr:colOff>
      <xdr:row>0</xdr:row>
      <xdr:rowOff>28575</xdr:rowOff>
    </xdr:from>
    <xdr:to>
      <xdr:col>50</xdr:col>
      <xdr:colOff>47626</xdr:colOff>
      <xdr:row>2</xdr:row>
      <xdr:rowOff>227240</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bwMode="auto">
        <a:xfrm>
          <a:off x="5753100" y="28575"/>
          <a:ext cx="1504951" cy="600075"/>
        </a:xfrm>
        <a:prstGeom prst="rect">
          <a:avLst/>
        </a:prstGeom>
        <a:noFill/>
        <a:ln w="9525">
          <a:noFill/>
          <a:miter lim="800000"/>
          <a:headEnd/>
          <a:tailEnd/>
        </a:ln>
      </xdr:spPr>
    </xdr:pic>
    <xdr:clientData/>
  </xdr:twoCellAnchor>
  <xdr:twoCellAnchor>
    <xdr:from>
      <xdr:col>47</xdr:col>
      <xdr:colOff>95250</xdr:colOff>
      <xdr:row>42</xdr:row>
      <xdr:rowOff>47625</xdr:rowOff>
    </xdr:from>
    <xdr:to>
      <xdr:col>48</xdr:col>
      <xdr:colOff>114300</xdr:colOff>
      <xdr:row>42</xdr:row>
      <xdr:rowOff>180975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72175"/>
          <a:ext cx="152400" cy="12382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43</xdr:row>
      <xdr:rowOff>28575</xdr:rowOff>
    </xdr:from>
    <xdr:to>
      <xdr:col>48</xdr:col>
      <xdr:colOff>114300</xdr:colOff>
      <xdr:row>43</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905625" y="6124575"/>
          <a:ext cx="15240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24</xdr:row>
      <xdr:rowOff>53957</xdr:rowOff>
    </xdr:from>
    <xdr:to>
      <xdr:col>31</xdr:col>
      <xdr:colOff>14269</xdr:colOff>
      <xdr:row>25</xdr:row>
      <xdr:rowOff>92057</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540231" y="2873357"/>
          <a:ext cx="150813"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126693</xdr:colOff>
      <xdr:row>22</xdr:row>
      <xdr:rowOff>50495</xdr:rowOff>
    </xdr:from>
    <xdr:to>
      <xdr:col>31</xdr:col>
      <xdr:colOff>7343</xdr:colOff>
      <xdr:row>23</xdr:row>
      <xdr:rowOff>88595</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536768" y="2679395"/>
          <a:ext cx="147350"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15</xdr:col>
      <xdr:colOff>352425</xdr:colOff>
      <xdr:row>25</xdr:row>
      <xdr:rowOff>142875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190500"/>
          <a:ext cx="8886825" cy="4714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3"/>
  <sheetViews>
    <sheetView showGridLines="0" view="pageBreakPreview" zoomScaleNormal="120" zoomScaleSheetLayoutView="100" zoomScalePageLayoutView="110" workbookViewId="0">
      <selection activeCell="O3" sqref="O3"/>
    </sheetView>
  </sheetViews>
  <sheetFormatPr defaultColWidth="0" defaultRowHeight="13.5" x14ac:dyDescent="0.2"/>
  <cols>
    <col min="1" max="1" width="3.85546875" style="35" customWidth="1"/>
    <col min="2" max="2" width="5.7109375" style="23" customWidth="1"/>
    <col min="3" max="12" width="3.85546875" style="23" customWidth="1"/>
    <col min="13" max="13" width="4.140625" style="23" customWidth="1"/>
    <col min="14" max="26" width="3.85546875" style="23" customWidth="1"/>
    <col min="27" max="27" width="3" style="23" customWidth="1"/>
    <col min="28" max="48" width="3.85546875" style="23" hidden="1" customWidth="1"/>
    <col min="49" max="16384" width="9.140625" style="23" hidden="1"/>
  </cols>
  <sheetData>
    <row r="1" spans="1:26" s="1" customFormat="1" ht="15" customHeight="1" x14ac:dyDescent="0.2">
      <c r="A1" s="2"/>
    </row>
    <row r="2" spans="1:26" s="1" customFormat="1" ht="15" customHeight="1" x14ac:dyDescent="0.2">
      <c r="A2" s="2"/>
    </row>
    <row r="3" spans="1:26" s="1" customFormat="1" ht="15" customHeight="1" x14ac:dyDescent="0.2">
      <c r="A3" s="2"/>
    </row>
    <row r="4" spans="1:26" s="1" customFormat="1" ht="15" customHeight="1" x14ac:dyDescent="0.2">
      <c r="A4" s="2"/>
    </row>
    <row r="5" spans="1:26" s="1" customFormat="1" ht="15" customHeight="1" x14ac:dyDescent="0.2">
      <c r="A5" s="2"/>
      <c r="C5" s="195" t="s">
        <v>64</v>
      </c>
      <c r="D5" s="195"/>
      <c r="E5" s="195"/>
      <c r="F5" s="195"/>
      <c r="G5" s="195"/>
      <c r="H5" s="195"/>
      <c r="I5" s="195"/>
      <c r="J5" s="195"/>
      <c r="K5" s="195"/>
      <c r="L5" s="195"/>
      <c r="M5" s="195"/>
      <c r="N5" s="195"/>
      <c r="O5" s="195"/>
      <c r="P5" s="195"/>
      <c r="Q5" s="195"/>
      <c r="R5" s="195"/>
      <c r="S5" s="195"/>
      <c r="T5" s="195"/>
      <c r="U5" s="195"/>
      <c r="V5" s="195"/>
      <c r="W5" s="195"/>
      <c r="X5" s="195"/>
      <c r="Y5" s="195"/>
      <c r="Z5" s="195"/>
    </row>
    <row r="6" spans="1:26" s="1" customFormat="1" ht="15" customHeight="1" x14ac:dyDescent="0.2">
      <c r="A6" s="2"/>
      <c r="C6" s="195"/>
      <c r="D6" s="195"/>
      <c r="E6" s="195"/>
      <c r="F6" s="195"/>
      <c r="G6" s="195"/>
      <c r="H6" s="195"/>
      <c r="I6" s="195"/>
      <c r="J6" s="195"/>
      <c r="K6" s="195"/>
      <c r="L6" s="195"/>
      <c r="M6" s="195"/>
      <c r="N6" s="195"/>
      <c r="O6" s="195"/>
      <c r="P6" s="195"/>
      <c r="Q6" s="195"/>
      <c r="R6" s="195"/>
      <c r="S6" s="195"/>
      <c r="T6" s="195"/>
      <c r="U6" s="195"/>
      <c r="V6" s="195"/>
      <c r="W6" s="195"/>
      <c r="X6" s="195"/>
      <c r="Y6" s="195"/>
      <c r="Z6" s="195"/>
    </row>
    <row r="7" spans="1:26" s="27" customFormat="1" ht="15" customHeight="1" x14ac:dyDescent="0.2">
      <c r="A7" s="36"/>
      <c r="R7" s="196" t="s">
        <v>0</v>
      </c>
      <c r="S7" s="196"/>
      <c r="T7" s="196"/>
      <c r="U7" s="196"/>
      <c r="V7" s="197" t="str">
        <f>CONCATENATE("25-",DataSheet!L5,DataSheet!N5,DataSheet!O5,DataSheet!AN5," ","Rev.00")</f>
        <v>25- Rev.00</v>
      </c>
      <c r="W7" s="197"/>
      <c r="X7" s="197"/>
      <c r="Y7" s="197"/>
      <c r="Z7" s="197"/>
    </row>
    <row r="8" spans="1:26" s="27" customFormat="1" ht="15" customHeight="1" x14ac:dyDescent="0.25">
      <c r="A8" s="36"/>
    </row>
    <row r="9" spans="1:26" s="27" customFormat="1" ht="15" customHeight="1" x14ac:dyDescent="0.25">
      <c r="A9" s="36"/>
      <c r="C9" s="25" t="s">
        <v>1</v>
      </c>
      <c r="O9" s="25" t="s">
        <v>2</v>
      </c>
    </row>
    <row r="10" spans="1:26" s="27" customFormat="1" ht="15" customHeight="1" x14ac:dyDescent="0.25">
      <c r="A10" s="36"/>
      <c r="D10" s="25">
        <f>DataSheet!H23</f>
        <v>0</v>
      </c>
      <c r="E10" s="25"/>
      <c r="F10" s="25"/>
      <c r="G10" s="25"/>
      <c r="H10" s="25"/>
      <c r="I10" s="25"/>
      <c r="J10" s="25"/>
      <c r="K10" s="25"/>
      <c r="L10" s="25"/>
      <c r="M10" s="25"/>
      <c r="N10" s="25"/>
      <c r="P10" s="198">
        <f>IF(DataSheet!AE23="x","SONJU ENGINEERING SERVICES",D10)</f>
        <v>0</v>
      </c>
      <c r="Q10" s="198"/>
      <c r="R10" s="198"/>
      <c r="S10" s="198"/>
      <c r="T10" s="198"/>
      <c r="U10" s="198"/>
      <c r="V10" s="198"/>
      <c r="W10" s="198"/>
      <c r="X10" s="198"/>
      <c r="Y10" s="198"/>
      <c r="Z10" s="25"/>
    </row>
    <row r="11" spans="1:26" ht="12.95" customHeight="1" x14ac:dyDescent="0.2">
      <c r="C11" s="24"/>
      <c r="D11" s="199">
        <f>DataSheet!H25</f>
        <v>0</v>
      </c>
      <c r="E11" s="199"/>
      <c r="F11" s="199"/>
      <c r="G11" s="199"/>
      <c r="H11" s="199"/>
      <c r="I11" s="199"/>
      <c r="J11" s="199"/>
      <c r="K11" s="199"/>
      <c r="L11" s="199"/>
      <c r="M11" s="199"/>
      <c r="N11" s="199"/>
      <c r="O11" s="26"/>
      <c r="P11" s="199" t="str">
        <f>DataSheet!AG27</f>
        <v>Electrical Room</v>
      </c>
      <c r="Q11" s="199"/>
      <c r="R11" s="199"/>
      <c r="S11" s="199"/>
      <c r="T11" s="199"/>
      <c r="U11" s="199"/>
      <c r="V11" s="199"/>
      <c r="W11" s="199"/>
      <c r="X11" s="199"/>
      <c r="Y11" s="199"/>
      <c r="Z11" s="26"/>
    </row>
    <row r="12" spans="1:26" ht="12.95" customHeight="1" x14ac:dyDescent="0.2">
      <c r="D12" s="199"/>
      <c r="E12" s="199"/>
      <c r="F12" s="199"/>
      <c r="G12" s="199"/>
      <c r="H12" s="199"/>
      <c r="I12" s="199"/>
      <c r="J12" s="199"/>
      <c r="K12" s="199"/>
      <c r="L12" s="199"/>
      <c r="M12" s="199"/>
      <c r="N12" s="199"/>
      <c r="O12" s="26"/>
      <c r="P12" s="199"/>
      <c r="Q12" s="199"/>
      <c r="R12" s="199"/>
      <c r="S12" s="199"/>
      <c r="T12" s="199"/>
      <c r="U12" s="199"/>
      <c r="V12" s="199"/>
      <c r="W12" s="199"/>
      <c r="X12" s="199"/>
      <c r="Y12" s="199"/>
      <c r="Z12" s="26"/>
    </row>
    <row r="13" spans="1:26" ht="12.95" customHeight="1" x14ac:dyDescent="0.2">
      <c r="D13" s="199"/>
      <c r="E13" s="199"/>
      <c r="F13" s="199"/>
      <c r="G13" s="199"/>
      <c r="H13" s="199"/>
      <c r="I13" s="199"/>
      <c r="J13" s="199"/>
      <c r="K13" s="199"/>
      <c r="L13" s="199"/>
      <c r="M13" s="199"/>
      <c r="N13" s="199"/>
      <c r="O13" s="26"/>
      <c r="P13" s="199"/>
      <c r="Q13" s="199"/>
      <c r="R13" s="199"/>
      <c r="S13" s="199"/>
      <c r="T13" s="199"/>
      <c r="U13" s="199"/>
      <c r="V13" s="199"/>
      <c r="W13" s="199"/>
      <c r="X13" s="199"/>
      <c r="Y13" s="199"/>
      <c r="Z13" s="32"/>
    </row>
    <row r="14" spans="1:26" ht="12.95" customHeight="1" x14ac:dyDescent="0.2">
      <c r="D14" s="26"/>
      <c r="E14" s="26"/>
      <c r="F14" s="26"/>
      <c r="G14" s="26"/>
      <c r="H14" s="26"/>
      <c r="I14" s="26"/>
      <c r="J14" s="26"/>
      <c r="K14" s="26"/>
      <c r="L14" s="26"/>
      <c r="M14" s="26"/>
      <c r="N14" s="26"/>
      <c r="O14" s="26"/>
      <c r="P14" s="32"/>
      <c r="Q14" s="32"/>
      <c r="R14" s="32"/>
      <c r="S14" s="32"/>
      <c r="T14" s="32"/>
      <c r="U14" s="32"/>
      <c r="V14" s="32"/>
      <c r="W14" s="32"/>
      <c r="X14" s="32"/>
      <c r="Y14" s="32"/>
      <c r="Z14" s="32"/>
    </row>
    <row r="15" spans="1:26" s="27" customFormat="1" ht="15" customHeight="1" x14ac:dyDescent="0.25">
      <c r="A15" s="36"/>
      <c r="C15" s="25" t="s">
        <v>3</v>
      </c>
      <c r="H15" s="202" t="str">
        <f>DataSheet!K9</f>
        <v>Fluke</v>
      </c>
      <c r="I15" s="202"/>
      <c r="J15" s="202"/>
      <c r="K15" s="202"/>
      <c r="L15" s="202"/>
      <c r="M15" s="202"/>
      <c r="O15" s="25" t="s">
        <v>7</v>
      </c>
      <c r="T15" s="27" t="str">
        <f>DataSheet!K7</f>
        <v>Digital Multimeter</v>
      </c>
    </row>
    <row r="16" spans="1:26" s="27" customFormat="1" ht="15" customHeight="1" x14ac:dyDescent="0.25">
      <c r="A16" s="36"/>
      <c r="C16" s="25" t="s">
        <v>4</v>
      </c>
      <c r="H16" s="202">
        <f>DataSheet!K11</f>
        <v>114</v>
      </c>
      <c r="I16" s="202"/>
      <c r="J16" s="202"/>
      <c r="K16" s="202"/>
      <c r="L16" s="202"/>
      <c r="M16" s="202"/>
      <c r="O16" s="25" t="s">
        <v>8</v>
      </c>
      <c r="T16" s="202" t="str">
        <f>DataSheet!AL11</f>
        <v>none</v>
      </c>
      <c r="U16" s="202"/>
      <c r="V16" s="202"/>
      <c r="W16" s="202"/>
      <c r="X16" s="202"/>
      <c r="Y16" s="202"/>
      <c r="Z16" s="202"/>
    </row>
    <row r="17" spans="1:26" s="27" customFormat="1" ht="15" customHeight="1" x14ac:dyDescent="0.25">
      <c r="A17" s="36"/>
      <c r="C17" s="30" t="s">
        <v>5</v>
      </c>
      <c r="H17" s="201">
        <f>DataSheet!K13</f>
        <v>0</v>
      </c>
      <c r="I17" s="202"/>
      <c r="J17" s="202"/>
      <c r="K17" s="202"/>
      <c r="L17" s="202"/>
      <c r="M17" s="202"/>
      <c r="O17" s="25" t="s">
        <v>9</v>
      </c>
      <c r="T17" s="202">
        <f>DataSheet!AL15</f>
        <v>0</v>
      </c>
      <c r="U17" s="202"/>
      <c r="V17" s="202"/>
      <c r="W17" s="202"/>
      <c r="X17" s="202"/>
      <c r="Y17" s="202"/>
      <c r="Z17" s="202"/>
    </row>
    <row r="18" spans="1:26" s="27" customFormat="1" ht="15" customHeight="1" x14ac:dyDescent="0.25">
      <c r="A18" s="36"/>
      <c r="C18" s="25" t="s">
        <v>65</v>
      </c>
      <c r="H18" s="203">
        <f>DataSheet!AL9</f>
        <v>0</v>
      </c>
      <c r="I18" s="203"/>
      <c r="J18" s="203"/>
      <c r="K18" s="203"/>
      <c r="L18" s="203"/>
      <c r="M18" s="203"/>
      <c r="O18" s="25" t="s">
        <v>66</v>
      </c>
      <c r="T18" s="202">
        <f>DataSheet!L5</f>
        <v>0</v>
      </c>
      <c r="U18" s="202"/>
      <c r="V18" s="202"/>
      <c r="W18" s="202"/>
      <c r="X18" s="202"/>
      <c r="Y18" s="202"/>
      <c r="Z18" s="202"/>
    </row>
    <row r="19" spans="1:26" s="27" customFormat="1" ht="15" customHeight="1" x14ac:dyDescent="0.25">
      <c r="A19" s="36"/>
      <c r="C19" s="25" t="s">
        <v>157</v>
      </c>
      <c r="H19" s="200">
        <f>DataSheet!AL7</f>
        <v>0</v>
      </c>
      <c r="I19" s="200"/>
      <c r="J19" s="200"/>
      <c r="K19" s="200"/>
      <c r="L19" s="200"/>
      <c r="M19" s="200"/>
      <c r="N19" s="200"/>
      <c r="O19" s="25" t="s">
        <v>10</v>
      </c>
      <c r="T19" s="201" t="str">
        <f>DataSheet!AL13</f>
        <v>none</v>
      </c>
      <c r="U19" s="201"/>
      <c r="V19" s="201"/>
      <c r="W19" s="201"/>
      <c r="X19" s="201"/>
      <c r="Y19" s="201"/>
      <c r="Z19" s="201"/>
    </row>
    <row r="20" spans="1:26" s="27" customFormat="1" ht="15" customHeight="1" x14ac:dyDescent="0.25">
      <c r="A20" s="36"/>
      <c r="C20" s="25" t="s">
        <v>6</v>
      </c>
      <c r="H20" s="202" t="e">
        <f>IF(DataSheet!AE23="x","23 °C ± 5 °C",CONCATENATE(ROUND(AVERAGE(DataSheet!I37:J38),1)," ","°C"))</f>
        <v>#DIV/0!</v>
      </c>
      <c r="I20" s="202"/>
      <c r="J20" s="202"/>
      <c r="K20" s="202"/>
      <c r="L20" s="202"/>
      <c r="M20" s="202"/>
      <c r="O20" s="25" t="s">
        <v>11</v>
      </c>
      <c r="T20" s="202" t="e">
        <f>IF(DataSheet!AE23="x","55 %rh ± 15 %rh",CONCATENATE(ROUND(AVERAGE(DataSheet!R37:S38),1)," ","%rh"))</f>
        <v>#DIV/0!</v>
      </c>
      <c r="U20" s="202"/>
      <c r="V20" s="202"/>
      <c r="W20" s="202"/>
      <c r="X20" s="202"/>
      <c r="Y20" s="202"/>
      <c r="Z20" s="202"/>
    </row>
    <row r="21" spans="1:26" s="27" customFormat="1" ht="12.95" customHeight="1" x14ac:dyDescent="0.25">
      <c r="A21" s="36"/>
    </row>
    <row r="22" spans="1:26" s="27" customFormat="1" ht="12.95" customHeight="1" x14ac:dyDescent="0.25">
      <c r="A22" s="36"/>
    </row>
    <row r="23" spans="1:26" s="27" customFormat="1" ht="15" customHeight="1" x14ac:dyDescent="0.25">
      <c r="A23" s="36"/>
      <c r="C23" s="25" t="s">
        <v>12</v>
      </c>
    </row>
    <row r="24" spans="1:26" s="27" customFormat="1" ht="15" customHeight="1" x14ac:dyDescent="0.25">
      <c r="A24" s="36"/>
      <c r="C24" s="191" t="str">
        <f>DataSheet!AB36</f>
        <v>As per Manufacturer's recommended performance tests procedure for Fluke 114 Digital Multimeter Calibration Information, 1st - rev., September 2006.</v>
      </c>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spans="1:26" s="27" customFormat="1" ht="15" customHeight="1" x14ac:dyDescent="0.25">
      <c r="A25" s="36"/>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spans="1:26" s="27" customFormat="1" ht="9.9499999999999993" customHeight="1" x14ac:dyDescent="0.25">
      <c r="A26" s="36"/>
      <c r="I26" s="38"/>
      <c r="J26" s="38"/>
      <c r="K26" s="38"/>
      <c r="L26" s="38"/>
      <c r="M26" s="38"/>
      <c r="N26" s="38"/>
      <c r="O26" s="38"/>
      <c r="P26" s="38"/>
      <c r="Q26" s="38"/>
      <c r="R26" s="38"/>
      <c r="S26" s="38"/>
      <c r="T26" s="38"/>
      <c r="U26" s="38"/>
      <c r="V26" s="38"/>
      <c r="W26" s="38"/>
      <c r="X26" s="38"/>
      <c r="Y26" s="38"/>
      <c r="Z26" s="38"/>
    </row>
    <row r="27" spans="1:26" s="27" customFormat="1" ht="15" customHeight="1" x14ac:dyDescent="0.25">
      <c r="A27" s="36"/>
      <c r="C27" s="191" t="s">
        <v>67</v>
      </c>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spans="1:26" s="27" customFormat="1" ht="15" customHeight="1" x14ac:dyDescent="0.25">
      <c r="A28" s="36"/>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spans="1:26" s="27" customFormat="1" ht="9.9499999999999993" customHeight="1" x14ac:dyDescent="0.25">
      <c r="A29" s="36"/>
    </row>
    <row r="30" spans="1:26" s="27" customFormat="1" ht="15" customHeight="1" x14ac:dyDescent="0.25">
      <c r="A30" s="36"/>
      <c r="C30" s="25" t="s">
        <v>136</v>
      </c>
    </row>
    <row r="31" spans="1:26" s="27" customFormat="1" ht="15" customHeight="1" x14ac:dyDescent="0.25">
      <c r="A31" s="36"/>
      <c r="C31" s="191" t="s">
        <v>145</v>
      </c>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spans="1:26" s="27" customFormat="1" ht="15" customHeight="1" x14ac:dyDescent="0.25">
      <c r="A32" s="36"/>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spans="1:27" s="27" customFormat="1" ht="15" customHeight="1" x14ac:dyDescent="0.25">
      <c r="A33" s="36"/>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spans="1:27" s="27" customFormat="1" ht="9.9499999999999993" customHeight="1" x14ac:dyDescent="0.25">
      <c r="A34" s="36"/>
    </row>
    <row r="35" spans="1:27" s="27" customFormat="1" ht="15" customHeight="1" x14ac:dyDescent="0.25">
      <c r="A35" s="36"/>
      <c r="C35" s="27" t="s">
        <v>146</v>
      </c>
      <c r="D35" s="31"/>
      <c r="E35" s="31"/>
      <c r="F35" s="31"/>
      <c r="G35" s="31"/>
      <c r="H35" s="31"/>
      <c r="I35" s="31"/>
      <c r="J35" s="31"/>
      <c r="K35" s="31"/>
      <c r="L35" s="31"/>
      <c r="M35" s="31"/>
      <c r="N35" s="31"/>
      <c r="O35" s="31"/>
      <c r="P35" s="31"/>
      <c r="Q35" s="31"/>
      <c r="R35" s="31"/>
      <c r="S35" s="31"/>
      <c r="T35" s="31"/>
      <c r="U35" s="31"/>
      <c r="V35" s="31"/>
      <c r="W35" s="31"/>
      <c r="X35" s="31"/>
      <c r="Y35" s="31"/>
      <c r="Z35" s="31"/>
      <c r="AA35" s="31"/>
    </row>
    <row r="36" spans="1:27" s="27" customFormat="1" ht="15" customHeight="1" x14ac:dyDescent="0.25">
      <c r="A36" s="36"/>
      <c r="C36" s="191" t="s">
        <v>161</v>
      </c>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31"/>
    </row>
    <row r="37" spans="1:27" ht="15" customHeight="1" x14ac:dyDescent="0.2">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spans="1:27" s="27" customFormat="1" ht="9.9499999999999993" customHeight="1" x14ac:dyDescent="0.25">
      <c r="A38" s="36"/>
    </row>
    <row r="39" spans="1:27" s="27" customFormat="1" ht="15" customHeight="1" x14ac:dyDescent="0.25">
      <c r="A39" s="36"/>
      <c r="C39" s="25" t="s">
        <v>13</v>
      </c>
    </row>
    <row r="40" spans="1:27" s="27" customFormat="1" ht="9.9499999999999993" customHeight="1" x14ac:dyDescent="0.25">
      <c r="A40" s="36"/>
    </row>
    <row r="41" spans="1:27" s="27" customFormat="1" ht="15" customHeight="1" x14ac:dyDescent="0.25">
      <c r="A41" s="36"/>
      <c r="D41" s="194" t="s">
        <v>14</v>
      </c>
      <c r="E41" s="194"/>
      <c r="F41" s="194"/>
      <c r="G41" s="194"/>
      <c r="H41" s="194"/>
      <c r="I41" s="194"/>
      <c r="J41" s="194"/>
      <c r="K41" s="194" t="s">
        <v>15</v>
      </c>
      <c r="L41" s="194"/>
      <c r="M41" s="194"/>
      <c r="N41" s="194"/>
      <c r="O41" s="194" t="s">
        <v>17</v>
      </c>
      <c r="P41" s="194"/>
      <c r="Q41" s="194"/>
      <c r="R41" s="194"/>
      <c r="S41" s="194"/>
      <c r="T41" s="194"/>
      <c r="U41" s="194"/>
      <c r="V41" s="194" t="s">
        <v>16</v>
      </c>
      <c r="W41" s="194"/>
      <c r="X41" s="194"/>
      <c r="Y41" s="194"/>
      <c r="Z41" s="25"/>
    </row>
    <row r="42" spans="1:27" s="27" customFormat="1" ht="15" customHeight="1" x14ac:dyDescent="0.25">
      <c r="A42" s="36"/>
      <c r="D42" s="194"/>
      <c r="E42" s="194"/>
      <c r="F42" s="194"/>
      <c r="G42" s="194"/>
      <c r="H42" s="194"/>
      <c r="I42" s="194"/>
      <c r="J42" s="194"/>
      <c r="K42" s="194"/>
      <c r="L42" s="194"/>
      <c r="M42" s="194"/>
      <c r="N42" s="194"/>
      <c r="O42" s="194"/>
      <c r="P42" s="194"/>
      <c r="Q42" s="194"/>
      <c r="R42" s="194"/>
      <c r="S42" s="194"/>
      <c r="T42" s="194"/>
      <c r="U42" s="194"/>
      <c r="V42" s="194"/>
      <c r="W42" s="194"/>
      <c r="X42" s="194"/>
      <c r="Y42" s="194"/>
      <c r="Z42" s="25"/>
    </row>
    <row r="43" spans="1:27" s="27" customFormat="1" ht="15" customHeight="1" x14ac:dyDescent="0.25">
      <c r="A43" s="36"/>
      <c r="D43" s="192" t="str">
        <f>DataSheet!B31</f>
        <v>Multiproduct Calibrator</v>
      </c>
      <c r="E43" s="192"/>
      <c r="F43" s="192"/>
      <c r="G43" s="192"/>
      <c r="H43" s="192"/>
      <c r="I43" s="192"/>
      <c r="J43" s="192"/>
      <c r="K43" s="192">
        <f>DataSheet!Q31</f>
        <v>8100021</v>
      </c>
      <c r="L43" s="192"/>
      <c r="M43" s="192"/>
      <c r="N43" s="192"/>
      <c r="O43" s="209" t="str">
        <f>DataSheet!AB31</f>
        <v>24-9973-01ALT Rev.00</v>
      </c>
      <c r="P43" s="209"/>
      <c r="Q43" s="209"/>
      <c r="R43" s="209"/>
      <c r="S43" s="209"/>
      <c r="T43" s="209"/>
      <c r="U43" s="209"/>
      <c r="V43" s="210">
        <f>DataSheet!AO31</f>
        <v>0</v>
      </c>
      <c r="W43" s="210"/>
      <c r="X43" s="210"/>
      <c r="Y43" s="210"/>
      <c r="Z43" s="37"/>
    </row>
    <row r="44" spans="1:27" s="27" customFormat="1" ht="9.9499999999999993" customHeight="1" x14ac:dyDescent="0.25">
      <c r="A44" s="36"/>
    </row>
    <row r="45" spans="1:27" s="27" customFormat="1" ht="15" customHeight="1" x14ac:dyDescent="0.25">
      <c r="A45" s="36"/>
      <c r="C45" s="25" t="s">
        <v>18</v>
      </c>
    </row>
    <row r="46" spans="1:27" s="27" customFormat="1" ht="15" customHeight="1" x14ac:dyDescent="0.25">
      <c r="A46" s="36"/>
      <c r="C46" s="207" t="s">
        <v>139</v>
      </c>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31"/>
    </row>
    <row r="47" spans="1:27" s="27" customFormat="1" ht="15" customHeight="1" x14ac:dyDescent="0.25">
      <c r="A47" s="36"/>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c r="AA47" s="31"/>
    </row>
    <row r="48" spans="1:27" s="27" customFormat="1" ht="15" customHeight="1" x14ac:dyDescent="0.25">
      <c r="A48" s="36"/>
      <c r="C48" s="207"/>
      <c r="D48" s="207"/>
      <c r="E48" s="207"/>
      <c r="F48" s="207"/>
      <c r="G48" s="207"/>
      <c r="H48" s="207"/>
      <c r="I48" s="207"/>
      <c r="J48" s="207"/>
      <c r="K48" s="207"/>
      <c r="L48" s="207"/>
      <c r="M48" s="207"/>
      <c r="N48" s="207"/>
      <c r="O48" s="207"/>
      <c r="P48" s="207"/>
      <c r="Q48" s="207"/>
      <c r="R48" s="207"/>
      <c r="S48" s="207"/>
      <c r="T48" s="207"/>
      <c r="U48" s="207"/>
      <c r="V48" s="207"/>
      <c r="W48" s="207"/>
      <c r="X48" s="207"/>
      <c r="Y48" s="207"/>
      <c r="Z48" s="207"/>
      <c r="AA48" s="31"/>
    </row>
    <row r="49" spans="1:26" s="27" customFormat="1" ht="15" customHeight="1" x14ac:dyDescent="0.2">
      <c r="A49" s="36"/>
      <c r="C49" s="207" t="s">
        <v>54</v>
      </c>
      <c r="D49" s="207"/>
      <c r="E49" s="207"/>
      <c r="F49" s="207"/>
      <c r="G49" s="207"/>
      <c r="H49" s="207"/>
      <c r="I49" s="207"/>
      <c r="J49" s="207"/>
      <c r="K49" s="207"/>
      <c r="L49" s="207"/>
      <c r="M49" s="207"/>
      <c r="N49" s="207"/>
      <c r="O49" s="207"/>
      <c r="P49" s="207"/>
      <c r="Q49" s="207"/>
      <c r="R49" s="207"/>
      <c r="S49" s="207"/>
      <c r="T49" s="207"/>
      <c r="U49" s="207"/>
      <c r="V49" s="207"/>
      <c r="W49" s="207"/>
      <c r="X49" s="207"/>
      <c r="Y49" s="207"/>
      <c r="Z49" s="207"/>
    </row>
    <row r="50" spans="1:26" s="27" customFormat="1" ht="15" customHeight="1" x14ac:dyDescent="0.2">
      <c r="A50" s="36"/>
      <c r="C50" s="207" t="s">
        <v>140</v>
      </c>
      <c r="D50" s="207"/>
      <c r="E50" s="207"/>
      <c r="F50" s="207"/>
      <c r="G50" s="207"/>
      <c r="H50" s="207"/>
      <c r="I50" s="207"/>
      <c r="J50" s="207"/>
      <c r="K50" s="207"/>
      <c r="L50" s="207"/>
      <c r="M50" s="207"/>
      <c r="N50" s="207"/>
      <c r="O50" s="207"/>
      <c r="P50" s="207"/>
      <c r="Q50" s="207"/>
      <c r="R50" s="207"/>
      <c r="S50" s="207"/>
      <c r="T50" s="207"/>
      <c r="U50" s="207"/>
      <c r="V50" s="207"/>
      <c r="W50" s="207"/>
      <c r="X50" s="207"/>
      <c r="Y50" s="207"/>
      <c r="Z50" s="207"/>
    </row>
    <row r="51" spans="1:26" s="27" customFormat="1" ht="15" customHeight="1" x14ac:dyDescent="0.25">
      <c r="A51" s="36"/>
      <c r="C51" s="27" t="s">
        <v>158</v>
      </c>
    </row>
    <row r="52" spans="1:26" ht="15" customHeight="1" x14ac:dyDescent="0.2">
      <c r="C52" s="207" t="s">
        <v>149</v>
      </c>
      <c r="D52" s="207"/>
      <c r="E52" s="207"/>
      <c r="F52" s="207"/>
      <c r="G52" s="207"/>
      <c r="H52" s="207"/>
      <c r="I52" s="207"/>
      <c r="J52" s="207"/>
      <c r="K52" s="207"/>
      <c r="L52" s="207"/>
      <c r="M52" s="207"/>
      <c r="N52" s="207"/>
      <c r="O52" s="206">
        <f>EDATE(DataSheet!AL9,12)</f>
        <v>366</v>
      </c>
      <c r="P52" s="206"/>
      <c r="Q52" s="206"/>
    </row>
    <row r="53" spans="1:26" ht="13.7" customHeight="1" x14ac:dyDescent="0.2"/>
    <row r="54" spans="1:26" ht="13.7" customHeight="1" x14ac:dyDescent="0.2"/>
    <row r="55" spans="1:26" ht="13.7" customHeight="1" x14ac:dyDescent="0.2"/>
    <row r="56" spans="1:26" ht="15" customHeight="1" x14ac:dyDescent="0.2">
      <c r="E56" s="204">
        <f>DataSheet!B111</f>
        <v>0</v>
      </c>
      <c r="F56" s="204"/>
      <c r="G56" s="204"/>
      <c r="H56" s="204"/>
      <c r="I56" s="204"/>
      <c r="J56" s="204"/>
      <c r="K56" s="204"/>
      <c r="S56" s="204" t="s">
        <v>156</v>
      </c>
      <c r="T56" s="204"/>
      <c r="U56" s="204"/>
      <c r="V56" s="204"/>
      <c r="W56" s="204"/>
    </row>
    <row r="57" spans="1:26" ht="15" customHeight="1" x14ac:dyDescent="0.2">
      <c r="E57" s="205" t="s">
        <v>62</v>
      </c>
      <c r="F57" s="205"/>
      <c r="G57" s="205"/>
      <c r="H57" s="205"/>
      <c r="I57" s="205"/>
      <c r="J57" s="205"/>
      <c r="K57" s="205"/>
      <c r="S57" s="205" t="s">
        <v>162</v>
      </c>
      <c r="T57" s="205"/>
      <c r="U57" s="205"/>
      <c r="V57" s="205"/>
      <c r="W57" s="205"/>
    </row>
    <row r="58" spans="1:26" ht="15" customHeight="1" x14ac:dyDescent="0.2">
      <c r="D58" s="33"/>
      <c r="E58" s="33"/>
      <c r="F58" s="33"/>
      <c r="G58" s="33"/>
      <c r="H58" s="33"/>
      <c r="S58" s="33"/>
      <c r="T58" s="33"/>
      <c r="U58" s="33"/>
      <c r="V58" s="33"/>
      <c r="W58" s="33"/>
    </row>
    <row r="59" spans="1:26" s="27" customFormat="1" ht="15" customHeight="1" x14ac:dyDescent="0.25">
      <c r="A59" s="36"/>
      <c r="D59" s="211" t="s">
        <v>19</v>
      </c>
      <c r="E59" s="211"/>
      <c r="F59" s="211"/>
      <c r="G59" s="200"/>
      <c r="H59" s="200"/>
      <c r="I59" s="200"/>
      <c r="J59" s="200"/>
    </row>
    <row r="60" spans="1:26" ht="15" customHeight="1" x14ac:dyDescent="0.2">
      <c r="D60" s="24"/>
      <c r="G60" s="34"/>
      <c r="H60" s="34"/>
      <c r="I60" s="34"/>
      <c r="J60" s="34"/>
    </row>
    <row r="61" spans="1:26" ht="15" customHeight="1" x14ac:dyDescent="0.2"/>
    <row r="62" spans="1:26" ht="15" customHeight="1" x14ac:dyDescent="0.2"/>
    <row r="63" spans="1:26" ht="15" customHeight="1" x14ac:dyDescent="0.2"/>
    <row r="64" spans="1:26" ht="15" customHeight="1" x14ac:dyDescent="0.2"/>
    <row r="65" spans="4:26" ht="15" customHeight="1" x14ac:dyDescent="0.2"/>
    <row r="66" spans="4:26" ht="15" customHeight="1" x14ac:dyDescent="0.2"/>
    <row r="67" spans="4:26" ht="15" customHeight="1" x14ac:dyDescent="0.2">
      <c r="D67" s="24" t="s">
        <v>26</v>
      </c>
    </row>
    <row r="68" spans="4:26" ht="15" customHeight="1" x14ac:dyDescent="0.2"/>
    <row r="69" spans="4:26" ht="15" customHeight="1" x14ac:dyDescent="0.2">
      <c r="E69" s="24" t="str">
        <f>DataSheet!F49</f>
        <v>Resistance Test</v>
      </c>
    </row>
    <row r="70" spans="4:26" ht="15" customHeight="1" x14ac:dyDescent="0.2">
      <c r="E70" s="193" t="s">
        <v>53</v>
      </c>
      <c r="F70" s="193"/>
      <c r="G70" s="193"/>
      <c r="H70" s="193"/>
      <c r="I70" s="194" t="s">
        <v>61</v>
      </c>
      <c r="J70" s="194"/>
      <c r="K70" s="194"/>
      <c r="L70" s="194"/>
      <c r="M70" s="194" t="s">
        <v>95</v>
      </c>
      <c r="N70" s="194"/>
      <c r="O70" s="194"/>
      <c r="P70" s="194"/>
      <c r="Q70" s="194" t="s">
        <v>63</v>
      </c>
      <c r="R70" s="194"/>
      <c r="S70" s="194"/>
      <c r="T70" s="194"/>
      <c r="U70" s="194" t="s">
        <v>137</v>
      </c>
      <c r="V70" s="194"/>
      <c r="W70" s="194"/>
      <c r="X70" s="194"/>
      <c r="Y70" s="29"/>
      <c r="Z70" s="29"/>
    </row>
    <row r="71" spans="4:26" ht="15" customHeight="1" x14ac:dyDescent="0.2">
      <c r="E71" s="193"/>
      <c r="F71" s="193"/>
      <c r="G71" s="193"/>
      <c r="H71" s="193"/>
      <c r="I71" s="194"/>
      <c r="J71" s="194"/>
      <c r="K71" s="194"/>
      <c r="L71" s="194"/>
      <c r="M71" s="194"/>
      <c r="N71" s="194"/>
      <c r="O71" s="194"/>
      <c r="P71" s="194"/>
      <c r="Q71" s="194"/>
      <c r="R71" s="194"/>
      <c r="S71" s="194"/>
      <c r="T71" s="194"/>
      <c r="U71" s="194"/>
      <c r="V71" s="194"/>
      <c r="W71" s="194"/>
      <c r="X71" s="194"/>
      <c r="Y71" s="29"/>
      <c r="Z71" s="29"/>
    </row>
    <row r="72" spans="4:26" ht="15" customHeight="1" x14ac:dyDescent="0.2">
      <c r="E72" s="193"/>
      <c r="F72" s="193"/>
      <c r="G72" s="193"/>
      <c r="H72" s="193"/>
      <c r="I72" s="194"/>
      <c r="J72" s="194"/>
      <c r="K72" s="194"/>
      <c r="L72" s="194"/>
      <c r="M72" s="194"/>
      <c r="N72" s="194"/>
      <c r="O72" s="194"/>
      <c r="P72" s="194"/>
      <c r="Q72" s="194"/>
      <c r="R72" s="194"/>
      <c r="S72" s="194"/>
      <c r="T72" s="194"/>
      <c r="U72" s="194"/>
      <c r="V72" s="194"/>
      <c r="W72" s="194"/>
      <c r="X72" s="194"/>
      <c r="Y72" s="29"/>
      <c r="Z72" s="29"/>
    </row>
    <row r="73" spans="4:26" ht="15" customHeight="1" x14ac:dyDescent="0.2">
      <c r="E73" s="192" t="str">
        <f>DataSheet!F52</f>
        <v>600 Ω</v>
      </c>
      <c r="F73" s="192"/>
      <c r="G73" s="192"/>
      <c r="H73" s="192"/>
      <c r="I73" s="192" t="str">
        <f>CONCATENATE(DataSheet!L52," ",DataSheet!P52)</f>
        <v>0 Ω</v>
      </c>
      <c r="J73" s="192"/>
      <c r="K73" s="192"/>
      <c r="L73" s="192"/>
      <c r="M73" s="192" t="e">
        <f>CONCATENATE(TEXT(DataSheet!AM52,"0.0")," ",DataSheet!P52)</f>
        <v>#DIV/0!</v>
      </c>
      <c r="N73" s="192"/>
      <c r="O73" s="192"/>
      <c r="P73" s="192"/>
      <c r="Q73" s="192" t="e">
        <f>CONCATENATE(TEXT(DataSheet!AR52,"0.0")," ",DataSheet!P52)</f>
        <v>#DIV/0!</v>
      </c>
      <c r="R73" s="192"/>
      <c r="S73" s="192"/>
      <c r="T73" s="192"/>
      <c r="U73" s="192" t="e">
        <f>CONCATENATE(TEXT(DataSheet!DE52,"0.000")," ",DataSheet!DF52)</f>
        <v>#DIV/0!</v>
      </c>
      <c r="V73" s="192"/>
      <c r="W73" s="192"/>
      <c r="X73" s="192"/>
      <c r="Y73" s="31"/>
      <c r="Z73" s="31"/>
    </row>
    <row r="74" spans="4:26" ht="15" customHeight="1" x14ac:dyDescent="0.2">
      <c r="E74" s="192"/>
      <c r="F74" s="192"/>
      <c r="G74" s="192"/>
      <c r="H74" s="192"/>
      <c r="I74" s="192" t="str">
        <f>CONCATENATE(DataSheet!L53," ",DataSheet!P53)</f>
        <v>500 Ω</v>
      </c>
      <c r="J74" s="192"/>
      <c r="K74" s="192"/>
      <c r="L74" s="192"/>
      <c r="M74" s="192" t="e">
        <f>CONCATENATE(TEXT(DataSheet!AM53,"0.0")," ",DataSheet!P53)</f>
        <v>#DIV/0!</v>
      </c>
      <c r="N74" s="192"/>
      <c r="O74" s="192"/>
      <c r="P74" s="192"/>
      <c r="Q74" s="192" t="e">
        <f>CONCATENATE(TEXT(DataSheet!AR53,"0.0")," ",DataSheet!P53)</f>
        <v>#DIV/0!</v>
      </c>
      <c r="R74" s="192"/>
      <c r="S74" s="192"/>
      <c r="T74" s="192"/>
      <c r="U74" s="192" t="e">
        <f>CONCATENATE(TEXT(DataSheet!DE53,"0.000")," ",DataSheet!DF53)</f>
        <v>#DIV/0!</v>
      </c>
      <c r="V74" s="192"/>
      <c r="W74" s="192"/>
      <c r="X74" s="192"/>
      <c r="Y74" s="31"/>
      <c r="Z74" s="31"/>
    </row>
    <row r="75" spans="4:26" ht="15" customHeight="1" x14ac:dyDescent="0.2">
      <c r="E75" s="192" t="str">
        <f>DataSheet!F54</f>
        <v>6 kΩ</v>
      </c>
      <c r="F75" s="192"/>
      <c r="G75" s="192"/>
      <c r="H75" s="192"/>
      <c r="I75" s="192" t="str">
        <f>CONCATENATE(DataSheet!L54," ",DataSheet!P54)</f>
        <v>5 kΩ</v>
      </c>
      <c r="J75" s="192"/>
      <c r="K75" s="192"/>
      <c r="L75" s="192"/>
      <c r="M75" s="192" t="e">
        <f>CONCATENATE(TEXT(DataSheet!AM54,"0.000")," ",DataSheet!P54)</f>
        <v>#DIV/0!</v>
      </c>
      <c r="N75" s="192"/>
      <c r="O75" s="192"/>
      <c r="P75" s="192"/>
      <c r="Q75" s="192" t="e">
        <f>CONCATENATE(TEXT(DataSheet!AR54,"0.000")," ",DataSheet!P54)</f>
        <v>#DIV/0!</v>
      </c>
      <c r="R75" s="192"/>
      <c r="S75" s="192"/>
      <c r="T75" s="192"/>
      <c r="U75" s="192" t="e">
        <f>CONCATENATE(TEXT(DataSheet!DE54,"0.000\ 00")," ",DataSheet!DF54)</f>
        <v>#DIV/0!</v>
      </c>
      <c r="V75" s="192"/>
      <c r="W75" s="192"/>
      <c r="X75" s="192"/>
      <c r="Y75" s="31"/>
      <c r="Z75" s="31"/>
    </row>
    <row r="76" spans="4:26" ht="15" customHeight="1" x14ac:dyDescent="0.2">
      <c r="E76" s="192" t="str">
        <f>DataSheet!F55</f>
        <v>60 kΩ</v>
      </c>
      <c r="F76" s="192"/>
      <c r="G76" s="192"/>
      <c r="H76" s="192"/>
      <c r="I76" s="192" t="str">
        <f>CONCATENATE(DataSheet!L55," ",DataSheet!P55)</f>
        <v>50 kΩ</v>
      </c>
      <c r="J76" s="192"/>
      <c r="K76" s="192"/>
      <c r="L76" s="192"/>
      <c r="M76" s="192" t="e">
        <f>CONCATENATE(TEXT(DataSheet!AM55,"0.00")," ",DataSheet!P55)</f>
        <v>#DIV/0!</v>
      </c>
      <c r="N76" s="192"/>
      <c r="O76" s="192"/>
      <c r="P76" s="192"/>
      <c r="Q76" s="192" t="e">
        <f>CONCATENATE(TEXT(DataSheet!AR55,"0.00")," ",DataSheet!P55)</f>
        <v>#DIV/0!</v>
      </c>
      <c r="R76" s="192"/>
      <c r="S76" s="192"/>
      <c r="T76" s="192"/>
      <c r="U76" s="192" t="e">
        <f>CONCATENATE(TEXT(DataSheet!DE55,"0.000\ 0")," ",DataSheet!DF55)</f>
        <v>#DIV/0!</v>
      </c>
      <c r="V76" s="192"/>
      <c r="W76" s="192"/>
      <c r="X76" s="192"/>
      <c r="Y76" s="31"/>
      <c r="Z76" s="31"/>
    </row>
    <row r="77" spans="4:26" ht="15" customHeight="1" x14ac:dyDescent="0.2">
      <c r="E77" s="192" t="str">
        <f>DataSheet!F56</f>
        <v>600 kΩ</v>
      </c>
      <c r="F77" s="192"/>
      <c r="G77" s="192"/>
      <c r="H77" s="192"/>
      <c r="I77" s="192" t="str">
        <f>CONCATENATE(DataSheet!L56," ",DataSheet!P56)</f>
        <v>500 kΩ</v>
      </c>
      <c r="J77" s="192"/>
      <c r="K77" s="192"/>
      <c r="L77" s="192"/>
      <c r="M77" s="192" t="e">
        <f>CONCATENATE(TEXT(DataSheet!AM56,"0.0")," ",DataSheet!P56)</f>
        <v>#DIV/0!</v>
      </c>
      <c r="N77" s="192"/>
      <c r="O77" s="192"/>
      <c r="P77" s="192"/>
      <c r="Q77" s="192" t="e">
        <f>CONCATENATE(TEXT(DataSheet!AR56,"0.0")," ",DataSheet!P56)</f>
        <v>#DIV/0!</v>
      </c>
      <c r="R77" s="192"/>
      <c r="S77" s="192"/>
      <c r="T77" s="192"/>
      <c r="U77" s="192" t="e">
        <f>CONCATENATE(TEXT(DataSheet!DE56,"0.000")," ",DataSheet!DF56)</f>
        <v>#DIV/0!</v>
      </c>
      <c r="V77" s="192"/>
      <c r="W77" s="192"/>
      <c r="X77" s="192"/>
      <c r="Y77" s="31"/>
      <c r="Z77" s="31"/>
    </row>
    <row r="78" spans="4:26" ht="15" customHeight="1" x14ac:dyDescent="0.2">
      <c r="E78" s="208" t="str">
        <f>DataSheet!F57</f>
        <v>6 MΩ</v>
      </c>
      <c r="F78" s="208"/>
      <c r="G78" s="208"/>
      <c r="H78" s="208"/>
      <c r="I78" s="192" t="str">
        <f>CONCATENATE(DataSheet!L57," ",DataSheet!P57)</f>
        <v>5 MΩ</v>
      </c>
      <c r="J78" s="192"/>
      <c r="K78" s="192"/>
      <c r="L78" s="192"/>
      <c r="M78" s="192" t="e">
        <f>CONCATENATE(TEXT(DataSheet!AM57,"0.000")," ",DataSheet!P57)</f>
        <v>#DIV/0!</v>
      </c>
      <c r="N78" s="192"/>
      <c r="O78" s="192"/>
      <c r="P78" s="192"/>
      <c r="Q78" s="192" t="e">
        <f>CONCATENATE(TEXT(DataSheet!AR57,"0.000")," ",DataSheet!P57)</f>
        <v>#DIV/0!</v>
      </c>
      <c r="R78" s="192"/>
      <c r="S78" s="192"/>
      <c r="T78" s="192"/>
      <c r="U78" s="192" t="e">
        <f>CONCATENATE(TEXT(DataSheet!DE57,"0.000\ 00")," ",DataSheet!DF57)</f>
        <v>#DIV/0!</v>
      </c>
      <c r="V78" s="192"/>
      <c r="W78" s="192"/>
      <c r="X78" s="192"/>
      <c r="Y78" s="31"/>
      <c r="Z78" s="31"/>
    </row>
    <row r="79" spans="4:26" ht="15" customHeight="1" x14ac:dyDescent="0.2">
      <c r="E79" s="208" t="str">
        <f>DataSheet!F58</f>
        <v>40 MΩ</v>
      </c>
      <c r="F79" s="208"/>
      <c r="G79" s="208"/>
      <c r="H79" s="208"/>
      <c r="I79" s="192" t="str">
        <f>CONCATENATE(DataSheet!L58," ",DataSheet!P58)</f>
        <v>10 MΩ</v>
      </c>
      <c r="J79" s="192"/>
      <c r="K79" s="192"/>
      <c r="L79" s="192"/>
      <c r="M79" s="192" t="e">
        <f>CONCATENATE(TEXT(DataSheet!AM58,"0.00")," ",DataSheet!P58)</f>
        <v>#DIV/0!</v>
      </c>
      <c r="N79" s="192"/>
      <c r="O79" s="192"/>
      <c r="P79" s="192"/>
      <c r="Q79" s="192" t="e">
        <f>CONCATENATE(TEXT(DataSheet!AR58,"0.00")," ",DataSheet!P58)</f>
        <v>#DIV/0!</v>
      </c>
      <c r="R79" s="192"/>
      <c r="S79" s="192"/>
      <c r="T79" s="192"/>
      <c r="U79" s="192" t="e">
        <f>CONCATENATE(TEXT(DataSheet!DE58,"0.000\ 0")," ",DataSheet!DF58)</f>
        <v>#DIV/0!</v>
      </c>
      <c r="V79" s="192"/>
      <c r="W79" s="192"/>
      <c r="X79" s="192"/>
      <c r="Y79" s="31"/>
      <c r="Z79" s="31"/>
    </row>
    <row r="80" spans="4:26" ht="15" customHeight="1" x14ac:dyDescent="0.2">
      <c r="E80" s="208"/>
      <c r="F80" s="208"/>
      <c r="G80" s="208"/>
      <c r="H80" s="208"/>
      <c r="I80" s="192" t="str">
        <f>CONCATENATE(DataSheet!L59," ",DataSheet!P59)</f>
        <v>30 MΩ</v>
      </c>
      <c r="J80" s="192"/>
      <c r="K80" s="192"/>
      <c r="L80" s="192"/>
      <c r="M80" s="192" t="e">
        <f>CONCATENATE(TEXT(DataSheet!AM59,"0.00")," ",DataSheet!P59)</f>
        <v>#DIV/0!</v>
      </c>
      <c r="N80" s="192"/>
      <c r="O80" s="192"/>
      <c r="P80" s="192"/>
      <c r="Q80" s="192" t="e">
        <f>CONCATENATE(TEXT(DataSheet!AR59,"0.00")," ",DataSheet!P59)</f>
        <v>#DIV/0!</v>
      </c>
      <c r="R80" s="192"/>
      <c r="S80" s="192"/>
      <c r="T80" s="192"/>
      <c r="U80" s="192" t="e">
        <f>CONCATENATE(TEXT(DataSheet!DE59,"0.000\ 0")," ",DataSheet!DF59)</f>
        <v>#DIV/0!</v>
      </c>
      <c r="V80" s="192"/>
      <c r="W80" s="192"/>
      <c r="X80" s="192"/>
      <c r="Y80" s="31"/>
      <c r="Z80" s="31"/>
    </row>
    <row r="81" spans="3:30" ht="15" customHeight="1" x14ac:dyDescent="0.2">
      <c r="C81" s="25"/>
      <c r="E81" s="28"/>
      <c r="F81" s="28"/>
      <c r="G81" s="28"/>
      <c r="H81" s="28"/>
      <c r="I81" s="28"/>
      <c r="J81" s="28"/>
      <c r="K81" s="28"/>
      <c r="L81" s="28"/>
      <c r="M81" s="28"/>
      <c r="N81" s="28"/>
      <c r="O81" s="28"/>
      <c r="P81" s="28"/>
      <c r="Q81" s="28"/>
      <c r="R81" s="28"/>
      <c r="S81" s="28"/>
      <c r="T81" s="28"/>
      <c r="U81" s="28"/>
      <c r="V81" s="28"/>
      <c r="W81" s="28"/>
      <c r="X81" s="28"/>
      <c r="Y81" s="27"/>
      <c r="Z81" s="29"/>
    </row>
    <row r="82" spans="3:30" ht="15" customHeight="1" x14ac:dyDescent="0.2">
      <c r="E82" s="30" t="str">
        <f>DataSheet!F61</f>
        <v>Continuity Test</v>
      </c>
      <c r="F82" s="28"/>
      <c r="G82" s="28"/>
      <c r="H82" s="28"/>
      <c r="I82" s="28"/>
      <c r="J82" s="28"/>
      <c r="K82" s="28"/>
      <c r="L82" s="28"/>
      <c r="M82" s="28"/>
      <c r="N82" s="28"/>
      <c r="O82" s="28"/>
      <c r="P82" s="28"/>
      <c r="Q82" s="28"/>
      <c r="R82" s="28"/>
      <c r="S82" s="28"/>
      <c r="T82" s="28"/>
      <c r="U82" s="28"/>
      <c r="V82" s="28"/>
      <c r="W82" s="28"/>
      <c r="X82" s="28"/>
      <c r="Y82" s="27"/>
      <c r="Z82" s="29"/>
    </row>
    <row r="83" spans="3:30" ht="15" customHeight="1" x14ac:dyDescent="0.2">
      <c r="D83" s="29"/>
      <c r="E83" s="194" t="s">
        <v>53</v>
      </c>
      <c r="F83" s="194"/>
      <c r="G83" s="194"/>
      <c r="H83" s="194"/>
      <c r="I83" s="194" t="s">
        <v>61</v>
      </c>
      <c r="J83" s="194"/>
      <c r="K83" s="194"/>
      <c r="L83" s="194"/>
      <c r="M83" s="212" t="s">
        <v>147</v>
      </c>
      <c r="N83" s="213"/>
      <c r="O83" s="213"/>
      <c r="P83" s="213"/>
      <c r="Q83" s="213"/>
      <c r="R83" s="213"/>
      <c r="S83" s="213"/>
      <c r="T83" s="214"/>
      <c r="U83" s="194" t="s">
        <v>98</v>
      </c>
      <c r="V83" s="194"/>
      <c r="W83" s="194"/>
      <c r="X83" s="194"/>
      <c r="Y83" s="29"/>
      <c r="Z83" s="29"/>
      <c r="AA83" s="29"/>
      <c r="AB83" s="29"/>
      <c r="AC83" s="29"/>
      <c r="AD83" s="29"/>
    </row>
    <row r="84" spans="3:30" ht="15" customHeight="1" x14ac:dyDescent="0.2">
      <c r="D84" s="29"/>
      <c r="E84" s="194"/>
      <c r="F84" s="194"/>
      <c r="G84" s="194"/>
      <c r="H84" s="194"/>
      <c r="I84" s="194"/>
      <c r="J84" s="194"/>
      <c r="K84" s="194"/>
      <c r="L84" s="194"/>
      <c r="M84" s="215"/>
      <c r="N84" s="216"/>
      <c r="O84" s="216"/>
      <c r="P84" s="216"/>
      <c r="Q84" s="216"/>
      <c r="R84" s="216"/>
      <c r="S84" s="216"/>
      <c r="T84" s="217"/>
      <c r="U84" s="194"/>
      <c r="V84" s="194"/>
      <c r="W84" s="194"/>
      <c r="X84" s="194"/>
      <c r="Y84" s="29"/>
      <c r="Z84" s="29"/>
      <c r="AA84" s="29"/>
      <c r="AB84" s="29"/>
      <c r="AC84" s="29"/>
      <c r="AD84" s="29"/>
    </row>
    <row r="85" spans="3:30" ht="15" customHeight="1" x14ac:dyDescent="0.2">
      <c r="D85" s="29"/>
      <c r="E85" s="194"/>
      <c r="F85" s="194"/>
      <c r="G85" s="194"/>
      <c r="H85" s="194"/>
      <c r="I85" s="194"/>
      <c r="J85" s="194"/>
      <c r="K85" s="194"/>
      <c r="L85" s="194"/>
      <c r="M85" s="194" t="s">
        <v>115</v>
      </c>
      <c r="N85" s="194"/>
      <c r="O85" s="194"/>
      <c r="P85" s="194"/>
      <c r="Q85" s="194" t="s">
        <v>116</v>
      </c>
      <c r="R85" s="194"/>
      <c r="S85" s="194"/>
      <c r="T85" s="194"/>
      <c r="U85" s="194"/>
      <c r="V85" s="194"/>
      <c r="W85" s="194"/>
      <c r="X85" s="194"/>
      <c r="Y85" s="29"/>
      <c r="Z85" s="29"/>
      <c r="AA85" s="29"/>
      <c r="AB85" s="29"/>
      <c r="AC85" s="29"/>
      <c r="AD85" s="29"/>
    </row>
    <row r="86" spans="3:30" ht="15" customHeight="1" x14ac:dyDescent="0.2">
      <c r="D86" s="31"/>
      <c r="E86" s="192" t="str">
        <f>DataSheet!F64</f>
        <v>600 Ω</v>
      </c>
      <c r="F86" s="192"/>
      <c r="G86" s="192"/>
      <c r="H86" s="192"/>
      <c r="I86" s="192" t="str">
        <f>CONCATENATE(DataSheet!L64," ",DataSheet!P64)</f>
        <v>25 Ω</v>
      </c>
      <c r="J86" s="192"/>
      <c r="K86" s="192"/>
      <c r="L86" s="192"/>
      <c r="M86" s="192" t="str">
        <f>DataSheet!AA64</f>
        <v>Beep On</v>
      </c>
      <c r="N86" s="192"/>
      <c r="O86" s="192"/>
      <c r="P86" s="192"/>
      <c r="Q86" s="192" t="str">
        <f>DataSheet!S64</f>
        <v>Beep On</v>
      </c>
      <c r="R86" s="192"/>
      <c r="S86" s="192"/>
      <c r="T86" s="192"/>
      <c r="U86" s="192" t="str">
        <f>DataSheet!AI64</f>
        <v>PASS</v>
      </c>
      <c r="V86" s="192"/>
      <c r="W86" s="192"/>
      <c r="X86" s="192"/>
      <c r="Y86" s="31"/>
      <c r="Z86" s="31"/>
      <c r="AA86" s="31"/>
      <c r="AB86" s="31"/>
      <c r="AC86" s="31"/>
      <c r="AD86" s="31"/>
    </row>
    <row r="87" spans="3:30" ht="15" customHeight="1" x14ac:dyDescent="0.2">
      <c r="D87" s="31"/>
      <c r="E87" s="192"/>
      <c r="F87" s="192"/>
      <c r="G87" s="192"/>
      <c r="H87" s="192"/>
      <c r="I87" s="192" t="str">
        <f>CONCATENATE(DataSheet!L65," ",DataSheet!P65)</f>
        <v>250 Ω</v>
      </c>
      <c r="J87" s="192"/>
      <c r="K87" s="192"/>
      <c r="L87" s="192"/>
      <c r="M87" s="192" t="str">
        <f>DataSheet!AA65</f>
        <v>Beep Off</v>
      </c>
      <c r="N87" s="192"/>
      <c r="O87" s="192"/>
      <c r="P87" s="192"/>
      <c r="Q87" s="192" t="str">
        <f>DataSheet!S65</f>
        <v>Beep Off</v>
      </c>
      <c r="R87" s="192"/>
      <c r="S87" s="192"/>
      <c r="T87" s="192"/>
      <c r="U87" s="192" t="str">
        <f>DataSheet!AI65</f>
        <v>PASS</v>
      </c>
      <c r="V87" s="192"/>
      <c r="W87" s="192"/>
      <c r="X87" s="192"/>
      <c r="Y87" s="31"/>
      <c r="Z87" s="31"/>
      <c r="AA87" s="31"/>
      <c r="AB87" s="31"/>
      <c r="AC87" s="31"/>
      <c r="AD87" s="31"/>
    </row>
    <row r="88" spans="3:30" ht="15" customHeight="1" x14ac:dyDescent="0.2">
      <c r="C88" s="25"/>
      <c r="E88" s="28"/>
      <c r="F88" s="28"/>
      <c r="G88" s="28"/>
      <c r="I88" s="28"/>
      <c r="J88" s="28"/>
      <c r="K88" s="28"/>
      <c r="L88" s="28"/>
      <c r="M88" s="28"/>
      <c r="N88" s="28"/>
      <c r="O88" s="28"/>
      <c r="P88" s="28"/>
      <c r="Q88" s="28"/>
      <c r="R88" s="28"/>
      <c r="S88" s="28"/>
      <c r="T88" s="28"/>
      <c r="U88" s="28"/>
      <c r="V88" s="28"/>
      <c r="W88" s="28"/>
      <c r="X88" s="28"/>
      <c r="Y88" s="27"/>
      <c r="Z88" s="29"/>
    </row>
    <row r="89" spans="3:30" ht="15" customHeight="1" x14ac:dyDescent="0.2">
      <c r="E89" s="30" t="str">
        <f>DataSheet!F67</f>
        <v>AC Voltage Test</v>
      </c>
      <c r="F89" s="28"/>
      <c r="G89" s="28"/>
      <c r="H89" s="28"/>
      <c r="I89" s="28"/>
      <c r="J89" s="28"/>
      <c r="K89" s="28"/>
      <c r="L89" s="28"/>
      <c r="M89" s="28"/>
      <c r="N89" s="28"/>
      <c r="O89" s="28"/>
      <c r="P89" s="28"/>
      <c r="Q89" s="28"/>
      <c r="R89" s="28"/>
      <c r="S89" s="28"/>
      <c r="T89" s="28"/>
      <c r="U89" s="28"/>
      <c r="V89" s="28"/>
      <c r="W89" s="28"/>
      <c r="X89" s="28"/>
      <c r="Y89" s="27"/>
      <c r="Z89" s="29"/>
    </row>
    <row r="90" spans="3:30" ht="15" customHeight="1" x14ac:dyDescent="0.2">
      <c r="E90" s="193" t="s">
        <v>53</v>
      </c>
      <c r="F90" s="193"/>
      <c r="G90" s="193"/>
      <c r="H90" s="193"/>
      <c r="I90" s="194" t="s">
        <v>61</v>
      </c>
      <c r="J90" s="194"/>
      <c r="K90" s="194"/>
      <c r="L90" s="194"/>
      <c r="M90" s="194" t="s">
        <v>95</v>
      </c>
      <c r="N90" s="194"/>
      <c r="O90" s="194"/>
      <c r="P90" s="194"/>
      <c r="Q90" s="194" t="s">
        <v>63</v>
      </c>
      <c r="R90" s="194"/>
      <c r="S90" s="194"/>
      <c r="T90" s="194"/>
      <c r="U90" s="194" t="s">
        <v>137</v>
      </c>
      <c r="V90" s="194"/>
      <c r="W90" s="194"/>
      <c r="X90" s="194"/>
      <c r="Y90" s="29"/>
      <c r="Z90" s="29"/>
    </row>
    <row r="91" spans="3:30" ht="15" customHeight="1" x14ac:dyDescent="0.2">
      <c r="E91" s="193"/>
      <c r="F91" s="193"/>
      <c r="G91" s="193"/>
      <c r="H91" s="193"/>
      <c r="I91" s="194"/>
      <c r="J91" s="194"/>
      <c r="K91" s="194"/>
      <c r="L91" s="194"/>
      <c r="M91" s="194"/>
      <c r="N91" s="194"/>
      <c r="O91" s="194"/>
      <c r="P91" s="194"/>
      <c r="Q91" s="194"/>
      <c r="R91" s="194"/>
      <c r="S91" s="194"/>
      <c r="T91" s="194"/>
      <c r="U91" s="194"/>
      <c r="V91" s="194"/>
      <c r="W91" s="194"/>
      <c r="X91" s="194"/>
      <c r="Y91" s="29"/>
      <c r="Z91" s="29"/>
    </row>
    <row r="92" spans="3:30" ht="15" customHeight="1" x14ac:dyDescent="0.2">
      <c r="E92" s="193"/>
      <c r="F92" s="193"/>
      <c r="G92" s="193"/>
      <c r="H92" s="193"/>
      <c r="I92" s="194"/>
      <c r="J92" s="194"/>
      <c r="K92" s="194"/>
      <c r="L92" s="194"/>
      <c r="M92" s="194"/>
      <c r="N92" s="194"/>
      <c r="O92" s="194"/>
      <c r="P92" s="194"/>
      <c r="Q92" s="194"/>
      <c r="R92" s="194"/>
      <c r="S92" s="194"/>
      <c r="T92" s="194"/>
      <c r="U92" s="194"/>
      <c r="V92" s="194"/>
      <c r="W92" s="194"/>
      <c r="X92" s="194"/>
      <c r="Y92" s="29"/>
      <c r="Z92" s="29"/>
    </row>
    <row r="93" spans="3:30" ht="15" customHeight="1" x14ac:dyDescent="0.2">
      <c r="E93" s="192" t="str">
        <f>DataSheet!F70</f>
        <v>6 V</v>
      </c>
      <c r="F93" s="192"/>
      <c r="G93" s="192"/>
      <c r="H93" s="192"/>
      <c r="I93" s="192" t="str">
        <f>CONCATENATE(DataSheet!L70," ",DataSheet!P70," / ",DataSheet!S70)</f>
        <v>5 V / 45 Hz</v>
      </c>
      <c r="J93" s="192"/>
      <c r="K93" s="192"/>
      <c r="L93" s="192"/>
      <c r="M93" s="192" t="str">
        <f>CONCATENATE(DataSheet!AH70," ",DataSheet!P70)</f>
        <v xml:space="preserve"> V</v>
      </c>
      <c r="N93" s="192"/>
      <c r="O93" s="192"/>
      <c r="P93" s="192"/>
      <c r="Q93" s="192" t="e">
        <f>CONCATENATE(TEXT(DataSheet!AR70,"0.000")," ",DataSheet!P70)</f>
        <v>#DIV/0!</v>
      </c>
      <c r="R93" s="192"/>
      <c r="S93" s="192"/>
      <c r="T93" s="192"/>
      <c r="U93" s="192" t="e">
        <f>CONCATENATE(TEXT(DataSheet!DE70,"0.000\ 0")," ",DataSheet!DF70)</f>
        <v>#DIV/0!</v>
      </c>
      <c r="V93" s="192"/>
      <c r="W93" s="192"/>
      <c r="X93" s="192"/>
      <c r="Y93" s="31"/>
      <c r="Z93" s="31"/>
    </row>
    <row r="94" spans="3:30" ht="15" customHeight="1" x14ac:dyDescent="0.2">
      <c r="E94" s="192"/>
      <c r="F94" s="192"/>
      <c r="G94" s="192"/>
      <c r="H94" s="192"/>
      <c r="I94" s="192" t="str">
        <f>CONCATENATE(DataSheet!L71," ",DataSheet!P71," / ",DataSheet!S71)</f>
        <v>5 V / 1 kHz</v>
      </c>
      <c r="J94" s="192"/>
      <c r="K94" s="192"/>
      <c r="L94" s="192"/>
      <c r="M94" s="192" t="str">
        <f>CONCATENATE(DataSheet!AH71," ",DataSheet!P71)</f>
        <v xml:space="preserve"> V</v>
      </c>
      <c r="N94" s="192"/>
      <c r="O94" s="192"/>
      <c r="P94" s="192"/>
      <c r="Q94" s="192" t="e">
        <f>CONCATENATE(TEXT(DataSheet!AR71,"0.000")," ",DataSheet!P71)</f>
        <v>#DIV/0!</v>
      </c>
      <c r="R94" s="192"/>
      <c r="S94" s="192"/>
      <c r="T94" s="192"/>
      <c r="U94" s="192" t="e">
        <f>CONCATENATE(TEXT(DataSheet!DE71,"0.000\ 0")," ",DataSheet!DF71)</f>
        <v>#DIV/0!</v>
      </c>
      <c r="V94" s="192"/>
      <c r="W94" s="192"/>
      <c r="X94" s="192"/>
      <c r="Y94" s="31"/>
      <c r="Z94" s="31"/>
    </row>
    <row r="95" spans="3:30" ht="15" customHeight="1" x14ac:dyDescent="0.2">
      <c r="E95" s="192" t="str">
        <f>DataSheet!F72</f>
        <v>60 V</v>
      </c>
      <c r="F95" s="192"/>
      <c r="G95" s="192"/>
      <c r="H95" s="192"/>
      <c r="I95" s="192" t="str">
        <f>CONCATENATE(DataSheet!L72," ",DataSheet!P72," / ",DataSheet!S72)</f>
        <v>50 V / 45 Hz</v>
      </c>
      <c r="J95" s="192"/>
      <c r="K95" s="192"/>
      <c r="L95" s="192"/>
      <c r="M95" s="192" t="str">
        <f>CONCATENATE(DataSheet!AH72," ",DataSheet!P72)</f>
        <v xml:space="preserve"> V</v>
      </c>
      <c r="N95" s="192"/>
      <c r="O95" s="192"/>
      <c r="P95" s="192"/>
      <c r="Q95" s="192" t="e">
        <f>CONCATENATE(TEXT(DataSheet!AR72,"0.00")," ",DataSheet!P72)</f>
        <v>#DIV/0!</v>
      </c>
      <c r="R95" s="192"/>
      <c r="S95" s="192"/>
      <c r="T95" s="192"/>
      <c r="U95" s="192" t="e">
        <f>CONCATENATE(TEXT(DataSheet!DE72,"0.000")," ",DataSheet!DF72)</f>
        <v>#DIV/0!</v>
      </c>
      <c r="V95" s="192"/>
      <c r="W95" s="192"/>
      <c r="X95" s="192"/>
      <c r="Y95" s="31"/>
      <c r="Z95" s="31"/>
    </row>
    <row r="96" spans="3:30" ht="15" customHeight="1" x14ac:dyDescent="0.2">
      <c r="E96" s="192"/>
      <c r="F96" s="192"/>
      <c r="G96" s="192"/>
      <c r="H96" s="192"/>
      <c r="I96" s="192" t="str">
        <f>CONCATENATE(DataSheet!L73," ",DataSheet!P73," / ",DataSheet!S73)</f>
        <v>50 V / 1 kHz</v>
      </c>
      <c r="J96" s="192"/>
      <c r="K96" s="192"/>
      <c r="L96" s="192"/>
      <c r="M96" s="192" t="str">
        <f>CONCATENATE(DataSheet!AH73," ",DataSheet!P73)</f>
        <v xml:space="preserve"> V</v>
      </c>
      <c r="N96" s="192"/>
      <c r="O96" s="192"/>
      <c r="P96" s="192"/>
      <c r="Q96" s="192" t="e">
        <f>CONCATENATE(TEXT(DataSheet!AR73,"0.00")," ",DataSheet!P73)</f>
        <v>#DIV/0!</v>
      </c>
      <c r="R96" s="192"/>
      <c r="S96" s="192"/>
      <c r="T96" s="192"/>
      <c r="U96" s="192" t="e">
        <f>CONCATENATE(TEXT(DataSheet!DE73,"0.000")," ",DataSheet!DF73)</f>
        <v>#DIV/0!</v>
      </c>
      <c r="V96" s="192"/>
      <c r="W96" s="192"/>
      <c r="X96" s="192"/>
      <c r="Y96" s="31"/>
      <c r="Z96" s="31"/>
    </row>
    <row r="97" spans="3:27" ht="15" customHeight="1" x14ac:dyDescent="0.2">
      <c r="E97" s="192" t="str">
        <f>DataSheet!F74</f>
        <v>600 V</v>
      </c>
      <c r="F97" s="192"/>
      <c r="G97" s="192"/>
      <c r="H97" s="192"/>
      <c r="I97" s="192" t="str">
        <f>CONCATENATE(DataSheet!L74," ",DataSheet!P74," / ",DataSheet!S74)</f>
        <v>600 V / 45 Hz</v>
      </c>
      <c r="J97" s="192"/>
      <c r="K97" s="192"/>
      <c r="L97" s="192"/>
      <c r="M97" s="192" t="str">
        <f>CONCATENATE(DataSheet!AH74," ",DataSheet!P74)</f>
        <v xml:space="preserve"> V</v>
      </c>
      <c r="N97" s="192"/>
      <c r="O97" s="192"/>
      <c r="P97" s="192"/>
      <c r="Q97" s="192" t="e">
        <f>CONCATENATE(TEXT(DataSheet!AR74,"0.0")," ",DataSheet!P74)</f>
        <v>#DIV/0!</v>
      </c>
      <c r="R97" s="192"/>
      <c r="S97" s="192"/>
      <c r="T97" s="192"/>
      <c r="U97" s="192" t="e">
        <f>CONCATENATE(TEXT(DataSheet!DE74,"0.000")," ",DataSheet!DF74)</f>
        <v>#DIV/0!</v>
      </c>
      <c r="V97" s="192"/>
      <c r="W97" s="192"/>
      <c r="X97" s="192"/>
      <c r="Y97" s="31"/>
      <c r="Z97" s="31"/>
    </row>
    <row r="98" spans="3:27" ht="15" customHeight="1" x14ac:dyDescent="0.2">
      <c r="E98" s="192"/>
      <c r="F98" s="192"/>
      <c r="G98" s="192"/>
      <c r="H98" s="192"/>
      <c r="I98" s="192" t="str">
        <f>CONCATENATE(DataSheet!L75," ",DataSheet!P75," / ",DataSheet!S75)</f>
        <v>600 V / 1 kHz</v>
      </c>
      <c r="J98" s="192"/>
      <c r="K98" s="192"/>
      <c r="L98" s="192"/>
      <c r="M98" s="192" t="str">
        <f>CONCATENATE(DataSheet!AH75," ",DataSheet!P75)</f>
        <v xml:space="preserve"> V</v>
      </c>
      <c r="N98" s="192"/>
      <c r="O98" s="192"/>
      <c r="P98" s="192"/>
      <c r="Q98" s="192" t="e">
        <f>CONCATENATE(TEXT(DataSheet!AR75,"0.0")," ",DataSheet!P75)</f>
        <v>#DIV/0!</v>
      </c>
      <c r="R98" s="192"/>
      <c r="S98" s="192"/>
      <c r="T98" s="192"/>
      <c r="U98" s="192" t="e">
        <f>CONCATENATE(TEXT(DataSheet!DE75,"0.000")," ",DataSheet!DF75)</f>
        <v>#DIV/0!</v>
      </c>
      <c r="V98" s="192"/>
      <c r="W98" s="192"/>
      <c r="X98" s="192"/>
      <c r="Y98" s="31"/>
      <c r="Z98" s="31"/>
    </row>
    <row r="99" spans="3:27" ht="15" customHeight="1" x14ac:dyDescent="0.2">
      <c r="C99" s="25"/>
      <c r="E99" s="28"/>
      <c r="F99" s="28"/>
      <c r="G99" s="28"/>
      <c r="H99" s="28"/>
      <c r="I99" s="28"/>
      <c r="J99" s="28"/>
      <c r="K99" s="28"/>
      <c r="L99" s="28"/>
      <c r="M99" s="28"/>
      <c r="N99" s="28"/>
      <c r="O99" s="28"/>
      <c r="P99" s="28"/>
      <c r="Q99" s="28"/>
      <c r="R99" s="28"/>
      <c r="S99" s="28"/>
      <c r="T99" s="28"/>
      <c r="U99" s="28"/>
      <c r="V99" s="28"/>
      <c r="W99" s="28"/>
      <c r="X99" s="28"/>
      <c r="Y99" s="27"/>
      <c r="Z99" s="29"/>
    </row>
    <row r="100" spans="3:27" ht="15" customHeight="1" x14ac:dyDescent="0.2">
      <c r="E100" s="24" t="str">
        <f>DataSheet!F78</f>
        <v>DC Voltage Test</v>
      </c>
    </row>
    <row r="101" spans="3:27" ht="15" customHeight="1" x14ac:dyDescent="0.2">
      <c r="E101" s="193" t="s">
        <v>53</v>
      </c>
      <c r="F101" s="193"/>
      <c r="G101" s="193"/>
      <c r="H101" s="193"/>
      <c r="I101" s="194" t="s">
        <v>61</v>
      </c>
      <c r="J101" s="194"/>
      <c r="K101" s="194"/>
      <c r="L101" s="194"/>
      <c r="M101" s="194" t="s">
        <v>95</v>
      </c>
      <c r="N101" s="194"/>
      <c r="O101" s="194"/>
      <c r="P101" s="194"/>
      <c r="Q101" s="194" t="s">
        <v>63</v>
      </c>
      <c r="R101" s="194"/>
      <c r="S101" s="194"/>
      <c r="T101" s="194"/>
      <c r="U101" s="194" t="s">
        <v>137</v>
      </c>
      <c r="V101" s="194"/>
      <c r="W101" s="194"/>
      <c r="X101" s="194"/>
      <c r="Y101" s="29"/>
      <c r="Z101" s="29"/>
    </row>
    <row r="102" spans="3:27" ht="15" customHeight="1" x14ac:dyDescent="0.2">
      <c r="E102" s="193"/>
      <c r="F102" s="193"/>
      <c r="G102" s="193"/>
      <c r="H102" s="193"/>
      <c r="I102" s="194"/>
      <c r="J102" s="194"/>
      <c r="K102" s="194"/>
      <c r="L102" s="194"/>
      <c r="M102" s="194"/>
      <c r="N102" s="194"/>
      <c r="O102" s="194"/>
      <c r="P102" s="194"/>
      <c r="Q102" s="194"/>
      <c r="R102" s="194"/>
      <c r="S102" s="194"/>
      <c r="T102" s="194"/>
      <c r="U102" s="194"/>
      <c r="V102" s="194"/>
      <c r="W102" s="194"/>
      <c r="X102" s="194"/>
      <c r="Y102" s="29"/>
      <c r="Z102" s="29"/>
    </row>
    <row r="103" spans="3:27" ht="15" customHeight="1" x14ac:dyDescent="0.2">
      <c r="E103" s="193"/>
      <c r="F103" s="193"/>
      <c r="G103" s="193"/>
      <c r="H103" s="193"/>
      <c r="I103" s="194"/>
      <c r="J103" s="194"/>
      <c r="K103" s="194"/>
      <c r="L103" s="194"/>
      <c r="M103" s="194"/>
      <c r="N103" s="194"/>
      <c r="O103" s="194"/>
      <c r="P103" s="194"/>
      <c r="Q103" s="194"/>
      <c r="R103" s="194"/>
      <c r="S103" s="194"/>
      <c r="T103" s="194"/>
      <c r="U103" s="194"/>
      <c r="V103" s="194"/>
      <c r="W103" s="194"/>
      <c r="X103" s="194"/>
      <c r="Y103" s="29"/>
      <c r="Z103" s="29"/>
    </row>
    <row r="104" spans="3:27" ht="15" customHeight="1" x14ac:dyDescent="0.2">
      <c r="E104" s="192" t="str">
        <f>DataSheet!F81</f>
        <v>6 V</v>
      </c>
      <c r="F104" s="192"/>
      <c r="G104" s="192"/>
      <c r="H104" s="192"/>
      <c r="I104" s="192" t="str">
        <f>CONCATENATE(DataSheet!L81," ",DataSheet!P81)</f>
        <v>0 V</v>
      </c>
      <c r="J104" s="192"/>
      <c r="K104" s="192"/>
      <c r="L104" s="192"/>
      <c r="M104" s="192" t="e">
        <f>CONCATENATE(TEXT(DataSheet!AM81,"0.000")," ",DataSheet!P81)</f>
        <v>#DIV/0!</v>
      </c>
      <c r="N104" s="192"/>
      <c r="O104" s="192"/>
      <c r="P104" s="192"/>
      <c r="Q104" s="192" t="e">
        <f>CONCATENATE(TEXT(DataSheet!AR81,"0.000")," ",DataSheet!P81)</f>
        <v>#DIV/0!</v>
      </c>
      <c r="R104" s="192"/>
      <c r="S104" s="192"/>
      <c r="T104" s="192"/>
      <c r="U104" s="192" t="e">
        <f>CONCATENATE(TEXT(DataSheet!DE81,"0.000\ 00")," ",DataSheet!DF81)</f>
        <v>#DIV/0!</v>
      </c>
      <c r="V104" s="192"/>
      <c r="W104" s="192"/>
      <c r="X104" s="192"/>
      <c r="Y104" s="31"/>
      <c r="Z104" s="31"/>
    </row>
    <row r="105" spans="3:27" ht="15" customHeight="1" x14ac:dyDescent="0.2">
      <c r="E105" s="192"/>
      <c r="F105" s="192"/>
      <c r="G105" s="192"/>
      <c r="H105" s="192"/>
      <c r="I105" s="192" t="str">
        <f>CONCATENATE(DataSheet!L82," ",DataSheet!P82)</f>
        <v>5 V</v>
      </c>
      <c r="J105" s="192"/>
      <c r="K105" s="192"/>
      <c r="L105" s="192"/>
      <c r="M105" s="192" t="e">
        <f>CONCATENATE(TEXT(DataSheet!AM82,"0.000")," ",DataSheet!P82)</f>
        <v>#DIV/0!</v>
      </c>
      <c r="N105" s="192"/>
      <c r="O105" s="192"/>
      <c r="P105" s="192"/>
      <c r="Q105" s="192" t="e">
        <f>CONCATENATE(TEXT(DataSheet!AR82,"0.000")," ",DataSheet!P82)</f>
        <v>#DIV/0!</v>
      </c>
      <c r="R105" s="192"/>
      <c r="S105" s="192"/>
      <c r="T105" s="192"/>
      <c r="U105" s="192" t="e">
        <f>CONCATENATE(TEXT(DataSheet!DE82,"0.000\ 00")," ",DataSheet!DF82)</f>
        <v>#DIV/0!</v>
      </c>
      <c r="V105" s="192"/>
      <c r="W105" s="192"/>
      <c r="X105" s="192"/>
      <c r="Y105" s="31"/>
      <c r="Z105" s="31"/>
    </row>
    <row r="106" spans="3:27" ht="15" customHeight="1" x14ac:dyDescent="0.2">
      <c r="E106" s="192" t="str">
        <f>DataSheet!F83</f>
        <v>60 V</v>
      </c>
      <c r="F106" s="192"/>
      <c r="G106" s="192"/>
      <c r="H106" s="192"/>
      <c r="I106" s="192" t="str">
        <f>CONCATENATE(DataSheet!L83," ",DataSheet!P83)</f>
        <v>50 V</v>
      </c>
      <c r="J106" s="192"/>
      <c r="K106" s="192"/>
      <c r="L106" s="192"/>
      <c r="M106" s="192" t="e">
        <f>CONCATENATE(TEXT(DataSheet!AM83,"0.00")," ",DataSheet!P83)</f>
        <v>#DIV/0!</v>
      </c>
      <c r="N106" s="192"/>
      <c r="O106" s="192"/>
      <c r="P106" s="192"/>
      <c r="Q106" s="192" t="e">
        <f>CONCATENATE(TEXT(DataSheet!AR83,"0.00")," ",DataSheet!P83)</f>
        <v>#DIV/0!</v>
      </c>
      <c r="R106" s="192"/>
      <c r="S106" s="192"/>
      <c r="T106" s="192"/>
      <c r="U106" s="192" t="e">
        <f>CONCATENATE(TEXT(DataSheet!DE83,"0.000\ 0")," ",DataSheet!DF83)</f>
        <v>#DIV/0!</v>
      </c>
      <c r="V106" s="192"/>
      <c r="W106" s="192"/>
      <c r="X106" s="192"/>
      <c r="Y106" s="31"/>
      <c r="Z106" s="31"/>
    </row>
    <row r="107" spans="3:27" ht="15" customHeight="1" x14ac:dyDescent="0.2">
      <c r="E107" s="192" t="str">
        <f>DataSheet!F84</f>
        <v>600 V</v>
      </c>
      <c r="F107" s="192"/>
      <c r="G107" s="192"/>
      <c r="H107" s="192"/>
      <c r="I107" s="192" t="str">
        <f>CONCATENATE(DataSheet!L84," ",DataSheet!P84)</f>
        <v>600 V</v>
      </c>
      <c r="J107" s="192"/>
      <c r="K107" s="192"/>
      <c r="L107" s="192"/>
      <c r="M107" s="192" t="e">
        <f>CONCATENATE(TEXT(DataSheet!AM84,"0.0")," ",DataSheet!P84)</f>
        <v>#DIV/0!</v>
      </c>
      <c r="N107" s="192"/>
      <c r="O107" s="192"/>
      <c r="P107" s="192"/>
      <c r="Q107" s="192" t="e">
        <f>CONCATENATE(TEXT(DataSheet!AR84,"0.0")," ",DataSheet!P84)</f>
        <v>#DIV/0!</v>
      </c>
      <c r="R107" s="192"/>
      <c r="S107" s="192"/>
      <c r="T107" s="192"/>
      <c r="U107" s="192" t="e">
        <f>CONCATENATE(TEXT(DataSheet!DE84,"0.000")," ",DataSheet!DF84)</f>
        <v>#DIV/0!</v>
      </c>
      <c r="V107" s="192"/>
      <c r="W107" s="192"/>
      <c r="X107" s="192"/>
      <c r="Y107" s="31"/>
      <c r="Z107" s="31"/>
    </row>
    <row r="108" spans="3:27" ht="15" customHeight="1" x14ac:dyDescent="0.2">
      <c r="E108" s="192"/>
      <c r="F108" s="192"/>
      <c r="G108" s="192"/>
      <c r="H108" s="192"/>
      <c r="I108" s="192" t="str">
        <f>CONCATENATE(DataSheet!L85," ",DataSheet!P85)</f>
        <v>-600 V</v>
      </c>
      <c r="J108" s="192"/>
      <c r="K108" s="192"/>
      <c r="L108" s="192"/>
      <c r="M108" s="192" t="e">
        <f>CONCATENATE(TEXT(DataSheet!AM85,"0.0")," ",DataSheet!P85)</f>
        <v>#DIV/0!</v>
      </c>
      <c r="N108" s="192"/>
      <c r="O108" s="192"/>
      <c r="P108" s="192"/>
      <c r="Q108" s="192" t="e">
        <f>CONCATENATE(TEXT(DataSheet!AR85,"0.0")," ",DataSheet!P85)</f>
        <v>#DIV/0!</v>
      </c>
      <c r="R108" s="192"/>
      <c r="S108" s="192"/>
      <c r="T108" s="192"/>
      <c r="U108" s="192" t="e">
        <f>CONCATENATE(TEXT(DataSheet!DE85,"0.000")," ",DataSheet!DF85)</f>
        <v>#DIV/0!</v>
      </c>
      <c r="V108" s="192"/>
      <c r="W108" s="192"/>
      <c r="X108" s="192"/>
      <c r="Y108" s="31"/>
      <c r="Z108" s="31"/>
    </row>
    <row r="109" spans="3:27" ht="15" customHeight="1" x14ac:dyDescent="0.2"/>
    <row r="110" spans="3:27" ht="15" customHeight="1" x14ac:dyDescent="0.2"/>
    <row r="111" spans="3:27" ht="15" customHeight="1" x14ac:dyDescent="0.2">
      <c r="C111" s="204">
        <f>DataSheet!B111</f>
        <v>0</v>
      </c>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5"/>
    </row>
    <row r="112" spans="3:27" ht="15" customHeight="1" x14ac:dyDescent="0.2">
      <c r="C112" s="205" t="s">
        <v>62</v>
      </c>
      <c r="D112" s="205"/>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7"/>
    </row>
    <row r="113" spans="1:27" ht="15" customHeight="1" x14ac:dyDescent="0.2">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27"/>
    </row>
    <row r="114" spans="1:27" ht="15" customHeight="1" x14ac:dyDescent="0.2">
      <c r="D114" s="27"/>
      <c r="F114" s="27"/>
      <c r="G114" s="33"/>
      <c r="H114" s="33"/>
      <c r="I114" s="33"/>
      <c r="J114" s="33"/>
      <c r="K114" s="27"/>
      <c r="L114" s="27"/>
      <c r="M114" s="27"/>
      <c r="N114" s="27"/>
      <c r="O114" s="27"/>
      <c r="P114" s="27"/>
      <c r="Q114" s="27"/>
      <c r="R114" s="33"/>
      <c r="S114" s="33"/>
      <c r="T114" s="33"/>
      <c r="U114" s="33"/>
      <c r="V114" s="33"/>
      <c r="W114" s="27"/>
      <c r="X114" s="27"/>
      <c r="Y114" s="27"/>
      <c r="Z114" s="27"/>
      <c r="AA114" s="27"/>
    </row>
    <row r="115" spans="1:27" ht="15" customHeight="1" x14ac:dyDescent="0.2">
      <c r="E115" s="31"/>
      <c r="F115" s="31"/>
      <c r="G115" s="31"/>
      <c r="H115" s="31"/>
      <c r="L115" s="27"/>
      <c r="M115" s="27"/>
      <c r="N115" s="27"/>
      <c r="R115" s="27"/>
      <c r="S115" s="27"/>
      <c r="T115" s="27"/>
      <c r="U115" s="27"/>
      <c r="V115" s="27"/>
      <c r="W115" s="27"/>
      <c r="X115" s="27"/>
      <c r="Y115" s="27"/>
    </row>
    <row r="116" spans="1:27" ht="15" customHeight="1" x14ac:dyDescent="0.2"/>
    <row r="117" spans="1:27" ht="15" customHeight="1" x14ac:dyDescent="0.2"/>
    <row r="118" spans="1:27" ht="15" customHeight="1" x14ac:dyDescent="0.2"/>
    <row r="119" spans="1:27" ht="15" customHeight="1" x14ac:dyDescent="0.2"/>
    <row r="120" spans="1:27" s="27" customFormat="1" ht="15" customHeight="1" x14ac:dyDescent="0.25">
      <c r="A120" s="36"/>
    </row>
    <row r="121" spans="1:27" s="27" customFormat="1" ht="15" customHeight="1" x14ac:dyDescent="0.25">
      <c r="A121" s="36"/>
      <c r="D121" s="25" t="s">
        <v>26</v>
      </c>
    </row>
    <row r="122" spans="1:27" s="27" customFormat="1" ht="15" customHeight="1" x14ac:dyDescent="0.25">
      <c r="A122" s="36"/>
    </row>
    <row r="123" spans="1:27" s="27" customFormat="1" ht="15" customHeight="1" x14ac:dyDescent="0.25">
      <c r="A123" s="36"/>
      <c r="E123" s="25" t="str">
        <f>DataSheet!F87</f>
        <v>AC milli Volt Test</v>
      </c>
    </row>
    <row r="124" spans="1:27" s="27" customFormat="1" ht="15" customHeight="1" x14ac:dyDescent="0.25">
      <c r="A124" s="36"/>
      <c r="E124" s="193" t="s">
        <v>53</v>
      </c>
      <c r="F124" s="193"/>
      <c r="G124" s="193"/>
      <c r="H124" s="193"/>
      <c r="I124" s="194" t="s">
        <v>61</v>
      </c>
      <c r="J124" s="194"/>
      <c r="K124" s="194"/>
      <c r="L124" s="194"/>
      <c r="M124" s="194" t="s">
        <v>95</v>
      </c>
      <c r="N124" s="194"/>
      <c r="O124" s="194"/>
      <c r="P124" s="194"/>
      <c r="Q124" s="194" t="s">
        <v>63</v>
      </c>
      <c r="R124" s="194"/>
      <c r="S124" s="194"/>
      <c r="T124" s="194"/>
      <c r="U124" s="194" t="s">
        <v>137</v>
      </c>
      <c r="V124" s="194"/>
      <c r="W124" s="194"/>
      <c r="X124" s="194"/>
      <c r="Y124" s="29"/>
      <c r="Z124" s="29"/>
    </row>
    <row r="125" spans="1:27" s="27" customFormat="1" ht="15" customHeight="1" x14ac:dyDescent="0.25">
      <c r="A125" s="36"/>
      <c r="E125" s="193"/>
      <c r="F125" s="193"/>
      <c r="G125" s="193"/>
      <c r="H125" s="193"/>
      <c r="I125" s="194"/>
      <c r="J125" s="194"/>
      <c r="K125" s="194"/>
      <c r="L125" s="194"/>
      <c r="M125" s="194"/>
      <c r="N125" s="194"/>
      <c r="O125" s="194"/>
      <c r="P125" s="194"/>
      <c r="Q125" s="194"/>
      <c r="R125" s="194"/>
      <c r="S125" s="194"/>
      <c r="T125" s="194"/>
      <c r="U125" s="194"/>
      <c r="V125" s="194"/>
      <c r="W125" s="194"/>
      <c r="X125" s="194"/>
      <c r="Y125" s="29"/>
      <c r="Z125" s="29"/>
    </row>
    <row r="126" spans="1:27" s="27" customFormat="1" ht="15" customHeight="1" x14ac:dyDescent="0.25">
      <c r="A126" s="36"/>
      <c r="E126" s="193"/>
      <c r="F126" s="193"/>
      <c r="G126" s="193"/>
      <c r="H126" s="193"/>
      <c r="I126" s="194"/>
      <c r="J126" s="194"/>
      <c r="K126" s="194"/>
      <c r="L126" s="194"/>
      <c r="M126" s="194"/>
      <c r="N126" s="194"/>
      <c r="O126" s="194"/>
      <c r="P126" s="194"/>
      <c r="Q126" s="194"/>
      <c r="R126" s="194"/>
      <c r="S126" s="194"/>
      <c r="T126" s="194"/>
      <c r="U126" s="194"/>
      <c r="V126" s="194"/>
      <c r="W126" s="194"/>
      <c r="X126" s="194"/>
      <c r="Y126" s="29"/>
      <c r="Z126" s="29"/>
    </row>
    <row r="127" spans="1:27" s="27" customFormat="1" ht="15" customHeight="1" x14ac:dyDescent="0.25">
      <c r="A127" s="36"/>
      <c r="E127" s="192" t="str">
        <f>DataSheet!F90</f>
        <v>600 mV</v>
      </c>
      <c r="F127" s="192"/>
      <c r="G127" s="192"/>
      <c r="H127" s="192"/>
      <c r="I127" s="192" t="str">
        <f>CONCATENATE(DataSheet!L90," ",DataSheet!P90," / ",DataSheet!S90)</f>
        <v>6 mV / 45 Hz</v>
      </c>
      <c r="J127" s="192"/>
      <c r="K127" s="192"/>
      <c r="L127" s="192"/>
      <c r="M127" s="192" t="str">
        <f>CONCATENATE(TEXT(DataSheet!AM90,"0.0")," ",DataSheet!P90)</f>
        <v>6.0 mV</v>
      </c>
      <c r="N127" s="192"/>
      <c r="O127" s="192"/>
      <c r="P127" s="192"/>
      <c r="Q127" s="192" t="str">
        <f>CONCATENATE(TEXT(DataSheet!AR90,"0.0")," ",DataSheet!P90)</f>
        <v>0.0 mV</v>
      </c>
      <c r="R127" s="192"/>
      <c r="S127" s="192"/>
      <c r="T127" s="192"/>
      <c r="U127" s="192" t="str">
        <f>CONCATENATE(TEXT(DataSheet!DE90,"0.000")," ",DataSheet!DF90)</f>
        <v>0.058 mV</v>
      </c>
      <c r="V127" s="192"/>
      <c r="W127" s="192"/>
      <c r="X127" s="192"/>
      <c r="Y127" s="31"/>
      <c r="Z127" s="31"/>
    </row>
    <row r="128" spans="1:27" s="27" customFormat="1" ht="15" customHeight="1" x14ac:dyDescent="0.25">
      <c r="A128" s="36"/>
      <c r="E128" s="192"/>
      <c r="F128" s="192"/>
      <c r="G128" s="192"/>
      <c r="H128" s="192"/>
      <c r="I128" s="192" t="str">
        <f>CONCATENATE(DataSheet!L91," ",DataSheet!P91," / ",DataSheet!S91)</f>
        <v>600 mV / 1 kHz</v>
      </c>
      <c r="J128" s="192"/>
      <c r="K128" s="192"/>
      <c r="L128" s="192"/>
      <c r="M128" s="192" t="str">
        <f>CONCATENATE(DataSheet!AM91," ",DataSheet!P91)</f>
        <v>600 mV</v>
      </c>
      <c r="N128" s="192"/>
      <c r="O128" s="192"/>
      <c r="P128" s="192"/>
      <c r="Q128" s="192" t="str">
        <f>CONCATENATE(TEXT(DataSheet!AR91,"0.0")," ",DataSheet!P91)</f>
        <v>0.0 mV</v>
      </c>
      <c r="R128" s="192"/>
      <c r="S128" s="192"/>
      <c r="T128" s="192"/>
      <c r="U128" s="192" t="str">
        <f>CONCATENATE(TEXT(DataSheet!DE91,"0.00")," ",DataSheet!DF91)</f>
        <v>0.91 mV</v>
      </c>
      <c r="V128" s="192"/>
      <c r="W128" s="192"/>
      <c r="X128" s="192"/>
      <c r="Y128" s="31"/>
      <c r="Z128" s="31"/>
    </row>
    <row r="129" spans="1:26" s="27" customFormat="1" ht="15" customHeight="1" x14ac:dyDescent="0.25">
      <c r="A129" s="36"/>
    </row>
    <row r="130" spans="1:26" s="27" customFormat="1" ht="15" customHeight="1" x14ac:dyDescent="0.25">
      <c r="A130" s="36"/>
      <c r="E130" s="25" t="str">
        <f>DataSheet!F93</f>
        <v>DC milli Volt Test</v>
      </c>
    </row>
    <row r="131" spans="1:26" s="27" customFormat="1" ht="15" customHeight="1" x14ac:dyDescent="0.25">
      <c r="A131" s="36"/>
      <c r="C131" s="25"/>
      <c r="D131" s="25"/>
      <c r="E131" s="193" t="s">
        <v>53</v>
      </c>
      <c r="F131" s="193"/>
      <c r="G131" s="193"/>
      <c r="H131" s="193"/>
      <c r="I131" s="194" t="s">
        <v>61</v>
      </c>
      <c r="J131" s="194"/>
      <c r="K131" s="194"/>
      <c r="L131" s="194"/>
      <c r="M131" s="194" t="s">
        <v>95</v>
      </c>
      <c r="N131" s="194"/>
      <c r="O131" s="194"/>
      <c r="P131" s="194"/>
      <c r="Q131" s="194" t="s">
        <v>63</v>
      </c>
      <c r="R131" s="194"/>
      <c r="S131" s="194"/>
      <c r="T131" s="194"/>
      <c r="U131" s="194" t="s">
        <v>137</v>
      </c>
      <c r="V131" s="194"/>
      <c r="W131" s="194"/>
      <c r="X131" s="194"/>
      <c r="Y131" s="29"/>
      <c r="Z131" s="29"/>
    </row>
    <row r="132" spans="1:26" s="27" customFormat="1" ht="15" customHeight="1" x14ac:dyDescent="0.25">
      <c r="A132" s="36"/>
      <c r="C132" s="25"/>
      <c r="D132" s="25"/>
      <c r="E132" s="193"/>
      <c r="F132" s="193"/>
      <c r="G132" s="193"/>
      <c r="H132" s="193"/>
      <c r="I132" s="194"/>
      <c r="J132" s="194"/>
      <c r="K132" s="194"/>
      <c r="L132" s="194"/>
      <c r="M132" s="194"/>
      <c r="N132" s="194"/>
      <c r="O132" s="194"/>
      <c r="P132" s="194"/>
      <c r="Q132" s="194"/>
      <c r="R132" s="194"/>
      <c r="S132" s="194"/>
      <c r="T132" s="194"/>
      <c r="U132" s="194"/>
      <c r="V132" s="194"/>
      <c r="W132" s="194"/>
      <c r="X132" s="194"/>
      <c r="Y132" s="29"/>
      <c r="Z132" s="29"/>
    </row>
    <row r="133" spans="1:26" s="27" customFormat="1" ht="15" customHeight="1" x14ac:dyDescent="0.25">
      <c r="A133" s="36"/>
      <c r="C133" s="25"/>
      <c r="D133" s="25"/>
      <c r="E133" s="193"/>
      <c r="F133" s="193"/>
      <c r="G133" s="193"/>
      <c r="H133" s="193"/>
      <c r="I133" s="194"/>
      <c r="J133" s="194"/>
      <c r="K133" s="194"/>
      <c r="L133" s="194"/>
      <c r="M133" s="194"/>
      <c r="N133" s="194"/>
      <c r="O133" s="194"/>
      <c r="P133" s="194"/>
      <c r="Q133" s="194"/>
      <c r="R133" s="194"/>
      <c r="S133" s="194"/>
      <c r="T133" s="194"/>
      <c r="U133" s="194"/>
      <c r="V133" s="194"/>
      <c r="W133" s="194"/>
      <c r="X133" s="194"/>
      <c r="Y133" s="29"/>
      <c r="Z133" s="29"/>
    </row>
    <row r="134" spans="1:26" s="27" customFormat="1" ht="15" customHeight="1" x14ac:dyDescent="0.25">
      <c r="A134" s="36"/>
      <c r="E134" s="192" t="str">
        <f>DataSheet!F96</f>
        <v>600 mV</v>
      </c>
      <c r="F134" s="192"/>
      <c r="G134" s="192"/>
      <c r="H134" s="192"/>
      <c r="I134" s="192" t="str">
        <f>CONCATENATE(DataSheet!L96," ",DataSheet!P96)</f>
        <v>10 mV</v>
      </c>
      <c r="J134" s="192"/>
      <c r="K134" s="192"/>
      <c r="L134" s="192"/>
      <c r="M134" s="192" t="e">
        <f>CONCATENATE(TEXT(DataSheet!AM96,"0.0")," ",DataSheet!P96)</f>
        <v>#DIV/0!</v>
      </c>
      <c r="N134" s="192"/>
      <c r="O134" s="192"/>
      <c r="P134" s="192"/>
      <c r="Q134" s="192" t="e">
        <f>CONCATENATE(TEXT(DataSheet!AR96,"0.0")," ",DataSheet!P96)</f>
        <v>#DIV/0!</v>
      </c>
      <c r="R134" s="192"/>
      <c r="S134" s="192"/>
      <c r="T134" s="192"/>
      <c r="U134" s="192" t="e">
        <f>CONCATENATE(TEXT(DataSheet!DE96,"0.000")," ",DataSheet!DF96)</f>
        <v>#DIV/0!</v>
      </c>
      <c r="V134" s="192"/>
      <c r="W134" s="192"/>
      <c r="X134" s="192"/>
      <c r="Y134" s="31"/>
      <c r="Z134" s="31"/>
    </row>
    <row r="135" spans="1:26" s="27" customFormat="1" ht="15" customHeight="1" x14ac:dyDescent="0.25">
      <c r="A135" s="36"/>
      <c r="E135" s="192"/>
      <c r="F135" s="192"/>
      <c r="G135" s="192"/>
      <c r="H135" s="192"/>
      <c r="I135" s="192" t="str">
        <f>CONCATENATE(DataSheet!L97," ",DataSheet!P97)</f>
        <v>600 mV</v>
      </c>
      <c r="J135" s="192"/>
      <c r="K135" s="192"/>
      <c r="L135" s="192"/>
      <c r="M135" s="192" t="e">
        <f>CONCATENATE(DataSheet!AM97," ",DataSheet!P97)</f>
        <v>#DIV/0!</v>
      </c>
      <c r="N135" s="192"/>
      <c r="O135" s="192"/>
      <c r="P135" s="192"/>
      <c r="Q135" s="192" t="e">
        <f>CONCATENATE(TEXT(DataSheet!AR97,"0.0")," ",DataSheet!P97)</f>
        <v>#DIV/0!</v>
      </c>
      <c r="R135" s="192"/>
      <c r="S135" s="192"/>
      <c r="T135" s="192"/>
      <c r="U135" s="192" t="e">
        <f>CONCATENATE(TEXT(DataSheet!DE97,"0.000")," ",DataSheet!DF97)</f>
        <v>#DIV/0!</v>
      </c>
      <c r="V135" s="192"/>
      <c r="W135" s="192"/>
      <c r="X135" s="192"/>
      <c r="Y135" s="31"/>
      <c r="Z135" s="31"/>
    </row>
    <row r="136" spans="1:26" s="27" customFormat="1" ht="15" customHeight="1" x14ac:dyDescent="0.25">
      <c r="A136" s="36"/>
    </row>
    <row r="137" spans="1:26" s="27" customFormat="1" ht="15" customHeight="1" x14ac:dyDescent="0.25">
      <c r="A137" s="36"/>
      <c r="E137" s="25" t="str">
        <f>DataSheet!F99</f>
        <v>Auto Volt LoZ Test</v>
      </c>
    </row>
    <row r="138" spans="1:26" s="27" customFormat="1" ht="15" customHeight="1" x14ac:dyDescent="0.25">
      <c r="A138" s="36"/>
      <c r="C138" s="25"/>
      <c r="D138" s="25"/>
      <c r="E138" s="193" t="s">
        <v>53</v>
      </c>
      <c r="F138" s="193"/>
      <c r="G138" s="193"/>
      <c r="H138" s="193"/>
      <c r="I138" s="194" t="s">
        <v>61</v>
      </c>
      <c r="J138" s="194"/>
      <c r="K138" s="194"/>
      <c r="L138" s="194"/>
      <c r="M138" s="194" t="s">
        <v>95</v>
      </c>
      <c r="N138" s="194"/>
      <c r="O138" s="194"/>
      <c r="P138" s="194"/>
      <c r="Q138" s="194" t="s">
        <v>63</v>
      </c>
      <c r="R138" s="194"/>
      <c r="S138" s="194"/>
      <c r="T138" s="194"/>
      <c r="U138" s="194" t="s">
        <v>137</v>
      </c>
      <c r="V138" s="194"/>
      <c r="W138" s="194"/>
      <c r="X138" s="194"/>
      <c r="Y138" s="29"/>
      <c r="Z138" s="29"/>
    </row>
    <row r="139" spans="1:26" s="27" customFormat="1" ht="15" customHeight="1" x14ac:dyDescent="0.25">
      <c r="A139" s="36"/>
      <c r="C139" s="25"/>
      <c r="D139" s="25"/>
      <c r="E139" s="193"/>
      <c r="F139" s="193"/>
      <c r="G139" s="193"/>
      <c r="H139" s="193"/>
      <c r="I139" s="194"/>
      <c r="J139" s="194"/>
      <c r="K139" s="194"/>
      <c r="L139" s="194"/>
      <c r="M139" s="194"/>
      <c r="N139" s="194"/>
      <c r="O139" s="194"/>
      <c r="P139" s="194"/>
      <c r="Q139" s="194"/>
      <c r="R139" s="194"/>
      <c r="S139" s="194"/>
      <c r="T139" s="194"/>
      <c r="U139" s="194"/>
      <c r="V139" s="194"/>
      <c r="W139" s="194"/>
      <c r="X139" s="194"/>
      <c r="Y139" s="29"/>
      <c r="Z139" s="29"/>
    </row>
    <row r="140" spans="1:26" s="27" customFormat="1" ht="15" customHeight="1" x14ac:dyDescent="0.25">
      <c r="A140" s="36"/>
      <c r="C140" s="25"/>
      <c r="D140" s="25"/>
      <c r="E140" s="193"/>
      <c r="F140" s="193"/>
      <c r="G140" s="193"/>
      <c r="H140" s="193"/>
      <c r="I140" s="194"/>
      <c r="J140" s="194"/>
      <c r="K140" s="194"/>
      <c r="L140" s="194"/>
      <c r="M140" s="194"/>
      <c r="N140" s="194"/>
      <c r="O140" s="194"/>
      <c r="P140" s="194"/>
      <c r="Q140" s="194"/>
      <c r="R140" s="194"/>
      <c r="S140" s="194"/>
      <c r="T140" s="194"/>
      <c r="U140" s="194"/>
      <c r="V140" s="194"/>
      <c r="W140" s="194"/>
      <c r="X140" s="194"/>
      <c r="Y140" s="29"/>
      <c r="Z140" s="29"/>
    </row>
    <row r="141" spans="1:26" s="27" customFormat="1" ht="15" customHeight="1" x14ac:dyDescent="0.25">
      <c r="A141" s="36"/>
      <c r="E141" s="192" t="s">
        <v>148</v>
      </c>
      <c r="F141" s="192"/>
      <c r="G141" s="192"/>
      <c r="H141" s="192"/>
      <c r="I141" s="192" t="str">
        <f>CONCATENATE(DataSheet!L102," ",DataSheet!P102," / ",DataSheet!S102)</f>
        <v>0.5 V / 45 Hz</v>
      </c>
      <c r="J141" s="192"/>
      <c r="K141" s="192"/>
      <c r="L141" s="192"/>
      <c r="M141" s="192" t="e">
        <f>CONCATENATE(TEXT(DataSheet!AM102,"0.0")," ",DataSheet!P102)</f>
        <v>#DIV/0!</v>
      </c>
      <c r="N141" s="192"/>
      <c r="O141" s="192"/>
      <c r="P141" s="192"/>
      <c r="Q141" s="192" t="e">
        <f>CONCATENATE(TEXT(DataSheet!AR102,"0.0")," ",DataSheet!P102)</f>
        <v>#DIV/0!</v>
      </c>
      <c r="R141" s="192"/>
      <c r="S141" s="192"/>
      <c r="T141" s="192"/>
      <c r="U141" s="192" t="e">
        <f>CONCATENATE(TEXT(DataSheet!DE102,"0.000")," ",DataSheet!DF102)</f>
        <v>#DIV/0!</v>
      </c>
      <c r="V141" s="192"/>
      <c r="W141" s="192"/>
      <c r="X141" s="192"/>
      <c r="Y141" s="31"/>
      <c r="Z141" s="31"/>
    </row>
    <row r="142" spans="1:26" s="27" customFormat="1" ht="15" customHeight="1" x14ac:dyDescent="0.25">
      <c r="A142" s="36"/>
      <c r="E142" s="192"/>
      <c r="F142" s="192"/>
      <c r="G142" s="192"/>
      <c r="H142" s="192"/>
      <c r="I142" s="192" t="str">
        <f>CONCATENATE(DataSheet!L103," ",DataSheet!P103," / ",DataSheet!S103)</f>
        <v>0.5 V / 0 Hz</v>
      </c>
      <c r="J142" s="192"/>
      <c r="K142" s="192"/>
      <c r="L142" s="192"/>
      <c r="M142" s="192" t="e">
        <f>CONCATENATE(TEXT(DataSheet!AM103,"0.0")," ",DataSheet!P103)</f>
        <v>#DIV/0!</v>
      </c>
      <c r="N142" s="192"/>
      <c r="O142" s="192"/>
      <c r="P142" s="192"/>
      <c r="Q142" s="192" t="e">
        <f>CONCATENATE(TEXT(DataSheet!AR103,"0.0")," ",DataSheet!P103)</f>
        <v>#DIV/0!</v>
      </c>
      <c r="R142" s="192"/>
      <c r="S142" s="192"/>
      <c r="T142" s="192"/>
      <c r="U142" s="192" t="e">
        <f>CONCATENATE(TEXT(DataSheet!DE103,"0.000")," ",DataSheet!DF103)</f>
        <v>#DIV/0!</v>
      </c>
      <c r="V142" s="192"/>
      <c r="W142" s="192"/>
      <c r="X142" s="192"/>
      <c r="Y142" s="31"/>
      <c r="Z142" s="31"/>
    </row>
    <row r="143" spans="1:26" s="27" customFormat="1" ht="15" customHeight="1" x14ac:dyDescent="0.25">
      <c r="A143" s="36"/>
      <c r="E143" s="192"/>
      <c r="F143" s="192"/>
      <c r="G143" s="192"/>
      <c r="H143" s="192"/>
      <c r="I143" s="192" t="str">
        <f>CONCATENATE(DataSheet!L104," ",DataSheet!P104," / ",DataSheet!S104)</f>
        <v>500 V / 500 Hz</v>
      </c>
      <c r="J143" s="192"/>
      <c r="K143" s="192"/>
      <c r="L143" s="192"/>
      <c r="M143" s="192" t="e">
        <f>CONCATENATE(TEXT(DataSheet!AM104,"0.0")," ",DataSheet!P104)</f>
        <v>#DIV/0!</v>
      </c>
      <c r="N143" s="192"/>
      <c r="O143" s="192"/>
      <c r="P143" s="192"/>
      <c r="Q143" s="192" t="e">
        <f>CONCATENATE(TEXT(DataSheet!AR104,"0.0")," ",DataSheet!P104)</f>
        <v>#DIV/0!</v>
      </c>
      <c r="R143" s="192"/>
      <c r="S143" s="192"/>
      <c r="T143" s="192"/>
      <c r="U143" s="192" t="e">
        <f>CONCATENATE(TEXT(DataSheet!DE104,"0.000")," ",DataSheet!DF104)</f>
        <v>#DIV/0!</v>
      </c>
      <c r="V143" s="192"/>
      <c r="W143" s="192"/>
      <c r="X143" s="192"/>
      <c r="Y143" s="31"/>
      <c r="Z143" s="31"/>
    </row>
    <row r="144" spans="1:26" s="27" customFormat="1" ht="15" customHeight="1" x14ac:dyDescent="0.25">
      <c r="A144" s="36"/>
    </row>
    <row r="145" spans="1:1" s="27" customFormat="1" ht="15" customHeight="1" x14ac:dyDescent="0.25">
      <c r="A145" s="36"/>
    </row>
    <row r="146" spans="1:1" s="27" customFormat="1" ht="15" customHeight="1" x14ac:dyDescent="0.25">
      <c r="A146" s="36"/>
    </row>
    <row r="147" spans="1:1" s="27" customFormat="1" ht="15" customHeight="1" x14ac:dyDescent="0.25">
      <c r="A147" s="36"/>
    </row>
    <row r="148" spans="1:1" s="27" customFormat="1" ht="15" customHeight="1" x14ac:dyDescent="0.25">
      <c r="A148" s="36"/>
    </row>
    <row r="149" spans="1:1" s="27" customFormat="1" ht="15" customHeight="1" x14ac:dyDescent="0.25">
      <c r="A149" s="36"/>
    </row>
    <row r="150" spans="1:1" s="27" customFormat="1" ht="15" customHeight="1" x14ac:dyDescent="0.25">
      <c r="A150" s="36"/>
    </row>
    <row r="151" spans="1:1" s="27" customFormat="1" ht="15" customHeight="1" x14ac:dyDescent="0.25">
      <c r="A151" s="36"/>
    </row>
    <row r="152" spans="1:1" s="27" customFormat="1" ht="15" customHeight="1" x14ac:dyDescent="0.25">
      <c r="A152" s="36"/>
    </row>
    <row r="153" spans="1:1" s="27" customFormat="1" ht="15" customHeight="1" x14ac:dyDescent="0.25">
      <c r="A153" s="36"/>
    </row>
    <row r="154" spans="1:1" s="27" customFormat="1" ht="15" customHeight="1" x14ac:dyDescent="0.25">
      <c r="A154" s="36"/>
    </row>
    <row r="155" spans="1:1" s="27" customFormat="1" ht="15" customHeight="1" x14ac:dyDescent="0.25">
      <c r="A155" s="36"/>
    </row>
    <row r="156" spans="1:1" s="27" customFormat="1" ht="15" customHeight="1" x14ac:dyDescent="0.25">
      <c r="A156" s="36"/>
    </row>
    <row r="157" spans="1:1" s="27" customFormat="1" ht="15" customHeight="1" x14ac:dyDescent="0.25">
      <c r="A157" s="36"/>
    </row>
    <row r="158" spans="1:1" s="27" customFormat="1" ht="15" customHeight="1" x14ac:dyDescent="0.25">
      <c r="A158" s="36"/>
    </row>
    <row r="159" spans="1:1" s="27" customFormat="1" ht="15" customHeight="1" x14ac:dyDescent="0.25">
      <c r="A159" s="36"/>
    </row>
    <row r="160" spans="1:1" s="27" customFormat="1" ht="15" customHeight="1" x14ac:dyDescent="0.25">
      <c r="A160" s="36"/>
    </row>
    <row r="161" spans="1:27" s="27" customFormat="1" ht="15" customHeight="1" x14ac:dyDescent="0.25">
      <c r="A161" s="36"/>
    </row>
    <row r="162" spans="1:27" s="27" customFormat="1" ht="15" customHeight="1" x14ac:dyDescent="0.25">
      <c r="A162" s="36"/>
    </row>
    <row r="163" spans="1:27" s="27" customFormat="1" ht="15" customHeight="1" x14ac:dyDescent="0.25">
      <c r="A163" s="36"/>
    </row>
    <row r="164" spans="1:27" s="27" customFormat="1" ht="15" customHeight="1" x14ac:dyDescent="0.25">
      <c r="A164" s="36"/>
      <c r="C164" s="204">
        <f>DataSheet!B111</f>
        <v>0</v>
      </c>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5"/>
    </row>
    <row r="165" spans="1:27" s="27" customFormat="1" ht="15" customHeight="1" x14ac:dyDescent="0.25">
      <c r="A165" s="36"/>
      <c r="C165" s="205" t="s">
        <v>62</v>
      </c>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row>
    <row r="166" spans="1:27" s="27" customFormat="1" ht="15" customHeight="1" x14ac:dyDescent="0.25">
      <c r="A166" s="36"/>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row>
    <row r="167" spans="1:27" ht="15" customHeight="1" x14ac:dyDescent="0.2">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27"/>
    </row>
    <row r="168" spans="1:27" ht="15" customHeight="1" x14ac:dyDescent="0.2">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27"/>
    </row>
    <row r="169" spans="1:27" ht="15" customHeight="1" x14ac:dyDescent="0.2">
      <c r="D169" s="27"/>
      <c r="F169" s="27"/>
      <c r="G169" s="33"/>
      <c r="H169" s="33"/>
      <c r="I169" s="33"/>
      <c r="J169" s="33"/>
      <c r="K169" s="27"/>
      <c r="L169" s="27"/>
      <c r="M169" s="27"/>
      <c r="N169" s="27"/>
      <c r="O169" s="27"/>
      <c r="P169" s="27"/>
      <c r="Q169" s="27"/>
      <c r="R169" s="33"/>
      <c r="S169" s="33"/>
      <c r="T169" s="33"/>
      <c r="U169" s="33"/>
      <c r="V169" s="33"/>
      <c r="W169" s="27"/>
      <c r="X169" s="27"/>
      <c r="Y169" s="27"/>
      <c r="Z169" s="27"/>
      <c r="AA169" s="27"/>
    </row>
    <row r="170" spans="1:27" ht="15" customHeight="1" x14ac:dyDescent="0.2">
      <c r="E170" s="31"/>
      <c r="F170" s="31"/>
      <c r="G170" s="31"/>
      <c r="H170" s="31"/>
      <c r="L170" s="27"/>
      <c r="M170" s="27"/>
      <c r="N170" s="27"/>
      <c r="R170" s="27"/>
      <c r="S170" s="27"/>
      <c r="T170" s="27"/>
      <c r="U170" s="27"/>
      <c r="V170" s="27"/>
      <c r="W170" s="27"/>
      <c r="X170" s="27"/>
      <c r="Y170" s="27"/>
    </row>
    <row r="171" spans="1:27" ht="15" customHeight="1" x14ac:dyDescent="0.2"/>
    <row r="172" spans="1:27" ht="15" customHeight="1" x14ac:dyDescent="0.2"/>
    <row r="173" spans="1:27" ht="15" customHeight="1" x14ac:dyDescent="0.2"/>
  </sheetData>
  <mergeCells count="208">
    <mergeCell ref="C36:Z37"/>
    <mergeCell ref="Q138:T140"/>
    <mergeCell ref="U138:X140"/>
    <mergeCell ref="E141:H143"/>
    <mergeCell ref="I141:L141"/>
    <mergeCell ref="I142:L142"/>
    <mergeCell ref="I143:L143"/>
    <mergeCell ref="M141:P141"/>
    <mergeCell ref="M142:P142"/>
    <mergeCell ref="M143:P143"/>
    <mergeCell ref="Q141:T141"/>
    <mergeCell ref="Q142:T142"/>
    <mergeCell ref="Q143:T143"/>
    <mergeCell ref="U141:X141"/>
    <mergeCell ref="U142:X142"/>
    <mergeCell ref="U143:X143"/>
    <mergeCell ref="E124:H126"/>
    <mergeCell ref="I124:L126"/>
    <mergeCell ref="M124:P126"/>
    <mergeCell ref="Q124:T126"/>
    <mergeCell ref="U124:X126"/>
    <mergeCell ref="E127:H128"/>
    <mergeCell ref="E131:H133"/>
    <mergeCell ref="I131:L133"/>
    <mergeCell ref="M131:P133"/>
    <mergeCell ref="Q131:T133"/>
    <mergeCell ref="U131:X133"/>
    <mergeCell ref="I127:L127"/>
    <mergeCell ref="I128:L128"/>
    <mergeCell ref="M127:P127"/>
    <mergeCell ref="M128:P128"/>
    <mergeCell ref="U127:X127"/>
    <mergeCell ref="U128:X128"/>
    <mergeCell ref="Q127:T127"/>
    <mergeCell ref="Q128:T128"/>
    <mergeCell ref="E101:H103"/>
    <mergeCell ref="I101:L103"/>
    <mergeCell ref="M101:P103"/>
    <mergeCell ref="Q101:T103"/>
    <mergeCell ref="U101:X103"/>
    <mergeCell ref="E104:H105"/>
    <mergeCell ref="E106:H106"/>
    <mergeCell ref="E107:H108"/>
    <mergeCell ref="I104:L104"/>
    <mergeCell ref="I105:L105"/>
    <mergeCell ref="I106:L106"/>
    <mergeCell ref="I107:L107"/>
    <mergeCell ref="I108:L108"/>
    <mergeCell ref="M104:P104"/>
    <mergeCell ref="M105:P105"/>
    <mergeCell ref="M106:P106"/>
    <mergeCell ref="M107:P107"/>
    <mergeCell ref="M108:P108"/>
    <mergeCell ref="U104:X104"/>
    <mergeCell ref="U105:X105"/>
    <mergeCell ref="U106:X106"/>
    <mergeCell ref="U107:X107"/>
    <mergeCell ref="U108:X108"/>
    <mergeCell ref="Q104:T104"/>
    <mergeCell ref="M97:P97"/>
    <mergeCell ref="M98:P98"/>
    <mergeCell ref="U93:X93"/>
    <mergeCell ref="U94:X94"/>
    <mergeCell ref="U95:X95"/>
    <mergeCell ref="U96:X96"/>
    <mergeCell ref="U97:X97"/>
    <mergeCell ref="U98:X98"/>
    <mergeCell ref="Q93:T93"/>
    <mergeCell ref="Q94:T94"/>
    <mergeCell ref="Q95:T95"/>
    <mergeCell ref="Q96:T96"/>
    <mergeCell ref="Q97:T97"/>
    <mergeCell ref="Q98:T98"/>
    <mergeCell ref="E90:H92"/>
    <mergeCell ref="I90:L92"/>
    <mergeCell ref="M90:P92"/>
    <mergeCell ref="Q90:T92"/>
    <mergeCell ref="U90:X92"/>
    <mergeCell ref="E93:H94"/>
    <mergeCell ref="I93:L93"/>
    <mergeCell ref="I94:L94"/>
    <mergeCell ref="M93:P93"/>
    <mergeCell ref="M94:P94"/>
    <mergeCell ref="E83:H85"/>
    <mergeCell ref="E86:H87"/>
    <mergeCell ref="I83:L85"/>
    <mergeCell ref="I86:L86"/>
    <mergeCell ref="I87:L87"/>
    <mergeCell ref="U83:X85"/>
    <mergeCell ref="M85:P85"/>
    <mergeCell ref="Q85:T85"/>
    <mergeCell ref="U86:X86"/>
    <mergeCell ref="U87:X87"/>
    <mergeCell ref="M86:P86"/>
    <mergeCell ref="M87:P87"/>
    <mergeCell ref="Q86:T86"/>
    <mergeCell ref="Q87:T87"/>
    <mergeCell ref="M83:T84"/>
    <mergeCell ref="U75:X75"/>
    <mergeCell ref="U76:X76"/>
    <mergeCell ref="U77:X77"/>
    <mergeCell ref="U78:X78"/>
    <mergeCell ref="U79:X79"/>
    <mergeCell ref="U80:X80"/>
    <mergeCell ref="Q73:T73"/>
    <mergeCell ref="Q74:T74"/>
    <mergeCell ref="Q75:T75"/>
    <mergeCell ref="Q76:T76"/>
    <mergeCell ref="Q77:T77"/>
    <mergeCell ref="Q78:T78"/>
    <mergeCell ref="Q79:T79"/>
    <mergeCell ref="Q80:T80"/>
    <mergeCell ref="I80:L80"/>
    <mergeCell ref="M70:P72"/>
    <mergeCell ref="M73:P73"/>
    <mergeCell ref="M74:P74"/>
    <mergeCell ref="M75:P75"/>
    <mergeCell ref="M76:P76"/>
    <mergeCell ref="M77:P77"/>
    <mergeCell ref="M78:P78"/>
    <mergeCell ref="M79:P79"/>
    <mergeCell ref="M80:P80"/>
    <mergeCell ref="I79:L79"/>
    <mergeCell ref="V41:Y42"/>
    <mergeCell ref="D43:J43"/>
    <mergeCell ref="K43:N43"/>
    <mergeCell ref="O43:U43"/>
    <mergeCell ref="V43:Y43"/>
    <mergeCell ref="E70:H72"/>
    <mergeCell ref="I70:L72"/>
    <mergeCell ref="Q70:T72"/>
    <mergeCell ref="U70:X72"/>
    <mergeCell ref="D59:F59"/>
    <mergeCell ref="C49:Z49"/>
    <mergeCell ref="C50:Z50"/>
    <mergeCell ref="C52:N52"/>
    <mergeCell ref="C164:Z164"/>
    <mergeCell ref="C165:Z165"/>
    <mergeCell ref="H20:M20"/>
    <mergeCell ref="T20:Z20"/>
    <mergeCell ref="C27:Z28"/>
    <mergeCell ref="E57:K57"/>
    <mergeCell ref="S57:W57"/>
    <mergeCell ref="G59:J59"/>
    <mergeCell ref="C112:Z112"/>
    <mergeCell ref="C111:Z111"/>
    <mergeCell ref="O52:Q52"/>
    <mergeCell ref="C46:Z48"/>
    <mergeCell ref="S56:W56"/>
    <mergeCell ref="E56:K56"/>
    <mergeCell ref="C31:Z33"/>
    <mergeCell ref="E75:H75"/>
    <mergeCell ref="E76:H76"/>
    <mergeCell ref="E77:H77"/>
    <mergeCell ref="E78:H78"/>
    <mergeCell ref="E79:H80"/>
    <mergeCell ref="I75:L75"/>
    <mergeCell ref="I76:L76"/>
    <mergeCell ref="I77:L77"/>
    <mergeCell ref="I78:L78"/>
    <mergeCell ref="Q108:T108"/>
    <mergeCell ref="E134:H135"/>
    <mergeCell ref="I134:L134"/>
    <mergeCell ref="I135:L135"/>
    <mergeCell ref="M134:P134"/>
    <mergeCell ref="M135:P135"/>
    <mergeCell ref="C5:Z6"/>
    <mergeCell ref="R7:U7"/>
    <mergeCell ref="V7:Z7"/>
    <mergeCell ref="P10:Y10"/>
    <mergeCell ref="D11:N13"/>
    <mergeCell ref="P11:Y13"/>
    <mergeCell ref="H19:N19"/>
    <mergeCell ref="T19:Z19"/>
    <mergeCell ref="H15:M15"/>
    <mergeCell ref="H16:M16"/>
    <mergeCell ref="T16:Z16"/>
    <mergeCell ref="H17:M17"/>
    <mergeCell ref="T17:Z17"/>
    <mergeCell ref="H18:M18"/>
    <mergeCell ref="T18:Z18"/>
    <mergeCell ref="D41:J42"/>
    <mergeCell ref="K41:N42"/>
    <mergeCell ref="O41:U42"/>
    <mergeCell ref="C24:Z25"/>
    <mergeCell ref="U134:X134"/>
    <mergeCell ref="U135:X135"/>
    <mergeCell ref="Q134:T134"/>
    <mergeCell ref="Q135:T135"/>
    <mergeCell ref="E138:H140"/>
    <mergeCell ref="I138:L140"/>
    <mergeCell ref="M138:P140"/>
    <mergeCell ref="E73:H74"/>
    <mergeCell ref="I73:L73"/>
    <mergeCell ref="I74:L74"/>
    <mergeCell ref="U73:X73"/>
    <mergeCell ref="U74:X74"/>
    <mergeCell ref="E95:H96"/>
    <mergeCell ref="E97:H98"/>
    <mergeCell ref="I95:L95"/>
    <mergeCell ref="I96:L96"/>
    <mergeCell ref="I97:L97"/>
    <mergeCell ref="I98:L98"/>
    <mergeCell ref="M95:P95"/>
    <mergeCell ref="M96:P96"/>
    <mergeCell ref="Q105:T105"/>
    <mergeCell ref="Q106:T106"/>
    <mergeCell ref="Q107:T107"/>
  </mergeCells>
  <printOptions horizontalCentered="1"/>
  <pageMargins left="0" right="0" top="7.8740157480315001E-2" bottom="0" header="7.8740157480315001E-2" footer="0.31496062992126"/>
  <pageSetup paperSize="10000" scale="93" orientation="portrait" horizontalDpi="4294967293" verticalDpi="4294967293" r:id="rId1"/>
  <headerFooter alignWithMargins="0">
    <oddFooter>&amp;R&amp;"Arial Narrow,Regular"&amp;10Page &amp;P of &amp;N
7F-08-01 Rev. 01
&amp;9Effectivity Date: August 01, 2019</oddFooter>
  </headerFooter>
  <rowBreaks count="2" manualBreakCount="2">
    <brk id="65" min="1" max="26" man="1"/>
    <brk id="119"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G158"/>
  <sheetViews>
    <sheetView showGridLines="0" tabSelected="1" view="pageBreakPreview" topLeftCell="A88" zoomScale="160" zoomScaleNormal="115" zoomScaleSheetLayoutView="160" workbookViewId="0">
      <selection activeCell="AC103" sqref="AC103:AG103"/>
    </sheetView>
  </sheetViews>
  <sheetFormatPr defaultColWidth="9.140625" defaultRowHeight="0" customHeight="1" zeroHeight="1" x14ac:dyDescent="0.3"/>
  <cols>
    <col min="1" max="1" width="10.140625" style="98" customWidth="1"/>
    <col min="2" max="52" width="2" customWidth="1"/>
    <col min="53" max="74" width="2" style="98" customWidth="1"/>
    <col min="75" max="75" width="2" customWidth="1"/>
    <col min="76" max="80" width="10.7109375" style="102" customWidth="1"/>
    <col min="81" max="81" width="2" style="102" customWidth="1"/>
    <col min="82" max="86" width="10.7109375" style="102" customWidth="1"/>
    <col min="87" max="87" width="2" style="102" customWidth="1"/>
    <col min="88" max="92" width="10.7109375" style="102" customWidth="1"/>
    <col min="93" max="93" width="2" style="102" customWidth="1"/>
    <col min="94" max="96" width="10.7109375" style="102" customWidth="1"/>
    <col min="97" max="98" width="10.7109375" customWidth="1"/>
    <col min="99" max="99" width="2" customWidth="1"/>
    <col min="100" max="102" width="20.7109375" customWidth="1"/>
    <col min="103" max="103" width="15.7109375" customWidth="1"/>
    <col min="104" max="104" width="5.7109375" customWidth="1"/>
    <col min="105" max="105" width="2" customWidth="1"/>
    <col min="106" max="107" width="10.7109375" style="103" customWidth="1"/>
    <col min="108" max="108" width="2" style="103" customWidth="1"/>
    <col min="109" max="110" width="10.7109375" style="104" customWidth="1"/>
  </cols>
  <sheetData>
    <row r="1" spans="1:110" ht="16.5" x14ac:dyDescent="0.3">
      <c r="B1" s="99"/>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1"/>
    </row>
    <row r="2" spans="1:110" ht="16.5" x14ac:dyDescent="0.3">
      <c r="B2" s="10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7"/>
    </row>
    <row r="3" spans="1:110" ht="18.75" x14ac:dyDescent="0.3">
      <c r="B3" s="39" t="s">
        <v>41</v>
      </c>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7"/>
    </row>
    <row r="4" spans="1:110" ht="6" customHeight="1" x14ac:dyDescent="0.3">
      <c r="B4" s="108"/>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10"/>
    </row>
    <row r="5" spans="1:110" s="4" customFormat="1" ht="17.25" customHeight="1" thickBot="1" x14ac:dyDescent="0.3">
      <c r="A5" s="3"/>
      <c r="B5" s="41"/>
      <c r="C5" s="43"/>
      <c r="D5" s="43"/>
      <c r="E5" s="43"/>
      <c r="F5" s="111" t="s">
        <v>66</v>
      </c>
      <c r="G5" s="111"/>
      <c r="H5" s="111"/>
      <c r="I5" s="111"/>
      <c r="J5" s="111"/>
      <c r="K5" s="111"/>
      <c r="L5" s="285"/>
      <c r="M5" s="285"/>
      <c r="N5" s="285"/>
      <c r="O5" s="112"/>
      <c r="P5" s="112"/>
      <c r="Q5" s="43"/>
      <c r="R5" s="43"/>
      <c r="S5" s="43"/>
      <c r="T5" s="43"/>
      <c r="U5" s="43"/>
      <c r="V5" s="43"/>
      <c r="W5" s="43"/>
      <c r="X5" s="43"/>
      <c r="Y5" s="43"/>
      <c r="Z5" s="43"/>
      <c r="AA5" s="43"/>
      <c r="AB5" s="43"/>
      <c r="AC5" s="43"/>
      <c r="AD5" s="43"/>
      <c r="AE5" s="43"/>
      <c r="AF5" s="43"/>
      <c r="AG5" s="43"/>
      <c r="AH5" s="43"/>
      <c r="AI5" s="111" t="s">
        <v>42</v>
      </c>
      <c r="AJ5" s="111"/>
      <c r="AK5" s="111"/>
      <c r="AL5" s="111"/>
      <c r="AM5" s="111"/>
      <c r="AN5" s="268"/>
      <c r="AO5" s="268"/>
      <c r="AP5" s="268"/>
      <c r="AQ5" s="113"/>
      <c r="AR5" s="43"/>
      <c r="AS5" s="43"/>
      <c r="AT5" s="43"/>
      <c r="AU5" s="43"/>
      <c r="AV5" s="43"/>
      <c r="AW5" s="43"/>
      <c r="AX5" s="43"/>
      <c r="AY5" s="43"/>
      <c r="AZ5" s="114"/>
      <c r="BA5" s="115"/>
      <c r="BB5" s="115"/>
      <c r="BC5" s="115"/>
      <c r="BD5" s="115"/>
      <c r="BE5" s="115"/>
      <c r="BF5" s="115"/>
      <c r="BG5" s="3"/>
      <c r="BH5" s="3"/>
      <c r="BI5" s="3"/>
      <c r="BJ5" s="3"/>
      <c r="BK5" s="3"/>
      <c r="BL5" s="3"/>
      <c r="BM5" s="3"/>
      <c r="BN5" s="3"/>
      <c r="BO5" s="3"/>
      <c r="BP5" s="3"/>
      <c r="BQ5" s="3"/>
      <c r="BR5" s="3"/>
      <c r="BS5" s="3"/>
      <c r="BT5" s="3"/>
      <c r="BU5" s="3"/>
      <c r="BV5" s="3"/>
      <c r="BX5" s="48"/>
      <c r="BY5" s="48"/>
      <c r="BZ5" s="48"/>
      <c r="CA5" s="48"/>
      <c r="CB5" s="48"/>
      <c r="CC5" s="48"/>
      <c r="CD5" s="48"/>
      <c r="CE5" s="48"/>
      <c r="CF5" s="48"/>
      <c r="CG5" s="48"/>
      <c r="CH5" s="48"/>
      <c r="CI5" s="48"/>
      <c r="CJ5" s="48"/>
      <c r="CK5" s="48"/>
      <c r="CL5" s="48"/>
      <c r="CM5" s="48"/>
      <c r="CN5" s="48"/>
      <c r="CO5" s="48"/>
      <c r="CP5" s="48"/>
      <c r="CQ5" s="48"/>
      <c r="CR5" s="48"/>
      <c r="DB5" s="49"/>
      <c r="DC5" s="49"/>
      <c r="DD5" s="49"/>
      <c r="DE5" s="50"/>
      <c r="DF5" s="50"/>
    </row>
    <row r="6" spans="1:110" s="4" customFormat="1" ht="14.25" thickBot="1" x14ac:dyDescent="0.3">
      <c r="A6" s="3"/>
      <c r="B6" s="269" t="s">
        <v>68</v>
      </c>
      <c r="C6" s="270"/>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c r="AG6" s="270"/>
      <c r="AH6" s="270"/>
      <c r="AI6" s="270"/>
      <c r="AJ6" s="270"/>
      <c r="AK6" s="270"/>
      <c r="AL6" s="270"/>
      <c r="AM6" s="270"/>
      <c r="AN6" s="270"/>
      <c r="AO6" s="270"/>
      <c r="AP6" s="270"/>
      <c r="AQ6" s="270"/>
      <c r="AR6" s="270"/>
      <c r="AS6" s="270"/>
      <c r="AT6" s="270"/>
      <c r="AU6" s="270"/>
      <c r="AV6" s="270"/>
      <c r="AW6" s="270"/>
      <c r="AX6" s="270"/>
      <c r="AY6" s="270"/>
      <c r="AZ6" s="271"/>
      <c r="BA6" s="3"/>
      <c r="BB6" s="3"/>
      <c r="BC6" s="3"/>
      <c r="BD6" s="3"/>
      <c r="BE6" s="3"/>
      <c r="BF6" s="3"/>
      <c r="BG6" s="3"/>
      <c r="BH6" s="3"/>
      <c r="BI6" s="3"/>
      <c r="BJ6" s="3"/>
      <c r="BK6" s="3"/>
      <c r="BL6" s="3"/>
      <c r="BM6" s="3"/>
      <c r="BN6" s="3"/>
      <c r="BO6" s="3"/>
      <c r="BP6" s="3"/>
      <c r="BQ6" s="3"/>
      <c r="BR6" s="3"/>
      <c r="BS6" s="3"/>
      <c r="BT6" s="3"/>
      <c r="BU6" s="3"/>
      <c r="BV6" s="3"/>
      <c r="BX6" s="48"/>
      <c r="BY6" s="48"/>
      <c r="BZ6" s="48"/>
      <c r="CA6" s="48"/>
      <c r="CB6" s="48"/>
      <c r="CC6" s="48"/>
      <c r="CD6" s="48"/>
      <c r="CE6" s="48"/>
      <c r="CF6" s="48"/>
      <c r="CG6" s="48"/>
      <c r="CH6" s="48"/>
      <c r="CI6" s="48"/>
      <c r="CJ6" s="48"/>
      <c r="CK6" s="48"/>
      <c r="CL6" s="48"/>
      <c r="CM6" s="48"/>
      <c r="CN6" s="48"/>
      <c r="CO6" s="48"/>
      <c r="CP6" s="48"/>
      <c r="CQ6" s="48"/>
      <c r="CR6" s="48"/>
      <c r="DB6" s="49"/>
      <c r="DC6" s="49"/>
      <c r="DD6" s="49"/>
      <c r="DE6" s="50"/>
      <c r="DF6" s="50"/>
    </row>
    <row r="7" spans="1:110" s="4" customFormat="1" ht="8.1" customHeight="1" x14ac:dyDescent="0.25">
      <c r="A7" s="3"/>
      <c r="B7" s="272" t="s">
        <v>14</v>
      </c>
      <c r="C7" s="273"/>
      <c r="D7" s="273"/>
      <c r="E7" s="273"/>
      <c r="F7" s="273"/>
      <c r="G7" s="273"/>
      <c r="H7" s="273"/>
      <c r="I7" s="273"/>
      <c r="J7" s="274" t="s">
        <v>69</v>
      </c>
      <c r="K7" s="275" t="s">
        <v>101</v>
      </c>
      <c r="L7" s="275"/>
      <c r="M7" s="275"/>
      <c r="N7" s="275"/>
      <c r="O7" s="275"/>
      <c r="P7" s="275"/>
      <c r="Q7" s="275"/>
      <c r="R7" s="275"/>
      <c r="S7" s="275"/>
      <c r="T7" s="275"/>
      <c r="U7" s="275"/>
      <c r="V7" s="275"/>
      <c r="W7" s="275"/>
      <c r="X7" s="275"/>
      <c r="Y7" s="275"/>
      <c r="Z7" s="275"/>
      <c r="AA7" s="275"/>
      <c r="AB7" s="273" t="s">
        <v>24</v>
      </c>
      <c r="AC7" s="273"/>
      <c r="AD7" s="273"/>
      <c r="AE7" s="273"/>
      <c r="AF7" s="273"/>
      <c r="AG7" s="273"/>
      <c r="AH7" s="273"/>
      <c r="AI7" s="273"/>
      <c r="AJ7" s="273"/>
      <c r="AK7" s="274" t="s">
        <v>69</v>
      </c>
      <c r="AL7" s="277"/>
      <c r="AM7" s="277"/>
      <c r="AN7" s="277"/>
      <c r="AO7" s="277"/>
      <c r="AP7" s="277"/>
      <c r="AQ7" s="277"/>
      <c r="AR7" s="277"/>
      <c r="AS7" s="277"/>
      <c r="AT7" s="277"/>
      <c r="AU7" s="277"/>
      <c r="AV7" s="277"/>
      <c r="AW7" s="277"/>
      <c r="AX7" s="277"/>
      <c r="AY7" s="277"/>
      <c r="AZ7" s="278"/>
      <c r="BA7" s="3"/>
      <c r="BB7" s="3"/>
      <c r="BC7" s="3"/>
      <c r="BD7" s="3"/>
      <c r="BE7" s="3"/>
      <c r="BF7" s="3"/>
      <c r="BG7" s="3"/>
      <c r="BH7" s="3"/>
      <c r="BI7" s="3"/>
      <c r="BJ7" s="3"/>
      <c r="BK7" s="3"/>
      <c r="BL7" s="3"/>
      <c r="BM7" s="3"/>
      <c r="BN7" s="3"/>
      <c r="BO7" s="3"/>
      <c r="BP7" s="3"/>
      <c r="BQ7" s="3"/>
      <c r="BR7" s="3"/>
      <c r="BS7" s="3"/>
      <c r="BT7" s="3"/>
      <c r="BU7" s="3"/>
      <c r="BV7" s="3"/>
      <c r="BX7" s="48"/>
      <c r="BY7" s="48"/>
      <c r="BZ7" s="48"/>
      <c r="CA7" s="48"/>
      <c r="CB7" s="48"/>
      <c r="CC7" s="48"/>
      <c r="CD7" s="48"/>
      <c r="CE7" s="48"/>
      <c r="CF7" s="48"/>
      <c r="CG7" s="48"/>
      <c r="CH7" s="48"/>
      <c r="CI7" s="48"/>
      <c r="CJ7" s="48"/>
      <c r="CK7" s="48"/>
      <c r="CL7" s="48"/>
      <c r="CM7" s="48"/>
      <c r="CN7" s="48"/>
      <c r="CO7" s="48"/>
      <c r="CP7" s="48"/>
      <c r="CQ7" s="48"/>
      <c r="CR7" s="48"/>
      <c r="DB7" s="49"/>
      <c r="DC7" s="49"/>
      <c r="DD7" s="49"/>
      <c r="DE7" s="50"/>
      <c r="DF7" s="50"/>
    </row>
    <row r="8" spans="1:110" s="4" customFormat="1" ht="8.1" customHeight="1" x14ac:dyDescent="0.25">
      <c r="A8" s="3"/>
      <c r="B8" s="272"/>
      <c r="C8" s="273"/>
      <c r="D8" s="273"/>
      <c r="E8" s="273"/>
      <c r="F8" s="273"/>
      <c r="G8" s="273"/>
      <c r="H8" s="273"/>
      <c r="I8" s="273"/>
      <c r="J8" s="274"/>
      <c r="K8" s="276"/>
      <c r="L8" s="276"/>
      <c r="M8" s="276"/>
      <c r="N8" s="276"/>
      <c r="O8" s="276"/>
      <c r="P8" s="276"/>
      <c r="Q8" s="276"/>
      <c r="R8" s="276"/>
      <c r="S8" s="276"/>
      <c r="T8" s="276"/>
      <c r="U8" s="276"/>
      <c r="V8" s="276"/>
      <c r="W8" s="276"/>
      <c r="X8" s="276"/>
      <c r="Y8" s="276"/>
      <c r="Z8" s="276"/>
      <c r="AA8" s="276"/>
      <c r="AB8" s="273"/>
      <c r="AC8" s="273"/>
      <c r="AD8" s="273"/>
      <c r="AE8" s="273"/>
      <c r="AF8" s="273"/>
      <c r="AG8" s="273"/>
      <c r="AH8" s="273"/>
      <c r="AI8" s="273"/>
      <c r="AJ8" s="273"/>
      <c r="AK8" s="274"/>
      <c r="AL8" s="279"/>
      <c r="AM8" s="279"/>
      <c r="AN8" s="279"/>
      <c r="AO8" s="279"/>
      <c r="AP8" s="279"/>
      <c r="AQ8" s="279"/>
      <c r="AR8" s="279"/>
      <c r="AS8" s="279"/>
      <c r="AT8" s="279"/>
      <c r="AU8" s="279"/>
      <c r="AV8" s="279"/>
      <c r="AW8" s="279"/>
      <c r="AX8" s="279"/>
      <c r="AY8" s="279"/>
      <c r="AZ8" s="280"/>
      <c r="BA8" s="3"/>
      <c r="BB8" s="3"/>
      <c r="BC8" s="3"/>
      <c r="BD8" s="3"/>
      <c r="BE8" s="3"/>
      <c r="BF8" s="3"/>
      <c r="BG8" s="3"/>
      <c r="BH8" s="3"/>
      <c r="BI8" s="3"/>
      <c r="BJ8" s="3"/>
      <c r="BK8" s="3"/>
      <c r="BL8" s="3"/>
      <c r="BM8" s="3"/>
      <c r="BN8" s="3"/>
      <c r="BO8" s="3"/>
      <c r="BP8" s="3"/>
      <c r="BQ8" s="3"/>
      <c r="BR8" s="3"/>
      <c r="BS8" s="3"/>
      <c r="BT8" s="3"/>
      <c r="BU8" s="3"/>
      <c r="BV8" s="3"/>
      <c r="BX8" s="48"/>
      <c r="BY8" s="48"/>
      <c r="BZ8" s="48"/>
      <c r="CA8" s="48"/>
      <c r="CB8" s="48"/>
      <c r="CC8" s="48"/>
      <c r="CD8" s="48"/>
      <c r="CE8" s="48"/>
      <c r="CF8" s="48"/>
      <c r="CG8" s="48"/>
      <c r="CH8" s="48"/>
      <c r="CI8" s="48"/>
      <c r="CJ8" s="48"/>
      <c r="CK8" s="48"/>
      <c r="CL8" s="48"/>
      <c r="CM8" s="48"/>
      <c r="CN8" s="48"/>
      <c r="CO8" s="48"/>
      <c r="CP8" s="48"/>
      <c r="CQ8" s="48"/>
      <c r="CR8" s="48"/>
      <c r="DB8" s="49"/>
      <c r="DC8" s="49"/>
      <c r="DD8" s="49"/>
      <c r="DE8" s="50"/>
      <c r="DF8" s="50"/>
    </row>
    <row r="9" spans="1:110" s="4" customFormat="1" ht="8.1" customHeight="1" x14ac:dyDescent="0.25">
      <c r="A9" s="3"/>
      <c r="B9" s="272" t="s">
        <v>20</v>
      </c>
      <c r="C9" s="273"/>
      <c r="D9" s="273"/>
      <c r="E9" s="273"/>
      <c r="F9" s="273"/>
      <c r="G9" s="273"/>
      <c r="H9" s="273"/>
      <c r="I9" s="273"/>
      <c r="J9" s="274" t="s">
        <v>69</v>
      </c>
      <c r="K9" s="281" t="s">
        <v>120</v>
      </c>
      <c r="L9" s="281"/>
      <c r="M9" s="281"/>
      <c r="N9" s="281"/>
      <c r="O9" s="281"/>
      <c r="P9" s="281"/>
      <c r="Q9" s="281"/>
      <c r="R9" s="281"/>
      <c r="S9" s="281"/>
      <c r="T9" s="281"/>
      <c r="U9" s="281"/>
      <c r="V9" s="281"/>
      <c r="W9" s="281"/>
      <c r="X9" s="281"/>
      <c r="Y9" s="281"/>
      <c r="Z9" s="281"/>
      <c r="AA9" s="281"/>
      <c r="AB9" s="273" t="s">
        <v>70</v>
      </c>
      <c r="AC9" s="273"/>
      <c r="AD9" s="273"/>
      <c r="AE9" s="273"/>
      <c r="AF9" s="273"/>
      <c r="AG9" s="273"/>
      <c r="AH9" s="273"/>
      <c r="AI9" s="273"/>
      <c r="AJ9" s="273"/>
      <c r="AK9" s="274" t="s">
        <v>69</v>
      </c>
      <c r="AL9" s="318"/>
      <c r="AM9" s="318"/>
      <c r="AN9" s="318"/>
      <c r="AO9" s="318"/>
      <c r="AP9" s="318"/>
      <c r="AQ9" s="318"/>
      <c r="AR9" s="318"/>
      <c r="AS9" s="318"/>
      <c r="AT9" s="318"/>
      <c r="AU9" s="318"/>
      <c r="AV9" s="318"/>
      <c r="AW9" s="318"/>
      <c r="AX9" s="318"/>
      <c r="AY9" s="318"/>
      <c r="AZ9" s="319"/>
      <c r="BA9" s="3"/>
      <c r="BB9" s="3"/>
      <c r="BC9" s="3"/>
      <c r="BD9" s="3"/>
      <c r="BE9" s="3"/>
      <c r="BF9" s="3"/>
      <c r="BG9" s="3"/>
      <c r="BH9" s="3"/>
      <c r="BI9" s="3"/>
      <c r="BJ9" s="3"/>
      <c r="BK9" s="3"/>
      <c r="BL9" s="3"/>
      <c r="BM9" s="3"/>
      <c r="BN9" s="3"/>
      <c r="BO9" s="3"/>
      <c r="BP9" s="3"/>
      <c r="BQ9" s="3"/>
      <c r="BR9" s="3"/>
      <c r="BS9" s="3"/>
      <c r="BT9" s="3"/>
      <c r="BU9" s="3"/>
      <c r="BV9" s="3"/>
      <c r="BX9" s="48"/>
      <c r="BY9" s="48"/>
      <c r="BZ9" s="48"/>
      <c r="CA9" s="48"/>
      <c r="CB9" s="48"/>
      <c r="CC9" s="48"/>
      <c r="CD9" s="48"/>
      <c r="CE9" s="48"/>
      <c r="CF9" s="48"/>
      <c r="CG9" s="48"/>
      <c r="CH9" s="48"/>
      <c r="CI9" s="48"/>
      <c r="CJ9" s="48"/>
      <c r="CK9" s="48"/>
      <c r="CL9" s="48"/>
      <c r="CM9" s="48"/>
      <c r="CN9" s="48"/>
      <c r="CO9" s="48"/>
      <c r="CP9" s="48"/>
      <c r="CQ9" s="48"/>
      <c r="CR9" s="48"/>
      <c r="DB9" s="49"/>
      <c r="DC9" s="49"/>
      <c r="DD9" s="49"/>
      <c r="DE9" s="50"/>
      <c r="DF9" s="50"/>
    </row>
    <row r="10" spans="1:110" s="4" customFormat="1" ht="8.1" customHeight="1" x14ac:dyDescent="0.25">
      <c r="A10" s="3"/>
      <c r="B10" s="272"/>
      <c r="C10" s="273"/>
      <c r="D10" s="273"/>
      <c r="E10" s="273"/>
      <c r="F10" s="273"/>
      <c r="G10" s="273"/>
      <c r="H10" s="273"/>
      <c r="I10" s="273"/>
      <c r="J10" s="274"/>
      <c r="K10" s="282"/>
      <c r="L10" s="282"/>
      <c r="M10" s="282"/>
      <c r="N10" s="282"/>
      <c r="O10" s="282"/>
      <c r="P10" s="282"/>
      <c r="Q10" s="282"/>
      <c r="R10" s="282"/>
      <c r="S10" s="282"/>
      <c r="T10" s="282"/>
      <c r="U10" s="282"/>
      <c r="V10" s="282"/>
      <c r="W10" s="282"/>
      <c r="X10" s="282"/>
      <c r="Y10" s="282"/>
      <c r="Z10" s="282"/>
      <c r="AA10" s="282"/>
      <c r="AB10" s="273"/>
      <c r="AC10" s="273"/>
      <c r="AD10" s="273"/>
      <c r="AE10" s="273"/>
      <c r="AF10" s="273"/>
      <c r="AG10" s="273"/>
      <c r="AH10" s="273"/>
      <c r="AI10" s="273"/>
      <c r="AJ10" s="273"/>
      <c r="AK10" s="274"/>
      <c r="AL10" s="279"/>
      <c r="AM10" s="279"/>
      <c r="AN10" s="279"/>
      <c r="AO10" s="279"/>
      <c r="AP10" s="279"/>
      <c r="AQ10" s="279"/>
      <c r="AR10" s="279"/>
      <c r="AS10" s="279"/>
      <c r="AT10" s="279"/>
      <c r="AU10" s="279"/>
      <c r="AV10" s="279"/>
      <c r="AW10" s="279"/>
      <c r="AX10" s="279"/>
      <c r="AY10" s="279"/>
      <c r="AZ10" s="280"/>
      <c r="BA10" s="3"/>
      <c r="BB10" s="3"/>
      <c r="BC10" s="3"/>
      <c r="BD10" s="3"/>
      <c r="BE10" s="3"/>
      <c r="BF10" s="3"/>
      <c r="BG10" s="3"/>
      <c r="BH10" s="3"/>
      <c r="BI10" s="3"/>
      <c r="BJ10" s="3"/>
      <c r="BK10" s="3"/>
      <c r="BL10" s="3"/>
      <c r="BM10" s="3"/>
      <c r="BN10" s="3"/>
      <c r="BO10" s="3"/>
      <c r="BP10" s="3"/>
      <c r="BQ10" s="3"/>
      <c r="BR10" s="3"/>
      <c r="BS10" s="3"/>
      <c r="BT10" s="3"/>
      <c r="BU10" s="3"/>
      <c r="BV10" s="3"/>
      <c r="BX10" s="48"/>
      <c r="BY10" s="48"/>
      <c r="BZ10" s="48"/>
      <c r="CA10" s="48"/>
      <c r="CB10" s="48"/>
      <c r="CC10" s="48"/>
      <c r="CD10" s="48"/>
      <c r="CE10" s="48"/>
      <c r="CF10" s="48"/>
      <c r="CG10" s="48"/>
      <c r="CH10" s="48"/>
      <c r="CI10" s="48"/>
      <c r="CJ10" s="48"/>
      <c r="CK10" s="48"/>
      <c r="CL10" s="48"/>
      <c r="CM10" s="48"/>
      <c r="CN10" s="48"/>
      <c r="CO10" s="48"/>
      <c r="CP10" s="48"/>
      <c r="CQ10" s="48"/>
      <c r="CR10" s="48"/>
      <c r="DB10" s="49"/>
      <c r="DC10" s="49"/>
      <c r="DD10" s="49"/>
      <c r="DE10" s="50"/>
      <c r="DF10" s="50"/>
    </row>
    <row r="11" spans="1:110" s="4" customFormat="1" ht="8.1" customHeight="1" x14ac:dyDescent="0.25">
      <c r="A11" s="3"/>
      <c r="B11" s="272" t="s">
        <v>21</v>
      </c>
      <c r="C11" s="273"/>
      <c r="D11" s="273"/>
      <c r="E11" s="273"/>
      <c r="F11" s="273"/>
      <c r="G11" s="273"/>
      <c r="H11" s="273"/>
      <c r="I11" s="273"/>
      <c r="J11" s="274" t="s">
        <v>69</v>
      </c>
      <c r="K11" s="281">
        <v>114</v>
      </c>
      <c r="L11" s="281"/>
      <c r="M11" s="281"/>
      <c r="N11" s="281"/>
      <c r="O11" s="281"/>
      <c r="P11" s="281"/>
      <c r="Q11" s="281"/>
      <c r="R11" s="281"/>
      <c r="S11" s="281"/>
      <c r="T11" s="281"/>
      <c r="U11" s="281"/>
      <c r="V11" s="281"/>
      <c r="W11" s="281"/>
      <c r="X11" s="281"/>
      <c r="Y11" s="281"/>
      <c r="Z11" s="281"/>
      <c r="AA11" s="281"/>
      <c r="AB11" s="273" t="s">
        <v>23</v>
      </c>
      <c r="AC11" s="273"/>
      <c r="AD11" s="273"/>
      <c r="AE11" s="273"/>
      <c r="AF11" s="273"/>
      <c r="AG11" s="273"/>
      <c r="AH11" s="273"/>
      <c r="AI11" s="273"/>
      <c r="AJ11" s="273"/>
      <c r="AK11" s="274" t="s">
        <v>69</v>
      </c>
      <c r="AL11" s="281" t="s">
        <v>135</v>
      </c>
      <c r="AM11" s="281"/>
      <c r="AN11" s="281"/>
      <c r="AO11" s="281"/>
      <c r="AP11" s="281"/>
      <c r="AQ11" s="281"/>
      <c r="AR11" s="281"/>
      <c r="AS11" s="281"/>
      <c r="AT11" s="281"/>
      <c r="AU11" s="281"/>
      <c r="AV11" s="281"/>
      <c r="AW11" s="281"/>
      <c r="AX11" s="281"/>
      <c r="AY11" s="281"/>
      <c r="AZ11" s="283"/>
      <c r="BA11" s="3"/>
      <c r="BB11" s="3"/>
      <c r="BC11" s="3"/>
      <c r="BD11" s="3"/>
      <c r="BE11" s="3"/>
      <c r="BF11" s="3"/>
      <c r="BG11" s="3"/>
      <c r="BH11" s="3"/>
      <c r="BI11" s="3"/>
      <c r="BJ11" s="3"/>
      <c r="BK11" s="3"/>
      <c r="BL11" s="3"/>
      <c r="BM11" s="3"/>
      <c r="BN11" s="3"/>
      <c r="BO11" s="3"/>
      <c r="BP11" s="3"/>
      <c r="BQ11" s="3"/>
      <c r="BR11" s="3"/>
      <c r="BS11" s="3"/>
      <c r="BT11" s="3"/>
      <c r="BU11" s="3"/>
      <c r="BV11" s="3"/>
      <c r="BX11" s="48"/>
      <c r="BY11" s="48"/>
      <c r="BZ11" s="48"/>
      <c r="CA11" s="48"/>
      <c r="CB11" s="48"/>
      <c r="CC11" s="48"/>
      <c r="CD11" s="48"/>
      <c r="CE11" s="48"/>
      <c r="CF11" s="48"/>
      <c r="CG11" s="48"/>
      <c r="CH11" s="48"/>
      <c r="CI11" s="48"/>
      <c r="CJ11" s="48"/>
      <c r="CK11" s="48"/>
      <c r="CL11" s="48"/>
      <c r="CM11" s="48"/>
      <c r="CN11" s="48"/>
      <c r="CO11" s="48"/>
      <c r="CP11" s="48"/>
      <c r="CQ11" s="48"/>
      <c r="CR11" s="48"/>
      <c r="DB11" s="49"/>
      <c r="DC11" s="49"/>
      <c r="DD11" s="49"/>
      <c r="DE11" s="50"/>
      <c r="DF11" s="50"/>
    </row>
    <row r="12" spans="1:110" s="4" customFormat="1" ht="8.1" customHeight="1" x14ac:dyDescent="0.25">
      <c r="A12" s="3"/>
      <c r="B12" s="272"/>
      <c r="C12" s="273"/>
      <c r="D12" s="273"/>
      <c r="E12" s="273"/>
      <c r="F12" s="273"/>
      <c r="G12" s="273"/>
      <c r="H12" s="273"/>
      <c r="I12" s="273"/>
      <c r="J12" s="274"/>
      <c r="K12" s="282"/>
      <c r="L12" s="282"/>
      <c r="M12" s="282"/>
      <c r="N12" s="282"/>
      <c r="O12" s="282"/>
      <c r="P12" s="282"/>
      <c r="Q12" s="282"/>
      <c r="R12" s="282"/>
      <c r="S12" s="282"/>
      <c r="T12" s="282"/>
      <c r="U12" s="282"/>
      <c r="V12" s="282"/>
      <c r="W12" s="282"/>
      <c r="X12" s="282"/>
      <c r="Y12" s="282"/>
      <c r="Z12" s="282"/>
      <c r="AA12" s="282"/>
      <c r="AB12" s="273"/>
      <c r="AC12" s="273"/>
      <c r="AD12" s="273"/>
      <c r="AE12" s="273"/>
      <c r="AF12" s="273"/>
      <c r="AG12" s="273"/>
      <c r="AH12" s="273"/>
      <c r="AI12" s="273"/>
      <c r="AJ12" s="273"/>
      <c r="AK12" s="274"/>
      <c r="AL12" s="282"/>
      <c r="AM12" s="282"/>
      <c r="AN12" s="282"/>
      <c r="AO12" s="282"/>
      <c r="AP12" s="282"/>
      <c r="AQ12" s="282"/>
      <c r="AR12" s="282"/>
      <c r="AS12" s="282"/>
      <c r="AT12" s="282"/>
      <c r="AU12" s="282"/>
      <c r="AV12" s="282"/>
      <c r="AW12" s="282"/>
      <c r="AX12" s="282"/>
      <c r="AY12" s="282"/>
      <c r="AZ12" s="284"/>
      <c r="BA12" s="3"/>
      <c r="BB12" s="3"/>
      <c r="BC12" s="3"/>
      <c r="BD12" s="3"/>
      <c r="BE12" s="3"/>
      <c r="BF12" s="3"/>
      <c r="BG12" s="3"/>
      <c r="BH12" s="3"/>
      <c r="BI12" s="3"/>
      <c r="BJ12" s="3"/>
      <c r="BK12" s="3"/>
      <c r="BL12" s="3"/>
      <c r="BM12" s="3"/>
      <c r="BN12" s="3"/>
      <c r="BO12" s="3"/>
      <c r="BP12" s="3"/>
      <c r="BQ12" s="3"/>
      <c r="BR12" s="3"/>
      <c r="BS12" s="3"/>
      <c r="BT12" s="3"/>
      <c r="BU12" s="3"/>
      <c r="BV12" s="3"/>
      <c r="BX12" s="48"/>
      <c r="BY12" s="48"/>
      <c r="BZ12" s="48"/>
      <c r="CA12" s="48"/>
      <c r="CB12" s="48"/>
      <c r="CC12" s="48"/>
      <c r="CD12" s="48"/>
      <c r="CE12" s="48"/>
      <c r="CF12" s="48"/>
      <c r="CG12" s="48"/>
      <c r="CH12" s="48"/>
      <c r="CI12" s="48"/>
      <c r="CJ12" s="48"/>
      <c r="CK12" s="48"/>
      <c r="CL12" s="48"/>
      <c r="CM12" s="48"/>
      <c r="CN12" s="48"/>
      <c r="CO12" s="48"/>
      <c r="CP12" s="48"/>
      <c r="CQ12" s="48"/>
      <c r="CR12" s="48"/>
      <c r="DB12" s="49"/>
      <c r="DC12" s="49"/>
      <c r="DD12" s="49"/>
      <c r="DE12" s="50"/>
      <c r="DF12" s="50"/>
    </row>
    <row r="13" spans="1:110" s="4" customFormat="1" ht="8.1" customHeight="1" x14ac:dyDescent="0.25">
      <c r="A13" s="3"/>
      <c r="B13" s="272" t="s">
        <v>22</v>
      </c>
      <c r="C13" s="273"/>
      <c r="D13" s="273"/>
      <c r="E13" s="273"/>
      <c r="F13" s="273"/>
      <c r="G13" s="273"/>
      <c r="H13" s="273"/>
      <c r="I13" s="273"/>
      <c r="J13" s="274" t="s">
        <v>69</v>
      </c>
      <c r="K13" s="281"/>
      <c r="L13" s="281"/>
      <c r="M13" s="281"/>
      <c r="N13" s="281"/>
      <c r="O13" s="281"/>
      <c r="P13" s="281"/>
      <c r="Q13" s="281"/>
      <c r="R13" s="281"/>
      <c r="S13" s="281"/>
      <c r="T13" s="281"/>
      <c r="U13" s="281"/>
      <c r="V13" s="281"/>
      <c r="W13" s="281"/>
      <c r="X13" s="281"/>
      <c r="Y13" s="281"/>
      <c r="Z13" s="281"/>
      <c r="AA13" s="281"/>
      <c r="AB13" s="273" t="s">
        <v>71</v>
      </c>
      <c r="AC13" s="273"/>
      <c r="AD13" s="273"/>
      <c r="AE13" s="273"/>
      <c r="AF13" s="273"/>
      <c r="AG13" s="273"/>
      <c r="AH13" s="273"/>
      <c r="AI13" s="273"/>
      <c r="AJ13" s="273"/>
      <c r="AK13" s="274" t="s">
        <v>69</v>
      </c>
      <c r="AL13" s="320" t="s">
        <v>135</v>
      </c>
      <c r="AM13" s="320"/>
      <c r="AN13" s="320"/>
      <c r="AO13" s="320"/>
      <c r="AP13" s="320"/>
      <c r="AQ13" s="320"/>
      <c r="AR13" s="320"/>
      <c r="AS13" s="320"/>
      <c r="AT13" s="320"/>
      <c r="AU13" s="320"/>
      <c r="AV13" s="320"/>
      <c r="AW13" s="320"/>
      <c r="AX13" s="320"/>
      <c r="AY13" s="320"/>
      <c r="AZ13" s="321"/>
      <c r="BA13" s="3"/>
      <c r="BB13" s="3"/>
      <c r="BC13" s="3"/>
      <c r="BD13" s="3"/>
      <c r="BE13" s="3"/>
      <c r="BF13" s="3"/>
      <c r="BG13" s="3"/>
      <c r="BH13" s="3"/>
      <c r="BI13" s="3"/>
      <c r="BJ13" s="3"/>
      <c r="BK13" s="3"/>
      <c r="BL13" s="3"/>
      <c r="BM13" s="3"/>
      <c r="BN13" s="3"/>
      <c r="BO13" s="3"/>
      <c r="BP13" s="3"/>
      <c r="BQ13" s="3"/>
      <c r="BR13" s="3"/>
      <c r="BS13" s="3"/>
      <c r="BT13" s="3"/>
      <c r="BU13" s="3"/>
      <c r="BV13" s="3"/>
      <c r="BX13" s="48"/>
      <c r="BY13" s="48"/>
      <c r="BZ13" s="48"/>
      <c r="CA13" s="48"/>
      <c r="CB13" s="48"/>
      <c r="CC13" s="48"/>
      <c r="CD13" s="48"/>
      <c r="CE13" s="48"/>
      <c r="CF13" s="48"/>
      <c r="CG13" s="48"/>
      <c r="CH13" s="48"/>
      <c r="CI13" s="48"/>
      <c r="CJ13" s="48"/>
      <c r="CK13" s="48"/>
      <c r="CL13" s="48"/>
      <c r="CM13" s="48"/>
      <c r="CN13" s="48"/>
      <c r="CO13" s="48"/>
      <c r="CP13" s="48"/>
      <c r="CQ13" s="48"/>
      <c r="CR13" s="48"/>
      <c r="DB13" s="49"/>
      <c r="DC13" s="49"/>
      <c r="DD13" s="49"/>
      <c r="DE13" s="50"/>
      <c r="DF13" s="50"/>
    </row>
    <row r="14" spans="1:110" s="4" customFormat="1" ht="8.1" customHeight="1" x14ac:dyDescent="0.25">
      <c r="A14" s="3"/>
      <c r="B14" s="272"/>
      <c r="C14" s="273"/>
      <c r="D14" s="273"/>
      <c r="E14" s="273"/>
      <c r="F14" s="273"/>
      <c r="G14" s="273"/>
      <c r="H14" s="273"/>
      <c r="I14" s="273"/>
      <c r="J14" s="274"/>
      <c r="K14" s="282"/>
      <c r="L14" s="282"/>
      <c r="M14" s="282"/>
      <c r="N14" s="282"/>
      <c r="O14" s="282"/>
      <c r="P14" s="282"/>
      <c r="Q14" s="282"/>
      <c r="R14" s="282"/>
      <c r="S14" s="282"/>
      <c r="T14" s="282"/>
      <c r="U14" s="282"/>
      <c r="V14" s="282"/>
      <c r="W14" s="282"/>
      <c r="X14" s="282"/>
      <c r="Y14" s="282"/>
      <c r="Z14" s="282"/>
      <c r="AA14" s="282"/>
      <c r="AB14" s="273"/>
      <c r="AC14" s="273"/>
      <c r="AD14" s="273"/>
      <c r="AE14" s="273"/>
      <c r="AF14" s="273"/>
      <c r="AG14" s="273"/>
      <c r="AH14" s="273"/>
      <c r="AI14" s="273"/>
      <c r="AJ14" s="273"/>
      <c r="AK14" s="274"/>
      <c r="AL14" s="322"/>
      <c r="AM14" s="322"/>
      <c r="AN14" s="322"/>
      <c r="AO14" s="322"/>
      <c r="AP14" s="322"/>
      <c r="AQ14" s="322"/>
      <c r="AR14" s="322"/>
      <c r="AS14" s="322"/>
      <c r="AT14" s="322"/>
      <c r="AU14" s="322"/>
      <c r="AV14" s="322"/>
      <c r="AW14" s="322"/>
      <c r="AX14" s="322"/>
      <c r="AY14" s="322"/>
      <c r="AZ14" s="323"/>
      <c r="BA14" s="3"/>
      <c r="BB14" s="3"/>
      <c r="BC14" s="3"/>
      <c r="BD14" s="3"/>
      <c r="BE14" s="3"/>
      <c r="BF14" s="3"/>
      <c r="BG14" s="3"/>
      <c r="BH14" s="3"/>
      <c r="BI14" s="3"/>
      <c r="BJ14" s="3"/>
      <c r="BK14" s="3"/>
      <c r="BL14" s="3"/>
      <c r="BM14" s="3"/>
      <c r="BN14" s="3"/>
      <c r="BO14" s="3"/>
      <c r="BP14" s="3"/>
      <c r="BQ14" s="3"/>
      <c r="BR14" s="3"/>
      <c r="BS14" s="3"/>
      <c r="BT14" s="3"/>
      <c r="BU14" s="3"/>
      <c r="BV14" s="3"/>
      <c r="BX14" s="48"/>
      <c r="BY14" s="48"/>
      <c r="BZ14" s="48"/>
      <c r="CA14" s="48"/>
      <c r="CB14" s="48"/>
      <c r="CC14" s="48"/>
      <c r="CD14" s="48"/>
      <c r="CE14" s="48"/>
      <c r="CF14" s="48"/>
      <c r="CG14" s="48"/>
      <c r="CH14" s="48"/>
      <c r="CI14" s="48"/>
      <c r="CJ14" s="48"/>
      <c r="CK14" s="48"/>
      <c r="CL14" s="48"/>
      <c r="CM14" s="48"/>
      <c r="CN14" s="48"/>
      <c r="CO14" s="48"/>
      <c r="CP14" s="48"/>
      <c r="CQ14" s="48"/>
      <c r="CR14" s="48"/>
      <c r="DB14" s="49"/>
      <c r="DC14" s="49"/>
      <c r="DD14" s="49"/>
      <c r="DE14" s="50"/>
      <c r="DF14" s="50"/>
    </row>
    <row r="15" spans="1:110" s="4" customFormat="1" ht="8.1" customHeight="1" x14ac:dyDescent="0.25">
      <c r="A15" s="3"/>
      <c r="B15" s="272" t="s">
        <v>53</v>
      </c>
      <c r="C15" s="273"/>
      <c r="D15" s="273"/>
      <c r="E15" s="273"/>
      <c r="F15" s="273"/>
      <c r="G15" s="273"/>
      <c r="H15" s="273"/>
      <c r="I15" s="273"/>
      <c r="J15" s="274" t="s">
        <v>69</v>
      </c>
      <c r="K15" s="281" t="s">
        <v>144</v>
      </c>
      <c r="L15" s="281"/>
      <c r="M15" s="281"/>
      <c r="N15" s="281"/>
      <c r="O15" s="281"/>
      <c r="P15" s="281"/>
      <c r="Q15" s="281"/>
      <c r="R15" s="281"/>
      <c r="S15" s="281"/>
      <c r="T15" s="281"/>
      <c r="U15" s="281"/>
      <c r="V15" s="281"/>
      <c r="W15" s="281"/>
      <c r="X15" s="281"/>
      <c r="Y15" s="281"/>
      <c r="Z15" s="281"/>
      <c r="AA15" s="281"/>
      <c r="AB15" s="273" t="s">
        <v>72</v>
      </c>
      <c r="AC15" s="273"/>
      <c r="AD15" s="273"/>
      <c r="AE15" s="273"/>
      <c r="AF15" s="273"/>
      <c r="AG15" s="273"/>
      <c r="AH15" s="273"/>
      <c r="AI15" s="273"/>
      <c r="AJ15" s="43"/>
      <c r="AK15" s="274" t="s">
        <v>69</v>
      </c>
      <c r="AL15" s="281"/>
      <c r="AM15" s="281"/>
      <c r="AN15" s="281"/>
      <c r="AO15" s="281"/>
      <c r="AP15" s="281"/>
      <c r="AQ15" s="281"/>
      <c r="AR15" s="281"/>
      <c r="AS15" s="281"/>
      <c r="AT15" s="281"/>
      <c r="AU15" s="281"/>
      <c r="AV15" s="281"/>
      <c r="AW15" s="281"/>
      <c r="AX15" s="281"/>
      <c r="AY15" s="281"/>
      <c r="AZ15" s="283"/>
      <c r="BA15" s="3"/>
      <c r="BB15" s="3"/>
      <c r="BC15" s="3"/>
      <c r="BD15" s="3"/>
      <c r="BE15" s="3"/>
      <c r="BF15" s="3"/>
      <c r="BG15" s="3"/>
      <c r="BH15" s="3"/>
      <c r="BI15" s="3"/>
      <c r="BJ15" s="3"/>
      <c r="BK15" s="3"/>
      <c r="BL15" s="3"/>
      <c r="BM15" s="3"/>
      <c r="BN15" s="3"/>
      <c r="BO15" s="3"/>
      <c r="BP15" s="3"/>
      <c r="BQ15" s="3"/>
      <c r="BR15" s="3"/>
      <c r="BS15" s="3"/>
      <c r="BT15" s="3"/>
      <c r="BU15" s="3"/>
      <c r="BV15" s="3"/>
      <c r="BX15" s="48"/>
      <c r="BY15" s="48"/>
      <c r="BZ15" s="48"/>
      <c r="CA15" s="48"/>
      <c r="CB15" s="48"/>
      <c r="CC15" s="48"/>
      <c r="CD15" s="48"/>
      <c r="CE15" s="48"/>
      <c r="CF15" s="48"/>
      <c r="CG15" s="48"/>
      <c r="CH15" s="48"/>
      <c r="CI15" s="48"/>
      <c r="CJ15" s="48"/>
      <c r="CK15" s="48"/>
      <c r="CL15" s="48"/>
      <c r="CM15" s="48"/>
      <c r="CN15" s="48"/>
      <c r="CO15" s="48"/>
      <c r="CP15" s="48"/>
      <c r="CQ15" s="48"/>
      <c r="CR15" s="48"/>
      <c r="DB15" s="49"/>
      <c r="DC15" s="49"/>
      <c r="DD15" s="49"/>
      <c r="DE15" s="50"/>
      <c r="DF15" s="50"/>
    </row>
    <row r="16" spans="1:110" s="4" customFormat="1" ht="8.1" customHeight="1" x14ac:dyDescent="0.25">
      <c r="A16" s="3"/>
      <c r="B16" s="272"/>
      <c r="C16" s="273"/>
      <c r="D16" s="273"/>
      <c r="E16" s="273"/>
      <c r="F16" s="273"/>
      <c r="G16" s="273"/>
      <c r="H16" s="273"/>
      <c r="I16" s="273"/>
      <c r="J16" s="274"/>
      <c r="K16" s="282"/>
      <c r="L16" s="282"/>
      <c r="M16" s="282"/>
      <c r="N16" s="282"/>
      <c r="O16" s="282"/>
      <c r="P16" s="282"/>
      <c r="Q16" s="282"/>
      <c r="R16" s="282"/>
      <c r="S16" s="282"/>
      <c r="T16" s="282"/>
      <c r="U16" s="282"/>
      <c r="V16" s="282"/>
      <c r="W16" s="282"/>
      <c r="X16" s="282"/>
      <c r="Y16" s="282"/>
      <c r="Z16" s="282"/>
      <c r="AA16" s="282"/>
      <c r="AB16" s="273"/>
      <c r="AC16" s="273"/>
      <c r="AD16" s="273"/>
      <c r="AE16" s="273"/>
      <c r="AF16" s="273"/>
      <c r="AG16" s="273"/>
      <c r="AH16" s="273"/>
      <c r="AI16" s="273"/>
      <c r="AJ16" s="43"/>
      <c r="AK16" s="274"/>
      <c r="AL16" s="282"/>
      <c r="AM16" s="282"/>
      <c r="AN16" s="282"/>
      <c r="AO16" s="282"/>
      <c r="AP16" s="282"/>
      <c r="AQ16" s="282"/>
      <c r="AR16" s="282"/>
      <c r="AS16" s="282"/>
      <c r="AT16" s="282"/>
      <c r="AU16" s="282"/>
      <c r="AV16" s="282"/>
      <c r="AW16" s="282"/>
      <c r="AX16" s="282"/>
      <c r="AY16" s="282"/>
      <c r="AZ16" s="284"/>
      <c r="BA16" s="3"/>
      <c r="BB16" s="3"/>
      <c r="BC16" s="3"/>
      <c r="BD16" s="3"/>
      <c r="BE16" s="3"/>
      <c r="BF16" s="3"/>
      <c r="BG16" s="3"/>
      <c r="BH16" s="3"/>
      <c r="BI16" s="3"/>
      <c r="BJ16" s="3"/>
      <c r="BK16" s="3"/>
      <c r="BL16" s="3"/>
      <c r="BM16" s="3"/>
      <c r="BN16" s="3"/>
      <c r="BO16" s="3"/>
      <c r="BP16" s="3"/>
      <c r="BQ16" s="3"/>
      <c r="BR16" s="3"/>
      <c r="BS16" s="3"/>
      <c r="BT16" s="3"/>
      <c r="BU16" s="3"/>
      <c r="BV16" s="3"/>
      <c r="BX16" s="48"/>
      <c r="BY16" s="48"/>
      <c r="BZ16" s="48"/>
      <c r="CA16" s="48"/>
      <c r="CB16" s="48"/>
      <c r="CC16" s="48"/>
      <c r="CD16" s="48"/>
      <c r="CE16" s="48"/>
      <c r="CF16" s="48"/>
      <c r="CG16" s="48"/>
      <c r="CH16" s="48"/>
      <c r="CI16" s="48"/>
      <c r="CJ16" s="48"/>
      <c r="CK16" s="48"/>
      <c r="CL16" s="48"/>
      <c r="CM16" s="48"/>
      <c r="CN16" s="48"/>
      <c r="CO16" s="48"/>
      <c r="CP16" s="48"/>
      <c r="CQ16" s="48"/>
      <c r="CR16" s="48"/>
      <c r="DB16" s="49"/>
      <c r="DC16" s="49"/>
      <c r="DD16" s="49"/>
      <c r="DE16" s="50"/>
      <c r="DF16" s="50"/>
    </row>
    <row r="17" spans="1:110" s="4" customFormat="1" ht="8.1" customHeight="1" x14ac:dyDescent="0.25">
      <c r="A17" s="3"/>
      <c r="B17" s="272" t="s">
        <v>73</v>
      </c>
      <c r="C17" s="273"/>
      <c r="D17" s="273"/>
      <c r="E17" s="273"/>
      <c r="F17" s="273"/>
      <c r="G17" s="273"/>
      <c r="H17" s="273"/>
      <c r="I17" s="273"/>
      <c r="J17" s="274" t="s">
        <v>69</v>
      </c>
      <c r="K17" s="315" t="s">
        <v>121</v>
      </c>
      <c r="L17" s="281"/>
      <c r="M17" s="281"/>
      <c r="N17" s="281"/>
      <c r="O17" s="281"/>
      <c r="P17" s="281"/>
      <c r="Q17" s="281"/>
      <c r="R17" s="281"/>
      <c r="S17" s="281"/>
      <c r="T17" s="281"/>
      <c r="U17" s="281"/>
      <c r="V17" s="281"/>
      <c r="W17" s="281"/>
      <c r="X17" s="281"/>
      <c r="Y17" s="281"/>
      <c r="Z17" s="281"/>
      <c r="AA17" s="281"/>
      <c r="AB17" s="273" t="s">
        <v>74</v>
      </c>
      <c r="AC17" s="273"/>
      <c r="AD17" s="273"/>
      <c r="AE17" s="273"/>
      <c r="AF17" s="273"/>
      <c r="AG17" s="273"/>
      <c r="AH17" s="273"/>
      <c r="AI17" s="273"/>
      <c r="AJ17" s="273"/>
      <c r="AK17" s="274" t="s">
        <v>69</v>
      </c>
      <c r="AL17" s="316" t="s">
        <v>144</v>
      </c>
      <c r="AM17" s="281"/>
      <c r="AN17" s="281"/>
      <c r="AO17" s="281"/>
      <c r="AP17" s="281"/>
      <c r="AQ17" s="281"/>
      <c r="AR17" s="281"/>
      <c r="AS17" s="281"/>
      <c r="AT17" s="281"/>
      <c r="AU17" s="281"/>
      <c r="AV17" s="281"/>
      <c r="AW17" s="281"/>
      <c r="AX17" s="281"/>
      <c r="AY17" s="281"/>
      <c r="AZ17" s="283"/>
      <c r="BA17" s="3"/>
      <c r="BB17" s="3"/>
      <c r="BC17" s="3"/>
      <c r="BD17" s="3"/>
      <c r="BE17" s="3"/>
      <c r="BF17" s="3"/>
      <c r="BG17" s="3"/>
      <c r="BH17" s="3"/>
      <c r="BI17" s="3"/>
      <c r="BJ17" s="3"/>
      <c r="BK17" s="3"/>
      <c r="BL17" s="3"/>
      <c r="BM17" s="3"/>
      <c r="BN17" s="3"/>
      <c r="BO17" s="3"/>
      <c r="BP17" s="3"/>
      <c r="BQ17" s="3"/>
      <c r="BR17" s="3"/>
      <c r="BS17" s="3"/>
      <c r="BT17" s="3"/>
      <c r="BU17" s="3"/>
      <c r="BV17" s="3"/>
      <c r="BX17" s="48"/>
      <c r="BY17" s="48"/>
      <c r="BZ17" s="48"/>
      <c r="CA17" s="48"/>
      <c r="CB17" s="48"/>
      <c r="CC17" s="48"/>
      <c r="CD17" s="48"/>
      <c r="CE17" s="48"/>
      <c r="CF17" s="48"/>
      <c r="CG17" s="48"/>
      <c r="CH17" s="48"/>
      <c r="CI17" s="48"/>
      <c r="CJ17" s="48"/>
      <c r="CK17" s="48"/>
      <c r="CL17" s="48"/>
      <c r="CM17" s="48"/>
      <c r="CN17" s="48"/>
      <c r="CO17" s="48"/>
      <c r="CP17" s="48"/>
      <c r="CQ17" s="48"/>
      <c r="CR17" s="48"/>
      <c r="DB17" s="49"/>
      <c r="DC17" s="49"/>
      <c r="DD17" s="49"/>
      <c r="DE17" s="50"/>
      <c r="DF17" s="50"/>
    </row>
    <row r="18" spans="1:110" s="4" customFormat="1" ht="8.1" customHeight="1" x14ac:dyDescent="0.25">
      <c r="A18" s="3"/>
      <c r="B18" s="272"/>
      <c r="C18" s="273"/>
      <c r="D18" s="273"/>
      <c r="E18" s="273"/>
      <c r="F18" s="273"/>
      <c r="G18" s="273"/>
      <c r="H18" s="273"/>
      <c r="I18" s="273"/>
      <c r="J18" s="274"/>
      <c r="K18" s="282"/>
      <c r="L18" s="282"/>
      <c r="M18" s="282"/>
      <c r="N18" s="282"/>
      <c r="O18" s="282"/>
      <c r="P18" s="282"/>
      <c r="Q18" s="282"/>
      <c r="R18" s="282"/>
      <c r="S18" s="282"/>
      <c r="T18" s="282"/>
      <c r="U18" s="282"/>
      <c r="V18" s="282"/>
      <c r="W18" s="282"/>
      <c r="X18" s="282"/>
      <c r="Y18" s="282"/>
      <c r="Z18" s="282"/>
      <c r="AA18" s="282"/>
      <c r="AB18" s="273"/>
      <c r="AC18" s="273"/>
      <c r="AD18" s="273"/>
      <c r="AE18" s="273"/>
      <c r="AF18" s="273"/>
      <c r="AG18" s="273"/>
      <c r="AH18" s="273"/>
      <c r="AI18" s="273"/>
      <c r="AJ18" s="273"/>
      <c r="AK18" s="274"/>
      <c r="AL18" s="282"/>
      <c r="AM18" s="282"/>
      <c r="AN18" s="282"/>
      <c r="AO18" s="282"/>
      <c r="AP18" s="282"/>
      <c r="AQ18" s="282"/>
      <c r="AR18" s="282"/>
      <c r="AS18" s="282"/>
      <c r="AT18" s="282"/>
      <c r="AU18" s="282"/>
      <c r="AV18" s="282"/>
      <c r="AW18" s="282"/>
      <c r="AX18" s="282"/>
      <c r="AY18" s="282"/>
      <c r="AZ18" s="284"/>
      <c r="BA18" s="3"/>
      <c r="BB18" s="3"/>
      <c r="BC18" s="3"/>
      <c r="BD18" s="3"/>
      <c r="BE18" s="3"/>
      <c r="BF18" s="3"/>
      <c r="BG18" s="3"/>
      <c r="BH18" s="3"/>
      <c r="BI18" s="3"/>
      <c r="BJ18" s="3"/>
      <c r="BK18" s="3"/>
      <c r="BL18" s="3"/>
      <c r="BM18" s="3"/>
      <c r="BN18" s="3"/>
      <c r="BO18" s="3"/>
      <c r="BP18" s="3"/>
      <c r="BQ18" s="3"/>
      <c r="BR18" s="3"/>
      <c r="BS18" s="3"/>
      <c r="BT18" s="3"/>
      <c r="BU18" s="3"/>
      <c r="BV18" s="3"/>
      <c r="BX18" s="48"/>
      <c r="BY18" s="48"/>
      <c r="BZ18" s="48"/>
      <c r="CA18" s="48"/>
      <c r="CB18" s="48"/>
      <c r="CC18" s="48"/>
      <c r="CD18" s="48"/>
      <c r="CE18" s="48"/>
      <c r="CF18" s="48"/>
      <c r="CG18" s="48"/>
      <c r="CH18" s="48"/>
      <c r="CI18" s="48"/>
      <c r="CJ18" s="48"/>
      <c r="CK18" s="48"/>
      <c r="CL18" s="48"/>
      <c r="CM18" s="48"/>
      <c r="CN18" s="48"/>
      <c r="CO18" s="48"/>
      <c r="CP18" s="48"/>
      <c r="CQ18" s="48"/>
      <c r="CR18" s="48"/>
      <c r="DB18" s="49"/>
      <c r="DC18" s="49"/>
      <c r="DD18" s="49"/>
      <c r="DE18" s="50"/>
      <c r="DF18" s="50"/>
    </row>
    <row r="19" spans="1:110" s="4" customFormat="1" ht="8.1" customHeight="1" x14ac:dyDescent="0.25">
      <c r="A19" s="3"/>
      <c r="B19" s="272" t="s">
        <v>75</v>
      </c>
      <c r="C19" s="273"/>
      <c r="D19" s="273"/>
      <c r="E19" s="273"/>
      <c r="F19" s="273"/>
      <c r="G19" s="273"/>
      <c r="H19" s="273"/>
      <c r="I19" s="273"/>
      <c r="J19" s="274" t="s">
        <v>69</v>
      </c>
      <c r="K19" s="281"/>
      <c r="L19" s="281"/>
      <c r="M19" s="281"/>
      <c r="N19" s="281"/>
      <c r="O19" s="281"/>
      <c r="P19" s="281"/>
      <c r="Q19" s="281"/>
      <c r="R19" s="281"/>
      <c r="S19" s="281"/>
      <c r="T19" s="281"/>
      <c r="U19" s="281"/>
      <c r="V19" s="281"/>
      <c r="W19" s="281"/>
      <c r="X19" s="281"/>
      <c r="Y19" s="281"/>
      <c r="Z19" s="281"/>
      <c r="AA19" s="281"/>
      <c r="AB19" s="273" t="s">
        <v>76</v>
      </c>
      <c r="AC19" s="273"/>
      <c r="AD19" s="273"/>
      <c r="AE19" s="273"/>
      <c r="AF19" s="273"/>
      <c r="AG19" s="273"/>
      <c r="AH19" s="273"/>
      <c r="AI19" s="273"/>
      <c r="AJ19" s="273"/>
      <c r="AK19" s="274" t="s">
        <v>69</v>
      </c>
      <c r="AL19" s="281"/>
      <c r="AM19" s="281"/>
      <c r="AN19" s="281"/>
      <c r="AO19" s="281"/>
      <c r="AP19" s="281"/>
      <c r="AQ19" s="281"/>
      <c r="AR19" s="281"/>
      <c r="AS19" s="281"/>
      <c r="AT19" s="281"/>
      <c r="AU19" s="281"/>
      <c r="AV19" s="281"/>
      <c r="AW19" s="281"/>
      <c r="AX19" s="281"/>
      <c r="AY19" s="281"/>
      <c r="AZ19" s="283"/>
      <c r="BA19" s="3"/>
      <c r="BB19" s="3"/>
      <c r="BC19" s="3"/>
      <c r="BD19" s="3"/>
      <c r="BE19" s="3"/>
      <c r="BF19" s="3"/>
      <c r="BG19" s="3"/>
      <c r="BH19" s="3"/>
      <c r="BI19" s="3"/>
      <c r="BJ19" s="3"/>
      <c r="BK19" s="3"/>
      <c r="BL19" s="3"/>
      <c r="BM19" s="3"/>
      <c r="BN19" s="3"/>
      <c r="BO19" s="3"/>
      <c r="BP19" s="3"/>
      <c r="BQ19" s="3"/>
      <c r="BR19" s="3"/>
      <c r="BS19" s="3"/>
      <c r="BT19" s="3"/>
      <c r="BU19" s="3"/>
      <c r="BV19" s="3"/>
      <c r="BX19" s="48"/>
      <c r="BY19" s="48"/>
      <c r="BZ19" s="48"/>
      <c r="CA19" s="48"/>
      <c r="CB19" s="48"/>
      <c r="CC19" s="48"/>
      <c r="CD19" s="48"/>
      <c r="CE19" s="48"/>
      <c r="CF19" s="48"/>
      <c r="CG19" s="48"/>
      <c r="CH19" s="48"/>
      <c r="CI19" s="48"/>
      <c r="CJ19" s="48"/>
      <c r="CK19" s="48"/>
      <c r="CL19" s="48"/>
      <c r="CM19" s="48"/>
      <c r="CN19" s="48"/>
      <c r="CO19" s="48"/>
      <c r="CP19" s="48"/>
      <c r="CQ19" s="48"/>
      <c r="CR19" s="48"/>
      <c r="DB19" s="49"/>
      <c r="DC19" s="49"/>
      <c r="DD19" s="49"/>
      <c r="DE19" s="50"/>
      <c r="DF19" s="50"/>
    </row>
    <row r="20" spans="1:110" s="4" customFormat="1" ht="7.5" customHeight="1" x14ac:dyDescent="0.25">
      <c r="A20" s="3"/>
      <c r="B20" s="272"/>
      <c r="C20" s="273"/>
      <c r="D20" s="273"/>
      <c r="E20" s="273"/>
      <c r="F20" s="273"/>
      <c r="G20" s="273"/>
      <c r="H20" s="273"/>
      <c r="I20" s="273"/>
      <c r="J20" s="274"/>
      <c r="K20" s="282"/>
      <c r="L20" s="282"/>
      <c r="M20" s="282"/>
      <c r="N20" s="282"/>
      <c r="O20" s="282"/>
      <c r="P20" s="282"/>
      <c r="Q20" s="282"/>
      <c r="R20" s="282"/>
      <c r="S20" s="282"/>
      <c r="T20" s="282"/>
      <c r="U20" s="282"/>
      <c r="V20" s="282"/>
      <c r="W20" s="282"/>
      <c r="X20" s="282"/>
      <c r="Y20" s="282"/>
      <c r="Z20" s="282"/>
      <c r="AA20" s="282"/>
      <c r="AB20" s="273"/>
      <c r="AC20" s="273"/>
      <c r="AD20" s="273"/>
      <c r="AE20" s="273"/>
      <c r="AF20" s="273"/>
      <c r="AG20" s="273"/>
      <c r="AH20" s="273"/>
      <c r="AI20" s="273"/>
      <c r="AJ20" s="273"/>
      <c r="AK20" s="274"/>
      <c r="AL20" s="282"/>
      <c r="AM20" s="282"/>
      <c r="AN20" s="282"/>
      <c r="AO20" s="282"/>
      <c r="AP20" s="282"/>
      <c r="AQ20" s="282"/>
      <c r="AR20" s="282"/>
      <c r="AS20" s="282"/>
      <c r="AT20" s="282"/>
      <c r="AU20" s="282"/>
      <c r="AV20" s="282"/>
      <c r="AW20" s="282"/>
      <c r="AX20" s="282"/>
      <c r="AY20" s="282"/>
      <c r="AZ20" s="284"/>
      <c r="BA20" s="3"/>
      <c r="BB20" s="3"/>
      <c r="BC20" s="3"/>
      <c r="BD20" s="3"/>
      <c r="BE20" s="3"/>
      <c r="BF20" s="3"/>
      <c r="BG20" s="3"/>
      <c r="BH20" s="3"/>
      <c r="BI20" s="3"/>
      <c r="BJ20" s="3"/>
      <c r="BK20" s="3"/>
      <c r="BL20" s="3"/>
      <c r="BM20" s="3"/>
      <c r="BN20" s="3"/>
      <c r="BO20" s="3"/>
      <c r="BP20" s="3"/>
      <c r="BQ20" s="3"/>
      <c r="BR20" s="3"/>
      <c r="BS20" s="3"/>
      <c r="BT20" s="3"/>
      <c r="BU20" s="3"/>
      <c r="BV20" s="3"/>
      <c r="BX20" s="48"/>
      <c r="BY20" s="48"/>
      <c r="BZ20" s="48"/>
      <c r="CA20" s="48"/>
      <c r="CB20" s="48"/>
      <c r="CC20" s="48"/>
      <c r="CD20" s="48"/>
      <c r="CE20" s="48"/>
      <c r="CF20" s="48"/>
      <c r="CG20" s="48"/>
      <c r="CH20" s="48"/>
      <c r="CI20" s="48"/>
      <c r="CJ20" s="48"/>
      <c r="CK20" s="48"/>
      <c r="CL20" s="48"/>
      <c r="CM20" s="48"/>
      <c r="CN20" s="48"/>
      <c r="CO20" s="48"/>
      <c r="CP20" s="48"/>
      <c r="CQ20" s="48"/>
      <c r="CR20" s="48"/>
      <c r="DB20" s="49"/>
      <c r="DC20" s="49"/>
      <c r="DD20" s="49"/>
      <c r="DE20" s="50"/>
      <c r="DF20" s="50"/>
    </row>
    <row r="21" spans="1:110" s="4" customFormat="1" ht="3" customHeight="1" thickBot="1" x14ac:dyDescent="0.3">
      <c r="A21" s="3"/>
      <c r="B21" s="176"/>
      <c r="C21" s="177"/>
      <c r="D21" s="177"/>
      <c r="E21" s="177"/>
      <c r="F21" s="177"/>
      <c r="G21" s="177"/>
      <c r="H21" s="177"/>
      <c r="I21" s="177"/>
      <c r="J21" s="178"/>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8"/>
      <c r="AL21" s="177"/>
      <c r="AM21" s="177"/>
      <c r="AN21" s="177"/>
      <c r="AO21" s="177"/>
      <c r="AP21" s="177"/>
      <c r="AQ21" s="177"/>
      <c r="AR21" s="177"/>
      <c r="AS21" s="177"/>
      <c r="AT21" s="177"/>
      <c r="AU21" s="177"/>
      <c r="AV21" s="177"/>
      <c r="AW21" s="177"/>
      <c r="AX21" s="177"/>
      <c r="AY21" s="177"/>
      <c r="AZ21" s="182"/>
      <c r="BA21" s="3"/>
      <c r="BB21" s="3"/>
      <c r="BC21" s="3"/>
      <c r="BD21" s="3"/>
      <c r="BE21" s="3"/>
      <c r="BF21" s="3"/>
      <c r="BG21" s="3"/>
      <c r="BH21" s="3"/>
      <c r="BI21" s="3"/>
      <c r="BJ21" s="3"/>
      <c r="BK21" s="3"/>
      <c r="BL21" s="3"/>
      <c r="BM21" s="3"/>
      <c r="BN21" s="3"/>
      <c r="BO21" s="3"/>
      <c r="BP21" s="3"/>
      <c r="BQ21" s="3"/>
      <c r="BR21" s="3"/>
      <c r="BS21" s="3"/>
      <c r="BT21" s="3"/>
      <c r="BU21" s="3"/>
      <c r="BV21" s="3"/>
      <c r="BX21" s="48"/>
      <c r="BY21" s="48"/>
      <c r="BZ21" s="48"/>
      <c r="CA21" s="48"/>
      <c r="CB21" s="48"/>
      <c r="CC21" s="48"/>
      <c r="CD21" s="48"/>
      <c r="CE21" s="48"/>
      <c r="CF21" s="48"/>
      <c r="CG21" s="48"/>
      <c r="CH21" s="48"/>
      <c r="CI21" s="48"/>
      <c r="CJ21" s="48"/>
      <c r="CK21" s="48"/>
      <c r="CL21" s="48"/>
      <c r="CM21" s="48"/>
      <c r="CN21" s="48"/>
      <c r="CO21" s="48"/>
      <c r="CP21" s="48"/>
      <c r="CQ21" s="48"/>
      <c r="CR21" s="48"/>
      <c r="DB21" s="49"/>
      <c r="DC21" s="49"/>
      <c r="DD21" s="49"/>
      <c r="DE21" s="50"/>
      <c r="DF21" s="50"/>
    </row>
    <row r="22" spans="1:110" s="4" customFormat="1" ht="14.25" thickBot="1" x14ac:dyDescent="0.3">
      <c r="A22" s="3"/>
      <c r="B22" s="269" t="s">
        <v>77</v>
      </c>
      <c r="C22" s="270"/>
      <c r="D22" s="270"/>
      <c r="E22" s="270"/>
      <c r="F22" s="270"/>
      <c r="G22" s="270"/>
      <c r="H22" s="270"/>
      <c r="I22" s="270"/>
      <c r="J22" s="270"/>
      <c r="K22" s="270"/>
      <c r="L22" s="270"/>
      <c r="M22" s="270"/>
      <c r="N22" s="270"/>
      <c r="O22" s="270"/>
      <c r="P22" s="270"/>
      <c r="Q22" s="270"/>
      <c r="R22" s="270"/>
      <c r="S22" s="270"/>
      <c r="T22" s="270"/>
      <c r="U22" s="270"/>
      <c r="V22" s="270"/>
      <c r="W22" s="270"/>
      <c r="X22" s="270"/>
      <c r="Y22" s="270"/>
      <c r="Z22" s="270"/>
      <c r="AA22" s="271"/>
      <c r="AB22" s="269" t="s">
        <v>78</v>
      </c>
      <c r="AC22" s="270"/>
      <c r="AD22" s="270"/>
      <c r="AE22" s="270"/>
      <c r="AF22" s="270"/>
      <c r="AG22" s="270"/>
      <c r="AH22" s="270"/>
      <c r="AI22" s="270"/>
      <c r="AJ22" s="270"/>
      <c r="AK22" s="270"/>
      <c r="AL22" s="270"/>
      <c r="AM22" s="270"/>
      <c r="AN22" s="270"/>
      <c r="AO22" s="270"/>
      <c r="AP22" s="270"/>
      <c r="AQ22" s="270"/>
      <c r="AR22" s="270"/>
      <c r="AS22" s="270"/>
      <c r="AT22" s="270"/>
      <c r="AU22" s="270"/>
      <c r="AV22" s="270"/>
      <c r="AW22" s="270"/>
      <c r="AX22" s="270"/>
      <c r="AY22" s="270"/>
      <c r="AZ22" s="271"/>
      <c r="BA22" s="3"/>
      <c r="BB22" s="3"/>
      <c r="BC22" s="3"/>
      <c r="BD22" s="3"/>
      <c r="BE22" s="3"/>
      <c r="BF22" s="3"/>
      <c r="BG22" s="3"/>
      <c r="BH22" s="3"/>
      <c r="BI22" s="3"/>
      <c r="BJ22" s="3"/>
      <c r="BK22" s="3"/>
      <c r="BL22" s="3"/>
      <c r="BM22" s="3"/>
      <c r="BN22" s="3"/>
      <c r="BO22" s="3"/>
      <c r="BP22" s="3"/>
      <c r="BQ22" s="3"/>
      <c r="BR22" s="3"/>
      <c r="BS22" s="3"/>
      <c r="BT22" s="3"/>
      <c r="BU22" s="3"/>
      <c r="BV22" s="3"/>
      <c r="BX22" s="48"/>
      <c r="BY22" s="48"/>
      <c r="BZ22" s="48"/>
      <c r="CA22" s="48"/>
      <c r="CB22" s="48"/>
      <c r="CC22" s="48"/>
      <c r="CD22" s="48"/>
      <c r="CE22" s="48"/>
      <c r="CF22" s="48"/>
      <c r="CG22" s="48"/>
      <c r="CH22" s="48"/>
      <c r="CI22" s="48"/>
      <c r="CJ22" s="48"/>
      <c r="CK22" s="48"/>
      <c r="CL22" s="48"/>
      <c r="CM22" s="48"/>
      <c r="CN22" s="48"/>
      <c r="CO22" s="48"/>
      <c r="CP22" s="48"/>
      <c r="CQ22" s="48"/>
      <c r="CR22" s="48"/>
      <c r="DB22" s="49"/>
      <c r="DC22" s="49"/>
      <c r="DD22" s="49"/>
      <c r="DE22" s="50"/>
      <c r="DF22" s="50"/>
    </row>
    <row r="23" spans="1:110" s="4" customFormat="1" ht="7.5" customHeight="1" x14ac:dyDescent="0.25">
      <c r="A23" s="3"/>
      <c r="B23" s="272" t="s">
        <v>79</v>
      </c>
      <c r="C23" s="273"/>
      <c r="D23" s="273"/>
      <c r="E23" s="273"/>
      <c r="F23" s="273"/>
      <c r="G23" s="274" t="s">
        <v>69</v>
      </c>
      <c r="H23" s="324"/>
      <c r="I23" s="324"/>
      <c r="J23" s="324"/>
      <c r="K23" s="324"/>
      <c r="L23" s="324"/>
      <c r="M23" s="324"/>
      <c r="N23" s="324"/>
      <c r="O23" s="324"/>
      <c r="P23" s="324"/>
      <c r="Q23" s="324"/>
      <c r="R23" s="324"/>
      <c r="S23" s="324"/>
      <c r="T23" s="324"/>
      <c r="U23" s="324"/>
      <c r="V23" s="324"/>
      <c r="W23" s="324"/>
      <c r="X23" s="324"/>
      <c r="Y23" s="324"/>
      <c r="Z23" s="324"/>
      <c r="AA23" s="116"/>
      <c r="AB23" s="117"/>
      <c r="AC23" s="43"/>
      <c r="AD23" s="43"/>
      <c r="AE23" s="324"/>
      <c r="AF23" s="43"/>
      <c r="AG23" s="273" t="s">
        <v>81</v>
      </c>
      <c r="AH23" s="273"/>
      <c r="AI23" s="273"/>
      <c r="AJ23" s="273"/>
      <c r="AK23" s="273"/>
      <c r="AL23" s="273"/>
      <c r="AM23" s="273"/>
      <c r="AN23" s="273"/>
      <c r="AO23" s="273"/>
      <c r="AP23" s="273"/>
      <c r="AQ23" s="273"/>
      <c r="AR23" s="273"/>
      <c r="AS23" s="273"/>
      <c r="AT23" s="273"/>
      <c r="AU23" s="273"/>
      <c r="AV23" s="273"/>
      <c r="AW23" s="273"/>
      <c r="AX23" s="273"/>
      <c r="AY23" s="273"/>
      <c r="AZ23" s="326"/>
      <c r="BA23" s="3"/>
      <c r="BB23" s="3"/>
      <c r="BC23" s="3"/>
      <c r="BD23" s="3"/>
      <c r="BE23" s="3"/>
      <c r="BF23" s="3"/>
      <c r="BG23" s="3"/>
      <c r="BH23" s="3"/>
      <c r="BI23" s="3"/>
      <c r="BJ23" s="3"/>
      <c r="BK23" s="3"/>
      <c r="BL23" s="3"/>
      <c r="BM23" s="3"/>
      <c r="BN23" s="3"/>
      <c r="BO23" s="3"/>
      <c r="BP23" s="3"/>
      <c r="BQ23" s="3"/>
      <c r="BR23" s="3"/>
      <c r="BS23" s="3"/>
      <c r="BT23" s="3"/>
      <c r="BU23" s="3"/>
      <c r="BV23" s="3"/>
      <c r="BX23" s="48"/>
      <c r="BY23" s="48"/>
      <c r="BZ23" s="48"/>
      <c r="CA23" s="48"/>
      <c r="CB23" s="48"/>
      <c r="CC23" s="48"/>
      <c r="CD23" s="48"/>
      <c r="CE23" s="48"/>
      <c r="CF23" s="48"/>
      <c r="CG23" s="48"/>
      <c r="CH23" s="48"/>
      <c r="CI23" s="48"/>
      <c r="CJ23" s="48"/>
      <c r="CK23" s="48"/>
      <c r="CL23" s="48"/>
      <c r="CM23" s="48"/>
      <c r="CN23" s="48"/>
      <c r="CO23" s="48"/>
      <c r="CP23" s="48"/>
      <c r="CQ23" s="48"/>
      <c r="CR23" s="48"/>
      <c r="DB23" s="49"/>
      <c r="DC23" s="49"/>
      <c r="DD23" s="49"/>
      <c r="DE23" s="50"/>
      <c r="DF23" s="50"/>
    </row>
    <row r="24" spans="1:110" s="4" customFormat="1" ht="7.5" customHeight="1" x14ac:dyDescent="0.25">
      <c r="A24" s="3"/>
      <c r="B24" s="272"/>
      <c r="C24" s="273"/>
      <c r="D24" s="273"/>
      <c r="E24" s="273"/>
      <c r="F24" s="273"/>
      <c r="G24" s="274"/>
      <c r="H24" s="325"/>
      <c r="I24" s="325"/>
      <c r="J24" s="325"/>
      <c r="K24" s="325"/>
      <c r="L24" s="325"/>
      <c r="M24" s="325"/>
      <c r="N24" s="325"/>
      <c r="O24" s="325"/>
      <c r="P24" s="325"/>
      <c r="Q24" s="325"/>
      <c r="R24" s="325"/>
      <c r="S24" s="325"/>
      <c r="T24" s="325"/>
      <c r="U24" s="325"/>
      <c r="V24" s="325"/>
      <c r="W24" s="325"/>
      <c r="X24" s="325"/>
      <c r="Y24" s="325"/>
      <c r="Z24" s="325"/>
      <c r="AA24" s="116"/>
      <c r="AB24" s="117"/>
      <c r="AC24" s="43"/>
      <c r="AD24" s="43"/>
      <c r="AE24" s="324"/>
      <c r="AF24" s="43"/>
      <c r="AG24" s="273"/>
      <c r="AH24" s="273"/>
      <c r="AI24" s="273"/>
      <c r="AJ24" s="273"/>
      <c r="AK24" s="273"/>
      <c r="AL24" s="273"/>
      <c r="AM24" s="273"/>
      <c r="AN24" s="273"/>
      <c r="AO24" s="273"/>
      <c r="AP24" s="273"/>
      <c r="AQ24" s="273"/>
      <c r="AR24" s="273"/>
      <c r="AS24" s="273"/>
      <c r="AT24" s="273"/>
      <c r="AU24" s="273"/>
      <c r="AV24" s="273"/>
      <c r="AW24" s="273"/>
      <c r="AX24" s="273"/>
      <c r="AY24" s="273"/>
      <c r="AZ24" s="326"/>
      <c r="BA24" s="3"/>
      <c r="BB24" s="3"/>
      <c r="BC24" s="3"/>
      <c r="BD24" s="3"/>
      <c r="BE24" s="3"/>
      <c r="BF24" s="3"/>
      <c r="BG24" s="3"/>
      <c r="BH24" s="3"/>
      <c r="BI24" s="3"/>
      <c r="BJ24" s="3"/>
      <c r="BK24" s="3"/>
      <c r="BL24" s="3"/>
      <c r="BM24" s="3"/>
      <c r="BN24" s="3"/>
      <c r="BO24" s="3"/>
      <c r="BP24" s="3"/>
      <c r="BQ24" s="3"/>
      <c r="BR24" s="3"/>
      <c r="BS24" s="3"/>
      <c r="BT24" s="3"/>
      <c r="BU24" s="3"/>
      <c r="BV24" s="3"/>
      <c r="BX24" s="48"/>
      <c r="BY24" s="48"/>
      <c r="BZ24" s="48"/>
      <c r="CA24" s="48"/>
      <c r="CB24" s="48"/>
      <c r="CC24" s="48"/>
      <c r="CD24" s="48"/>
      <c r="CE24" s="48"/>
      <c r="CF24" s="48"/>
      <c r="CG24" s="48"/>
      <c r="CH24" s="48"/>
      <c r="CI24" s="48"/>
      <c r="CJ24" s="48"/>
      <c r="CK24" s="48"/>
      <c r="CL24" s="48"/>
      <c r="CM24" s="48"/>
      <c r="CN24" s="48"/>
      <c r="CO24" s="48"/>
      <c r="CP24" s="48"/>
      <c r="CQ24" s="48"/>
      <c r="CR24" s="48"/>
      <c r="DB24" s="49"/>
      <c r="DC24" s="49"/>
      <c r="DD24" s="49"/>
      <c r="DE24" s="50"/>
      <c r="DF24" s="50"/>
    </row>
    <row r="25" spans="1:110" s="4" customFormat="1" ht="7.5" customHeight="1" x14ac:dyDescent="0.25">
      <c r="A25" s="3"/>
      <c r="B25" s="272" t="s">
        <v>82</v>
      </c>
      <c r="C25" s="273"/>
      <c r="D25" s="273"/>
      <c r="E25" s="273"/>
      <c r="F25" s="273"/>
      <c r="G25" s="274" t="s">
        <v>69</v>
      </c>
      <c r="H25" s="327"/>
      <c r="I25" s="327"/>
      <c r="J25" s="327"/>
      <c r="K25" s="327"/>
      <c r="L25" s="327"/>
      <c r="M25" s="327"/>
      <c r="N25" s="327"/>
      <c r="O25" s="327"/>
      <c r="P25" s="327"/>
      <c r="Q25" s="327"/>
      <c r="R25" s="327"/>
      <c r="S25" s="327"/>
      <c r="T25" s="327"/>
      <c r="U25" s="327"/>
      <c r="V25" s="327"/>
      <c r="W25" s="327"/>
      <c r="X25" s="327"/>
      <c r="Y25" s="327"/>
      <c r="Z25" s="327"/>
      <c r="AA25" s="116"/>
      <c r="AB25" s="117"/>
      <c r="AC25" s="43"/>
      <c r="AD25" s="43"/>
      <c r="AE25" s="304" t="s">
        <v>80</v>
      </c>
      <c r="AF25" s="43"/>
      <c r="AG25" s="273" t="s">
        <v>83</v>
      </c>
      <c r="AH25" s="273"/>
      <c r="AI25" s="273"/>
      <c r="AJ25" s="273"/>
      <c r="AK25" s="273"/>
      <c r="AL25" s="273"/>
      <c r="AM25" s="273"/>
      <c r="AN25" s="273"/>
      <c r="AO25" s="273"/>
      <c r="AP25" s="273"/>
      <c r="AQ25" s="273"/>
      <c r="AR25" s="273"/>
      <c r="AS25" s="273"/>
      <c r="AT25" s="273"/>
      <c r="AU25" s="273"/>
      <c r="AV25" s="273"/>
      <c r="AW25" s="273"/>
      <c r="AX25" s="273"/>
      <c r="AY25" s="273"/>
      <c r="AZ25" s="326"/>
      <c r="BA25" s="3"/>
      <c r="BB25" s="3"/>
      <c r="BC25" s="3"/>
      <c r="BD25" s="3"/>
      <c r="BE25" s="3"/>
      <c r="BF25" s="3"/>
      <c r="BG25" s="3"/>
      <c r="BH25" s="3"/>
      <c r="BI25" s="3"/>
      <c r="BJ25" s="3"/>
      <c r="BK25" s="3"/>
      <c r="BL25" s="3"/>
      <c r="BM25" s="3"/>
      <c r="BN25" s="3"/>
      <c r="BO25" s="317"/>
      <c r="BP25" s="317"/>
      <c r="BQ25" s="3"/>
      <c r="BR25" s="3"/>
      <c r="BS25" s="3"/>
      <c r="BT25" s="3"/>
      <c r="BU25" s="3"/>
      <c r="BV25" s="3"/>
      <c r="BX25" s="48"/>
      <c r="BY25" s="48"/>
      <c r="BZ25" s="48"/>
      <c r="CA25" s="48"/>
      <c r="CB25" s="48"/>
      <c r="CC25" s="48"/>
      <c r="CD25" s="48"/>
      <c r="CE25" s="48"/>
      <c r="CF25" s="48"/>
      <c r="CG25" s="48"/>
      <c r="CH25" s="48"/>
      <c r="CI25" s="48"/>
      <c r="CJ25" s="48"/>
      <c r="CK25" s="48"/>
      <c r="CL25" s="48"/>
      <c r="CM25" s="48"/>
      <c r="CN25" s="48"/>
      <c r="CO25" s="48"/>
      <c r="CP25" s="48"/>
      <c r="CQ25" s="48"/>
      <c r="CR25" s="48"/>
      <c r="DB25" s="49"/>
      <c r="DC25" s="49"/>
      <c r="DD25" s="49"/>
      <c r="DE25" s="50"/>
      <c r="DF25" s="50"/>
    </row>
    <row r="26" spans="1:110" s="4" customFormat="1" ht="7.5" customHeight="1" x14ac:dyDescent="0.25">
      <c r="A26" s="3"/>
      <c r="B26" s="272"/>
      <c r="C26" s="273"/>
      <c r="D26" s="273"/>
      <c r="E26" s="273"/>
      <c r="F26" s="273"/>
      <c r="G26" s="274"/>
      <c r="H26" s="287"/>
      <c r="I26" s="287"/>
      <c r="J26" s="287"/>
      <c r="K26" s="287"/>
      <c r="L26" s="287"/>
      <c r="M26" s="287"/>
      <c r="N26" s="287"/>
      <c r="O26" s="287"/>
      <c r="P26" s="287"/>
      <c r="Q26" s="287"/>
      <c r="R26" s="287"/>
      <c r="S26" s="287"/>
      <c r="T26" s="287"/>
      <c r="U26" s="287"/>
      <c r="V26" s="287"/>
      <c r="W26" s="287"/>
      <c r="X26" s="287"/>
      <c r="Y26" s="287"/>
      <c r="Z26" s="287"/>
      <c r="AA26" s="116"/>
      <c r="AB26" s="117"/>
      <c r="AC26" s="43"/>
      <c r="AD26" s="43"/>
      <c r="AE26" s="304"/>
      <c r="AF26" s="43"/>
      <c r="AG26" s="273"/>
      <c r="AH26" s="273"/>
      <c r="AI26" s="273"/>
      <c r="AJ26" s="273"/>
      <c r="AK26" s="273"/>
      <c r="AL26" s="273"/>
      <c r="AM26" s="273"/>
      <c r="AN26" s="273"/>
      <c r="AO26" s="273"/>
      <c r="AP26" s="273"/>
      <c r="AQ26" s="273"/>
      <c r="AR26" s="273"/>
      <c r="AS26" s="273"/>
      <c r="AT26" s="273"/>
      <c r="AU26" s="273"/>
      <c r="AV26" s="273"/>
      <c r="AW26" s="273"/>
      <c r="AX26" s="273"/>
      <c r="AY26" s="273"/>
      <c r="AZ26" s="326"/>
      <c r="BA26" s="3"/>
      <c r="BB26" s="3"/>
      <c r="BC26" s="3"/>
      <c r="BD26" s="3"/>
      <c r="BE26" s="3"/>
      <c r="BF26" s="3"/>
      <c r="BG26" s="3"/>
      <c r="BH26" s="3"/>
      <c r="BI26" s="3"/>
      <c r="BJ26" s="3"/>
      <c r="BK26" s="3"/>
      <c r="BL26" s="3"/>
      <c r="BM26" s="3"/>
      <c r="BN26" s="3"/>
      <c r="BO26" s="317"/>
      <c r="BP26" s="317"/>
      <c r="BQ26" s="3"/>
      <c r="BR26" s="3"/>
      <c r="BS26" s="3"/>
      <c r="BT26" s="3"/>
      <c r="BU26" s="3"/>
      <c r="BV26" s="3"/>
      <c r="BX26" s="48"/>
      <c r="BY26" s="48"/>
      <c r="BZ26" s="48"/>
      <c r="CA26" s="48"/>
      <c r="CB26" s="48"/>
      <c r="CC26" s="48"/>
      <c r="CD26" s="48"/>
      <c r="CE26" s="48"/>
      <c r="CF26" s="48"/>
      <c r="CG26" s="48"/>
      <c r="CH26" s="48"/>
      <c r="CI26" s="48"/>
      <c r="CJ26" s="48"/>
      <c r="CK26" s="48"/>
      <c r="CL26" s="48"/>
      <c r="CM26" s="48"/>
      <c r="CN26" s="48"/>
      <c r="CO26" s="48"/>
      <c r="CP26" s="48"/>
      <c r="CQ26" s="48"/>
      <c r="CR26" s="48"/>
      <c r="DB26" s="49"/>
      <c r="DC26" s="49"/>
      <c r="DD26" s="49"/>
      <c r="DE26" s="50"/>
      <c r="DF26" s="50"/>
    </row>
    <row r="27" spans="1:110" s="4" customFormat="1" ht="13.5" customHeight="1" x14ac:dyDescent="0.25">
      <c r="A27" s="3"/>
      <c r="B27" s="41"/>
      <c r="C27" s="43"/>
      <c r="D27" s="43"/>
      <c r="E27" s="43"/>
      <c r="F27" s="43"/>
      <c r="G27" s="43"/>
      <c r="H27" s="328"/>
      <c r="I27" s="328"/>
      <c r="J27" s="328"/>
      <c r="K27" s="328"/>
      <c r="L27" s="328"/>
      <c r="M27" s="328"/>
      <c r="N27" s="328"/>
      <c r="O27" s="328"/>
      <c r="P27" s="328"/>
      <c r="Q27" s="328"/>
      <c r="R27" s="328"/>
      <c r="S27" s="328"/>
      <c r="T27" s="328"/>
      <c r="U27" s="328"/>
      <c r="V27" s="328"/>
      <c r="W27" s="328"/>
      <c r="X27" s="328"/>
      <c r="Y27" s="328"/>
      <c r="Z27" s="328"/>
      <c r="AA27" s="116"/>
      <c r="AB27" s="117"/>
      <c r="AC27" s="43"/>
      <c r="AD27" s="43"/>
      <c r="AE27" s="43"/>
      <c r="AF27" s="43"/>
      <c r="AG27" s="282" t="s">
        <v>154</v>
      </c>
      <c r="AH27" s="282"/>
      <c r="AI27" s="282"/>
      <c r="AJ27" s="282"/>
      <c r="AK27" s="282"/>
      <c r="AL27" s="282"/>
      <c r="AM27" s="282"/>
      <c r="AN27" s="282"/>
      <c r="AO27" s="282"/>
      <c r="AP27" s="282"/>
      <c r="AQ27" s="282"/>
      <c r="AR27" s="282"/>
      <c r="AS27" s="282"/>
      <c r="AT27" s="282"/>
      <c r="AU27" s="282"/>
      <c r="AV27" s="282"/>
      <c r="AW27" s="282"/>
      <c r="AX27" s="282"/>
      <c r="AY27" s="43"/>
      <c r="AZ27" s="114"/>
      <c r="BA27" s="3"/>
      <c r="BB27" s="3"/>
      <c r="BC27" s="3"/>
      <c r="BD27" s="3"/>
      <c r="BE27" s="3"/>
      <c r="BF27" s="3"/>
      <c r="BG27" s="3"/>
      <c r="BH27" s="3"/>
      <c r="BI27" s="3"/>
      <c r="BJ27" s="3"/>
      <c r="BK27" s="3"/>
      <c r="BL27" s="3"/>
      <c r="BM27" s="3"/>
      <c r="BN27" s="3"/>
      <c r="BO27" s="3"/>
      <c r="BP27" s="3"/>
      <c r="BQ27" s="3"/>
      <c r="BR27" s="3"/>
      <c r="BS27" s="3"/>
      <c r="BT27" s="3"/>
      <c r="BU27" s="3"/>
      <c r="BV27" s="3"/>
      <c r="BX27" s="48"/>
      <c r="BY27" s="48"/>
      <c r="BZ27" s="48"/>
      <c r="CA27" s="48"/>
      <c r="CB27" s="48"/>
      <c r="CC27" s="48"/>
      <c r="CD27" s="48"/>
      <c r="CE27" s="48"/>
      <c r="CF27" s="48"/>
      <c r="CG27" s="48"/>
      <c r="CH27" s="48"/>
      <c r="CI27" s="48"/>
      <c r="CJ27" s="48"/>
      <c r="CK27" s="48"/>
      <c r="CL27" s="48"/>
      <c r="CM27" s="48"/>
      <c r="CN27" s="48"/>
      <c r="CO27" s="48"/>
      <c r="CP27" s="48"/>
      <c r="CQ27" s="48"/>
      <c r="CR27" s="48"/>
      <c r="DB27" s="49"/>
      <c r="DC27" s="49"/>
      <c r="DD27" s="49"/>
      <c r="DE27" s="50"/>
      <c r="DF27" s="50"/>
    </row>
    <row r="28" spans="1:110" s="4" customFormat="1" ht="2.25" customHeight="1" thickBot="1" x14ac:dyDescent="0.3">
      <c r="A28" s="3"/>
      <c r="B28" s="41"/>
      <c r="C28" s="43"/>
      <c r="D28" s="43"/>
      <c r="E28" s="43"/>
      <c r="F28" s="43"/>
      <c r="G28" s="43"/>
      <c r="H28" s="43"/>
      <c r="I28" s="43"/>
      <c r="J28" s="43"/>
      <c r="K28" s="43"/>
      <c r="L28" s="43"/>
      <c r="M28" s="43"/>
      <c r="N28" s="43"/>
      <c r="O28" s="43"/>
      <c r="P28" s="43"/>
      <c r="Q28" s="43"/>
      <c r="R28" s="43"/>
      <c r="S28" s="43"/>
      <c r="T28" s="43"/>
      <c r="U28" s="43"/>
      <c r="V28" s="43"/>
      <c r="W28" s="43"/>
      <c r="X28" s="43"/>
      <c r="Y28" s="43"/>
      <c r="Z28" s="43"/>
      <c r="AA28" s="116"/>
      <c r="AB28" s="117"/>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114"/>
      <c r="BA28" s="3"/>
      <c r="BB28" s="3"/>
      <c r="BC28" s="3"/>
      <c r="BD28" s="3"/>
      <c r="BE28" s="3"/>
      <c r="BF28" s="3"/>
      <c r="BG28" s="3"/>
      <c r="BH28" s="3"/>
      <c r="BI28" s="3"/>
      <c r="BJ28" s="3"/>
      <c r="BK28" s="3"/>
      <c r="BL28" s="3"/>
      <c r="BM28" s="3"/>
      <c r="BN28" s="3"/>
      <c r="BO28" s="3"/>
      <c r="BP28" s="3"/>
      <c r="BQ28" s="3"/>
      <c r="BR28" s="3"/>
      <c r="BS28" s="3"/>
      <c r="BT28" s="3"/>
      <c r="BU28" s="3"/>
      <c r="BV28" s="3"/>
      <c r="BX28" s="48"/>
      <c r="BY28" s="48"/>
      <c r="BZ28" s="48"/>
      <c r="CA28" s="48"/>
      <c r="CB28" s="48"/>
      <c r="CC28" s="48"/>
      <c r="CD28" s="48"/>
      <c r="CE28" s="48"/>
      <c r="CF28" s="48"/>
      <c r="CG28" s="48"/>
      <c r="CH28" s="48"/>
      <c r="CI28" s="48"/>
      <c r="CJ28" s="48"/>
      <c r="CK28" s="48"/>
      <c r="CL28" s="48"/>
      <c r="CM28" s="48"/>
      <c r="CN28" s="48"/>
      <c r="CO28" s="48"/>
      <c r="CP28" s="48"/>
      <c r="CQ28" s="48"/>
      <c r="CR28" s="48"/>
      <c r="DB28" s="49"/>
      <c r="DC28" s="49"/>
      <c r="DD28" s="49"/>
      <c r="DE28" s="50"/>
      <c r="DF28" s="50"/>
    </row>
    <row r="29" spans="1:110" s="4" customFormat="1" ht="14.25" thickBot="1" x14ac:dyDescent="0.3">
      <c r="A29" s="3"/>
      <c r="B29" s="269" t="s">
        <v>84</v>
      </c>
      <c r="C29" s="270"/>
      <c r="D29" s="270"/>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c r="AE29" s="270"/>
      <c r="AF29" s="270"/>
      <c r="AG29" s="270"/>
      <c r="AH29" s="270"/>
      <c r="AI29" s="270"/>
      <c r="AJ29" s="270"/>
      <c r="AK29" s="270"/>
      <c r="AL29" s="270"/>
      <c r="AM29" s="270"/>
      <c r="AN29" s="270"/>
      <c r="AO29" s="270"/>
      <c r="AP29" s="270"/>
      <c r="AQ29" s="270"/>
      <c r="AR29" s="270"/>
      <c r="AS29" s="270"/>
      <c r="AT29" s="270"/>
      <c r="AU29" s="270"/>
      <c r="AV29" s="270"/>
      <c r="AW29" s="270"/>
      <c r="AX29" s="270"/>
      <c r="AY29" s="270"/>
      <c r="AZ29" s="271"/>
      <c r="BA29" s="3"/>
      <c r="BB29" s="3"/>
      <c r="BC29" s="3"/>
      <c r="BD29" s="3"/>
      <c r="BE29" s="3"/>
      <c r="BF29" s="3"/>
      <c r="BG29" s="3"/>
      <c r="BH29" s="3"/>
      <c r="BI29" s="3"/>
      <c r="BJ29" s="3"/>
      <c r="BK29" s="3"/>
      <c r="BL29" s="3"/>
      <c r="BM29" s="3"/>
      <c r="BN29" s="3"/>
      <c r="BO29" s="3"/>
      <c r="BP29" s="3"/>
      <c r="BQ29" s="3"/>
      <c r="BR29" s="3"/>
      <c r="BS29" s="3"/>
      <c r="BT29" s="3"/>
      <c r="BU29" s="3"/>
      <c r="BV29" s="3"/>
      <c r="BX29" s="48"/>
      <c r="BY29" s="48"/>
      <c r="BZ29" s="48"/>
      <c r="CA29" s="48"/>
      <c r="CB29" s="48"/>
      <c r="CC29" s="48"/>
      <c r="CD29" s="48"/>
      <c r="CE29" s="48"/>
      <c r="CF29" s="48"/>
      <c r="CG29" s="48"/>
      <c r="CH29" s="48"/>
      <c r="CI29" s="48"/>
      <c r="CJ29" s="48"/>
      <c r="CK29" s="48"/>
      <c r="CL29" s="48"/>
      <c r="CM29" s="48"/>
      <c r="CN29" s="48"/>
      <c r="CO29" s="48"/>
      <c r="CP29" s="48"/>
      <c r="CQ29" s="48"/>
      <c r="CR29" s="48"/>
      <c r="DB29" s="49"/>
      <c r="DC29" s="49"/>
      <c r="DD29" s="49"/>
      <c r="DE29" s="50"/>
      <c r="DF29" s="50"/>
    </row>
    <row r="30" spans="1:110" s="4" customFormat="1" ht="13.5" x14ac:dyDescent="0.25">
      <c r="A30" s="3"/>
      <c r="B30" s="306" t="s">
        <v>14</v>
      </c>
      <c r="C30" s="304"/>
      <c r="D30" s="304"/>
      <c r="E30" s="304"/>
      <c r="F30" s="304"/>
      <c r="G30" s="304"/>
      <c r="H30" s="304"/>
      <c r="I30" s="304"/>
      <c r="J30" s="304"/>
      <c r="K30" s="304"/>
      <c r="L30" s="304"/>
      <c r="M30" s="304"/>
      <c r="N30" s="304"/>
      <c r="O30" s="304"/>
      <c r="P30" s="304"/>
      <c r="Q30" s="307" t="s">
        <v>15</v>
      </c>
      <c r="R30" s="304"/>
      <c r="S30" s="304"/>
      <c r="T30" s="304"/>
      <c r="U30" s="304"/>
      <c r="V30" s="304"/>
      <c r="W30" s="304"/>
      <c r="X30" s="304"/>
      <c r="Y30" s="304"/>
      <c r="Z30" s="304"/>
      <c r="AA30" s="308"/>
      <c r="AB30" s="304" t="s">
        <v>17</v>
      </c>
      <c r="AC30" s="304"/>
      <c r="AD30" s="304"/>
      <c r="AE30" s="304"/>
      <c r="AF30" s="304"/>
      <c r="AG30" s="304"/>
      <c r="AH30" s="304"/>
      <c r="AI30" s="304"/>
      <c r="AJ30" s="304"/>
      <c r="AK30" s="304"/>
      <c r="AL30" s="304"/>
      <c r="AM30" s="304"/>
      <c r="AN30" s="308"/>
      <c r="AO30" s="304" t="s">
        <v>16</v>
      </c>
      <c r="AP30" s="304"/>
      <c r="AQ30" s="304"/>
      <c r="AR30" s="304"/>
      <c r="AS30" s="304"/>
      <c r="AT30" s="304"/>
      <c r="AU30" s="304"/>
      <c r="AV30" s="304"/>
      <c r="AW30" s="304"/>
      <c r="AX30" s="304"/>
      <c r="AY30" s="304"/>
      <c r="AZ30" s="305"/>
      <c r="BA30" s="3"/>
      <c r="BB30" s="3"/>
      <c r="BC30" s="3"/>
      <c r="BD30" s="3"/>
      <c r="BE30" s="3"/>
      <c r="BF30" s="3"/>
      <c r="BG30" s="3"/>
      <c r="BH30" s="3"/>
      <c r="BI30" s="3"/>
      <c r="BJ30" s="3"/>
      <c r="BK30" s="3"/>
      <c r="BL30" s="3"/>
      <c r="BM30" s="3"/>
      <c r="BN30" s="3"/>
      <c r="BO30" s="3"/>
      <c r="BP30" s="3"/>
      <c r="BQ30" s="3"/>
      <c r="BR30" s="3"/>
      <c r="BS30" s="3"/>
      <c r="BT30" s="3"/>
      <c r="BU30" s="3"/>
      <c r="BV30" s="3"/>
      <c r="BX30" s="48"/>
      <c r="BY30" s="48"/>
      <c r="BZ30" s="48"/>
      <c r="CA30" s="48"/>
      <c r="CB30" s="48"/>
      <c r="CC30" s="48"/>
      <c r="CD30" s="48"/>
      <c r="CE30" s="48"/>
      <c r="CF30" s="48"/>
      <c r="CG30" s="48"/>
      <c r="CH30" s="48"/>
      <c r="CI30" s="48"/>
      <c r="CJ30" s="48"/>
      <c r="CK30" s="48"/>
      <c r="CL30" s="48"/>
      <c r="CM30" s="48"/>
      <c r="CN30" s="48"/>
      <c r="CO30" s="48"/>
      <c r="CP30" s="48"/>
      <c r="CQ30" s="48"/>
      <c r="CR30" s="48"/>
      <c r="DB30" s="49"/>
      <c r="DC30" s="49"/>
      <c r="DD30" s="49"/>
      <c r="DE30" s="50"/>
      <c r="DF30" s="50"/>
    </row>
    <row r="31" spans="1:110" s="4" customFormat="1" ht="14.25" thickBot="1" x14ac:dyDescent="0.3">
      <c r="A31" s="3"/>
      <c r="B31" s="309" t="s">
        <v>155</v>
      </c>
      <c r="C31" s="310"/>
      <c r="D31" s="310"/>
      <c r="E31" s="310"/>
      <c r="F31" s="310"/>
      <c r="G31" s="310"/>
      <c r="H31" s="310"/>
      <c r="I31" s="310"/>
      <c r="J31" s="310"/>
      <c r="K31" s="310"/>
      <c r="L31" s="310"/>
      <c r="M31" s="310"/>
      <c r="N31" s="310"/>
      <c r="O31" s="310"/>
      <c r="P31" s="311"/>
      <c r="Q31" s="312">
        <v>8100021</v>
      </c>
      <c r="R31" s="313"/>
      <c r="S31" s="313"/>
      <c r="T31" s="313"/>
      <c r="U31" s="313"/>
      <c r="V31" s="313"/>
      <c r="W31" s="313"/>
      <c r="X31" s="313"/>
      <c r="Y31" s="313"/>
      <c r="Z31" s="313"/>
      <c r="AA31" s="314"/>
      <c r="AB31" s="340" t="s">
        <v>160</v>
      </c>
      <c r="AC31" s="341"/>
      <c r="AD31" s="341"/>
      <c r="AE31" s="341"/>
      <c r="AF31" s="341"/>
      <c r="AG31" s="341"/>
      <c r="AH31" s="341"/>
      <c r="AI31" s="341"/>
      <c r="AJ31" s="341"/>
      <c r="AK31" s="341"/>
      <c r="AL31" s="341"/>
      <c r="AM31" s="341"/>
      <c r="AN31" s="342"/>
      <c r="AO31" s="297"/>
      <c r="AP31" s="297"/>
      <c r="AQ31" s="297"/>
      <c r="AR31" s="297"/>
      <c r="AS31" s="297"/>
      <c r="AT31" s="297"/>
      <c r="AU31" s="297"/>
      <c r="AV31" s="297"/>
      <c r="AW31" s="297"/>
      <c r="AX31" s="297"/>
      <c r="AY31" s="297"/>
      <c r="AZ31" s="298"/>
      <c r="BA31" s="3"/>
      <c r="BB31" s="3"/>
      <c r="BC31" s="3"/>
      <c r="BD31" s="3"/>
      <c r="BE31" s="3"/>
      <c r="BF31" s="3"/>
      <c r="BG31" s="3"/>
      <c r="BH31" s="3"/>
      <c r="BI31" s="3"/>
      <c r="BJ31" s="3"/>
      <c r="BK31" s="3"/>
      <c r="BL31" s="3"/>
      <c r="BM31" s="3"/>
      <c r="BN31" s="3"/>
      <c r="BO31" s="3"/>
      <c r="BP31" s="3"/>
      <c r="BQ31" s="3"/>
      <c r="BR31" s="3"/>
      <c r="BS31" s="3"/>
      <c r="BT31" s="3"/>
      <c r="BU31" s="3"/>
      <c r="BV31" s="3"/>
      <c r="BX31" s="48"/>
      <c r="BY31" s="48"/>
      <c r="BZ31" s="48"/>
      <c r="CA31" s="48"/>
      <c r="CB31" s="48"/>
      <c r="CC31" s="48"/>
      <c r="CD31" s="48"/>
      <c r="CE31" s="48"/>
      <c r="CF31" s="48"/>
      <c r="CG31" s="48"/>
      <c r="CH31" s="48"/>
      <c r="CI31" s="48"/>
      <c r="CJ31" s="48"/>
      <c r="CK31" s="48"/>
      <c r="CL31" s="48"/>
      <c r="CM31" s="48"/>
      <c r="CN31" s="48"/>
      <c r="CO31" s="48"/>
      <c r="CP31" s="48"/>
      <c r="CQ31" s="48"/>
      <c r="CR31" s="48"/>
      <c r="DB31" s="49"/>
      <c r="DC31" s="49"/>
      <c r="DD31" s="49"/>
      <c r="DE31" s="50"/>
      <c r="DF31" s="50"/>
    </row>
    <row r="32" spans="1:110" s="4" customFormat="1" ht="14.25" thickBot="1" x14ac:dyDescent="0.3">
      <c r="A32" s="3"/>
      <c r="B32" s="269" t="s">
        <v>43</v>
      </c>
      <c r="C32" s="270"/>
      <c r="D32" s="270"/>
      <c r="E32" s="270"/>
      <c r="F32" s="270"/>
      <c r="G32" s="270"/>
      <c r="H32" s="270"/>
      <c r="I32" s="270"/>
      <c r="J32" s="270"/>
      <c r="K32" s="270"/>
      <c r="L32" s="270"/>
      <c r="M32" s="270"/>
      <c r="N32" s="270"/>
      <c r="O32" s="270"/>
      <c r="P32" s="270"/>
      <c r="Q32" s="270"/>
      <c r="R32" s="270"/>
      <c r="S32" s="270"/>
      <c r="T32" s="270"/>
      <c r="U32" s="270"/>
      <c r="V32" s="270"/>
      <c r="W32" s="270"/>
      <c r="X32" s="270"/>
      <c r="Y32" s="270"/>
      <c r="Z32" s="270"/>
      <c r="AA32" s="270"/>
      <c r="AB32" s="270"/>
      <c r="AC32" s="270"/>
      <c r="AD32" s="270"/>
      <c r="AE32" s="270"/>
      <c r="AF32" s="270"/>
      <c r="AG32" s="270"/>
      <c r="AH32" s="270"/>
      <c r="AI32" s="270"/>
      <c r="AJ32" s="270"/>
      <c r="AK32" s="270"/>
      <c r="AL32" s="270"/>
      <c r="AM32" s="270"/>
      <c r="AN32" s="270"/>
      <c r="AO32" s="270"/>
      <c r="AP32" s="270"/>
      <c r="AQ32" s="270"/>
      <c r="AR32" s="270"/>
      <c r="AS32" s="270"/>
      <c r="AT32" s="270"/>
      <c r="AU32" s="270"/>
      <c r="AV32" s="270"/>
      <c r="AW32" s="270"/>
      <c r="AX32" s="270"/>
      <c r="AY32" s="270"/>
      <c r="AZ32" s="271"/>
      <c r="BA32" s="3"/>
      <c r="BB32" s="3"/>
      <c r="BC32" s="3"/>
      <c r="BD32" s="3"/>
      <c r="BE32" s="3"/>
      <c r="BF32" s="3"/>
      <c r="BG32" s="3"/>
      <c r="BH32" s="3"/>
      <c r="BI32" s="3"/>
      <c r="BJ32" s="3"/>
      <c r="BK32" s="3"/>
      <c r="BL32" s="3"/>
      <c r="BM32" s="3"/>
      <c r="BN32" s="3"/>
      <c r="BO32" s="3"/>
      <c r="BP32" s="3"/>
      <c r="BQ32" s="3"/>
      <c r="BR32" s="3"/>
      <c r="BS32" s="3"/>
      <c r="BT32" s="3"/>
      <c r="BU32" s="3"/>
      <c r="BV32" s="3"/>
      <c r="BX32" s="48"/>
      <c r="BY32" s="48"/>
      <c r="BZ32" s="48"/>
      <c r="CA32" s="48"/>
      <c r="CB32" s="48"/>
      <c r="CC32" s="48"/>
      <c r="CD32" s="48"/>
      <c r="CE32" s="48"/>
      <c r="CF32" s="48"/>
      <c r="CG32" s="48"/>
      <c r="CH32" s="48"/>
      <c r="CI32" s="48"/>
      <c r="CJ32" s="48"/>
      <c r="CK32" s="48"/>
      <c r="CL32" s="48"/>
      <c r="CM32" s="48"/>
      <c r="CN32" s="48"/>
      <c r="CO32" s="48"/>
      <c r="CP32" s="48"/>
      <c r="CQ32" s="48"/>
      <c r="CR32" s="48"/>
      <c r="DB32" s="49"/>
      <c r="DC32" s="49"/>
      <c r="DD32" s="49"/>
      <c r="DE32" s="50"/>
      <c r="DF32" s="50"/>
    </row>
    <row r="33" spans="1:110" s="4" customFormat="1" ht="13.5" x14ac:dyDescent="0.25">
      <c r="A33" s="3"/>
      <c r="B33" s="306" t="s">
        <v>14</v>
      </c>
      <c r="C33" s="304"/>
      <c r="D33" s="304"/>
      <c r="E33" s="304"/>
      <c r="F33" s="304"/>
      <c r="G33" s="304"/>
      <c r="H33" s="304"/>
      <c r="I33" s="304"/>
      <c r="J33" s="304"/>
      <c r="K33" s="304"/>
      <c r="L33" s="304"/>
      <c r="M33" s="304"/>
      <c r="N33" s="304"/>
      <c r="O33" s="304"/>
      <c r="P33" s="304"/>
      <c r="Q33" s="307" t="s">
        <v>15</v>
      </c>
      <c r="R33" s="304"/>
      <c r="S33" s="304"/>
      <c r="T33" s="304"/>
      <c r="U33" s="304"/>
      <c r="V33" s="304"/>
      <c r="W33" s="304"/>
      <c r="X33" s="304"/>
      <c r="Y33" s="304"/>
      <c r="Z33" s="304"/>
      <c r="AA33" s="308"/>
      <c r="AB33" s="304" t="s">
        <v>17</v>
      </c>
      <c r="AC33" s="304"/>
      <c r="AD33" s="304"/>
      <c r="AE33" s="304"/>
      <c r="AF33" s="304"/>
      <c r="AG33" s="304"/>
      <c r="AH33" s="304"/>
      <c r="AI33" s="304"/>
      <c r="AJ33" s="304"/>
      <c r="AK33" s="304"/>
      <c r="AL33" s="304"/>
      <c r="AM33" s="304"/>
      <c r="AN33" s="308"/>
      <c r="AO33" s="304" t="s">
        <v>16</v>
      </c>
      <c r="AP33" s="304"/>
      <c r="AQ33" s="304"/>
      <c r="AR33" s="304"/>
      <c r="AS33" s="304"/>
      <c r="AT33" s="304"/>
      <c r="AU33" s="304"/>
      <c r="AV33" s="304"/>
      <c r="AW33" s="304"/>
      <c r="AX33" s="304"/>
      <c r="AY33" s="304"/>
      <c r="AZ33" s="305"/>
      <c r="BA33" s="3"/>
      <c r="BB33" s="3"/>
      <c r="BC33" s="3"/>
      <c r="BD33" s="3"/>
      <c r="BE33" s="3"/>
      <c r="BF33" s="3"/>
      <c r="BG33" s="3"/>
      <c r="BH33" s="3"/>
      <c r="BI33" s="3"/>
      <c r="BJ33" s="3"/>
      <c r="BK33" s="3"/>
      <c r="BL33" s="3"/>
      <c r="BM33" s="3"/>
      <c r="BN33" s="3"/>
      <c r="BO33" s="3"/>
      <c r="BP33" s="3"/>
      <c r="BQ33" s="3"/>
      <c r="BR33" s="3"/>
      <c r="BS33" s="3"/>
      <c r="BT33" s="3"/>
      <c r="BU33" s="3"/>
      <c r="BV33" s="3"/>
      <c r="BX33" s="48"/>
      <c r="BY33" s="48"/>
      <c r="BZ33" s="48"/>
      <c r="CA33" s="48"/>
      <c r="CB33" s="48"/>
      <c r="CC33" s="48"/>
      <c r="CD33" s="48"/>
      <c r="CE33" s="48"/>
      <c r="CF33" s="48"/>
      <c r="CG33" s="48"/>
      <c r="CH33" s="48"/>
      <c r="CI33" s="48"/>
      <c r="CJ33" s="48"/>
      <c r="CK33" s="48"/>
      <c r="CL33" s="48"/>
      <c r="CM33" s="48"/>
      <c r="CN33" s="48"/>
      <c r="CO33" s="48"/>
      <c r="CP33" s="48"/>
      <c r="CQ33" s="48"/>
      <c r="CR33" s="48"/>
      <c r="DB33" s="49"/>
      <c r="DC33" s="49"/>
      <c r="DD33" s="49"/>
      <c r="DE33" s="50"/>
      <c r="DF33" s="50"/>
    </row>
    <row r="34" spans="1:110" s="4" customFormat="1" ht="14.25" thickBot="1" x14ac:dyDescent="0.3">
      <c r="A34" s="3"/>
      <c r="B34" s="299" t="s">
        <v>119</v>
      </c>
      <c r="C34" s="300"/>
      <c r="D34" s="300"/>
      <c r="E34" s="300"/>
      <c r="F34" s="300"/>
      <c r="G34" s="300"/>
      <c r="H34" s="300"/>
      <c r="I34" s="300"/>
      <c r="J34" s="300"/>
      <c r="K34" s="300"/>
      <c r="L34" s="300"/>
      <c r="M34" s="300"/>
      <c r="N34" s="300"/>
      <c r="O34" s="300"/>
      <c r="P34" s="300"/>
      <c r="Q34" s="301" t="s">
        <v>119</v>
      </c>
      <c r="R34" s="300"/>
      <c r="S34" s="300"/>
      <c r="T34" s="300"/>
      <c r="U34" s="300"/>
      <c r="V34" s="300"/>
      <c r="W34" s="300"/>
      <c r="X34" s="300"/>
      <c r="Y34" s="300"/>
      <c r="Z34" s="300"/>
      <c r="AA34" s="302"/>
      <c r="AB34" s="300" t="s">
        <v>119</v>
      </c>
      <c r="AC34" s="300"/>
      <c r="AD34" s="300"/>
      <c r="AE34" s="300"/>
      <c r="AF34" s="300"/>
      <c r="AG34" s="300"/>
      <c r="AH34" s="300"/>
      <c r="AI34" s="300"/>
      <c r="AJ34" s="300"/>
      <c r="AK34" s="300"/>
      <c r="AL34" s="300"/>
      <c r="AM34" s="300"/>
      <c r="AN34" s="302"/>
      <c r="AO34" s="300" t="s">
        <v>119</v>
      </c>
      <c r="AP34" s="300"/>
      <c r="AQ34" s="300"/>
      <c r="AR34" s="300"/>
      <c r="AS34" s="300"/>
      <c r="AT34" s="300"/>
      <c r="AU34" s="300"/>
      <c r="AV34" s="300"/>
      <c r="AW34" s="300"/>
      <c r="AX34" s="300"/>
      <c r="AY34" s="300"/>
      <c r="AZ34" s="303"/>
      <c r="BA34" s="3"/>
      <c r="BB34" s="3"/>
      <c r="BC34" s="3"/>
      <c r="BD34" s="3"/>
      <c r="BE34" s="3"/>
      <c r="BF34" s="3"/>
      <c r="BG34" s="3"/>
      <c r="BH34" s="3"/>
      <c r="BI34" s="3"/>
      <c r="BJ34" s="3"/>
      <c r="BK34" s="3"/>
      <c r="BL34" s="3"/>
      <c r="BM34" s="3"/>
      <c r="BN34" s="3"/>
      <c r="BO34" s="3"/>
      <c r="BP34" s="3"/>
      <c r="BQ34" s="3"/>
      <c r="BR34" s="3"/>
      <c r="BS34" s="3"/>
      <c r="BT34" s="3"/>
      <c r="BU34" s="3"/>
      <c r="BV34" s="3"/>
      <c r="BX34" s="48"/>
      <c r="BY34" s="48"/>
      <c r="BZ34" s="48"/>
      <c r="CA34" s="48"/>
      <c r="CB34" s="48"/>
      <c r="CC34" s="48"/>
      <c r="CD34" s="48"/>
      <c r="CE34" s="48"/>
      <c r="CF34" s="48"/>
      <c r="CG34" s="48"/>
      <c r="CH34" s="48"/>
      <c r="CI34" s="48"/>
      <c r="CJ34" s="48"/>
      <c r="CK34" s="48"/>
      <c r="CL34" s="48"/>
      <c r="CM34" s="48"/>
      <c r="CN34" s="48"/>
      <c r="CO34" s="48"/>
      <c r="CP34" s="48"/>
      <c r="CQ34" s="48"/>
      <c r="CR34" s="48"/>
      <c r="DB34" s="49"/>
      <c r="DC34" s="49"/>
      <c r="DD34" s="49"/>
      <c r="DE34" s="50"/>
      <c r="DF34" s="50"/>
    </row>
    <row r="35" spans="1:110" s="4" customFormat="1" ht="15" customHeight="1" thickBot="1" x14ac:dyDescent="0.3">
      <c r="A35" s="3"/>
      <c r="B35" s="269" t="s">
        <v>85</v>
      </c>
      <c r="C35" s="270"/>
      <c r="D35" s="270"/>
      <c r="E35" s="270"/>
      <c r="F35" s="270"/>
      <c r="G35" s="270"/>
      <c r="H35" s="270"/>
      <c r="I35" s="270"/>
      <c r="J35" s="270"/>
      <c r="K35" s="270"/>
      <c r="L35" s="270"/>
      <c r="M35" s="270"/>
      <c r="N35" s="270"/>
      <c r="O35" s="270"/>
      <c r="P35" s="270"/>
      <c r="Q35" s="270"/>
      <c r="R35" s="270"/>
      <c r="S35" s="270"/>
      <c r="T35" s="270"/>
      <c r="U35" s="270"/>
      <c r="V35" s="270"/>
      <c r="W35" s="270"/>
      <c r="X35" s="270"/>
      <c r="Y35" s="270"/>
      <c r="Z35" s="270"/>
      <c r="AA35" s="271"/>
      <c r="AB35" s="269" t="s">
        <v>86</v>
      </c>
      <c r="AC35" s="270"/>
      <c r="AD35" s="270"/>
      <c r="AE35" s="270"/>
      <c r="AF35" s="270"/>
      <c r="AG35" s="270"/>
      <c r="AH35" s="270"/>
      <c r="AI35" s="270"/>
      <c r="AJ35" s="270"/>
      <c r="AK35" s="270"/>
      <c r="AL35" s="270"/>
      <c r="AM35" s="270"/>
      <c r="AN35" s="270"/>
      <c r="AO35" s="270"/>
      <c r="AP35" s="270"/>
      <c r="AQ35" s="270"/>
      <c r="AR35" s="270"/>
      <c r="AS35" s="270"/>
      <c r="AT35" s="270"/>
      <c r="AU35" s="270"/>
      <c r="AV35" s="270"/>
      <c r="AW35" s="270"/>
      <c r="AX35" s="270"/>
      <c r="AY35" s="270"/>
      <c r="AZ35" s="271"/>
      <c r="BA35" s="3"/>
      <c r="BB35" s="3"/>
      <c r="BC35" s="3"/>
      <c r="BD35" s="3"/>
      <c r="BE35" s="3"/>
      <c r="BF35" s="3"/>
      <c r="BG35" s="3"/>
      <c r="BH35" s="3"/>
      <c r="BI35" s="3"/>
      <c r="BJ35" s="3"/>
      <c r="BK35" s="3"/>
      <c r="BL35" s="3"/>
      <c r="BM35" s="3"/>
      <c r="BN35" s="3"/>
      <c r="BO35" s="3"/>
      <c r="BP35" s="3"/>
      <c r="BQ35" s="3"/>
      <c r="BR35" s="3"/>
      <c r="BS35" s="3"/>
      <c r="BT35" s="3"/>
      <c r="BU35" s="3"/>
      <c r="BV35" s="3"/>
      <c r="BX35" s="48"/>
      <c r="BY35" s="48"/>
      <c r="BZ35" s="48"/>
      <c r="CA35" s="48"/>
      <c r="CB35" s="48"/>
      <c r="CC35" s="48"/>
      <c r="CD35" s="48"/>
      <c r="CE35" s="48"/>
      <c r="CF35" s="48"/>
      <c r="CG35" s="48"/>
      <c r="CH35" s="48"/>
      <c r="CI35" s="48"/>
      <c r="CJ35" s="48"/>
      <c r="CK35" s="48"/>
      <c r="CL35" s="48"/>
      <c r="CM35" s="48"/>
      <c r="CN35" s="48"/>
      <c r="CO35" s="48"/>
      <c r="CP35" s="48"/>
      <c r="CQ35" s="48"/>
      <c r="CR35" s="48"/>
      <c r="DB35" s="49"/>
      <c r="DC35" s="49"/>
      <c r="DD35" s="49"/>
      <c r="DE35" s="50"/>
      <c r="DF35" s="50"/>
    </row>
    <row r="36" spans="1:110" s="4" customFormat="1" ht="13.5" customHeight="1" x14ac:dyDescent="0.25">
      <c r="A36" s="3"/>
      <c r="B36" s="41"/>
      <c r="C36" s="118"/>
      <c r="D36" s="118"/>
      <c r="E36" s="118"/>
      <c r="F36" s="177" t="s">
        <v>25</v>
      </c>
      <c r="G36" s="118"/>
      <c r="H36" s="43"/>
      <c r="I36" s="43"/>
      <c r="J36" s="118"/>
      <c r="K36" s="43"/>
      <c r="L36" s="118"/>
      <c r="M36" s="43"/>
      <c r="N36" s="43"/>
      <c r="O36" s="43" t="s">
        <v>44</v>
      </c>
      <c r="P36" s="118"/>
      <c r="Q36" s="43"/>
      <c r="R36" s="118"/>
      <c r="S36" s="43"/>
      <c r="T36" s="43"/>
      <c r="U36" s="43"/>
      <c r="V36" s="43"/>
      <c r="W36" s="118"/>
      <c r="X36" s="43"/>
      <c r="Y36" s="118"/>
      <c r="Z36" s="43"/>
      <c r="AA36" s="43"/>
      <c r="AB36" s="286" t="s">
        <v>138</v>
      </c>
      <c r="AC36" s="287"/>
      <c r="AD36" s="287"/>
      <c r="AE36" s="287"/>
      <c r="AF36" s="287"/>
      <c r="AG36" s="287"/>
      <c r="AH36" s="287"/>
      <c r="AI36" s="287"/>
      <c r="AJ36" s="287"/>
      <c r="AK36" s="287"/>
      <c r="AL36" s="287"/>
      <c r="AM36" s="287"/>
      <c r="AN36" s="287"/>
      <c r="AO36" s="287"/>
      <c r="AP36" s="287"/>
      <c r="AQ36" s="287"/>
      <c r="AR36" s="287"/>
      <c r="AS36" s="287"/>
      <c r="AT36" s="287"/>
      <c r="AU36" s="287"/>
      <c r="AV36" s="287"/>
      <c r="AW36" s="287"/>
      <c r="AX36" s="287"/>
      <c r="AY36" s="287"/>
      <c r="AZ36" s="288"/>
      <c r="BA36" s="3"/>
      <c r="BB36" s="3"/>
      <c r="BC36" s="3"/>
      <c r="BD36" s="3"/>
      <c r="BE36" s="3"/>
      <c r="BF36" s="3"/>
      <c r="BG36" s="3"/>
      <c r="BH36" s="3"/>
      <c r="BI36" s="3"/>
      <c r="BJ36" s="3"/>
      <c r="BK36" s="3"/>
      <c r="BL36" s="3"/>
      <c r="BM36" s="3"/>
      <c r="BN36" s="3"/>
      <c r="BO36" s="3"/>
      <c r="BP36" s="3"/>
      <c r="BQ36" s="3"/>
      <c r="BR36" s="3"/>
      <c r="BS36" s="3"/>
      <c r="BT36" s="3"/>
      <c r="BU36" s="3"/>
      <c r="BV36" s="3"/>
      <c r="BX36" s="48"/>
      <c r="BY36" s="48"/>
      <c r="BZ36" s="48"/>
      <c r="CA36" s="48"/>
      <c r="CB36" s="48"/>
      <c r="CC36" s="48"/>
      <c r="CD36" s="48"/>
      <c r="CE36" s="48"/>
      <c r="CF36" s="48"/>
      <c r="CG36" s="48"/>
      <c r="CH36" s="48"/>
      <c r="CI36" s="48"/>
      <c r="CJ36" s="48"/>
      <c r="CK36" s="48"/>
      <c r="CL36" s="48"/>
      <c r="CM36" s="48"/>
      <c r="CN36" s="48"/>
      <c r="CO36" s="48"/>
      <c r="CP36" s="48"/>
      <c r="CQ36" s="48"/>
      <c r="CR36" s="48"/>
      <c r="DB36" s="49"/>
      <c r="DC36" s="49"/>
      <c r="DD36" s="49"/>
      <c r="DE36" s="50"/>
      <c r="DF36" s="50"/>
    </row>
    <row r="37" spans="1:110" s="4" customFormat="1" ht="15.75" x14ac:dyDescent="0.25">
      <c r="A37" s="3"/>
      <c r="B37" s="41"/>
      <c r="C37" s="118"/>
      <c r="D37" s="118"/>
      <c r="E37" s="118"/>
      <c r="F37" s="118"/>
      <c r="G37" s="118"/>
      <c r="H37" s="42" t="s">
        <v>45</v>
      </c>
      <c r="I37" s="289"/>
      <c r="J37" s="289"/>
      <c r="K37" s="43" t="s">
        <v>87</v>
      </c>
      <c r="L37" s="118"/>
      <c r="M37" s="118"/>
      <c r="N37" s="118"/>
      <c r="O37" s="118"/>
      <c r="P37" s="118"/>
      <c r="Q37" s="42" t="s">
        <v>45</v>
      </c>
      <c r="R37" s="290"/>
      <c r="S37" s="290"/>
      <c r="T37" s="43" t="s">
        <v>142</v>
      </c>
      <c r="U37" s="118"/>
      <c r="V37" s="118"/>
      <c r="W37" s="118"/>
      <c r="X37" s="43"/>
      <c r="Y37" s="43"/>
      <c r="Z37" s="43"/>
      <c r="AA37" s="43"/>
      <c r="AB37" s="286"/>
      <c r="AC37" s="287"/>
      <c r="AD37" s="287"/>
      <c r="AE37" s="287"/>
      <c r="AF37" s="287"/>
      <c r="AG37" s="287"/>
      <c r="AH37" s="287"/>
      <c r="AI37" s="287"/>
      <c r="AJ37" s="287"/>
      <c r="AK37" s="287"/>
      <c r="AL37" s="287"/>
      <c r="AM37" s="287"/>
      <c r="AN37" s="287"/>
      <c r="AO37" s="287"/>
      <c r="AP37" s="287"/>
      <c r="AQ37" s="287"/>
      <c r="AR37" s="287"/>
      <c r="AS37" s="287"/>
      <c r="AT37" s="287"/>
      <c r="AU37" s="287"/>
      <c r="AV37" s="287"/>
      <c r="AW37" s="287"/>
      <c r="AX37" s="287"/>
      <c r="AY37" s="287"/>
      <c r="AZ37" s="288"/>
      <c r="BA37" s="3"/>
      <c r="BB37" s="3"/>
      <c r="BC37" s="3"/>
      <c r="BD37" s="3"/>
      <c r="BE37" s="3"/>
      <c r="BF37" s="3"/>
      <c r="BG37" s="3"/>
      <c r="BH37" s="3"/>
      <c r="BI37" s="3"/>
      <c r="BJ37" s="3"/>
      <c r="BK37" s="3"/>
      <c r="BL37" s="3"/>
      <c r="BM37" s="3"/>
      <c r="BN37" s="3"/>
      <c r="BO37" s="3"/>
      <c r="BP37" s="3"/>
      <c r="BQ37" s="3"/>
      <c r="BR37" s="3"/>
      <c r="BS37" s="3"/>
      <c r="BT37" s="3"/>
      <c r="BU37" s="3"/>
      <c r="BV37" s="3"/>
      <c r="BX37" s="48"/>
      <c r="BY37" s="48"/>
      <c r="BZ37" s="48"/>
      <c r="CA37" s="48"/>
      <c r="CB37" s="48"/>
      <c r="CC37" s="48"/>
      <c r="CD37" s="48"/>
      <c r="CE37" s="48"/>
      <c r="CF37" s="48"/>
      <c r="CG37" s="48"/>
      <c r="CH37" s="48"/>
      <c r="CI37" s="48"/>
      <c r="CJ37" s="48"/>
      <c r="CK37" s="48"/>
      <c r="CL37" s="48"/>
      <c r="CM37" s="48"/>
      <c r="CN37" s="48"/>
      <c r="CO37" s="48"/>
      <c r="CP37" s="48"/>
      <c r="CQ37" s="48"/>
      <c r="CR37" s="48"/>
      <c r="DB37" s="49"/>
      <c r="DC37" s="49"/>
      <c r="DD37" s="49"/>
      <c r="DE37" s="50"/>
      <c r="DF37" s="50"/>
    </row>
    <row r="38" spans="1:110" s="4" customFormat="1" ht="15.75" x14ac:dyDescent="0.25">
      <c r="A38" s="3"/>
      <c r="B38" s="41"/>
      <c r="C38" s="118"/>
      <c r="D38" s="118"/>
      <c r="E38" s="118"/>
      <c r="F38" s="118"/>
      <c r="G38" s="118"/>
      <c r="H38" s="42" t="s">
        <v>46</v>
      </c>
      <c r="I38" s="291"/>
      <c r="J38" s="291"/>
      <c r="K38" s="43" t="s">
        <v>87</v>
      </c>
      <c r="L38" s="118"/>
      <c r="M38" s="118"/>
      <c r="N38" s="118"/>
      <c r="O38" s="118"/>
      <c r="P38" s="118"/>
      <c r="Q38" s="42" t="s">
        <v>46</v>
      </c>
      <c r="R38" s="292"/>
      <c r="S38" s="292"/>
      <c r="T38" s="43" t="s">
        <v>142</v>
      </c>
      <c r="U38" s="118"/>
      <c r="V38" s="118"/>
      <c r="W38" s="118"/>
      <c r="X38" s="43"/>
      <c r="Y38" s="43"/>
      <c r="Z38" s="43"/>
      <c r="AA38" s="43"/>
      <c r="AB38" s="286"/>
      <c r="AC38" s="287"/>
      <c r="AD38" s="287"/>
      <c r="AE38" s="287"/>
      <c r="AF38" s="287"/>
      <c r="AG38" s="287"/>
      <c r="AH38" s="287"/>
      <c r="AI38" s="287"/>
      <c r="AJ38" s="287"/>
      <c r="AK38" s="287"/>
      <c r="AL38" s="287"/>
      <c r="AM38" s="287"/>
      <c r="AN38" s="287"/>
      <c r="AO38" s="287"/>
      <c r="AP38" s="287"/>
      <c r="AQ38" s="287"/>
      <c r="AR38" s="287"/>
      <c r="AS38" s="287"/>
      <c r="AT38" s="287"/>
      <c r="AU38" s="287"/>
      <c r="AV38" s="287"/>
      <c r="AW38" s="287"/>
      <c r="AX38" s="287"/>
      <c r="AY38" s="287"/>
      <c r="AZ38" s="288"/>
      <c r="BA38" s="3"/>
      <c r="BB38" s="3"/>
      <c r="BC38" s="3"/>
      <c r="BD38" s="3"/>
      <c r="BE38" s="3"/>
      <c r="BF38" s="3"/>
      <c r="BG38" s="3"/>
      <c r="BH38" s="3"/>
      <c r="BI38" s="3"/>
      <c r="BJ38" s="3"/>
      <c r="BK38" s="3"/>
      <c r="BL38" s="3"/>
      <c r="BM38" s="3"/>
      <c r="BN38" s="3"/>
      <c r="BO38" s="3"/>
      <c r="BP38" s="3"/>
      <c r="BQ38" s="3"/>
      <c r="BR38" s="3"/>
      <c r="BS38" s="3"/>
      <c r="BT38" s="3"/>
      <c r="BU38" s="3"/>
      <c r="BV38" s="3"/>
      <c r="BX38" s="48"/>
      <c r="BY38" s="48"/>
      <c r="BZ38" s="48"/>
      <c r="CA38" s="48"/>
      <c r="CB38" s="48"/>
      <c r="CC38" s="48"/>
      <c r="CD38" s="48"/>
      <c r="CE38" s="48"/>
      <c r="CF38" s="48"/>
      <c r="CG38" s="48"/>
      <c r="CH38" s="48"/>
      <c r="CI38" s="48"/>
      <c r="CJ38" s="48"/>
      <c r="CK38" s="48"/>
      <c r="CL38" s="48"/>
      <c r="CM38" s="48"/>
      <c r="CN38" s="48"/>
      <c r="CO38" s="48"/>
      <c r="CP38" s="48"/>
      <c r="CQ38" s="48"/>
      <c r="CR38" s="48"/>
      <c r="DB38" s="49"/>
      <c r="DC38" s="49"/>
      <c r="DD38" s="49"/>
      <c r="DE38" s="50"/>
      <c r="DF38" s="50"/>
    </row>
    <row r="39" spans="1:110" s="4" customFormat="1" ht="3.75" customHeight="1" thickBot="1" x14ac:dyDescent="0.3">
      <c r="A39" s="3"/>
      <c r="B39" s="41"/>
      <c r="C39" s="43"/>
      <c r="D39" s="43"/>
      <c r="E39" s="43"/>
      <c r="F39" s="43"/>
      <c r="G39" s="43"/>
      <c r="H39" s="43"/>
      <c r="I39" s="43"/>
      <c r="J39" s="43"/>
      <c r="K39" s="43"/>
      <c r="L39" s="43"/>
      <c r="M39" s="43"/>
      <c r="N39" s="43"/>
      <c r="O39" s="43"/>
      <c r="P39" s="43"/>
      <c r="Q39" s="43"/>
      <c r="R39" s="43"/>
      <c r="S39" s="43"/>
      <c r="T39" s="43"/>
      <c r="U39" s="43"/>
      <c r="V39" s="43"/>
      <c r="W39" s="43"/>
      <c r="X39" s="43"/>
      <c r="Y39" s="43"/>
      <c r="Z39" s="43"/>
      <c r="AA39" s="116"/>
      <c r="AB39" s="286"/>
      <c r="AC39" s="287"/>
      <c r="AD39" s="287"/>
      <c r="AE39" s="287"/>
      <c r="AF39" s="287"/>
      <c r="AG39" s="287"/>
      <c r="AH39" s="287"/>
      <c r="AI39" s="287"/>
      <c r="AJ39" s="287"/>
      <c r="AK39" s="287"/>
      <c r="AL39" s="287"/>
      <c r="AM39" s="287"/>
      <c r="AN39" s="287"/>
      <c r="AO39" s="287"/>
      <c r="AP39" s="287"/>
      <c r="AQ39" s="287"/>
      <c r="AR39" s="287"/>
      <c r="AS39" s="287"/>
      <c r="AT39" s="287"/>
      <c r="AU39" s="287"/>
      <c r="AV39" s="287"/>
      <c r="AW39" s="287"/>
      <c r="AX39" s="287"/>
      <c r="AY39" s="287"/>
      <c r="AZ39" s="288"/>
      <c r="BA39" s="3"/>
      <c r="BB39" s="3"/>
      <c r="BC39" s="3"/>
      <c r="BD39" s="3"/>
      <c r="BE39" s="3"/>
      <c r="BF39" s="3"/>
      <c r="BG39" s="3"/>
      <c r="BH39" s="3"/>
      <c r="BI39" s="3"/>
      <c r="BJ39" s="3"/>
      <c r="BK39" s="3"/>
      <c r="BL39" s="3"/>
      <c r="BM39" s="3"/>
      <c r="BN39" s="3"/>
      <c r="BO39" s="3"/>
      <c r="BP39" s="3"/>
      <c r="BQ39" s="3"/>
      <c r="BR39" s="3"/>
      <c r="BS39" s="3"/>
      <c r="BT39" s="3"/>
      <c r="BU39" s="3"/>
      <c r="BV39" s="3"/>
      <c r="BX39" s="48"/>
      <c r="BY39" s="48"/>
      <c r="BZ39" s="48"/>
      <c r="CA39" s="48"/>
      <c r="CB39" s="48"/>
      <c r="CC39" s="48"/>
      <c r="CD39" s="48"/>
      <c r="CE39" s="48"/>
      <c r="CF39" s="48"/>
      <c r="CG39" s="48"/>
      <c r="CH39" s="48"/>
      <c r="CI39" s="48"/>
      <c r="CJ39" s="48"/>
      <c r="CK39" s="48"/>
      <c r="CL39" s="48"/>
      <c r="CM39" s="48"/>
      <c r="CN39" s="48"/>
      <c r="CO39" s="48"/>
      <c r="CP39" s="48"/>
      <c r="CQ39" s="48"/>
      <c r="CR39" s="48"/>
      <c r="DB39" s="49"/>
      <c r="DC39" s="49"/>
      <c r="DD39" s="49"/>
      <c r="DE39" s="50"/>
      <c r="DF39" s="50"/>
    </row>
    <row r="40" spans="1:110" s="4" customFormat="1" ht="14.25" thickBot="1" x14ac:dyDescent="0.3">
      <c r="A40" s="3"/>
      <c r="B40" s="119" t="s">
        <v>88</v>
      </c>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1"/>
      <c r="BA40" s="3"/>
      <c r="BB40" s="3"/>
      <c r="BC40" s="3"/>
      <c r="BD40" s="3"/>
      <c r="BE40" s="3"/>
      <c r="BF40" s="3"/>
      <c r="BG40" s="3"/>
      <c r="BH40" s="3"/>
      <c r="BI40" s="3"/>
      <c r="BJ40" s="3"/>
      <c r="BK40" s="3"/>
      <c r="BL40" s="3"/>
      <c r="BM40" s="3"/>
      <c r="BN40" s="3"/>
      <c r="BO40" s="3"/>
      <c r="BP40" s="3"/>
      <c r="BQ40" s="3"/>
      <c r="BR40" s="3"/>
      <c r="BS40" s="3"/>
      <c r="BT40" s="3"/>
      <c r="BU40" s="3"/>
      <c r="BV40" s="3"/>
      <c r="BX40" s="48"/>
      <c r="BY40" s="48"/>
      <c r="BZ40" s="48"/>
      <c r="CA40" s="48"/>
      <c r="CB40" s="48"/>
      <c r="CC40" s="48"/>
      <c r="CD40" s="48"/>
      <c r="CE40" s="48"/>
      <c r="CF40" s="48"/>
      <c r="CG40" s="48"/>
      <c r="CH40" s="48"/>
      <c r="CI40" s="48"/>
      <c r="CJ40" s="48"/>
      <c r="CK40" s="48"/>
      <c r="CL40" s="48"/>
      <c r="CM40" s="48"/>
      <c r="CN40" s="48"/>
      <c r="CO40" s="48"/>
      <c r="CP40" s="48"/>
      <c r="CQ40" s="48"/>
      <c r="CR40" s="48"/>
      <c r="DB40" s="49"/>
      <c r="DC40" s="49"/>
      <c r="DD40" s="49"/>
      <c r="DE40" s="50"/>
      <c r="DF40" s="50"/>
    </row>
    <row r="41" spans="1:110" s="4" customFormat="1" ht="13.5" x14ac:dyDescent="0.25">
      <c r="A41" s="3"/>
      <c r="B41" s="41"/>
      <c r="C41" s="47" t="s">
        <v>135</v>
      </c>
      <c r="D41" s="179"/>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3"/>
      <c r="AU41" s="43" t="s">
        <v>89</v>
      </c>
      <c r="AV41" s="43"/>
      <c r="AW41" s="43"/>
      <c r="AX41" s="43"/>
      <c r="AY41" s="43"/>
      <c r="AZ41" s="114"/>
      <c r="BA41" s="3"/>
      <c r="BB41" s="3"/>
      <c r="BC41" s="3"/>
      <c r="BD41" s="3"/>
      <c r="BE41" s="3"/>
      <c r="BF41" s="3"/>
      <c r="BG41" s="3"/>
      <c r="BH41" s="3"/>
      <c r="BI41" s="3"/>
      <c r="BJ41" s="3"/>
      <c r="BK41" s="3"/>
      <c r="BL41" s="3"/>
      <c r="BM41" s="3"/>
      <c r="BN41" s="3"/>
      <c r="BO41" s="3"/>
      <c r="BP41" s="3"/>
      <c r="BQ41" s="3"/>
      <c r="BR41" s="3"/>
      <c r="BS41" s="3"/>
      <c r="BT41" s="3"/>
      <c r="BU41" s="3"/>
      <c r="BV41" s="3"/>
      <c r="BX41" s="48"/>
      <c r="BY41" s="48"/>
      <c r="BZ41" s="48"/>
      <c r="CA41" s="48"/>
      <c r="CB41" s="48"/>
      <c r="CC41" s="48"/>
      <c r="CD41" s="48"/>
      <c r="CE41" s="48"/>
      <c r="CF41" s="48"/>
      <c r="CG41" s="48"/>
      <c r="CH41" s="48"/>
      <c r="CI41" s="48"/>
      <c r="CJ41" s="48"/>
      <c r="CK41" s="48"/>
      <c r="CL41" s="48"/>
      <c r="CM41" s="48"/>
      <c r="CN41" s="48"/>
      <c r="CO41" s="48"/>
      <c r="CP41" s="48"/>
      <c r="CQ41" s="48"/>
      <c r="CR41" s="48"/>
      <c r="DB41" s="49"/>
      <c r="DC41" s="49"/>
      <c r="DD41" s="49"/>
      <c r="DE41" s="50"/>
      <c r="DF41" s="50"/>
    </row>
    <row r="42" spans="1:110" s="4" customFormat="1" ht="13.5" x14ac:dyDescent="0.25">
      <c r="A42" s="3"/>
      <c r="B42" s="41"/>
      <c r="C42" s="45"/>
      <c r="D42" s="45"/>
      <c r="E42" s="44"/>
      <c r="F42" s="45"/>
      <c r="G42" s="45"/>
      <c r="H42" s="45"/>
      <c r="I42" s="45"/>
      <c r="J42" s="45"/>
      <c r="K42" s="45"/>
      <c r="L42" s="45"/>
      <c r="M42" s="45"/>
      <c r="N42" s="45"/>
      <c r="O42" s="45"/>
      <c r="P42" s="45"/>
      <c r="Q42" s="45"/>
      <c r="R42" s="44"/>
      <c r="S42" s="296"/>
      <c r="T42" s="296"/>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3"/>
      <c r="AU42" s="122" t="s">
        <v>90</v>
      </c>
      <c r="AV42" s="43"/>
      <c r="AW42" s="43"/>
      <c r="AX42" s="43"/>
      <c r="AY42" s="43"/>
      <c r="AZ42" s="114"/>
      <c r="BA42" s="3"/>
      <c r="BB42" s="3"/>
      <c r="BC42" s="3"/>
      <c r="BD42" s="3"/>
      <c r="BE42" s="3"/>
      <c r="BF42" s="3"/>
      <c r="BG42" s="3"/>
      <c r="BH42" s="3"/>
      <c r="BI42" s="3"/>
      <c r="BJ42" s="3"/>
      <c r="BK42" s="3"/>
      <c r="BL42" s="3"/>
      <c r="BM42" s="3"/>
      <c r="BN42" s="3"/>
      <c r="BO42" s="3"/>
      <c r="BP42" s="3"/>
      <c r="BQ42" s="3"/>
      <c r="BR42" s="3"/>
      <c r="BS42" s="3"/>
      <c r="BT42" s="3"/>
      <c r="BU42" s="3"/>
      <c r="BV42" s="3"/>
      <c r="BX42" s="48"/>
      <c r="BY42" s="48"/>
      <c r="BZ42" s="48"/>
      <c r="CA42" s="48"/>
      <c r="CB42" s="48"/>
      <c r="CC42" s="48"/>
      <c r="CD42" s="48"/>
      <c r="CE42" s="48"/>
      <c r="CF42" s="48"/>
      <c r="CG42" s="48"/>
      <c r="CH42" s="48"/>
      <c r="CI42" s="48"/>
      <c r="CJ42" s="48"/>
      <c r="CK42" s="48"/>
      <c r="CL42" s="48"/>
      <c r="CM42" s="48"/>
      <c r="CN42" s="48"/>
      <c r="CO42" s="48"/>
      <c r="CP42" s="48"/>
      <c r="CQ42" s="48"/>
      <c r="CR42" s="48"/>
      <c r="DB42" s="49"/>
      <c r="DC42" s="49"/>
      <c r="DD42" s="49"/>
      <c r="DE42" s="50"/>
      <c r="DF42" s="50"/>
    </row>
    <row r="43" spans="1:110" s="4" customFormat="1" ht="13.5" x14ac:dyDescent="0.25">
      <c r="A43" s="3"/>
      <c r="B43" s="41"/>
      <c r="C43" s="45"/>
      <c r="D43" s="45"/>
      <c r="E43" s="44"/>
      <c r="F43" s="45"/>
      <c r="G43" s="45"/>
      <c r="H43" s="45"/>
      <c r="I43" s="45"/>
      <c r="J43" s="45"/>
      <c r="K43" s="45"/>
      <c r="L43" s="45"/>
      <c r="M43" s="45"/>
      <c r="N43" s="45"/>
      <c r="O43" s="45"/>
      <c r="P43" s="45"/>
      <c r="Q43" s="45"/>
      <c r="R43" s="44"/>
      <c r="S43" s="296"/>
      <c r="T43" s="296"/>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3"/>
      <c r="AU43" s="43"/>
      <c r="AV43" s="43"/>
      <c r="AW43" s="43"/>
      <c r="AX43" s="43" t="s">
        <v>91</v>
      </c>
      <c r="AY43" s="43"/>
      <c r="AZ43" s="114"/>
      <c r="BA43" s="3"/>
      <c r="BB43" s="3"/>
      <c r="BC43" s="3"/>
      <c r="BD43" s="3"/>
      <c r="BE43" s="3"/>
      <c r="BF43" s="3"/>
      <c r="BG43" s="3"/>
      <c r="BH43" s="3"/>
      <c r="BI43" s="3"/>
      <c r="BJ43" s="3"/>
      <c r="BK43" s="3"/>
      <c r="BL43" s="3"/>
      <c r="BM43" s="3"/>
      <c r="BN43" s="3"/>
      <c r="BO43" s="3"/>
      <c r="BP43" s="3"/>
      <c r="BQ43" s="3"/>
      <c r="BR43" s="3"/>
      <c r="BS43" s="3"/>
      <c r="BT43" s="3"/>
      <c r="BU43" s="3"/>
      <c r="BV43" s="3"/>
      <c r="BX43" s="48"/>
      <c r="BY43" s="48"/>
      <c r="BZ43" s="48"/>
      <c r="CA43" s="48"/>
      <c r="CB43" s="48"/>
      <c r="CC43" s="48"/>
      <c r="CD43" s="48"/>
      <c r="CE43" s="48"/>
      <c r="CF43" s="48"/>
      <c r="CG43" s="48"/>
      <c r="CH43" s="48"/>
      <c r="CI43" s="48"/>
      <c r="CJ43" s="48"/>
      <c r="CK43" s="48"/>
      <c r="CL43" s="48"/>
      <c r="CM43" s="48"/>
      <c r="CN43" s="48"/>
      <c r="CO43" s="48"/>
      <c r="CP43" s="48"/>
      <c r="CQ43" s="48"/>
      <c r="CR43" s="48"/>
      <c r="DB43" s="49"/>
      <c r="DC43" s="49"/>
      <c r="DD43" s="49"/>
      <c r="DE43" s="50"/>
      <c r="DF43" s="50"/>
    </row>
    <row r="44" spans="1:110" s="4" customFormat="1" ht="13.5" x14ac:dyDescent="0.25">
      <c r="A44" s="3"/>
      <c r="B44" s="41"/>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43"/>
      <c r="AU44" s="43"/>
      <c r="AV44" s="43"/>
      <c r="AW44" s="124" t="s">
        <v>80</v>
      </c>
      <c r="AX44" s="43" t="s">
        <v>92</v>
      </c>
      <c r="AY44" s="43"/>
      <c r="AZ44" s="114"/>
      <c r="BA44" s="3"/>
      <c r="BB44" s="3"/>
      <c r="BC44" s="3"/>
      <c r="BD44" s="3"/>
      <c r="BE44" s="3"/>
      <c r="BF44" s="3"/>
      <c r="BG44" s="3"/>
      <c r="BH44" s="3"/>
      <c r="BI44" s="3"/>
      <c r="BJ44" s="3"/>
      <c r="BK44" s="3"/>
      <c r="BL44" s="3"/>
      <c r="BM44" s="3"/>
      <c r="BN44" s="3"/>
      <c r="BO44" s="3"/>
      <c r="BP44" s="3"/>
      <c r="BQ44" s="3"/>
      <c r="BR44" s="3"/>
      <c r="BS44" s="3"/>
      <c r="BT44" s="3"/>
      <c r="BU44" s="3"/>
      <c r="BV44" s="3"/>
      <c r="BX44" s="48"/>
      <c r="BY44" s="48"/>
      <c r="BZ44" s="48"/>
      <c r="CA44" s="48"/>
      <c r="CB44" s="48"/>
      <c r="CC44" s="48"/>
      <c r="CD44" s="48"/>
      <c r="CE44" s="48"/>
      <c r="CF44" s="48"/>
      <c r="CG44" s="48"/>
      <c r="CH44" s="48"/>
      <c r="CI44" s="48"/>
      <c r="CJ44" s="48"/>
      <c r="CK44" s="48"/>
      <c r="CL44" s="48"/>
      <c r="CM44" s="48"/>
      <c r="CN44" s="48"/>
      <c r="CO44" s="48"/>
      <c r="CP44" s="48"/>
      <c r="CQ44" s="48"/>
      <c r="CR44" s="48"/>
      <c r="DB44" s="49"/>
      <c r="DC44" s="49"/>
      <c r="DD44" s="49"/>
      <c r="DE44" s="50"/>
      <c r="DF44" s="50"/>
    </row>
    <row r="45" spans="1:110" s="4" customFormat="1" ht="3.75" customHeight="1" thickBot="1" x14ac:dyDescent="0.3">
      <c r="A45" s="3"/>
      <c r="B45" s="41"/>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3"/>
      <c r="AU45" s="43"/>
      <c r="AV45" s="43"/>
      <c r="AW45" s="43"/>
      <c r="AX45" s="43"/>
      <c r="AY45" s="43"/>
      <c r="AZ45" s="114"/>
      <c r="BA45" s="3"/>
      <c r="BB45" s="3"/>
      <c r="BC45" s="3"/>
      <c r="BD45" s="3"/>
      <c r="BE45" s="3"/>
      <c r="BF45" s="3"/>
      <c r="BG45" s="3"/>
      <c r="BH45" s="3"/>
      <c r="BI45" s="3"/>
      <c r="BJ45" s="3"/>
      <c r="BK45" s="3"/>
      <c r="BL45" s="3"/>
      <c r="BM45" s="3"/>
      <c r="BN45" s="3"/>
      <c r="BO45" s="3"/>
      <c r="BP45" s="3"/>
      <c r="BQ45" s="3"/>
      <c r="BR45" s="3"/>
      <c r="BS45" s="3"/>
      <c r="BT45" s="3"/>
      <c r="BU45" s="3"/>
      <c r="BV45" s="3"/>
      <c r="BX45" s="48"/>
      <c r="BY45" s="48"/>
      <c r="BZ45" s="48"/>
      <c r="CA45" s="48"/>
      <c r="CB45" s="48"/>
      <c r="CC45" s="48"/>
      <c r="CD45" s="48"/>
      <c r="CE45" s="48"/>
      <c r="CF45" s="48"/>
      <c r="CG45" s="48"/>
      <c r="CH45" s="48"/>
      <c r="CI45" s="48"/>
      <c r="CJ45" s="48"/>
      <c r="CK45" s="48"/>
      <c r="CL45" s="48"/>
      <c r="CM45" s="48"/>
      <c r="CN45" s="48"/>
      <c r="CO45" s="48"/>
      <c r="CP45" s="48"/>
      <c r="CQ45" s="48"/>
      <c r="CR45" s="48"/>
      <c r="DB45" s="49"/>
      <c r="DC45" s="49"/>
      <c r="DD45" s="49"/>
      <c r="DE45" s="50"/>
      <c r="DF45" s="50"/>
    </row>
    <row r="46" spans="1:110" s="4" customFormat="1" ht="14.25" thickBot="1" x14ac:dyDescent="0.3">
      <c r="A46" s="3"/>
      <c r="B46" s="293" t="s">
        <v>93</v>
      </c>
      <c r="C46" s="294"/>
      <c r="D46" s="294"/>
      <c r="E46" s="294"/>
      <c r="F46" s="294"/>
      <c r="G46" s="294"/>
      <c r="H46" s="294"/>
      <c r="I46" s="294"/>
      <c r="J46" s="294"/>
      <c r="K46" s="294"/>
      <c r="L46" s="294"/>
      <c r="M46" s="294"/>
      <c r="N46" s="294"/>
      <c r="O46" s="294"/>
      <c r="P46" s="294"/>
      <c r="Q46" s="294"/>
      <c r="R46" s="294"/>
      <c r="S46" s="294"/>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4"/>
      <c r="AX46" s="294"/>
      <c r="AY46" s="294"/>
      <c r="AZ46" s="295"/>
      <c r="BA46" s="3"/>
      <c r="BB46" s="3"/>
      <c r="BC46" s="3"/>
      <c r="BD46" s="3"/>
      <c r="BE46" s="3"/>
      <c r="BF46" s="3"/>
      <c r="BG46" s="3"/>
      <c r="BH46" s="3"/>
      <c r="BI46" s="3"/>
      <c r="BJ46" s="3"/>
      <c r="BK46" s="3"/>
      <c r="BL46" s="3"/>
      <c r="BM46" s="3"/>
      <c r="BN46" s="3"/>
      <c r="BO46" s="3"/>
      <c r="BP46" s="3"/>
      <c r="BQ46" s="3"/>
      <c r="BR46" s="3"/>
      <c r="BS46" s="3"/>
      <c r="BT46" s="3"/>
      <c r="BU46" s="3"/>
      <c r="BV46" s="3"/>
      <c r="BX46" s="48"/>
      <c r="BY46" s="48"/>
      <c r="BZ46" s="48"/>
      <c r="CA46" s="48"/>
      <c r="CB46" s="48"/>
      <c r="CC46" s="48"/>
      <c r="CD46" s="48"/>
      <c r="CE46" s="48"/>
      <c r="CF46" s="48"/>
      <c r="CG46" s="48"/>
      <c r="CH46" s="48"/>
      <c r="CI46" s="48"/>
      <c r="CJ46" s="48"/>
      <c r="CK46" s="48"/>
      <c r="CL46" s="48"/>
      <c r="CM46" s="48"/>
      <c r="CN46" s="48"/>
      <c r="CO46" s="48"/>
      <c r="CP46" s="48"/>
      <c r="CQ46" s="48"/>
      <c r="CR46" s="48"/>
      <c r="DB46" s="49"/>
      <c r="DC46" s="49"/>
      <c r="DD46" s="49"/>
      <c r="DE46" s="50"/>
      <c r="DF46" s="50"/>
    </row>
    <row r="47" spans="1:110" s="4" customFormat="1" ht="13.5" x14ac:dyDescent="0.25">
      <c r="A47" s="3"/>
      <c r="B47" s="125"/>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7"/>
      <c r="BA47" s="3"/>
      <c r="BB47" s="3"/>
      <c r="BC47" s="3"/>
      <c r="BD47" s="3"/>
      <c r="BE47" s="3"/>
      <c r="BF47" s="3"/>
      <c r="BG47" s="3"/>
      <c r="BH47" s="3"/>
      <c r="BI47" s="3"/>
      <c r="BJ47" s="3"/>
      <c r="BK47" s="3"/>
      <c r="BL47" s="3"/>
      <c r="BM47" s="3"/>
      <c r="BN47" s="3"/>
      <c r="BO47" s="3"/>
      <c r="BP47" s="3"/>
      <c r="BQ47" s="3"/>
      <c r="BR47" s="3"/>
      <c r="BS47" s="3"/>
      <c r="BT47" s="3"/>
      <c r="BU47" s="3"/>
      <c r="BV47" s="3"/>
      <c r="BX47" s="48"/>
      <c r="BY47" s="48"/>
      <c r="BZ47" s="48"/>
      <c r="CA47" s="48"/>
      <c r="CB47" s="48"/>
      <c r="CC47" s="48"/>
      <c r="CD47" s="48"/>
      <c r="CE47" s="48"/>
      <c r="CF47" s="48"/>
      <c r="CG47" s="48"/>
      <c r="CH47" s="48"/>
      <c r="CI47" s="48"/>
      <c r="CJ47" s="48"/>
      <c r="CK47" s="48"/>
      <c r="CL47" s="48"/>
      <c r="CM47" s="48"/>
      <c r="CN47" s="48"/>
      <c r="CO47" s="48"/>
      <c r="CP47" s="48"/>
      <c r="CQ47" s="48"/>
      <c r="CR47" s="48"/>
      <c r="DB47" s="49"/>
      <c r="DC47" s="49"/>
      <c r="DD47" s="49"/>
      <c r="DE47" s="50"/>
      <c r="DF47" s="50"/>
    </row>
    <row r="48" spans="1:110" s="4" customFormat="1" ht="14.25" thickBot="1" x14ac:dyDescent="0.3">
      <c r="A48" s="3"/>
      <c r="B48" s="125"/>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7"/>
      <c r="BA48" s="3"/>
      <c r="BB48" s="3"/>
      <c r="BC48" s="3"/>
      <c r="BD48" s="3"/>
      <c r="BE48" s="3"/>
      <c r="BF48" s="3"/>
      <c r="BG48" s="3"/>
      <c r="BH48" s="3"/>
      <c r="BI48" s="3"/>
      <c r="BJ48" s="3"/>
      <c r="BK48" s="3"/>
      <c r="BL48" s="3"/>
      <c r="BM48" s="3"/>
      <c r="BN48" s="3"/>
      <c r="BO48" s="3"/>
      <c r="BP48" s="3"/>
      <c r="BQ48" s="3"/>
      <c r="BR48" s="3"/>
      <c r="BS48" s="3"/>
      <c r="BT48" s="3"/>
      <c r="BU48" s="3"/>
      <c r="BV48" s="3"/>
      <c r="BX48" s="48"/>
      <c r="BY48" s="48"/>
      <c r="BZ48" s="48"/>
      <c r="CA48" s="48"/>
      <c r="CB48" s="48"/>
      <c r="CC48" s="48"/>
      <c r="CD48" s="48"/>
      <c r="CE48" s="48"/>
      <c r="CF48" s="48"/>
      <c r="CG48" s="48"/>
      <c r="CH48" s="48"/>
      <c r="CI48" s="48"/>
      <c r="CJ48" s="48"/>
      <c r="CK48" s="48"/>
      <c r="CL48" s="48"/>
      <c r="CM48" s="48"/>
      <c r="CN48" s="48"/>
      <c r="CO48" s="48"/>
      <c r="CP48" s="48"/>
      <c r="CQ48" s="48"/>
      <c r="CR48" s="48"/>
      <c r="DB48" s="49"/>
      <c r="DC48" s="49"/>
      <c r="DD48" s="49"/>
      <c r="DE48" s="50"/>
      <c r="DF48" s="50"/>
    </row>
    <row r="49" spans="1:110" s="4" customFormat="1" ht="15" customHeight="1" thickBot="1" x14ac:dyDescent="0.3">
      <c r="A49" s="3"/>
      <c r="B49" s="125"/>
      <c r="C49" s="126"/>
      <c r="D49" s="118"/>
      <c r="E49" s="126"/>
      <c r="F49" s="128" t="s">
        <v>110</v>
      </c>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7"/>
      <c r="BA49" s="3"/>
      <c r="BB49" s="3"/>
      <c r="BC49" s="3"/>
      <c r="BD49" s="3"/>
      <c r="BE49" s="3"/>
      <c r="BF49" s="3"/>
      <c r="BG49" s="3"/>
      <c r="BH49" s="3"/>
      <c r="BI49" s="3"/>
      <c r="BJ49" s="3"/>
      <c r="BK49" s="3"/>
      <c r="BL49" s="3"/>
      <c r="BM49" s="3"/>
      <c r="BN49" s="3"/>
      <c r="BO49" s="3"/>
      <c r="BP49" s="3"/>
      <c r="BQ49" s="3"/>
      <c r="BR49" s="3"/>
      <c r="BS49" s="3"/>
      <c r="BT49" s="3"/>
      <c r="BU49" s="3"/>
      <c r="BV49" s="3"/>
      <c r="BX49" s="218" t="s">
        <v>51</v>
      </c>
      <c r="BY49" s="219"/>
      <c r="BZ49" s="219"/>
      <c r="CA49" s="219"/>
      <c r="CB49" s="220"/>
      <c r="CC49" s="11"/>
      <c r="CD49" s="218" t="s">
        <v>51</v>
      </c>
      <c r="CE49" s="219"/>
      <c r="CF49" s="219"/>
      <c r="CG49" s="219"/>
      <c r="CH49" s="220"/>
      <c r="CI49" s="11"/>
      <c r="CJ49" s="218" t="s">
        <v>153</v>
      </c>
      <c r="CK49" s="219"/>
      <c r="CL49" s="219"/>
      <c r="CM49" s="219"/>
      <c r="CN49" s="220"/>
      <c r="CO49" s="11"/>
      <c r="CP49" s="218" t="s">
        <v>153</v>
      </c>
      <c r="CQ49" s="219"/>
      <c r="CR49" s="219"/>
      <c r="CS49" s="219"/>
      <c r="CT49" s="220"/>
      <c r="CU49" s="5"/>
      <c r="CV49" s="218" t="s">
        <v>39</v>
      </c>
      <c r="CW49" s="219"/>
      <c r="CX49" s="219"/>
      <c r="CY49" s="219"/>
      <c r="CZ49" s="220"/>
      <c r="DA49" s="11"/>
      <c r="DB49" s="231" t="s">
        <v>152</v>
      </c>
      <c r="DC49" s="232"/>
      <c r="DD49" s="49"/>
      <c r="DE49" s="225" t="s">
        <v>143</v>
      </c>
      <c r="DF49" s="226"/>
    </row>
    <row r="50" spans="1:110" s="4" customFormat="1" ht="13.5" customHeight="1" x14ac:dyDescent="0.25">
      <c r="A50" s="3"/>
      <c r="B50" s="125"/>
      <c r="C50" s="126"/>
      <c r="D50" s="118"/>
      <c r="E50" s="118"/>
      <c r="F50" s="261" t="s">
        <v>53</v>
      </c>
      <c r="G50" s="261"/>
      <c r="H50" s="261"/>
      <c r="I50" s="261"/>
      <c r="J50" s="261"/>
      <c r="K50" s="261"/>
      <c r="L50" s="261" t="s">
        <v>61</v>
      </c>
      <c r="M50" s="261"/>
      <c r="N50" s="261"/>
      <c r="O50" s="261"/>
      <c r="P50" s="261"/>
      <c r="Q50" s="261"/>
      <c r="R50" s="261"/>
      <c r="S50" s="261" t="s">
        <v>106</v>
      </c>
      <c r="T50" s="261"/>
      <c r="U50" s="261"/>
      <c r="V50" s="261"/>
      <c r="W50" s="261"/>
      <c r="X50" s="261" t="s">
        <v>95</v>
      </c>
      <c r="Y50" s="261"/>
      <c r="Z50" s="261"/>
      <c r="AA50" s="261"/>
      <c r="AB50" s="261"/>
      <c r="AC50" s="261"/>
      <c r="AD50" s="261"/>
      <c r="AE50" s="261"/>
      <c r="AF50" s="261"/>
      <c r="AG50" s="261"/>
      <c r="AH50" s="261"/>
      <c r="AI50" s="261"/>
      <c r="AJ50" s="261"/>
      <c r="AK50" s="261"/>
      <c r="AL50" s="261"/>
      <c r="AM50" s="261" t="s">
        <v>107</v>
      </c>
      <c r="AN50" s="261"/>
      <c r="AO50" s="261"/>
      <c r="AP50" s="261"/>
      <c r="AQ50" s="261"/>
      <c r="AR50" s="261" t="s">
        <v>63</v>
      </c>
      <c r="AS50" s="261"/>
      <c r="AT50" s="261"/>
      <c r="AU50" s="261"/>
      <c r="AV50" s="261"/>
      <c r="AW50" s="126"/>
      <c r="AX50" s="126"/>
      <c r="AY50" s="126"/>
      <c r="AZ50" s="127"/>
      <c r="BA50" s="3"/>
      <c r="BB50" s="261" t="s">
        <v>129</v>
      </c>
      <c r="BC50" s="261"/>
      <c r="BD50" s="261"/>
      <c r="BE50" s="261"/>
      <c r="BF50" s="261"/>
      <c r="BG50" s="261" t="s">
        <v>99</v>
      </c>
      <c r="BH50" s="261"/>
      <c r="BI50" s="261"/>
      <c r="BJ50" s="261"/>
      <c r="BK50" s="261"/>
      <c r="BL50" s="261" t="s">
        <v>100</v>
      </c>
      <c r="BM50" s="261"/>
      <c r="BN50" s="261"/>
      <c r="BO50" s="261"/>
      <c r="BP50" s="261"/>
      <c r="BQ50" s="261" t="s">
        <v>98</v>
      </c>
      <c r="BR50" s="261"/>
      <c r="BS50" s="261"/>
      <c r="BT50" s="261"/>
      <c r="BU50" s="261"/>
      <c r="BV50" s="3"/>
      <c r="BX50" s="243" t="s">
        <v>27</v>
      </c>
      <c r="BY50" s="221" t="s">
        <v>151</v>
      </c>
      <c r="BZ50" s="222"/>
      <c r="CA50" s="263" t="s">
        <v>28</v>
      </c>
      <c r="CB50" s="265" t="s">
        <v>37</v>
      </c>
      <c r="CC50" s="12"/>
      <c r="CD50" s="243" t="s">
        <v>27</v>
      </c>
      <c r="CE50" s="221" t="s">
        <v>151</v>
      </c>
      <c r="CF50" s="222"/>
      <c r="CG50" s="263" t="s">
        <v>28</v>
      </c>
      <c r="CH50" s="265" t="s">
        <v>37</v>
      </c>
      <c r="CI50" s="12"/>
      <c r="CJ50" s="243" t="s">
        <v>27</v>
      </c>
      <c r="CK50" s="221" t="s">
        <v>151</v>
      </c>
      <c r="CL50" s="222"/>
      <c r="CM50" s="263" t="s">
        <v>28</v>
      </c>
      <c r="CN50" s="265" t="s">
        <v>37</v>
      </c>
      <c r="CO50" s="12"/>
      <c r="CP50" s="243" t="s">
        <v>27</v>
      </c>
      <c r="CQ50" s="221" t="s">
        <v>151</v>
      </c>
      <c r="CR50" s="222"/>
      <c r="CS50" s="263" t="s">
        <v>28</v>
      </c>
      <c r="CT50" s="265" t="s">
        <v>37</v>
      </c>
      <c r="CU50" s="6"/>
      <c r="CV50" s="172" t="s">
        <v>29</v>
      </c>
      <c r="CW50" s="81" t="s">
        <v>30</v>
      </c>
      <c r="CX50" s="174" t="s">
        <v>40</v>
      </c>
      <c r="CY50" s="243" t="s">
        <v>31</v>
      </c>
      <c r="CZ50" s="267"/>
      <c r="DA50" s="12"/>
      <c r="DB50" s="233"/>
      <c r="DC50" s="234"/>
      <c r="DD50" s="129"/>
      <c r="DE50" s="227"/>
      <c r="DF50" s="228"/>
    </row>
    <row r="51" spans="1:110" s="4" customFormat="1" ht="14.25" thickBot="1" x14ac:dyDescent="0.3">
      <c r="A51" s="3"/>
      <c r="B51" s="125"/>
      <c r="C51" s="126"/>
      <c r="D51" s="118"/>
      <c r="E51" s="118"/>
      <c r="F51" s="261"/>
      <c r="G51" s="261"/>
      <c r="H51" s="261"/>
      <c r="I51" s="261"/>
      <c r="J51" s="261"/>
      <c r="K51" s="261"/>
      <c r="L51" s="261"/>
      <c r="M51" s="261"/>
      <c r="N51" s="261"/>
      <c r="O51" s="261"/>
      <c r="P51" s="261"/>
      <c r="Q51" s="261"/>
      <c r="R51" s="261"/>
      <c r="S51" s="261"/>
      <c r="T51" s="261"/>
      <c r="U51" s="261"/>
      <c r="V51" s="261"/>
      <c r="W51" s="261"/>
      <c r="X51" s="261">
        <v>1</v>
      </c>
      <c r="Y51" s="261"/>
      <c r="Z51" s="261"/>
      <c r="AA51" s="261"/>
      <c r="AB51" s="261"/>
      <c r="AC51" s="261">
        <v>2</v>
      </c>
      <c r="AD51" s="261"/>
      <c r="AE51" s="261"/>
      <c r="AF51" s="261"/>
      <c r="AG51" s="261"/>
      <c r="AH51" s="261">
        <v>3</v>
      </c>
      <c r="AI51" s="261"/>
      <c r="AJ51" s="261"/>
      <c r="AK51" s="261"/>
      <c r="AL51" s="261"/>
      <c r="AM51" s="261"/>
      <c r="AN51" s="261"/>
      <c r="AO51" s="261"/>
      <c r="AP51" s="261"/>
      <c r="AQ51" s="261"/>
      <c r="AR51" s="261"/>
      <c r="AS51" s="261"/>
      <c r="AT51" s="261"/>
      <c r="AU51" s="261"/>
      <c r="AV51" s="261"/>
      <c r="AW51" s="126"/>
      <c r="AX51" s="126"/>
      <c r="AY51" s="126"/>
      <c r="AZ51" s="127"/>
      <c r="BA51" s="3"/>
      <c r="BB51" s="261"/>
      <c r="BC51" s="261"/>
      <c r="BD51" s="261"/>
      <c r="BE51" s="261"/>
      <c r="BF51" s="261"/>
      <c r="BG51" s="261"/>
      <c r="BH51" s="261"/>
      <c r="BI51" s="261"/>
      <c r="BJ51" s="261"/>
      <c r="BK51" s="261"/>
      <c r="BL51" s="261"/>
      <c r="BM51" s="261"/>
      <c r="BN51" s="261"/>
      <c r="BO51" s="261"/>
      <c r="BP51" s="261"/>
      <c r="BQ51" s="261"/>
      <c r="BR51" s="261"/>
      <c r="BS51" s="261"/>
      <c r="BT51" s="261"/>
      <c r="BU51" s="261"/>
      <c r="BV51" s="3"/>
      <c r="BX51" s="244"/>
      <c r="BY51" s="223"/>
      <c r="BZ51" s="224"/>
      <c r="CA51" s="264"/>
      <c r="CB51" s="266"/>
      <c r="CC51" s="12"/>
      <c r="CD51" s="244"/>
      <c r="CE51" s="223"/>
      <c r="CF51" s="224"/>
      <c r="CG51" s="264"/>
      <c r="CH51" s="266"/>
      <c r="CI51" s="12"/>
      <c r="CJ51" s="244"/>
      <c r="CK51" s="223"/>
      <c r="CL51" s="224"/>
      <c r="CM51" s="264"/>
      <c r="CN51" s="266"/>
      <c r="CO51" s="12"/>
      <c r="CP51" s="244"/>
      <c r="CQ51" s="223"/>
      <c r="CR51" s="224"/>
      <c r="CS51" s="264"/>
      <c r="CT51" s="266"/>
      <c r="CU51" s="6"/>
      <c r="CV51" s="173" t="s">
        <v>32</v>
      </c>
      <c r="CW51" s="82" t="s">
        <v>33</v>
      </c>
      <c r="CX51" s="175" t="s">
        <v>34</v>
      </c>
      <c r="CY51" s="244" t="s">
        <v>35</v>
      </c>
      <c r="CZ51" s="262"/>
      <c r="DA51" s="12"/>
      <c r="DB51" s="233"/>
      <c r="DC51" s="234"/>
      <c r="DD51" s="129"/>
      <c r="DE51" s="229"/>
      <c r="DF51" s="230"/>
    </row>
    <row r="52" spans="1:110" s="4" customFormat="1" ht="13.5" x14ac:dyDescent="0.25">
      <c r="A52" s="3"/>
      <c r="B52" s="125"/>
      <c r="C52" s="126"/>
      <c r="D52" s="126"/>
      <c r="E52" s="126"/>
      <c r="F52" s="247" t="s">
        <v>111</v>
      </c>
      <c r="G52" s="247"/>
      <c r="H52" s="247"/>
      <c r="I52" s="247"/>
      <c r="J52" s="247"/>
      <c r="K52" s="247"/>
      <c r="L52" s="248">
        <v>0</v>
      </c>
      <c r="M52" s="249"/>
      <c r="N52" s="249"/>
      <c r="O52" s="249"/>
      <c r="P52" s="250" t="s">
        <v>57</v>
      </c>
      <c r="Q52" s="250"/>
      <c r="R52" s="251"/>
      <c r="S52" s="257" t="s">
        <v>119</v>
      </c>
      <c r="T52" s="257"/>
      <c r="U52" s="257"/>
      <c r="V52" s="257"/>
      <c r="W52" s="257"/>
      <c r="X52" s="245"/>
      <c r="Y52" s="245"/>
      <c r="Z52" s="245"/>
      <c r="AA52" s="245"/>
      <c r="AB52" s="245"/>
      <c r="AC52" s="245"/>
      <c r="AD52" s="245"/>
      <c r="AE52" s="245"/>
      <c r="AF52" s="245"/>
      <c r="AG52" s="245"/>
      <c r="AH52" s="245"/>
      <c r="AI52" s="245"/>
      <c r="AJ52" s="245"/>
      <c r="AK52" s="245"/>
      <c r="AL52" s="245"/>
      <c r="AM52" s="245" t="e">
        <f>ROUND(AVERAGE(X52:AL52),1)</f>
        <v>#DIV/0!</v>
      </c>
      <c r="AN52" s="257"/>
      <c r="AO52" s="257"/>
      <c r="AP52" s="257"/>
      <c r="AQ52" s="257"/>
      <c r="AR52" s="245" t="e">
        <f>AM52-L52</f>
        <v>#DIV/0!</v>
      </c>
      <c r="AS52" s="257"/>
      <c r="AT52" s="257"/>
      <c r="AU52" s="257"/>
      <c r="AV52" s="257"/>
      <c r="AW52" s="126"/>
      <c r="AX52" s="126"/>
      <c r="AY52" s="126"/>
      <c r="AZ52" s="127"/>
      <c r="BA52" s="3"/>
      <c r="BB52" s="245">
        <f>ROUND((BG52-L52),1)</f>
        <v>0.2</v>
      </c>
      <c r="BC52" s="245"/>
      <c r="BD52" s="245"/>
      <c r="BE52" s="245"/>
      <c r="BF52" s="245"/>
      <c r="BG52" s="245">
        <v>0.2</v>
      </c>
      <c r="BH52" s="245"/>
      <c r="BI52" s="245"/>
      <c r="BJ52" s="245"/>
      <c r="BK52" s="245"/>
      <c r="BL52" s="245">
        <v>0</v>
      </c>
      <c r="BM52" s="245"/>
      <c r="BN52" s="245"/>
      <c r="BO52" s="245"/>
      <c r="BP52" s="245"/>
      <c r="BQ52" s="246" t="e">
        <f t="shared" ref="BQ52:BQ59" si="0">IF(AND(AM52&lt;=BG52,AM52&gt;=BL52),"PASS","FAIL")</f>
        <v>#DIV/0!</v>
      </c>
      <c r="BR52" s="246"/>
      <c r="BS52" s="246"/>
      <c r="BT52" s="246"/>
      <c r="BU52" s="246"/>
      <c r="BV52" s="3"/>
      <c r="BX52" s="54" t="s">
        <v>36</v>
      </c>
      <c r="BY52" s="186">
        <v>7.7000000000000001E-5</v>
      </c>
      <c r="BZ52" s="55" t="str">
        <f t="shared" ref="BZ52:BZ59" si="1">P52</f>
        <v>Ω</v>
      </c>
      <c r="CA52" s="131">
        <v>2</v>
      </c>
      <c r="CB52" s="59">
        <f t="shared" ref="CB52:CB58" si="2">BY52/CA52</f>
        <v>3.8500000000000001E-5</v>
      </c>
      <c r="CC52" s="13"/>
      <c r="CD52" s="54" t="s">
        <v>150</v>
      </c>
      <c r="CE52" s="132">
        <v>0</v>
      </c>
      <c r="CF52" s="55" t="str">
        <f>BZ52</f>
        <v>Ω</v>
      </c>
      <c r="CG52" s="56">
        <f t="shared" ref="CG52:CG59" si="3">SQRT(3)</f>
        <v>1.7320508075688772</v>
      </c>
      <c r="CH52" s="59">
        <f t="shared" ref="CH52:CH59" si="4">CE52/CG52</f>
        <v>0</v>
      </c>
      <c r="CI52" s="13"/>
      <c r="CJ52" s="51" t="s">
        <v>59</v>
      </c>
      <c r="CK52" s="133">
        <v>0.1</v>
      </c>
      <c r="CL52" s="7" t="str">
        <f t="shared" ref="CL52:CL59" si="5">P52</f>
        <v>Ω</v>
      </c>
      <c r="CM52" s="57">
        <f>SQRT(12)</f>
        <v>3.4641016151377544</v>
      </c>
      <c r="CN52" s="62">
        <f t="shared" ref="CN52:CN58" si="6">CK52/CM52</f>
        <v>2.8867513459481291E-2</v>
      </c>
      <c r="CO52" s="13"/>
      <c r="CP52" s="63" t="s">
        <v>38</v>
      </c>
      <c r="CQ52" s="64" t="e">
        <f>_xlfn.STDEV.P(X52:AL52)</f>
        <v>#DIV/0!</v>
      </c>
      <c r="CR52" s="65" t="str">
        <f t="shared" ref="CR52:CR59" si="7">P52</f>
        <v>Ω</v>
      </c>
      <c r="CS52" s="67">
        <f>SQRT(3)</f>
        <v>1.7320508075688772</v>
      </c>
      <c r="CT52" s="68" t="e">
        <f t="shared" ref="CT52:CT58" si="8">CQ52/CS52</f>
        <v>#DIV/0!</v>
      </c>
      <c r="CU52" s="9"/>
      <c r="CV52" s="78" t="e">
        <f>SQRT(SUMSQ(CT52,CN52,CH52,CB52))</f>
        <v>#DIV/0!</v>
      </c>
      <c r="CW52" s="79" t="e">
        <f>(CV52^4)/(((CT52^4)/2)+((CN52^4)/200)+((CH52^4)/200)+((CB52^4)/200))</f>
        <v>#DIV/0!</v>
      </c>
      <c r="CX52" s="83" t="e">
        <f t="shared" ref="CX52:CX58" si="9">ROUND(TINV(0.05,CW52),0)</f>
        <v>#DIV/0!</v>
      </c>
      <c r="CY52" s="92" t="e">
        <f>ROUND((CV52*CX52),3)</f>
        <v>#DIV/0!</v>
      </c>
      <c r="CZ52" s="80" t="str">
        <f t="shared" ref="CZ52:CZ59" si="10">P52</f>
        <v>Ω</v>
      </c>
      <c r="DA52" s="21"/>
      <c r="DB52" s="134">
        <v>7.7999999999999996E-3</v>
      </c>
      <c r="DC52" s="135" t="str">
        <f>CZ52</f>
        <v>Ω</v>
      </c>
      <c r="DD52" s="136"/>
      <c r="DE52" s="137" t="e">
        <f>MAX(CY52:DB52)</f>
        <v>#DIV/0!</v>
      </c>
      <c r="DF52" s="138" t="str">
        <f>CZ52</f>
        <v>Ω</v>
      </c>
    </row>
    <row r="53" spans="1:110" s="4" customFormat="1" ht="13.5" x14ac:dyDescent="0.25">
      <c r="A53" s="3"/>
      <c r="B53" s="125"/>
      <c r="C53" s="126"/>
      <c r="D53" s="126"/>
      <c r="E53" s="126"/>
      <c r="F53" s="247" t="s">
        <v>111</v>
      </c>
      <c r="G53" s="247"/>
      <c r="H53" s="247"/>
      <c r="I53" s="247"/>
      <c r="J53" s="247"/>
      <c r="K53" s="247"/>
      <c r="L53" s="248">
        <v>500</v>
      </c>
      <c r="M53" s="249"/>
      <c r="N53" s="249"/>
      <c r="O53" s="249"/>
      <c r="P53" s="250" t="s">
        <v>57</v>
      </c>
      <c r="Q53" s="250"/>
      <c r="R53" s="251"/>
      <c r="S53" s="257" t="s">
        <v>119</v>
      </c>
      <c r="T53" s="257"/>
      <c r="U53" s="257"/>
      <c r="V53" s="257"/>
      <c r="W53" s="257"/>
      <c r="X53" s="245"/>
      <c r="Y53" s="245"/>
      <c r="Z53" s="245"/>
      <c r="AA53" s="245"/>
      <c r="AB53" s="245"/>
      <c r="AC53" s="245"/>
      <c r="AD53" s="245"/>
      <c r="AE53" s="245"/>
      <c r="AF53" s="245"/>
      <c r="AG53" s="245"/>
      <c r="AH53" s="245"/>
      <c r="AI53" s="245"/>
      <c r="AJ53" s="245"/>
      <c r="AK53" s="245"/>
      <c r="AL53" s="245"/>
      <c r="AM53" s="245" t="e">
        <f>ROUND(AVERAGE(X53:AL53),1)</f>
        <v>#DIV/0!</v>
      </c>
      <c r="AN53" s="257"/>
      <c r="AO53" s="257"/>
      <c r="AP53" s="257"/>
      <c r="AQ53" s="257"/>
      <c r="AR53" s="245" t="e">
        <f t="shared" ref="AR53:AR58" si="11">AM53-L53</f>
        <v>#DIV/0!</v>
      </c>
      <c r="AS53" s="257"/>
      <c r="AT53" s="257"/>
      <c r="AU53" s="257"/>
      <c r="AV53" s="257"/>
      <c r="AW53" s="126"/>
      <c r="AX53" s="126"/>
      <c r="AY53" s="126"/>
      <c r="AZ53" s="127"/>
      <c r="BA53" s="3"/>
      <c r="BB53" s="245">
        <f>ROUND((BG53-L53),1)</f>
        <v>4.7</v>
      </c>
      <c r="BC53" s="245"/>
      <c r="BD53" s="245"/>
      <c r="BE53" s="245"/>
      <c r="BF53" s="245"/>
      <c r="BG53" s="245">
        <v>504.7</v>
      </c>
      <c r="BH53" s="245"/>
      <c r="BI53" s="245"/>
      <c r="BJ53" s="245"/>
      <c r="BK53" s="245"/>
      <c r="BL53" s="253">
        <v>495.3</v>
      </c>
      <c r="BM53" s="254"/>
      <c r="BN53" s="254"/>
      <c r="BO53" s="254"/>
      <c r="BP53" s="255"/>
      <c r="BQ53" s="246" t="e">
        <f t="shared" si="0"/>
        <v>#DIV/0!</v>
      </c>
      <c r="BR53" s="246"/>
      <c r="BS53" s="246"/>
      <c r="BT53" s="246"/>
      <c r="BU53" s="246"/>
      <c r="BV53" s="3"/>
      <c r="BX53" s="51" t="s">
        <v>36</v>
      </c>
      <c r="BY53" s="143">
        <v>3.0000000000000001E-3</v>
      </c>
      <c r="BZ53" s="7" t="str">
        <f t="shared" si="1"/>
        <v>Ω</v>
      </c>
      <c r="CA53" s="140">
        <v>2</v>
      </c>
      <c r="CB53" s="60">
        <f t="shared" si="2"/>
        <v>1.5E-3</v>
      </c>
      <c r="CC53" s="13"/>
      <c r="CD53" s="51" t="s">
        <v>150</v>
      </c>
      <c r="CE53" s="139">
        <v>0</v>
      </c>
      <c r="CF53" s="7" t="str">
        <f t="shared" ref="CF53:CF59" si="12">BZ53</f>
        <v>Ω</v>
      </c>
      <c r="CG53" s="57">
        <f t="shared" si="3"/>
        <v>1.7320508075688772</v>
      </c>
      <c r="CH53" s="60">
        <f t="shared" si="4"/>
        <v>0</v>
      </c>
      <c r="CI53" s="13"/>
      <c r="CJ53" s="51" t="s">
        <v>59</v>
      </c>
      <c r="CK53" s="133">
        <v>0.1</v>
      </c>
      <c r="CL53" s="7" t="str">
        <f t="shared" si="5"/>
        <v>Ω</v>
      </c>
      <c r="CM53" s="57">
        <f t="shared" ref="CM53:CM59" si="13">SQRT(12)</f>
        <v>3.4641016151377544</v>
      </c>
      <c r="CN53" s="60">
        <f t="shared" si="6"/>
        <v>2.8867513459481291E-2</v>
      </c>
      <c r="CO53" s="13"/>
      <c r="CP53" s="51" t="s">
        <v>38</v>
      </c>
      <c r="CQ53" s="8" t="e">
        <f t="shared" ref="CQ53:CQ59" si="14">_xlfn.STDEV.P(X53:AL53)</f>
        <v>#DIV/0!</v>
      </c>
      <c r="CR53" s="7" t="str">
        <f t="shared" si="7"/>
        <v>Ω</v>
      </c>
      <c r="CS53" s="57">
        <f t="shared" ref="CS53:CS59" si="15">SQRT(3)</f>
        <v>1.7320508075688772</v>
      </c>
      <c r="CT53" s="69" t="e">
        <f t="shared" si="8"/>
        <v>#DIV/0!</v>
      </c>
      <c r="CU53" s="9"/>
      <c r="CV53" s="73" t="e">
        <f t="shared" ref="CV53:CV59" si="16">SQRT(SUMSQ(CT53,CN53,CH53,CB53))</f>
        <v>#DIV/0!</v>
      </c>
      <c r="CW53" s="10" t="e">
        <f t="shared" ref="CW53:CW59" si="17">(CV53^4)/(((CT53^4)/2)+((CN53^4)/200)+((CH53^4)/200)+((CB53^4)/200))</f>
        <v>#DIV/0!</v>
      </c>
      <c r="CX53" s="84" t="e">
        <f t="shared" si="9"/>
        <v>#DIV/0!</v>
      </c>
      <c r="CY53" s="91" t="e">
        <f>ROUND((CV53*CX53),5)</f>
        <v>#DIV/0!</v>
      </c>
      <c r="CZ53" s="74" t="str">
        <f t="shared" si="10"/>
        <v>Ω</v>
      </c>
      <c r="DA53" s="21"/>
      <c r="DB53" s="134">
        <v>2.3E-2</v>
      </c>
      <c r="DC53" s="135" t="str">
        <f t="shared" ref="DC53:DC59" si="18">CZ53</f>
        <v>Ω</v>
      </c>
      <c r="DD53" s="136"/>
      <c r="DE53" s="141" t="e">
        <f t="shared" ref="DE53:DE59" si="19">MAX(CY53:DB53)</f>
        <v>#DIV/0!</v>
      </c>
      <c r="DF53" s="142" t="str">
        <f t="shared" ref="DF53:DF59" si="20">CZ53</f>
        <v>Ω</v>
      </c>
    </row>
    <row r="54" spans="1:110" s="4" customFormat="1" ht="13.5" x14ac:dyDescent="0.25">
      <c r="A54" s="3"/>
      <c r="B54" s="125"/>
      <c r="C54" s="126"/>
      <c r="D54" s="126"/>
      <c r="E54" s="126"/>
      <c r="F54" s="247" t="s">
        <v>123</v>
      </c>
      <c r="G54" s="247"/>
      <c r="H54" s="247"/>
      <c r="I54" s="247"/>
      <c r="J54" s="247"/>
      <c r="K54" s="247"/>
      <c r="L54" s="248">
        <v>5</v>
      </c>
      <c r="M54" s="249"/>
      <c r="N54" s="249"/>
      <c r="O54" s="249"/>
      <c r="P54" s="250" t="s">
        <v>122</v>
      </c>
      <c r="Q54" s="250"/>
      <c r="R54" s="251"/>
      <c r="S54" s="257" t="s">
        <v>119</v>
      </c>
      <c r="T54" s="257"/>
      <c r="U54" s="257"/>
      <c r="V54" s="257"/>
      <c r="W54" s="257"/>
      <c r="X54" s="252"/>
      <c r="Y54" s="252"/>
      <c r="Z54" s="252"/>
      <c r="AA54" s="252"/>
      <c r="AB54" s="252"/>
      <c r="AC54" s="252"/>
      <c r="AD54" s="252"/>
      <c r="AE54" s="252"/>
      <c r="AF54" s="252"/>
      <c r="AG54" s="252"/>
      <c r="AH54" s="252"/>
      <c r="AI54" s="252"/>
      <c r="AJ54" s="252"/>
      <c r="AK54" s="252"/>
      <c r="AL54" s="252"/>
      <c r="AM54" s="252" t="e">
        <f>ROUND(AVERAGE(X54:AL54),3)</f>
        <v>#DIV/0!</v>
      </c>
      <c r="AN54" s="252"/>
      <c r="AO54" s="252"/>
      <c r="AP54" s="252"/>
      <c r="AQ54" s="252"/>
      <c r="AR54" s="252" t="e">
        <f>AM54-L54</f>
        <v>#DIV/0!</v>
      </c>
      <c r="AS54" s="252"/>
      <c r="AT54" s="252"/>
      <c r="AU54" s="252"/>
      <c r="AV54" s="252"/>
      <c r="AW54" s="126"/>
      <c r="AX54" s="126"/>
      <c r="AY54" s="126"/>
      <c r="AZ54" s="127"/>
      <c r="BA54" s="3"/>
      <c r="BB54" s="252">
        <f>ROUND((BG54-L54),3)</f>
        <v>4.5999999999999999E-2</v>
      </c>
      <c r="BC54" s="252"/>
      <c r="BD54" s="252"/>
      <c r="BE54" s="252"/>
      <c r="BF54" s="252"/>
      <c r="BG54" s="252">
        <v>5.0460000000000003</v>
      </c>
      <c r="BH54" s="252"/>
      <c r="BI54" s="252"/>
      <c r="BJ54" s="252"/>
      <c r="BK54" s="252"/>
      <c r="BL54" s="361">
        <v>4.9539999999999997</v>
      </c>
      <c r="BM54" s="362"/>
      <c r="BN54" s="362"/>
      <c r="BO54" s="362"/>
      <c r="BP54" s="363"/>
      <c r="BQ54" s="246" t="e">
        <f t="shared" si="0"/>
        <v>#DIV/0!</v>
      </c>
      <c r="BR54" s="246"/>
      <c r="BS54" s="246"/>
      <c r="BT54" s="246"/>
      <c r="BU54" s="246"/>
      <c r="BV54" s="3"/>
      <c r="BX54" s="51" t="s">
        <v>36</v>
      </c>
      <c r="BY54" s="184">
        <v>5.5000000000000002E-5</v>
      </c>
      <c r="BZ54" s="7" t="str">
        <f t="shared" si="1"/>
        <v>kΩ</v>
      </c>
      <c r="CA54" s="140">
        <v>2</v>
      </c>
      <c r="CB54" s="60">
        <f t="shared" si="2"/>
        <v>2.7500000000000001E-5</v>
      </c>
      <c r="CC54" s="13"/>
      <c r="CD54" s="51" t="s">
        <v>150</v>
      </c>
      <c r="CE54" s="139">
        <v>0</v>
      </c>
      <c r="CF54" s="7" t="str">
        <f t="shared" si="12"/>
        <v>kΩ</v>
      </c>
      <c r="CG54" s="57">
        <f t="shared" si="3"/>
        <v>1.7320508075688772</v>
      </c>
      <c r="CH54" s="60">
        <f t="shared" si="4"/>
        <v>0</v>
      </c>
      <c r="CI54" s="13"/>
      <c r="CJ54" s="51" t="s">
        <v>59</v>
      </c>
      <c r="CK54" s="133">
        <v>1E-3</v>
      </c>
      <c r="CL54" s="7" t="str">
        <f t="shared" si="5"/>
        <v>kΩ</v>
      </c>
      <c r="CM54" s="57">
        <f t="shared" si="13"/>
        <v>3.4641016151377544</v>
      </c>
      <c r="CN54" s="60">
        <f t="shared" si="6"/>
        <v>2.886751345948129E-4</v>
      </c>
      <c r="CO54" s="13"/>
      <c r="CP54" s="51" t="s">
        <v>38</v>
      </c>
      <c r="CQ54" s="8" t="e">
        <f t="shared" si="14"/>
        <v>#DIV/0!</v>
      </c>
      <c r="CR54" s="7" t="str">
        <f t="shared" si="7"/>
        <v>kΩ</v>
      </c>
      <c r="CS54" s="57">
        <f t="shared" si="15"/>
        <v>1.7320508075688772</v>
      </c>
      <c r="CT54" s="69" t="e">
        <f t="shared" si="8"/>
        <v>#DIV/0!</v>
      </c>
      <c r="CU54" s="9"/>
      <c r="CV54" s="73" t="e">
        <f t="shared" si="16"/>
        <v>#DIV/0!</v>
      </c>
      <c r="CW54" s="10" t="e">
        <f t="shared" si="17"/>
        <v>#DIV/0!</v>
      </c>
      <c r="CX54" s="84" t="e">
        <f t="shared" si="9"/>
        <v>#DIV/0!</v>
      </c>
      <c r="CY54" s="91" t="e">
        <f>ROUND((CV54*CX54),5)</f>
        <v>#DIV/0!</v>
      </c>
      <c r="CZ54" s="74" t="str">
        <f t="shared" si="10"/>
        <v>kΩ</v>
      </c>
      <c r="DA54" s="21"/>
      <c r="DB54" s="134">
        <v>2.3000000000000001E-4</v>
      </c>
      <c r="DC54" s="135" t="str">
        <f t="shared" si="18"/>
        <v>kΩ</v>
      </c>
      <c r="DD54" s="136"/>
      <c r="DE54" s="141" t="e">
        <f t="shared" si="19"/>
        <v>#DIV/0!</v>
      </c>
      <c r="DF54" s="142" t="str">
        <f t="shared" si="20"/>
        <v>kΩ</v>
      </c>
    </row>
    <row r="55" spans="1:110" s="4" customFormat="1" ht="13.5" x14ac:dyDescent="0.25">
      <c r="A55" s="3"/>
      <c r="B55" s="125"/>
      <c r="C55" s="126"/>
      <c r="D55" s="126"/>
      <c r="E55" s="126"/>
      <c r="F55" s="247" t="s">
        <v>124</v>
      </c>
      <c r="G55" s="247"/>
      <c r="H55" s="247"/>
      <c r="I55" s="247"/>
      <c r="J55" s="247"/>
      <c r="K55" s="247"/>
      <c r="L55" s="248">
        <v>50</v>
      </c>
      <c r="M55" s="249"/>
      <c r="N55" s="249"/>
      <c r="O55" s="249"/>
      <c r="P55" s="250" t="s">
        <v>122</v>
      </c>
      <c r="Q55" s="250"/>
      <c r="R55" s="251"/>
      <c r="S55" s="257" t="s">
        <v>119</v>
      </c>
      <c r="T55" s="257"/>
      <c r="U55" s="257"/>
      <c r="V55" s="257"/>
      <c r="W55" s="257"/>
      <c r="X55" s="256"/>
      <c r="Y55" s="256"/>
      <c r="Z55" s="256"/>
      <c r="AA55" s="256"/>
      <c r="AB55" s="256"/>
      <c r="AC55" s="256"/>
      <c r="AD55" s="256"/>
      <c r="AE55" s="256"/>
      <c r="AF55" s="256"/>
      <c r="AG55" s="256"/>
      <c r="AH55" s="256"/>
      <c r="AI55" s="256"/>
      <c r="AJ55" s="256"/>
      <c r="AK55" s="256"/>
      <c r="AL55" s="256"/>
      <c r="AM55" s="256" t="e">
        <f>ROUND(AVERAGE(X55:AL55),2)</f>
        <v>#DIV/0!</v>
      </c>
      <c r="AN55" s="256"/>
      <c r="AO55" s="256"/>
      <c r="AP55" s="256"/>
      <c r="AQ55" s="256"/>
      <c r="AR55" s="256" t="e">
        <f t="shared" si="11"/>
        <v>#DIV/0!</v>
      </c>
      <c r="AS55" s="256"/>
      <c r="AT55" s="256"/>
      <c r="AU55" s="256"/>
      <c r="AV55" s="256"/>
      <c r="AW55" s="126"/>
      <c r="AX55" s="126"/>
      <c r="AY55" s="126"/>
      <c r="AZ55" s="127"/>
      <c r="BA55" s="3"/>
      <c r="BB55" s="256">
        <f>ROUND((BG55-L55),2)</f>
        <v>0.46</v>
      </c>
      <c r="BC55" s="256"/>
      <c r="BD55" s="256"/>
      <c r="BE55" s="256"/>
      <c r="BF55" s="256"/>
      <c r="BG55" s="256">
        <v>50.46</v>
      </c>
      <c r="BH55" s="256"/>
      <c r="BI55" s="256"/>
      <c r="BJ55" s="256"/>
      <c r="BK55" s="256"/>
      <c r="BL55" s="258">
        <v>49.54</v>
      </c>
      <c r="BM55" s="259"/>
      <c r="BN55" s="259"/>
      <c r="BO55" s="259"/>
      <c r="BP55" s="260"/>
      <c r="BQ55" s="246" t="e">
        <f t="shared" si="0"/>
        <v>#DIV/0!</v>
      </c>
      <c r="BR55" s="246"/>
      <c r="BS55" s="246"/>
      <c r="BT55" s="246"/>
      <c r="BU55" s="246"/>
      <c r="BV55" s="3"/>
      <c r="BX55" s="51" t="s">
        <v>36</v>
      </c>
      <c r="BY55" s="8">
        <v>8.0999999999999996E-4</v>
      </c>
      <c r="BZ55" s="7" t="str">
        <f t="shared" si="1"/>
        <v>kΩ</v>
      </c>
      <c r="CA55" s="140">
        <v>2</v>
      </c>
      <c r="CB55" s="60">
        <f t="shared" si="2"/>
        <v>4.0499999999999998E-4</v>
      </c>
      <c r="CC55" s="13"/>
      <c r="CD55" s="51" t="s">
        <v>150</v>
      </c>
      <c r="CE55" s="139">
        <v>0</v>
      </c>
      <c r="CF55" s="7" t="str">
        <f t="shared" si="12"/>
        <v>kΩ</v>
      </c>
      <c r="CG55" s="57">
        <f t="shared" si="3"/>
        <v>1.7320508075688772</v>
      </c>
      <c r="CH55" s="60">
        <f t="shared" si="4"/>
        <v>0</v>
      </c>
      <c r="CI55" s="13"/>
      <c r="CJ55" s="51" t="s">
        <v>59</v>
      </c>
      <c r="CK55" s="133">
        <v>0.01</v>
      </c>
      <c r="CL55" s="7" t="str">
        <f t="shared" si="5"/>
        <v>kΩ</v>
      </c>
      <c r="CM55" s="57">
        <f t="shared" si="13"/>
        <v>3.4641016151377544</v>
      </c>
      <c r="CN55" s="60">
        <f t="shared" si="6"/>
        <v>2.886751345948129E-3</v>
      </c>
      <c r="CO55" s="13"/>
      <c r="CP55" s="51" t="s">
        <v>38</v>
      </c>
      <c r="CQ55" s="8" t="e">
        <f t="shared" si="14"/>
        <v>#DIV/0!</v>
      </c>
      <c r="CR55" s="7" t="str">
        <f t="shared" si="7"/>
        <v>kΩ</v>
      </c>
      <c r="CS55" s="57">
        <f t="shared" si="15"/>
        <v>1.7320508075688772</v>
      </c>
      <c r="CT55" s="69" t="e">
        <f t="shared" si="8"/>
        <v>#DIV/0!</v>
      </c>
      <c r="CU55" s="9"/>
      <c r="CV55" s="73" t="e">
        <f t="shared" si="16"/>
        <v>#DIV/0!</v>
      </c>
      <c r="CW55" s="10" t="e">
        <f t="shared" si="17"/>
        <v>#DIV/0!</v>
      </c>
      <c r="CX55" s="84" t="e">
        <f t="shared" si="9"/>
        <v>#DIV/0!</v>
      </c>
      <c r="CY55" s="87" t="e">
        <f>ROUND((CV55*CX55),4)</f>
        <v>#DIV/0!</v>
      </c>
      <c r="CZ55" s="74" t="str">
        <f t="shared" si="10"/>
        <v>kΩ</v>
      </c>
      <c r="DA55" s="21"/>
      <c r="DB55" s="134">
        <v>1.5E-3</v>
      </c>
      <c r="DC55" s="135" t="str">
        <f t="shared" si="18"/>
        <v>kΩ</v>
      </c>
      <c r="DD55" s="136"/>
      <c r="DE55" s="141" t="e">
        <f t="shared" si="19"/>
        <v>#DIV/0!</v>
      </c>
      <c r="DF55" s="142" t="str">
        <f t="shared" si="20"/>
        <v>kΩ</v>
      </c>
    </row>
    <row r="56" spans="1:110" s="4" customFormat="1" ht="13.5" x14ac:dyDescent="0.25">
      <c r="A56" s="3"/>
      <c r="B56" s="125"/>
      <c r="C56" s="126"/>
      <c r="D56" s="126"/>
      <c r="E56" s="126"/>
      <c r="F56" s="247" t="s">
        <v>125</v>
      </c>
      <c r="G56" s="247"/>
      <c r="H56" s="247"/>
      <c r="I56" s="247"/>
      <c r="J56" s="247"/>
      <c r="K56" s="247"/>
      <c r="L56" s="248">
        <v>500</v>
      </c>
      <c r="M56" s="249"/>
      <c r="N56" s="249"/>
      <c r="O56" s="249"/>
      <c r="P56" s="250" t="s">
        <v>122</v>
      </c>
      <c r="Q56" s="250"/>
      <c r="R56" s="251"/>
      <c r="S56" s="257" t="s">
        <v>119</v>
      </c>
      <c r="T56" s="257"/>
      <c r="U56" s="257"/>
      <c r="V56" s="257"/>
      <c r="W56" s="257"/>
      <c r="X56" s="245"/>
      <c r="Y56" s="245"/>
      <c r="Z56" s="245"/>
      <c r="AA56" s="245"/>
      <c r="AB56" s="245"/>
      <c r="AC56" s="245"/>
      <c r="AD56" s="245"/>
      <c r="AE56" s="245"/>
      <c r="AF56" s="245"/>
      <c r="AG56" s="245"/>
      <c r="AH56" s="245"/>
      <c r="AI56" s="245"/>
      <c r="AJ56" s="245"/>
      <c r="AK56" s="245"/>
      <c r="AL56" s="245"/>
      <c r="AM56" s="245" t="e">
        <f>ROUND(AVERAGE(X56:AL56),1)</f>
        <v>#DIV/0!</v>
      </c>
      <c r="AN56" s="257"/>
      <c r="AO56" s="257"/>
      <c r="AP56" s="257"/>
      <c r="AQ56" s="257"/>
      <c r="AR56" s="245" t="e">
        <f t="shared" si="11"/>
        <v>#DIV/0!</v>
      </c>
      <c r="AS56" s="257"/>
      <c r="AT56" s="257"/>
      <c r="AU56" s="257"/>
      <c r="AV56" s="257"/>
      <c r="AW56" s="126"/>
      <c r="AX56" s="126"/>
      <c r="AY56" s="126"/>
      <c r="AZ56" s="127"/>
      <c r="BA56" s="3"/>
      <c r="BB56" s="245">
        <f>ROUND((BG56-L56),1)</f>
        <v>4.5999999999999996</v>
      </c>
      <c r="BC56" s="245"/>
      <c r="BD56" s="245"/>
      <c r="BE56" s="245"/>
      <c r="BF56" s="245"/>
      <c r="BG56" s="245">
        <v>504.6</v>
      </c>
      <c r="BH56" s="245"/>
      <c r="BI56" s="245"/>
      <c r="BJ56" s="245"/>
      <c r="BK56" s="245"/>
      <c r="BL56" s="253">
        <v>495.4</v>
      </c>
      <c r="BM56" s="254"/>
      <c r="BN56" s="254"/>
      <c r="BO56" s="254"/>
      <c r="BP56" s="255"/>
      <c r="BQ56" s="246" t="e">
        <f t="shared" si="0"/>
        <v>#DIV/0!</v>
      </c>
      <c r="BR56" s="246"/>
      <c r="BS56" s="246"/>
      <c r="BT56" s="246"/>
      <c r="BU56" s="246"/>
      <c r="BV56" s="3"/>
      <c r="BX56" s="51" t="s">
        <v>36</v>
      </c>
      <c r="BY56" s="143">
        <v>6.6E-3</v>
      </c>
      <c r="BZ56" s="7" t="str">
        <f t="shared" si="1"/>
        <v>kΩ</v>
      </c>
      <c r="CA56" s="140">
        <v>2</v>
      </c>
      <c r="CB56" s="60">
        <f t="shared" si="2"/>
        <v>3.3E-3</v>
      </c>
      <c r="CC56" s="13"/>
      <c r="CD56" s="51" t="s">
        <v>150</v>
      </c>
      <c r="CE56" s="139">
        <v>0</v>
      </c>
      <c r="CF56" s="7" t="str">
        <f t="shared" si="12"/>
        <v>kΩ</v>
      </c>
      <c r="CG56" s="57">
        <f t="shared" si="3"/>
        <v>1.7320508075688772</v>
      </c>
      <c r="CH56" s="60">
        <f t="shared" si="4"/>
        <v>0</v>
      </c>
      <c r="CI56" s="13"/>
      <c r="CJ56" s="51" t="s">
        <v>59</v>
      </c>
      <c r="CK56" s="133">
        <v>0.1</v>
      </c>
      <c r="CL56" s="7" t="str">
        <f t="shared" si="5"/>
        <v>kΩ</v>
      </c>
      <c r="CM56" s="57">
        <f t="shared" si="13"/>
        <v>3.4641016151377544</v>
      </c>
      <c r="CN56" s="60">
        <f t="shared" si="6"/>
        <v>2.8867513459481291E-2</v>
      </c>
      <c r="CO56" s="13"/>
      <c r="CP56" s="51" t="s">
        <v>38</v>
      </c>
      <c r="CQ56" s="8" t="e">
        <f t="shared" si="14"/>
        <v>#DIV/0!</v>
      </c>
      <c r="CR56" s="7" t="str">
        <f t="shared" si="7"/>
        <v>kΩ</v>
      </c>
      <c r="CS56" s="57">
        <f t="shared" si="15"/>
        <v>1.7320508075688772</v>
      </c>
      <c r="CT56" s="69" t="e">
        <f t="shared" si="8"/>
        <v>#DIV/0!</v>
      </c>
      <c r="CU56" s="9"/>
      <c r="CV56" s="73" t="e">
        <f t="shared" si="16"/>
        <v>#DIV/0!</v>
      </c>
      <c r="CW56" s="10" t="e">
        <f t="shared" si="17"/>
        <v>#DIV/0!</v>
      </c>
      <c r="CX56" s="84" t="e">
        <f t="shared" si="9"/>
        <v>#DIV/0!</v>
      </c>
      <c r="CY56" s="87" t="e">
        <f>ROUND((CV56*CX56),4)</f>
        <v>#DIV/0!</v>
      </c>
      <c r="CZ56" s="74" t="str">
        <f t="shared" si="10"/>
        <v>kΩ</v>
      </c>
      <c r="DA56" s="21"/>
      <c r="DB56" s="134">
        <v>1.6E-2</v>
      </c>
      <c r="DC56" s="135" t="str">
        <f t="shared" si="18"/>
        <v>kΩ</v>
      </c>
      <c r="DD56" s="136"/>
      <c r="DE56" s="141" t="e">
        <f t="shared" si="19"/>
        <v>#DIV/0!</v>
      </c>
      <c r="DF56" s="142" t="str">
        <f t="shared" si="20"/>
        <v>kΩ</v>
      </c>
    </row>
    <row r="57" spans="1:110" s="4" customFormat="1" ht="13.5" x14ac:dyDescent="0.25">
      <c r="A57" s="3"/>
      <c r="B57" s="125"/>
      <c r="C57" s="126"/>
      <c r="D57" s="126"/>
      <c r="E57" s="126"/>
      <c r="F57" s="247" t="s">
        <v>126</v>
      </c>
      <c r="G57" s="247"/>
      <c r="H57" s="247"/>
      <c r="I57" s="247"/>
      <c r="J57" s="247"/>
      <c r="K57" s="247"/>
      <c r="L57" s="248">
        <v>5</v>
      </c>
      <c r="M57" s="249"/>
      <c r="N57" s="249"/>
      <c r="O57" s="249"/>
      <c r="P57" s="250" t="s">
        <v>58</v>
      </c>
      <c r="Q57" s="250"/>
      <c r="R57" s="251"/>
      <c r="S57" s="257" t="s">
        <v>119</v>
      </c>
      <c r="T57" s="257"/>
      <c r="U57" s="257"/>
      <c r="V57" s="257"/>
      <c r="W57" s="257"/>
      <c r="X57" s="252"/>
      <c r="Y57" s="252"/>
      <c r="Z57" s="252"/>
      <c r="AA57" s="252"/>
      <c r="AB57" s="252"/>
      <c r="AC57" s="252"/>
      <c r="AD57" s="252"/>
      <c r="AE57" s="252"/>
      <c r="AF57" s="252"/>
      <c r="AG57" s="252"/>
      <c r="AH57" s="252"/>
      <c r="AI57" s="252"/>
      <c r="AJ57" s="252"/>
      <c r="AK57" s="252"/>
      <c r="AL57" s="252"/>
      <c r="AM57" s="252" t="e">
        <f>ROUND(AVERAGE(X57:AL57),3)</f>
        <v>#DIV/0!</v>
      </c>
      <c r="AN57" s="252"/>
      <c r="AO57" s="252"/>
      <c r="AP57" s="252"/>
      <c r="AQ57" s="252"/>
      <c r="AR57" s="252" t="e">
        <f t="shared" si="11"/>
        <v>#DIV/0!</v>
      </c>
      <c r="AS57" s="252"/>
      <c r="AT57" s="252"/>
      <c r="AU57" s="252"/>
      <c r="AV57" s="252"/>
      <c r="AW57" s="126"/>
      <c r="AX57" s="126"/>
      <c r="AY57" s="126"/>
      <c r="AZ57" s="127"/>
      <c r="BA57" s="3"/>
      <c r="BB57" s="252">
        <f>ROUND((BG57-L57),3)</f>
        <v>4.5999999999999999E-2</v>
      </c>
      <c r="BC57" s="252"/>
      <c r="BD57" s="252"/>
      <c r="BE57" s="252"/>
      <c r="BF57" s="252"/>
      <c r="BG57" s="252">
        <v>5.0460000000000003</v>
      </c>
      <c r="BH57" s="252"/>
      <c r="BI57" s="252"/>
      <c r="BJ57" s="252"/>
      <c r="BK57" s="252"/>
      <c r="BL57" s="361">
        <v>4.9539999999999997</v>
      </c>
      <c r="BM57" s="362"/>
      <c r="BN57" s="362"/>
      <c r="BO57" s="362"/>
      <c r="BP57" s="363"/>
      <c r="BQ57" s="246" t="e">
        <f t="shared" si="0"/>
        <v>#DIV/0!</v>
      </c>
      <c r="BR57" s="246"/>
      <c r="BS57" s="246"/>
      <c r="BT57" s="246"/>
      <c r="BU57" s="246"/>
      <c r="BV57" s="3"/>
      <c r="BX57" s="51" t="s">
        <v>36</v>
      </c>
      <c r="BY57" s="8">
        <v>4.8000000000000001E-4</v>
      </c>
      <c r="BZ57" s="7" t="str">
        <f t="shared" si="1"/>
        <v>MΩ</v>
      </c>
      <c r="CA57" s="140">
        <v>2</v>
      </c>
      <c r="CB57" s="60">
        <f t="shared" si="2"/>
        <v>2.4000000000000001E-4</v>
      </c>
      <c r="CC57" s="13"/>
      <c r="CD57" s="51" t="s">
        <v>150</v>
      </c>
      <c r="CE57" s="139">
        <v>0</v>
      </c>
      <c r="CF57" s="7" t="str">
        <f t="shared" si="12"/>
        <v>MΩ</v>
      </c>
      <c r="CG57" s="57">
        <f t="shared" si="3"/>
        <v>1.7320508075688772</v>
      </c>
      <c r="CH57" s="60">
        <f t="shared" si="4"/>
        <v>0</v>
      </c>
      <c r="CI57" s="13"/>
      <c r="CJ57" s="51" t="s">
        <v>59</v>
      </c>
      <c r="CK57" s="133">
        <v>1E-3</v>
      </c>
      <c r="CL57" s="7" t="str">
        <f t="shared" si="5"/>
        <v>MΩ</v>
      </c>
      <c r="CM57" s="57">
        <f t="shared" si="13"/>
        <v>3.4641016151377544</v>
      </c>
      <c r="CN57" s="60">
        <f t="shared" si="6"/>
        <v>2.886751345948129E-4</v>
      </c>
      <c r="CO57" s="13"/>
      <c r="CP57" s="51" t="s">
        <v>38</v>
      </c>
      <c r="CQ57" s="8" t="e">
        <f t="shared" si="14"/>
        <v>#DIV/0!</v>
      </c>
      <c r="CR57" s="7" t="str">
        <f t="shared" si="7"/>
        <v>MΩ</v>
      </c>
      <c r="CS57" s="57">
        <f t="shared" si="15"/>
        <v>1.7320508075688772</v>
      </c>
      <c r="CT57" s="69" t="e">
        <f t="shared" si="8"/>
        <v>#DIV/0!</v>
      </c>
      <c r="CU57" s="9"/>
      <c r="CV57" s="73" t="e">
        <f t="shared" si="16"/>
        <v>#DIV/0!</v>
      </c>
      <c r="CW57" s="10" t="e">
        <f t="shared" si="17"/>
        <v>#DIV/0!</v>
      </c>
      <c r="CX57" s="84" t="e">
        <f t="shared" si="9"/>
        <v>#DIV/0!</v>
      </c>
      <c r="CY57" s="87" t="e">
        <f>ROUND((CV57*CX57),4)</f>
        <v>#DIV/0!</v>
      </c>
      <c r="CZ57" s="74" t="str">
        <f t="shared" si="10"/>
        <v>MΩ</v>
      </c>
      <c r="DA57" s="21"/>
      <c r="DB57" s="134">
        <v>5.2999999999999998E-4</v>
      </c>
      <c r="DC57" s="135" t="str">
        <f t="shared" si="18"/>
        <v>MΩ</v>
      </c>
      <c r="DD57" s="136"/>
      <c r="DE57" s="141" t="e">
        <f t="shared" si="19"/>
        <v>#DIV/0!</v>
      </c>
      <c r="DF57" s="142" t="str">
        <f t="shared" si="20"/>
        <v>MΩ</v>
      </c>
    </row>
    <row r="58" spans="1:110" s="4" customFormat="1" ht="13.5" x14ac:dyDescent="0.25">
      <c r="A58" s="3"/>
      <c r="B58" s="125"/>
      <c r="C58" s="126"/>
      <c r="D58" s="126"/>
      <c r="E58" s="126"/>
      <c r="F58" s="355" t="s">
        <v>141</v>
      </c>
      <c r="G58" s="356"/>
      <c r="H58" s="356"/>
      <c r="I58" s="356"/>
      <c r="J58" s="356"/>
      <c r="K58" s="357"/>
      <c r="L58" s="248">
        <v>10</v>
      </c>
      <c r="M58" s="249"/>
      <c r="N58" s="249"/>
      <c r="O58" s="249"/>
      <c r="P58" s="250" t="s">
        <v>58</v>
      </c>
      <c r="Q58" s="250"/>
      <c r="R58" s="251"/>
      <c r="S58" s="257" t="s">
        <v>119</v>
      </c>
      <c r="T58" s="257"/>
      <c r="U58" s="257"/>
      <c r="V58" s="257"/>
      <c r="W58" s="257"/>
      <c r="X58" s="256"/>
      <c r="Y58" s="256"/>
      <c r="Z58" s="256"/>
      <c r="AA58" s="256"/>
      <c r="AB58" s="256"/>
      <c r="AC58" s="256"/>
      <c r="AD58" s="256"/>
      <c r="AE58" s="256"/>
      <c r="AF58" s="256"/>
      <c r="AG58" s="256"/>
      <c r="AH58" s="256"/>
      <c r="AI58" s="256"/>
      <c r="AJ58" s="256"/>
      <c r="AK58" s="256"/>
      <c r="AL58" s="256"/>
      <c r="AM58" s="256" t="e">
        <f t="shared" ref="AM58" si="21">ROUND(AVERAGE(X58:AL58),2)</f>
        <v>#DIV/0!</v>
      </c>
      <c r="AN58" s="256"/>
      <c r="AO58" s="256"/>
      <c r="AP58" s="256"/>
      <c r="AQ58" s="256"/>
      <c r="AR58" s="256" t="e">
        <f t="shared" si="11"/>
        <v>#DIV/0!</v>
      </c>
      <c r="AS58" s="256"/>
      <c r="AT58" s="256"/>
      <c r="AU58" s="256"/>
      <c r="AV58" s="256"/>
      <c r="AW58" s="126"/>
      <c r="AX58" s="126"/>
      <c r="AY58" s="126"/>
      <c r="AZ58" s="127"/>
      <c r="BA58" s="3"/>
      <c r="BB58" s="256">
        <f>ROUND((BG58-L58),2)</f>
        <v>0.52</v>
      </c>
      <c r="BC58" s="256"/>
      <c r="BD58" s="256"/>
      <c r="BE58" s="256"/>
      <c r="BF58" s="256"/>
      <c r="BG58" s="256">
        <v>10.52</v>
      </c>
      <c r="BH58" s="256"/>
      <c r="BI58" s="256"/>
      <c r="BJ58" s="256"/>
      <c r="BK58" s="256"/>
      <c r="BL58" s="258">
        <v>9.48</v>
      </c>
      <c r="BM58" s="259"/>
      <c r="BN58" s="259"/>
      <c r="BO58" s="259"/>
      <c r="BP58" s="260"/>
      <c r="BQ58" s="246" t="e">
        <f t="shared" si="0"/>
        <v>#DIV/0!</v>
      </c>
      <c r="BR58" s="246"/>
      <c r="BS58" s="246"/>
      <c r="BT58" s="246"/>
      <c r="BU58" s="246"/>
      <c r="BV58" s="3"/>
      <c r="BX58" s="51" t="s">
        <v>36</v>
      </c>
      <c r="BY58" s="8">
        <v>4.8000000000000001E-4</v>
      </c>
      <c r="BZ58" s="7" t="str">
        <f t="shared" si="1"/>
        <v>MΩ</v>
      </c>
      <c r="CA58" s="140">
        <v>2</v>
      </c>
      <c r="CB58" s="60">
        <f t="shared" si="2"/>
        <v>2.4000000000000001E-4</v>
      </c>
      <c r="CC58" s="13"/>
      <c r="CD58" s="51" t="s">
        <v>150</v>
      </c>
      <c r="CE58" s="139">
        <v>0</v>
      </c>
      <c r="CF58" s="7" t="str">
        <f t="shared" si="12"/>
        <v>MΩ</v>
      </c>
      <c r="CG58" s="57">
        <f t="shared" si="3"/>
        <v>1.7320508075688772</v>
      </c>
      <c r="CH58" s="60">
        <f t="shared" si="4"/>
        <v>0</v>
      </c>
      <c r="CI58" s="13"/>
      <c r="CJ58" s="51" t="s">
        <v>59</v>
      </c>
      <c r="CK58" s="133">
        <v>0.01</v>
      </c>
      <c r="CL58" s="7" t="str">
        <f t="shared" si="5"/>
        <v>MΩ</v>
      </c>
      <c r="CM58" s="57">
        <f t="shared" si="13"/>
        <v>3.4641016151377544</v>
      </c>
      <c r="CN58" s="60">
        <f t="shared" si="6"/>
        <v>2.886751345948129E-3</v>
      </c>
      <c r="CO58" s="13"/>
      <c r="CP58" s="51" t="s">
        <v>38</v>
      </c>
      <c r="CQ58" s="8" t="e">
        <f t="shared" si="14"/>
        <v>#DIV/0!</v>
      </c>
      <c r="CR58" s="7" t="str">
        <f t="shared" si="7"/>
        <v>MΩ</v>
      </c>
      <c r="CS58" s="57">
        <f t="shared" si="15"/>
        <v>1.7320508075688772</v>
      </c>
      <c r="CT58" s="69" t="e">
        <f t="shared" si="8"/>
        <v>#DIV/0!</v>
      </c>
      <c r="CU58" s="9"/>
      <c r="CV58" s="73" t="e">
        <f t="shared" si="16"/>
        <v>#DIV/0!</v>
      </c>
      <c r="CW58" s="10" t="e">
        <f t="shared" si="17"/>
        <v>#DIV/0!</v>
      </c>
      <c r="CX58" s="84" t="e">
        <f t="shared" si="9"/>
        <v>#DIV/0!</v>
      </c>
      <c r="CY58" s="87" t="e">
        <f t="shared" ref="CY58:CY59" si="22">ROUND((CV58*CX58),4)</f>
        <v>#DIV/0!</v>
      </c>
      <c r="CZ58" s="74" t="str">
        <f t="shared" si="10"/>
        <v>MΩ</v>
      </c>
      <c r="DA58" s="21"/>
      <c r="DB58" s="134">
        <v>5.2999999999999998E-4</v>
      </c>
      <c r="DC58" s="135" t="str">
        <f t="shared" si="18"/>
        <v>MΩ</v>
      </c>
      <c r="DD58" s="136"/>
      <c r="DE58" s="141" t="e">
        <f t="shared" si="19"/>
        <v>#DIV/0!</v>
      </c>
      <c r="DF58" s="142" t="str">
        <f t="shared" si="20"/>
        <v>MΩ</v>
      </c>
    </row>
    <row r="59" spans="1:110" s="4" customFormat="1" ht="14.25" thickBot="1" x14ac:dyDescent="0.3">
      <c r="A59" s="3"/>
      <c r="B59" s="125"/>
      <c r="C59" s="126"/>
      <c r="D59" s="126"/>
      <c r="E59" s="126"/>
      <c r="F59" s="358"/>
      <c r="G59" s="359"/>
      <c r="H59" s="359"/>
      <c r="I59" s="359"/>
      <c r="J59" s="359"/>
      <c r="K59" s="360"/>
      <c r="L59" s="248">
        <v>30</v>
      </c>
      <c r="M59" s="249"/>
      <c r="N59" s="249"/>
      <c r="O59" s="249"/>
      <c r="P59" s="144" t="s">
        <v>58</v>
      </c>
      <c r="Q59" s="144"/>
      <c r="R59" s="145"/>
      <c r="S59" s="257" t="s">
        <v>119</v>
      </c>
      <c r="T59" s="257"/>
      <c r="U59" s="257"/>
      <c r="V59" s="257"/>
      <c r="W59" s="257"/>
      <c r="X59" s="256"/>
      <c r="Y59" s="256"/>
      <c r="Z59" s="256"/>
      <c r="AA59" s="256"/>
      <c r="AB59" s="256"/>
      <c r="AC59" s="256"/>
      <c r="AD59" s="256"/>
      <c r="AE59" s="256"/>
      <c r="AF59" s="256"/>
      <c r="AG59" s="256"/>
      <c r="AH59" s="256"/>
      <c r="AI59" s="256"/>
      <c r="AJ59" s="256"/>
      <c r="AK59" s="256"/>
      <c r="AL59" s="256"/>
      <c r="AM59" s="256" t="e">
        <f t="shared" ref="AM59" si="23">ROUND(AVERAGE(X59:AL59),2)</f>
        <v>#DIV/0!</v>
      </c>
      <c r="AN59" s="256"/>
      <c r="AO59" s="256"/>
      <c r="AP59" s="256"/>
      <c r="AQ59" s="256"/>
      <c r="AR59" s="256" t="e">
        <f t="shared" ref="AR59" si="24">AM59-L59</f>
        <v>#DIV/0!</v>
      </c>
      <c r="AS59" s="256"/>
      <c r="AT59" s="256"/>
      <c r="AU59" s="256"/>
      <c r="AV59" s="256"/>
      <c r="AW59" s="126"/>
      <c r="AX59" s="126"/>
      <c r="AY59" s="126"/>
      <c r="AZ59" s="127"/>
      <c r="BA59" s="3"/>
      <c r="BB59" s="256">
        <f>ROUND((BG59-L59),2)</f>
        <v>0.52</v>
      </c>
      <c r="BC59" s="256"/>
      <c r="BD59" s="256"/>
      <c r="BE59" s="256"/>
      <c r="BF59" s="256"/>
      <c r="BG59" s="256">
        <v>30.52</v>
      </c>
      <c r="BH59" s="256"/>
      <c r="BI59" s="256"/>
      <c r="BJ59" s="256"/>
      <c r="BK59" s="256"/>
      <c r="BL59" s="258">
        <v>29.48</v>
      </c>
      <c r="BM59" s="259"/>
      <c r="BN59" s="259"/>
      <c r="BO59" s="259"/>
      <c r="BP59" s="260"/>
      <c r="BQ59" s="246" t="e">
        <f t="shared" si="0"/>
        <v>#DIV/0!</v>
      </c>
      <c r="BR59" s="246"/>
      <c r="BS59" s="246"/>
      <c r="BT59" s="246"/>
      <c r="BU59" s="246"/>
      <c r="BV59" s="3"/>
      <c r="BX59" s="52" t="s">
        <v>36</v>
      </c>
      <c r="BY59" s="168">
        <v>1.4E-3</v>
      </c>
      <c r="BZ59" s="53" t="str">
        <f t="shared" si="1"/>
        <v>MΩ</v>
      </c>
      <c r="CA59" s="147">
        <v>2</v>
      </c>
      <c r="CB59" s="61">
        <f t="shared" ref="CB59" si="25">BY59/CA59</f>
        <v>6.9999999999999999E-4</v>
      </c>
      <c r="CC59" s="13"/>
      <c r="CD59" s="52" t="s">
        <v>150</v>
      </c>
      <c r="CE59" s="146">
        <v>0</v>
      </c>
      <c r="CF59" s="53" t="str">
        <f t="shared" si="12"/>
        <v>MΩ</v>
      </c>
      <c r="CG59" s="58">
        <f t="shared" si="3"/>
        <v>1.7320508075688772</v>
      </c>
      <c r="CH59" s="61">
        <f t="shared" si="4"/>
        <v>0</v>
      </c>
      <c r="CI59" s="13"/>
      <c r="CJ59" s="52" t="s">
        <v>59</v>
      </c>
      <c r="CK59" s="148">
        <v>0.01</v>
      </c>
      <c r="CL59" s="53" t="str">
        <f t="shared" si="5"/>
        <v>MΩ</v>
      </c>
      <c r="CM59" s="58">
        <f t="shared" si="13"/>
        <v>3.4641016151377544</v>
      </c>
      <c r="CN59" s="61">
        <f t="shared" ref="CN59" si="26">CK59/CM59</f>
        <v>2.886751345948129E-3</v>
      </c>
      <c r="CO59" s="13"/>
      <c r="CP59" s="52" t="s">
        <v>38</v>
      </c>
      <c r="CQ59" s="66" t="e">
        <f t="shared" si="14"/>
        <v>#DIV/0!</v>
      </c>
      <c r="CR59" s="53" t="str">
        <f t="shared" si="7"/>
        <v>MΩ</v>
      </c>
      <c r="CS59" s="58">
        <f t="shared" si="15"/>
        <v>1.7320508075688772</v>
      </c>
      <c r="CT59" s="70" t="e">
        <f t="shared" ref="CT59" si="27">CQ59/CS59</f>
        <v>#DIV/0!</v>
      </c>
      <c r="CU59" s="9"/>
      <c r="CV59" s="75" t="e">
        <f t="shared" si="16"/>
        <v>#DIV/0!</v>
      </c>
      <c r="CW59" s="76" t="e">
        <f t="shared" si="17"/>
        <v>#DIV/0!</v>
      </c>
      <c r="CX59" s="85" t="e">
        <f t="shared" ref="CX59" si="28">ROUND(TINV(0.05,CW59),0)</f>
        <v>#DIV/0!</v>
      </c>
      <c r="CY59" s="89" t="e">
        <f t="shared" si="22"/>
        <v>#DIV/0!</v>
      </c>
      <c r="CZ59" s="77" t="str">
        <f t="shared" si="10"/>
        <v>MΩ</v>
      </c>
      <c r="DA59" s="21"/>
      <c r="DB59" s="149">
        <v>4.1000000000000003E-3</v>
      </c>
      <c r="DC59" s="150" t="str">
        <f t="shared" si="18"/>
        <v>MΩ</v>
      </c>
      <c r="DD59" s="136"/>
      <c r="DE59" s="151" t="e">
        <f t="shared" si="19"/>
        <v>#DIV/0!</v>
      </c>
      <c r="DF59" s="152" t="str">
        <f t="shared" si="20"/>
        <v>MΩ</v>
      </c>
    </row>
    <row r="60" spans="1:110" s="4" customFormat="1" ht="13.5" x14ac:dyDescent="0.25">
      <c r="A60" s="3"/>
      <c r="B60" s="125"/>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7"/>
      <c r="BA60" s="3"/>
      <c r="BB60" s="3"/>
      <c r="BC60" s="3"/>
      <c r="BD60" s="3"/>
      <c r="BE60" s="3"/>
      <c r="BF60" s="3"/>
      <c r="BG60" s="153"/>
      <c r="BH60" s="153"/>
      <c r="BI60" s="153"/>
      <c r="BJ60" s="153"/>
      <c r="BK60" s="153"/>
      <c r="BL60" s="153"/>
      <c r="BM60" s="153"/>
      <c r="BN60" s="153"/>
      <c r="BO60" s="153"/>
      <c r="BP60" s="153"/>
      <c r="BQ60" s="153"/>
      <c r="BR60" s="153"/>
      <c r="BS60" s="153"/>
      <c r="BT60" s="153"/>
      <c r="BU60" s="153"/>
      <c r="BV60" s="3"/>
      <c r="BX60" s="14"/>
      <c r="BY60" s="16"/>
      <c r="BZ60" s="15"/>
      <c r="CA60" s="14"/>
      <c r="CB60" s="13"/>
      <c r="CC60" s="13"/>
      <c r="CD60" s="14"/>
      <c r="CE60" s="16"/>
      <c r="CF60" s="15"/>
      <c r="CG60" s="17"/>
      <c r="CH60" s="13"/>
      <c r="CI60" s="13"/>
      <c r="CJ60" s="14"/>
      <c r="CK60" s="16"/>
      <c r="CL60" s="15"/>
      <c r="CM60" s="17"/>
      <c r="CN60" s="13"/>
      <c r="CO60" s="13"/>
      <c r="CP60" s="14"/>
      <c r="CQ60" s="18"/>
      <c r="CR60" s="15"/>
      <c r="CS60" s="17"/>
      <c r="CT60" s="18"/>
      <c r="CU60" s="9"/>
      <c r="CV60" s="13"/>
      <c r="CW60" s="16"/>
      <c r="CX60" s="19"/>
      <c r="CY60" s="20"/>
      <c r="CZ60" s="21"/>
      <c r="DA60" s="21"/>
      <c r="DB60" s="49"/>
      <c r="DC60" s="49"/>
      <c r="DD60" s="49"/>
      <c r="DE60" s="50"/>
      <c r="DF60" s="50"/>
    </row>
    <row r="61" spans="1:110" s="4" customFormat="1" ht="13.5" x14ac:dyDescent="0.25">
      <c r="A61" s="3"/>
      <c r="B61" s="125"/>
      <c r="C61" s="126"/>
      <c r="D61" s="118"/>
      <c r="E61" s="126"/>
      <c r="F61" s="128" t="s">
        <v>112</v>
      </c>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7"/>
      <c r="BA61" s="3"/>
      <c r="BB61" s="3"/>
      <c r="BC61" s="3"/>
      <c r="BD61" s="3"/>
      <c r="BE61" s="3"/>
      <c r="BF61" s="3"/>
      <c r="BG61" s="3"/>
      <c r="BH61" s="3"/>
      <c r="BI61" s="3"/>
      <c r="BJ61" s="3"/>
      <c r="BK61" s="3"/>
      <c r="BL61" s="3"/>
      <c r="BM61" s="3"/>
      <c r="BN61" s="3"/>
      <c r="BO61" s="3"/>
      <c r="BP61" s="3"/>
      <c r="BQ61" s="3"/>
      <c r="BR61" s="3"/>
      <c r="BS61" s="3"/>
      <c r="BT61" s="3"/>
      <c r="BU61" s="3"/>
      <c r="BV61" s="3"/>
      <c r="BX61" s="48"/>
      <c r="BY61" s="48"/>
      <c r="BZ61" s="48"/>
      <c r="CA61" s="48"/>
      <c r="CB61" s="48"/>
      <c r="CC61" s="48"/>
      <c r="CD61" s="48"/>
      <c r="CE61" s="48"/>
      <c r="CF61" s="48"/>
      <c r="CG61" s="48"/>
      <c r="CH61" s="48"/>
      <c r="CI61" s="48"/>
      <c r="CJ61" s="48"/>
      <c r="CK61" s="48"/>
      <c r="CL61" s="48"/>
      <c r="CM61" s="48"/>
      <c r="CN61" s="48"/>
      <c r="CO61" s="48"/>
      <c r="CP61" s="48"/>
      <c r="CQ61" s="48"/>
      <c r="CR61" s="48"/>
      <c r="DB61" s="49"/>
      <c r="DC61" s="49"/>
      <c r="DD61" s="49"/>
      <c r="DE61" s="50"/>
      <c r="DF61" s="50"/>
    </row>
    <row r="62" spans="1:110" s="4" customFormat="1" ht="13.5" customHeight="1" x14ac:dyDescent="0.25">
      <c r="A62" s="3"/>
      <c r="B62" s="125"/>
      <c r="C62" s="126"/>
      <c r="D62" s="118"/>
      <c r="E62" s="118"/>
      <c r="F62" s="261" t="s">
        <v>53</v>
      </c>
      <c r="G62" s="261"/>
      <c r="H62" s="261"/>
      <c r="I62" s="261"/>
      <c r="J62" s="261"/>
      <c r="K62" s="261"/>
      <c r="L62" s="261" t="s">
        <v>113</v>
      </c>
      <c r="M62" s="261"/>
      <c r="N62" s="261"/>
      <c r="O62" s="261"/>
      <c r="P62" s="261"/>
      <c r="Q62" s="261"/>
      <c r="R62" s="261"/>
      <c r="S62" s="261" t="s">
        <v>114</v>
      </c>
      <c r="T62" s="261"/>
      <c r="U62" s="261"/>
      <c r="V62" s="261"/>
      <c r="W62" s="261"/>
      <c r="X62" s="261"/>
      <c r="Y62" s="261"/>
      <c r="Z62" s="261"/>
      <c r="AA62" s="261"/>
      <c r="AB62" s="261"/>
      <c r="AC62" s="261"/>
      <c r="AD62" s="261"/>
      <c r="AE62" s="261"/>
      <c r="AF62" s="261"/>
      <c r="AG62" s="261"/>
      <c r="AH62" s="261"/>
      <c r="AI62" s="261" t="s">
        <v>98</v>
      </c>
      <c r="AJ62" s="261"/>
      <c r="AK62" s="261"/>
      <c r="AL62" s="261"/>
      <c r="AM62" s="261"/>
      <c r="AN62" s="261"/>
      <c r="AO62" s="261"/>
      <c r="AP62" s="126"/>
      <c r="AQ62" s="126"/>
      <c r="AR62" s="126"/>
      <c r="AS62" s="126"/>
      <c r="AT62" s="126"/>
      <c r="AU62" s="126"/>
      <c r="AV62" s="126"/>
      <c r="AW62" s="126"/>
      <c r="AX62" s="126"/>
      <c r="AY62" s="126"/>
      <c r="AZ62" s="127"/>
      <c r="BA62" s="3"/>
      <c r="BB62" s="261" t="s">
        <v>129</v>
      </c>
      <c r="BC62" s="261"/>
      <c r="BD62" s="261"/>
      <c r="BE62" s="261"/>
      <c r="BF62" s="261"/>
      <c r="BG62" s="3"/>
      <c r="BH62" s="3"/>
      <c r="BI62" s="3"/>
      <c r="BJ62" s="3"/>
      <c r="BK62" s="3"/>
      <c r="BL62" s="3"/>
      <c r="BM62" s="3"/>
      <c r="BN62" s="3"/>
      <c r="BO62" s="3"/>
      <c r="BP62" s="3"/>
      <c r="BQ62" s="3"/>
      <c r="BR62" s="3"/>
      <c r="BS62" s="3"/>
      <c r="BT62" s="3"/>
      <c r="BU62" s="3"/>
      <c r="BV62" s="3"/>
      <c r="BX62" s="48"/>
      <c r="BY62" s="48"/>
      <c r="BZ62" s="48"/>
      <c r="CA62" s="48"/>
      <c r="CB62" s="48"/>
      <c r="CC62" s="48"/>
      <c r="CD62" s="48"/>
      <c r="CE62" s="48"/>
      <c r="CF62" s="48"/>
      <c r="CG62" s="48"/>
      <c r="CH62" s="48"/>
      <c r="CI62" s="48"/>
      <c r="CJ62" s="48"/>
      <c r="CK62" s="48"/>
      <c r="CL62" s="48"/>
      <c r="CM62" s="48"/>
      <c r="CN62" s="48"/>
      <c r="CO62" s="48"/>
      <c r="CP62" s="48"/>
      <c r="CQ62" s="48"/>
      <c r="CR62" s="48"/>
      <c r="DB62" s="49"/>
      <c r="DC62" s="49"/>
      <c r="DD62" s="49"/>
      <c r="DE62" s="50"/>
      <c r="DF62" s="50"/>
    </row>
    <row r="63" spans="1:110" s="4" customFormat="1" ht="13.5" x14ac:dyDescent="0.25">
      <c r="A63" s="3"/>
      <c r="B63" s="125"/>
      <c r="C63" s="126"/>
      <c r="D63" s="118"/>
      <c r="E63" s="118"/>
      <c r="F63" s="261"/>
      <c r="G63" s="261"/>
      <c r="H63" s="261"/>
      <c r="I63" s="261"/>
      <c r="J63" s="261"/>
      <c r="K63" s="261"/>
      <c r="L63" s="261"/>
      <c r="M63" s="261"/>
      <c r="N63" s="261"/>
      <c r="O63" s="261"/>
      <c r="P63" s="261"/>
      <c r="Q63" s="261"/>
      <c r="R63" s="261"/>
      <c r="S63" s="261" t="s">
        <v>115</v>
      </c>
      <c r="T63" s="261"/>
      <c r="U63" s="261"/>
      <c r="V63" s="261"/>
      <c r="W63" s="261"/>
      <c r="X63" s="261"/>
      <c r="Y63" s="261"/>
      <c r="Z63" s="261"/>
      <c r="AA63" s="261" t="s">
        <v>116</v>
      </c>
      <c r="AB63" s="261"/>
      <c r="AC63" s="261"/>
      <c r="AD63" s="261"/>
      <c r="AE63" s="261"/>
      <c r="AF63" s="261"/>
      <c r="AG63" s="261"/>
      <c r="AH63" s="261"/>
      <c r="AI63" s="261"/>
      <c r="AJ63" s="261"/>
      <c r="AK63" s="261"/>
      <c r="AL63" s="261"/>
      <c r="AM63" s="261"/>
      <c r="AN63" s="261"/>
      <c r="AO63" s="261"/>
      <c r="AP63" s="126"/>
      <c r="AQ63" s="126"/>
      <c r="AR63" s="126"/>
      <c r="AS63" s="126"/>
      <c r="AT63" s="126"/>
      <c r="AU63" s="126"/>
      <c r="AV63" s="126"/>
      <c r="AW63" s="126"/>
      <c r="AX63" s="126"/>
      <c r="AY63" s="126"/>
      <c r="AZ63" s="127"/>
      <c r="BA63" s="3"/>
      <c r="BB63" s="261"/>
      <c r="BC63" s="261"/>
      <c r="BD63" s="261"/>
      <c r="BE63" s="261"/>
      <c r="BF63" s="261"/>
      <c r="BG63" s="3"/>
      <c r="BH63" s="3"/>
      <c r="BI63" s="3"/>
      <c r="BJ63" s="3"/>
      <c r="BK63" s="3"/>
      <c r="BL63" s="3"/>
      <c r="BM63" s="3"/>
      <c r="BN63" s="3"/>
      <c r="BO63" s="3"/>
      <c r="BP63" s="3"/>
      <c r="BQ63" s="3"/>
      <c r="BR63" s="3"/>
      <c r="BS63" s="3"/>
      <c r="BT63" s="3"/>
      <c r="BU63" s="3"/>
      <c r="BV63" s="3"/>
      <c r="BX63" s="48"/>
      <c r="BY63" s="48"/>
      <c r="BZ63" s="48"/>
      <c r="CA63" s="48"/>
      <c r="CB63" s="48"/>
      <c r="CC63" s="48"/>
      <c r="CD63" s="48"/>
      <c r="CE63" s="48"/>
      <c r="CF63" s="48"/>
      <c r="CG63" s="48"/>
      <c r="CH63" s="48"/>
      <c r="CI63" s="48"/>
      <c r="CJ63" s="48"/>
      <c r="CK63" s="48"/>
      <c r="CL63" s="48"/>
      <c r="CM63" s="48"/>
      <c r="CN63" s="48"/>
      <c r="CO63" s="48"/>
      <c r="CP63" s="48"/>
      <c r="CQ63" s="48"/>
      <c r="CR63" s="48"/>
      <c r="DB63" s="49"/>
      <c r="DC63" s="49"/>
      <c r="DD63" s="49"/>
      <c r="DE63" s="50"/>
      <c r="DF63" s="50"/>
    </row>
    <row r="64" spans="1:110" s="4" customFormat="1" ht="13.5" x14ac:dyDescent="0.25">
      <c r="A64" s="3"/>
      <c r="B64" s="125"/>
      <c r="C64" s="126"/>
      <c r="D64" s="118"/>
      <c r="E64" s="118"/>
      <c r="F64" s="247" t="s">
        <v>111</v>
      </c>
      <c r="G64" s="247"/>
      <c r="H64" s="247"/>
      <c r="I64" s="247"/>
      <c r="J64" s="247"/>
      <c r="K64" s="247"/>
      <c r="L64" s="248">
        <v>25</v>
      </c>
      <c r="M64" s="249"/>
      <c r="N64" s="249"/>
      <c r="O64" s="249"/>
      <c r="P64" s="250" t="s">
        <v>57</v>
      </c>
      <c r="Q64" s="250"/>
      <c r="R64" s="251"/>
      <c r="S64" s="247" t="s">
        <v>117</v>
      </c>
      <c r="T64" s="247"/>
      <c r="U64" s="247"/>
      <c r="V64" s="247"/>
      <c r="W64" s="247"/>
      <c r="X64" s="247"/>
      <c r="Y64" s="247"/>
      <c r="Z64" s="247"/>
      <c r="AA64" s="247" t="s">
        <v>117</v>
      </c>
      <c r="AB64" s="247"/>
      <c r="AC64" s="247"/>
      <c r="AD64" s="247"/>
      <c r="AE64" s="247"/>
      <c r="AF64" s="247"/>
      <c r="AG64" s="247"/>
      <c r="AH64" s="247"/>
      <c r="AI64" s="247" t="str">
        <f>IF(AA64=S64,"PASS","FAIL")</f>
        <v>PASS</v>
      </c>
      <c r="AJ64" s="247"/>
      <c r="AK64" s="247"/>
      <c r="AL64" s="247"/>
      <c r="AM64" s="247"/>
      <c r="AN64" s="247"/>
      <c r="AO64" s="247"/>
      <c r="AP64" s="126"/>
      <c r="AQ64" s="126"/>
      <c r="AR64" s="126"/>
      <c r="AS64" s="126"/>
      <c r="AT64" s="126"/>
      <c r="AU64" s="126"/>
      <c r="AV64" s="126"/>
      <c r="AW64" s="126"/>
      <c r="AX64" s="126"/>
      <c r="AY64" s="126"/>
      <c r="AZ64" s="127"/>
      <c r="BA64" s="3"/>
      <c r="BB64" s="245" t="s">
        <v>130</v>
      </c>
      <c r="BC64" s="245"/>
      <c r="BD64" s="245"/>
      <c r="BE64" s="245"/>
      <c r="BF64" s="245"/>
      <c r="BG64" s="3"/>
      <c r="BH64" s="3"/>
      <c r="BI64" s="3"/>
      <c r="BJ64" s="3"/>
      <c r="BK64" s="3"/>
      <c r="BL64" s="3"/>
      <c r="BM64" s="3"/>
      <c r="BN64" s="3"/>
      <c r="BO64" s="3"/>
      <c r="BP64" s="3"/>
      <c r="BQ64" s="3"/>
      <c r="BR64" s="3"/>
      <c r="BS64" s="3"/>
      <c r="BT64" s="3"/>
      <c r="BU64" s="3"/>
      <c r="BV64" s="3"/>
      <c r="BX64" s="48"/>
      <c r="BY64" s="48"/>
      <c r="BZ64" s="48"/>
      <c r="CA64" s="48"/>
      <c r="CB64" s="48"/>
      <c r="CC64" s="48"/>
      <c r="CD64" s="48"/>
      <c r="CE64" s="48"/>
      <c r="CF64" s="48"/>
      <c r="CG64" s="48"/>
      <c r="CH64" s="48"/>
      <c r="CI64" s="48"/>
      <c r="CJ64" s="48"/>
      <c r="CK64" s="48"/>
      <c r="CL64" s="48"/>
      <c r="CM64" s="48"/>
      <c r="CN64" s="48"/>
      <c r="CO64" s="48"/>
      <c r="CP64" s="48"/>
      <c r="CQ64" s="48"/>
      <c r="CR64" s="48"/>
      <c r="DB64" s="49"/>
      <c r="DC64" s="49"/>
      <c r="DD64" s="49"/>
      <c r="DE64" s="50"/>
      <c r="DF64" s="50"/>
    </row>
    <row r="65" spans="1:111" s="4" customFormat="1" ht="13.5" x14ac:dyDescent="0.25">
      <c r="A65" s="3"/>
      <c r="B65" s="125"/>
      <c r="C65" s="126"/>
      <c r="D65" s="118"/>
      <c r="E65" s="118"/>
      <c r="F65" s="247" t="s">
        <v>111</v>
      </c>
      <c r="G65" s="247"/>
      <c r="H65" s="247"/>
      <c r="I65" s="247"/>
      <c r="J65" s="247"/>
      <c r="K65" s="247"/>
      <c r="L65" s="248">
        <v>250</v>
      </c>
      <c r="M65" s="249"/>
      <c r="N65" s="249"/>
      <c r="O65" s="249"/>
      <c r="P65" s="250" t="s">
        <v>57</v>
      </c>
      <c r="Q65" s="250"/>
      <c r="R65" s="251"/>
      <c r="S65" s="247" t="s">
        <v>118</v>
      </c>
      <c r="T65" s="247"/>
      <c r="U65" s="247"/>
      <c r="V65" s="247"/>
      <c r="W65" s="247"/>
      <c r="X65" s="247"/>
      <c r="Y65" s="247"/>
      <c r="Z65" s="247"/>
      <c r="AA65" s="247" t="s">
        <v>118</v>
      </c>
      <c r="AB65" s="247"/>
      <c r="AC65" s="247"/>
      <c r="AD65" s="247"/>
      <c r="AE65" s="247"/>
      <c r="AF65" s="247"/>
      <c r="AG65" s="247"/>
      <c r="AH65" s="247"/>
      <c r="AI65" s="247" t="str">
        <f>IF(AA65=S65,"PASS","FAIL")</f>
        <v>PASS</v>
      </c>
      <c r="AJ65" s="247"/>
      <c r="AK65" s="247"/>
      <c r="AL65" s="247"/>
      <c r="AM65" s="247"/>
      <c r="AN65" s="247"/>
      <c r="AO65" s="247"/>
      <c r="AP65" s="126"/>
      <c r="AQ65" s="126"/>
      <c r="AR65" s="126"/>
      <c r="AS65" s="126"/>
      <c r="AT65" s="126"/>
      <c r="AU65" s="126"/>
      <c r="AV65" s="126"/>
      <c r="AW65" s="126"/>
      <c r="AX65" s="126"/>
      <c r="AY65" s="126"/>
      <c r="AZ65" s="127"/>
      <c r="BA65" s="3"/>
      <c r="BB65" s="245" t="s">
        <v>131</v>
      </c>
      <c r="BC65" s="245"/>
      <c r="BD65" s="245"/>
      <c r="BE65" s="245"/>
      <c r="BF65" s="245"/>
      <c r="BG65" s="3"/>
      <c r="BH65" s="3"/>
      <c r="BI65" s="3"/>
      <c r="BJ65" s="3"/>
      <c r="BK65" s="3"/>
      <c r="BL65" s="3"/>
      <c r="BM65" s="3"/>
      <c r="BN65" s="3"/>
      <c r="BO65" s="3"/>
      <c r="BP65" s="3"/>
      <c r="BQ65" s="3"/>
      <c r="BR65" s="3"/>
      <c r="BS65" s="3"/>
      <c r="BT65" s="3"/>
      <c r="BU65" s="3"/>
      <c r="BV65" s="3"/>
      <c r="BX65" s="48"/>
      <c r="BY65" s="48"/>
      <c r="BZ65" s="48"/>
      <c r="CA65" s="48"/>
      <c r="CB65" s="48"/>
      <c r="CC65" s="48"/>
      <c r="CD65" s="48"/>
      <c r="CE65" s="48"/>
      <c r="CF65" s="48"/>
      <c r="CG65" s="48"/>
      <c r="CH65" s="48"/>
      <c r="CI65" s="48"/>
      <c r="CJ65" s="48"/>
      <c r="CK65" s="48"/>
      <c r="CL65" s="48"/>
      <c r="CM65" s="48"/>
      <c r="CN65" s="48"/>
      <c r="CO65" s="48"/>
      <c r="CP65" s="48"/>
      <c r="CQ65" s="48"/>
      <c r="CR65" s="48"/>
      <c r="DB65" s="49"/>
      <c r="DC65" s="49"/>
      <c r="DD65" s="49"/>
      <c r="DE65" s="50"/>
      <c r="DF65" s="50"/>
    </row>
    <row r="66" spans="1:111" s="4" customFormat="1" ht="14.25" thickBot="1" x14ac:dyDescent="0.3">
      <c r="A66" s="3"/>
      <c r="B66" s="125"/>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7"/>
      <c r="BA66" s="3"/>
      <c r="BB66" s="3"/>
      <c r="BC66" s="3"/>
      <c r="BD66" s="3"/>
      <c r="BE66" s="3"/>
      <c r="BF66" s="3"/>
      <c r="BG66" s="3"/>
      <c r="BH66" s="3"/>
      <c r="BI66" s="3"/>
      <c r="BJ66" s="3"/>
      <c r="BK66" s="3"/>
      <c r="BL66" s="3"/>
      <c r="BM66" s="3"/>
      <c r="BN66" s="3"/>
      <c r="BO66" s="3"/>
      <c r="BP66" s="3"/>
      <c r="BQ66" s="3"/>
      <c r="BR66" s="3"/>
      <c r="BS66" s="3"/>
      <c r="BT66" s="3"/>
      <c r="BU66" s="3"/>
      <c r="BV66" s="3"/>
      <c r="BX66" s="48"/>
      <c r="BY66" s="48"/>
      <c r="BZ66" s="48"/>
      <c r="CA66" s="48"/>
      <c r="CB66" s="48"/>
      <c r="CC66" s="48"/>
      <c r="CD66" s="48"/>
      <c r="CE66" s="48"/>
      <c r="CF66" s="48"/>
      <c r="CG66" s="48"/>
      <c r="CH66" s="48"/>
      <c r="CI66" s="48"/>
      <c r="CJ66" s="48"/>
      <c r="CK66" s="48"/>
      <c r="CL66" s="48"/>
      <c r="CM66" s="48"/>
      <c r="CN66" s="48"/>
      <c r="CO66" s="48"/>
      <c r="CP66" s="48"/>
      <c r="CQ66" s="48"/>
      <c r="CR66" s="48"/>
      <c r="DB66" s="49"/>
      <c r="DC66" s="49"/>
      <c r="DD66" s="49"/>
      <c r="DE66" s="50"/>
      <c r="DF66" s="50"/>
    </row>
    <row r="67" spans="1:111" s="4" customFormat="1" ht="13.5" customHeight="1" thickBot="1" x14ac:dyDescent="0.3">
      <c r="A67" s="3"/>
      <c r="B67" s="125"/>
      <c r="C67" s="126"/>
      <c r="D67" s="118"/>
      <c r="E67" s="126"/>
      <c r="F67" s="128" t="s">
        <v>97</v>
      </c>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7"/>
      <c r="BA67" s="3"/>
      <c r="BB67" s="3"/>
      <c r="BC67" s="3"/>
      <c r="BD67" s="3"/>
      <c r="BE67" s="3"/>
      <c r="BF67" s="3"/>
      <c r="BG67" s="3"/>
      <c r="BH67" s="3"/>
      <c r="BI67" s="3"/>
      <c r="BJ67" s="3"/>
      <c r="BK67" s="3"/>
      <c r="BL67" s="3"/>
      <c r="BM67" s="3"/>
      <c r="BN67" s="3"/>
      <c r="BO67" s="3"/>
      <c r="BP67" s="3"/>
      <c r="BQ67" s="3"/>
      <c r="BR67" s="3"/>
      <c r="BS67" s="3"/>
      <c r="BT67" s="3"/>
      <c r="BU67" s="3"/>
      <c r="BV67" s="3"/>
      <c r="BX67" s="218" t="s">
        <v>51</v>
      </c>
      <c r="BY67" s="219"/>
      <c r="BZ67" s="219"/>
      <c r="CA67" s="219"/>
      <c r="CB67" s="220"/>
      <c r="CC67" s="11"/>
      <c r="CD67" s="218" t="s">
        <v>51</v>
      </c>
      <c r="CE67" s="219"/>
      <c r="CF67" s="219"/>
      <c r="CG67" s="219"/>
      <c r="CH67" s="220"/>
      <c r="CI67" s="11"/>
      <c r="CJ67" s="218" t="s">
        <v>153</v>
      </c>
      <c r="CK67" s="219"/>
      <c r="CL67" s="219"/>
      <c r="CM67" s="219"/>
      <c r="CN67" s="220"/>
      <c r="CO67" s="11"/>
      <c r="CP67" s="218" t="s">
        <v>153</v>
      </c>
      <c r="CQ67" s="219"/>
      <c r="CR67" s="219"/>
      <c r="CS67" s="219"/>
      <c r="CT67" s="220"/>
      <c r="CU67" s="5"/>
      <c r="CV67" s="218" t="s">
        <v>39</v>
      </c>
      <c r="CW67" s="219"/>
      <c r="CX67" s="219"/>
      <c r="CY67" s="219"/>
      <c r="CZ67" s="220"/>
      <c r="DA67" s="11"/>
      <c r="DB67" s="231" t="s">
        <v>152</v>
      </c>
      <c r="DC67" s="232"/>
      <c r="DD67" s="49"/>
      <c r="DE67" s="237" t="s">
        <v>143</v>
      </c>
      <c r="DF67" s="238"/>
    </row>
    <row r="68" spans="1:111" s="4" customFormat="1" ht="13.5" customHeight="1" x14ac:dyDescent="0.25">
      <c r="A68" s="3"/>
      <c r="B68" s="125"/>
      <c r="C68" s="126"/>
      <c r="D68" s="118"/>
      <c r="E68" s="118"/>
      <c r="F68" s="261" t="s">
        <v>53</v>
      </c>
      <c r="G68" s="261"/>
      <c r="H68" s="261"/>
      <c r="I68" s="261"/>
      <c r="J68" s="261"/>
      <c r="K68" s="261"/>
      <c r="L68" s="261" t="s">
        <v>61</v>
      </c>
      <c r="M68" s="261"/>
      <c r="N68" s="261"/>
      <c r="O68" s="261"/>
      <c r="P68" s="261"/>
      <c r="Q68" s="261"/>
      <c r="R68" s="261"/>
      <c r="S68" s="261" t="s">
        <v>106</v>
      </c>
      <c r="T68" s="261"/>
      <c r="U68" s="261"/>
      <c r="V68" s="261"/>
      <c r="W68" s="261"/>
      <c r="X68" s="261" t="s">
        <v>95</v>
      </c>
      <c r="Y68" s="261"/>
      <c r="Z68" s="261"/>
      <c r="AA68" s="261"/>
      <c r="AB68" s="261"/>
      <c r="AC68" s="261"/>
      <c r="AD68" s="261"/>
      <c r="AE68" s="261"/>
      <c r="AF68" s="261"/>
      <c r="AG68" s="261"/>
      <c r="AH68" s="261"/>
      <c r="AI68" s="261"/>
      <c r="AJ68" s="261"/>
      <c r="AK68" s="261"/>
      <c r="AL68" s="261"/>
      <c r="AM68" s="261" t="s">
        <v>107</v>
      </c>
      <c r="AN68" s="261"/>
      <c r="AO68" s="261"/>
      <c r="AP68" s="261"/>
      <c r="AQ68" s="261"/>
      <c r="AR68" s="261" t="s">
        <v>63</v>
      </c>
      <c r="AS68" s="261"/>
      <c r="AT68" s="261"/>
      <c r="AU68" s="261"/>
      <c r="AV68" s="261"/>
      <c r="AW68" s="126"/>
      <c r="AX68" s="126"/>
      <c r="AY68" s="126"/>
      <c r="AZ68" s="127"/>
      <c r="BA68" s="3"/>
      <c r="BB68" s="261" t="s">
        <v>129</v>
      </c>
      <c r="BC68" s="261"/>
      <c r="BD68" s="261"/>
      <c r="BE68" s="261"/>
      <c r="BF68" s="261"/>
      <c r="BG68" s="261" t="s">
        <v>99</v>
      </c>
      <c r="BH68" s="261"/>
      <c r="BI68" s="261"/>
      <c r="BJ68" s="261"/>
      <c r="BK68" s="261"/>
      <c r="BL68" s="261" t="s">
        <v>100</v>
      </c>
      <c r="BM68" s="261"/>
      <c r="BN68" s="261"/>
      <c r="BO68" s="261"/>
      <c r="BP68" s="261"/>
      <c r="BQ68" s="261" t="s">
        <v>98</v>
      </c>
      <c r="BR68" s="261"/>
      <c r="BS68" s="261"/>
      <c r="BT68" s="261"/>
      <c r="BU68" s="261"/>
      <c r="BV68" s="3"/>
      <c r="BX68" s="243" t="s">
        <v>27</v>
      </c>
      <c r="BY68" s="221" t="s">
        <v>151</v>
      </c>
      <c r="BZ68" s="222"/>
      <c r="CA68" s="263" t="s">
        <v>28</v>
      </c>
      <c r="CB68" s="265" t="s">
        <v>37</v>
      </c>
      <c r="CC68" s="12"/>
      <c r="CD68" s="243" t="s">
        <v>27</v>
      </c>
      <c r="CE68" s="221" t="s">
        <v>151</v>
      </c>
      <c r="CF68" s="222"/>
      <c r="CG68" s="263" t="s">
        <v>28</v>
      </c>
      <c r="CH68" s="265" t="s">
        <v>37</v>
      </c>
      <c r="CI68" s="12"/>
      <c r="CJ68" s="243" t="s">
        <v>27</v>
      </c>
      <c r="CK68" s="221" t="s">
        <v>151</v>
      </c>
      <c r="CL68" s="222"/>
      <c r="CM68" s="263" t="s">
        <v>28</v>
      </c>
      <c r="CN68" s="265" t="s">
        <v>37</v>
      </c>
      <c r="CO68" s="12"/>
      <c r="CP68" s="243" t="s">
        <v>27</v>
      </c>
      <c r="CQ68" s="221" t="s">
        <v>151</v>
      </c>
      <c r="CR68" s="222"/>
      <c r="CS68" s="263" t="s">
        <v>28</v>
      </c>
      <c r="CT68" s="265" t="s">
        <v>37</v>
      </c>
      <c r="CU68" s="6"/>
      <c r="CV68" s="172" t="s">
        <v>29</v>
      </c>
      <c r="CW68" s="81" t="s">
        <v>30</v>
      </c>
      <c r="CX68" s="174" t="s">
        <v>40</v>
      </c>
      <c r="CY68" s="243" t="s">
        <v>31</v>
      </c>
      <c r="CZ68" s="267"/>
      <c r="DA68" s="12"/>
      <c r="DB68" s="233"/>
      <c r="DC68" s="234"/>
      <c r="DD68" s="129"/>
      <c r="DE68" s="239"/>
      <c r="DF68" s="240"/>
    </row>
    <row r="69" spans="1:111" s="4" customFormat="1" ht="14.25" thickBot="1" x14ac:dyDescent="0.3">
      <c r="A69" s="3"/>
      <c r="B69" s="125"/>
      <c r="C69" s="126"/>
      <c r="D69" s="118"/>
      <c r="E69" s="118"/>
      <c r="F69" s="261"/>
      <c r="G69" s="261"/>
      <c r="H69" s="261"/>
      <c r="I69" s="261"/>
      <c r="J69" s="261"/>
      <c r="K69" s="261"/>
      <c r="L69" s="261"/>
      <c r="M69" s="261"/>
      <c r="N69" s="261"/>
      <c r="O69" s="261"/>
      <c r="P69" s="261"/>
      <c r="Q69" s="261"/>
      <c r="R69" s="261"/>
      <c r="S69" s="261"/>
      <c r="T69" s="261"/>
      <c r="U69" s="261"/>
      <c r="V69" s="261"/>
      <c r="W69" s="261"/>
      <c r="X69" s="261">
        <v>1</v>
      </c>
      <c r="Y69" s="261"/>
      <c r="Z69" s="261"/>
      <c r="AA69" s="261"/>
      <c r="AB69" s="261"/>
      <c r="AC69" s="261">
        <v>2</v>
      </c>
      <c r="AD69" s="261"/>
      <c r="AE69" s="261"/>
      <c r="AF69" s="261"/>
      <c r="AG69" s="261"/>
      <c r="AH69" s="261">
        <v>3</v>
      </c>
      <c r="AI69" s="261"/>
      <c r="AJ69" s="261"/>
      <c r="AK69" s="261"/>
      <c r="AL69" s="261"/>
      <c r="AM69" s="261"/>
      <c r="AN69" s="261"/>
      <c r="AO69" s="261"/>
      <c r="AP69" s="261"/>
      <c r="AQ69" s="261"/>
      <c r="AR69" s="261"/>
      <c r="AS69" s="261"/>
      <c r="AT69" s="261"/>
      <c r="AU69" s="261"/>
      <c r="AV69" s="261"/>
      <c r="AW69" s="126"/>
      <c r="AX69" s="126"/>
      <c r="AY69" s="126"/>
      <c r="AZ69" s="127"/>
      <c r="BA69" s="3"/>
      <c r="BB69" s="261"/>
      <c r="BC69" s="261"/>
      <c r="BD69" s="261"/>
      <c r="BE69" s="261"/>
      <c r="BF69" s="261"/>
      <c r="BG69" s="261"/>
      <c r="BH69" s="261"/>
      <c r="BI69" s="261"/>
      <c r="BJ69" s="261"/>
      <c r="BK69" s="261"/>
      <c r="BL69" s="261"/>
      <c r="BM69" s="261"/>
      <c r="BN69" s="261"/>
      <c r="BO69" s="261"/>
      <c r="BP69" s="261"/>
      <c r="BQ69" s="261"/>
      <c r="BR69" s="261"/>
      <c r="BS69" s="261"/>
      <c r="BT69" s="261"/>
      <c r="BU69" s="261"/>
      <c r="BV69" s="3"/>
      <c r="BX69" s="244"/>
      <c r="BY69" s="223"/>
      <c r="BZ69" s="224"/>
      <c r="CA69" s="264"/>
      <c r="CB69" s="266"/>
      <c r="CC69" s="12"/>
      <c r="CD69" s="244"/>
      <c r="CE69" s="223"/>
      <c r="CF69" s="224"/>
      <c r="CG69" s="264"/>
      <c r="CH69" s="266"/>
      <c r="CI69" s="12"/>
      <c r="CJ69" s="244"/>
      <c r="CK69" s="223"/>
      <c r="CL69" s="224"/>
      <c r="CM69" s="264"/>
      <c r="CN69" s="266"/>
      <c r="CO69" s="12"/>
      <c r="CP69" s="244"/>
      <c r="CQ69" s="223"/>
      <c r="CR69" s="224"/>
      <c r="CS69" s="264"/>
      <c r="CT69" s="266"/>
      <c r="CU69" s="6"/>
      <c r="CV69" s="173" t="s">
        <v>32</v>
      </c>
      <c r="CW69" s="82" t="s">
        <v>33</v>
      </c>
      <c r="CX69" s="175" t="s">
        <v>34</v>
      </c>
      <c r="CY69" s="244" t="s">
        <v>35</v>
      </c>
      <c r="CZ69" s="262"/>
      <c r="DA69" s="12"/>
      <c r="DB69" s="235"/>
      <c r="DC69" s="236"/>
      <c r="DD69" s="129"/>
      <c r="DE69" s="241"/>
      <c r="DF69" s="242"/>
    </row>
    <row r="70" spans="1:111" s="4" customFormat="1" ht="13.5" x14ac:dyDescent="0.25">
      <c r="A70" s="3"/>
      <c r="B70" s="125"/>
      <c r="C70" s="126"/>
      <c r="D70" s="126"/>
      <c r="E70" s="126"/>
      <c r="F70" s="247" t="s">
        <v>103</v>
      </c>
      <c r="G70" s="247"/>
      <c r="H70" s="247"/>
      <c r="I70" s="247"/>
      <c r="J70" s="247"/>
      <c r="K70" s="247"/>
      <c r="L70" s="248">
        <v>5</v>
      </c>
      <c r="M70" s="249"/>
      <c r="N70" s="249"/>
      <c r="O70" s="249"/>
      <c r="P70" s="250" t="s">
        <v>56</v>
      </c>
      <c r="Q70" s="250"/>
      <c r="R70" s="251"/>
      <c r="S70" s="257" t="s">
        <v>108</v>
      </c>
      <c r="T70" s="257"/>
      <c r="U70" s="257"/>
      <c r="V70" s="257"/>
      <c r="W70" s="257"/>
      <c r="X70" s="252"/>
      <c r="Y70" s="252"/>
      <c r="Z70" s="252"/>
      <c r="AA70" s="252"/>
      <c r="AB70" s="252"/>
      <c r="AC70" s="252"/>
      <c r="AD70" s="252"/>
      <c r="AE70" s="252"/>
      <c r="AF70" s="252"/>
      <c r="AG70" s="252"/>
      <c r="AH70" s="252"/>
      <c r="AI70" s="252"/>
      <c r="AJ70" s="252"/>
      <c r="AK70" s="252"/>
      <c r="AL70" s="252"/>
      <c r="AM70" s="252" t="e">
        <f>ROUND(AVERAGE(X70:AL70),3)</f>
        <v>#DIV/0!</v>
      </c>
      <c r="AN70" s="252"/>
      <c r="AO70" s="252"/>
      <c r="AP70" s="252"/>
      <c r="AQ70" s="252"/>
      <c r="AR70" s="252" t="e">
        <f>AM70-L70</f>
        <v>#DIV/0!</v>
      </c>
      <c r="AS70" s="252"/>
      <c r="AT70" s="252"/>
      <c r="AU70" s="252"/>
      <c r="AV70" s="252"/>
      <c r="AW70" s="126"/>
      <c r="AX70" s="126"/>
      <c r="AY70" s="126"/>
      <c r="AZ70" s="127"/>
      <c r="BA70" s="3"/>
      <c r="BB70" s="252">
        <f>ROUND((BG70-L70),3)</f>
        <v>5.2999999999999999E-2</v>
      </c>
      <c r="BC70" s="252"/>
      <c r="BD70" s="252"/>
      <c r="BE70" s="252"/>
      <c r="BF70" s="252"/>
      <c r="BG70" s="252">
        <v>5.0529999999999999</v>
      </c>
      <c r="BH70" s="252"/>
      <c r="BI70" s="252"/>
      <c r="BJ70" s="252"/>
      <c r="BK70" s="252"/>
      <c r="BL70" s="252">
        <v>4.9470000000000001</v>
      </c>
      <c r="BM70" s="252"/>
      <c r="BN70" s="252"/>
      <c r="BO70" s="252"/>
      <c r="BP70" s="252"/>
      <c r="BQ70" s="246" t="e">
        <f t="shared" ref="BQ70:BQ75" si="29">IF(AND(AM70&lt;=BG70,AM70&gt;=BL70),"PASS","FAIL")</f>
        <v>#DIV/0!</v>
      </c>
      <c r="BR70" s="246"/>
      <c r="BS70" s="246"/>
      <c r="BT70" s="246"/>
      <c r="BU70" s="246"/>
      <c r="BV70" s="3"/>
      <c r="BX70" s="54" t="s">
        <v>36</v>
      </c>
      <c r="BY70" s="154">
        <v>7.3000000000000001E-3</v>
      </c>
      <c r="BZ70" s="55" t="str">
        <f t="shared" ref="BZ70:BZ75" si="30">P70</f>
        <v>V</v>
      </c>
      <c r="CA70" s="131">
        <v>2</v>
      </c>
      <c r="CB70" s="59">
        <f t="shared" ref="CB70" si="31">BY70/CA70</f>
        <v>3.65E-3</v>
      </c>
      <c r="CC70" s="13"/>
      <c r="CD70" s="54" t="s">
        <v>150</v>
      </c>
      <c r="CE70" s="132">
        <v>0</v>
      </c>
      <c r="CF70" s="55" t="str">
        <f t="shared" ref="CF70:CF75" si="32">BZ70</f>
        <v>V</v>
      </c>
      <c r="CG70" s="56">
        <f t="shared" ref="CG70:CG75" si="33">SQRT(3)</f>
        <v>1.7320508075688772</v>
      </c>
      <c r="CH70" s="59">
        <f t="shared" ref="CH70:CH75" si="34">CE70/CG70</f>
        <v>0</v>
      </c>
      <c r="CI70" s="13"/>
      <c r="CJ70" s="63" t="s">
        <v>59</v>
      </c>
      <c r="CK70" s="155">
        <v>1E-3</v>
      </c>
      <c r="CL70" s="65" t="str">
        <f t="shared" ref="CL70:CL75" si="35">P70</f>
        <v>V</v>
      </c>
      <c r="CM70" s="67">
        <f t="shared" ref="CM70:CM75" si="36">SQRT(12)</f>
        <v>3.4641016151377544</v>
      </c>
      <c r="CN70" s="62">
        <f t="shared" ref="CN70" si="37">CK70/CM70</f>
        <v>2.886751345948129E-4</v>
      </c>
      <c r="CO70" s="13"/>
      <c r="CP70" s="63" t="s">
        <v>38</v>
      </c>
      <c r="CQ70" s="64" t="e">
        <f t="shared" ref="CQ70:CQ75" si="38">_xlfn.STDEV.P(X70:AL70)</f>
        <v>#DIV/0!</v>
      </c>
      <c r="CR70" s="65" t="str">
        <f t="shared" ref="CR70:CR75" si="39">P70</f>
        <v>V</v>
      </c>
      <c r="CS70" s="67">
        <f t="shared" ref="CS70:CS75" si="40">SQRT(3)</f>
        <v>1.7320508075688772</v>
      </c>
      <c r="CT70" s="68" t="e">
        <f t="shared" ref="CT70" si="41">CQ70/CS70</f>
        <v>#DIV/0!</v>
      </c>
      <c r="CU70" s="9"/>
      <c r="CV70" s="188" t="e">
        <f t="shared" ref="CV70:CV75" si="42">SQRT(SUMSQ(CT70,CN70,CH70,CB70))</f>
        <v>#DIV/0!</v>
      </c>
      <c r="CW70" s="132" t="e">
        <f t="shared" ref="CW70:CW75" si="43">(CV70^4)/(((CT70^4)/2)+((CN70^4)/200)+((CH70^4)/200)+((CB70^4)/200))</f>
        <v>#DIV/0!</v>
      </c>
      <c r="CX70" s="83" t="e">
        <f t="shared" ref="CX70" si="44">ROUND(TINV(0.05,CW70),0)</f>
        <v>#DIV/0!</v>
      </c>
      <c r="CY70" s="86" t="e">
        <f>ROUND((CV70*CX70),4)</f>
        <v>#DIV/0!</v>
      </c>
      <c r="CZ70" s="80" t="str">
        <f t="shared" ref="CZ70:CZ75" si="45">P70</f>
        <v>V</v>
      </c>
      <c r="DA70" s="21"/>
      <c r="DB70" s="156">
        <v>8.5000000000000006E-5</v>
      </c>
      <c r="DC70" s="157" t="str">
        <f t="shared" ref="DC70:DC75" si="46">CZ70</f>
        <v>V</v>
      </c>
      <c r="DD70" s="136"/>
      <c r="DE70" s="137" t="e">
        <f>MAX(CY70:DB70)</f>
        <v>#DIV/0!</v>
      </c>
      <c r="DF70" s="138" t="str">
        <f t="shared" ref="DF70:DF75" si="47">CZ70</f>
        <v>V</v>
      </c>
    </row>
    <row r="71" spans="1:111" s="4" customFormat="1" ht="13.5" x14ac:dyDescent="0.25">
      <c r="A71" s="3"/>
      <c r="B71" s="125"/>
      <c r="C71" s="126"/>
      <c r="D71" s="126"/>
      <c r="E71" s="126"/>
      <c r="F71" s="247" t="s">
        <v>103</v>
      </c>
      <c r="G71" s="247"/>
      <c r="H71" s="247"/>
      <c r="I71" s="247"/>
      <c r="J71" s="247"/>
      <c r="K71" s="247"/>
      <c r="L71" s="248">
        <v>5</v>
      </c>
      <c r="M71" s="249"/>
      <c r="N71" s="249"/>
      <c r="O71" s="249"/>
      <c r="P71" s="250" t="s">
        <v>56</v>
      </c>
      <c r="Q71" s="250"/>
      <c r="R71" s="251"/>
      <c r="S71" s="257" t="s">
        <v>60</v>
      </c>
      <c r="T71" s="257"/>
      <c r="U71" s="257"/>
      <c r="V71" s="257"/>
      <c r="W71" s="257"/>
      <c r="X71" s="252"/>
      <c r="Y71" s="252"/>
      <c r="Z71" s="252"/>
      <c r="AA71" s="252"/>
      <c r="AB71" s="252"/>
      <c r="AC71" s="252"/>
      <c r="AD71" s="252"/>
      <c r="AE71" s="252"/>
      <c r="AF71" s="252"/>
      <c r="AG71" s="252"/>
      <c r="AH71" s="252"/>
      <c r="AI71" s="252"/>
      <c r="AJ71" s="252"/>
      <c r="AK71" s="252"/>
      <c r="AL71" s="252"/>
      <c r="AM71" s="252" t="e">
        <f>ROUND(AVERAGE(X71:AL71),3)</f>
        <v>#DIV/0!</v>
      </c>
      <c r="AN71" s="252"/>
      <c r="AO71" s="252"/>
      <c r="AP71" s="252"/>
      <c r="AQ71" s="252"/>
      <c r="AR71" s="252" t="e">
        <f t="shared" ref="AR71:AR75" si="48">AM71-L71</f>
        <v>#DIV/0!</v>
      </c>
      <c r="AS71" s="252"/>
      <c r="AT71" s="252"/>
      <c r="AU71" s="252"/>
      <c r="AV71" s="252"/>
      <c r="AW71" s="126"/>
      <c r="AX71" s="126"/>
      <c r="AY71" s="126"/>
      <c r="AZ71" s="127"/>
      <c r="BA71" s="3"/>
      <c r="BB71" s="252">
        <f>ROUND((BG71-L71),3)</f>
        <v>0.10299999999999999</v>
      </c>
      <c r="BC71" s="252"/>
      <c r="BD71" s="252"/>
      <c r="BE71" s="252"/>
      <c r="BF71" s="252"/>
      <c r="BG71" s="252">
        <v>5.1029999999999998</v>
      </c>
      <c r="BH71" s="252"/>
      <c r="BI71" s="252"/>
      <c r="BJ71" s="252"/>
      <c r="BK71" s="252"/>
      <c r="BL71" s="252">
        <v>4.8970000000000002</v>
      </c>
      <c r="BM71" s="252"/>
      <c r="BN71" s="252"/>
      <c r="BO71" s="252"/>
      <c r="BP71" s="252"/>
      <c r="BQ71" s="246" t="e">
        <f t="shared" si="29"/>
        <v>#DIV/0!</v>
      </c>
      <c r="BR71" s="246"/>
      <c r="BS71" s="246"/>
      <c r="BT71" s="246"/>
      <c r="BU71" s="246"/>
      <c r="BV71" s="3"/>
      <c r="BX71" s="51" t="s">
        <v>36</v>
      </c>
      <c r="BY71" s="143">
        <v>7.3000000000000001E-3</v>
      </c>
      <c r="BZ71" s="7" t="str">
        <f t="shared" si="30"/>
        <v>V</v>
      </c>
      <c r="CA71" s="140">
        <v>2</v>
      </c>
      <c r="CB71" s="60">
        <f t="shared" ref="CB71:CB75" si="49">BY71/CA71</f>
        <v>3.65E-3</v>
      </c>
      <c r="CC71" s="13"/>
      <c r="CD71" s="51" t="s">
        <v>150</v>
      </c>
      <c r="CE71" s="139">
        <v>0</v>
      </c>
      <c r="CF71" s="7" t="str">
        <f t="shared" si="32"/>
        <v>V</v>
      </c>
      <c r="CG71" s="57">
        <f t="shared" si="33"/>
        <v>1.7320508075688772</v>
      </c>
      <c r="CH71" s="60">
        <f t="shared" si="34"/>
        <v>0</v>
      </c>
      <c r="CI71" s="13"/>
      <c r="CJ71" s="51" t="s">
        <v>59</v>
      </c>
      <c r="CK71" s="133">
        <v>1E-3</v>
      </c>
      <c r="CL71" s="7" t="str">
        <f t="shared" si="35"/>
        <v>V</v>
      </c>
      <c r="CM71" s="57">
        <f t="shared" si="36"/>
        <v>3.4641016151377544</v>
      </c>
      <c r="CN71" s="60">
        <f t="shared" ref="CN71:CN75" si="50">CK71/CM71</f>
        <v>2.886751345948129E-4</v>
      </c>
      <c r="CO71" s="13"/>
      <c r="CP71" s="51" t="s">
        <v>38</v>
      </c>
      <c r="CQ71" s="8" t="e">
        <f t="shared" si="38"/>
        <v>#DIV/0!</v>
      </c>
      <c r="CR71" s="7" t="str">
        <f t="shared" si="39"/>
        <v>V</v>
      </c>
      <c r="CS71" s="57">
        <f t="shared" si="40"/>
        <v>1.7320508075688772</v>
      </c>
      <c r="CT71" s="69" t="e">
        <f t="shared" ref="CT71:CT75" si="51">CQ71/CS71</f>
        <v>#DIV/0!</v>
      </c>
      <c r="CU71" s="9"/>
      <c r="CV71" s="189" t="e">
        <f t="shared" si="42"/>
        <v>#DIV/0!</v>
      </c>
      <c r="CW71" s="139" t="e">
        <f t="shared" si="43"/>
        <v>#DIV/0!</v>
      </c>
      <c r="CX71" s="84" t="e">
        <f t="shared" ref="CX71:CX75" si="52">ROUND(TINV(0.05,CW71),0)</f>
        <v>#DIV/0!</v>
      </c>
      <c r="CY71" s="87" t="e">
        <f>ROUND((CV71*CX71),4)</f>
        <v>#DIV/0!</v>
      </c>
      <c r="CZ71" s="74" t="str">
        <f t="shared" si="45"/>
        <v>V</v>
      </c>
      <c r="DA71" s="21"/>
      <c r="DB71" s="134">
        <v>8.5000000000000006E-5</v>
      </c>
      <c r="DC71" s="135" t="str">
        <f t="shared" si="46"/>
        <v>V</v>
      </c>
      <c r="DD71" s="136"/>
      <c r="DE71" s="141" t="e">
        <f t="shared" ref="DE71:DE75" si="53">IF(CY71&lt;DB71,DB71,CY71)</f>
        <v>#DIV/0!</v>
      </c>
      <c r="DF71" s="142" t="str">
        <f t="shared" si="47"/>
        <v>V</v>
      </c>
    </row>
    <row r="72" spans="1:111" s="4" customFormat="1" ht="13.5" x14ac:dyDescent="0.25">
      <c r="A72" s="3"/>
      <c r="B72" s="125"/>
      <c r="C72" s="126"/>
      <c r="D72" s="126"/>
      <c r="E72" s="126"/>
      <c r="F72" s="247" t="s">
        <v>104</v>
      </c>
      <c r="G72" s="247"/>
      <c r="H72" s="247"/>
      <c r="I72" s="247"/>
      <c r="J72" s="247"/>
      <c r="K72" s="247"/>
      <c r="L72" s="248">
        <v>50</v>
      </c>
      <c r="M72" s="249"/>
      <c r="N72" s="249"/>
      <c r="O72" s="249"/>
      <c r="P72" s="250" t="s">
        <v>56</v>
      </c>
      <c r="Q72" s="250"/>
      <c r="R72" s="251"/>
      <c r="S72" s="257" t="s">
        <v>108</v>
      </c>
      <c r="T72" s="257"/>
      <c r="U72" s="257"/>
      <c r="V72" s="257"/>
      <c r="W72" s="257"/>
      <c r="X72" s="258"/>
      <c r="Y72" s="259"/>
      <c r="Z72" s="259"/>
      <c r="AA72" s="259"/>
      <c r="AB72" s="260"/>
      <c r="AC72" s="258"/>
      <c r="AD72" s="259"/>
      <c r="AE72" s="259"/>
      <c r="AF72" s="259"/>
      <c r="AG72" s="260"/>
      <c r="AH72" s="258"/>
      <c r="AI72" s="259"/>
      <c r="AJ72" s="259"/>
      <c r="AK72" s="259"/>
      <c r="AL72" s="260"/>
      <c r="AM72" s="256" t="e">
        <f>ROUND(AVERAGE(X72:AL72),2)</f>
        <v>#DIV/0!</v>
      </c>
      <c r="AN72" s="256"/>
      <c r="AO72" s="256"/>
      <c r="AP72" s="256"/>
      <c r="AQ72" s="256"/>
      <c r="AR72" s="256" t="e">
        <f t="shared" si="48"/>
        <v>#DIV/0!</v>
      </c>
      <c r="AS72" s="256"/>
      <c r="AT72" s="256"/>
      <c r="AU72" s="256"/>
      <c r="AV72" s="256"/>
      <c r="AW72" s="126"/>
      <c r="AX72" s="126"/>
      <c r="AY72" s="126"/>
      <c r="AZ72" s="127"/>
      <c r="BA72" s="3"/>
      <c r="BB72" s="256">
        <f>ROUND((BG72-L72),2)</f>
        <v>0.53</v>
      </c>
      <c r="BC72" s="256"/>
      <c r="BD72" s="256"/>
      <c r="BE72" s="256"/>
      <c r="BF72" s="256"/>
      <c r="BG72" s="256">
        <v>50.53</v>
      </c>
      <c r="BH72" s="256"/>
      <c r="BI72" s="256"/>
      <c r="BJ72" s="256"/>
      <c r="BK72" s="256"/>
      <c r="BL72" s="256">
        <v>49.47</v>
      </c>
      <c r="BM72" s="256"/>
      <c r="BN72" s="256"/>
      <c r="BO72" s="256"/>
      <c r="BP72" s="256"/>
      <c r="BQ72" s="246" t="e">
        <f t="shared" si="29"/>
        <v>#DIV/0!</v>
      </c>
      <c r="BR72" s="246"/>
      <c r="BS72" s="246"/>
      <c r="BT72" s="246"/>
      <c r="BU72" s="246"/>
      <c r="BV72" s="3"/>
      <c r="BX72" s="51" t="s">
        <v>36</v>
      </c>
      <c r="BY72" s="139">
        <v>7.0999999999999994E-2</v>
      </c>
      <c r="BZ72" s="7" t="str">
        <f t="shared" si="30"/>
        <v>V</v>
      </c>
      <c r="CA72" s="140">
        <v>2</v>
      </c>
      <c r="CB72" s="60">
        <f t="shared" si="49"/>
        <v>3.5499999999999997E-2</v>
      </c>
      <c r="CC72" s="13"/>
      <c r="CD72" s="51" t="s">
        <v>150</v>
      </c>
      <c r="CE72" s="139">
        <v>0</v>
      </c>
      <c r="CF72" s="7" t="str">
        <f t="shared" si="32"/>
        <v>V</v>
      </c>
      <c r="CG72" s="57">
        <f t="shared" si="33"/>
        <v>1.7320508075688772</v>
      </c>
      <c r="CH72" s="60">
        <f t="shared" si="34"/>
        <v>0</v>
      </c>
      <c r="CI72" s="13"/>
      <c r="CJ72" s="51" t="s">
        <v>59</v>
      </c>
      <c r="CK72" s="133">
        <v>0.01</v>
      </c>
      <c r="CL72" s="7" t="str">
        <f t="shared" si="35"/>
        <v>V</v>
      </c>
      <c r="CM72" s="57">
        <f t="shared" si="36"/>
        <v>3.4641016151377544</v>
      </c>
      <c r="CN72" s="60">
        <f t="shared" si="50"/>
        <v>2.886751345948129E-3</v>
      </c>
      <c r="CO72" s="13"/>
      <c r="CP72" s="51" t="s">
        <v>38</v>
      </c>
      <c r="CQ72" s="8" t="e">
        <f t="shared" si="38"/>
        <v>#DIV/0!</v>
      </c>
      <c r="CR72" s="7" t="str">
        <f t="shared" si="39"/>
        <v>V</v>
      </c>
      <c r="CS72" s="57">
        <f t="shared" si="40"/>
        <v>1.7320508075688772</v>
      </c>
      <c r="CT72" s="69" t="e">
        <f t="shared" si="51"/>
        <v>#DIV/0!</v>
      </c>
      <c r="CU72" s="9"/>
      <c r="CV72" s="189" t="e">
        <f t="shared" si="42"/>
        <v>#DIV/0!</v>
      </c>
      <c r="CW72" s="139" t="e">
        <f t="shared" si="43"/>
        <v>#DIV/0!</v>
      </c>
      <c r="CX72" s="84" t="e">
        <f t="shared" si="52"/>
        <v>#DIV/0!</v>
      </c>
      <c r="CY72" s="88" t="e">
        <f t="shared" ref="CY72:CY73" si="54">ROUND((CV72*CX72),3)</f>
        <v>#DIV/0!</v>
      </c>
      <c r="CZ72" s="74" t="str">
        <f t="shared" si="45"/>
        <v>V</v>
      </c>
      <c r="DA72" s="21"/>
      <c r="DB72" s="134">
        <v>6.4000000000000003E-3</v>
      </c>
      <c r="DC72" s="135" t="str">
        <f t="shared" si="46"/>
        <v>V</v>
      </c>
      <c r="DD72" s="136"/>
      <c r="DE72" s="141" t="e">
        <f t="shared" si="53"/>
        <v>#DIV/0!</v>
      </c>
      <c r="DF72" s="142" t="str">
        <f t="shared" si="47"/>
        <v>V</v>
      </c>
    </row>
    <row r="73" spans="1:111" s="4" customFormat="1" ht="13.5" x14ac:dyDescent="0.25">
      <c r="A73" s="3"/>
      <c r="B73" s="125"/>
      <c r="C73" s="126"/>
      <c r="D73" s="126"/>
      <c r="E73" s="126"/>
      <c r="F73" s="247" t="s">
        <v>104</v>
      </c>
      <c r="G73" s="247"/>
      <c r="H73" s="247"/>
      <c r="I73" s="247"/>
      <c r="J73" s="247"/>
      <c r="K73" s="247"/>
      <c r="L73" s="248">
        <v>50</v>
      </c>
      <c r="M73" s="249"/>
      <c r="N73" s="249"/>
      <c r="O73" s="249"/>
      <c r="P73" s="250" t="s">
        <v>56</v>
      </c>
      <c r="Q73" s="250"/>
      <c r="R73" s="251"/>
      <c r="S73" s="257" t="s">
        <v>60</v>
      </c>
      <c r="T73" s="257"/>
      <c r="U73" s="257"/>
      <c r="V73" s="257"/>
      <c r="W73" s="257"/>
      <c r="X73" s="258"/>
      <c r="Y73" s="259"/>
      <c r="Z73" s="259"/>
      <c r="AA73" s="259"/>
      <c r="AB73" s="260"/>
      <c r="AC73" s="258"/>
      <c r="AD73" s="259"/>
      <c r="AE73" s="259"/>
      <c r="AF73" s="259"/>
      <c r="AG73" s="260"/>
      <c r="AH73" s="258"/>
      <c r="AI73" s="259"/>
      <c r="AJ73" s="259"/>
      <c r="AK73" s="259"/>
      <c r="AL73" s="260"/>
      <c r="AM73" s="256" t="e">
        <f>ROUND(AVERAGE(X73:AL73),2)</f>
        <v>#DIV/0!</v>
      </c>
      <c r="AN73" s="256"/>
      <c r="AO73" s="256"/>
      <c r="AP73" s="256"/>
      <c r="AQ73" s="256"/>
      <c r="AR73" s="256" t="e">
        <f t="shared" si="48"/>
        <v>#DIV/0!</v>
      </c>
      <c r="AS73" s="256"/>
      <c r="AT73" s="256"/>
      <c r="AU73" s="256"/>
      <c r="AV73" s="256"/>
      <c r="AW73" s="126"/>
      <c r="AX73" s="126"/>
      <c r="AY73" s="126"/>
      <c r="AZ73" s="127"/>
      <c r="BA73" s="3"/>
      <c r="BB73" s="256">
        <f>ROUND((BG73-L73),2)</f>
        <v>1.03</v>
      </c>
      <c r="BC73" s="256"/>
      <c r="BD73" s="256"/>
      <c r="BE73" s="256"/>
      <c r="BF73" s="256"/>
      <c r="BG73" s="256">
        <v>51.03</v>
      </c>
      <c r="BH73" s="256"/>
      <c r="BI73" s="256"/>
      <c r="BJ73" s="256"/>
      <c r="BK73" s="256"/>
      <c r="BL73" s="256">
        <v>48.97</v>
      </c>
      <c r="BM73" s="256"/>
      <c r="BN73" s="256"/>
      <c r="BO73" s="256"/>
      <c r="BP73" s="256"/>
      <c r="BQ73" s="246" t="e">
        <f t="shared" si="29"/>
        <v>#DIV/0!</v>
      </c>
      <c r="BR73" s="246"/>
      <c r="BS73" s="246"/>
      <c r="BT73" s="246"/>
      <c r="BU73" s="246"/>
      <c r="BV73" s="3"/>
      <c r="BX73" s="51" t="s">
        <v>36</v>
      </c>
      <c r="BY73" s="139">
        <v>7.0999999999999994E-2</v>
      </c>
      <c r="BZ73" s="7" t="str">
        <f t="shared" si="30"/>
        <v>V</v>
      </c>
      <c r="CA73" s="140">
        <v>2</v>
      </c>
      <c r="CB73" s="60">
        <f t="shared" si="49"/>
        <v>3.5499999999999997E-2</v>
      </c>
      <c r="CC73" s="13"/>
      <c r="CD73" s="51" t="s">
        <v>150</v>
      </c>
      <c r="CE73" s="139">
        <v>0</v>
      </c>
      <c r="CF73" s="7" t="str">
        <f t="shared" si="32"/>
        <v>V</v>
      </c>
      <c r="CG73" s="57">
        <f t="shared" si="33"/>
        <v>1.7320508075688772</v>
      </c>
      <c r="CH73" s="60">
        <f t="shared" si="34"/>
        <v>0</v>
      </c>
      <c r="CI73" s="13"/>
      <c r="CJ73" s="51" t="s">
        <v>59</v>
      </c>
      <c r="CK73" s="133">
        <v>0.01</v>
      </c>
      <c r="CL73" s="7" t="str">
        <f t="shared" si="35"/>
        <v>V</v>
      </c>
      <c r="CM73" s="57">
        <f t="shared" si="36"/>
        <v>3.4641016151377544</v>
      </c>
      <c r="CN73" s="60">
        <f t="shared" si="50"/>
        <v>2.886751345948129E-3</v>
      </c>
      <c r="CO73" s="13"/>
      <c r="CP73" s="51" t="s">
        <v>38</v>
      </c>
      <c r="CQ73" s="8" t="e">
        <f t="shared" si="38"/>
        <v>#DIV/0!</v>
      </c>
      <c r="CR73" s="7" t="str">
        <f t="shared" si="39"/>
        <v>V</v>
      </c>
      <c r="CS73" s="57">
        <f t="shared" si="40"/>
        <v>1.7320508075688772</v>
      </c>
      <c r="CT73" s="69" t="e">
        <f t="shared" si="51"/>
        <v>#DIV/0!</v>
      </c>
      <c r="CU73" s="9"/>
      <c r="CV73" s="189" t="e">
        <f t="shared" si="42"/>
        <v>#DIV/0!</v>
      </c>
      <c r="CW73" s="139" t="e">
        <f t="shared" si="43"/>
        <v>#DIV/0!</v>
      </c>
      <c r="CX73" s="84" t="e">
        <f t="shared" si="52"/>
        <v>#DIV/0!</v>
      </c>
      <c r="CY73" s="88" t="e">
        <f t="shared" si="54"/>
        <v>#DIV/0!</v>
      </c>
      <c r="CZ73" s="74" t="str">
        <f t="shared" si="45"/>
        <v>V</v>
      </c>
      <c r="DA73" s="21"/>
      <c r="DB73" s="134">
        <v>6.4000000000000003E-3</v>
      </c>
      <c r="DC73" s="135" t="str">
        <f t="shared" si="46"/>
        <v>V</v>
      </c>
      <c r="DD73" s="136"/>
      <c r="DE73" s="141" t="e">
        <f t="shared" si="53"/>
        <v>#DIV/0!</v>
      </c>
      <c r="DF73" s="142" t="str">
        <f t="shared" si="47"/>
        <v>V</v>
      </c>
    </row>
    <row r="74" spans="1:111" s="4" customFormat="1" ht="13.5" x14ac:dyDescent="0.25">
      <c r="A74" s="3"/>
      <c r="B74" s="125"/>
      <c r="C74" s="126"/>
      <c r="D74" s="126"/>
      <c r="E74" s="126"/>
      <c r="F74" s="247" t="s">
        <v>105</v>
      </c>
      <c r="G74" s="247"/>
      <c r="H74" s="247"/>
      <c r="I74" s="247"/>
      <c r="J74" s="247"/>
      <c r="K74" s="247"/>
      <c r="L74" s="248">
        <v>600</v>
      </c>
      <c r="M74" s="249"/>
      <c r="N74" s="249"/>
      <c r="O74" s="249"/>
      <c r="P74" s="250" t="s">
        <v>56</v>
      </c>
      <c r="Q74" s="250"/>
      <c r="R74" s="251"/>
      <c r="S74" s="257" t="s">
        <v>108</v>
      </c>
      <c r="T74" s="257"/>
      <c r="U74" s="257"/>
      <c r="V74" s="257"/>
      <c r="W74" s="257"/>
      <c r="X74" s="253"/>
      <c r="Y74" s="254"/>
      <c r="Z74" s="254"/>
      <c r="AA74" s="254"/>
      <c r="AB74" s="255"/>
      <c r="AC74" s="253"/>
      <c r="AD74" s="254"/>
      <c r="AE74" s="254"/>
      <c r="AF74" s="254"/>
      <c r="AG74" s="255"/>
      <c r="AH74" s="253"/>
      <c r="AI74" s="254"/>
      <c r="AJ74" s="254"/>
      <c r="AK74" s="254"/>
      <c r="AL74" s="255"/>
      <c r="AM74" s="245" t="e">
        <f>ROUND(AVERAGE(X74:AL74),1)</f>
        <v>#DIV/0!</v>
      </c>
      <c r="AN74" s="245"/>
      <c r="AO74" s="245"/>
      <c r="AP74" s="245"/>
      <c r="AQ74" s="245"/>
      <c r="AR74" s="245" t="e">
        <f t="shared" si="48"/>
        <v>#DIV/0!</v>
      </c>
      <c r="AS74" s="245"/>
      <c r="AT74" s="245"/>
      <c r="AU74" s="245"/>
      <c r="AV74" s="245"/>
      <c r="AW74" s="126"/>
      <c r="AX74" s="126"/>
      <c r="AY74" s="126"/>
      <c r="AZ74" s="127"/>
      <c r="BA74" s="3"/>
      <c r="BB74" s="245">
        <f>ROUND((BG74-L74),1)</f>
        <v>6.3</v>
      </c>
      <c r="BC74" s="245"/>
      <c r="BD74" s="245"/>
      <c r="BE74" s="245"/>
      <c r="BF74" s="245"/>
      <c r="BG74" s="245">
        <v>606.29999999999995</v>
      </c>
      <c r="BH74" s="245"/>
      <c r="BI74" s="245"/>
      <c r="BJ74" s="245"/>
      <c r="BK74" s="245"/>
      <c r="BL74" s="245">
        <v>593.70000000000005</v>
      </c>
      <c r="BM74" s="245"/>
      <c r="BN74" s="245"/>
      <c r="BO74" s="245"/>
      <c r="BP74" s="245"/>
      <c r="BQ74" s="246" t="e">
        <f t="shared" si="29"/>
        <v>#DIV/0!</v>
      </c>
      <c r="BR74" s="246"/>
      <c r="BS74" s="246"/>
      <c r="BT74" s="246"/>
      <c r="BU74" s="246"/>
      <c r="BV74" s="3"/>
      <c r="BX74" s="51" t="s">
        <v>36</v>
      </c>
      <c r="BY74" s="139">
        <v>7.0999999999999994E-2</v>
      </c>
      <c r="BZ74" s="7" t="str">
        <f t="shared" si="30"/>
        <v>V</v>
      </c>
      <c r="CA74" s="140">
        <v>2</v>
      </c>
      <c r="CB74" s="60">
        <f t="shared" si="49"/>
        <v>3.5499999999999997E-2</v>
      </c>
      <c r="CC74" s="13"/>
      <c r="CD74" s="51" t="s">
        <v>150</v>
      </c>
      <c r="CE74" s="139">
        <v>0</v>
      </c>
      <c r="CF74" s="7" t="str">
        <f t="shared" si="32"/>
        <v>V</v>
      </c>
      <c r="CG74" s="57">
        <f t="shared" si="33"/>
        <v>1.7320508075688772</v>
      </c>
      <c r="CH74" s="60">
        <f t="shared" si="34"/>
        <v>0</v>
      </c>
      <c r="CI74" s="13"/>
      <c r="CJ74" s="51" t="s">
        <v>59</v>
      </c>
      <c r="CK74" s="133">
        <v>0.1</v>
      </c>
      <c r="CL74" s="7" t="str">
        <f t="shared" si="35"/>
        <v>V</v>
      </c>
      <c r="CM74" s="57">
        <f t="shared" si="36"/>
        <v>3.4641016151377544</v>
      </c>
      <c r="CN74" s="60">
        <f t="shared" si="50"/>
        <v>2.8867513459481291E-2</v>
      </c>
      <c r="CO74" s="13"/>
      <c r="CP74" s="51" t="s">
        <v>38</v>
      </c>
      <c r="CQ74" s="8" t="e">
        <f t="shared" si="38"/>
        <v>#DIV/0!</v>
      </c>
      <c r="CR74" s="7" t="str">
        <f t="shared" si="39"/>
        <v>V</v>
      </c>
      <c r="CS74" s="57">
        <f t="shared" si="40"/>
        <v>1.7320508075688772</v>
      </c>
      <c r="CT74" s="69" t="e">
        <f t="shared" si="51"/>
        <v>#DIV/0!</v>
      </c>
      <c r="CU74" s="9"/>
      <c r="CV74" s="189" t="e">
        <f t="shared" si="42"/>
        <v>#DIV/0!</v>
      </c>
      <c r="CW74" s="139" t="e">
        <f t="shared" si="43"/>
        <v>#DIV/0!</v>
      </c>
      <c r="CX74" s="84" t="e">
        <f t="shared" si="52"/>
        <v>#DIV/0!</v>
      </c>
      <c r="CY74" s="87" t="e">
        <f>ROUND((CV74*CX74),4)</f>
        <v>#DIV/0!</v>
      </c>
      <c r="CZ74" s="74" t="str">
        <f t="shared" si="45"/>
        <v>V</v>
      </c>
      <c r="DA74" s="21"/>
      <c r="DB74" s="134">
        <v>8.4000000000000005E-2</v>
      </c>
      <c r="DC74" s="135" t="str">
        <f t="shared" si="46"/>
        <v>V</v>
      </c>
      <c r="DD74" s="136"/>
      <c r="DE74" s="141" t="e">
        <f t="shared" si="53"/>
        <v>#DIV/0!</v>
      </c>
      <c r="DF74" s="142" t="str">
        <f t="shared" si="47"/>
        <v>V</v>
      </c>
    </row>
    <row r="75" spans="1:111" s="4" customFormat="1" ht="14.25" thickBot="1" x14ac:dyDescent="0.3">
      <c r="A75" s="3"/>
      <c r="B75" s="125"/>
      <c r="C75" s="126"/>
      <c r="D75" s="126"/>
      <c r="E75" s="126"/>
      <c r="F75" s="247" t="s">
        <v>105</v>
      </c>
      <c r="G75" s="247"/>
      <c r="H75" s="247"/>
      <c r="I75" s="247"/>
      <c r="J75" s="247"/>
      <c r="K75" s="247"/>
      <c r="L75" s="248">
        <v>600</v>
      </c>
      <c r="M75" s="249"/>
      <c r="N75" s="249"/>
      <c r="O75" s="249"/>
      <c r="P75" s="250" t="s">
        <v>56</v>
      </c>
      <c r="Q75" s="250"/>
      <c r="R75" s="251"/>
      <c r="S75" s="257" t="s">
        <v>60</v>
      </c>
      <c r="T75" s="257"/>
      <c r="U75" s="257"/>
      <c r="V75" s="257"/>
      <c r="W75" s="257"/>
      <c r="X75" s="253"/>
      <c r="Y75" s="254"/>
      <c r="Z75" s="254"/>
      <c r="AA75" s="254"/>
      <c r="AB75" s="255"/>
      <c r="AC75" s="253"/>
      <c r="AD75" s="254"/>
      <c r="AE75" s="254"/>
      <c r="AF75" s="254"/>
      <c r="AG75" s="255"/>
      <c r="AH75" s="253"/>
      <c r="AI75" s="254"/>
      <c r="AJ75" s="254"/>
      <c r="AK75" s="254"/>
      <c r="AL75" s="255"/>
      <c r="AM75" s="245" t="e">
        <f>ROUND(AVERAGE(X75:AL75),1)</f>
        <v>#DIV/0!</v>
      </c>
      <c r="AN75" s="245"/>
      <c r="AO75" s="245"/>
      <c r="AP75" s="245"/>
      <c r="AQ75" s="245"/>
      <c r="AR75" s="245" t="e">
        <f t="shared" si="48"/>
        <v>#DIV/0!</v>
      </c>
      <c r="AS75" s="245"/>
      <c r="AT75" s="245"/>
      <c r="AU75" s="245"/>
      <c r="AV75" s="245"/>
      <c r="AW75" s="126"/>
      <c r="AX75" s="126"/>
      <c r="AY75" s="126"/>
      <c r="AZ75" s="127"/>
      <c r="BA75" s="3"/>
      <c r="BB75" s="245">
        <f>ROUND((BG75-L75),1)</f>
        <v>12.3</v>
      </c>
      <c r="BC75" s="245"/>
      <c r="BD75" s="245"/>
      <c r="BE75" s="245"/>
      <c r="BF75" s="245"/>
      <c r="BG75" s="245">
        <v>612.29999999999995</v>
      </c>
      <c r="BH75" s="245"/>
      <c r="BI75" s="245"/>
      <c r="BJ75" s="245"/>
      <c r="BK75" s="245"/>
      <c r="BL75" s="245">
        <v>587.70000000000005</v>
      </c>
      <c r="BM75" s="245"/>
      <c r="BN75" s="245"/>
      <c r="BO75" s="245"/>
      <c r="BP75" s="245"/>
      <c r="BQ75" s="246" t="e">
        <f t="shared" si="29"/>
        <v>#DIV/0!</v>
      </c>
      <c r="BR75" s="246"/>
      <c r="BS75" s="246"/>
      <c r="BT75" s="246"/>
      <c r="BU75" s="246"/>
      <c r="BV75" s="3"/>
      <c r="BX75" s="52" t="s">
        <v>36</v>
      </c>
      <c r="BY75" s="139">
        <v>7.0999999999999994E-2</v>
      </c>
      <c r="BZ75" s="53" t="str">
        <f t="shared" si="30"/>
        <v>V</v>
      </c>
      <c r="CA75" s="147">
        <v>2</v>
      </c>
      <c r="CB75" s="61">
        <f t="shared" si="49"/>
        <v>3.5499999999999997E-2</v>
      </c>
      <c r="CC75" s="13"/>
      <c r="CD75" s="52" t="s">
        <v>150</v>
      </c>
      <c r="CE75" s="146">
        <v>0</v>
      </c>
      <c r="CF75" s="53" t="str">
        <f t="shared" si="32"/>
        <v>V</v>
      </c>
      <c r="CG75" s="58">
        <f t="shared" si="33"/>
        <v>1.7320508075688772</v>
      </c>
      <c r="CH75" s="61">
        <f t="shared" si="34"/>
        <v>0</v>
      </c>
      <c r="CI75" s="13"/>
      <c r="CJ75" s="52" t="s">
        <v>59</v>
      </c>
      <c r="CK75" s="148">
        <v>0.1</v>
      </c>
      <c r="CL75" s="53" t="str">
        <f t="shared" si="35"/>
        <v>V</v>
      </c>
      <c r="CM75" s="58">
        <f t="shared" si="36"/>
        <v>3.4641016151377544</v>
      </c>
      <c r="CN75" s="61">
        <f t="shared" si="50"/>
        <v>2.8867513459481291E-2</v>
      </c>
      <c r="CO75" s="13"/>
      <c r="CP75" s="52" t="s">
        <v>38</v>
      </c>
      <c r="CQ75" s="66" t="e">
        <f t="shared" si="38"/>
        <v>#DIV/0!</v>
      </c>
      <c r="CR75" s="53" t="str">
        <f t="shared" si="39"/>
        <v>V</v>
      </c>
      <c r="CS75" s="58">
        <f t="shared" si="40"/>
        <v>1.7320508075688772</v>
      </c>
      <c r="CT75" s="70" t="e">
        <f t="shared" si="51"/>
        <v>#DIV/0!</v>
      </c>
      <c r="CU75" s="9"/>
      <c r="CV75" s="190" t="e">
        <f t="shared" si="42"/>
        <v>#DIV/0!</v>
      </c>
      <c r="CW75" s="146" t="e">
        <f t="shared" si="43"/>
        <v>#DIV/0!</v>
      </c>
      <c r="CX75" s="85" t="e">
        <f t="shared" si="52"/>
        <v>#DIV/0!</v>
      </c>
      <c r="CY75" s="89" t="e">
        <f>ROUND((CV75*CX75),4)</f>
        <v>#DIV/0!</v>
      </c>
      <c r="CZ75" s="77" t="str">
        <f t="shared" si="45"/>
        <v>V</v>
      </c>
      <c r="DA75" s="21"/>
      <c r="DB75" s="149">
        <v>8.4000000000000005E-2</v>
      </c>
      <c r="DC75" s="150" t="str">
        <f t="shared" si="46"/>
        <v>V</v>
      </c>
      <c r="DD75" s="136"/>
      <c r="DE75" s="151" t="e">
        <f t="shared" si="53"/>
        <v>#DIV/0!</v>
      </c>
      <c r="DF75" s="152" t="str">
        <f t="shared" si="47"/>
        <v>V</v>
      </c>
    </row>
    <row r="76" spans="1:111" s="4" customFormat="1" ht="13.5" x14ac:dyDescent="0.25">
      <c r="A76" s="3"/>
      <c r="B76" s="125"/>
      <c r="C76" s="126"/>
      <c r="D76" s="126"/>
      <c r="E76" s="126"/>
      <c r="F76" s="159"/>
      <c r="G76" s="159"/>
      <c r="H76" s="159"/>
      <c r="I76" s="159"/>
      <c r="J76" s="159"/>
      <c r="K76" s="159"/>
      <c r="L76" s="160"/>
      <c r="M76" s="160"/>
      <c r="N76" s="160"/>
      <c r="O76" s="160"/>
      <c r="P76" s="161"/>
      <c r="Q76" s="161"/>
      <c r="R76" s="161"/>
      <c r="S76" s="178"/>
      <c r="T76" s="178"/>
      <c r="U76" s="178"/>
      <c r="V76" s="178"/>
      <c r="W76" s="178"/>
      <c r="X76" s="162"/>
      <c r="Y76" s="162"/>
      <c r="Z76" s="162"/>
      <c r="AA76" s="162"/>
      <c r="AB76" s="162"/>
      <c r="AC76" s="162"/>
      <c r="AD76" s="162"/>
      <c r="AE76" s="162"/>
      <c r="AF76" s="162"/>
      <c r="AG76" s="162"/>
      <c r="AH76" s="162"/>
      <c r="AI76" s="162"/>
      <c r="AJ76" s="162"/>
      <c r="AK76" s="162"/>
      <c r="AL76" s="162"/>
      <c r="AM76" s="162"/>
      <c r="AN76" s="178"/>
      <c r="AO76" s="178"/>
      <c r="AP76" s="178"/>
      <c r="AQ76" s="178"/>
      <c r="AR76" s="162"/>
      <c r="AS76" s="178"/>
      <c r="AT76" s="178"/>
      <c r="AU76" s="178"/>
      <c r="AV76" s="178"/>
      <c r="AW76" s="126"/>
      <c r="AX76" s="126"/>
      <c r="AY76" s="126"/>
      <c r="AZ76" s="127"/>
      <c r="BA76" s="3"/>
      <c r="BB76" s="3"/>
      <c r="BC76" s="3"/>
      <c r="BD76" s="3"/>
      <c r="BE76" s="3"/>
      <c r="BF76" s="3"/>
      <c r="BG76" s="3"/>
      <c r="BH76" s="3"/>
      <c r="BI76" s="3"/>
      <c r="BJ76" s="3"/>
      <c r="BK76" s="3"/>
      <c r="BL76" s="3"/>
      <c r="BM76" s="3"/>
      <c r="BN76" s="3"/>
      <c r="BO76" s="3"/>
      <c r="BP76" s="3"/>
      <c r="BQ76" s="3"/>
      <c r="BR76" s="3"/>
      <c r="BS76" s="3"/>
      <c r="BT76" s="3"/>
      <c r="BU76" s="3"/>
      <c r="BV76" s="3"/>
      <c r="BX76" s="14"/>
      <c r="BY76" s="16"/>
      <c r="BZ76" s="15"/>
      <c r="CA76" s="14"/>
      <c r="CB76" s="13"/>
      <c r="CC76" s="13"/>
      <c r="CD76" s="14"/>
      <c r="CE76" s="16"/>
      <c r="CF76" s="15"/>
      <c r="CG76" s="17"/>
      <c r="CH76" s="13"/>
      <c r="CI76" s="13"/>
      <c r="CJ76" s="14"/>
      <c r="CK76" s="16"/>
      <c r="CL76" s="15"/>
      <c r="CM76" s="17"/>
      <c r="CN76" s="13"/>
      <c r="CO76" s="13"/>
      <c r="CP76" s="14"/>
      <c r="CQ76" s="18"/>
      <c r="CR76" s="15"/>
      <c r="CS76" s="17"/>
      <c r="CT76" s="18"/>
      <c r="CU76" s="9"/>
      <c r="CV76" s="13"/>
      <c r="CW76" s="16"/>
      <c r="CX76" s="19"/>
      <c r="CY76" s="22"/>
      <c r="CZ76" s="21"/>
      <c r="DA76" s="21"/>
      <c r="DB76" s="49"/>
      <c r="DC76" s="49"/>
      <c r="DD76" s="49"/>
      <c r="DE76" s="50"/>
      <c r="DF76" s="50"/>
    </row>
    <row r="77" spans="1:111" s="4" customFormat="1" ht="14.25" thickBot="1" x14ac:dyDescent="0.3">
      <c r="A77" s="3"/>
      <c r="B77" s="125"/>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126"/>
      <c r="AQ77" s="126"/>
      <c r="AR77" s="126"/>
      <c r="AS77" s="126"/>
      <c r="AT77" s="126"/>
      <c r="AU77" s="126"/>
      <c r="AV77" s="126"/>
      <c r="AW77" s="126"/>
      <c r="AX77" s="126"/>
      <c r="AY77" s="126"/>
      <c r="AZ77" s="127"/>
      <c r="BA77" s="3"/>
      <c r="BB77" s="3"/>
      <c r="BC77" s="3"/>
      <c r="BD77" s="3"/>
      <c r="BE77" s="3"/>
      <c r="BF77" s="3"/>
      <c r="BG77" s="3"/>
      <c r="BH77" s="3"/>
      <c r="BI77" s="3"/>
      <c r="BJ77" s="3"/>
      <c r="BK77" s="3"/>
      <c r="BL77" s="3"/>
      <c r="BM77" s="3"/>
      <c r="BN77" s="3"/>
      <c r="BO77" s="3"/>
      <c r="BP77" s="3"/>
      <c r="BQ77" s="3"/>
      <c r="BR77" s="3"/>
      <c r="BS77" s="3"/>
      <c r="BT77" s="3"/>
      <c r="BU77" s="3"/>
      <c r="BV77" s="3"/>
      <c r="BX77" s="48"/>
      <c r="BY77" s="48"/>
      <c r="BZ77" s="48"/>
      <c r="CA77" s="48"/>
      <c r="CB77" s="48"/>
      <c r="CC77" s="48"/>
      <c r="CD77" s="48"/>
      <c r="CE77" s="48"/>
      <c r="CF77" s="48"/>
      <c r="CG77" s="48"/>
      <c r="CH77" s="48"/>
      <c r="CI77" s="48"/>
      <c r="CJ77" s="48"/>
      <c r="CK77" s="48"/>
      <c r="CL77" s="48"/>
      <c r="CM77" s="48"/>
      <c r="CN77" s="48"/>
      <c r="CO77" s="48"/>
      <c r="CP77" s="48"/>
      <c r="CQ77" s="48"/>
      <c r="CR77" s="48"/>
      <c r="DB77" s="49"/>
      <c r="DC77" s="49"/>
      <c r="DD77" s="49"/>
      <c r="DE77" s="50"/>
      <c r="DF77" s="50"/>
    </row>
    <row r="78" spans="1:111" s="4" customFormat="1" ht="13.5" customHeight="1" thickBot="1" x14ac:dyDescent="0.3">
      <c r="A78" s="3"/>
      <c r="B78" s="125"/>
      <c r="C78" s="126"/>
      <c r="D78" s="118"/>
      <c r="E78" s="126"/>
      <c r="F78" s="128" t="s">
        <v>96</v>
      </c>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7"/>
      <c r="BA78" s="3"/>
      <c r="BB78" s="3"/>
      <c r="BC78" s="3"/>
      <c r="BD78" s="3"/>
      <c r="BE78" s="3"/>
      <c r="BF78" s="3"/>
      <c r="BG78" s="3"/>
      <c r="BH78" s="3"/>
      <c r="BI78" s="3"/>
      <c r="BJ78" s="3"/>
      <c r="BK78" s="3"/>
      <c r="BL78" s="3"/>
      <c r="BM78" s="3"/>
      <c r="BN78" s="3"/>
      <c r="BO78" s="3"/>
      <c r="BP78" s="3"/>
      <c r="BQ78" s="3"/>
      <c r="BR78" s="3"/>
      <c r="BS78" s="3"/>
      <c r="BT78" s="3"/>
      <c r="BU78" s="3"/>
      <c r="BV78" s="3"/>
      <c r="BX78" s="218" t="s">
        <v>51</v>
      </c>
      <c r="BY78" s="219"/>
      <c r="BZ78" s="219"/>
      <c r="CA78" s="219"/>
      <c r="CB78" s="220"/>
      <c r="CC78" s="11"/>
      <c r="CD78" s="218" t="s">
        <v>51</v>
      </c>
      <c r="CE78" s="219"/>
      <c r="CF78" s="219"/>
      <c r="CG78" s="219"/>
      <c r="CH78" s="220"/>
      <c r="CI78" s="11"/>
      <c r="CJ78" s="218" t="s">
        <v>153</v>
      </c>
      <c r="CK78" s="219"/>
      <c r="CL78" s="219"/>
      <c r="CM78" s="219"/>
      <c r="CN78" s="220"/>
      <c r="CO78" s="11"/>
      <c r="CP78" s="218" t="s">
        <v>153</v>
      </c>
      <c r="CQ78" s="219"/>
      <c r="CR78" s="219"/>
      <c r="CS78" s="219"/>
      <c r="CT78" s="220"/>
      <c r="CU78" s="5"/>
      <c r="CV78" s="218" t="s">
        <v>39</v>
      </c>
      <c r="CW78" s="219"/>
      <c r="CX78" s="219"/>
      <c r="CY78" s="219"/>
      <c r="CZ78" s="220"/>
      <c r="DA78" s="11"/>
      <c r="DB78" s="231" t="s">
        <v>152</v>
      </c>
      <c r="DC78" s="232"/>
      <c r="DD78" s="49"/>
      <c r="DE78" s="237" t="s">
        <v>143</v>
      </c>
      <c r="DF78" s="238"/>
    </row>
    <row r="79" spans="1:111" s="4" customFormat="1" ht="13.5" customHeight="1" x14ac:dyDescent="0.25">
      <c r="A79" s="3"/>
      <c r="B79" s="125"/>
      <c r="C79" s="126"/>
      <c r="D79" s="118"/>
      <c r="E79" s="118"/>
      <c r="F79" s="261" t="s">
        <v>53</v>
      </c>
      <c r="G79" s="261"/>
      <c r="H79" s="261"/>
      <c r="I79" s="261"/>
      <c r="J79" s="261"/>
      <c r="K79" s="261"/>
      <c r="L79" s="261" t="s">
        <v>61</v>
      </c>
      <c r="M79" s="261"/>
      <c r="N79" s="261"/>
      <c r="O79" s="261"/>
      <c r="P79" s="261"/>
      <c r="Q79" s="261"/>
      <c r="R79" s="261"/>
      <c r="S79" s="261" t="s">
        <v>109</v>
      </c>
      <c r="T79" s="261"/>
      <c r="U79" s="261"/>
      <c r="V79" s="261"/>
      <c r="W79" s="261"/>
      <c r="X79" s="261" t="s">
        <v>95</v>
      </c>
      <c r="Y79" s="261"/>
      <c r="Z79" s="261"/>
      <c r="AA79" s="261"/>
      <c r="AB79" s="261"/>
      <c r="AC79" s="261"/>
      <c r="AD79" s="261"/>
      <c r="AE79" s="261"/>
      <c r="AF79" s="261"/>
      <c r="AG79" s="261"/>
      <c r="AH79" s="261"/>
      <c r="AI79" s="261"/>
      <c r="AJ79" s="261"/>
      <c r="AK79" s="261"/>
      <c r="AL79" s="261"/>
      <c r="AM79" s="261" t="s">
        <v>107</v>
      </c>
      <c r="AN79" s="261"/>
      <c r="AO79" s="261"/>
      <c r="AP79" s="261"/>
      <c r="AQ79" s="261"/>
      <c r="AR79" s="261" t="s">
        <v>63</v>
      </c>
      <c r="AS79" s="261"/>
      <c r="AT79" s="261"/>
      <c r="AU79" s="261"/>
      <c r="AV79" s="261"/>
      <c r="AW79" s="126"/>
      <c r="AX79" s="126"/>
      <c r="AY79" s="126"/>
      <c r="AZ79" s="127"/>
      <c r="BA79" s="3"/>
      <c r="BB79" s="261" t="s">
        <v>129</v>
      </c>
      <c r="BC79" s="261"/>
      <c r="BD79" s="261"/>
      <c r="BE79" s="261"/>
      <c r="BF79" s="261"/>
      <c r="BG79" s="261" t="s">
        <v>99</v>
      </c>
      <c r="BH79" s="261"/>
      <c r="BI79" s="261"/>
      <c r="BJ79" s="261"/>
      <c r="BK79" s="261"/>
      <c r="BL79" s="261" t="s">
        <v>100</v>
      </c>
      <c r="BM79" s="261"/>
      <c r="BN79" s="261"/>
      <c r="BO79" s="261"/>
      <c r="BP79" s="261"/>
      <c r="BQ79" s="261" t="s">
        <v>98</v>
      </c>
      <c r="BR79" s="261"/>
      <c r="BS79" s="261"/>
      <c r="BT79" s="261"/>
      <c r="BU79" s="261"/>
      <c r="BV79" s="3"/>
      <c r="BX79" s="243" t="s">
        <v>27</v>
      </c>
      <c r="BY79" s="221" t="s">
        <v>151</v>
      </c>
      <c r="BZ79" s="222"/>
      <c r="CA79" s="263" t="s">
        <v>28</v>
      </c>
      <c r="CB79" s="265" t="s">
        <v>37</v>
      </c>
      <c r="CC79" s="12"/>
      <c r="CD79" s="243" t="s">
        <v>27</v>
      </c>
      <c r="CE79" s="221" t="s">
        <v>151</v>
      </c>
      <c r="CF79" s="222"/>
      <c r="CG79" s="263" t="s">
        <v>28</v>
      </c>
      <c r="CH79" s="265" t="s">
        <v>37</v>
      </c>
      <c r="CI79" s="12"/>
      <c r="CJ79" s="243" t="s">
        <v>27</v>
      </c>
      <c r="CK79" s="221" t="s">
        <v>151</v>
      </c>
      <c r="CL79" s="222"/>
      <c r="CM79" s="263" t="s">
        <v>28</v>
      </c>
      <c r="CN79" s="265" t="s">
        <v>37</v>
      </c>
      <c r="CO79" s="12"/>
      <c r="CP79" s="243" t="s">
        <v>27</v>
      </c>
      <c r="CQ79" s="221" t="s">
        <v>151</v>
      </c>
      <c r="CR79" s="222"/>
      <c r="CS79" s="263" t="s">
        <v>28</v>
      </c>
      <c r="CT79" s="265" t="s">
        <v>37</v>
      </c>
      <c r="CU79" s="6"/>
      <c r="CV79" s="172" t="s">
        <v>29</v>
      </c>
      <c r="CW79" s="81" t="s">
        <v>30</v>
      </c>
      <c r="CX79" s="174" t="s">
        <v>40</v>
      </c>
      <c r="CY79" s="243" t="s">
        <v>31</v>
      </c>
      <c r="CZ79" s="267"/>
      <c r="DA79" s="12"/>
      <c r="DB79" s="233"/>
      <c r="DC79" s="234"/>
      <c r="DD79" s="129"/>
      <c r="DE79" s="239"/>
      <c r="DF79" s="240"/>
    </row>
    <row r="80" spans="1:111" s="4" customFormat="1" ht="17.25" thickBot="1" x14ac:dyDescent="0.3">
      <c r="A80" s="3"/>
      <c r="B80" s="125"/>
      <c r="C80" s="126"/>
      <c r="D80" s="118"/>
      <c r="E80" s="118"/>
      <c r="F80" s="261"/>
      <c r="G80" s="261"/>
      <c r="H80" s="261"/>
      <c r="I80" s="261"/>
      <c r="J80" s="261"/>
      <c r="K80" s="261"/>
      <c r="L80" s="261"/>
      <c r="M80" s="261"/>
      <c r="N80" s="261"/>
      <c r="O80" s="261"/>
      <c r="P80" s="261"/>
      <c r="Q80" s="261"/>
      <c r="R80" s="261"/>
      <c r="S80" s="261"/>
      <c r="T80" s="261"/>
      <c r="U80" s="261"/>
      <c r="V80" s="261"/>
      <c r="W80" s="261"/>
      <c r="X80" s="261">
        <v>1</v>
      </c>
      <c r="Y80" s="261"/>
      <c r="Z80" s="261"/>
      <c r="AA80" s="261"/>
      <c r="AB80" s="261"/>
      <c r="AC80" s="364">
        <v>2</v>
      </c>
      <c r="AD80" s="365"/>
      <c r="AE80" s="365"/>
      <c r="AF80" s="365"/>
      <c r="AG80" s="366"/>
      <c r="AH80" s="261">
        <v>3</v>
      </c>
      <c r="AI80" s="261"/>
      <c r="AJ80" s="261"/>
      <c r="AK80" s="261"/>
      <c r="AL80" s="261"/>
      <c r="AM80" s="261"/>
      <c r="AN80" s="261"/>
      <c r="AO80" s="261"/>
      <c r="AP80" s="261"/>
      <c r="AQ80" s="261"/>
      <c r="AR80" s="261"/>
      <c r="AS80" s="261"/>
      <c r="AT80" s="261"/>
      <c r="AU80" s="261"/>
      <c r="AV80" s="261"/>
      <c r="AW80" s="126"/>
      <c r="AX80" s="126"/>
      <c r="AY80" s="126"/>
      <c r="AZ80" s="127"/>
      <c r="BA80" s="3"/>
      <c r="BB80" s="261"/>
      <c r="BC80" s="261"/>
      <c r="BD80" s="261"/>
      <c r="BE80" s="261"/>
      <c r="BF80" s="261"/>
      <c r="BG80" s="261"/>
      <c r="BH80" s="261"/>
      <c r="BI80" s="261"/>
      <c r="BJ80" s="261"/>
      <c r="BK80" s="261"/>
      <c r="BL80" s="261"/>
      <c r="BM80" s="261"/>
      <c r="BN80" s="261"/>
      <c r="BO80" s="261"/>
      <c r="BP80" s="261"/>
      <c r="BQ80" s="261"/>
      <c r="BR80" s="261"/>
      <c r="BS80" s="261"/>
      <c r="BT80" s="261"/>
      <c r="BU80" s="261"/>
      <c r="BV80" s="3"/>
      <c r="BX80" s="244"/>
      <c r="BY80" s="223"/>
      <c r="BZ80" s="224"/>
      <c r="CA80" s="264"/>
      <c r="CB80" s="266"/>
      <c r="CC80" s="12"/>
      <c r="CD80" s="244"/>
      <c r="CE80" s="223"/>
      <c r="CF80" s="224"/>
      <c r="CG80" s="264"/>
      <c r="CH80" s="266"/>
      <c r="CI80" s="12"/>
      <c r="CJ80" s="244"/>
      <c r="CK80" s="223"/>
      <c r="CL80" s="224"/>
      <c r="CM80" s="264"/>
      <c r="CN80" s="266"/>
      <c r="CO80" s="12"/>
      <c r="CP80" s="244"/>
      <c r="CQ80" s="223"/>
      <c r="CR80" s="224"/>
      <c r="CS80" s="264"/>
      <c r="CT80" s="266"/>
      <c r="CU80" s="6"/>
      <c r="CV80" s="173" t="s">
        <v>32</v>
      </c>
      <c r="CW80" s="82" t="s">
        <v>33</v>
      </c>
      <c r="CX80" s="175" t="s">
        <v>34</v>
      </c>
      <c r="CY80" s="244" t="s">
        <v>35</v>
      </c>
      <c r="CZ80" s="262"/>
      <c r="DA80" s="12"/>
      <c r="DB80" s="235"/>
      <c r="DC80" s="236"/>
      <c r="DD80" s="129"/>
      <c r="DE80" s="241"/>
      <c r="DF80" s="242"/>
      <c r="DG80" s="97"/>
    </row>
    <row r="81" spans="1:110" s="4" customFormat="1" ht="13.5" x14ac:dyDescent="0.25">
      <c r="A81" s="3"/>
      <c r="B81" s="125"/>
      <c r="C81" s="126"/>
      <c r="D81" s="126"/>
      <c r="E81" s="126"/>
      <c r="F81" s="247" t="s">
        <v>103</v>
      </c>
      <c r="G81" s="247"/>
      <c r="H81" s="247"/>
      <c r="I81" s="247"/>
      <c r="J81" s="247"/>
      <c r="K81" s="247"/>
      <c r="L81" s="248">
        <v>0</v>
      </c>
      <c r="M81" s="249"/>
      <c r="N81" s="249"/>
      <c r="O81" s="249"/>
      <c r="P81" s="250" t="s">
        <v>56</v>
      </c>
      <c r="Q81" s="250"/>
      <c r="R81" s="251"/>
      <c r="S81" s="257" t="s">
        <v>119</v>
      </c>
      <c r="T81" s="257"/>
      <c r="U81" s="257"/>
      <c r="V81" s="257"/>
      <c r="W81" s="257"/>
      <c r="X81" s="252"/>
      <c r="Y81" s="252"/>
      <c r="Z81" s="252"/>
      <c r="AA81" s="252"/>
      <c r="AB81" s="252"/>
      <c r="AC81" s="252"/>
      <c r="AD81" s="252"/>
      <c r="AE81" s="252"/>
      <c r="AF81" s="252"/>
      <c r="AG81" s="252"/>
      <c r="AH81" s="252"/>
      <c r="AI81" s="252"/>
      <c r="AJ81" s="252"/>
      <c r="AK81" s="252"/>
      <c r="AL81" s="252"/>
      <c r="AM81" s="252" t="e">
        <f>ROUND(AVERAGE(X81:AL81),3)</f>
        <v>#DIV/0!</v>
      </c>
      <c r="AN81" s="252"/>
      <c r="AO81" s="252"/>
      <c r="AP81" s="252"/>
      <c r="AQ81" s="252"/>
      <c r="AR81" s="252" t="e">
        <f>AM81-L81</f>
        <v>#DIV/0!</v>
      </c>
      <c r="AS81" s="252"/>
      <c r="AT81" s="252"/>
      <c r="AU81" s="252"/>
      <c r="AV81" s="252"/>
      <c r="AW81" s="126"/>
      <c r="AX81" s="126"/>
      <c r="AY81" s="126"/>
      <c r="AZ81" s="127"/>
      <c r="BA81" s="3"/>
      <c r="BB81" s="252">
        <f>ROUND((BG81-L81),3)</f>
        <v>2E-3</v>
      </c>
      <c r="BC81" s="252"/>
      <c r="BD81" s="252"/>
      <c r="BE81" s="252"/>
      <c r="BF81" s="252"/>
      <c r="BG81" s="252">
        <v>2E-3</v>
      </c>
      <c r="BH81" s="252"/>
      <c r="BI81" s="252"/>
      <c r="BJ81" s="252"/>
      <c r="BK81" s="252"/>
      <c r="BL81" s="252">
        <v>-2E-3</v>
      </c>
      <c r="BM81" s="252"/>
      <c r="BN81" s="252"/>
      <c r="BO81" s="252"/>
      <c r="BP81" s="252"/>
      <c r="BQ81" s="246" t="e">
        <f>IF(AND(AM81&lt;=BG81,AM81&gt;=BL81),"PASS","FAIL")</f>
        <v>#DIV/0!</v>
      </c>
      <c r="BR81" s="246"/>
      <c r="BS81" s="246"/>
      <c r="BT81" s="246"/>
      <c r="BU81" s="246"/>
      <c r="BV81" s="3"/>
      <c r="BX81" s="54" t="s">
        <v>36</v>
      </c>
      <c r="BY81" s="163">
        <v>3.1E-7</v>
      </c>
      <c r="BZ81" s="55" t="str">
        <f>P81</f>
        <v>V</v>
      </c>
      <c r="CA81" s="131">
        <v>2</v>
      </c>
      <c r="CB81" s="59">
        <f t="shared" ref="CB81" si="55">BY81/CA81</f>
        <v>1.55E-7</v>
      </c>
      <c r="CC81" s="13"/>
      <c r="CD81" s="54" t="s">
        <v>150</v>
      </c>
      <c r="CE81" s="132">
        <v>0</v>
      </c>
      <c r="CF81" s="55" t="str">
        <f t="shared" ref="CF81:CF85" si="56">BZ81</f>
        <v>V</v>
      </c>
      <c r="CG81" s="56">
        <f t="shared" ref="CG81:CG85" si="57">SQRT(3)</f>
        <v>1.7320508075688772</v>
      </c>
      <c r="CH81" s="59">
        <f t="shared" ref="CH81:CH85" si="58">CE81/CG81</f>
        <v>0</v>
      </c>
      <c r="CI81" s="13"/>
      <c r="CJ81" s="63" t="s">
        <v>59</v>
      </c>
      <c r="CK81" s="155">
        <v>1E-3</v>
      </c>
      <c r="CL81" s="65" t="str">
        <f>P81</f>
        <v>V</v>
      </c>
      <c r="CM81" s="67">
        <f t="shared" ref="CM81:CM85" si="59">SQRT(12)</f>
        <v>3.4641016151377544</v>
      </c>
      <c r="CN81" s="62">
        <f t="shared" ref="CN81" si="60">CK81/CM81</f>
        <v>2.886751345948129E-4</v>
      </c>
      <c r="CO81" s="13"/>
      <c r="CP81" s="63" t="s">
        <v>38</v>
      </c>
      <c r="CQ81" s="64" t="e">
        <f t="shared" ref="CQ81:CQ85" si="61">_xlfn.STDEV.P(X81:AL81)</f>
        <v>#DIV/0!</v>
      </c>
      <c r="CR81" s="65" t="str">
        <f>P81</f>
        <v>V</v>
      </c>
      <c r="CS81" s="67">
        <f t="shared" ref="CS81:CS85" si="62">SQRT(3)</f>
        <v>1.7320508075688772</v>
      </c>
      <c r="CT81" s="68" t="e">
        <f t="shared" ref="CT81" si="63">CQ81/CS81</f>
        <v>#DIV/0!</v>
      </c>
      <c r="CU81" s="9"/>
      <c r="CV81" s="78" t="e">
        <f t="shared" ref="CV81:CV85" si="64">SQRT(SUMSQ(CT81,CN81,CH81,CB81))</f>
        <v>#DIV/0!</v>
      </c>
      <c r="CW81" s="79" t="e">
        <f t="shared" ref="CW81:CW85" si="65">(CV81^4)/(((CT81^4)/2)+((CN81^4)/200)+((CH81^4)/200)+((CB81^4)/200))</f>
        <v>#DIV/0!</v>
      </c>
      <c r="CX81" s="83" t="e">
        <f t="shared" ref="CX81" si="66">ROUND(TINV(0.05,CW81),0)</f>
        <v>#DIV/0!</v>
      </c>
      <c r="CY81" s="90" t="e">
        <f>ROUND((CV81*CX81),5)</f>
        <v>#DIV/0!</v>
      </c>
      <c r="CZ81" s="80" t="str">
        <f>P81</f>
        <v>V</v>
      </c>
      <c r="DA81" s="21"/>
      <c r="DB81" s="164">
        <v>1.7999999999999999E-6</v>
      </c>
      <c r="DC81" s="165" t="str">
        <f t="shared" ref="DC81:DC85" si="67">CZ81</f>
        <v>V</v>
      </c>
      <c r="DD81" s="136"/>
      <c r="DE81" s="166" t="e">
        <f>MAX(CY81:DB81)</f>
        <v>#DIV/0!</v>
      </c>
      <c r="DF81" s="138" t="str">
        <f t="shared" ref="DF81:DF85" si="68">CZ81</f>
        <v>V</v>
      </c>
    </row>
    <row r="82" spans="1:110" s="4" customFormat="1" ht="13.5" x14ac:dyDescent="0.25">
      <c r="A82" s="3"/>
      <c r="B82" s="125"/>
      <c r="C82" s="126"/>
      <c r="D82" s="126"/>
      <c r="E82" s="126"/>
      <c r="F82" s="247" t="s">
        <v>103</v>
      </c>
      <c r="G82" s="247"/>
      <c r="H82" s="247"/>
      <c r="I82" s="247"/>
      <c r="J82" s="247"/>
      <c r="K82" s="247"/>
      <c r="L82" s="248">
        <v>5</v>
      </c>
      <c r="M82" s="249"/>
      <c r="N82" s="249"/>
      <c r="O82" s="249"/>
      <c r="P82" s="250" t="s">
        <v>56</v>
      </c>
      <c r="Q82" s="250"/>
      <c r="R82" s="251"/>
      <c r="S82" s="257" t="s">
        <v>119</v>
      </c>
      <c r="T82" s="257"/>
      <c r="U82" s="257"/>
      <c r="V82" s="257"/>
      <c r="W82" s="257"/>
      <c r="X82" s="252"/>
      <c r="Y82" s="252"/>
      <c r="Z82" s="252"/>
      <c r="AA82" s="252"/>
      <c r="AB82" s="252"/>
      <c r="AC82" s="252"/>
      <c r="AD82" s="252"/>
      <c r="AE82" s="252"/>
      <c r="AF82" s="252"/>
      <c r="AG82" s="252"/>
      <c r="AH82" s="252"/>
      <c r="AI82" s="252"/>
      <c r="AJ82" s="252"/>
      <c r="AK82" s="252"/>
      <c r="AL82" s="252"/>
      <c r="AM82" s="252" t="e">
        <f>ROUND(AVERAGE(X82:AL82),3)</f>
        <v>#DIV/0!</v>
      </c>
      <c r="AN82" s="252"/>
      <c r="AO82" s="252"/>
      <c r="AP82" s="252"/>
      <c r="AQ82" s="252"/>
      <c r="AR82" s="252" t="e">
        <f>AM82-L82</f>
        <v>#DIV/0!</v>
      </c>
      <c r="AS82" s="252"/>
      <c r="AT82" s="252"/>
      <c r="AU82" s="252"/>
      <c r="AV82" s="252"/>
      <c r="AW82" s="126"/>
      <c r="AX82" s="126"/>
      <c r="AY82" s="126"/>
      <c r="AZ82" s="127"/>
      <c r="BA82" s="3"/>
      <c r="BB82" s="252">
        <f>ROUND((BG82-L82),3)</f>
        <v>2.7E-2</v>
      </c>
      <c r="BC82" s="252"/>
      <c r="BD82" s="252"/>
      <c r="BE82" s="252"/>
      <c r="BF82" s="252"/>
      <c r="BG82" s="252">
        <v>5.0270000000000001</v>
      </c>
      <c r="BH82" s="252"/>
      <c r="BI82" s="252"/>
      <c r="BJ82" s="252"/>
      <c r="BK82" s="252"/>
      <c r="BL82" s="252">
        <v>4.9729999999999999</v>
      </c>
      <c r="BM82" s="252"/>
      <c r="BN82" s="252"/>
      <c r="BO82" s="252"/>
      <c r="BP82" s="252"/>
      <c r="BQ82" s="246" t="e">
        <f>IF(AND(AM82&lt;=BG82,AM82&gt;=BL82),"PASS","FAIL")</f>
        <v>#DIV/0!</v>
      </c>
      <c r="BR82" s="246"/>
      <c r="BS82" s="246"/>
      <c r="BT82" s="246"/>
      <c r="BU82" s="246"/>
      <c r="BV82" s="3"/>
      <c r="BX82" s="51" t="s">
        <v>36</v>
      </c>
      <c r="BY82" s="184">
        <v>1.8E-5</v>
      </c>
      <c r="BZ82" s="7" t="str">
        <f>P82</f>
        <v>V</v>
      </c>
      <c r="CA82" s="140">
        <v>2</v>
      </c>
      <c r="CB82" s="60">
        <f t="shared" ref="CB82:CB85" si="69">BY82/CA82</f>
        <v>9.0000000000000002E-6</v>
      </c>
      <c r="CC82" s="13"/>
      <c r="CD82" s="51" t="s">
        <v>150</v>
      </c>
      <c r="CE82" s="139">
        <v>0</v>
      </c>
      <c r="CF82" s="7" t="str">
        <f t="shared" si="56"/>
        <v>V</v>
      </c>
      <c r="CG82" s="57">
        <f t="shared" si="57"/>
        <v>1.7320508075688772</v>
      </c>
      <c r="CH82" s="60">
        <f t="shared" si="58"/>
        <v>0</v>
      </c>
      <c r="CI82" s="13"/>
      <c r="CJ82" s="51" t="s">
        <v>59</v>
      </c>
      <c r="CK82" s="133">
        <v>1E-3</v>
      </c>
      <c r="CL82" s="7" t="str">
        <f>P82</f>
        <v>V</v>
      </c>
      <c r="CM82" s="57">
        <f t="shared" si="59"/>
        <v>3.4641016151377544</v>
      </c>
      <c r="CN82" s="60">
        <f t="shared" ref="CN82:CN85" si="70">CK82/CM82</f>
        <v>2.886751345948129E-4</v>
      </c>
      <c r="CO82" s="13"/>
      <c r="CP82" s="51" t="s">
        <v>38</v>
      </c>
      <c r="CQ82" s="8" t="e">
        <f t="shared" si="61"/>
        <v>#DIV/0!</v>
      </c>
      <c r="CR82" s="7" t="str">
        <f>P82</f>
        <v>V</v>
      </c>
      <c r="CS82" s="57">
        <f t="shared" si="62"/>
        <v>1.7320508075688772</v>
      </c>
      <c r="CT82" s="69" t="e">
        <f t="shared" ref="CT82:CT85" si="71">CQ82/CS82</f>
        <v>#DIV/0!</v>
      </c>
      <c r="CU82" s="9"/>
      <c r="CV82" s="73" t="e">
        <f t="shared" si="64"/>
        <v>#DIV/0!</v>
      </c>
      <c r="CW82" s="10" t="e">
        <f t="shared" si="65"/>
        <v>#DIV/0!</v>
      </c>
      <c r="CX82" s="84" t="e">
        <f t="shared" ref="CX82:CX85" si="72">ROUND(TINV(0.05,CW82),0)</f>
        <v>#DIV/0!</v>
      </c>
      <c r="CY82" s="91" t="e">
        <f>ROUND((CV82*CX82),5)</f>
        <v>#DIV/0!</v>
      </c>
      <c r="CZ82" s="74" t="str">
        <f>P82</f>
        <v>V</v>
      </c>
      <c r="DA82" s="21"/>
      <c r="DB82" s="134">
        <v>1.0000000000000001E-5</v>
      </c>
      <c r="DC82" s="135" t="str">
        <f t="shared" si="67"/>
        <v>V</v>
      </c>
      <c r="DD82" s="136"/>
      <c r="DE82" s="167" t="e">
        <f t="shared" ref="DE82:DE85" si="73">MAX(CY82:DB82)</f>
        <v>#DIV/0!</v>
      </c>
      <c r="DF82" s="142" t="str">
        <f t="shared" si="68"/>
        <v>V</v>
      </c>
    </row>
    <row r="83" spans="1:110" s="4" customFormat="1" ht="13.5" x14ac:dyDescent="0.25">
      <c r="A83" s="3"/>
      <c r="B83" s="125"/>
      <c r="C83" s="126"/>
      <c r="D83" s="126"/>
      <c r="E83" s="126"/>
      <c r="F83" s="247" t="s">
        <v>104</v>
      </c>
      <c r="G83" s="247"/>
      <c r="H83" s="247"/>
      <c r="I83" s="247"/>
      <c r="J83" s="247"/>
      <c r="K83" s="247"/>
      <c r="L83" s="248">
        <v>50</v>
      </c>
      <c r="M83" s="249"/>
      <c r="N83" s="249"/>
      <c r="O83" s="249"/>
      <c r="P83" s="250" t="s">
        <v>56</v>
      </c>
      <c r="Q83" s="250"/>
      <c r="R83" s="251"/>
      <c r="S83" s="257" t="s">
        <v>119</v>
      </c>
      <c r="T83" s="257"/>
      <c r="U83" s="257"/>
      <c r="V83" s="257"/>
      <c r="W83" s="257"/>
      <c r="X83" s="256"/>
      <c r="Y83" s="256"/>
      <c r="Z83" s="256"/>
      <c r="AA83" s="256"/>
      <c r="AB83" s="256"/>
      <c r="AC83" s="256"/>
      <c r="AD83" s="256"/>
      <c r="AE83" s="256"/>
      <c r="AF83" s="256"/>
      <c r="AG83" s="256"/>
      <c r="AH83" s="256"/>
      <c r="AI83" s="256"/>
      <c r="AJ83" s="256"/>
      <c r="AK83" s="256"/>
      <c r="AL83" s="256"/>
      <c r="AM83" s="256" t="e">
        <f>ROUND(AVERAGE(X83:AL83),2)</f>
        <v>#DIV/0!</v>
      </c>
      <c r="AN83" s="256"/>
      <c r="AO83" s="256"/>
      <c r="AP83" s="256"/>
      <c r="AQ83" s="256"/>
      <c r="AR83" s="256" t="e">
        <f t="shared" ref="AR83:AR85" si="74">AM83-L83</f>
        <v>#DIV/0!</v>
      </c>
      <c r="AS83" s="256"/>
      <c r="AT83" s="256"/>
      <c r="AU83" s="256"/>
      <c r="AV83" s="256"/>
      <c r="AW83" s="126"/>
      <c r="AX83" s="126"/>
      <c r="AY83" s="126"/>
      <c r="AZ83" s="127"/>
      <c r="BA83" s="3"/>
      <c r="BB83" s="256">
        <f>ROUND((BG83-L83),2)</f>
        <v>0.27</v>
      </c>
      <c r="BC83" s="256"/>
      <c r="BD83" s="256"/>
      <c r="BE83" s="256"/>
      <c r="BF83" s="256"/>
      <c r="BG83" s="256">
        <v>50.27</v>
      </c>
      <c r="BH83" s="256"/>
      <c r="BI83" s="256"/>
      <c r="BJ83" s="256"/>
      <c r="BK83" s="256"/>
      <c r="BL83" s="256">
        <v>49.73</v>
      </c>
      <c r="BM83" s="256"/>
      <c r="BN83" s="256"/>
      <c r="BO83" s="256"/>
      <c r="BP83" s="256"/>
      <c r="BQ83" s="246" t="e">
        <f>IF(AND(AM83&lt;=BG83,AM83&gt;=BL83),"PASS","FAIL")</f>
        <v>#DIV/0!</v>
      </c>
      <c r="BR83" s="246"/>
      <c r="BS83" s="246"/>
      <c r="BT83" s="246"/>
      <c r="BU83" s="246"/>
      <c r="BV83" s="3"/>
      <c r="BX83" s="51" t="s">
        <v>36</v>
      </c>
      <c r="BY83" s="8">
        <v>1.6000000000000001E-4</v>
      </c>
      <c r="BZ83" s="7" t="str">
        <f>P83</f>
        <v>V</v>
      </c>
      <c r="CA83" s="140">
        <v>2</v>
      </c>
      <c r="CB83" s="60">
        <f t="shared" si="69"/>
        <v>8.0000000000000007E-5</v>
      </c>
      <c r="CC83" s="13"/>
      <c r="CD83" s="51" t="s">
        <v>150</v>
      </c>
      <c r="CE83" s="139">
        <v>0</v>
      </c>
      <c r="CF83" s="7" t="str">
        <f t="shared" si="56"/>
        <v>V</v>
      </c>
      <c r="CG83" s="57">
        <f t="shared" si="57"/>
        <v>1.7320508075688772</v>
      </c>
      <c r="CH83" s="60">
        <f t="shared" si="58"/>
        <v>0</v>
      </c>
      <c r="CI83" s="13"/>
      <c r="CJ83" s="51" t="s">
        <v>59</v>
      </c>
      <c r="CK83" s="133">
        <v>0.01</v>
      </c>
      <c r="CL83" s="7" t="str">
        <f>P83</f>
        <v>V</v>
      </c>
      <c r="CM83" s="57">
        <f t="shared" si="59"/>
        <v>3.4641016151377544</v>
      </c>
      <c r="CN83" s="60">
        <f t="shared" si="70"/>
        <v>2.886751345948129E-3</v>
      </c>
      <c r="CO83" s="13"/>
      <c r="CP83" s="51" t="s">
        <v>38</v>
      </c>
      <c r="CQ83" s="8" t="e">
        <f t="shared" si="61"/>
        <v>#DIV/0!</v>
      </c>
      <c r="CR83" s="7" t="str">
        <f>P83</f>
        <v>V</v>
      </c>
      <c r="CS83" s="57">
        <f t="shared" si="62"/>
        <v>1.7320508075688772</v>
      </c>
      <c r="CT83" s="69" t="e">
        <f t="shared" si="71"/>
        <v>#DIV/0!</v>
      </c>
      <c r="CU83" s="9"/>
      <c r="CV83" s="73" t="e">
        <f t="shared" si="64"/>
        <v>#DIV/0!</v>
      </c>
      <c r="CW83" s="10" t="e">
        <f t="shared" si="65"/>
        <v>#DIV/0!</v>
      </c>
      <c r="CX83" s="84" t="e">
        <f t="shared" si="72"/>
        <v>#DIV/0!</v>
      </c>
      <c r="CY83" s="87" t="e">
        <f t="shared" ref="CY83:CY85" si="75">ROUND((CV83*CX83),4)</f>
        <v>#DIV/0!</v>
      </c>
      <c r="CZ83" s="74" t="str">
        <f>P83</f>
        <v>V</v>
      </c>
      <c r="DA83" s="21"/>
      <c r="DB83" s="134">
        <v>1.8000000000000001E-4</v>
      </c>
      <c r="DC83" s="135" t="str">
        <f t="shared" si="67"/>
        <v>V</v>
      </c>
      <c r="DD83" s="136"/>
      <c r="DE83" s="141" t="e">
        <f t="shared" si="73"/>
        <v>#DIV/0!</v>
      </c>
      <c r="DF83" s="142" t="str">
        <f t="shared" si="68"/>
        <v>V</v>
      </c>
    </row>
    <row r="84" spans="1:110" s="4" customFormat="1" ht="13.5" x14ac:dyDescent="0.25">
      <c r="A84" s="3"/>
      <c r="B84" s="125"/>
      <c r="C84" s="126"/>
      <c r="D84" s="126"/>
      <c r="E84" s="126"/>
      <c r="F84" s="247" t="s">
        <v>105</v>
      </c>
      <c r="G84" s="247"/>
      <c r="H84" s="247"/>
      <c r="I84" s="247"/>
      <c r="J84" s="247"/>
      <c r="K84" s="247"/>
      <c r="L84" s="248">
        <v>600</v>
      </c>
      <c r="M84" s="249"/>
      <c r="N84" s="249"/>
      <c r="O84" s="249"/>
      <c r="P84" s="250" t="s">
        <v>56</v>
      </c>
      <c r="Q84" s="250"/>
      <c r="R84" s="251"/>
      <c r="S84" s="257" t="s">
        <v>119</v>
      </c>
      <c r="T84" s="257"/>
      <c r="U84" s="257"/>
      <c r="V84" s="257"/>
      <c r="W84" s="257"/>
      <c r="X84" s="245"/>
      <c r="Y84" s="245"/>
      <c r="Z84" s="245"/>
      <c r="AA84" s="245"/>
      <c r="AB84" s="245"/>
      <c r="AC84" s="245"/>
      <c r="AD84" s="245"/>
      <c r="AE84" s="245"/>
      <c r="AF84" s="245"/>
      <c r="AG84" s="245"/>
      <c r="AH84" s="245"/>
      <c r="AI84" s="245"/>
      <c r="AJ84" s="245"/>
      <c r="AK84" s="245"/>
      <c r="AL84" s="245"/>
      <c r="AM84" s="245" t="e">
        <f>ROUND(AVERAGE(X84:AL84),1)</f>
        <v>#DIV/0!</v>
      </c>
      <c r="AN84" s="245"/>
      <c r="AO84" s="245"/>
      <c r="AP84" s="245"/>
      <c r="AQ84" s="245"/>
      <c r="AR84" s="245" t="e">
        <f t="shared" si="74"/>
        <v>#DIV/0!</v>
      </c>
      <c r="AS84" s="245"/>
      <c r="AT84" s="245"/>
      <c r="AU84" s="245"/>
      <c r="AV84" s="245"/>
      <c r="AW84" s="126"/>
      <c r="AX84" s="126"/>
      <c r="AY84" s="126"/>
      <c r="AZ84" s="127"/>
      <c r="BA84" s="3"/>
      <c r="BB84" s="245">
        <f>ROUND((BG84-L84),1)</f>
        <v>3.2</v>
      </c>
      <c r="BC84" s="245"/>
      <c r="BD84" s="245"/>
      <c r="BE84" s="245"/>
      <c r="BF84" s="245"/>
      <c r="BG84" s="245">
        <v>603.20000000000005</v>
      </c>
      <c r="BH84" s="245"/>
      <c r="BI84" s="245"/>
      <c r="BJ84" s="245"/>
      <c r="BK84" s="245"/>
      <c r="BL84" s="245">
        <v>596.79999999999995</v>
      </c>
      <c r="BM84" s="245"/>
      <c r="BN84" s="245"/>
      <c r="BO84" s="245"/>
      <c r="BP84" s="245"/>
      <c r="BQ84" s="246" t="e">
        <f>IF(AND(AM84&lt;=BG84,AM84&gt;=BL84),"PASS","FAIL")</f>
        <v>#DIV/0!</v>
      </c>
      <c r="BR84" s="246"/>
      <c r="BS84" s="246"/>
      <c r="BT84" s="246"/>
      <c r="BU84" s="246"/>
      <c r="BV84" s="3"/>
      <c r="BX84" s="51" t="s">
        <v>36</v>
      </c>
      <c r="BY84" s="143">
        <v>3.3E-3</v>
      </c>
      <c r="BZ84" s="7" t="str">
        <f>P84</f>
        <v>V</v>
      </c>
      <c r="CA84" s="140">
        <v>2</v>
      </c>
      <c r="CB84" s="60">
        <f t="shared" si="69"/>
        <v>1.65E-3</v>
      </c>
      <c r="CC84" s="13"/>
      <c r="CD84" s="51" t="s">
        <v>150</v>
      </c>
      <c r="CE84" s="139">
        <v>0</v>
      </c>
      <c r="CF84" s="7" t="str">
        <f t="shared" si="56"/>
        <v>V</v>
      </c>
      <c r="CG84" s="57">
        <f t="shared" si="57"/>
        <v>1.7320508075688772</v>
      </c>
      <c r="CH84" s="60">
        <f t="shared" si="58"/>
        <v>0</v>
      </c>
      <c r="CI84" s="13"/>
      <c r="CJ84" s="51" t="s">
        <v>59</v>
      </c>
      <c r="CK84" s="133">
        <v>0.1</v>
      </c>
      <c r="CL84" s="7" t="str">
        <f>P84</f>
        <v>V</v>
      </c>
      <c r="CM84" s="57">
        <f t="shared" si="59"/>
        <v>3.4641016151377544</v>
      </c>
      <c r="CN84" s="60">
        <f t="shared" si="70"/>
        <v>2.8867513459481291E-2</v>
      </c>
      <c r="CO84" s="13"/>
      <c r="CP84" s="51" t="s">
        <v>38</v>
      </c>
      <c r="CQ84" s="8" t="e">
        <f t="shared" si="61"/>
        <v>#DIV/0!</v>
      </c>
      <c r="CR84" s="7" t="str">
        <f>P84</f>
        <v>V</v>
      </c>
      <c r="CS84" s="57">
        <f t="shared" si="62"/>
        <v>1.7320508075688772</v>
      </c>
      <c r="CT84" s="69" t="e">
        <f t="shared" si="71"/>
        <v>#DIV/0!</v>
      </c>
      <c r="CU84" s="9"/>
      <c r="CV84" s="73" t="e">
        <f t="shared" si="64"/>
        <v>#DIV/0!</v>
      </c>
      <c r="CW84" s="10" t="e">
        <f t="shared" si="65"/>
        <v>#DIV/0!</v>
      </c>
      <c r="CX84" s="84" t="e">
        <f t="shared" si="72"/>
        <v>#DIV/0!</v>
      </c>
      <c r="CY84" s="87" t="e">
        <f t="shared" si="75"/>
        <v>#DIV/0!</v>
      </c>
      <c r="CZ84" s="74" t="str">
        <f>P84</f>
        <v>V</v>
      </c>
      <c r="DA84" s="21"/>
      <c r="DB84" s="134">
        <v>1.4E-3</v>
      </c>
      <c r="DC84" s="135" t="str">
        <f t="shared" si="67"/>
        <v>V</v>
      </c>
      <c r="DD84" s="136"/>
      <c r="DE84" s="141" t="e">
        <f t="shared" si="73"/>
        <v>#DIV/0!</v>
      </c>
      <c r="DF84" s="142" t="str">
        <f t="shared" si="68"/>
        <v>V</v>
      </c>
    </row>
    <row r="85" spans="1:110" s="4" customFormat="1" ht="14.25" thickBot="1" x14ac:dyDescent="0.3">
      <c r="A85" s="3"/>
      <c r="B85" s="125"/>
      <c r="C85" s="126"/>
      <c r="D85" s="126"/>
      <c r="E85" s="126"/>
      <c r="F85" s="247" t="s">
        <v>105</v>
      </c>
      <c r="G85" s="247"/>
      <c r="H85" s="247"/>
      <c r="I85" s="247"/>
      <c r="J85" s="247"/>
      <c r="K85" s="247"/>
      <c r="L85" s="248">
        <v>-600</v>
      </c>
      <c r="M85" s="249"/>
      <c r="N85" s="249"/>
      <c r="O85" s="249"/>
      <c r="P85" s="250" t="s">
        <v>56</v>
      </c>
      <c r="Q85" s="250"/>
      <c r="R85" s="251"/>
      <c r="S85" s="257" t="s">
        <v>119</v>
      </c>
      <c r="T85" s="257"/>
      <c r="U85" s="257"/>
      <c r="V85" s="257"/>
      <c r="W85" s="257"/>
      <c r="X85" s="245"/>
      <c r="Y85" s="245"/>
      <c r="Z85" s="245"/>
      <c r="AA85" s="245"/>
      <c r="AB85" s="245"/>
      <c r="AC85" s="245"/>
      <c r="AD85" s="245"/>
      <c r="AE85" s="245"/>
      <c r="AF85" s="245"/>
      <c r="AG85" s="245"/>
      <c r="AH85" s="245"/>
      <c r="AI85" s="245"/>
      <c r="AJ85" s="245"/>
      <c r="AK85" s="245"/>
      <c r="AL85" s="245"/>
      <c r="AM85" s="245" t="e">
        <f>ROUND(AVERAGE(X85:AL85),1)</f>
        <v>#DIV/0!</v>
      </c>
      <c r="AN85" s="245"/>
      <c r="AO85" s="245"/>
      <c r="AP85" s="245"/>
      <c r="AQ85" s="245"/>
      <c r="AR85" s="245" t="e">
        <f t="shared" si="74"/>
        <v>#DIV/0!</v>
      </c>
      <c r="AS85" s="245"/>
      <c r="AT85" s="245"/>
      <c r="AU85" s="245"/>
      <c r="AV85" s="245"/>
      <c r="AW85" s="126"/>
      <c r="AX85" s="126"/>
      <c r="AY85" s="126"/>
      <c r="AZ85" s="127"/>
      <c r="BA85" s="3"/>
      <c r="BB85" s="245">
        <f>ROUND((BG85-L85),1)</f>
        <v>3.2</v>
      </c>
      <c r="BC85" s="245"/>
      <c r="BD85" s="245"/>
      <c r="BE85" s="245"/>
      <c r="BF85" s="245"/>
      <c r="BG85" s="245">
        <v>-596.79999999999995</v>
      </c>
      <c r="BH85" s="245"/>
      <c r="BI85" s="245"/>
      <c r="BJ85" s="245"/>
      <c r="BK85" s="245"/>
      <c r="BL85" s="245">
        <v>-603.20000000000005</v>
      </c>
      <c r="BM85" s="245"/>
      <c r="BN85" s="245"/>
      <c r="BO85" s="245"/>
      <c r="BP85" s="245"/>
      <c r="BQ85" s="246" t="e">
        <f>IF(AND(AM85&lt;=BG85,AM85&gt;=BL85),"PASS","FAIL")</f>
        <v>#DIV/0!</v>
      </c>
      <c r="BR85" s="246"/>
      <c r="BS85" s="246"/>
      <c r="BT85" s="246"/>
      <c r="BU85" s="246"/>
      <c r="BV85" s="3"/>
      <c r="BX85" s="52" t="s">
        <v>36</v>
      </c>
      <c r="BY85" s="168">
        <v>3.3E-3</v>
      </c>
      <c r="BZ85" s="53" t="str">
        <f>P85</f>
        <v>V</v>
      </c>
      <c r="CA85" s="147">
        <v>2</v>
      </c>
      <c r="CB85" s="61">
        <f t="shared" si="69"/>
        <v>1.65E-3</v>
      </c>
      <c r="CC85" s="13"/>
      <c r="CD85" s="52" t="s">
        <v>150</v>
      </c>
      <c r="CE85" s="146">
        <v>0</v>
      </c>
      <c r="CF85" s="53" t="str">
        <f t="shared" si="56"/>
        <v>V</v>
      </c>
      <c r="CG85" s="58">
        <f t="shared" si="57"/>
        <v>1.7320508075688772</v>
      </c>
      <c r="CH85" s="61">
        <f t="shared" si="58"/>
        <v>0</v>
      </c>
      <c r="CI85" s="13"/>
      <c r="CJ85" s="52" t="s">
        <v>59</v>
      </c>
      <c r="CK85" s="148">
        <v>0.1</v>
      </c>
      <c r="CL85" s="53" t="str">
        <f>P85</f>
        <v>V</v>
      </c>
      <c r="CM85" s="58">
        <f t="shared" si="59"/>
        <v>3.4641016151377544</v>
      </c>
      <c r="CN85" s="61">
        <f t="shared" si="70"/>
        <v>2.8867513459481291E-2</v>
      </c>
      <c r="CO85" s="13"/>
      <c r="CP85" s="52" t="s">
        <v>38</v>
      </c>
      <c r="CQ85" s="66" t="e">
        <f t="shared" si="61"/>
        <v>#DIV/0!</v>
      </c>
      <c r="CR85" s="53" t="str">
        <f>P85</f>
        <v>V</v>
      </c>
      <c r="CS85" s="58">
        <f t="shared" si="62"/>
        <v>1.7320508075688772</v>
      </c>
      <c r="CT85" s="70" t="e">
        <f t="shared" si="71"/>
        <v>#DIV/0!</v>
      </c>
      <c r="CU85" s="9"/>
      <c r="CV85" s="75" t="e">
        <f t="shared" si="64"/>
        <v>#DIV/0!</v>
      </c>
      <c r="CW85" s="76" t="e">
        <f t="shared" si="65"/>
        <v>#DIV/0!</v>
      </c>
      <c r="CX85" s="85" t="e">
        <f t="shared" si="72"/>
        <v>#DIV/0!</v>
      </c>
      <c r="CY85" s="89" t="e">
        <f t="shared" si="75"/>
        <v>#DIV/0!</v>
      </c>
      <c r="CZ85" s="77" t="str">
        <f>P85</f>
        <v>V</v>
      </c>
      <c r="DA85" s="21"/>
      <c r="DB85" s="149">
        <v>1.4E-3</v>
      </c>
      <c r="DC85" s="150" t="str">
        <f t="shared" si="67"/>
        <v>V</v>
      </c>
      <c r="DD85" s="136"/>
      <c r="DE85" s="151" t="e">
        <f t="shared" si="73"/>
        <v>#DIV/0!</v>
      </c>
      <c r="DF85" s="152" t="str">
        <f t="shared" si="68"/>
        <v>V</v>
      </c>
    </row>
    <row r="86" spans="1:110" s="4" customFormat="1" ht="14.25" thickBot="1" x14ac:dyDescent="0.3">
      <c r="A86" s="3"/>
      <c r="B86" s="12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126"/>
      <c r="AH86" s="126"/>
      <c r="AI86" s="126"/>
      <c r="AJ86" s="126"/>
      <c r="AK86" s="126"/>
      <c r="AL86" s="126"/>
      <c r="AM86" s="126"/>
      <c r="AN86" s="126"/>
      <c r="AO86" s="126"/>
      <c r="AP86" s="126"/>
      <c r="AQ86" s="126"/>
      <c r="AR86" s="126"/>
      <c r="AS86" s="126"/>
      <c r="AT86" s="126"/>
      <c r="AU86" s="126"/>
      <c r="AV86" s="126"/>
      <c r="AW86" s="126"/>
      <c r="AX86" s="126"/>
      <c r="AY86" s="126"/>
      <c r="AZ86" s="127"/>
      <c r="BA86" s="3"/>
      <c r="BB86" s="3"/>
      <c r="BC86" s="3"/>
      <c r="BD86" s="3"/>
      <c r="BE86" s="3"/>
      <c r="BF86" s="3"/>
      <c r="BG86" s="3"/>
      <c r="BH86" s="3"/>
      <c r="BI86" s="3"/>
      <c r="BJ86" s="3"/>
      <c r="BK86" s="3"/>
      <c r="BL86" s="3"/>
      <c r="BM86" s="3"/>
      <c r="BN86" s="3"/>
      <c r="BO86" s="3"/>
      <c r="BP86" s="3"/>
      <c r="BQ86" s="3"/>
      <c r="BR86" s="3"/>
      <c r="BS86" s="3"/>
      <c r="BT86" s="3"/>
      <c r="BU86" s="3"/>
      <c r="BV86" s="3"/>
      <c r="BX86" s="48"/>
      <c r="BY86" s="48"/>
      <c r="BZ86" s="48"/>
      <c r="CA86" s="48"/>
      <c r="CB86" s="48"/>
      <c r="CC86" s="48"/>
      <c r="CD86" s="48"/>
      <c r="CE86" s="48"/>
      <c r="CF86" s="48"/>
      <c r="CG86" s="48"/>
      <c r="CH86" s="48"/>
      <c r="CI86" s="48"/>
      <c r="CJ86" s="48"/>
      <c r="CK86" s="48"/>
      <c r="CL86" s="48"/>
      <c r="CM86" s="48"/>
      <c r="CN86" s="48"/>
      <c r="CO86" s="48"/>
      <c r="CP86" s="48"/>
      <c r="CQ86" s="48"/>
      <c r="CR86" s="48"/>
      <c r="DB86" s="49"/>
      <c r="DC86" s="49"/>
      <c r="DD86" s="49"/>
      <c r="DE86" s="50"/>
      <c r="DF86" s="50"/>
    </row>
    <row r="87" spans="1:110" s="4" customFormat="1" ht="13.5" customHeight="1" thickBot="1" x14ac:dyDescent="0.3">
      <c r="A87" s="3"/>
      <c r="B87" s="125"/>
      <c r="C87" s="126"/>
      <c r="D87" s="118"/>
      <c r="E87" s="126"/>
      <c r="F87" s="128" t="s">
        <v>127</v>
      </c>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7"/>
      <c r="BA87" s="3"/>
      <c r="BB87" s="3"/>
      <c r="BC87" s="3"/>
      <c r="BD87" s="3"/>
      <c r="BE87" s="3"/>
      <c r="BF87" s="3"/>
      <c r="BG87" s="3"/>
      <c r="BH87" s="3"/>
      <c r="BI87" s="3"/>
      <c r="BJ87" s="3"/>
      <c r="BK87" s="3"/>
      <c r="BL87" s="3"/>
      <c r="BM87" s="3"/>
      <c r="BN87" s="3"/>
      <c r="BO87" s="3"/>
      <c r="BP87" s="3"/>
      <c r="BQ87" s="3"/>
      <c r="BR87" s="3"/>
      <c r="BS87" s="3"/>
      <c r="BT87" s="3"/>
      <c r="BU87" s="3"/>
      <c r="BV87" s="3"/>
      <c r="BX87" s="218" t="s">
        <v>51</v>
      </c>
      <c r="BY87" s="219"/>
      <c r="BZ87" s="219"/>
      <c r="CA87" s="219"/>
      <c r="CB87" s="220"/>
      <c r="CC87" s="11"/>
      <c r="CD87" s="218" t="s">
        <v>51</v>
      </c>
      <c r="CE87" s="219"/>
      <c r="CF87" s="219"/>
      <c r="CG87" s="219"/>
      <c r="CH87" s="220"/>
      <c r="CI87" s="11"/>
      <c r="CJ87" s="218" t="s">
        <v>153</v>
      </c>
      <c r="CK87" s="219"/>
      <c r="CL87" s="219"/>
      <c r="CM87" s="219"/>
      <c r="CN87" s="220"/>
      <c r="CO87" s="11"/>
      <c r="CP87" s="218" t="s">
        <v>153</v>
      </c>
      <c r="CQ87" s="219"/>
      <c r="CR87" s="219"/>
      <c r="CS87" s="219"/>
      <c r="CT87" s="220"/>
      <c r="CU87" s="5"/>
      <c r="CV87" s="218" t="s">
        <v>39</v>
      </c>
      <c r="CW87" s="219"/>
      <c r="CX87" s="219"/>
      <c r="CY87" s="219"/>
      <c r="CZ87" s="220"/>
      <c r="DA87" s="11"/>
      <c r="DB87" s="231" t="s">
        <v>152</v>
      </c>
      <c r="DC87" s="232"/>
      <c r="DD87" s="49"/>
      <c r="DE87" s="237" t="s">
        <v>143</v>
      </c>
      <c r="DF87" s="238"/>
    </row>
    <row r="88" spans="1:110" s="4" customFormat="1" ht="13.5" customHeight="1" x14ac:dyDescent="0.25">
      <c r="A88" s="3"/>
      <c r="B88" s="125"/>
      <c r="C88" s="126"/>
      <c r="D88" s="118"/>
      <c r="E88" s="118"/>
      <c r="F88" s="261" t="s">
        <v>53</v>
      </c>
      <c r="G88" s="261"/>
      <c r="H88" s="261"/>
      <c r="I88" s="261"/>
      <c r="J88" s="261"/>
      <c r="K88" s="261"/>
      <c r="L88" s="261" t="s">
        <v>61</v>
      </c>
      <c r="M88" s="261"/>
      <c r="N88" s="261"/>
      <c r="O88" s="261"/>
      <c r="P88" s="261"/>
      <c r="Q88" s="261"/>
      <c r="R88" s="261"/>
      <c r="S88" s="261" t="s">
        <v>106</v>
      </c>
      <c r="T88" s="261"/>
      <c r="U88" s="261"/>
      <c r="V88" s="261"/>
      <c r="W88" s="261"/>
      <c r="X88" s="261" t="s">
        <v>95</v>
      </c>
      <c r="Y88" s="261"/>
      <c r="Z88" s="261"/>
      <c r="AA88" s="261"/>
      <c r="AB88" s="261"/>
      <c r="AC88" s="261"/>
      <c r="AD88" s="261"/>
      <c r="AE88" s="261"/>
      <c r="AF88" s="261"/>
      <c r="AG88" s="261"/>
      <c r="AH88" s="261"/>
      <c r="AI88" s="261"/>
      <c r="AJ88" s="261"/>
      <c r="AK88" s="261"/>
      <c r="AL88" s="261"/>
      <c r="AM88" s="261" t="s">
        <v>107</v>
      </c>
      <c r="AN88" s="261"/>
      <c r="AO88" s="261"/>
      <c r="AP88" s="261"/>
      <c r="AQ88" s="261"/>
      <c r="AR88" s="261" t="s">
        <v>63</v>
      </c>
      <c r="AS88" s="261"/>
      <c r="AT88" s="261"/>
      <c r="AU88" s="261"/>
      <c r="AV88" s="261"/>
      <c r="AW88" s="126"/>
      <c r="AX88" s="126"/>
      <c r="AY88" s="126"/>
      <c r="AZ88" s="127"/>
      <c r="BA88" s="3"/>
      <c r="BB88" s="261" t="s">
        <v>129</v>
      </c>
      <c r="BC88" s="261"/>
      <c r="BD88" s="261"/>
      <c r="BE88" s="261"/>
      <c r="BF88" s="261"/>
      <c r="BG88" s="261" t="s">
        <v>99</v>
      </c>
      <c r="BH88" s="261"/>
      <c r="BI88" s="261"/>
      <c r="BJ88" s="261"/>
      <c r="BK88" s="261"/>
      <c r="BL88" s="261" t="s">
        <v>100</v>
      </c>
      <c r="BM88" s="261"/>
      <c r="BN88" s="261"/>
      <c r="BO88" s="261"/>
      <c r="BP88" s="261"/>
      <c r="BQ88" s="261" t="s">
        <v>98</v>
      </c>
      <c r="BR88" s="261"/>
      <c r="BS88" s="261"/>
      <c r="BT88" s="261"/>
      <c r="BU88" s="261"/>
      <c r="BV88" s="3"/>
      <c r="BX88" s="243" t="s">
        <v>27</v>
      </c>
      <c r="BY88" s="221" t="s">
        <v>151</v>
      </c>
      <c r="BZ88" s="222"/>
      <c r="CA88" s="263" t="s">
        <v>28</v>
      </c>
      <c r="CB88" s="265" t="s">
        <v>37</v>
      </c>
      <c r="CC88" s="12"/>
      <c r="CD88" s="243" t="s">
        <v>27</v>
      </c>
      <c r="CE88" s="221" t="s">
        <v>151</v>
      </c>
      <c r="CF88" s="222"/>
      <c r="CG88" s="263" t="s">
        <v>28</v>
      </c>
      <c r="CH88" s="265" t="s">
        <v>37</v>
      </c>
      <c r="CI88" s="12"/>
      <c r="CJ88" s="243" t="s">
        <v>27</v>
      </c>
      <c r="CK88" s="221" t="s">
        <v>151</v>
      </c>
      <c r="CL88" s="222"/>
      <c r="CM88" s="263" t="s">
        <v>28</v>
      </c>
      <c r="CN88" s="265" t="s">
        <v>37</v>
      </c>
      <c r="CO88" s="12"/>
      <c r="CP88" s="243" t="s">
        <v>27</v>
      </c>
      <c r="CQ88" s="221" t="s">
        <v>151</v>
      </c>
      <c r="CR88" s="222"/>
      <c r="CS88" s="263" t="s">
        <v>28</v>
      </c>
      <c r="CT88" s="265" t="s">
        <v>37</v>
      </c>
      <c r="CU88" s="6"/>
      <c r="CV88" s="172" t="s">
        <v>29</v>
      </c>
      <c r="CW88" s="81" t="s">
        <v>30</v>
      </c>
      <c r="CX88" s="174" t="s">
        <v>40</v>
      </c>
      <c r="CY88" s="243" t="s">
        <v>31</v>
      </c>
      <c r="CZ88" s="267"/>
      <c r="DA88" s="12"/>
      <c r="DB88" s="233"/>
      <c r="DC88" s="234"/>
      <c r="DD88" s="129"/>
      <c r="DE88" s="239"/>
      <c r="DF88" s="240"/>
    </row>
    <row r="89" spans="1:110" s="4" customFormat="1" ht="14.25" thickBot="1" x14ac:dyDescent="0.3">
      <c r="A89" s="3"/>
      <c r="B89" s="125"/>
      <c r="C89" s="126"/>
      <c r="D89" s="118"/>
      <c r="E89" s="118"/>
      <c r="F89" s="261"/>
      <c r="G89" s="261"/>
      <c r="H89" s="261"/>
      <c r="I89" s="261"/>
      <c r="J89" s="261"/>
      <c r="K89" s="261"/>
      <c r="L89" s="261"/>
      <c r="M89" s="261"/>
      <c r="N89" s="261"/>
      <c r="O89" s="261"/>
      <c r="P89" s="261"/>
      <c r="Q89" s="261"/>
      <c r="R89" s="261"/>
      <c r="S89" s="261"/>
      <c r="T89" s="261"/>
      <c r="U89" s="261"/>
      <c r="V89" s="261"/>
      <c r="W89" s="261"/>
      <c r="X89" s="261">
        <v>1</v>
      </c>
      <c r="Y89" s="261"/>
      <c r="Z89" s="261"/>
      <c r="AA89" s="261"/>
      <c r="AB89" s="261"/>
      <c r="AC89" s="261">
        <v>2</v>
      </c>
      <c r="AD89" s="261"/>
      <c r="AE89" s="261"/>
      <c r="AF89" s="261"/>
      <c r="AG89" s="261"/>
      <c r="AH89" s="261">
        <v>3</v>
      </c>
      <c r="AI89" s="261"/>
      <c r="AJ89" s="261"/>
      <c r="AK89" s="261"/>
      <c r="AL89" s="261"/>
      <c r="AM89" s="261"/>
      <c r="AN89" s="261"/>
      <c r="AO89" s="261"/>
      <c r="AP89" s="261"/>
      <c r="AQ89" s="261"/>
      <c r="AR89" s="261"/>
      <c r="AS89" s="261"/>
      <c r="AT89" s="261"/>
      <c r="AU89" s="261"/>
      <c r="AV89" s="261"/>
      <c r="AW89" s="126"/>
      <c r="AX89" s="126"/>
      <c r="AY89" s="126"/>
      <c r="AZ89" s="127"/>
      <c r="BA89" s="3"/>
      <c r="BB89" s="261"/>
      <c r="BC89" s="261"/>
      <c r="BD89" s="261"/>
      <c r="BE89" s="261"/>
      <c r="BF89" s="261"/>
      <c r="BG89" s="261"/>
      <c r="BH89" s="261"/>
      <c r="BI89" s="261"/>
      <c r="BJ89" s="261"/>
      <c r="BK89" s="261"/>
      <c r="BL89" s="261"/>
      <c r="BM89" s="261"/>
      <c r="BN89" s="261"/>
      <c r="BO89" s="261"/>
      <c r="BP89" s="261"/>
      <c r="BQ89" s="261"/>
      <c r="BR89" s="261"/>
      <c r="BS89" s="261"/>
      <c r="BT89" s="261"/>
      <c r="BU89" s="261"/>
      <c r="BV89" s="3"/>
      <c r="BX89" s="244"/>
      <c r="BY89" s="223"/>
      <c r="BZ89" s="224"/>
      <c r="CA89" s="264"/>
      <c r="CB89" s="266"/>
      <c r="CC89" s="12"/>
      <c r="CD89" s="244"/>
      <c r="CE89" s="223"/>
      <c r="CF89" s="224"/>
      <c r="CG89" s="264"/>
      <c r="CH89" s="266"/>
      <c r="CI89" s="12"/>
      <c r="CJ89" s="244"/>
      <c r="CK89" s="223"/>
      <c r="CL89" s="224"/>
      <c r="CM89" s="264"/>
      <c r="CN89" s="266"/>
      <c r="CO89" s="12"/>
      <c r="CP89" s="244"/>
      <c r="CQ89" s="223"/>
      <c r="CR89" s="224"/>
      <c r="CS89" s="264"/>
      <c r="CT89" s="266"/>
      <c r="CU89" s="6"/>
      <c r="CV89" s="173" t="s">
        <v>32</v>
      </c>
      <c r="CW89" s="82" t="s">
        <v>33</v>
      </c>
      <c r="CX89" s="175" t="s">
        <v>34</v>
      </c>
      <c r="CY89" s="244" t="s">
        <v>35</v>
      </c>
      <c r="CZ89" s="262"/>
      <c r="DA89" s="12"/>
      <c r="DB89" s="235"/>
      <c r="DC89" s="236"/>
      <c r="DD89" s="129"/>
      <c r="DE89" s="241"/>
      <c r="DF89" s="242"/>
    </row>
    <row r="90" spans="1:110" s="4" customFormat="1" ht="13.5" x14ac:dyDescent="0.25">
      <c r="A90" s="3"/>
      <c r="B90" s="125"/>
      <c r="C90" s="126"/>
      <c r="D90" s="126"/>
      <c r="E90" s="126"/>
      <c r="F90" s="247" t="s">
        <v>102</v>
      </c>
      <c r="G90" s="247"/>
      <c r="H90" s="247"/>
      <c r="I90" s="247"/>
      <c r="J90" s="247"/>
      <c r="K90" s="247"/>
      <c r="L90" s="248">
        <v>6</v>
      </c>
      <c r="M90" s="249"/>
      <c r="N90" s="249"/>
      <c r="O90" s="249"/>
      <c r="P90" s="250" t="s">
        <v>55</v>
      </c>
      <c r="Q90" s="250"/>
      <c r="R90" s="251"/>
      <c r="S90" s="257" t="s">
        <v>108</v>
      </c>
      <c r="T90" s="257"/>
      <c r="U90" s="257"/>
      <c r="V90" s="257"/>
      <c r="W90" s="257"/>
      <c r="X90" s="245">
        <v>6</v>
      </c>
      <c r="Y90" s="245"/>
      <c r="Z90" s="245"/>
      <c r="AA90" s="245"/>
      <c r="AB90" s="245"/>
      <c r="AC90" s="245">
        <v>6</v>
      </c>
      <c r="AD90" s="245"/>
      <c r="AE90" s="245"/>
      <c r="AF90" s="245"/>
      <c r="AG90" s="245"/>
      <c r="AH90" s="245">
        <v>6</v>
      </c>
      <c r="AI90" s="245"/>
      <c r="AJ90" s="245"/>
      <c r="AK90" s="245"/>
      <c r="AL90" s="245"/>
      <c r="AM90" s="245">
        <f>ROUND(AVERAGE(X90:AL90),1)</f>
        <v>6</v>
      </c>
      <c r="AN90" s="245"/>
      <c r="AO90" s="245"/>
      <c r="AP90" s="245"/>
      <c r="AQ90" s="245"/>
      <c r="AR90" s="245">
        <f t="shared" ref="AR90:AR91" si="76">AM90-L90</f>
        <v>0</v>
      </c>
      <c r="AS90" s="245"/>
      <c r="AT90" s="245"/>
      <c r="AU90" s="245"/>
      <c r="AV90" s="245"/>
      <c r="AW90" s="126"/>
      <c r="AX90" s="126"/>
      <c r="AY90" s="126"/>
      <c r="AZ90" s="127"/>
      <c r="BA90" s="3"/>
      <c r="BB90" s="245">
        <f>ROUND((BG90-L90),1)</f>
        <v>0.4</v>
      </c>
      <c r="BC90" s="245"/>
      <c r="BD90" s="245"/>
      <c r="BE90" s="245"/>
      <c r="BF90" s="245"/>
      <c r="BG90" s="245">
        <v>6.4</v>
      </c>
      <c r="BH90" s="245"/>
      <c r="BI90" s="245"/>
      <c r="BJ90" s="245"/>
      <c r="BK90" s="245"/>
      <c r="BL90" s="245">
        <v>5.6</v>
      </c>
      <c r="BM90" s="245"/>
      <c r="BN90" s="245"/>
      <c r="BO90" s="245"/>
      <c r="BP90" s="245"/>
      <c r="BQ90" s="246" t="str">
        <f>IF(AND(AM90&lt;=BG90,AM90&gt;=BL90),"PASS","FAIL")</f>
        <v>PASS</v>
      </c>
      <c r="BR90" s="246"/>
      <c r="BS90" s="246"/>
      <c r="BT90" s="246"/>
      <c r="BU90" s="246"/>
      <c r="BV90" s="3"/>
      <c r="BX90" s="54" t="s">
        <v>36</v>
      </c>
      <c r="BY90" s="154">
        <v>8.8000000000000005E-3</v>
      </c>
      <c r="BZ90" s="55" t="str">
        <f>P90</f>
        <v>mV</v>
      </c>
      <c r="CA90" s="131">
        <v>2</v>
      </c>
      <c r="CB90" s="59">
        <f t="shared" ref="CB90:CB91" si="77">BY90/CA90</f>
        <v>4.4000000000000003E-3</v>
      </c>
      <c r="CC90" s="13"/>
      <c r="CD90" s="54" t="s">
        <v>150</v>
      </c>
      <c r="CE90" s="132">
        <v>0</v>
      </c>
      <c r="CF90" s="55" t="str">
        <f t="shared" ref="CF90:CF91" si="78">BZ90</f>
        <v>mV</v>
      </c>
      <c r="CG90" s="56">
        <f t="shared" ref="CG90:CG91" si="79">SQRT(3)</f>
        <v>1.7320508075688772</v>
      </c>
      <c r="CH90" s="59">
        <f t="shared" ref="CH90:CH91" si="80">CE90/CG90</f>
        <v>0</v>
      </c>
      <c r="CI90" s="13"/>
      <c r="CJ90" s="63" t="s">
        <v>59</v>
      </c>
      <c r="CK90" s="155">
        <v>0.1</v>
      </c>
      <c r="CL90" s="65" t="str">
        <f>P90</f>
        <v>mV</v>
      </c>
      <c r="CM90" s="67">
        <f t="shared" ref="CM90:CM91" si="81">SQRT(12)</f>
        <v>3.4641016151377544</v>
      </c>
      <c r="CN90" s="62">
        <f t="shared" ref="CN90:CN91" si="82">CK90/CM90</f>
        <v>2.8867513459481291E-2</v>
      </c>
      <c r="CO90" s="13"/>
      <c r="CP90" s="63" t="s">
        <v>38</v>
      </c>
      <c r="CQ90" s="64">
        <f t="shared" ref="CQ90:CQ91" si="83">_xlfn.STDEV.P(X90:AL90)</f>
        <v>0</v>
      </c>
      <c r="CR90" s="65" t="str">
        <f>P90</f>
        <v>mV</v>
      </c>
      <c r="CS90" s="67">
        <f t="shared" ref="CS90:CS91" si="84">SQRT(3)</f>
        <v>1.7320508075688772</v>
      </c>
      <c r="CT90" s="68">
        <f t="shared" ref="CT90:CT91" si="85">CQ90/CS90</f>
        <v>0</v>
      </c>
      <c r="CU90" s="9"/>
      <c r="CV90" s="78">
        <f t="shared" ref="CV90:CV91" si="86">SQRT(SUMSQ(CT90,CN90,CH90,CB90))</f>
        <v>2.9200913227728571E-2</v>
      </c>
      <c r="CW90" s="79">
        <f t="shared" ref="CW90:CW91" si="87">(CV90^4)/(((CT90^4)/2)+((CN90^4)/200)+((CH90^4)/200)+((CB90^4)/200))</f>
        <v>209.28778714143195</v>
      </c>
      <c r="CX90" s="83">
        <f t="shared" ref="CX90:CX91" si="88">ROUND(TINV(0.05,CW90),0)</f>
        <v>2</v>
      </c>
      <c r="CY90" s="92">
        <f>ROUND((CV90*CX90),3)</f>
        <v>5.8000000000000003E-2</v>
      </c>
      <c r="CZ90" s="80" t="str">
        <f>P90</f>
        <v>mV</v>
      </c>
      <c r="DA90" s="21"/>
      <c r="DB90" s="164">
        <v>5.3E-3</v>
      </c>
      <c r="DC90" s="165" t="str">
        <f t="shared" ref="DC90:DC91" si="89">CZ90</f>
        <v>mV</v>
      </c>
      <c r="DD90" s="136"/>
      <c r="DE90" s="137">
        <f>MAX(CY90:DB90)</f>
        <v>5.8000000000000003E-2</v>
      </c>
      <c r="DF90" s="138" t="str">
        <f t="shared" ref="DF90:DF91" si="90">CZ90</f>
        <v>mV</v>
      </c>
    </row>
    <row r="91" spans="1:110" s="4" customFormat="1" ht="14.25" thickBot="1" x14ac:dyDescent="0.3">
      <c r="A91" s="3"/>
      <c r="B91" s="125"/>
      <c r="C91" s="126"/>
      <c r="D91" s="126"/>
      <c r="E91" s="126"/>
      <c r="F91" s="247" t="s">
        <v>102</v>
      </c>
      <c r="G91" s="247"/>
      <c r="H91" s="247"/>
      <c r="I91" s="247"/>
      <c r="J91" s="247"/>
      <c r="K91" s="247"/>
      <c r="L91" s="248">
        <v>600</v>
      </c>
      <c r="M91" s="249"/>
      <c r="N91" s="249"/>
      <c r="O91" s="249"/>
      <c r="P91" s="250" t="s">
        <v>55</v>
      </c>
      <c r="Q91" s="250"/>
      <c r="R91" s="251"/>
      <c r="S91" s="257" t="s">
        <v>60</v>
      </c>
      <c r="T91" s="257"/>
      <c r="U91" s="257"/>
      <c r="V91" s="257"/>
      <c r="W91" s="257"/>
      <c r="X91" s="245">
        <v>600</v>
      </c>
      <c r="Y91" s="245"/>
      <c r="Z91" s="245"/>
      <c r="AA91" s="245"/>
      <c r="AB91" s="245"/>
      <c r="AC91" s="245">
        <v>600</v>
      </c>
      <c r="AD91" s="245"/>
      <c r="AE91" s="245"/>
      <c r="AF91" s="245"/>
      <c r="AG91" s="245"/>
      <c r="AH91" s="245">
        <v>600</v>
      </c>
      <c r="AI91" s="245"/>
      <c r="AJ91" s="245"/>
      <c r="AK91" s="245"/>
      <c r="AL91" s="245"/>
      <c r="AM91" s="245">
        <f>ROUND(AVERAGE(X91:AL91),1)</f>
        <v>600</v>
      </c>
      <c r="AN91" s="245"/>
      <c r="AO91" s="245"/>
      <c r="AP91" s="245"/>
      <c r="AQ91" s="245"/>
      <c r="AR91" s="245">
        <f t="shared" si="76"/>
        <v>0</v>
      </c>
      <c r="AS91" s="245"/>
      <c r="AT91" s="245"/>
      <c r="AU91" s="245"/>
      <c r="AV91" s="245"/>
      <c r="AW91" s="126"/>
      <c r="AX91" s="126"/>
      <c r="AY91" s="126"/>
      <c r="AZ91" s="127"/>
      <c r="BA91" s="3"/>
      <c r="BB91" s="245">
        <f>ROUND((BG91-L91),1)</f>
        <v>12.3</v>
      </c>
      <c r="BC91" s="245"/>
      <c r="BD91" s="245"/>
      <c r="BE91" s="245"/>
      <c r="BF91" s="245"/>
      <c r="BG91" s="245">
        <v>612.29999999999995</v>
      </c>
      <c r="BH91" s="245"/>
      <c r="BI91" s="245"/>
      <c r="BJ91" s="245"/>
      <c r="BK91" s="245"/>
      <c r="BL91" s="245">
        <v>587.70000000000005</v>
      </c>
      <c r="BM91" s="245"/>
      <c r="BN91" s="245"/>
      <c r="BO91" s="245"/>
      <c r="BP91" s="245"/>
      <c r="BQ91" s="246" t="str">
        <f>IF(AND(AM91&lt;=BG91,AM91&gt;=BL91),"PASS","FAIL")</f>
        <v>PASS</v>
      </c>
      <c r="BR91" s="246"/>
      <c r="BS91" s="246"/>
      <c r="BT91" s="246"/>
      <c r="BU91" s="246"/>
      <c r="BV91" s="3"/>
      <c r="BX91" s="52" t="s">
        <v>36</v>
      </c>
      <c r="BY91" s="158">
        <v>0.91</v>
      </c>
      <c r="BZ91" s="53" t="str">
        <f>P91</f>
        <v>mV</v>
      </c>
      <c r="CA91" s="147">
        <v>2</v>
      </c>
      <c r="CB91" s="61">
        <f t="shared" si="77"/>
        <v>0.45500000000000002</v>
      </c>
      <c r="CC91" s="13"/>
      <c r="CD91" s="52" t="s">
        <v>150</v>
      </c>
      <c r="CE91" s="146">
        <v>0</v>
      </c>
      <c r="CF91" s="53" t="str">
        <f t="shared" si="78"/>
        <v>mV</v>
      </c>
      <c r="CG91" s="58">
        <f t="shared" si="79"/>
        <v>1.7320508075688772</v>
      </c>
      <c r="CH91" s="61">
        <f t="shared" si="80"/>
        <v>0</v>
      </c>
      <c r="CI91" s="13"/>
      <c r="CJ91" s="52" t="s">
        <v>59</v>
      </c>
      <c r="CK91" s="148">
        <v>0.1</v>
      </c>
      <c r="CL91" s="53" t="str">
        <f>P91</f>
        <v>mV</v>
      </c>
      <c r="CM91" s="58">
        <f t="shared" si="81"/>
        <v>3.4641016151377544</v>
      </c>
      <c r="CN91" s="61">
        <f t="shared" si="82"/>
        <v>2.8867513459481291E-2</v>
      </c>
      <c r="CO91" s="13"/>
      <c r="CP91" s="52" t="s">
        <v>38</v>
      </c>
      <c r="CQ91" s="66">
        <f t="shared" si="83"/>
        <v>0</v>
      </c>
      <c r="CR91" s="53" t="str">
        <f>P91</f>
        <v>mV</v>
      </c>
      <c r="CS91" s="58">
        <f t="shared" si="84"/>
        <v>1.7320508075688772</v>
      </c>
      <c r="CT91" s="70">
        <f t="shared" si="85"/>
        <v>0</v>
      </c>
      <c r="CU91" s="9"/>
      <c r="CV91" s="75">
        <f t="shared" si="86"/>
        <v>0.45591483122764642</v>
      </c>
      <c r="CW91" s="76">
        <f t="shared" si="87"/>
        <v>201.61008541221824</v>
      </c>
      <c r="CX91" s="85">
        <f t="shared" si="88"/>
        <v>2</v>
      </c>
      <c r="CY91" s="93">
        <f>ROUND((CV91*CX91),3)</f>
        <v>0.91200000000000003</v>
      </c>
      <c r="CZ91" s="77" t="str">
        <f>P91</f>
        <v>mV</v>
      </c>
      <c r="DA91" s="21"/>
      <c r="DB91" s="149">
        <v>8.5000000000000006E-2</v>
      </c>
      <c r="DC91" s="150" t="str">
        <f t="shared" si="89"/>
        <v>mV</v>
      </c>
      <c r="DD91" s="136"/>
      <c r="DE91" s="151">
        <f t="shared" ref="DE91" si="91">IF(CY91&lt;DB91,DB91,CY91)</f>
        <v>0.91200000000000003</v>
      </c>
      <c r="DF91" s="152" t="str">
        <f t="shared" si="90"/>
        <v>mV</v>
      </c>
    </row>
    <row r="92" spans="1:110" s="4" customFormat="1" ht="14.25" thickBot="1" x14ac:dyDescent="0.3">
      <c r="A92" s="3"/>
      <c r="B92" s="12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7"/>
      <c r="BA92" s="3"/>
      <c r="BB92" s="3"/>
      <c r="BC92" s="3"/>
      <c r="BD92" s="3"/>
      <c r="BE92" s="3"/>
      <c r="BF92" s="3"/>
      <c r="BG92" s="3"/>
      <c r="BH92" s="3"/>
      <c r="BI92" s="3"/>
      <c r="BJ92" s="3"/>
      <c r="BK92" s="3"/>
      <c r="BL92" s="3"/>
      <c r="BM92" s="3"/>
      <c r="BN92" s="3"/>
      <c r="BO92" s="3"/>
      <c r="BP92" s="3"/>
      <c r="BQ92" s="3"/>
      <c r="BR92" s="3"/>
      <c r="BS92" s="3"/>
      <c r="BT92" s="3"/>
      <c r="BU92" s="3"/>
      <c r="BV92" s="3"/>
      <c r="BX92" s="48"/>
      <c r="BY92" s="48"/>
      <c r="BZ92" s="48"/>
      <c r="CA92" s="48"/>
      <c r="CB92" s="48"/>
      <c r="CC92" s="48"/>
      <c r="CD92" s="48"/>
      <c r="CE92" s="48"/>
      <c r="CF92" s="48"/>
      <c r="CG92" s="48"/>
      <c r="CH92" s="48"/>
      <c r="CI92" s="48"/>
      <c r="CJ92" s="48"/>
      <c r="CK92" s="48"/>
      <c r="CL92" s="48"/>
      <c r="CM92" s="48"/>
      <c r="CN92" s="48"/>
      <c r="CO92" s="48"/>
      <c r="CP92" s="48"/>
      <c r="CQ92" s="48"/>
      <c r="CR92" s="48"/>
      <c r="DB92" s="49"/>
      <c r="DC92" s="49"/>
      <c r="DD92" s="49"/>
      <c r="DE92" s="50"/>
      <c r="DF92" s="50"/>
    </row>
    <row r="93" spans="1:110" s="4" customFormat="1" ht="13.5" customHeight="1" thickBot="1" x14ac:dyDescent="0.3">
      <c r="A93" s="3"/>
      <c r="B93" s="125"/>
      <c r="C93" s="126"/>
      <c r="D93" s="118"/>
      <c r="E93" s="126"/>
      <c r="F93" s="128" t="s">
        <v>128</v>
      </c>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7"/>
      <c r="BA93" s="3"/>
      <c r="BB93" s="3"/>
      <c r="BC93" s="3"/>
      <c r="BD93" s="3"/>
      <c r="BE93" s="3"/>
      <c r="BF93" s="3"/>
      <c r="BG93" s="3"/>
      <c r="BH93" s="3"/>
      <c r="BI93" s="3"/>
      <c r="BJ93" s="3"/>
      <c r="BK93" s="3"/>
      <c r="BL93" s="3"/>
      <c r="BM93" s="3"/>
      <c r="BN93" s="3"/>
      <c r="BO93" s="3"/>
      <c r="BP93" s="3"/>
      <c r="BQ93" s="3"/>
      <c r="BR93" s="3"/>
      <c r="BS93" s="3"/>
      <c r="BT93" s="3"/>
      <c r="BU93" s="3"/>
      <c r="BV93" s="3"/>
      <c r="BX93" s="218" t="s">
        <v>51</v>
      </c>
      <c r="BY93" s="219"/>
      <c r="BZ93" s="219"/>
      <c r="CA93" s="219"/>
      <c r="CB93" s="220"/>
      <c r="CC93" s="11"/>
      <c r="CD93" s="218" t="s">
        <v>51</v>
      </c>
      <c r="CE93" s="219"/>
      <c r="CF93" s="219"/>
      <c r="CG93" s="219"/>
      <c r="CH93" s="220"/>
      <c r="CI93" s="11"/>
      <c r="CJ93" s="218" t="s">
        <v>153</v>
      </c>
      <c r="CK93" s="219"/>
      <c r="CL93" s="219"/>
      <c r="CM93" s="219"/>
      <c r="CN93" s="220"/>
      <c r="CO93" s="11"/>
      <c r="CP93" s="218" t="s">
        <v>153</v>
      </c>
      <c r="CQ93" s="219"/>
      <c r="CR93" s="219"/>
      <c r="CS93" s="219"/>
      <c r="CT93" s="220"/>
      <c r="CU93" s="5"/>
      <c r="CV93" s="218" t="s">
        <v>39</v>
      </c>
      <c r="CW93" s="219"/>
      <c r="CX93" s="219"/>
      <c r="CY93" s="219"/>
      <c r="CZ93" s="220"/>
      <c r="DA93" s="11"/>
      <c r="DB93" s="231" t="s">
        <v>152</v>
      </c>
      <c r="DC93" s="232"/>
      <c r="DD93" s="49"/>
      <c r="DE93" s="237" t="s">
        <v>143</v>
      </c>
      <c r="DF93" s="238"/>
    </row>
    <row r="94" spans="1:110" s="4" customFormat="1" ht="13.5" customHeight="1" x14ac:dyDescent="0.25">
      <c r="A94" s="3"/>
      <c r="B94" s="125"/>
      <c r="C94" s="126"/>
      <c r="D94" s="118"/>
      <c r="E94" s="118"/>
      <c r="F94" s="261" t="s">
        <v>53</v>
      </c>
      <c r="G94" s="261"/>
      <c r="H94" s="261"/>
      <c r="I94" s="261"/>
      <c r="J94" s="261"/>
      <c r="K94" s="261"/>
      <c r="L94" s="261" t="s">
        <v>61</v>
      </c>
      <c r="M94" s="261"/>
      <c r="N94" s="261"/>
      <c r="O94" s="261"/>
      <c r="P94" s="261"/>
      <c r="Q94" s="261"/>
      <c r="R94" s="261"/>
      <c r="S94" s="261" t="s">
        <v>106</v>
      </c>
      <c r="T94" s="261"/>
      <c r="U94" s="261"/>
      <c r="V94" s="261"/>
      <c r="W94" s="261"/>
      <c r="X94" s="261" t="s">
        <v>95</v>
      </c>
      <c r="Y94" s="261"/>
      <c r="Z94" s="261"/>
      <c r="AA94" s="261"/>
      <c r="AB94" s="261"/>
      <c r="AC94" s="261"/>
      <c r="AD94" s="261"/>
      <c r="AE94" s="261"/>
      <c r="AF94" s="261"/>
      <c r="AG94" s="261"/>
      <c r="AH94" s="261"/>
      <c r="AI94" s="261"/>
      <c r="AJ94" s="261"/>
      <c r="AK94" s="261"/>
      <c r="AL94" s="261"/>
      <c r="AM94" s="261" t="s">
        <v>107</v>
      </c>
      <c r="AN94" s="261"/>
      <c r="AO94" s="261"/>
      <c r="AP94" s="261"/>
      <c r="AQ94" s="261"/>
      <c r="AR94" s="261" t="s">
        <v>63</v>
      </c>
      <c r="AS94" s="261"/>
      <c r="AT94" s="261"/>
      <c r="AU94" s="261"/>
      <c r="AV94" s="261"/>
      <c r="AW94" s="126"/>
      <c r="AX94" s="126"/>
      <c r="AY94" s="126"/>
      <c r="AZ94" s="127"/>
      <c r="BA94" s="3"/>
      <c r="BB94" s="261" t="s">
        <v>129</v>
      </c>
      <c r="BC94" s="261"/>
      <c r="BD94" s="261"/>
      <c r="BE94" s="261"/>
      <c r="BF94" s="261"/>
      <c r="BG94" s="261" t="s">
        <v>99</v>
      </c>
      <c r="BH94" s="261"/>
      <c r="BI94" s="261"/>
      <c r="BJ94" s="261"/>
      <c r="BK94" s="261"/>
      <c r="BL94" s="261" t="s">
        <v>100</v>
      </c>
      <c r="BM94" s="261"/>
      <c r="BN94" s="261"/>
      <c r="BO94" s="261"/>
      <c r="BP94" s="261"/>
      <c r="BQ94" s="261" t="s">
        <v>98</v>
      </c>
      <c r="BR94" s="261"/>
      <c r="BS94" s="261"/>
      <c r="BT94" s="261"/>
      <c r="BU94" s="261"/>
      <c r="BV94" s="3"/>
      <c r="BX94" s="243" t="s">
        <v>27</v>
      </c>
      <c r="BY94" s="221" t="s">
        <v>151</v>
      </c>
      <c r="BZ94" s="222"/>
      <c r="CA94" s="263" t="s">
        <v>28</v>
      </c>
      <c r="CB94" s="265" t="s">
        <v>37</v>
      </c>
      <c r="CC94" s="12"/>
      <c r="CD94" s="243" t="s">
        <v>27</v>
      </c>
      <c r="CE94" s="221" t="s">
        <v>151</v>
      </c>
      <c r="CF94" s="222"/>
      <c r="CG94" s="263" t="s">
        <v>28</v>
      </c>
      <c r="CH94" s="265" t="s">
        <v>37</v>
      </c>
      <c r="CI94" s="12"/>
      <c r="CJ94" s="243" t="s">
        <v>27</v>
      </c>
      <c r="CK94" s="221" t="s">
        <v>151</v>
      </c>
      <c r="CL94" s="222"/>
      <c r="CM94" s="263" t="s">
        <v>28</v>
      </c>
      <c r="CN94" s="265" t="s">
        <v>37</v>
      </c>
      <c r="CO94" s="12"/>
      <c r="CP94" s="243" t="s">
        <v>27</v>
      </c>
      <c r="CQ94" s="221" t="s">
        <v>151</v>
      </c>
      <c r="CR94" s="222"/>
      <c r="CS94" s="263" t="s">
        <v>28</v>
      </c>
      <c r="CT94" s="265" t="s">
        <v>37</v>
      </c>
      <c r="CU94" s="6"/>
      <c r="CV94" s="172" t="s">
        <v>29</v>
      </c>
      <c r="CW94" s="81" t="s">
        <v>30</v>
      </c>
      <c r="CX94" s="174" t="s">
        <v>40</v>
      </c>
      <c r="CY94" s="243" t="s">
        <v>31</v>
      </c>
      <c r="CZ94" s="267"/>
      <c r="DA94" s="12"/>
      <c r="DB94" s="233"/>
      <c r="DC94" s="234"/>
      <c r="DD94" s="129"/>
      <c r="DE94" s="239"/>
      <c r="DF94" s="240"/>
    </row>
    <row r="95" spans="1:110" s="4" customFormat="1" ht="14.25" thickBot="1" x14ac:dyDescent="0.3">
      <c r="A95" s="3"/>
      <c r="B95" s="125"/>
      <c r="C95" s="126"/>
      <c r="D95" s="118"/>
      <c r="E95" s="118"/>
      <c r="F95" s="261"/>
      <c r="G95" s="261"/>
      <c r="H95" s="261"/>
      <c r="I95" s="261"/>
      <c r="J95" s="261"/>
      <c r="K95" s="261"/>
      <c r="L95" s="261"/>
      <c r="M95" s="261"/>
      <c r="N95" s="261"/>
      <c r="O95" s="261"/>
      <c r="P95" s="261"/>
      <c r="Q95" s="261"/>
      <c r="R95" s="261"/>
      <c r="S95" s="261"/>
      <c r="T95" s="261"/>
      <c r="U95" s="261"/>
      <c r="V95" s="261"/>
      <c r="W95" s="261"/>
      <c r="X95" s="261">
        <v>1</v>
      </c>
      <c r="Y95" s="261"/>
      <c r="Z95" s="261"/>
      <c r="AA95" s="261"/>
      <c r="AB95" s="261"/>
      <c r="AC95" s="261">
        <v>2</v>
      </c>
      <c r="AD95" s="261"/>
      <c r="AE95" s="261"/>
      <c r="AF95" s="261"/>
      <c r="AG95" s="261"/>
      <c r="AH95" s="261">
        <v>3</v>
      </c>
      <c r="AI95" s="261"/>
      <c r="AJ95" s="261"/>
      <c r="AK95" s="261"/>
      <c r="AL95" s="261"/>
      <c r="AM95" s="261"/>
      <c r="AN95" s="261"/>
      <c r="AO95" s="261"/>
      <c r="AP95" s="261"/>
      <c r="AQ95" s="261"/>
      <c r="AR95" s="261"/>
      <c r="AS95" s="261"/>
      <c r="AT95" s="261"/>
      <c r="AU95" s="261"/>
      <c r="AV95" s="261"/>
      <c r="AW95" s="126"/>
      <c r="AX95" s="126"/>
      <c r="AY95" s="126"/>
      <c r="AZ95" s="127"/>
      <c r="BA95" s="3"/>
      <c r="BB95" s="261"/>
      <c r="BC95" s="261"/>
      <c r="BD95" s="261"/>
      <c r="BE95" s="261"/>
      <c r="BF95" s="261"/>
      <c r="BG95" s="261"/>
      <c r="BH95" s="261"/>
      <c r="BI95" s="261"/>
      <c r="BJ95" s="261"/>
      <c r="BK95" s="261"/>
      <c r="BL95" s="261"/>
      <c r="BM95" s="261"/>
      <c r="BN95" s="261"/>
      <c r="BO95" s="261"/>
      <c r="BP95" s="261"/>
      <c r="BQ95" s="261"/>
      <c r="BR95" s="261"/>
      <c r="BS95" s="261"/>
      <c r="BT95" s="261"/>
      <c r="BU95" s="261"/>
      <c r="BV95" s="3"/>
      <c r="BX95" s="244"/>
      <c r="BY95" s="223"/>
      <c r="BZ95" s="224"/>
      <c r="CA95" s="264"/>
      <c r="CB95" s="266"/>
      <c r="CC95" s="12"/>
      <c r="CD95" s="244"/>
      <c r="CE95" s="223"/>
      <c r="CF95" s="224"/>
      <c r="CG95" s="264"/>
      <c r="CH95" s="266"/>
      <c r="CI95" s="12"/>
      <c r="CJ95" s="244"/>
      <c r="CK95" s="223"/>
      <c r="CL95" s="224"/>
      <c r="CM95" s="264"/>
      <c r="CN95" s="266"/>
      <c r="CO95" s="12"/>
      <c r="CP95" s="244"/>
      <c r="CQ95" s="223"/>
      <c r="CR95" s="224"/>
      <c r="CS95" s="264"/>
      <c r="CT95" s="266"/>
      <c r="CU95" s="6"/>
      <c r="CV95" s="173" t="s">
        <v>32</v>
      </c>
      <c r="CW95" s="82" t="s">
        <v>33</v>
      </c>
      <c r="CX95" s="175" t="s">
        <v>34</v>
      </c>
      <c r="CY95" s="244" t="s">
        <v>35</v>
      </c>
      <c r="CZ95" s="262"/>
      <c r="DA95" s="12"/>
      <c r="DB95" s="235"/>
      <c r="DC95" s="236"/>
      <c r="DD95" s="129"/>
      <c r="DE95" s="241"/>
      <c r="DF95" s="242"/>
    </row>
    <row r="96" spans="1:110" s="4" customFormat="1" ht="13.5" x14ac:dyDescent="0.25">
      <c r="A96" s="3"/>
      <c r="B96" s="125"/>
      <c r="C96" s="126"/>
      <c r="D96" s="126"/>
      <c r="E96" s="126"/>
      <c r="F96" s="247" t="s">
        <v>102</v>
      </c>
      <c r="G96" s="247"/>
      <c r="H96" s="247"/>
      <c r="I96" s="247"/>
      <c r="J96" s="247"/>
      <c r="K96" s="247"/>
      <c r="L96" s="248">
        <v>10</v>
      </c>
      <c r="M96" s="249"/>
      <c r="N96" s="249"/>
      <c r="O96" s="249"/>
      <c r="P96" s="250" t="s">
        <v>55</v>
      </c>
      <c r="Q96" s="250"/>
      <c r="R96" s="251"/>
      <c r="S96" s="257" t="s">
        <v>119</v>
      </c>
      <c r="T96" s="257"/>
      <c r="U96" s="257"/>
      <c r="V96" s="257"/>
      <c r="W96" s="257"/>
      <c r="X96" s="245"/>
      <c r="Y96" s="245"/>
      <c r="Z96" s="245"/>
      <c r="AA96" s="245"/>
      <c r="AB96" s="245"/>
      <c r="AC96" s="245"/>
      <c r="AD96" s="245"/>
      <c r="AE96" s="245"/>
      <c r="AF96" s="245"/>
      <c r="AG96" s="245"/>
      <c r="AH96" s="245"/>
      <c r="AI96" s="245"/>
      <c r="AJ96" s="245"/>
      <c r="AK96" s="245"/>
      <c r="AL96" s="245"/>
      <c r="AM96" s="245" t="e">
        <f>ROUND(AVERAGE(X96:AL96),1)</f>
        <v>#DIV/0!</v>
      </c>
      <c r="AN96" s="245"/>
      <c r="AO96" s="245"/>
      <c r="AP96" s="245"/>
      <c r="AQ96" s="245"/>
      <c r="AR96" s="245" t="e">
        <f t="shared" ref="AR96:AR97" si="92">AM96-L96</f>
        <v>#DIV/0!</v>
      </c>
      <c r="AS96" s="245"/>
      <c r="AT96" s="245"/>
      <c r="AU96" s="245"/>
      <c r="AV96" s="245"/>
      <c r="AW96" s="126"/>
      <c r="AX96" s="126"/>
      <c r="AY96" s="126"/>
      <c r="AZ96" s="127"/>
      <c r="BA96" s="3"/>
      <c r="BB96" s="245">
        <f>ROUND((BG96-L96),1)</f>
        <v>0.3</v>
      </c>
      <c r="BC96" s="245"/>
      <c r="BD96" s="245"/>
      <c r="BE96" s="245"/>
      <c r="BF96" s="245"/>
      <c r="BG96" s="245">
        <v>10.3</v>
      </c>
      <c r="BH96" s="245"/>
      <c r="BI96" s="245"/>
      <c r="BJ96" s="245"/>
      <c r="BK96" s="245"/>
      <c r="BL96" s="245">
        <v>9.6999999999999993</v>
      </c>
      <c r="BM96" s="245"/>
      <c r="BN96" s="245"/>
      <c r="BO96" s="245"/>
      <c r="BP96" s="245"/>
      <c r="BQ96" s="246" t="e">
        <f>IF(AND(AM96&lt;=BG96,AM96&gt;=BL96),"PASS","FAIL")</f>
        <v>#DIV/0!</v>
      </c>
      <c r="BR96" s="246"/>
      <c r="BS96" s="246"/>
      <c r="BT96" s="246"/>
      <c r="BU96" s="246"/>
      <c r="BV96" s="3"/>
      <c r="BX96" s="54" t="s">
        <v>36</v>
      </c>
      <c r="BY96" s="130">
        <v>7.6999999999999996E-4</v>
      </c>
      <c r="BZ96" s="55" t="str">
        <f>P96</f>
        <v>mV</v>
      </c>
      <c r="CA96" s="131">
        <v>2</v>
      </c>
      <c r="CB96" s="59">
        <f t="shared" ref="CB96:CB97" si="93">BY96/CA96</f>
        <v>3.8499999999999998E-4</v>
      </c>
      <c r="CC96" s="13"/>
      <c r="CD96" s="54" t="s">
        <v>150</v>
      </c>
      <c r="CE96" s="132">
        <v>0</v>
      </c>
      <c r="CF96" s="55" t="str">
        <f t="shared" ref="CF96:CF97" si="94">BZ96</f>
        <v>mV</v>
      </c>
      <c r="CG96" s="56">
        <f t="shared" ref="CG96:CG97" si="95">SQRT(3)</f>
        <v>1.7320508075688772</v>
      </c>
      <c r="CH96" s="59">
        <f t="shared" ref="CH96:CH97" si="96">CE96/CG96</f>
        <v>0</v>
      </c>
      <c r="CI96" s="13"/>
      <c r="CJ96" s="63" t="s">
        <v>59</v>
      </c>
      <c r="CK96" s="155">
        <v>0.1</v>
      </c>
      <c r="CL96" s="65" t="str">
        <f>P96</f>
        <v>mV</v>
      </c>
      <c r="CM96" s="67">
        <f t="shared" ref="CM96:CM97" si="97">SQRT(12)</f>
        <v>3.4641016151377544</v>
      </c>
      <c r="CN96" s="62">
        <f t="shared" ref="CN96:CN97" si="98">CK96/CM96</f>
        <v>2.8867513459481291E-2</v>
      </c>
      <c r="CO96" s="13"/>
      <c r="CP96" s="63" t="s">
        <v>38</v>
      </c>
      <c r="CQ96" s="64" t="e">
        <f t="shared" ref="CQ96:CQ97" si="99">_xlfn.STDEV.P(X96:AL96)</f>
        <v>#DIV/0!</v>
      </c>
      <c r="CR96" s="65" t="str">
        <f>P96</f>
        <v>mV</v>
      </c>
      <c r="CS96" s="67">
        <f t="shared" ref="CS96:CS97" si="100">SQRT(3)</f>
        <v>1.7320508075688772</v>
      </c>
      <c r="CT96" s="72" t="e">
        <f t="shared" ref="CT96:CT97" si="101">CQ96/CS96</f>
        <v>#DIV/0!</v>
      </c>
      <c r="CU96" s="9"/>
      <c r="CV96" s="78" t="e">
        <f t="shared" ref="CV96:CV97" si="102">SQRT(SUMSQ(CT96,CN96,CH96,CB96))</f>
        <v>#DIV/0!</v>
      </c>
      <c r="CW96" s="79" t="e">
        <f t="shared" ref="CW96:CW97" si="103">(CV96^4)/(((CT96^4)/2)+((CN96^4)/200)+((CH96^4)/200)+((CB96^4)/200))</f>
        <v>#DIV/0!</v>
      </c>
      <c r="CX96" s="83" t="e">
        <f t="shared" ref="CX96:CX97" si="104">ROUND(TINV(0.05,CW96),0)</f>
        <v>#DIV/0!</v>
      </c>
      <c r="CY96" s="92" t="e">
        <f>ROUND((CV96*CX96),3)</f>
        <v>#DIV/0!</v>
      </c>
      <c r="CZ96" s="80" t="str">
        <f>P96</f>
        <v>mV</v>
      </c>
      <c r="DA96" s="21"/>
      <c r="DB96" s="164">
        <v>1.6000000000000001E-3</v>
      </c>
      <c r="DC96" s="165" t="str">
        <f t="shared" ref="DC96:DC97" si="105">CZ96</f>
        <v>mV</v>
      </c>
      <c r="DD96" s="136"/>
      <c r="DE96" s="137" t="e">
        <f>MAX(CY96:DB96)</f>
        <v>#DIV/0!</v>
      </c>
      <c r="DF96" s="138" t="str">
        <f t="shared" ref="DF96:DF97" si="106">CZ96</f>
        <v>mV</v>
      </c>
    </row>
    <row r="97" spans="1:110" s="4" customFormat="1" ht="14.25" thickBot="1" x14ac:dyDescent="0.3">
      <c r="A97" s="3"/>
      <c r="B97" s="125"/>
      <c r="C97" s="126"/>
      <c r="D97" s="126"/>
      <c r="E97" s="126"/>
      <c r="F97" s="247" t="s">
        <v>102</v>
      </c>
      <c r="G97" s="247"/>
      <c r="H97" s="247"/>
      <c r="I97" s="247"/>
      <c r="J97" s="247"/>
      <c r="K97" s="247"/>
      <c r="L97" s="248">
        <v>600</v>
      </c>
      <c r="M97" s="249"/>
      <c r="N97" s="249"/>
      <c r="O97" s="249"/>
      <c r="P97" s="250" t="s">
        <v>55</v>
      </c>
      <c r="Q97" s="250"/>
      <c r="R97" s="251"/>
      <c r="S97" s="257" t="s">
        <v>119</v>
      </c>
      <c r="T97" s="257"/>
      <c r="U97" s="257"/>
      <c r="V97" s="257"/>
      <c r="W97" s="257"/>
      <c r="X97" s="245"/>
      <c r="Y97" s="245"/>
      <c r="Z97" s="245"/>
      <c r="AA97" s="245"/>
      <c r="AB97" s="245"/>
      <c r="AC97" s="245"/>
      <c r="AD97" s="245"/>
      <c r="AE97" s="245"/>
      <c r="AF97" s="245"/>
      <c r="AG97" s="245"/>
      <c r="AH97" s="245"/>
      <c r="AI97" s="245"/>
      <c r="AJ97" s="245"/>
      <c r="AK97" s="245"/>
      <c r="AL97" s="245"/>
      <c r="AM97" s="245" t="e">
        <f>ROUND(AVERAGE(X97:AL97),1)</f>
        <v>#DIV/0!</v>
      </c>
      <c r="AN97" s="245"/>
      <c r="AO97" s="245"/>
      <c r="AP97" s="245"/>
      <c r="AQ97" s="245"/>
      <c r="AR97" s="245" t="e">
        <f t="shared" si="92"/>
        <v>#DIV/0!</v>
      </c>
      <c r="AS97" s="245"/>
      <c r="AT97" s="245"/>
      <c r="AU97" s="245"/>
      <c r="AV97" s="245"/>
      <c r="AW97" s="126"/>
      <c r="AX97" s="126"/>
      <c r="AY97" s="126"/>
      <c r="AZ97" s="127"/>
      <c r="BA97" s="3"/>
      <c r="BB97" s="245">
        <f>ROUND((BG97-L97),1)</f>
        <v>3.2</v>
      </c>
      <c r="BC97" s="245"/>
      <c r="BD97" s="245"/>
      <c r="BE97" s="245"/>
      <c r="BF97" s="245"/>
      <c r="BG97" s="245">
        <v>603.20000000000005</v>
      </c>
      <c r="BH97" s="245"/>
      <c r="BI97" s="245"/>
      <c r="BJ97" s="245"/>
      <c r="BK97" s="245"/>
      <c r="BL97" s="245">
        <v>596.79999999999995</v>
      </c>
      <c r="BM97" s="245"/>
      <c r="BN97" s="245"/>
      <c r="BO97" s="245"/>
      <c r="BP97" s="245"/>
      <c r="BQ97" s="246" t="e">
        <f>IF(AND(AM97&lt;=BG97,AM97&gt;=BL97),"PASS","FAIL")</f>
        <v>#DIV/0!</v>
      </c>
      <c r="BR97" s="246"/>
      <c r="BS97" s="246"/>
      <c r="BT97" s="246"/>
      <c r="BU97" s="246"/>
      <c r="BV97" s="3"/>
      <c r="BX97" s="52" t="s">
        <v>36</v>
      </c>
      <c r="BY97" s="168">
        <v>2.0999999999999999E-3</v>
      </c>
      <c r="BZ97" s="53" t="str">
        <f>P97</f>
        <v>mV</v>
      </c>
      <c r="CA97" s="147">
        <v>2</v>
      </c>
      <c r="CB97" s="61">
        <f t="shared" si="93"/>
        <v>1.0499999999999999E-3</v>
      </c>
      <c r="CC97" s="13"/>
      <c r="CD97" s="52" t="s">
        <v>150</v>
      </c>
      <c r="CE97" s="146">
        <v>0</v>
      </c>
      <c r="CF97" s="53" t="str">
        <f t="shared" si="94"/>
        <v>mV</v>
      </c>
      <c r="CG97" s="58">
        <f t="shared" si="95"/>
        <v>1.7320508075688772</v>
      </c>
      <c r="CH97" s="61">
        <f t="shared" si="96"/>
        <v>0</v>
      </c>
      <c r="CI97" s="13"/>
      <c r="CJ97" s="52" t="s">
        <v>59</v>
      </c>
      <c r="CK97" s="148">
        <v>0.1</v>
      </c>
      <c r="CL97" s="53" t="str">
        <f>P97</f>
        <v>mV</v>
      </c>
      <c r="CM97" s="58">
        <f t="shared" si="97"/>
        <v>3.4641016151377544</v>
      </c>
      <c r="CN97" s="61">
        <f t="shared" si="98"/>
        <v>2.8867513459481291E-2</v>
      </c>
      <c r="CO97" s="13"/>
      <c r="CP97" s="52" t="s">
        <v>38</v>
      </c>
      <c r="CQ97" s="66" t="e">
        <f t="shared" si="99"/>
        <v>#DIV/0!</v>
      </c>
      <c r="CR97" s="53" t="str">
        <f>P97</f>
        <v>mV</v>
      </c>
      <c r="CS97" s="58">
        <f t="shared" si="100"/>
        <v>1.7320508075688772</v>
      </c>
      <c r="CT97" s="71" t="e">
        <f t="shared" si="101"/>
        <v>#DIV/0!</v>
      </c>
      <c r="CU97" s="9"/>
      <c r="CV97" s="75" t="e">
        <f t="shared" si="102"/>
        <v>#DIV/0!</v>
      </c>
      <c r="CW97" s="76" t="e">
        <f t="shared" si="103"/>
        <v>#DIV/0!</v>
      </c>
      <c r="CX97" s="85" t="e">
        <f t="shared" si="104"/>
        <v>#DIV/0!</v>
      </c>
      <c r="CY97" s="93" t="e">
        <f t="shared" ref="CY97" si="107">ROUND((CV97*CX97),3)</f>
        <v>#DIV/0!</v>
      </c>
      <c r="CZ97" s="77" t="str">
        <f>P97</f>
        <v>mV</v>
      </c>
      <c r="DA97" s="21"/>
      <c r="DB97" s="149">
        <v>1.8E-3</v>
      </c>
      <c r="DC97" s="150" t="str">
        <f t="shared" si="105"/>
        <v>mV</v>
      </c>
      <c r="DD97" s="136"/>
      <c r="DE97" s="151" t="e">
        <f>MAX(CY97:DB97)</f>
        <v>#DIV/0!</v>
      </c>
      <c r="DF97" s="152" t="str">
        <f t="shared" si="106"/>
        <v>mV</v>
      </c>
    </row>
    <row r="98" spans="1:110" s="4" customFormat="1" ht="14.25" thickBot="1" x14ac:dyDescent="0.3">
      <c r="A98" s="3"/>
      <c r="B98" s="12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7"/>
      <c r="BA98" s="3"/>
      <c r="BB98" s="3"/>
      <c r="BC98" s="3"/>
      <c r="BD98" s="3"/>
      <c r="BE98" s="3"/>
      <c r="BF98" s="3"/>
      <c r="BG98" s="3"/>
      <c r="BH98" s="3"/>
      <c r="BI98" s="3"/>
      <c r="BJ98" s="3"/>
      <c r="BK98" s="3"/>
      <c r="BL98" s="3"/>
      <c r="BM98" s="3"/>
      <c r="BN98" s="3"/>
      <c r="BO98" s="3"/>
      <c r="BP98" s="3"/>
      <c r="BQ98" s="3"/>
      <c r="BR98" s="3"/>
      <c r="BS98" s="3"/>
      <c r="BT98" s="3"/>
      <c r="BU98" s="3"/>
      <c r="BV98" s="3"/>
      <c r="BX98" s="48"/>
      <c r="BY98" s="48"/>
      <c r="BZ98" s="48"/>
      <c r="CA98" s="48"/>
      <c r="CB98" s="48"/>
      <c r="CC98" s="48"/>
      <c r="CD98" s="48"/>
      <c r="CE98" s="48"/>
      <c r="CF98" s="48"/>
      <c r="CG98" s="48"/>
      <c r="CH98" s="48"/>
      <c r="CI98" s="48"/>
      <c r="CJ98" s="48"/>
      <c r="CK98" s="48"/>
      <c r="CL98" s="48"/>
      <c r="CM98" s="48"/>
      <c r="CN98" s="48"/>
      <c r="CO98" s="48"/>
      <c r="CP98" s="48"/>
      <c r="CQ98" s="48"/>
      <c r="CR98" s="48"/>
      <c r="DB98" s="49"/>
      <c r="DC98" s="49"/>
      <c r="DD98" s="49"/>
      <c r="DE98" s="50"/>
      <c r="DF98" s="50"/>
    </row>
    <row r="99" spans="1:110" s="4" customFormat="1" ht="13.5" customHeight="1" thickBot="1" x14ac:dyDescent="0.3">
      <c r="A99" s="3"/>
      <c r="B99" s="125"/>
      <c r="C99" s="126"/>
      <c r="D99" s="118"/>
      <c r="E99" s="126"/>
      <c r="F99" s="128" t="s">
        <v>132</v>
      </c>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c r="AD99" s="126"/>
      <c r="AE99" s="126"/>
      <c r="AF99" s="126"/>
      <c r="AG99" s="126"/>
      <c r="AH99" s="126"/>
      <c r="AI99" s="126"/>
      <c r="AJ99" s="126"/>
      <c r="AK99" s="126"/>
      <c r="AL99" s="126"/>
      <c r="AM99" s="126"/>
      <c r="AN99" s="126"/>
      <c r="AO99" s="126"/>
      <c r="AP99" s="126"/>
      <c r="AQ99" s="126"/>
      <c r="AR99" s="126"/>
      <c r="AS99" s="126"/>
      <c r="AT99" s="126"/>
      <c r="AU99" s="126"/>
      <c r="AV99" s="126"/>
      <c r="AW99" s="126"/>
      <c r="AX99" s="126"/>
      <c r="AY99" s="126"/>
      <c r="AZ99" s="127"/>
      <c r="BA99" s="3"/>
      <c r="BB99" s="3"/>
      <c r="BC99" s="3"/>
      <c r="BD99" s="3"/>
      <c r="BE99" s="3"/>
      <c r="BF99" s="3"/>
      <c r="BG99" s="3"/>
      <c r="BH99" s="3"/>
      <c r="BI99" s="3"/>
      <c r="BJ99" s="3"/>
      <c r="BK99" s="3"/>
      <c r="BL99" s="3"/>
      <c r="BM99" s="3"/>
      <c r="BN99" s="3"/>
      <c r="BO99" s="3"/>
      <c r="BP99" s="3"/>
      <c r="BQ99" s="3"/>
      <c r="BR99" s="3"/>
      <c r="BS99" s="3"/>
      <c r="BT99" s="3"/>
      <c r="BU99" s="3"/>
      <c r="BV99" s="3"/>
      <c r="BX99" s="218" t="s">
        <v>51</v>
      </c>
      <c r="BY99" s="219"/>
      <c r="BZ99" s="219"/>
      <c r="CA99" s="219"/>
      <c r="CB99" s="220"/>
      <c r="CC99" s="11"/>
      <c r="CD99" s="218" t="s">
        <v>51</v>
      </c>
      <c r="CE99" s="219"/>
      <c r="CF99" s="219"/>
      <c r="CG99" s="219"/>
      <c r="CH99" s="220"/>
      <c r="CI99" s="11"/>
      <c r="CJ99" s="218" t="s">
        <v>153</v>
      </c>
      <c r="CK99" s="219"/>
      <c r="CL99" s="219"/>
      <c r="CM99" s="219"/>
      <c r="CN99" s="220"/>
      <c r="CO99" s="11"/>
      <c r="CP99" s="218" t="s">
        <v>153</v>
      </c>
      <c r="CQ99" s="219"/>
      <c r="CR99" s="219"/>
      <c r="CS99" s="219"/>
      <c r="CT99" s="220"/>
      <c r="CU99" s="5"/>
      <c r="CV99" s="218" t="s">
        <v>39</v>
      </c>
      <c r="CW99" s="219"/>
      <c r="CX99" s="219"/>
      <c r="CY99" s="219"/>
      <c r="CZ99" s="220"/>
      <c r="DA99" s="11"/>
      <c r="DB99" s="231" t="s">
        <v>152</v>
      </c>
      <c r="DC99" s="232"/>
      <c r="DD99" s="49"/>
      <c r="DE99" s="237" t="s">
        <v>143</v>
      </c>
      <c r="DF99" s="238"/>
    </row>
    <row r="100" spans="1:110" s="4" customFormat="1" ht="13.5" customHeight="1" x14ac:dyDescent="0.25">
      <c r="A100" s="3"/>
      <c r="B100" s="125"/>
      <c r="C100" s="126"/>
      <c r="D100" s="118"/>
      <c r="E100" s="118"/>
      <c r="F100" s="261" t="s">
        <v>53</v>
      </c>
      <c r="G100" s="261"/>
      <c r="H100" s="261"/>
      <c r="I100" s="261"/>
      <c r="J100" s="261"/>
      <c r="K100" s="261"/>
      <c r="L100" s="261" t="s">
        <v>61</v>
      </c>
      <c r="M100" s="261"/>
      <c r="N100" s="261"/>
      <c r="O100" s="261"/>
      <c r="P100" s="261"/>
      <c r="Q100" s="261"/>
      <c r="R100" s="261"/>
      <c r="S100" s="261" t="s">
        <v>106</v>
      </c>
      <c r="T100" s="261"/>
      <c r="U100" s="261"/>
      <c r="V100" s="261"/>
      <c r="W100" s="261"/>
      <c r="X100" s="261" t="s">
        <v>95</v>
      </c>
      <c r="Y100" s="261"/>
      <c r="Z100" s="261"/>
      <c r="AA100" s="261"/>
      <c r="AB100" s="261"/>
      <c r="AC100" s="261"/>
      <c r="AD100" s="261"/>
      <c r="AE100" s="261"/>
      <c r="AF100" s="261"/>
      <c r="AG100" s="261"/>
      <c r="AH100" s="261"/>
      <c r="AI100" s="261"/>
      <c r="AJ100" s="261"/>
      <c r="AK100" s="261"/>
      <c r="AL100" s="261"/>
      <c r="AM100" s="261" t="s">
        <v>107</v>
      </c>
      <c r="AN100" s="261"/>
      <c r="AO100" s="261"/>
      <c r="AP100" s="261"/>
      <c r="AQ100" s="261"/>
      <c r="AR100" s="261" t="s">
        <v>63</v>
      </c>
      <c r="AS100" s="261"/>
      <c r="AT100" s="261"/>
      <c r="AU100" s="261"/>
      <c r="AV100" s="261"/>
      <c r="AW100" s="126"/>
      <c r="AX100" s="126"/>
      <c r="AY100" s="126"/>
      <c r="AZ100" s="127"/>
      <c r="BA100" s="3"/>
      <c r="BB100" s="261" t="s">
        <v>129</v>
      </c>
      <c r="BC100" s="261"/>
      <c r="BD100" s="261"/>
      <c r="BE100" s="261"/>
      <c r="BF100" s="261"/>
      <c r="BG100" s="261" t="s">
        <v>99</v>
      </c>
      <c r="BH100" s="261"/>
      <c r="BI100" s="261"/>
      <c r="BJ100" s="261"/>
      <c r="BK100" s="261"/>
      <c r="BL100" s="261" t="s">
        <v>100</v>
      </c>
      <c r="BM100" s="261"/>
      <c r="BN100" s="261"/>
      <c r="BO100" s="261"/>
      <c r="BP100" s="261"/>
      <c r="BQ100" s="261" t="s">
        <v>98</v>
      </c>
      <c r="BR100" s="261"/>
      <c r="BS100" s="261"/>
      <c r="BT100" s="261"/>
      <c r="BU100" s="261"/>
      <c r="BV100" s="3"/>
      <c r="BX100" s="243" t="s">
        <v>27</v>
      </c>
      <c r="BY100" s="221" t="s">
        <v>151</v>
      </c>
      <c r="BZ100" s="222"/>
      <c r="CA100" s="263" t="s">
        <v>28</v>
      </c>
      <c r="CB100" s="265" t="s">
        <v>37</v>
      </c>
      <c r="CC100" s="12"/>
      <c r="CD100" s="243" t="s">
        <v>27</v>
      </c>
      <c r="CE100" s="221" t="s">
        <v>151</v>
      </c>
      <c r="CF100" s="222"/>
      <c r="CG100" s="263" t="s">
        <v>28</v>
      </c>
      <c r="CH100" s="265" t="s">
        <v>37</v>
      </c>
      <c r="CI100" s="12"/>
      <c r="CJ100" s="243" t="s">
        <v>27</v>
      </c>
      <c r="CK100" s="221" t="s">
        <v>151</v>
      </c>
      <c r="CL100" s="222"/>
      <c r="CM100" s="263" t="s">
        <v>28</v>
      </c>
      <c r="CN100" s="265" t="s">
        <v>37</v>
      </c>
      <c r="CO100" s="12"/>
      <c r="CP100" s="243" t="s">
        <v>27</v>
      </c>
      <c r="CQ100" s="221" t="s">
        <v>151</v>
      </c>
      <c r="CR100" s="222"/>
      <c r="CS100" s="263" t="s">
        <v>28</v>
      </c>
      <c r="CT100" s="265" t="s">
        <v>37</v>
      </c>
      <c r="CU100" s="6"/>
      <c r="CV100" s="172" t="s">
        <v>29</v>
      </c>
      <c r="CW100" s="81" t="s">
        <v>30</v>
      </c>
      <c r="CX100" s="174" t="s">
        <v>40</v>
      </c>
      <c r="CY100" s="243" t="s">
        <v>31</v>
      </c>
      <c r="CZ100" s="267"/>
      <c r="DA100" s="12"/>
      <c r="DB100" s="233"/>
      <c r="DC100" s="234"/>
      <c r="DD100" s="129"/>
      <c r="DE100" s="239"/>
      <c r="DF100" s="240"/>
    </row>
    <row r="101" spans="1:110" s="4" customFormat="1" ht="14.25" thickBot="1" x14ac:dyDescent="0.3">
      <c r="A101" s="3"/>
      <c r="B101" s="125"/>
      <c r="C101" s="126"/>
      <c r="D101" s="118"/>
      <c r="E101" s="118"/>
      <c r="F101" s="261"/>
      <c r="G101" s="261"/>
      <c r="H101" s="261"/>
      <c r="I101" s="261"/>
      <c r="J101" s="261"/>
      <c r="K101" s="261"/>
      <c r="L101" s="261"/>
      <c r="M101" s="261"/>
      <c r="N101" s="261"/>
      <c r="O101" s="261"/>
      <c r="P101" s="261"/>
      <c r="Q101" s="261"/>
      <c r="R101" s="261"/>
      <c r="S101" s="261"/>
      <c r="T101" s="261"/>
      <c r="U101" s="261"/>
      <c r="V101" s="261"/>
      <c r="W101" s="261"/>
      <c r="X101" s="261">
        <v>1</v>
      </c>
      <c r="Y101" s="261"/>
      <c r="Z101" s="261"/>
      <c r="AA101" s="261"/>
      <c r="AB101" s="261"/>
      <c r="AC101" s="261">
        <v>2</v>
      </c>
      <c r="AD101" s="261"/>
      <c r="AE101" s="261"/>
      <c r="AF101" s="261"/>
      <c r="AG101" s="261"/>
      <c r="AH101" s="261">
        <v>3</v>
      </c>
      <c r="AI101" s="261"/>
      <c r="AJ101" s="261"/>
      <c r="AK101" s="261"/>
      <c r="AL101" s="261"/>
      <c r="AM101" s="261"/>
      <c r="AN101" s="261"/>
      <c r="AO101" s="261"/>
      <c r="AP101" s="261"/>
      <c r="AQ101" s="261"/>
      <c r="AR101" s="261"/>
      <c r="AS101" s="261"/>
      <c r="AT101" s="261"/>
      <c r="AU101" s="261"/>
      <c r="AV101" s="261"/>
      <c r="AW101" s="126"/>
      <c r="AX101" s="126"/>
      <c r="AY101" s="126"/>
      <c r="AZ101" s="127"/>
      <c r="BA101" s="3"/>
      <c r="BB101" s="261"/>
      <c r="BC101" s="261"/>
      <c r="BD101" s="261"/>
      <c r="BE101" s="261"/>
      <c r="BF101" s="261"/>
      <c r="BG101" s="261"/>
      <c r="BH101" s="261"/>
      <c r="BI101" s="261"/>
      <c r="BJ101" s="261"/>
      <c r="BK101" s="261"/>
      <c r="BL101" s="261"/>
      <c r="BM101" s="261"/>
      <c r="BN101" s="261"/>
      <c r="BO101" s="261"/>
      <c r="BP101" s="261"/>
      <c r="BQ101" s="261"/>
      <c r="BR101" s="261"/>
      <c r="BS101" s="261"/>
      <c r="BT101" s="261"/>
      <c r="BU101" s="261"/>
      <c r="BV101" s="3"/>
      <c r="BX101" s="244"/>
      <c r="BY101" s="223"/>
      <c r="BZ101" s="224"/>
      <c r="CA101" s="264"/>
      <c r="CB101" s="266"/>
      <c r="CC101" s="12"/>
      <c r="CD101" s="244"/>
      <c r="CE101" s="223"/>
      <c r="CF101" s="224"/>
      <c r="CG101" s="264"/>
      <c r="CH101" s="266"/>
      <c r="CI101" s="12"/>
      <c r="CJ101" s="244"/>
      <c r="CK101" s="223"/>
      <c r="CL101" s="224"/>
      <c r="CM101" s="264"/>
      <c r="CN101" s="266"/>
      <c r="CO101" s="12"/>
      <c r="CP101" s="244"/>
      <c r="CQ101" s="223"/>
      <c r="CR101" s="224"/>
      <c r="CS101" s="264"/>
      <c r="CT101" s="266"/>
      <c r="CU101" s="6"/>
      <c r="CV101" s="173" t="s">
        <v>32</v>
      </c>
      <c r="CW101" s="82" t="s">
        <v>33</v>
      </c>
      <c r="CX101" s="175" t="s">
        <v>34</v>
      </c>
      <c r="CY101" s="244" t="s">
        <v>35</v>
      </c>
      <c r="CZ101" s="262"/>
      <c r="DA101" s="12"/>
      <c r="DB101" s="235"/>
      <c r="DC101" s="236"/>
      <c r="DD101" s="129"/>
      <c r="DE101" s="241"/>
      <c r="DF101" s="242"/>
    </row>
    <row r="102" spans="1:110" s="4" customFormat="1" ht="13.5" x14ac:dyDescent="0.25">
      <c r="A102" s="3"/>
      <c r="B102" s="125"/>
      <c r="C102" s="126"/>
      <c r="D102" s="126"/>
      <c r="E102" s="126"/>
      <c r="F102" s="247" t="s">
        <v>119</v>
      </c>
      <c r="G102" s="247"/>
      <c r="H102" s="247"/>
      <c r="I102" s="247"/>
      <c r="J102" s="247"/>
      <c r="K102" s="247"/>
      <c r="L102" s="248">
        <v>0.5</v>
      </c>
      <c r="M102" s="249"/>
      <c r="N102" s="249"/>
      <c r="O102" s="249"/>
      <c r="P102" s="250" t="s">
        <v>56</v>
      </c>
      <c r="Q102" s="250"/>
      <c r="R102" s="251"/>
      <c r="S102" s="257" t="s">
        <v>108</v>
      </c>
      <c r="T102" s="257"/>
      <c r="U102" s="257"/>
      <c r="V102" s="257"/>
      <c r="W102" s="257"/>
      <c r="X102" s="245"/>
      <c r="Y102" s="245"/>
      <c r="Z102" s="245"/>
      <c r="AA102" s="245"/>
      <c r="AB102" s="245"/>
      <c r="AC102" s="245"/>
      <c r="AD102" s="245"/>
      <c r="AE102" s="245"/>
      <c r="AF102" s="245"/>
      <c r="AG102" s="245"/>
      <c r="AH102" s="245"/>
      <c r="AI102" s="245"/>
      <c r="AJ102" s="245"/>
      <c r="AK102" s="245"/>
      <c r="AL102" s="245"/>
      <c r="AM102" s="367" t="e">
        <f t="shared" ref="AM102:AM104" si="108">AVERAGE(X102:AL102)</f>
        <v>#DIV/0!</v>
      </c>
      <c r="AN102" s="245"/>
      <c r="AO102" s="245"/>
      <c r="AP102" s="245"/>
      <c r="AQ102" s="245"/>
      <c r="AR102" s="245" t="e">
        <f>AM102-L102</f>
        <v>#DIV/0!</v>
      </c>
      <c r="AS102" s="245"/>
      <c r="AT102" s="245"/>
      <c r="AU102" s="245"/>
      <c r="AV102" s="245"/>
      <c r="AW102" s="126"/>
      <c r="AX102" s="126"/>
      <c r="AY102" s="126"/>
      <c r="AZ102" s="127"/>
      <c r="BA102" s="3"/>
      <c r="BB102" s="256">
        <f>ROUND((BG102-L102),2)</f>
        <v>0.3</v>
      </c>
      <c r="BC102" s="256"/>
      <c r="BD102" s="256"/>
      <c r="BE102" s="256"/>
      <c r="BF102" s="256"/>
      <c r="BG102" s="245">
        <v>0.8</v>
      </c>
      <c r="BH102" s="245"/>
      <c r="BI102" s="245"/>
      <c r="BJ102" s="245"/>
      <c r="BK102" s="245"/>
      <c r="BL102" s="245">
        <v>0.2</v>
      </c>
      <c r="BM102" s="245"/>
      <c r="BN102" s="245"/>
      <c r="BO102" s="245"/>
      <c r="BP102" s="245"/>
      <c r="BQ102" s="246" t="e">
        <f>IF(AND(AM102&lt;=BG102,AM102&gt;=BL102),"PASS","FAIL")</f>
        <v>#DIV/0!</v>
      </c>
      <c r="BR102" s="246"/>
      <c r="BS102" s="246"/>
      <c r="BT102" s="246"/>
      <c r="BU102" s="246"/>
      <c r="BV102" s="3"/>
      <c r="BX102" s="54" t="s">
        <v>36</v>
      </c>
      <c r="BY102" s="130">
        <v>9.1E-4</v>
      </c>
      <c r="BZ102" s="55" t="str">
        <f>P102</f>
        <v>V</v>
      </c>
      <c r="CA102" s="131">
        <v>2</v>
      </c>
      <c r="CB102" s="59">
        <f t="shared" ref="CB102:CB104" si="109">BY102/CA102</f>
        <v>4.55E-4</v>
      </c>
      <c r="CC102" s="13"/>
      <c r="CD102" s="54" t="s">
        <v>150</v>
      </c>
      <c r="CE102" s="132">
        <v>0</v>
      </c>
      <c r="CF102" s="55" t="str">
        <f t="shared" ref="CF102:CF104" si="110">BZ102</f>
        <v>V</v>
      </c>
      <c r="CG102" s="56">
        <f t="shared" ref="CG102:CG104" si="111">SQRT(3)</f>
        <v>1.7320508075688772</v>
      </c>
      <c r="CH102" s="59">
        <f t="shared" ref="CH102:CH104" si="112">CE102/CG102</f>
        <v>0</v>
      </c>
      <c r="CI102" s="13"/>
      <c r="CJ102" s="63" t="s">
        <v>59</v>
      </c>
      <c r="CK102" s="155">
        <v>0.1</v>
      </c>
      <c r="CL102" s="65" t="str">
        <f>P102</f>
        <v>V</v>
      </c>
      <c r="CM102" s="67">
        <f t="shared" ref="CM102:CM104" si="113">SQRT(12)</f>
        <v>3.4641016151377544</v>
      </c>
      <c r="CN102" s="62">
        <f t="shared" ref="CN102:CN104" si="114">CK102/CM102</f>
        <v>2.8867513459481291E-2</v>
      </c>
      <c r="CO102" s="13"/>
      <c r="CP102" s="63" t="s">
        <v>38</v>
      </c>
      <c r="CQ102" s="64" t="e">
        <f t="shared" ref="CQ102:CQ104" si="115">_xlfn.STDEV.P(X102:AL102)</f>
        <v>#DIV/0!</v>
      </c>
      <c r="CR102" s="65" t="str">
        <f>P102</f>
        <v>V</v>
      </c>
      <c r="CS102" s="67">
        <f t="shared" ref="CS102:CS104" si="116">SQRT(3)</f>
        <v>1.7320508075688772</v>
      </c>
      <c r="CT102" s="68" t="e">
        <f t="shared" ref="CT102:CT104" si="117">CQ102/CS102</f>
        <v>#DIV/0!</v>
      </c>
      <c r="CU102" s="9"/>
      <c r="CV102" s="78" t="e">
        <f t="shared" ref="CV102:CV104" si="118">SQRT(SUMSQ(CT102,CN102,CH102,CB102))</f>
        <v>#DIV/0!</v>
      </c>
      <c r="CW102" s="79" t="e">
        <f t="shared" ref="CW102:CW104" si="119">(CV102^4)/(((CT102^4)/2)+((CN102^4)/200)+((CH102^4)/200)+((CB102^4)/200))</f>
        <v>#DIV/0!</v>
      </c>
      <c r="CX102" s="83" t="e">
        <f t="shared" ref="CX102:CX104" si="120">ROUND(TINV(0.05,CW102),0)</f>
        <v>#DIV/0!</v>
      </c>
      <c r="CY102" s="94" t="e">
        <f>(CV102*CX102)</f>
        <v>#DIV/0!</v>
      </c>
      <c r="CZ102" s="80" t="str">
        <f>P102</f>
        <v>V</v>
      </c>
      <c r="DA102" s="21"/>
      <c r="DB102" s="156">
        <v>8.5000000000000006E-5</v>
      </c>
      <c r="DC102" s="157" t="str">
        <f t="shared" ref="DC102:DC103" si="121">CZ102</f>
        <v>V</v>
      </c>
      <c r="DD102" s="136"/>
      <c r="DE102" s="137" t="e">
        <f>MAX(CY102:DB102)</f>
        <v>#DIV/0!</v>
      </c>
      <c r="DF102" s="138" t="str">
        <f t="shared" ref="DF102:DF104" si="122">CZ102</f>
        <v>V</v>
      </c>
    </row>
    <row r="103" spans="1:110" s="4" customFormat="1" ht="13.5" x14ac:dyDescent="0.25">
      <c r="A103" s="3"/>
      <c r="B103" s="125"/>
      <c r="C103" s="126"/>
      <c r="D103" s="126"/>
      <c r="E103" s="126"/>
      <c r="F103" s="247" t="s">
        <v>119</v>
      </c>
      <c r="G103" s="247"/>
      <c r="H103" s="247"/>
      <c r="I103" s="247"/>
      <c r="J103" s="247"/>
      <c r="K103" s="247"/>
      <c r="L103" s="248">
        <v>0.5</v>
      </c>
      <c r="M103" s="249"/>
      <c r="N103" s="249"/>
      <c r="O103" s="249"/>
      <c r="P103" s="250" t="s">
        <v>56</v>
      </c>
      <c r="Q103" s="250"/>
      <c r="R103" s="251"/>
      <c r="S103" s="257" t="s">
        <v>133</v>
      </c>
      <c r="T103" s="257"/>
      <c r="U103" s="257"/>
      <c r="V103" s="257"/>
      <c r="W103" s="257"/>
      <c r="X103" s="245"/>
      <c r="Y103" s="245"/>
      <c r="Z103" s="245"/>
      <c r="AA103" s="245"/>
      <c r="AB103" s="245"/>
      <c r="AC103" s="245"/>
      <c r="AD103" s="245"/>
      <c r="AE103" s="245"/>
      <c r="AF103" s="245"/>
      <c r="AG103" s="245"/>
      <c r="AH103" s="245"/>
      <c r="AI103" s="245"/>
      <c r="AJ103" s="245"/>
      <c r="AK103" s="245"/>
      <c r="AL103" s="245"/>
      <c r="AM103" s="367" t="e">
        <f t="shared" si="108"/>
        <v>#DIV/0!</v>
      </c>
      <c r="AN103" s="245"/>
      <c r="AO103" s="245"/>
      <c r="AP103" s="245"/>
      <c r="AQ103" s="245"/>
      <c r="AR103" s="245" t="e">
        <f>AM103-L103</f>
        <v>#DIV/0!</v>
      </c>
      <c r="AS103" s="245"/>
      <c r="AT103" s="245"/>
      <c r="AU103" s="245"/>
      <c r="AV103" s="245"/>
      <c r="AW103" s="126"/>
      <c r="AX103" s="126"/>
      <c r="AY103" s="126"/>
      <c r="AZ103" s="127"/>
      <c r="BA103" s="3"/>
      <c r="BB103" s="256">
        <f>ROUND((BG103-L103),2)</f>
        <v>0.3</v>
      </c>
      <c r="BC103" s="256"/>
      <c r="BD103" s="256"/>
      <c r="BE103" s="256"/>
      <c r="BF103" s="256"/>
      <c r="BG103" s="245">
        <v>0.8</v>
      </c>
      <c r="BH103" s="245"/>
      <c r="BI103" s="245"/>
      <c r="BJ103" s="245"/>
      <c r="BK103" s="245"/>
      <c r="BL103" s="245">
        <v>0.2</v>
      </c>
      <c r="BM103" s="245"/>
      <c r="BN103" s="245"/>
      <c r="BO103" s="245"/>
      <c r="BP103" s="245"/>
      <c r="BQ103" s="246" t="e">
        <f>IF(AND(AM103&lt;=BG103,AM103&gt;=BL103),"PASS","FAIL")</f>
        <v>#DIV/0!</v>
      </c>
      <c r="BR103" s="246"/>
      <c r="BS103" s="246"/>
      <c r="BT103" s="246"/>
      <c r="BU103" s="246"/>
      <c r="BV103" s="3"/>
      <c r="BX103" s="51" t="s">
        <v>36</v>
      </c>
      <c r="BY103" s="185">
        <v>2.0999999999999998E-6</v>
      </c>
      <c r="BZ103" s="7" t="str">
        <f>P103</f>
        <v>V</v>
      </c>
      <c r="CA103" s="140">
        <v>2</v>
      </c>
      <c r="CB103" s="60">
        <f t="shared" si="109"/>
        <v>1.0499999999999999E-6</v>
      </c>
      <c r="CC103" s="13"/>
      <c r="CD103" s="51" t="s">
        <v>150</v>
      </c>
      <c r="CE103" s="139">
        <v>0</v>
      </c>
      <c r="CF103" s="7" t="str">
        <f t="shared" si="110"/>
        <v>V</v>
      </c>
      <c r="CG103" s="57">
        <f t="shared" si="111"/>
        <v>1.7320508075688772</v>
      </c>
      <c r="CH103" s="60">
        <f t="shared" si="112"/>
        <v>0</v>
      </c>
      <c r="CI103" s="13"/>
      <c r="CJ103" s="51" t="s">
        <v>59</v>
      </c>
      <c r="CK103" s="133">
        <v>0.1</v>
      </c>
      <c r="CL103" s="7" t="str">
        <f>P103</f>
        <v>V</v>
      </c>
      <c r="CM103" s="57">
        <f t="shared" si="113"/>
        <v>3.4641016151377544</v>
      </c>
      <c r="CN103" s="60">
        <f t="shared" si="114"/>
        <v>2.8867513459481291E-2</v>
      </c>
      <c r="CO103" s="13"/>
      <c r="CP103" s="51" t="s">
        <v>38</v>
      </c>
      <c r="CQ103" s="8" t="e">
        <f t="shared" si="115"/>
        <v>#DIV/0!</v>
      </c>
      <c r="CR103" s="7" t="str">
        <f>P103</f>
        <v>V</v>
      </c>
      <c r="CS103" s="57">
        <f t="shared" si="116"/>
        <v>1.7320508075688772</v>
      </c>
      <c r="CT103" s="69" t="e">
        <f t="shared" si="117"/>
        <v>#DIV/0!</v>
      </c>
      <c r="CU103" s="9"/>
      <c r="CV103" s="73" t="e">
        <f t="shared" si="118"/>
        <v>#DIV/0!</v>
      </c>
      <c r="CW103" s="10" t="e">
        <f t="shared" si="119"/>
        <v>#DIV/0!</v>
      </c>
      <c r="CX103" s="84" t="e">
        <f t="shared" si="120"/>
        <v>#DIV/0!</v>
      </c>
      <c r="CY103" s="95" t="e">
        <f>(CV103*CX103)</f>
        <v>#DIV/0!</v>
      </c>
      <c r="CZ103" s="74" t="str">
        <f>P103</f>
        <v>V</v>
      </c>
      <c r="DA103" s="21"/>
      <c r="DB103" s="134">
        <v>1.7999999999999999E-6</v>
      </c>
      <c r="DC103" s="135" t="str">
        <f t="shared" si="121"/>
        <v>V</v>
      </c>
      <c r="DD103" s="136"/>
      <c r="DE103" s="141" t="e">
        <f t="shared" ref="DE103:DE104" si="123">MAX(CY103:DB103)</f>
        <v>#DIV/0!</v>
      </c>
      <c r="DF103" s="142" t="str">
        <f t="shared" si="122"/>
        <v>V</v>
      </c>
    </row>
    <row r="104" spans="1:110" s="4" customFormat="1" ht="14.25" thickBot="1" x14ac:dyDescent="0.3">
      <c r="A104" s="3"/>
      <c r="B104" s="125"/>
      <c r="C104" s="126"/>
      <c r="D104" s="126"/>
      <c r="E104" s="126"/>
      <c r="F104" s="247" t="s">
        <v>119</v>
      </c>
      <c r="G104" s="247"/>
      <c r="H104" s="247"/>
      <c r="I104" s="247"/>
      <c r="J104" s="247"/>
      <c r="K104" s="247"/>
      <c r="L104" s="248">
        <v>500</v>
      </c>
      <c r="M104" s="249"/>
      <c r="N104" s="249"/>
      <c r="O104" s="249"/>
      <c r="P104" s="250" t="s">
        <v>56</v>
      </c>
      <c r="Q104" s="250"/>
      <c r="R104" s="251"/>
      <c r="S104" s="257" t="s">
        <v>134</v>
      </c>
      <c r="T104" s="257"/>
      <c r="U104" s="257"/>
      <c r="V104" s="257"/>
      <c r="W104" s="257"/>
      <c r="X104" s="245"/>
      <c r="Y104" s="245"/>
      <c r="Z104" s="245"/>
      <c r="AA104" s="245"/>
      <c r="AB104" s="245"/>
      <c r="AC104" s="245"/>
      <c r="AD104" s="245"/>
      <c r="AE104" s="245"/>
      <c r="AF104" s="245"/>
      <c r="AG104" s="245"/>
      <c r="AH104" s="245"/>
      <c r="AI104" s="245"/>
      <c r="AJ104" s="245"/>
      <c r="AK104" s="245"/>
      <c r="AL104" s="245"/>
      <c r="AM104" s="367" t="e">
        <f t="shared" si="108"/>
        <v>#DIV/0!</v>
      </c>
      <c r="AN104" s="245"/>
      <c r="AO104" s="245"/>
      <c r="AP104" s="245"/>
      <c r="AQ104" s="245"/>
      <c r="AR104" s="245" t="e">
        <f>AM104-L104</f>
        <v>#DIV/0!</v>
      </c>
      <c r="AS104" s="245"/>
      <c r="AT104" s="245"/>
      <c r="AU104" s="245"/>
      <c r="AV104" s="245"/>
      <c r="AW104" s="126"/>
      <c r="AX104" s="126"/>
      <c r="AY104" s="126"/>
      <c r="AZ104" s="127"/>
      <c r="BA104" s="3"/>
      <c r="BB104" s="256">
        <f>ROUND((BG104-L104),2)</f>
        <v>10.3</v>
      </c>
      <c r="BC104" s="256"/>
      <c r="BD104" s="256"/>
      <c r="BE104" s="256"/>
      <c r="BF104" s="256"/>
      <c r="BG104" s="245">
        <v>510.3</v>
      </c>
      <c r="BH104" s="245"/>
      <c r="BI104" s="245"/>
      <c r="BJ104" s="245"/>
      <c r="BK104" s="245"/>
      <c r="BL104" s="245">
        <v>489.7</v>
      </c>
      <c r="BM104" s="245"/>
      <c r="BN104" s="245"/>
      <c r="BO104" s="245"/>
      <c r="BP104" s="245"/>
      <c r="BQ104" s="246" t="e">
        <f>IF(AND(AM104&lt;=BG104,AM104&gt;=BL104),"PASS","FAIL")</f>
        <v>#DIV/0!</v>
      </c>
      <c r="BR104" s="246"/>
      <c r="BS104" s="246"/>
      <c r="BT104" s="246"/>
      <c r="BU104" s="246"/>
      <c r="BV104" s="3"/>
      <c r="BX104" s="52" t="s">
        <v>36</v>
      </c>
      <c r="BY104" s="146">
        <v>7.0999999999999994E-2</v>
      </c>
      <c r="BZ104" s="53" t="str">
        <f>P104</f>
        <v>V</v>
      </c>
      <c r="CA104" s="147">
        <v>2</v>
      </c>
      <c r="CB104" s="61">
        <f t="shared" si="109"/>
        <v>3.5499999999999997E-2</v>
      </c>
      <c r="CC104" s="13"/>
      <c r="CD104" s="52" t="s">
        <v>150</v>
      </c>
      <c r="CE104" s="146">
        <v>0</v>
      </c>
      <c r="CF104" s="53" t="str">
        <f t="shared" si="110"/>
        <v>V</v>
      </c>
      <c r="CG104" s="58">
        <f t="shared" si="111"/>
        <v>1.7320508075688772</v>
      </c>
      <c r="CH104" s="61">
        <f t="shared" si="112"/>
        <v>0</v>
      </c>
      <c r="CI104" s="13"/>
      <c r="CJ104" s="52" t="s">
        <v>59</v>
      </c>
      <c r="CK104" s="148">
        <v>0.1</v>
      </c>
      <c r="CL104" s="53" t="str">
        <f>P104</f>
        <v>V</v>
      </c>
      <c r="CM104" s="58">
        <f t="shared" si="113"/>
        <v>3.4641016151377544</v>
      </c>
      <c r="CN104" s="61">
        <f t="shared" si="114"/>
        <v>2.8867513459481291E-2</v>
      </c>
      <c r="CO104" s="13"/>
      <c r="CP104" s="52" t="s">
        <v>38</v>
      </c>
      <c r="CQ104" s="66" t="e">
        <f t="shared" si="115"/>
        <v>#DIV/0!</v>
      </c>
      <c r="CR104" s="53" t="str">
        <f>P104</f>
        <v>V</v>
      </c>
      <c r="CS104" s="58">
        <f t="shared" si="116"/>
        <v>1.7320508075688772</v>
      </c>
      <c r="CT104" s="70" t="e">
        <f t="shared" si="117"/>
        <v>#DIV/0!</v>
      </c>
      <c r="CU104" s="9"/>
      <c r="CV104" s="75" t="e">
        <f t="shared" si="118"/>
        <v>#DIV/0!</v>
      </c>
      <c r="CW104" s="76" t="e">
        <f t="shared" si="119"/>
        <v>#DIV/0!</v>
      </c>
      <c r="CX104" s="85" t="e">
        <f t="shared" si="120"/>
        <v>#DIV/0!</v>
      </c>
      <c r="CY104" s="96" t="e">
        <f>(CV104*CX104)</f>
        <v>#DIV/0!</v>
      </c>
      <c r="CZ104" s="77" t="str">
        <f>P104</f>
        <v>V</v>
      </c>
      <c r="DA104" s="21"/>
      <c r="DB104" s="149">
        <v>8.4000000000000005E-2</v>
      </c>
      <c r="DC104" s="150" t="str">
        <f>CZ104</f>
        <v>V</v>
      </c>
      <c r="DD104" s="136"/>
      <c r="DE104" s="151" t="e">
        <f t="shared" si="123"/>
        <v>#DIV/0!</v>
      </c>
      <c r="DF104" s="152" t="str">
        <f t="shared" si="122"/>
        <v>V</v>
      </c>
    </row>
    <row r="105" spans="1:110" s="4" customFormat="1" ht="13.5" x14ac:dyDescent="0.25">
      <c r="A105" s="3"/>
      <c r="B105" s="12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7"/>
      <c r="BA105" s="3"/>
      <c r="BB105" s="3"/>
      <c r="BC105" s="3"/>
      <c r="BD105" s="3"/>
      <c r="BE105" s="3"/>
      <c r="BF105" s="3"/>
      <c r="BG105" s="3"/>
      <c r="BH105" s="3"/>
      <c r="BI105" s="3"/>
      <c r="BJ105" s="3"/>
      <c r="BK105" s="3"/>
      <c r="BL105" s="3"/>
      <c r="BM105" s="3"/>
      <c r="BN105" s="3"/>
      <c r="BO105" s="3"/>
      <c r="BP105" s="3"/>
      <c r="BQ105" s="3"/>
      <c r="BR105" s="3"/>
      <c r="BS105" s="3"/>
      <c r="BT105" s="3"/>
      <c r="BU105" s="3"/>
      <c r="BV105" s="3"/>
      <c r="BX105" s="48"/>
      <c r="BY105" s="48"/>
      <c r="BZ105" s="48"/>
      <c r="CA105" s="48"/>
      <c r="CB105" s="48"/>
      <c r="CC105" s="48"/>
      <c r="CD105" s="48"/>
      <c r="CE105" s="48"/>
      <c r="CF105" s="48"/>
      <c r="CG105" s="48"/>
      <c r="CH105" s="48"/>
      <c r="CI105" s="48"/>
      <c r="CJ105" s="48"/>
      <c r="CK105" s="48"/>
      <c r="CL105" s="48"/>
      <c r="CM105" s="48"/>
      <c r="CN105" s="48"/>
      <c r="CO105" s="48"/>
      <c r="CP105" s="48"/>
      <c r="CQ105" s="48"/>
      <c r="CR105" s="48"/>
      <c r="DB105" s="49"/>
      <c r="DC105" s="49"/>
      <c r="DD105" s="49"/>
      <c r="DE105" s="50"/>
      <c r="DF105" s="50"/>
    </row>
    <row r="106" spans="1:110" s="4" customFormat="1" ht="13.5" x14ac:dyDescent="0.25">
      <c r="A106" s="3"/>
      <c r="B106" s="12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6"/>
      <c r="AX106" s="126"/>
      <c r="AY106" s="126"/>
      <c r="AZ106" s="127"/>
      <c r="BA106" s="3"/>
      <c r="BB106" s="3"/>
      <c r="BC106" s="3"/>
      <c r="BD106" s="3"/>
      <c r="BE106" s="3"/>
      <c r="BF106" s="3"/>
      <c r="BG106" s="3"/>
      <c r="BH106" s="3"/>
      <c r="BI106" s="3"/>
      <c r="BJ106" s="3"/>
      <c r="BK106" s="3"/>
      <c r="BL106" s="3"/>
      <c r="BM106" s="3"/>
      <c r="BN106" s="3"/>
      <c r="BO106" s="3"/>
      <c r="BP106" s="3"/>
      <c r="BQ106" s="3"/>
      <c r="BR106" s="3"/>
      <c r="BS106" s="3"/>
      <c r="BT106" s="3"/>
      <c r="BU106" s="3"/>
      <c r="BV106" s="3"/>
      <c r="BX106" s="48"/>
      <c r="BY106" s="48"/>
      <c r="BZ106" s="48"/>
      <c r="CA106" s="48"/>
      <c r="CB106" s="48"/>
      <c r="CC106" s="48"/>
      <c r="CD106" s="48"/>
      <c r="CE106" s="48"/>
      <c r="CF106" s="48"/>
      <c r="CG106" s="48"/>
      <c r="CH106" s="48"/>
      <c r="CI106" s="48"/>
      <c r="CJ106" s="48"/>
      <c r="CK106" s="48"/>
      <c r="CL106" s="48"/>
      <c r="CM106" s="48"/>
      <c r="CN106" s="48"/>
      <c r="CO106" s="48"/>
      <c r="CP106" s="48"/>
      <c r="CQ106" s="48"/>
      <c r="CR106" s="48"/>
      <c r="DB106" s="49"/>
      <c r="DC106" s="49"/>
      <c r="DD106" s="49"/>
      <c r="DE106" s="50"/>
      <c r="DF106" s="50"/>
    </row>
    <row r="107" spans="1:110" s="4" customFormat="1" ht="13.5" x14ac:dyDescent="0.25">
      <c r="A107" s="3"/>
      <c r="B107" s="12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7"/>
      <c r="BA107" s="3"/>
      <c r="BB107" s="3"/>
      <c r="BC107" s="3"/>
      <c r="BD107" s="3"/>
      <c r="BE107" s="3"/>
      <c r="BF107" s="3"/>
      <c r="BG107" s="3"/>
      <c r="BH107" s="3"/>
      <c r="BI107" s="3"/>
      <c r="BJ107" s="3"/>
      <c r="BK107" s="3"/>
      <c r="BL107" s="3"/>
      <c r="BM107" s="3"/>
      <c r="BN107" s="3"/>
      <c r="BO107" s="3"/>
      <c r="BP107" s="3"/>
      <c r="BQ107" s="3"/>
      <c r="BR107" s="3"/>
      <c r="BS107" s="3"/>
      <c r="BT107" s="3"/>
      <c r="BU107" s="3"/>
      <c r="BV107" s="3"/>
      <c r="BX107" s="48"/>
      <c r="BY107" s="48"/>
      <c r="BZ107" s="48"/>
      <c r="CA107" s="48"/>
      <c r="CB107" s="48"/>
      <c r="CC107" s="48"/>
      <c r="CD107" s="48"/>
      <c r="CE107" s="48"/>
      <c r="CF107" s="48"/>
      <c r="CG107" s="48"/>
      <c r="CH107" s="48"/>
      <c r="CI107" s="48"/>
      <c r="CJ107" s="48"/>
      <c r="CK107" s="48"/>
      <c r="CL107" s="48"/>
      <c r="CM107" s="48"/>
      <c r="CN107" s="48"/>
      <c r="CO107" s="48"/>
      <c r="CP107" s="48"/>
      <c r="CQ107" s="48"/>
      <c r="CR107" s="48"/>
      <c r="DB107" s="49"/>
      <c r="DC107" s="49"/>
      <c r="DD107" s="49"/>
      <c r="DE107" s="50"/>
      <c r="DF107" s="50"/>
    </row>
    <row r="108" spans="1:110" s="4" customFormat="1" ht="13.5" x14ac:dyDescent="0.25">
      <c r="A108" s="3"/>
      <c r="B108" s="12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7"/>
      <c r="BA108" s="3"/>
      <c r="BB108" s="3"/>
      <c r="BC108" s="3"/>
      <c r="BD108" s="3"/>
      <c r="BE108" s="3"/>
      <c r="BF108" s="3"/>
      <c r="BG108" s="3"/>
      <c r="BH108" s="3"/>
      <c r="BI108" s="3"/>
      <c r="BJ108" s="3"/>
      <c r="BK108" s="3"/>
      <c r="BL108" s="3"/>
      <c r="BM108" s="3"/>
      <c r="BN108" s="3"/>
      <c r="BO108" s="3"/>
      <c r="BP108" s="3"/>
      <c r="BQ108" s="3"/>
      <c r="BR108" s="3"/>
      <c r="BS108" s="3"/>
      <c r="BT108" s="3"/>
      <c r="BU108" s="3"/>
      <c r="BV108" s="3"/>
      <c r="BX108" s="48"/>
      <c r="BY108" s="48"/>
      <c r="BZ108" s="48"/>
      <c r="CA108" s="48"/>
      <c r="CB108" s="48"/>
      <c r="CC108" s="48"/>
      <c r="CD108" s="48"/>
      <c r="CE108" s="48"/>
      <c r="CF108" s="48"/>
      <c r="CG108" s="48"/>
      <c r="CH108" s="48"/>
      <c r="CI108" s="48"/>
      <c r="CJ108" s="48"/>
      <c r="CK108" s="48"/>
      <c r="CL108" s="48"/>
      <c r="CM108" s="48"/>
      <c r="CN108" s="48"/>
      <c r="CO108" s="48"/>
      <c r="CP108" s="48"/>
      <c r="CQ108" s="48"/>
      <c r="CR108" s="48"/>
      <c r="DB108" s="49"/>
      <c r="DC108" s="49"/>
      <c r="DD108" s="49"/>
      <c r="DE108" s="50"/>
      <c r="DF108" s="50"/>
    </row>
    <row r="109" spans="1:110" s="4" customFormat="1" ht="13.5" x14ac:dyDescent="0.25">
      <c r="A109" s="3"/>
      <c r="B109" s="12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7"/>
      <c r="BA109" s="3"/>
      <c r="BB109" s="3"/>
      <c r="BC109" s="3"/>
      <c r="BD109" s="3"/>
      <c r="BE109" s="3"/>
      <c r="BF109" s="3"/>
      <c r="BG109" s="3"/>
      <c r="BH109" s="3"/>
      <c r="BI109" s="3"/>
      <c r="BJ109" s="3"/>
      <c r="BK109" s="3"/>
      <c r="BL109" s="3"/>
      <c r="BM109" s="3"/>
      <c r="BN109" s="3"/>
      <c r="BO109" s="3"/>
      <c r="BP109" s="3"/>
      <c r="BQ109" s="3"/>
      <c r="BR109" s="3"/>
      <c r="BS109" s="3"/>
      <c r="BT109" s="3"/>
      <c r="BU109" s="3"/>
      <c r="BV109" s="3"/>
      <c r="BX109" s="48"/>
      <c r="BY109" s="48"/>
      <c r="BZ109" s="48"/>
      <c r="CA109" s="48"/>
      <c r="CB109" s="48"/>
      <c r="CC109" s="48"/>
      <c r="CD109" s="48"/>
      <c r="CE109" s="48"/>
      <c r="CF109" s="48"/>
      <c r="CG109" s="48"/>
      <c r="CH109" s="48"/>
      <c r="CI109" s="48"/>
      <c r="CJ109" s="48"/>
      <c r="CK109" s="48"/>
      <c r="CL109" s="48"/>
      <c r="CM109" s="48"/>
      <c r="CN109" s="48"/>
      <c r="CO109" s="48"/>
      <c r="CP109" s="48"/>
      <c r="CQ109" s="48"/>
      <c r="CR109" s="48"/>
      <c r="DB109" s="49"/>
      <c r="DC109" s="49"/>
      <c r="DD109" s="49"/>
      <c r="DE109" s="50"/>
      <c r="DF109" s="50"/>
    </row>
    <row r="110" spans="1:110" s="4" customFormat="1" ht="13.5" x14ac:dyDescent="0.25">
      <c r="A110" s="3"/>
      <c r="B110" s="46" t="s">
        <v>47</v>
      </c>
      <c r="C110" s="180"/>
      <c r="D110" s="180"/>
      <c r="E110" s="180"/>
      <c r="F110" s="180"/>
      <c r="G110" s="180"/>
      <c r="H110" s="180"/>
      <c r="I110" s="180"/>
      <c r="J110" s="40"/>
      <c r="K110" s="40"/>
      <c r="L110" s="40"/>
      <c r="M110" s="40"/>
      <c r="N110" s="40"/>
      <c r="O110" s="40"/>
      <c r="P110" s="40"/>
      <c r="Q110" s="40"/>
      <c r="R110" s="40"/>
      <c r="S110" s="40"/>
      <c r="T110" s="40"/>
      <c r="U110" s="40"/>
      <c r="V110" s="40"/>
      <c r="W110" s="40"/>
      <c r="X110" s="40"/>
      <c r="Y110" s="180"/>
      <c r="Z110" s="180"/>
      <c r="AA110" s="18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180"/>
      <c r="AX110" s="180"/>
      <c r="AY110" s="180"/>
      <c r="AZ110" s="181"/>
      <c r="BA110" s="3"/>
      <c r="BB110" s="3"/>
      <c r="BC110" s="3"/>
      <c r="BD110" s="3"/>
      <c r="BE110" s="3"/>
      <c r="BF110" s="3"/>
      <c r="BG110" s="3"/>
      <c r="BH110" s="3"/>
      <c r="BI110" s="3"/>
      <c r="BJ110" s="3"/>
      <c r="BK110" s="3"/>
      <c r="BL110" s="3"/>
      <c r="BM110" s="3"/>
      <c r="BN110" s="3"/>
      <c r="BO110" s="3"/>
      <c r="BP110" s="3"/>
      <c r="BQ110" s="3"/>
      <c r="BR110" s="3"/>
      <c r="BS110" s="3"/>
      <c r="BT110" s="3"/>
      <c r="BU110" s="3"/>
      <c r="BV110" s="3"/>
      <c r="BX110" s="48"/>
      <c r="BY110" s="48"/>
      <c r="BZ110" s="48"/>
      <c r="CA110" s="48"/>
      <c r="CB110" s="48"/>
      <c r="CC110" s="48"/>
      <c r="CD110" s="48"/>
      <c r="CE110" s="48"/>
      <c r="CF110" s="48"/>
      <c r="CG110" s="48"/>
      <c r="CH110" s="48"/>
      <c r="CI110" s="48"/>
      <c r="CJ110" s="48"/>
      <c r="CK110" s="48"/>
      <c r="CL110" s="48"/>
      <c r="CM110" s="48"/>
      <c r="CN110" s="48"/>
      <c r="CO110" s="48"/>
      <c r="CP110" s="48"/>
      <c r="CQ110" s="48"/>
      <c r="CR110" s="48"/>
      <c r="DB110" s="49"/>
      <c r="DC110" s="49"/>
      <c r="DD110" s="49"/>
      <c r="DE110" s="50"/>
      <c r="DF110" s="50"/>
    </row>
    <row r="111" spans="1:110" s="4" customFormat="1" ht="13.5" x14ac:dyDescent="0.25">
      <c r="A111" s="3"/>
      <c r="B111" s="335"/>
      <c r="C111" s="336"/>
      <c r="D111" s="336"/>
      <c r="E111" s="336"/>
      <c r="F111" s="336"/>
      <c r="G111" s="336"/>
      <c r="H111" s="336"/>
      <c r="I111" s="336"/>
      <c r="J111" s="336"/>
      <c r="K111" s="336"/>
      <c r="L111" s="336"/>
      <c r="M111" s="336"/>
      <c r="N111" s="336"/>
      <c r="O111" s="336"/>
      <c r="P111" s="336"/>
      <c r="Q111" s="336"/>
      <c r="R111" s="336"/>
      <c r="S111" s="336"/>
      <c r="T111" s="337"/>
      <c r="U111" s="338"/>
      <c r="V111" s="338"/>
      <c r="W111" s="338"/>
      <c r="X111" s="338"/>
      <c r="Y111" s="338"/>
      <c r="Z111" s="338"/>
      <c r="AA111" s="338"/>
      <c r="AB111" s="338"/>
      <c r="AC111" s="338"/>
      <c r="AD111" s="338"/>
      <c r="AE111" s="338"/>
      <c r="AF111" s="338"/>
      <c r="AG111" s="338"/>
      <c r="AH111" s="338"/>
      <c r="AI111" s="338"/>
      <c r="AJ111" s="339"/>
      <c r="AK111" s="351">
        <f>AL9</f>
        <v>0</v>
      </c>
      <c r="AL111" s="353"/>
      <c r="AM111" s="353"/>
      <c r="AN111" s="353"/>
      <c r="AO111" s="353"/>
      <c r="AP111" s="353"/>
      <c r="AQ111" s="353"/>
      <c r="AR111" s="353"/>
      <c r="AS111" s="353"/>
      <c r="AT111" s="353"/>
      <c r="AU111" s="353"/>
      <c r="AV111" s="353"/>
      <c r="AW111" s="353"/>
      <c r="AX111" s="353"/>
      <c r="AY111" s="353"/>
      <c r="AZ111" s="354"/>
      <c r="BA111" s="3"/>
      <c r="BB111" s="3"/>
      <c r="BC111" s="3"/>
      <c r="BD111" s="3"/>
      <c r="BE111" s="3"/>
      <c r="BF111" s="3"/>
      <c r="BG111" s="3"/>
      <c r="BH111" s="3"/>
      <c r="BI111" s="3"/>
      <c r="BJ111" s="3"/>
      <c r="BK111" s="3"/>
      <c r="BL111" s="3"/>
      <c r="BM111" s="3"/>
      <c r="BN111" s="3"/>
      <c r="BO111" s="3"/>
      <c r="BP111" s="3"/>
      <c r="BQ111" s="3"/>
      <c r="BR111" s="3"/>
      <c r="BS111" s="3"/>
      <c r="BT111" s="3"/>
      <c r="BU111" s="3"/>
      <c r="BV111" s="3"/>
      <c r="BX111" s="48"/>
      <c r="BY111" s="48"/>
      <c r="BZ111" s="48"/>
      <c r="CA111" s="48"/>
      <c r="CB111" s="48"/>
      <c r="CC111" s="48"/>
      <c r="CD111" s="48"/>
      <c r="CE111" s="48"/>
      <c r="CF111" s="48"/>
      <c r="CG111" s="48"/>
      <c r="CH111" s="48"/>
      <c r="CI111" s="48"/>
      <c r="CJ111" s="48"/>
      <c r="CK111" s="48"/>
      <c r="CL111" s="48"/>
      <c r="CM111" s="48"/>
      <c r="CN111" s="48"/>
      <c r="CO111" s="48"/>
      <c r="CP111" s="48"/>
      <c r="CQ111" s="48"/>
      <c r="CR111" s="48"/>
      <c r="DB111" s="49"/>
      <c r="DC111" s="49"/>
      <c r="DD111" s="49"/>
      <c r="DE111" s="50"/>
      <c r="DF111" s="50"/>
    </row>
    <row r="112" spans="1:110" s="4" customFormat="1" ht="12.75" customHeight="1" x14ac:dyDescent="0.25">
      <c r="A112" s="3"/>
      <c r="B112" s="329" t="s">
        <v>52</v>
      </c>
      <c r="C112" s="330"/>
      <c r="D112" s="330"/>
      <c r="E112" s="330"/>
      <c r="F112" s="330"/>
      <c r="G112" s="330"/>
      <c r="H112" s="330"/>
      <c r="I112" s="330"/>
      <c r="J112" s="330"/>
      <c r="K112" s="330"/>
      <c r="L112" s="330"/>
      <c r="M112" s="330"/>
      <c r="N112" s="330"/>
      <c r="O112" s="330"/>
      <c r="P112" s="330"/>
      <c r="Q112" s="330"/>
      <c r="R112" s="330"/>
      <c r="S112" s="330"/>
      <c r="T112" s="331"/>
      <c r="U112" s="330" t="s">
        <v>48</v>
      </c>
      <c r="V112" s="330"/>
      <c r="W112" s="330"/>
      <c r="X112" s="330"/>
      <c r="Y112" s="330"/>
      <c r="Z112" s="330"/>
      <c r="AA112" s="330"/>
      <c r="AB112" s="330"/>
      <c r="AC112" s="330"/>
      <c r="AD112" s="330"/>
      <c r="AE112" s="330"/>
      <c r="AF112" s="330"/>
      <c r="AG112" s="330"/>
      <c r="AH112" s="330"/>
      <c r="AI112" s="330"/>
      <c r="AJ112" s="332"/>
      <c r="AK112" s="333" t="s">
        <v>49</v>
      </c>
      <c r="AL112" s="330"/>
      <c r="AM112" s="330"/>
      <c r="AN112" s="330"/>
      <c r="AO112" s="330"/>
      <c r="AP112" s="330"/>
      <c r="AQ112" s="330"/>
      <c r="AR112" s="330"/>
      <c r="AS112" s="330"/>
      <c r="AT112" s="330"/>
      <c r="AU112" s="330"/>
      <c r="AV112" s="330"/>
      <c r="AW112" s="330"/>
      <c r="AX112" s="330"/>
      <c r="AY112" s="330"/>
      <c r="AZ112" s="334"/>
      <c r="BA112" s="3"/>
      <c r="BB112" s="3"/>
      <c r="BC112" s="3"/>
      <c r="BD112" s="3"/>
      <c r="BE112" s="3"/>
      <c r="BF112" s="3"/>
      <c r="BG112" s="3"/>
      <c r="BH112" s="3"/>
      <c r="BI112" s="3"/>
      <c r="BJ112" s="3"/>
      <c r="BK112" s="3"/>
      <c r="BL112" s="3"/>
      <c r="BM112" s="3"/>
      <c r="BN112" s="3"/>
      <c r="BO112" s="3"/>
      <c r="BP112" s="3"/>
      <c r="BQ112" s="3"/>
      <c r="BR112" s="3"/>
      <c r="BS112" s="3"/>
      <c r="BT112" s="3"/>
      <c r="BU112" s="3"/>
      <c r="BV112" s="3"/>
      <c r="BX112" s="48"/>
      <c r="BY112" s="48"/>
      <c r="BZ112" s="48"/>
      <c r="CA112" s="48"/>
      <c r="CB112" s="48"/>
      <c r="CC112" s="48"/>
      <c r="CD112" s="48"/>
      <c r="CE112" s="48"/>
      <c r="CF112" s="48"/>
      <c r="CG112" s="48"/>
      <c r="CH112" s="48"/>
      <c r="CI112" s="48"/>
      <c r="CJ112" s="48"/>
      <c r="CK112" s="48"/>
      <c r="CL112" s="48"/>
      <c r="CM112" s="48"/>
      <c r="CN112" s="48"/>
      <c r="CO112" s="48"/>
      <c r="CP112" s="48"/>
      <c r="CQ112" s="48"/>
      <c r="CR112" s="48"/>
      <c r="DB112" s="49"/>
      <c r="DC112" s="49"/>
      <c r="DD112" s="49"/>
      <c r="DE112" s="50"/>
      <c r="DF112" s="50"/>
    </row>
    <row r="113" spans="1:110" s="4" customFormat="1" ht="13.5" x14ac:dyDescent="0.25">
      <c r="A113" s="3"/>
      <c r="B113" s="176" t="s">
        <v>50</v>
      </c>
      <c r="C113" s="178"/>
      <c r="D113" s="178"/>
      <c r="E113" s="178"/>
      <c r="F113" s="178"/>
      <c r="G113" s="178"/>
      <c r="H113" s="178"/>
      <c r="I113" s="178"/>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178"/>
      <c r="AI113" s="178"/>
      <c r="AJ113" s="178"/>
      <c r="AK113" s="43"/>
      <c r="AL113" s="43"/>
      <c r="AM113" s="43"/>
      <c r="AN113" s="43"/>
      <c r="AO113" s="43"/>
      <c r="AP113" s="43"/>
      <c r="AQ113" s="43"/>
      <c r="AR113" s="43"/>
      <c r="AS113" s="43"/>
      <c r="AT113" s="43"/>
      <c r="AU113" s="43"/>
      <c r="AV113" s="43"/>
      <c r="AW113" s="178"/>
      <c r="AX113" s="178"/>
      <c r="AY113" s="178"/>
      <c r="AZ113" s="183"/>
      <c r="BA113" s="3"/>
      <c r="BB113" s="3"/>
      <c r="BC113" s="3"/>
      <c r="BD113" s="3"/>
      <c r="BE113" s="3"/>
      <c r="BF113" s="3"/>
      <c r="BG113" s="3"/>
      <c r="BH113" s="3"/>
      <c r="BI113" s="3"/>
      <c r="BJ113" s="3"/>
      <c r="BK113" s="3"/>
      <c r="BL113" s="3"/>
      <c r="BM113" s="3"/>
      <c r="BN113" s="3"/>
      <c r="BO113" s="3"/>
      <c r="BP113" s="3"/>
      <c r="BQ113" s="3"/>
      <c r="BR113" s="3"/>
      <c r="BS113" s="3"/>
      <c r="BT113" s="3"/>
      <c r="BU113" s="3"/>
      <c r="BV113" s="3"/>
      <c r="BX113" s="48"/>
      <c r="BY113" s="48"/>
      <c r="BZ113" s="48"/>
      <c r="CA113" s="48"/>
      <c r="CB113" s="48"/>
      <c r="CC113" s="48"/>
      <c r="CD113" s="48"/>
      <c r="CE113" s="48"/>
      <c r="CF113" s="48"/>
      <c r="CG113" s="48"/>
      <c r="CH113" s="48"/>
      <c r="CI113" s="48"/>
      <c r="CJ113" s="48"/>
      <c r="CK113" s="48"/>
      <c r="CL113" s="48"/>
      <c r="CM113" s="48"/>
      <c r="CN113" s="48"/>
      <c r="CO113" s="48"/>
      <c r="CP113" s="48"/>
      <c r="CQ113" s="48"/>
      <c r="CR113" s="48"/>
      <c r="DB113" s="49"/>
      <c r="DC113" s="49"/>
      <c r="DD113" s="49"/>
      <c r="DE113" s="50"/>
      <c r="DF113" s="50"/>
    </row>
    <row r="114" spans="1:110" s="4" customFormat="1" ht="13.5" x14ac:dyDescent="0.25">
      <c r="A114" s="3"/>
      <c r="B114" s="335"/>
      <c r="C114" s="336"/>
      <c r="D114" s="336"/>
      <c r="E114" s="336"/>
      <c r="F114" s="336"/>
      <c r="G114" s="336"/>
      <c r="H114" s="336"/>
      <c r="I114" s="336"/>
      <c r="J114" s="336"/>
      <c r="K114" s="336"/>
      <c r="L114" s="336"/>
      <c r="M114" s="336"/>
      <c r="N114" s="336"/>
      <c r="O114" s="336"/>
      <c r="P114" s="336"/>
      <c r="Q114" s="336"/>
      <c r="R114" s="336"/>
      <c r="S114" s="336"/>
      <c r="T114" s="337"/>
      <c r="U114" s="338"/>
      <c r="V114" s="338"/>
      <c r="W114" s="338"/>
      <c r="X114" s="338"/>
      <c r="Y114" s="338"/>
      <c r="Z114" s="338"/>
      <c r="AA114" s="338"/>
      <c r="AB114" s="338"/>
      <c r="AC114" s="338"/>
      <c r="AD114" s="338"/>
      <c r="AE114" s="338"/>
      <c r="AF114" s="338"/>
      <c r="AG114" s="338"/>
      <c r="AH114" s="338"/>
      <c r="AI114" s="338"/>
      <c r="AJ114" s="339"/>
      <c r="AK114" s="351">
        <v>45049</v>
      </c>
      <c r="AL114" s="353"/>
      <c r="AM114" s="353"/>
      <c r="AN114" s="353"/>
      <c r="AO114" s="353"/>
      <c r="AP114" s="353"/>
      <c r="AQ114" s="353"/>
      <c r="AR114" s="353"/>
      <c r="AS114" s="353"/>
      <c r="AT114" s="353"/>
      <c r="AU114" s="353"/>
      <c r="AV114" s="353"/>
      <c r="AW114" s="353"/>
      <c r="AX114" s="353"/>
      <c r="AY114" s="353"/>
      <c r="AZ114" s="354"/>
      <c r="BA114" s="3"/>
      <c r="BB114" s="3"/>
      <c r="BC114" s="3"/>
      <c r="BD114" s="3"/>
      <c r="BE114" s="3"/>
      <c r="BF114" s="3"/>
      <c r="BG114" s="3"/>
      <c r="BH114" s="3"/>
      <c r="BI114" s="3"/>
      <c r="BJ114" s="3"/>
      <c r="BK114" s="3"/>
      <c r="BL114" s="3"/>
      <c r="BM114" s="3"/>
      <c r="BN114" s="3"/>
      <c r="BO114" s="3"/>
      <c r="BP114" s="3"/>
      <c r="BQ114" s="3"/>
      <c r="BR114" s="3"/>
      <c r="BS114" s="3"/>
      <c r="BT114" s="3"/>
      <c r="BU114" s="3"/>
      <c r="BV114" s="3"/>
      <c r="BX114" s="48"/>
      <c r="BY114" s="48"/>
      <c r="BZ114" s="48"/>
      <c r="CA114" s="48"/>
      <c r="CB114" s="48"/>
      <c r="CC114" s="48"/>
      <c r="CD114" s="48"/>
      <c r="CE114" s="48"/>
      <c r="CF114" s="48"/>
      <c r="CG114" s="48"/>
      <c r="CH114" s="48"/>
      <c r="CI114" s="48"/>
      <c r="CJ114" s="48"/>
      <c r="CK114" s="48"/>
      <c r="CL114" s="48"/>
      <c r="CM114" s="48"/>
      <c r="CN114" s="48"/>
      <c r="CO114" s="48"/>
      <c r="CP114" s="48"/>
      <c r="CQ114" s="48"/>
      <c r="CR114" s="48"/>
      <c r="DB114" s="49"/>
      <c r="DC114" s="49"/>
      <c r="DD114" s="49"/>
      <c r="DE114" s="50"/>
      <c r="DF114" s="50"/>
    </row>
    <row r="115" spans="1:110" s="4" customFormat="1" ht="12.75" customHeight="1" x14ac:dyDescent="0.25">
      <c r="A115" s="3"/>
      <c r="B115" s="329" t="s">
        <v>159</v>
      </c>
      <c r="C115" s="330"/>
      <c r="D115" s="330"/>
      <c r="E115" s="330"/>
      <c r="F115" s="330"/>
      <c r="G115" s="330"/>
      <c r="H115" s="330"/>
      <c r="I115" s="330"/>
      <c r="J115" s="330"/>
      <c r="K115" s="330"/>
      <c r="L115" s="330"/>
      <c r="M115" s="330"/>
      <c r="N115" s="330"/>
      <c r="O115" s="330"/>
      <c r="P115" s="330"/>
      <c r="Q115" s="330"/>
      <c r="R115" s="330"/>
      <c r="S115" s="330"/>
      <c r="T115" s="331"/>
      <c r="U115" s="330" t="s">
        <v>48</v>
      </c>
      <c r="V115" s="330"/>
      <c r="W115" s="330"/>
      <c r="X115" s="330"/>
      <c r="Y115" s="330"/>
      <c r="Z115" s="330"/>
      <c r="AA115" s="330"/>
      <c r="AB115" s="330"/>
      <c r="AC115" s="330"/>
      <c r="AD115" s="330"/>
      <c r="AE115" s="330"/>
      <c r="AF115" s="330"/>
      <c r="AG115" s="330"/>
      <c r="AH115" s="330"/>
      <c r="AI115" s="330"/>
      <c r="AJ115" s="332"/>
      <c r="AK115" s="333" t="s">
        <v>49</v>
      </c>
      <c r="AL115" s="330"/>
      <c r="AM115" s="330"/>
      <c r="AN115" s="330"/>
      <c r="AO115" s="330"/>
      <c r="AP115" s="330"/>
      <c r="AQ115" s="330"/>
      <c r="AR115" s="330"/>
      <c r="AS115" s="330"/>
      <c r="AT115" s="330"/>
      <c r="AU115" s="330"/>
      <c r="AV115" s="330"/>
      <c r="AW115" s="330"/>
      <c r="AX115" s="330"/>
      <c r="AY115" s="330"/>
      <c r="AZ115" s="334"/>
      <c r="BA115" s="3"/>
      <c r="BB115" s="3"/>
      <c r="BC115" s="3"/>
      <c r="BD115" s="3"/>
      <c r="BE115" s="3"/>
      <c r="BF115" s="3"/>
      <c r="BG115" s="3"/>
      <c r="BH115" s="3"/>
      <c r="BI115" s="3"/>
      <c r="BJ115" s="3"/>
      <c r="BK115" s="3"/>
      <c r="BL115" s="3"/>
      <c r="BM115" s="3"/>
      <c r="BN115" s="3"/>
      <c r="BO115" s="3"/>
      <c r="BP115" s="3"/>
      <c r="BQ115" s="3"/>
      <c r="BR115" s="3"/>
      <c r="BS115" s="3"/>
      <c r="BT115" s="3"/>
      <c r="BU115" s="3"/>
      <c r="BV115" s="3"/>
      <c r="BX115" s="48"/>
      <c r="BY115" s="48"/>
      <c r="BZ115" s="48"/>
      <c r="CA115" s="48"/>
      <c r="CB115" s="48"/>
      <c r="CC115" s="48"/>
      <c r="CD115" s="48"/>
      <c r="CE115" s="48"/>
      <c r="CF115" s="48"/>
      <c r="CG115" s="48"/>
      <c r="CH115" s="48"/>
      <c r="CI115" s="48"/>
      <c r="CJ115" s="48"/>
      <c r="CK115" s="48"/>
      <c r="CL115" s="48"/>
      <c r="CM115" s="48"/>
      <c r="CN115" s="48"/>
      <c r="CO115" s="48"/>
      <c r="CP115" s="48"/>
      <c r="CQ115" s="48"/>
      <c r="CR115" s="48"/>
      <c r="DB115" s="49"/>
      <c r="DC115" s="49"/>
      <c r="DD115" s="49"/>
      <c r="DE115" s="50"/>
      <c r="DF115" s="50"/>
    </row>
    <row r="116" spans="1:110" s="4" customFormat="1" ht="13.5" x14ac:dyDescent="0.25">
      <c r="A116" s="3"/>
      <c r="B116" s="46" t="s">
        <v>94</v>
      </c>
      <c r="C116" s="180"/>
      <c r="D116" s="180"/>
      <c r="E116" s="180"/>
      <c r="F116" s="180"/>
      <c r="G116" s="180"/>
      <c r="H116" s="180"/>
      <c r="I116" s="180"/>
      <c r="J116" s="40"/>
      <c r="K116" s="40"/>
      <c r="L116" s="40"/>
      <c r="M116" s="40"/>
      <c r="N116" s="40"/>
      <c r="O116" s="40"/>
      <c r="P116" s="40"/>
      <c r="Q116" s="40"/>
      <c r="R116" s="40"/>
      <c r="S116" s="40"/>
      <c r="T116" s="40"/>
      <c r="U116" s="40"/>
      <c r="V116" s="40"/>
      <c r="W116" s="40"/>
      <c r="X116" s="40"/>
      <c r="Y116" s="180"/>
      <c r="Z116" s="180"/>
      <c r="AA116" s="18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180"/>
      <c r="AX116" s="180"/>
      <c r="AY116" s="180"/>
      <c r="AZ116" s="181"/>
      <c r="BA116" s="3"/>
      <c r="BB116" s="3"/>
      <c r="BC116" s="3"/>
      <c r="BD116" s="3"/>
      <c r="BE116" s="3"/>
      <c r="BF116" s="3"/>
      <c r="BG116" s="3"/>
      <c r="BH116" s="3"/>
      <c r="BI116" s="3"/>
      <c r="BJ116" s="3"/>
      <c r="BK116" s="3"/>
      <c r="BL116" s="3"/>
      <c r="BM116" s="3"/>
      <c r="BN116" s="3"/>
      <c r="BO116" s="3"/>
      <c r="BP116" s="3"/>
      <c r="BQ116" s="3"/>
      <c r="BR116" s="3"/>
      <c r="BS116" s="3"/>
      <c r="BT116" s="3"/>
      <c r="BU116" s="3"/>
      <c r="BV116" s="3"/>
      <c r="BX116" s="48"/>
      <c r="BY116" s="48"/>
      <c r="BZ116" s="48"/>
      <c r="CA116" s="48"/>
      <c r="CB116" s="48"/>
      <c r="CC116" s="48"/>
      <c r="CD116" s="48"/>
      <c r="CE116" s="48"/>
      <c r="CF116" s="48"/>
      <c r="CG116" s="48"/>
      <c r="CH116" s="48"/>
      <c r="CI116" s="48"/>
      <c r="CJ116" s="48"/>
      <c r="CK116" s="48"/>
      <c r="CL116" s="48"/>
      <c r="CM116" s="48"/>
      <c r="CN116" s="48"/>
      <c r="CO116" s="48"/>
      <c r="CP116" s="48"/>
      <c r="CQ116" s="48"/>
      <c r="CR116" s="48"/>
      <c r="DB116" s="49"/>
      <c r="DC116" s="49"/>
      <c r="DD116" s="49"/>
      <c r="DE116" s="50"/>
      <c r="DF116" s="50"/>
    </row>
    <row r="117" spans="1:110" s="4" customFormat="1" ht="13.5" x14ac:dyDescent="0.25">
      <c r="A117" s="3"/>
      <c r="B117" s="343" t="s">
        <v>119</v>
      </c>
      <c r="C117" s="338"/>
      <c r="D117" s="338"/>
      <c r="E117" s="338"/>
      <c r="F117" s="338"/>
      <c r="G117" s="338"/>
      <c r="H117" s="338"/>
      <c r="I117" s="338"/>
      <c r="J117" s="338"/>
      <c r="K117" s="338"/>
      <c r="L117" s="338"/>
      <c r="M117" s="338"/>
      <c r="N117" s="338"/>
      <c r="O117" s="338"/>
      <c r="P117" s="338"/>
      <c r="Q117" s="338"/>
      <c r="R117" s="338"/>
      <c r="S117" s="338"/>
      <c r="T117" s="344"/>
      <c r="U117" s="338"/>
      <c r="V117" s="338"/>
      <c r="W117" s="338"/>
      <c r="X117" s="338"/>
      <c r="Y117" s="338"/>
      <c r="Z117" s="338"/>
      <c r="AA117" s="338"/>
      <c r="AB117" s="338"/>
      <c r="AC117" s="338"/>
      <c r="AD117" s="338"/>
      <c r="AE117" s="338"/>
      <c r="AF117" s="338"/>
      <c r="AG117" s="338"/>
      <c r="AH117" s="338"/>
      <c r="AI117" s="338"/>
      <c r="AJ117" s="339"/>
      <c r="AK117" s="351" t="s">
        <v>119</v>
      </c>
      <c r="AL117" s="274"/>
      <c r="AM117" s="274"/>
      <c r="AN117" s="274"/>
      <c r="AO117" s="274"/>
      <c r="AP117" s="274"/>
      <c r="AQ117" s="274"/>
      <c r="AR117" s="274"/>
      <c r="AS117" s="274"/>
      <c r="AT117" s="274"/>
      <c r="AU117" s="274"/>
      <c r="AV117" s="274"/>
      <c r="AW117" s="274"/>
      <c r="AX117" s="274"/>
      <c r="AY117" s="274"/>
      <c r="AZ117" s="352"/>
      <c r="BA117" s="3"/>
      <c r="BB117" s="3"/>
      <c r="BC117" s="3"/>
      <c r="BD117" s="3"/>
      <c r="BE117" s="3"/>
      <c r="BF117" s="3"/>
      <c r="BG117" s="3"/>
      <c r="BH117" s="3"/>
      <c r="BI117" s="3"/>
      <c r="BJ117" s="3"/>
      <c r="BK117" s="3"/>
      <c r="BL117" s="3"/>
      <c r="BM117" s="3"/>
      <c r="BN117" s="3"/>
      <c r="BO117" s="3"/>
      <c r="BP117" s="3"/>
      <c r="BQ117" s="3"/>
      <c r="BR117" s="3"/>
      <c r="BS117" s="3"/>
      <c r="BT117" s="3"/>
      <c r="BU117" s="3"/>
      <c r="BV117" s="3"/>
      <c r="BX117" s="48"/>
      <c r="BY117" s="48"/>
      <c r="BZ117" s="48"/>
      <c r="CA117" s="48"/>
      <c r="CB117" s="48"/>
      <c r="CC117" s="48"/>
      <c r="CD117" s="48"/>
      <c r="CE117" s="48"/>
      <c r="CF117" s="48"/>
      <c r="CG117" s="48"/>
      <c r="CH117" s="48"/>
      <c r="CI117" s="48"/>
      <c r="CJ117" s="48"/>
      <c r="CK117" s="48"/>
      <c r="CL117" s="48"/>
      <c r="CM117" s="48"/>
      <c r="CN117" s="48"/>
      <c r="CO117" s="48"/>
      <c r="CP117" s="48"/>
      <c r="CQ117" s="48"/>
      <c r="CR117" s="48"/>
      <c r="DB117" s="49"/>
      <c r="DC117" s="49"/>
      <c r="DD117" s="49"/>
      <c r="DE117" s="50"/>
      <c r="DF117" s="50"/>
    </row>
    <row r="118" spans="1:110" s="4" customFormat="1" ht="12.75" customHeight="1" thickBot="1" x14ac:dyDescent="0.3">
      <c r="A118" s="3"/>
      <c r="B118" s="345" t="str">
        <f>B112</f>
        <v>Calibration Officer's Name</v>
      </c>
      <c r="C118" s="346"/>
      <c r="D118" s="346"/>
      <c r="E118" s="346"/>
      <c r="F118" s="346"/>
      <c r="G118" s="346"/>
      <c r="H118" s="346"/>
      <c r="I118" s="346"/>
      <c r="J118" s="346"/>
      <c r="K118" s="346"/>
      <c r="L118" s="346"/>
      <c r="M118" s="346"/>
      <c r="N118" s="346"/>
      <c r="O118" s="346"/>
      <c r="P118" s="346"/>
      <c r="Q118" s="346"/>
      <c r="R118" s="346"/>
      <c r="S118" s="346"/>
      <c r="T118" s="347"/>
      <c r="U118" s="346" t="s">
        <v>48</v>
      </c>
      <c r="V118" s="346"/>
      <c r="W118" s="346"/>
      <c r="X118" s="346"/>
      <c r="Y118" s="346"/>
      <c r="Z118" s="346"/>
      <c r="AA118" s="346"/>
      <c r="AB118" s="346"/>
      <c r="AC118" s="346"/>
      <c r="AD118" s="346"/>
      <c r="AE118" s="346"/>
      <c r="AF118" s="346"/>
      <c r="AG118" s="346"/>
      <c r="AH118" s="346"/>
      <c r="AI118" s="346"/>
      <c r="AJ118" s="348"/>
      <c r="AK118" s="349" t="s">
        <v>49</v>
      </c>
      <c r="AL118" s="346"/>
      <c r="AM118" s="346"/>
      <c r="AN118" s="346"/>
      <c r="AO118" s="346"/>
      <c r="AP118" s="346"/>
      <c r="AQ118" s="346"/>
      <c r="AR118" s="346"/>
      <c r="AS118" s="346"/>
      <c r="AT118" s="346"/>
      <c r="AU118" s="346"/>
      <c r="AV118" s="346"/>
      <c r="AW118" s="346"/>
      <c r="AX118" s="346"/>
      <c r="AY118" s="346"/>
      <c r="AZ118" s="350"/>
      <c r="BA118" s="3"/>
      <c r="BB118" s="3"/>
      <c r="BC118" s="3"/>
      <c r="BD118" s="3"/>
      <c r="BE118" s="3"/>
      <c r="BF118" s="3"/>
      <c r="BG118" s="3"/>
      <c r="BH118" s="3"/>
      <c r="BI118" s="3"/>
      <c r="BJ118" s="3"/>
      <c r="BK118" s="3"/>
      <c r="BL118" s="3"/>
      <c r="BM118" s="3"/>
      <c r="BN118" s="3"/>
      <c r="BO118" s="3"/>
      <c r="BP118" s="3"/>
      <c r="BQ118" s="3"/>
      <c r="BR118" s="3"/>
      <c r="BS118" s="3"/>
      <c r="BT118" s="3"/>
      <c r="BU118" s="3"/>
      <c r="BV118" s="3"/>
      <c r="BX118" s="48"/>
      <c r="BY118" s="48"/>
      <c r="BZ118" s="48"/>
      <c r="CA118" s="48"/>
      <c r="CB118" s="48"/>
      <c r="CC118" s="48"/>
      <c r="CD118" s="48"/>
      <c r="CE118" s="48"/>
      <c r="CF118" s="48"/>
      <c r="CG118" s="48"/>
      <c r="CH118" s="48"/>
      <c r="CI118" s="48"/>
      <c r="CJ118" s="48"/>
      <c r="CK118" s="48"/>
      <c r="CL118" s="48"/>
      <c r="CM118" s="48"/>
      <c r="CN118" s="48"/>
      <c r="CO118" s="48"/>
      <c r="CP118" s="48"/>
      <c r="CQ118" s="48"/>
      <c r="CR118" s="48"/>
      <c r="DB118" s="49"/>
      <c r="DC118" s="49"/>
      <c r="DD118" s="49"/>
      <c r="DE118" s="50"/>
      <c r="DF118" s="50"/>
    </row>
    <row r="119" spans="1:110" s="170" customFormat="1" ht="16.5" hidden="1" x14ac:dyDescent="0.3">
      <c r="A119" s="169"/>
      <c r="BA119" s="169"/>
      <c r="BB119" s="169"/>
      <c r="BC119" s="169"/>
      <c r="BD119" s="169"/>
      <c r="BE119" s="169"/>
      <c r="BF119" s="169"/>
      <c r="BG119" s="169"/>
      <c r="BH119" s="169"/>
      <c r="BI119" s="169"/>
      <c r="BJ119" s="169"/>
      <c r="BK119" s="169"/>
      <c r="BL119" s="169"/>
      <c r="BM119" s="169"/>
      <c r="BN119" s="169"/>
      <c r="BO119" s="169"/>
      <c r="BP119" s="169"/>
      <c r="BQ119" s="169"/>
      <c r="BR119" s="169"/>
      <c r="BS119" s="169"/>
      <c r="BT119" s="169"/>
      <c r="BU119" s="169"/>
      <c r="BV119" s="169"/>
      <c r="BX119" s="171"/>
      <c r="BY119" s="171"/>
      <c r="BZ119" s="171"/>
      <c r="CA119" s="171"/>
      <c r="CB119" s="171"/>
      <c r="CC119" s="171"/>
      <c r="CD119" s="171"/>
      <c r="CE119" s="171"/>
      <c r="CF119" s="171"/>
      <c r="CG119" s="171"/>
      <c r="CH119" s="171"/>
      <c r="CI119" s="171"/>
      <c r="CJ119" s="171"/>
      <c r="CK119" s="171"/>
      <c r="CL119" s="171"/>
      <c r="CM119" s="171"/>
      <c r="CN119" s="171"/>
      <c r="CO119" s="171"/>
      <c r="CP119" s="171"/>
      <c r="CQ119" s="171"/>
      <c r="CR119" s="171"/>
      <c r="DB119" s="103"/>
      <c r="DC119" s="103"/>
      <c r="DD119" s="103"/>
      <c r="DE119" s="104"/>
      <c r="DF119" s="104"/>
    </row>
    <row r="120" spans="1:110" ht="16.5" hidden="1" x14ac:dyDescent="0.3"/>
    <row r="121" spans="1:110" ht="16.5" hidden="1" x14ac:dyDescent="0.3"/>
    <row r="122" spans="1:110" ht="16.5" hidden="1" x14ac:dyDescent="0.3"/>
    <row r="123" spans="1:110" ht="16.5" hidden="1" x14ac:dyDescent="0.3"/>
    <row r="124" spans="1:110" ht="15" hidden="1" customHeight="1" x14ac:dyDescent="0.3"/>
    <row r="125" spans="1:110" ht="15" hidden="1" customHeight="1" x14ac:dyDescent="0.3"/>
    <row r="126" spans="1:110" ht="15" hidden="1" customHeight="1" x14ac:dyDescent="0.3"/>
    <row r="127" spans="1:110" ht="15" hidden="1" customHeight="1" x14ac:dyDescent="0.3"/>
    <row r="128" spans="1:110" ht="15" hidden="1" customHeight="1" x14ac:dyDescent="0.3"/>
    <row r="129" ht="15" hidden="1" customHeight="1" x14ac:dyDescent="0.3"/>
    <row r="130" ht="15" hidden="1" customHeight="1" x14ac:dyDescent="0.3"/>
    <row r="131" ht="15" hidden="1" customHeight="1" x14ac:dyDescent="0.3"/>
    <row r="132" ht="15" hidden="1" customHeight="1" x14ac:dyDescent="0.3"/>
    <row r="133" ht="15" hidden="1" customHeight="1" x14ac:dyDescent="0.3"/>
    <row r="134" ht="15" hidden="1" customHeight="1" x14ac:dyDescent="0.3"/>
    <row r="135" ht="15" hidden="1" customHeight="1" x14ac:dyDescent="0.3"/>
    <row r="136" ht="15" hidden="1" customHeight="1" x14ac:dyDescent="0.3"/>
    <row r="137" ht="15" hidden="1" customHeight="1" x14ac:dyDescent="0.3"/>
    <row r="138" ht="15" hidden="1" customHeight="1" x14ac:dyDescent="0.3"/>
    <row r="139" ht="15" hidden="1" customHeight="1" x14ac:dyDescent="0.3"/>
    <row r="140" ht="15" hidden="1" customHeight="1" x14ac:dyDescent="0.3"/>
    <row r="141" ht="15" hidden="1" customHeight="1" x14ac:dyDescent="0.3"/>
    <row r="142" ht="15" hidden="1" customHeight="1" x14ac:dyDescent="0.3"/>
    <row r="143" ht="15" hidden="1" customHeight="1" x14ac:dyDescent="0.3"/>
    <row r="144" ht="15" hidden="1" customHeight="1" x14ac:dyDescent="0.3"/>
    <row r="145" ht="15" hidden="1" customHeight="1" x14ac:dyDescent="0.3"/>
    <row r="146" ht="15" hidden="1" customHeight="1" x14ac:dyDescent="0.3"/>
    <row r="147" ht="15" hidden="1" customHeight="1" x14ac:dyDescent="0.3"/>
    <row r="148" ht="15" hidden="1" customHeight="1" x14ac:dyDescent="0.3"/>
    <row r="149" ht="15" hidden="1" customHeight="1" x14ac:dyDescent="0.3"/>
    <row r="150" ht="15" hidden="1" customHeight="1" x14ac:dyDescent="0.3"/>
    <row r="151" ht="15" hidden="1" customHeight="1" x14ac:dyDescent="0.3"/>
    <row r="152" ht="15" hidden="1" customHeight="1" x14ac:dyDescent="0.3"/>
    <row r="153" ht="15" hidden="1" customHeight="1" x14ac:dyDescent="0.3"/>
    <row r="154" ht="15" hidden="1" customHeight="1" x14ac:dyDescent="0.3"/>
    <row r="155" ht="15" hidden="1" customHeight="1" x14ac:dyDescent="0.3"/>
    <row r="156" ht="15" hidden="1" customHeight="1" x14ac:dyDescent="0.3"/>
    <row r="157" ht="15" hidden="1" customHeight="1" x14ac:dyDescent="0.3"/>
    <row r="158" ht="15" hidden="1" customHeight="1" x14ac:dyDescent="0.3"/>
  </sheetData>
  <mergeCells count="690">
    <mergeCell ref="BB103:BF103"/>
    <mergeCell ref="BG103:BK103"/>
    <mergeCell ref="BL103:BP103"/>
    <mergeCell ref="BQ103:BU103"/>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3:K103"/>
    <mergeCell ref="L103:O103"/>
    <mergeCell ref="P103:R103"/>
    <mergeCell ref="S103:W103"/>
    <mergeCell ref="X103:AB103"/>
    <mergeCell ref="AC103:AG103"/>
    <mergeCell ref="AH103:AL103"/>
    <mergeCell ref="CP100:CP101"/>
    <mergeCell ref="X101:AB101"/>
    <mergeCell ref="AC101:AG101"/>
    <mergeCell ref="AH101:AL101"/>
    <mergeCell ref="CY101:CZ101"/>
    <mergeCell ref="F102:K102"/>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CS100:CS101"/>
    <mergeCell ref="CT100:CT101"/>
    <mergeCell ref="BY100:BZ101"/>
    <mergeCell ref="CE100:CF101"/>
    <mergeCell ref="CK100:CL101"/>
    <mergeCell ref="CQ100:CR101"/>
    <mergeCell ref="BX99:CB99"/>
    <mergeCell ref="CJ99:CN99"/>
    <mergeCell ref="CP99:CT99"/>
    <mergeCell ref="CV99:CZ99"/>
    <mergeCell ref="F100:K101"/>
    <mergeCell ref="L100:R101"/>
    <mergeCell ref="S100:W101"/>
    <mergeCell ref="X100:AL100"/>
    <mergeCell ref="AM100:AQ101"/>
    <mergeCell ref="AR100:AV101"/>
    <mergeCell ref="BB100:BF101"/>
    <mergeCell ref="BG100:BK101"/>
    <mergeCell ref="BL100:BP101"/>
    <mergeCell ref="BQ100:BU101"/>
    <mergeCell ref="BX100:BX101"/>
    <mergeCell ref="CA100:CA101"/>
    <mergeCell ref="CB100:CB101"/>
    <mergeCell ref="CG100:CG101"/>
    <mergeCell ref="CH100:CH101"/>
    <mergeCell ref="CD100:CD101"/>
    <mergeCell ref="CJ100:CJ101"/>
    <mergeCell ref="CM100:CM101"/>
    <mergeCell ref="CN100:CN101"/>
    <mergeCell ref="CY100:CZ100"/>
    <mergeCell ref="AK111:AZ111"/>
    <mergeCell ref="BB68:BF69"/>
    <mergeCell ref="BB70:BF70"/>
    <mergeCell ref="BB71:BF71"/>
    <mergeCell ref="BB72:BF72"/>
    <mergeCell ref="BB73:BF73"/>
    <mergeCell ref="BB74:BF74"/>
    <mergeCell ref="BB75:BF75"/>
    <mergeCell ref="BB50:BF51"/>
    <mergeCell ref="BB52:BF52"/>
    <mergeCell ref="BB53:BF53"/>
    <mergeCell ref="BB54:BF54"/>
    <mergeCell ref="BB55:BF55"/>
    <mergeCell ref="BB56:BF56"/>
    <mergeCell ref="BB57:BF57"/>
    <mergeCell ref="BB58:BF58"/>
    <mergeCell ref="AM84:AQ84"/>
    <mergeCell ref="AR84:AV84"/>
    <mergeCell ref="AR70:AV70"/>
    <mergeCell ref="AH69:AL69"/>
    <mergeCell ref="AR50:AV51"/>
    <mergeCell ref="AM52:AQ52"/>
    <mergeCell ref="AM103:AQ103"/>
    <mergeCell ref="AR103:AV103"/>
    <mergeCell ref="BG97:BK97"/>
    <mergeCell ref="BL97:BP97"/>
    <mergeCell ref="BQ97:BU97"/>
    <mergeCell ref="BB96:BF96"/>
    <mergeCell ref="BB97:BF97"/>
    <mergeCell ref="F96:K96"/>
    <mergeCell ref="L96:O96"/>
    <mergeCell ref="P96:R96"/>
    <mergeCell ref="S96:W96"/>
    <mergeCell ref="X96:AB96"/>
    <mergeCell ref="AC96:AG96"/>
    <mergeCell ref="AH96:AL96"/>
    <mergeCell ref="AM96:AQ96"/>
    <mergeCell ref="AR96:AV96"/>
    <mergeCell ref="F97:K97"/>
    <mergeCell ref="L97:O97"/>
    <mergeCell ref="P97:R97"/>
    <mergeCell ref="S97:W97"/>
    <mergeCell ref="X97:AB97"/>
    <mergeCell ref="AC97:AG97"/>
    <mergeCell ref="AH97:AL97"/>
    <mergeCell ref="AM97:AQ97"/>
    <mergeCell ref="AR97:AV97"/>
    <mergeCell ref="BG96:BK96"/>
    <mergeCell ref="BL96:BP96"/>
    <mergeCell ref="BQ96:BU96"/>
    <mergeCell ref="CG94:CG95"/>
    <mergeCell ref="CH94:CH95"/>
    <mergeCell ref="CY94:CZ94"/>
    <mergeCell ref="X95:AB95"/>
    <mergeCell ref="AC95:AG95"/>
    <mergeCell ref="AH95:AL95"/>
    <mergeCell ref="CY95:CZ95"/>
    <mergeCell ref="BB94:BF95"/>
    <mergeCell ref="CD94:CD95"/>
    <mergeCell ref="CJ94:CJ95"/>
    <mergeCell ref="CM94:CM95"/>
    <mergeCell ref="CN94:CN95"/>
    <mergeCell ref="CS94:CS95"/>
    <mergeCell ref="CT94:CT95"/>
    <mergeCell ref="CQ94:CR95"/>
    <mergeCell ref="CK94:CL95"/>
    <mergeCell ref="CE94:CF95"/>
    <mergeCell ref="BY94:BZ95"/>
    <mergeCell ref="F91:K91"/>
    <mergeCell ref="L91:O91"/>
    <mergeCell ref="P91:R91"/>
    <mergeCell ref="CP94:CP95"/>
    <mergeCell ref="BX93:CB93"/>
    <mergeCell ref="CJ93:CN93"/>
    <mergeCell ref="CP93:CT93"/>
    <mergeCell ref="CV93:CZ93"/>
    <mergeCell ref="F94:K95"/>
    <mergeCell ref="L94:R95"/>
    <mergeCell ref="S94:W95"/>
    <mergeCell ref="X94:AL94"/>
    <mergeCell ref="AM94:AQ95"/>
    <mergeCell ref="AR94:AV95"/>
    <mergeCell ref="BG94:BK95"/>
    <mergeCell ref="BL94:BP95"/>
    <mergeCell ref="BQ94:BU95"/>
    <mergeCell ref="BX94:BX95"/>
    <mergeCell ref="CA94:CA95"/>
    <mergeCell ref="CB94:CB95"/>
    <mergeCell ref="S91:W91"/>
    <mergeCell ref="X91:AB91"/>
    <mergeCell ref="AC91:AG91"/>
    <mergeCell ref="AH91:AL91"/>
    <mergeCell ref="BL90:BP90"/>
    <mergeCell ref="BQ90:BU90"/>
    <mergeCell ref="CY88:CZ88"/>
    <mergeCell ref="X89:AB89"/>
    <mergeCell ref="AC89:AG89"/>
    <mergeCell ref="AH89:AL89"/>
    <mergeCell ref="BB88:BF89"/>
    <mergeCell ref="CD88:CD89"/>
    <mergeCell ref="F90:K90"/>
    <mergeCell ref="L90:O90"/>
    <mergeCell ref="P90:R90"/>
    <mergeCell ref="S90:W90"/>
    <mergeCell ref="X90:AB90"/>
    <mergeCell ref="AC90:AG90"/>
    <mergeCell ref="AH90:AL90"/>
    <mergeCell ref="AM90:AQ90"/>
    <mergeCell ref="AR90:AV90"/>
    <mergeCell ref="CN88:CN89"/>
    <mergeCell ref="CJ88:CJ89"/>
    <mergeCell ref="CY89:CZ89"/>
    <mergeCell ref="AM91:AQ91"/>
    <mergeCell ref="AR91:AV91"/>
    <mergeCell ref="BB90:BF90"/>
    <mergeCell ref="BB91:BF91"/>
    <mergeCell ref="BG90:BK90"/>
    <mergeCell ref="CV87:CZ87"/>
    <mergeCell ref="F88:K89"/>
    <mergeCell ref="L88:R89"/>
    <mergeCell ref="S88:W89"/>
    <mergeCell ref="X88:AL88"/>
    <mergeCell ref="AM88:AQ89"/>
    <mergeCell ref="AR88:AV89"/>
    <mergeCell ref="BG88:BK89"/>
    <mergeCell ref="BL88:BP89"/>
    <mergeCell ref="BQ88:BU89"/>
    <mergeCell ref="BX88:BX89"/>
    <mergeCell ref="CA88:CA89"/>
    <mergeCell ref="CB88:CB89"/>
    <mergeCell ref="CG88:CG89"/>
    <mergeCell ref="CH88:CH89"/>
    <mergeCell ref="CP88:CP89"/>
    <mergeCell ref="CS88:CS89"/>
    <mergeCell ref="CT88:CT89"/>
    <mergeCell ref="CM88:CM89"/>
    <mergeCell ref="BG84:BK84"/>
    <mergeCell ref="BL84:BP84"/>
    <mergeCell ref="BQ84:BU84"/>
    <mergeCell ref="F85:K85"/>
    <mergeCell ref="L85:O85"/>
    <mergeCell ref="P85:R85"/>
    <mergeCell ref="S85:W85"/>
    <mergeCell ref="X85:AB85"/>
    <mergeCell ref="AC85:AG85"/>
    <mergeCell ref="AH85:AL85"/>
    <mergeCell ref="AM85:AQ85"/>
    <mergeCell ref="AR85:AV85"/>
    <mergeCell ref="BG85:BK85"/>
    <mergeCell ref="BL85:BP85"/>
    <mergeCell ref="BQ85:BU85"/>
    <mergeCell ref="BB84:BF84"/>
    <mergeCell ref="BB85:BF85"/>
    <mergeCell ref="F82:K82"/>
    <mergeCell ref="L82:O82"/>
    <mergeCell ref="F84:K84"/>
    <mergeCell ref="L84:O84"/>
    <mergeCell ref="P84:R84"/>
    <mergeCell ref="S84:W84"/>
    <mergeCell ref="X84:AB84"/>
    <mergeCell ref="AC84:AG84"/>
    <mergeCell ref="AH84:AL84"/>
    <mergeCell ref="P82:R82"/>
    <mergeCell ref="L83:O83"/>
    <mergeCell ref="P83:R83"/>
    <mergeCell ref="S83:W83"/>
    <mergeCell ref="X83:AB83"/>
    <mergeCell ref="AC83:AG83"/>
    <mergeCell ref="F83:K83"/>
    <mergeCell ref="F81:K81"/>
    <mergeCell ref="L81:O81"/>
    <mergeCell ref="P81:R81"/>
    <mergeCell ref="S81:W81"/>
    <mergeCell ref="AM81:AQ81"/>
    <mergeCell ref="AR81:AV81"/>
    <mergeCell ref="CP79:CP80"/>
    <mergeCell ref="CH79:CH80"/>
    <mergeCell ref="CD79:CD80"/>
    <mergeCell ref="CJ79:CJ80"/>
    <mergeCell ref="X81:AB81"/>
    <mergeCell ref="AC81:AG81"/>
    <mergeCell ref="AH81:AL81"/>
    <mergeCell ref="BG81:BK81"/>
    <mergeCell ref="BL81:BP81"/>
    <mergeCell ref="BQ81:BU81"/>
    <mergeCell ref="BB79:BF80"/>
    <mergeCell ref="BB81:BF81"/>
    <mergeCell ref="CM79:CM80"/>
    <mergeCell ref="CN79:CN80"/>
    <mergeCell ref="CV78:CZ78"/>
    <mergeCell ref="F79:K80"/>
    <mergeCell ref="L79:R80"/>
    <mergeCell ref="S79:W80"/>
    <mergeCell ref="X79:AL79"/>
    <mergeCell ref="AM79:AQ80"/>
    <mergeCell ref="AR79:AV80"/>
    <mergeCell ref="BG79:BK80"/>
    <mergeCell ref="BL79:BP80"/>
    <mergeCell ref="BQ79:BU80"/>
    <mergeCell ref="BX79:BX80"/>
    <mergeCell ref="CA79:CA80"/>
    <mergeCell ref="CB79:CB80"/>
    <mergeCell ref="CG79:CG80"/>
    <mergeCell ref="CY80:CZ80"/>
    <mergeCell ref="X80:AB80"/>
    <mergeCell ref="AC80:AG80"/>
    <mergeCell ref="AH80:AL80"/>
    <mergeCell ref="CS79:CS80"/>
    <mergeCell ref="CT79:CT80"/>
    <mergeCell ref="CY79:CZ79"/>
    <mergeCell ref="BX78:CB78"/>
    <mergeCell ref="CJ78:CN78"/>
    <mergeCell ref="CP78:CT78"/>
    <mergeCell ref="BQ73:BU73"/>
    <mergeCell ref="F74:K74"/>
    <mergeCell ref="L74:O74"/>
    <mergeCell ref="P74:R74"/>
    <mergeCell ref="S74:W74"/>
    <mergeCell ref="X74:AB74"/>
    <mergeCell ref="F75:K75"/>
    <mergeCell ref="L75:O75"/>
    <mergeCell ref="P75:R75"/>
    <mergeCell ref="S75:W75"/>
    <mergeCell ref="X75:AB75"/>
    <mergeCell ref="AC75:AG75"/>
    <mergeCell ref="BQ74:BU74"/>
    <mergeCell ref="BQ71:BU71"/>
    <mergeCell ref="BG70:BK70"/>
    <mergeCell ref="BL70:BP70"/>
    <mergeCell ref="BQ70:BU70"/>
    <mergeCell ref="BG72:BK72"/>
    <mergeCell ref="BL72:BP72"/>
    <mergeCell ref="BQ72:BU72"/>
    <mergeCell ref="BQ75:BU75"/>
    <mergeCell ref="F72:K72"/>
    <mergeCell ref="L72:O72"/>
    <mergeCell ref="P72:R72"/>
    <mergeCell ref="S72:W72"/>
    <mergeCell ref="X72:AB72"/>
    <mergeCell ref="AC72:AG72"/>
    <mergeCell ref="AH72:AL72"/>
    <mergeCell ref="AM72:AQ72"/>
    <mergeCell ref="AR72:AV72"/>
    <mergeCell ref="F73:K73"/>
    <mergeCell ref="L73:O73"/>
    <mergeCell ref="P73:R73"/>
    <mergeCell ref="S73:W73"/>
    <mergeCell ref="X73:AB73"/>
    <mergeCell ref="AC73:AG73"/>
    <mergeCell ref="AH73:AL73"/>
    <mergeCell ref="CV67:CZ67"/>
    <mergeCell ref="F68:K69"/>
    <mergeCell ref="L68:R69"/>
    <mergeCell ref="S68:W69"/>
    <mergeCell ref="X68:AL68"/>
    <mergeCell ref="AM68:AQ69"/>
    <mergeCell ref="AR68:AV69"/>
    <mergeCell ref="BG68:BK69"/>
    <mergeCell ref="BL68:BP69"/>
    <mergeCell ref="BQ68:BU69"/>
    <mergeCell ref="BX68:BX69"/>
    <mergeCell ref="CA68:CA69"/>
    <mergeCell ref="CB68:CB69"/>
    <mergeCell ref="CG68:CG69"/>
    <mergeCell ref="CH68:CH69"/>
    <mergeCell ref="CY69:CZ69"/>
    <mergeCell ref="CJ68:CJ69"/>
    <mergeCell ref="CM68:CM69"/>
    <mergeCell ref="CN68:CN69"/>
    <mergeCell ref="CP68:CP69"/>
    <mergeCell ref="CS68:CS69"/>
    <mergeCell ref="CT68:CT69"/>
    <mergeCell ref="CY68:CZ68"/>
    <mergeCell ref="CD67:CH67"/>
    <mergeCell ref="BL53:BP53"/>
    <mergeCell ref="BX67:CB67"/>
    <mergeCell ref="CJ67:CN67"/>
    <mergeCell ref="CP67:CT67"/>
    <mergeCell ref="BG57:BK57"/>
    <mergeCell ref="BL57:BP57"/>
    <mergeCell ref="BQ57:BU57"/>
    <mergeCell ref="BG58:BK58"/>
    <mergeCell ref="BG52:BK52"/>
    <mergeCell ref="BL52:BP52"/>
    <mergeCell ref="BQ52:BU52"/>
    <mergeCell ref="BG55:BK55"/>
    <mergeCell ref="BL55:BP55"/>
    <mergeCell ref="BQ55:BU55"/>
    <mergeCell ref="BG56:BK56"/>
    <mergeCell ref="BL56:BP56"/>
    <mergeCell ref="BQ56:BU56"/>
    <mergeCell ref="BG53:BK53"/>
    <mergeCell ref="BQ53:BU53"/>
    <mergeCell ref="BG54:BK54"/>
    <mergeCell ref="BL54:BP54"/>
    <mergeCell ref="BQ54:BU54"/>
    <mergeCell ref="BL59:BP59"/>
    <mergeCell ref="BQ59:BU59"/>
    <mergeCell ref="BB62:BF63"/>
    <mergeCell ref="BB64:BF64"/>
    <mergeCell ref="AH56:AL56"/>
    <mergeCell ref="AM56:AQ56"/>
    <mergeCell ref="AA63:AH63"/>
    <mergeCell ref="X55:AB55"/>
    <mergeCell ref="X59:AB59"/>
    <mergeCell ref="AC59:AG59"/>
    <mergeCell ref="AH59:AL59"/>
    <mergeCell ref="AM59:AQ59"/>
    <mergeCell ref="AR59:AV59"/>
    <mergeCell ref="BB59:BF59"/>
    <mergeCell ref="AH57:AL57"/>
    <mergeCell ref="AM58:AQ58"/>
    <mergeCell ref="AR58:AV58"/>
    <mergeCell ref="AM57:AQ57"/>
    <mergeCell ref="AR57:AV57"/>
    <mergeCell ref="AC55:AG55"/>
    <mergeCell ref="AH55:AL55"/>
    <mergeCell ref="AM55:AQ55"/>
    <mergeCell ref="AR55:AV55"/>
    <mergeCell ref="BQ58:BU58"/>
    <mergeCell ref="F62:K63"/>
    <mergeCell ref="L62:R63"/>
    <mergeCell ref="BB65:BF65"/>
    <mergeCell ref="AC54:AG54"/>
    <mergeCell ref="AH54:AL54"/>
    <mergeCell ref="AM54:AQ54"/>
    <mergeCell ref="P52:R52"/>
    <mergeCell ref="P53:R53"/>
    <mergeCell ref="S52:W52"/>
    <mergeCell ref="AC56:AG56"/>
    <mergeCell ref="S63:Z63"/>
    <mergeCell ref="S64:Z64"/>
    <mergeCell ref="AC52:AG52"/>
    <mergeCell ref="AH52:AL52"/>
    <mergeCell ref="L59:O59"/>
    <mergeCell ref="S59:W59"/>
    <mergeCell ref="F58:K59"/>
    <mergeCell ref="F54:K54"/>
    <mergeCell ref="L54:O54"/>
    <mergeCell ref="P54:R54"/>
    <mergeCell ref="F55:K55"/>
    <mergeCell ref="L55:O55"/>
    <mergeCell ref="P55:R55"/>
    <mergeCell ref="P71:R71"/>
    <mergeCell ref="P56:R56"/>
    <mergeCell ref="F57:K57"/>
    <mergeCell ref="L57:O57"/>
    <mergeCell ref="P57:R57"/>
    <mergeCell ref="X69:AB69"/>
    <mergeCell ref="AC69:AG69"/>
    <mergeCell ref="F56:K56"/>
    <mergeCell ref="L56:O56"/>
    <mergeCell ref="S71:W71"/>
    <mergeCell ref="X71:AB71"/>
    <mergeCell ref="S58:W58"/>
    <mergeCell ref="X56:AB56"/>
    <mergeCell ref="X57:AB57"/>
    <mergeCell ref="L58:O58"/>
    <mergeCell ref="X58:AB58"/>
    <mergeCell ref="AC58:AG58"/>
    <mergeCell ref="P58:R58"/>
    <mergeCell ref="AA64:AH64"/>
    <mergeCell ref="S62:AH62"/>
    <mergeCell ref="F64:K64"/>
    <mergeCell ref="L64:O64"/>
    <mergeCell ref="P64:R64"/>
    <mergeCell ref="B117:T117"/>
    <mergeCell ref="U117:AJ117"/>
    <mergeCell ref="B118:T118"/>
    <mergeCell ref="U118:AJ118"/>
    <mergeCell ref="AK118:AZ118"/>
    <mergeCell ref="B114:T114"/>
    <mergeCell ref="U114:AJ114"/>
    <mergeCell ref="B115:T115"/>
    <mergeCell ref="U115:AJ115"/>
    <mergeCell ref="AK115:AZ115"/>
    <mergeCell ref="AK117:AZ117"/>
    <mergeCell ref="AK114:AZ114"/>
    <mergeCell ref="B25:F26"/>
    <mergeCell ref="G25:G26"/>
    <mergeCell ref="H25:Z27"/>
    <mergeCell ref="AE25:AE26"/>
    <mergeCell ref="B112:T112"/>
    <mergeCell ref="U112:AJ112"/>
    <mergeCell ref="AK112:AZ112"/>
    <mergeCell ref="AG27:AX27"/>
    <mergeCell ref="B111:T111"/>
    <mergeCell ref="U111:AJ111"/>
    <mergeCell ref="AC57:AG57"/>
    <mergeCell ref="F70:K70"/>
    <mergeCell ref="L70:O70"/>
    <mergeCell ref="P70:R70"/>
    <mergeCell ref="S70:W70"/>
    <mergeCell ref="X70:AB70"/>
    <mergeCell ref="F50:K51"/>
    <mergeCell ref="L50:R51"/>
    <mergeCell ref="F53:K53"/>
    <mergeCell ref="L53:O53"/>
    <mergeCell ref="AC70:AG70"/>
    <mergeCell ref="AB31:AN31"/>
    <mergeCell ref="F71:K71"/>
    <mergeCell ref="L71:O71"/>
    <mergeCell ref="BO25:BP26"/>
    <mergeCell ref="AB9:AJ10"/>
    <mergeCell ref="AK9:AK10"/>
    <mergeCell ref="AL9:AZ10"/>
    <mergeCell ref="B15:I16"/>
    <mergeCell ref="J15:J16"/>
    <mergeCell ref="K15:AA16"/>
    <mergeCell ref="AB15:AI16"/>
    <mergeCell ref="AK15:AK16"/>
    <mergeCell ref="AL15:AZ16"/>
    <mergeCell ref="B13:I14"/>
    <mergeCell ref="J13:J14"/>
    <mergeCell ref="K13:AA14"/>
    <mergeCell ref="AB13:AJ14"/>
    <mergeCell ref="AK13:AK14"/>
    <mergeCell ref="AL13:AZ14"/>
    <mergeCell ref="B22:AA22"/>
    <mergeCell ref="AB22:AZ22"/>
    <mergeCell ref="B23:F24"/>
    <mergeCell ref="G23:G24"/>
    <mergeCell ref="H23:Z24"/>
    <mergeCell ref="AE23:AE24"/>
    <mergeCell ref="AG23:AZ24"/>
    <mergeCell ref="AG25:AZ26"/>
    <mergeCell ref="J19:J20"/>
    <mergeCell ref="K19:AA20"/>
    <mergeCell ref="AB19:AJ20"/>
    <mergeCell ref="AK19:AK20"/>
    <mergeCell ref="AL19:AZ20"/>
    <mergeCell ref="B17:I18"/>
    <mergeCell ref="J17:J18"/>
    <mergeCell ref="K17:AA18"/>
    <mergeCell ref="AB17:AJ18"/>
    <mergeCell ref="AK17:AK18"/>
    <mergeCell ref="AL17:AZ18"/>
    <mergeCell ref="B19:I20"/>
    <mergeCell ref="B29:AZ29"/>
    <mergeCell ref="AO31:AZ31"/>
    <mergeCell ref="B34:P34"/>
    <mergeCell ref="Q34:AA34"/>
    <mergeCell ref="AB34:AN34"/>
    <mergeCell ref="AO34:AZ34"/>
    <mergeCell ref="AO33:AZ33"/>
    <mergeCell ref="B32:AZ32"/>
    <mergeCell ref="B33:P33"/>
    <mergeCell ref="Q33:AA33"/>
    <mergeCell ref="AB33:AN33"/>
    <mergeCell ref="AB30:AN30"/>
    <mergeCell ref="AO30:AZ30"/>
    <mergeCell ref="B30:P30"/>
    <mergeCell ref="Q30:AA30"/>
    <mergeCell ref="B31:P31"/>
    <mergeCell ref="Q31:AA31"/>
    <mergeCell ref="X53:AB53"/>
    <mergeCell ref="AC53:AG53"/>
    <mergeCell ref="AH53:AL53"/>
    <mergeCell ref="AM53:AQ53"/>
    <mergeCell ref="AH51:AL51"/>
    <mergeCell ref="X50:AL50"/>
    <mergeCell ref="AM50:AQ51"/>
    <mergeCell ref="X52:AB52"/>
    <mergeCell ref="S50:W51"/>
    <mergeCell ref="S53:W53"/>
    <mergeCell ref="AB35:AZ35"/>
    <mergeCell ref="AB36:AZ39"/>
    <mergeCell ref="I37:J37"/>
    <mergeCell ref="R37:S37"/>
    <mergeCell ref="I38:J38"/>
    <mergeCell ref="R38:S38"/>
    <mergeCell ref="F52:K52"/>
    <mergeCell ref="B46:AZ46"/>
    <mergeCell ref="X51:AB51"/>
    <mergeCell ref="AC51:AG51"/>
    <mergeCell ref="L52:O52"/>
    <mergeCell ref="AR52:AV52"/>
    <mergeCell ref="S42:T42"/>
    <mergeCell ref="S43:T43"/>
    <mergeCell ref="B35:AA35"/>
    <mergeCell ref="AN5:AP5"/>
    <mergeCell ref="B6:AZ6"/>
    <mergeCell ref="B7:I8"/>
    <mergeCell ref="J7:J8"/>
    <mergeCell ref="K7:AA8"/>
    <mergeCell ref="AB7:AJ8"/>
    <mergeCell ref="AK7:AK8"/>
    <mergeCell ref="AL7:AZ8"/>
    <mergeCell ref="B11:I12"/>
    <mergeCell ref="J11:J12"/>
    <mergeCell ref="K11:AA12"/>
    <mergeCell ref="AB11:AJ12"/>
    <mergeCell ref="AK11:AK12"/>
    <mergeCell ref="AL11:AZ12"/>
    <mergeCell ref="B9:I10"/>
    <mergeCell ref="J9:J10"/>
    <mergeCell ref="K9:AA10"/>
    <mergeCell ref="L5:N5"/>
    <mergeCell ref="AR53:AV53"/>
    <mergeCell ref="CV49:CZ49"/>
    <mergeCell ref="BX50:BX51"/>
    <mergeCell ref="CP50:CP51"/>
    <mergeCell ref="CY51:CZ51"/>
    <mergeCell ref="CS50:CS51"/>
    <mergeCell ref="CT50:CT51"/>
    <mergeCell ref="CY50:CZ50"/>
    <mergeCell ref="CH50:CH51"/>
    <mergeCell ref="CA50:CA51"/>
    <mergeCell ref="CJ49:CN49"/>
    <mergeCell ref="CJ50:CJ51"/>
    <mergeCell ref="CM50:CM51"/>
    <mergeCell ref="CN50:CN51"/>
    <mergeCell ref="BX49:CB49"/>
    <mergeCell ref="CD49:CH49"/>
    <mergeCell ref="CD50:CD51"/>
    <mergeCell ref="CG50:CG51"/>
    <mergeCell ref="CK50:CL51"/>
    <mergeCell ref="CQ50:CR51"/>
    <mergeCell ref="BG50:BK51"/>
    <mergeCell ref="BL50:BP51"/>
    <mergeCell ref="BQ50:BU51"/>
    <mergeCell ref="CB50:CB51"/>
    <mergeCell ref="BL83:BP83"/>
    <mergeCell ref="BL58:BP58"/>
    <mergeCell ref="AH58:AL58"/>
    <mergeCell ref="AH70:AL70"/>
    <mergeCell ref="AM70:AQ70"/>
    <mergeCell ref="AI62:AO63"/>
    <mergeCell ref="AI64:AO64"/>
    <mergeCell ref="BG71:BK71"/>
    <mergeCell ref="AR83:AV83"/>
    <mergeCell ref="BL71:BP71"/>
    <mergeCell ref="BG75:BK75"/>
    <mergeCell ref="BL75:BP75"/>
    <mergeCell ref="AH75:AL75"/>
    <mergeCell ref="AM75:AQ75"/>
    <mergeCell ref="AR75:AV75"/>
    <mergeCell ref="BB82:BF82"/>
    <mergeCell ref="BB83:BF83"/>
    <mergeCell ref="AM83:AQ83"/>
    <mergeCell ref="AH83:AL83"/>
    <mergeCell ref="AM73:AQ73"/>
    <mergeCell ref="AR73:AV73"/>
    <mergeCell ref="BG73:BK73"/>
    <mergeCell ref="BL73:BP73"/>
    <mergeCell ref="BG59:BK59"/>
    <mergeCell ref="AR54:AV54"/>
    <mergeCell ref="AR56:AV56"/>
    <mergeCell ref="S82:W82"/>
    <mergeCell ref="X82:AB82"/>
    <mergeCell ref="AC82:AG82"/>
    <mergeCell ref="AH82:AL82"/>
    <mergeCell ref="AM82:AQ82"/>
    <mergeCell ref="AR82:AV82"/>
    <mergeCell ref="S54:W54"/>
    <mergeCell ref="S55:W55"/>
    <mergeCell ref="X54:AB54"/>
    <mergeCell ref="S56:W56"/>
    <mergeCell ref="S57:W57"/>
    <mergeCell ref="BG91:BK91"/>
    <mergeCell ref="BL91:BP91"/>
    <mergeCell ref="BQ91:BU91"/>
    <mergeCell ref="F65:K65"/>
    <mergeCell ref="L65:O65"/>
    <mergeCell ref="P65:R65"/>
    <mergeCell ref="S65:Z65"/>
    <mergeCell ref="AA65:AH65"/>
    <mergeCell ref="AI65:AO65"/>
    <mergeCell ref="AC71:AG71"/>
    <mergeCell ref="AH71:AL71"/>
    <mergeCell ref="AM71:AQ71"/>
    <mergeCell ref="AR71:AV71"/>
    <mergeCell ref="AC74:AG74"/>
    <mergeCell ref="AH74:AL74"/>
    <mergeCell ref="AM74:AQ74"/>
    <mergeCell ref="AR74:AV74"/>
    <mergeCell ref="BG74:BK74"/>
    <mergeCell ref="BL74:BP74"/>
    <mergeCell ref="BG82:BK82"/>
    <mergeCell ref="BL82:BP82"/>
    <mergeCell ref="BQ82:BU82"/>
    <mergeCell ref="BQ83:BU83"/>
    <mergeCell ref="BG83:BK83"/>
    <mergeCell ref="CJ87:CN87"/>
    <mergeCell ref="CP87:CT87"/>
    <mergeCell ref="CQ68:CR69"/>
    <mergeCell ref="CQ79:CR80"/>
    <mergeCell ref="CK79:CL80"/>
    <mergeCell ref="CE79:CF80"/>
    <mergeCell ref="BY79:BZ80"/>
    <mergeCell ref="BY88:BZ89"/>
    <mergeCell ref="CE88:CF89"/>
    <mergeCell ref="CK88:CL89"/>
    <mergeCell ref="CQ88:CR89"/>
    <mergeCell ref="CD99:CH99"/>
    <mergeCell ref="BY50:BZ51"/>
    <mergeCell ref="CE50:CF51"/>
    <mergeCell ref="BY68:BZ69"/>
    <mergeCell ref="CE68:CF69"/>
    <mergeCell ref="CK68:CL69"/>
    <mergeCell ref="DE49:DF51"/>
    <mergeCell ref="DB49:DC51"/>
    <mergeCell ref="DB67:DC69"/>
    <mergeCell ref="DB78:DC80"/>
    <mergeCell ref="DB87:DC89"/>
    <mergeCell ref="DB93:DC95"/>
    <mergeCell ref="DB99:DC101"/>
    <mergeCell ref="DE67:DF69"/>
    <mergeCell ref="DE78:DF80"/>
    <mergeCell ref="DE87:DF89"/>
    <mergeCell ref="DE93:DF95"/>
    <mergeCell ref="DE99:DF101"/>
    <mergeCell ref="CD68:CD69"/>
    <mergeCell ref="CD78:CH78"/>
    <mergeCell ref="CD87:CH87"/>
    <mergeCell ref="CD93:CH93"/>
    <mergeCell ref="CP49:CT49"/>
    <mergeCell ref="BX87:CB87"/>
  </mergeCells>
  <conditionalFormatting sqref="Q31:AZ31">
    <cfRule type="notContainsBlanks" dxfId="17" priority="1">
      <formula>LEN(TRIM(Q31))&gt;0</formula>
    </cfRule>
  </conditionalFormatting>
  <conditionalFormatting sqref="X52:AL59">
    <cfRule type="notContainsBlanks" dxfId="16" priority="24">
      <formula>LEN(TRIM(X52))&gt;0</formula>
    </cfRule>
  </conditionalFormatting>
  <conditionalFormatting sqref="X70:AL75">
    <cfRule type="notContainsBlanks" dxfId="15" priority="23">
      <formula>LEN(TRIM(X70))&gt;0</formula>
    </cfRule>
  </conditionalFormatting>
  <conditionalFormatting sqref="X81:AL85">
    <cfRule type="notContainsBlanks" dxfId="14" priority="22">
      <formula>LEN(TRIM(X81))&gt;0</formula>
    </cfRule>
  </conditionalFormatting>
  <conditionalFormatting sqref="X90:AL91">
    <cfRule type="notContainsBlanks" dxfId="13" priority="21">
      <formula>LEN(TRIM(X90))&gt;0</formula>
    </cfRule>
  </conditionalFormatting>
  <conditionalFormatting sqref="X96:AL97">
    <cfRule type="notContainsBlanks" dxfId="12" priority="20">
      <formula>LEN(TRIM(X96))&gt;0</formula>
    </cfRule>
  </conditionalFormatting>
  <conditionalFormatting sqref="BQ52:BU59">
    <cfRule type="containsText" dxfId="11" priority="16" operator="containsText" text="FAIL">
      <formula>NOT(ISERROR(SEARCH("FAIL",BQ52)))</formula>
    </cfRule>
    <cfRule type="containsText" dxfId="10" priority="17" operator="containsText" text="PASS">
      <formula>NOT(ISERROR(SEARCH("PASS",BQ52)))</formula>
    </cfRule>
  </conditionalFormatting>
  <conditionalFormatting sqref="BQ70:BU75">
    <cfRule type="containsText" dxfId="9" priority="14" operator="containsText" text="FAIL">
      <formula>NOT(ISERROR(SEARCH("FAIL",BQ70)))</formula>
    </cfRule>
    <cfRule type="containsText" dxfId="8" priority="15" operator="containsText" text="PASS">
      <formula>NOT(ISERROR(SEARCH("PASS",BQ70)))</formula>
    </cfRule>
  </conditionalFormatting>
  <conditionalFormatting sqref="BQ81:BU85">
    <cfRule type="containsText" dxfId="7" priority="12" operator="containsText" text="FAIL">
      <formula>NOT(ISERROR(SEARCH("FAIL",BQ81)))</formula>
    </cfRule>
    <cfRule type="containsText" dxfId="6" priority="13" operator="containsText" text="PASS">
      <formula>NOT(ISERROR(SEARCH("PASS",BQ81)))</formula>
    </cfRule>
  </conditionalFormatting>
  <conditionalFormatting sqref="BQ90:BU91">
    <cfRule type="containsText" dxfId="5" priority="10" operator="containsText" text="FAIL">
      <formula>NOT(ISERROR(SEARCH("FAIL",BQ90)))</formula>
    </cfRule>
    <cfRule type="containsText" dxfId="4" priority="11" operator="containsText" text="PASS">
      <formula>NOT(ISERROR(SEARCH("PASS",BQ90)))</formula>
    </cfRule>
  </conditionalFormatting>
  <conditionalFormatting sqref="BQ96:BU97">
    <cfRule type="containsText" dxfId="3" priority="8" operator="containsText" text="FAIL">
      <formula>NOT(ISERROR(SEARCH("FAIL",BQ96)))</formula>
    </cfRule>
    <cfRule type="containsText" dxfId="2" priority="9" operator="containsText" text="PASS">
      <formula>NOT(ISERROR(SEARCH("PASS",BQ96)))</formula>
    </cfRule>
  </conditionalFormatting>
  <conditionalFormatting sqref="BQ102:BU104">
    <cfRule type="containsText" dxfId="1" priority="6" operator="containsText" text="FAIL">
      <formula>NOT(ISERROR(SEARCH("FAIL",BQ102)))</formula>
    </cfRule>
    <cfRule type="containsText" dxfId="0" priority="7" operator="containsText" text="PASS">
      <formula>NOT(ISERROR(SEARCH("PASS",BQ102)))</formula>
    </cfRule>
  </conditionalFormatting>
  <printOptions horizontalCentered="1" verticalCentered="1"/>
  <pageMargins left="0" right="0" top="0" bottom="0.39370078740157483" header="0" footer="0"/>
  <pageSetup paperSize="9" scale="85" orientation="portrait" horizontalDpi="300" verticalDpi="300" r:id="rId1"/>
  <headerFooter alignWithMargins="0">
    <oddFooter>&amp;L&amp;8Page &amp;P of &amp;N&amp;R&amp;8 7F-04-02 Rev. 02
Effectivity Date: August 01 ,2019</oddFooter>
  </headerFooter>
  <rowBreaks count="1" manualBreakCount="1">
    <brk id="76" min="1" max="5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2" sqref="C3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Cal Certificate</vt:lpstr>
      <vt:lpstr>DataSheet</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2025-10-03T04:14:43Z</cp:lastPrinted>
  <dcterms:created xsi:type="dcterms:W3CDTF">2014-11-03T09:03:36Z</dcterms:created>
  <dcterms:modified xsi:type="dcterms:W3CDTF">2025-10-03T04:15:53Z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2025-04-23T02:55:30Z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141973ea-b550-435a-9b01-5f6f577f630d</vt:lpwstr>
  </property>
  <property fmtid="{D5CDD505-2E9C-101B-9397-08002B2CF9AE}" pid="7" name="MSIP_Label_defa4170-0d19-0005-0004-bc88714345d2_ActionId">
    <vt:lpwstr>7447245c-7288-4c3b-9c02-0f96ad94923a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